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Enforcements!$A$6:$AC$21</definedName>
    <definedName name="_xlnm._FilterDatabase" localSheetId="2" hidden="1">'Missing Trips'!$A$2:$J$26</definedName>
    <definedName name="_xlnm._FilterDatabase" localSheetId="0" hidden="1">'Train Runs'!$A$12:$AG$485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X207" i="1"/>
  <c r="X208" i="1"/>
  <c r="K206" i="1"/>
  <c r="L206" i="1"/>
  <c r="M206" i="1"/>
  <c r="N206" i="1"/>
  <c r="V206" i="1"/>
  <c r="AA206" i="1"/>
  <c r="AB206" i="1"/>
  <c r="AC206" i="1"/>
  <c r="AD206" i="1"/>
  <c r="T206" i="1" s="1"/>
  <c r="AE206" i="1"/>
  <c r="AF206" i="1"/>
  <c r="AH206" i="1"/>
  <c r="AM206" i="1"/>
  <c r="AN206" i="1"/>
  <c r="AO206" i="1"/>
  <c r="K202" i="1"/>
  <c r="L202" i="1"/>
  <c r="M202" i="1"/>
  <c r="N202" i="1" s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K201" i="1"/>
  <c r="L201" i="1"/>
  <c r="M201" i="1"/>
  <c r="N201" i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K198" i="1"/>
  <c r="L198" i="1"/>
  <c r="M198" i="1"/>
  <c r="N198" i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K190" i="1"/>
  <c r="L190" i="1"/>
  <c r="M190" i="1"/>
  <c r="N190" i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AG206" i="1"/>
  <c r="AG202" i="1"/>
  <c r="AG201" i="1"/>
  <c r="AG198" i="1"/>
  <c r="AG190" i="1"/>
  <c r="AI206" i="1" l="1"/>
  <c r="U206" i="1"/>
  <c r="S206" i="1" s="1"/>
  <c r="W206" i="1"/>
  <c r="U202" i="1"/>
  <c r="S202" i="1" s="1"/>
  <c r="AI202" i="1"/>
  <c r="W202" i="1"/>
  <c r="X202" i="1"/>
  <c r="AI201" i="1"/>
  <c r="U201" i="1"/>
  <c r="S201" i="1" s="1"/>
  <c r="W201" i="1"/>
  <c r="U198" i="1"/>
  <c r="S198" i="1" s="1"/>
  <c r="AI198" i="1"/>
  <c r="W198" i="1"/>
  <c r="AI190" i="1"/>
  <c r="U190" i="1"/>
  <c r="S190" i="1" s="1"/>
  <c r="W19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57" i="1"/>
  <c r="L157" i="1"/>
  <c r="M157" i="1"/>
  <c r="N157" i="1" s="1"/>
  <c r="V157" i="1"/>
  <c r="S17" i="3" s="1"/>
  <c r="AA157" i="1"/>
  <c r="AB157" i="1"/>
  <c r="AC157" i="1"/>
  <c r="AD157" i="1"/>
  <c r="T157" i="1" s="1"/>
  <c r="AE157" i="1"/>
  <c r="AF157" i="1"/>
  <c r="AH157" i="1"/>
  <c r="AM157" i="1"/>
  <c r="AN157" i="1"/>
  <c r="AO157" i="1"/>
  <c r="K147" i="1"/>
  <c r="L147" i="1"/>
  <c r="M147" i="1"/>
  <c r="N147" i="1" s="1"/>
  <c r="V147" i="1"/>
  <c r="AA147" i="1"/>
  <c r="AB147" i="1"/>
  <c r="AC147" i="1"/>
  <c r="AD147" i="1"/>
  <c r="T147" i="1" s="1"/>
  <c r="AE147" i="1"/>
  <c r="AF147" i="1"/>
  <c r="AH147" i="1"/>
  <c r="AM147" i="1"/>
  <c r="AN147" i="1"/>
  <c r="AO147" i="1"/>
  <c r="K139" i="1"/>
  <c r="L139" i="1"/>
  <c r="M139" i="1"/>
  <c r="N139" i="1" s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43" i="1"/>
  <c r="L143" i="1"/>
  <c r="M143" i="1"/>
  <c r="N143" i="1" s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32" i="1"/>
  <c r="K130" i="1"/>
  <c r="L130" i="1"/>
  <c r="M130" i="1"/>
  <c r="N130" i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X118" i="1"/>
  <c r="K117" i="1"/>
  <c r="L117" i="1"/>
  <c r="M117" i="1"/>
  <c r="N117" i="1"/>
  <c r="V117" i="1"/>
  <c r="AA117" i="1"/>
  <c r="AB117" i="1"/>
  <c r="AC117" i="1"/>
  <c r="AD117" i="1"/>
  <c r="T117" i="1" s="1"/>
  <c r="AE117" i="1"/>
  <c r="AF117" i="1"/>
  <c r="AH117" i="1"/>
  <c r="AM117" i="1"/>
  <c r="AN117" i="1"/>
  <c r="AO117" i="1"/>
  <c r="P111" i="1"/>
  <c r="K102" i="1"/>
  <c r="L102" i="1"/>
  <c r="M102" i="1"/>
  <c r="N102" i="1" s="1"/>
  <c r="V102" i="1"/>
  <c r="AA102" i="1"/>
  <c r="AB102" i="1"/>
  <c r="AC102" i="1"/>
  <c r="AD102" i="1"/>
  <c r="T102" i="1" s="1"/>
  <c r="AE102" i="1"/>
  <c r="AF102" i="1"/>
  <c r="AH102" i="1"/>
  <c r="AM102" i="1"/>
  <c r="AN102" i="1"/>
  <c r="AO10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S9" i="3" s="1"/>
  <c r="Y26" i="1"/>
  <c r="Z26" i="1"/>
  <c r="AB26" i="1"/>
  <c r="AC26" i="1"/>
  <c r="AD26" i="1"/>
  <c r="AE26" i="1"/>
  <c r="R9" i="3" s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P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S8" i="3" s="1"/>
  <c r="Y47" i="1"/>
  <c r="Z47" i="1"/>
  <c r="AB47" i="1"/>
  <c r="AC47" i="1"/>
  <c r="AD47" i="1"/>
  <c r="T47" i="1" s="1"/>
  <c r="AE47" i="1"/>
  <c r="R8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19" i="3" s="1"/>
  <c r="Y78" i="1"/>
  <c r="Z78" i="1"/>
  <c r="AB78" i="1"/>
  <c r="AC78" i="1"/>
  <c r="AD78" i="1"/>
  <c r="AE78" i="1"/>
  <c r="R19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S12" i="3" s="1"/>
  <c r="Y84" i="1"/>
  <c r="Z84" i="1"/>
  <c r="AB84" i="1"/>
  <c r="AC84" i="1"/>
  <c r="AD84" i="1"/>
  <c r="AE84" i="1"/>
  <c r="R12" i="3" s="1"/>
  <c r="AF84" i="1"/>
  <c r="AH84" i="1"/>
  <c r="AM84" i="1"/>
  <c r="AN84" i="1"/>
  <c r="AO84" i="1"/>
  <c r="K85" i="1"/>
  <c r="L85" i="1"/>
  <c r="M85" i="1"/>
  <c r="N85" i="1" s="1"/>
  <c r="V85" i="1"/>
  <c r="S20" i="3" s="1"/>
  <c r="Y85" i="1"/>
  <c r="Z85" i="1"/>
  <c r="AB85" i="1"/>
  <c r="AC85" i="1"/>
  <c r="AD85" i="1"/>
  <c r="AE85" i="1"/>
  <c r="R11" i="3" s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V95" i="1"/>
  <c r="S16" i="3" s="1"/>
  <c r="Y95" i="1"/>
  <c r="Z95" i="1"/>
  <c r="AB95" i="1"/>
  <c r="AC95" i="1"/>
  <c r="AD95" i="1"/>
  <c r="AE95" i="1"/>
  <c r="R16" i="3" s="1"/>
  <c r="AF95" i="1"/>
  <c r="AH95" i="1"/>
  <c r="AM95" i="1"/>
  <c r="AN95" i="1"/>
  <c r="AO95" i="1"/>
  <c r="K96" i="1"/>
  <c r="L96" i="1"/>
  <c r="M96" i="1"/>
  <c r="P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S13" i="3" s="1"/>
  <c r="Y100" i="1"/>
  <c r="Z100" i="1"/>
  <c r="AB100" i="1"/>
  <c r="AC100" i="1"/>
  <c r="AD100" i="1"/>
  <c r="AE100" i="1"/>
  <c r="R15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S18" i="3" s="1"/>
  <c r="Y125" i="1"/>
  <c r="Z125" i="1"/>
  <c r="AB125" i="1"/>
  <c r="AC125" i="1"/>
  <c r="AD125" i="1"/>
  <c r="AE125" i="1"/>
  <c r="R18" i="3" s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AO129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4" i="1"/>
  <c r="L144" i="1"/>
  <c r="M144" i="1"/>
  <c r="P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8" i="1"/>
  <c r="L148" i="1"/>
  <c r="M148" i="1"/>
  <c r="N148" i="1" s="1"/>
  <c r="V148" i="1"/>
  <c r="S14" i="3" s="1"/>
  <c r="Y148" i="1"/>
  <c r="Z148" i="1"/>
  <c r="AB148" i="1"/>
  <c r="AC148" i="1"/>
  <c r="AD148" i="1"/>
  <c r="X148" i="1" s="1"/>
  <c r="AE148" i="1"/>
  <c r="R14" i="3" s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P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8" i="1"/>
  <c r="L158" i="1"/>
  <c r="M158" i="1"/>
  <c r="N158" i="1" s="1"/>
  <c r="V158" i="1"/>
  <c r="S7" i="3" s="1"/>
  <c r="Y158" i="1"/>
  <c r="Z158" i="1"/>
  <c r="AB158" i="1"/>
  <c r="AC158" i="1"/>
  <c r="AD158" i="1"/>
  <c r="AE158" i="1"/>
  <c r="R7" i="3" s="1"/>
  <c r="AF15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1" i="1"/>
  <c r="AM181" i="1"/>
  <c r="AN181" i="1"/>
  <c r="AO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AO182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3" i="1"/>
  <c r="AM183" i="1"/>
  <c r="AN183" i="1"/>
  <c r="AO18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4" i="1"/>
  <c r="AM184" i="1"/>
  <c r="AN184" i="1"/>
  <c r="AO18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AN185" i="1"/>
  <c r="AO18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6" i="1"/>
  <c r="AM186" i="1"/>
  <c r="AN186" i="1"/>
  <c r="AO186" i="1"/>
  <c r="K165" i="1"/>
  <c r="L165" i="1"/>
  <c r="M165" i="1"/>
  <c r="N165" i="1" s="1"/>
  <c r="V165" i="1"/>
  <c r="S21" i="3" s="1"/>
  <c r="Y165" i="1"/>
  <c r="Z165" i="1"/>
  <c r="AB165" i="1"/>
  <c r="AC165" i="1"/>
  <c r="AD165" i="1"/>
  <c r="AE165" i="1"/>
  <c r="R21" i="3" s="1"/>
  <c r="AF165" i="1"/>
  <c r="AH187" i="1"/>
  <c r="AM187" i="1"/>
  <c r="AN187" i="1"/>
  <c r="AO18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8" i="1"/>
  <c r="AM188" i="1"/>
  <c r="AN188" i="1"/>
  <c r="AO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9" i="1"/>
  <c r="AM189" i="1"/>
  <c r="AN189" i="1"/>
  <c r="AO18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AM191" i="1"/>
  <c r="AN191" i="1"/>
  <c r="AO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AN192" i="1"/>
  <c r="AO19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AO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AN194" i="1"/>
  <c r="AO19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5" i="1"/>
  <c r="AM195" i="1"/>
  <c r="AN195" i="1"/>
  <c r="AO19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AO19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AO197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AO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4" i="1"/>
  <c r="AM204" i="1"/>
  <c r="AN204" i="1"/>
  <c r="AO20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5" i="1"/>
  <c r="AM205" i="1"/>
  <c r="AN205" i="1"/>
  <c r="AO20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7" i="1"/>
  <c r="AM207" i="1"/>
  <c r="AN207" i="1"/>
  <c r="AO2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8" i="1"/>
  <c r="AM208" i="1"/>
  <c r="AN208" i="1"/>
  <c r="AO20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9" i="1"/>
  <c r="AM209" i="1"/>
  <c r="AN209" i="1"/>
  <c r="AO20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0" i="1"/>
  <c r="AM210" i="1"/>
  <c r="AN210" i="1"/>
  <c r="AO21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1" i="1"/>
  <c r="AM211" i="1"/>
  <c r="AN211" i="1"/>
  <c r="AO211" i="1"/>
  <c r="AH212" i="1"/>
  <c r="AM212" i="1"/>
  <c r="AN212" i="1"/>
  <c r="AO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AO21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4" i="1"/>
  <c r="AM214" i="1"/>
  <c r="AN214" i="1"/>
  <c r="AO21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5" i="1"/>
  <c r="AM215" i="1"/>
  <c r="AN215" i="1"/>
  <c r="AO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AM216" i="1"/>
  <c r="AN216" i="1"/>
  <c r="AO21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7" i="1"/>
  <c r="AM217" i="1"/>
  <c r="AN217" i="1"/>
  <c r="AO21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8" i="1"/>
  <c r="AM218" i="1"/>
  <c r="AN218" i="1"/>
  <c r="AO21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9" i="1"/>
  <c r="AM219" i="1"/>
  <c r="AN219" i="1"/>
  <c r="AO21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0" i="1"/>
  <c r="AM220" i="1"/>
  <c r="AN220" i="1"/>
  <c r="AO22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1" i="1"/>
  <c r="AM221" i="1"/>
  <c r="AN221" i="1"/>
  <c r="AO22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2" i="1"/>
  <c r="AM222" i="1"/>
  <c r="AN222" i="1"/>
  <c r="AO22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3" i="1"/>
  <c r="AM223" i="1"/>
  <c r="AN223" i="1"/>
  <c r="AO22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4" i="1"/>
  <c r="AM224" i="1"/>
  <c r="AN224" i="1"/>
  <c r="AO22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5" i="1"/>
  <c r="AM225" i="1"/>
  <c r="AN225" i="1"/>
  <c r="AO225" i="1"/>
  <c r="K200" i="1"/>
  <c r="L200" i="1"/>
  <c r="M200" i="1"/>
  <c r="N200" i="1" s="1"/>
  <c r="V200" i="1"/>
  <c r="Y200" i="1"/>
  <c r="Z200" i="1"/>
  <c r="AB200" i="1"/>
  <c r="AC200" i="1"/>
  <c r="AD200" i="1"/>
  <c r="X201" i="1" s="1"/>
  <c r="AE200" i="1"/>
  <c r="AF200" i="1"/>
  <c r="AH226" i="1"/>
  <c r="AM226" i="1"/>
  <c r="AN226" i="1"/>
  <c r="AO22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7" i="1"/>
  <c r="AM227" i="1"/>
  <c r="AN227" i="1"/>
  <c r="AO22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8" i="1"/>
  <c r="AM228" i="1"/>
  <c r="AN228" i="1"/>
  <c r="AO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AO22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0" i="1"/>
  <c r="AM230" i="1"/>
  <c r="AN230" i="1"/>
  <c r="AO23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1" i="1"/>
  <c r="AM231" i="1"/>
  <c r="AN231" i="1"/>
  <c r="AO23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2" i="1"/>
  <c r="AM232" i="1"/>
  <c r="AN232" i="1"/>
  <c r="AO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AM233" i="1"/>
  <c r="AN233" i="1"/>
  <c r="AO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AM234" i="1"/>
  <c r="AN234" i="1"/>
  <c r="AO234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235" i="1"/>
  <c r="AM235" i="1"/>
  <c r="AN235" i="1"/>
  <c r="AO23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6" i="1"/>
  <c r="AM236" i="1"/>
  <c r="AN236" i="1"/>
  <c r="AO23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7" i="1"/>
  <c r="AM237" i="1"/>
  <c r="AN237" i="1"/>
  <c r="AO237" i="1"/>
  <c r="M9" i="3"/>
  <c r="U9" i="3"/>
  <c r="T9" i="3" s="1"/>
  <c r="V9" i="3"/>
  <c r="X9" i="3"/>
  <c r="M21" i="3"/>
  <c r="U21" i="3"/>
  <c r="V21" i="3"/>
  <c r="X21" i="3"/>
  <c r="M8" i="3"/>
  <c r="U8" i="3"/>
  <c r="AC8" i="3" s="1"/>
  <c r="V8" i="3"/>
  <c r="X8" i="3"/>
  <c r="M19" i="3"/>
  <c r="U19" i="3"/>
  <c r="T19" i="3" s="1"/>
  <c r="V19" i="3"/>
  <c r="X19" i="3"/>
  <c r="M11" i="3"/>
  <c r="U11" i="3"/>
  <c r="V11" i="3"/>
  <c r="X11" i="3"/>
  <c r="M20" i="3"/>
  <c r="U20" i="3"/>
  <c r="AC20" i="3" s="1"/>
  <c r="V20" i="3"/>
  <c r="X20" i="3"/>
  <c r="M12" i="3"/>
  <c r="U12" i="3"/>
  <c r="T12" i="3" s="1"/>
  <c r="V12" i="3"/>
  <c r="X12" i="3"/>
  <c r="M16" i="3"/>
  <c r="U16" i="3"/>
  <c r="T16" i="3" s="1"/>
  <c r="V16" i="3"/>
  <c r="X16" i="3"/>
  <c r="M13" i="3"/>
  <c r="U13" i="3"/>
  <c r="V13" i="3"/>
  <c r="X13" i="3"/>
  <c r="M15" i="3"/>
  <c r="U15" i="3"/>
  <c r="AD15" i="3" s="1"/>
  <c r="V15" i="3"/>
  <c r="X15" i="3"/>
  <c r="M18" i="3"/>
  <c r="U18" i="3"/>
  <c r="V18" i="3"/>
  <c r="X18" i="3"/>
  <c r="M14" i="3"/>
  <c r="U14" i="3"/>
  <c r="T14" i="3" s="1"/>
  <c r="V14" i="3"/>
  <c r="X14" i="3"/>
  <c r="M7" i="3"/>
  <c r="U7" i="3"/>
  <c r="AC7" i="3" s="1"/>
  <c r="V7" i="3"/>
  <c r="X7" i="3"/>
  <c r="M22" i="3"/>
  <c r="R22" i="3"/>
  <c r="S22" i="3"/>
  <c r="U22" i="3"/>
  <c r="AC22" i="3" s="1"/>
  <c r="V22" i="3"/>
  <c r="X22" i="3"/>
  <c r="M17" i="3"/>
  <c r="U17" i="3"/>
  <c r="T17" i="3" s="1"/>
  <c r="V17" i="3"/>
  <c r="X17" i="3"/>
  <c r="AG159" i="1"/>
  <c r="AG143" i="1"/>
  <c r="AG102" i="1"/>
  <c r="AG21" i="1"/>
  <c r="AG44" i="1"/>
  <c r="AG64" i="1"/>
  <c r="AG97" i="1"/>
  <c r="AG154" i="1"/>
  <c r="AG161" i="1"/>
  <c r="AG197" i="1"/>
  <c r="AG69" i="1"/>
  <c r="AG112" i="1"/>
  <c r="AG232" i="1"/>
  <c r="AG175" i="1"/>
  <c r="AG222" i="1"/>
  <c r="AG20" i="1"/>
  <c r="AG33" i="1"/>
  <c r="AG50" i="1"/>
  <c r="AG66" i="1"/>
  <c r="AG101" i="1"/>
  <c r="AG133" i="1"/>
  <c r="AG152" i="1"/>
  <c r="AG219" i="1"/>
  <c r="AG163" i="1"/>
  <c r="AG115" i="1"/>
  <c r="AG172" i="1"/>
  <c r="AG200" i="1"/>
  <c r="AG135" i="1"/>
  <c r="AG17" i="1"/>
  <c r="AG27" i="1"/>
  <c r="AG47" i="1"/>
  <c r="AG63" i="1"/>
  <c r="AG95" i="1"/>
  <c r="AG120" i="1"/>
  <c r="AG153" i="1"/>
  <c r="AG220" i="1"/>
  <c r="AG164" i="1"/>
  <c r="AG103" i="1"/>
  <c r="AG193" i="1"/>
  <c r="AG186" i="1"/>
  <c r="AG170" i="1"/>
  <c r="AG131" i="1"/>
  <c r="AG60" i="1"/>
  <c r="AG144" i="1"/>
  <c r="AG235" i="1"/>
  <c r="AG151" i="1"/>
  <c r="AG26" i="1"/>
  <c r="AG37" i="1"/>
  <c r="AG53" i="1"/>
  <c r="AG91" i="1"/>
  <c r="AG123" i="1"/>
  <c r="AG191" i="1"/>
  <c r="AG226" i="1"/>
  <c r="AG141" i="1"/>
  <c r="AG147" i="1"/>
  <c r="AG130" i="1"/>
  <c r="AG24" i="1"/>
  <c r="AG36" i="1"/>
  <c r="AG52" i="1"/>
  <c r="AG75" i="1"/>
  <c r="AG121" i="1"/>
  <c r="AG217" i="1"/>
  <c r="AG171" i="1"/>
  <c r="AG185" i="1"/>
  <c r="AG99" i="1"/>
  <c r="AG210" i="1"/>
  <c r="AG119" i="1"/>
  <c r="AG124" i="1"/>
  <c r="AG181" i="1"/>
  <c r="AG16" i="1"/>
  <c r="AG42" i="1"/>
  <c r="AG58" i="1"/>
  <c r="AG86" i="1"/>
  <c r="AG92" i="1"/>
  <c r="AG113" i="1"/>
  <c r="AG211" i="1"/>
  <c r="AG233" i="1"/>
  <c r="AG126" i="1"/>
  <c r="AG179" i="1"/>
  <c r="AG125" i="1"/>
  <c r="AG223" i="1"/>
  <c r="AG182" i="1"/>
  <c r="AG30" i="1"/>
  <c r="AG39" i="1"/>
  <c r="AG55" i="1"/>
  <c r="AG73" i="1"/>
  <c r="AG81" i="1"/>
  <c r="AG114" i="1"/>
  <c r="AG212" i="1"/>
  <c r="AG234" i="1"/>
  <c r="AG145" i="1"/>
  <c r="AG176" i="1"/>
  <c r="AG83" i="1"/>
  <c r="AG165" i="1"/>
  <c r="AG204" i="1"/>
  <c r="AG110" i="1"/>
  <c r="AG224" i="1"/>
  <c r="AG72" i="1"/>
  <c r="AG209" i="1"/>
  <c r="AG146" i="1"/>
  <c r="AG178" i="1"/>
  <c r="AG23" i="1"/>
  <c r="AG45" i="1"/>
  <c r="AG65" i="1"/>
  <c r="AG105" i="1"/>
  <c r="AG214" i="1"/>
  <c r="AG134" i="1"/>
  <c r="AG194" i="1"/>
  <c r="AG188" i="1"/>
  <c r="AG157" i="1"/>
  <c r="AG142" i="1"/>
  <c r="AG15" i="1"/>
  <c r="AG29" i="1"/>
  <c r="AG48" i="1"/>
  <c r="AG68" i="1"/>
  <c r="AG85" i="1"/>
  <c r="AG213" i="1"/>
  <c r="AG225" i="1"/>
  <c r="AG84" i="1"/>
  <c r="AG148" i="1"/>
  <c r="AG168" i="1"/>
  <c r="AG28" i="1"/>
  <c r="AG54" i="1"/>
  <c r="AG78" i="1"/>
  <c r="AG156" i="1"/>
  <c r="AG106" i="1"/>
  <c r="AG187" i="1"/>
  <c r="AG174" i="1"/>
  <c r="AG34" i="1"/>
  <c r="AG67" i="1"/>
  <c r="AG158" i="1"/>
  <c r="AG127" i="1"/>
  <c r="AG208" i="1"/>
  <c r="AG104" i="1"/>
  <c r="AG89" i="1"/>
  <c r="AG221" i="1"/>
  <c r="AG41" i="1"/>
  <c r="AG74" i="1"/>
  <c r="AG166" i="1"/>
  <c r="AG173" i="1"/>
  <c r="AG139" i="1"/>
  <c r="AG117" i="1"/>
  <c r="AG32" i="1"/>
  <c r="AG40" i="1"/>
  <c r="AG56" i="1"/>
  <c r="AG82" i="1"/>
  <c r="AG108" i="1"/>
  <c r="AG231" i="1"/>
  <c r="AG180" i="1"/>
  <c r="AG57" i="1"/>
  <c r="AG128" i="1"/>
  <c r="AG218" i="1"/>
  <c r="AG111" i="1"/>
  <c r="AG199" i="1"/>
  <c r="AG14" i="1"/>
  <c r="AG25" i="1"/>
  <c r="AG46" i="1"/>
  <c r="AG62" i="1"/>
  <c r="AG93" i="1"/>
  <c r="AG109" i="1"/>
  <c r="AG132" i="1"/>
  <c r="AG215" i="1"/>
  <c r="AG237" i="1"/>
  <c r="AG138" i="1"/>
  <c r="AG140" i="1"/>
  <c r="AG195" i="1"/>
  <c r="AG80" i="1"/>
  <c r="AG189" i="1"/>
  <c r="AG19" i="1"/>
  <c r="AG43" i="1"/>
  <c r="AG59" i="1"/>
  <c r="AG88" i="1"/>
  <c r="AG96" i="1"/>
  <c r="AG136" i="1"/>
  <c r="AG216" i="1"/>
  <c r="AG160" i="1"/>
  <c r="AG116" i="1"/>
  <c r="AG192" i="1"/>
  <c r="AG177" i="1"/>
  <c r="AG150" i="1"/>
  <c r="AG94" i="1"/>
  <c r="AG76" i="1"/>
  <c r="AG169" i="1"/>
  <c r="AG100" i="1"/>
  <c r="AG227" i="1"/>
  <c r="AG87" i="1"/>
  <c r="AG18" i="1"/>
  <c r="AG31" i="1"/>
  <c r="AG49" i="1"/>
  <c r="AG77" i="1"/>
  <c r="AG149" i="1"/>
  <c r="AG228" i="1"/>
  <c r="AG167" i="1"/>
  <c r="AG205" i="1"/>
  <c r="AG196" i="1"/>
  <c r="AG236" i="1"/>
  <c r="AG129" i="1"/>
  <c r="AG162" i="1"/>
  <c r="AG98" i="1"/>
  <c r="AG38" i="1"/>
  <c r="AG79" i="1"/>
  <c r="AG71" i="1"/>
  <c r="AG229" i="1"/>
  <c r="AG90" i="1"/>
  <c r="AG207" i="1"/>
  <c r="AG22" i="1"/>
  <c r="AG51" i="1"/>
  <c r="AG70" i="1"/>
  <c r="AG137" i="1"/>
  <c r="AG230" i="1"/>
  <c r="AG183" i="1"/>
  <c r="AG122" i="1"/>
  <c r="AG107" i="1"/>
  <c r="AG203" i="1"/>
  <c r="AG118" i="1"/>
  <c r="AG35" i="1"/>
  <c r="AG61" i="1"/>
  <c r="AG155" i="1"/>
  <c r="AG184" i="1"/>
  <c r="W9" i="3"/>
  <c r="W16" i="3"/>
  <c r="W21" i="3"/>
  <c r="W17" i="3"/>
  <c r="W18" i="3"/>
  <c r="W13" i="3"/>
  <c r="W7" i="3"/>
  <c r="W11" i="3"/>
  <c r="W12" i="3"/>
  <c r="W22" i="3"/>
  <c r="W15" i="3"/>
  <c r="W14" i="3"/>
  <c r="W8" i="3"/>
  <c r="W19" i="3"/>
  <c r="W20" i="3"/>
  <c r="T203" i="1" l="1"/>
  <c r="X203" i="1"/>
  <c r="R17" i="3"/>
  <c r="T199" i="1"/>
  <c r="X199" i="1"/>
  <c r="X198" i="1"/>
  <c r="X141" i="1"/>
  <c r="X190" i="1"/>
  <c r="T193" i="1"/>
  <c r="U193" i="1" s="1"/>
  <c r="S193" i="1" s="1"/>
  <c r="X193" i="1"/>
  <c r="T192" i="1"/>
  <c r="X192" i="1"/>
  <c r="X161" i="1"/>
  <c r="T191" i="1"/>
  <c r="X191" i="1"/>
  <c r="X162" i="1"/>
  <c r="T185" i="1"/>
  <c r="U185" i="1" s="1"/>
  <c r="S185" i="1" s="1"/>
  <c r="X185" i="1"/>
  <c r="X160" i="1"/>
  <c r="X158" i="1"/>
  <c r="T148" i="1"/>
  <c r="U148" i="1" s="1"/>
  <c r="S148" i="1" s="1"/>
  <c r="X136" i="1"/>
  <c r="AA133" i="1"/>
  <c r="X81" i="1"/>
  <c r="X142" i="1"/>
  <c r="AA159" i="1"/>
  <c r="W159" i="1" s="1"/>
  <c r="X145" i="1"/>
  <c r="X131" i="1"/>
  <c r="X144" i="1"/>
  <c r="X149" i="1"/>
  <c r="X159" i="1"/>
  <c r="X64" i="1"/>
  <c r="X143" i="1"/>
  <c r="AI159" i="1"/>
  <c r="U159" i="1"/>
  <c r="S159" i="1" s="1"/>
  <c r="U157" i="1"/>
  <c r="S157" i="1" s="1"/>
  <c r="AI157" i="1"/>
  <c r="W157" i="1"/>
  <c r="X157" i="1"/>
  <c r="AI147" i="1"/>
  <c r="U147" i="1"/>
  <c r="S147" i="1" s="1"/>
  <c r="W147" i="1"/>
  <c r="X147" i="1"/>
  <c r="AI139" i="1"/>
  <c r="U139" i="1"/>
  <c r="S139" i="1" s="1"/>
  <c r="W139" i="1"/>
  <c r="X139" i="1"/>
  <c r="S11" i="3"/>
  <c r="U143" i="1"/>
  <c r="S143" i="1" s="1"/>
  <c r="AI143" i="1"/>
  <c r="W143" i="1"/>
  <c r="AI142" i="1"/>
  <c r="U142" i="1"/>
  <c r="S142" i="1" s="1"/>
  <c r="W142" i="1"/>
  <c r="U130" i="1"/>
  <c r="S130" i="1" s="1"/>
  <c r="AI130" i="1"/>
  <c r="W130" i="1"/>
  <c r="X130" i="1"/>
  <c r="U117" i="1"/>
  <c r="S117" i="1" s="1"/>
  <c r="AI117" i="1"/>
  <c r="W117" i="1"/>
  <c r="X117" i="1"/>
  <c r="R20" i="3"/>
  <c r="S15" i="3"/>
  <c r="AI102" i="1"/>
  <c r="U102" i="1"/>
  <c r="S102" i="1" s="1"/>
  <c r="W102" i="1"/>
  <c r="X102" i="1"/>
  <c r="R13" i="3"/>
  <c r="AA151" i="1"/>
  <c r="AA138" i="1"/>
  <c r="AA165" i="1"/>
  <c r="W165" i="1" s="1"/>
  <c r="AA161" i="1"/>
  <c r="W161" i="1" s="1"/>
  <c r="AA235" i="1"/>
  <c r="AA231" i="1"/>
  <c r="AA227" i="1"/>
  <c r="AA217" i="1"/>
  <c r="AA213" i="1"/>
  <c r="AA209" i="1"/>
  <c r="AA154" i="1"/>
  <c r="W154" i="1" s="1"/>
  <c r="AA62" i="1"/>
  <c r="AA54" i="1"/>
  <c r="X53" i="1"/>
  <c r="X45" i="1"/>
  <c r="AA38" i="1"/>
  <c r="X37" i="1"/>
  <c r="X82" i="1"/>
  <c r="X151" i="1"/>
  <c r="X137" i="1"/>
  <c r="T136" i="1"/>
  <c r="U136" i="1" s="1"/>
  <c r="S136" i="1" s="1"/>
  <c r="X70" i="1"/>
  <c r="X66" i="1"/>
  <c r="X56" i="1"/>
  <c r="X52" i="1"/>
  <c r="AA57" i="1"/>
  <c r="AA37" i="1"/>
  <c r="X16" i="1"/>
  <c r="AA140" i="1"/>
  <c r="AA128" i="1"/>
  <c r="AA226" i="1"/>
  <c r="AA222" i="1"/>
  <c r="AA145" i="1"/>
  <c r="W145" i="1" s="1"/>
  <c r="AA112" i="1"/>
  <c r="AA108" i="1"/>
  <c r="AA104" i="1"/>
  <c r="AA99" i="1"/>
  <c r="AA95" i="1"/>
  <c r="AA91" i="1"/>
  <c r="AA88" i="1"/>
  <c r="AA84" i="1"/>
  <c r="X50" i="1"/>
  <c r="AA43" i="1"/>
  <c r="X42" i="1"/>
  <c r="AA42" i="1"/>
  <c r="AA39" i="1"/>
  <c r="AA144" i="1"/>
  <c r="AA223" i="1"/>
  <c r="AA150" i="1"/>
  <c r="W150" i="1" s="1"/>
  <c r="AA146" i="1"/>
  <c r="AA77" i="1"/>
  <c r="AA73" i="1"/>
  <c r="X69" i="1"/>
  <c r="AA65" i="1"/>
  <c r="AA52" i="1"/>
  <c r="AA48" i="1"/>
  <c r="AA44" i="1"/>
  <c r="AA40" i="1"/>
  <c r="T37" i="1"/>
  <c r="U37" i="1" s="1"/>
  <c r="S37" i="1" s="1"/>
  <c r="AA35" i="1"/>
  <c r="AA109" i="1"/>
  <c r="AA105" i="1"/>
  <c r="AA68" i="1"/>
  <c r="W68" i="1" s="1"/>
  <c r="AA60" i="1"/>
  <c r="AA56" i="1"/>
  <c r="AA46" i="1"/>
  <c r="X200" i="1"/>
  <c r="AA200" i="1"/>
  <c r="W200" i="1" s="1"/>
  <c r="AA197" i="1"/>
  <c r="X194" i="1"/>
  <c r="X173" i="1"/>
  <c r="X61" i="1"/>
  <c r="AA204" i="1"/>
  <c r="W204" i="1" s="1"/>
  <c r="X196" i="1"/>
  <c r="X195" i="1"/>
  <c r="AA195" i="1"/>
  <c r="W195" i="1" s="1"/>
  <c r="AA115" i="1"/>
  <c r="AD9" i="3"/>
  <c r="AC9" i="3"/>
  <c r="AA225" i="1"/>
  <c r="AA126" i="1"/>
  <c r="AA118" i="1"/>
  <c r="AA116" i="1"/>
  <c r="W116" i="1" s="1"/>
  <c r="AA111" i="1"/>
  <c r="AA72" i="1"/>
  <c r="T70" i="1"/>
  <c r="U70" i="1" s="1"/>
  <c r="S70" i="1" s="1"/>
  <c r="AA59" i="1"/>
  <c r="W59" i="1" s="1"/>
  <c r="X58" i="1"/>
  <c r="AA58" i="1"/>
  <c r="AA55" i="1"/>
  <c r="AA49" i="1"/>
  <c r="X48" i="1"/>
  <c r="X44" i="1"/>
  <c r="AA41" i="1"/>
  <c r="X40" i="1"/>
  <c r="X223" i="1"/>
  <c r="AA207" i="1"/>
  <c r="AA205" i="1"/>
  <c r="W205" i="1" s="1"/>
  <c r="AA164" i="1"/>
  <c r="W164" i="1" s="1"/>
  <c r="AA160" i="1"/>
  <c r="W160" i="1" s="1"/>
  <c r="AA234" i="1"/>
  <c r="AA230" i="1"/>
  <c r="AA220" i="1"/>
  <c r="W220" i="1" s="1"/>
  <c r="AA216" i="1"/>
  <c r="AA212" i="1"/>
  <c r="AA158" i="1"/>
  <c r="W158" i="1" s="1"/>
  <c r="AA153" i="1"/>
  <c r="W153" i="1" s="1"/>
  <c r="T132" i="1"/>
  <c r="AA127" i="1"/>
  <c r="T66" i="1"/>
  <c r="U66" i="1" s="1"/>
  <c r="S66" i="1" s="1"/>
  <c r="X63" i="1"/>
  <c r="AA61" i="1"/>
  <c r="AA51" i="1"/>
  <c r="AA50" i="1"/>
  <c r="AA47" i="1"/>
  <c r="AA221" i="1"/>
  <c r="AA208" i="1"/>
  <c r="X188" i="1"/>
  <c r="X186" i="1"/>
  <c r="X183" i="1"/>
  <c r="X181" i="1"/>
  <c r="X179" i="1"/>
  <c r="X177" i="1"/>
  <c r="X169" i="1"/>
  <c r="AA129" i="1"/>
  <c r="T58" i="1"/>
  <c r="U58" i="1" s="1"/>
  <c r="S58" i="1" s="1"/>
  <c r="X55" i="1"/>
  <c r="AA53" i="1"/>
  <c r="W53" i="1" s="1"/>
  <c r="AA166" i="1"/>
  <c r="AA162" i="1"/>
  <c r="AA236" i="1"/>
  <c r="AA232" i="1"/>
  <c r="W232" i="1" s="1"/>
  <c r="AA228" i="1"/>
  <c r="AA218" i="1"/>
  <c r="AA214" i="1"/>
  <c r="AA210" i="1"/>
  <c r="W210" i="1" s="1"/>
  <c r="AA155" i="1"/>
  <c r="AA149" i="1"/>
  <c r="W149" i="1" s="1"/>
  <c r="AA137" i="1"/>
  <c r="AA135" i="1"/>
  <c r="W135" i="1" s="1"/>
  <c r="AA131" i="1"/>
  <c r="AA67" i="1"/>
  <c r="AA66" i="1"/>
  <c r="AA64" i="1"/>
  <c r="W64" i="1" s="1"/>
  <c r="AA63" i="1"/>
  <c r="T50" i="1"/>
  <c r="X47" i="1"/>
  <c r="AA45" i="1"/>
  <c r="W45" i="1" s="1"/>
  <c r="AA34" i="1"/>
  <c r="X226" i="1"/>
  <c r="X224" i="1"/>
  <c r="X221" i="1"/>
  <c r="AA167" i="1"/>
  <c r="AA163" i="1"/>
  <c r="W163" i="1" s="1"/>
  <c r="AA237" i="1"/>
  <c r="AA233" i="1"/>
  <c r="AA229" i="1"/>
  <c r="AA219" i="1"/>
  <c r="AA215" i="1"/>
  <c r="AA211" i="1"/>
  <c r="AA156" i="1"/>
  <c r="AA152" i="1"/>
  <c r="X134" i="1"/>
  <c r="AA125" i="1"/>
  <c r="AA120" i="1"/>
  <c r="AA119" i="1"/>
  <c r="AA110" i="1"/>
  <c r="W110" i="1" s="1"/>
  <c r="AA106" i="1"/>
  <c r="AA101" i="1"/>
  <c r="AA100" i="1"/>
  <c r="AA97" i="1"/>
  <c r="AA96" i="1"/>
  <c r="AA93" i="1"/>
  <c r="AA92" i="1"/>
  <c r="AA89" i="1"/>
  <c r="AA86" i="1"/>
  <c r="AA85" i="1"/>
  <c r="AA82" i="1"/>
  <c r="AA81" i="1"/>
  <c r="AA79" i="1"/>
  <c r="AA78" i="1"/>
  <c r="AA75" i="1"/>
  <c r="AA74" i="1"/>
  <c r="AA70" i="1"/>
  <c r="AA69" i="1"/>
  <c r="T42" i="1"/>
  <c r="X39" i="1"/>
  <c r="AA36" i="1"/>
  <c r="T224" i="1"/>
  <c r="X222" i="1"/>
  <c r="X205" i="1"/>
  <c r="X225" i="1"/>
  <c r="X204" i="1"/>
  <c r="AA203" i="1"/>
  <c r="T200" i="1"/>
  <c r="U200" i="1" s="1"/>
  <c r="S200" i="1" s="1"/>
  <c r="X197" i="1"/>
  <c r="AA196" i="1"/>
  <c r="W196" i="1" s="1"/>
  <c r="T195" i="1"/>
  <c r="X189" i="1"/>
  <c r="X182" i="1"/>
  <c r="X178" i="1"/>
  <c r="X172" i="1"/>
  <c r="X171" i="1"/>
  <c r="T170" i="1"/>
  <c r="U170" i="1" s="1"/>
  <c r="S170" i="1" s="1"/>
  <c r="X170" i="1"/>
  <c r="AA199" i="1"/>
  <c r="AA194" i="1"/>
  <c r="W194" i="1" s="1"/>
  <c r="X187" i="1"/>
  <c r="X184" i="1"/>
  <c r="X180" i="1"/>
  <c r="X176" i="1"/>
  <c r="X175" i="1"/>
  <c r="T174" i="1"/>
  <c r="U174" i="1" s="1"/>
  <c r="S174" i="1" s="1"/>
  <c r="X174" i="1"/>
  <c r="AA123" i="1"/>
  <c r="AA122" i="1"/>
  <c r="X68" i="1"/>
  <c r="X67" i="1"/>
  <c r="X60" i="1"/>
  <c r="X59" i="1"/>
  <c r="X51" i="1"/>
  <c r="X43" i="1"/>
  <c r="T151" i="1"/>
  <c r="U151" i="1" s="1"/>
  <c r="S151" i="1" s="1"/>
  <c r="X150" i="1"/>
  <c r="X146" i="1"/>
  <c r="AA141" i="1"/>
  <c r="W141" i="1" s="1"/>
  <c r="T140" i="1"/>
  <c r="U140" i="1" s="1"/>
  <c r="S140" i="1" s="1"/>
  <c r="X138" i="1"/>
  <c r="X135" i="1"/>
  <c r="X133" i="1"/>
  <c r="AA132" i="1"/>
  <c r="X129" i="1"/>
  <c r="AA124" i="1"/>
  <c r="AA103" i="1"/>
  <c r="W103" i="1" s="1"/>
  <c r="AA94" i="1"/>
  <c r="AA87" i="1"/>
  <c r="AA80" i="1"/>
  <c r="AA71" i="1"/>
  <c r="W71" i="1" s="1"/>
  <c r="T69" i="1"/>
  <c r="U69" i="1" s="1"/>
  <c r="S69" i="1" s="1"/>
  <c r="X65" i="1"/>
  <c r="T64" i="1"/>
  <c r="U64" i="1" s="1"/>
  <c r="S64" i="1" s="1"/>
  <c r="T61" i="1"/>
  <c r="U61" i="1" s="1"/>
  <c r="S61" i="1" s="1"/>
  <c r="X57" i="1"/>
  <c r="T56" i="1"/>
  <c r="T53" i="1"/>
  <c r="U53" i="1" s="1"/>
  <c r="S53" i="1" s="1"/>
  <c r="X49" i="1"/>
  <c r="T48" i="1"/>
  <c r="U48" i="1" s="1"/>
  <c r="S48" i="1" s="1"/>
  <c r="T45" i="1"/>
  <c r="X41" i="1"/>
  <c r="T40" i="1"/>
  <c r="U40" i="1" s="1"/>
  <c r="S40" i="1" s="1"/>
  <c r="AA17" i="1"/>
  <c r="AA14" i="1"/>
  <c r="AA148" i="1"/>
  <c r="W148" i="1" s="1"/>
  <c r="AA136" i="1"/>
  <c r="W136" i="1" s="1"/>
  <c r="AA114" i="1"/>
  <c r="AA113" i="1"/>
  <c r="AA107" i="1"/>
  <c r="AA98" i="1"/>
  <c r="W98" i="1" s="1"/>
  <c r="AA90" i="1"/>
  <c r="AA83" i="1"/>
  <c r="AA76" i="1"/>
  <c r="T68" i="1"/>
  <c r="U68" i="1" s="1"/>
  <c r="S68" i="1" s="1"/>
  <c r="X62" i="1"/>
  <c r="T60" i="1"/>
  <c r="X54" i="1"/>
  <c r="T52" i="1"/>
  <c r="X46" i="1"/>
  <c r="T44" i="1"/>
  <c r="X38" i="1"/>
  <c r="AA19" i="1"/>
  <c r="W19" i="1" s="1"/>
  <c r="AI220" i="1"/>
  <c r="AI217" i="1"/>
  <c r="U189" i="1"/>
  <c r="S189" i="1" s="1"/>
  <c r="AI216" i="1"/>
  <c r="U188" i="1"/>
  <c r="S188" i="1" s="1"/>
  <c r="AI213" i="1"/>
  <c r="AI212" i="1"/>
  <c r="AI209" i="1"/>
  <c r="U182" i="1"/>
  <c r="S182" i="1" s="1"/>
  <c r="AI208" i="1"/>
  <c r="U181" i="1"/>
  <c r="S181" i="1" s="1"/>
  <c r="AI204" i="1"/>
  <c r="U178" i="1"/>
  <c r="S178" i="1" s="1"/>
  <c r="AI203" i="1"/>
  <c r="U177" i="1"/>
  <c r="S177" i="1" s="1"/>
  <c r="AI197" i="1"/>
  <c r="AI196" i="1"/>
  <c r="U173" i="1"/>
  <c r="S173" i="1" s="1"/>
  <c r="AI193" i="1"/>
  <c r="AI192" i="1"/>
  <c r="U169" i="1"/>
  <c r="S169" i="1" s="1"/>
  <c r="AI135" i="1"/>
  <c r="U135" i="1"/>
  <c r="S135" i="1" s="1"/>
  <c r="AI98" i="1"/>
  <c r="AI94" i="1"/>
  <c r="AI83" i="1"/>
  <c r="AI80" i="1"/>
  <c r="AI237" i="1"/>
  <c r="U226" i="1"/>
  <c r="S226" i="1" s="1"/>
  <c r="U225" i="1"/>
  <c r="S225" i="1" s="1"/>
  <c r="AI236" i="1"/>
  <c r="U224" i="1"/>
  <c r="S224" i="1" s="1"/>
  <c r="AI235" i="1"/>
  <c r="AI234" i="1"/>
  <c r="U223" i="1"/>
  <c r="S223" i="1" s="1"/>
  <c r="AI233" i="1"/>
  <c r="U222" i="1"/>
  <c r="S222" i="1" s="1"/>
  <c r="U221" i="1"/>
  <c r="S221" i="1" s="1"/>
  <c r="AI232" i="1"/>
  <c r="AI231" i="1"/>
  <c r="U208" i="1"/>
  <c r="S208" i="1" s="1"/>
  <c r="AI230" i="1"/>
  <c r="U207" i="1"/>
  <c r="S207" i="1" s="1"/>
  <c r="AI229" i="1"/>
  <c r="U205" i="1"/>
  <c r="S205" i="1" s="1"/>
  <c r="AI228" i="1"/>
  <c r="U204" i="1"/>
  <c r="S204" i="1" s="1"/>
  <c r="AI227" i="1"/>
  <c r="U203" i="1"/>
  <c r="S203" i="1" s="1"/>
  <c r="AI226" i="1"/>
  <c r="AI225" i="1"/>
  <c r="U199" i="1"/>
  <c r="S199" i="1" s="1"/>
  <c r="AI224" i="1"/>
  <c r="U197" i="1"/>
  <c r="S197" i="1" s="1"/>
  <c r="AI223" i="1"/>
  <c r="U196" i="1"/>
  <c r="S196" i="1" s="1"/>
  <c r="AI222" i="1"/>
  <c r="U195" i="1"/>
  <c r="S195" i="1" s="1"/>
  <c r="U194" i="1"/>
  <c r="S194" i="1" s="1"/>
  <c r="AI221" i="1"/>
  <c r="AI151" i="1"/>
  <c r="AI131" i="1"/>
  <c r="U131" i="1"/>
  <c r="S131" i="1" s="1"/>
  <c r="AI125" i="1"/>
  <c r="AI124" i="1"/>
  <c r="AI107" i="1"/>
  <c r="AI219" i="1"/>
  <c r="U192" i="1"/>
  <c r="S192" i="1" s="1"/>
  <c r="AI215" i="1"/>
  <c r="U187" i="1"/>
  <c r="S187" i="1" s="1"/>
  <c r="AI211" i="1"/>
  <c r="U184" i="1"/>
  <c r="S184" i="1" s="1"/>
  <c r="AI207" i="1"/>
  <c r="U180" i="1"/>
  <c r="S180" i="1" s="1"/>
  <c r="AI200" i="1"/>
  <c r="U176" i="1"/>
  <c r="S176" i="1" s="1"/>
  <c r="AI195" i="1"/>
  <c r="U172" i="1"/>
  <c r="S172" i="1" s="1"/>
  <c r="AI191" i="1"/>
  <c r="AI87" i="1"/>
  <c r="AI76" i="1"/>
  <c r="AI140" i="1"/>
  <c r="AI218" i="1"/>
  <c r="U191" i="1"/>
  <c r="S191" i="1" s="1"/>
  <c r="AI214" i="1"/>
  <c r="U186" i="1"/>
  <c r="S186" i="1" s="1"/>
  <c r="AI210" i="1"/>
  <c r="U183" i="1"/>
  <c r="S183" i="1" s="1"/>
  <c r="AI205" i="1"/>
  <c r="U179" i="1"/>
  <c r="S179" i="1" s="1"/>
  <c r="AI199" i="1"/>
  <c r="U175" i="1"/>
  <c r="S175" i="1" s="1"/>
  <c r="AI194" i="1"/>
  <c r="U171" i="1"/>
  <c r="S171" i="1" s="1"/>
  <c r="AI103" i="1"/>
  <c r="AI90" i="1"/>
  <c r="AI189" i="1"/>
  <c r="AI146" i="1"/>
  <c r="U146" i="1"/>
  <c r="S146" i="1" s="1"/>
  <c r="AI116" i="1"/>
  <c r="AI115" i="1"/>
  <c r="AI111" i="1"/>
  <c r="AI150" i="1"/>
  <c r="U150" i="1"/>
  <c r="S150" i="1" s="1"/>
  <c r="AI145" i="1"/>
  <c r="U145" i="1"/>
  <c r="AI138" i="1"/>
  <c r="U138" i="1"/>
  <c r="S138" i="1" s="1"/>
  <c r="AI134" i="1"/>
  <c r="U134" i="1"/>
  <c r="S134" i="1" s="1"/>
  <c r="AI129" i="1"/>
  <c r="U129" i="1"/>
  <c r="S129" i="1" s="1"/>
  <c r="AI127" i="1"/>
  <c r="AI126" i="1"/>
  <c r="W126" i="1"/>
  <c r="AI119" i="1"/>
  <c r="AI118" i="1"/>
  <c r="W118" i="1"/>
  <c r="AI110" i="1"/>
  <c r="AI106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8" i="1"/>
  <c r="AI156" i="1"/>
  <c r="AI155" i="1"/>
  <c r="AI154" i="1"/>
  <c r="AI153" i="1"/>
  <c r="AI152" i="1"/>
  <c r="AI148" i="1"/>
  <c r="U141" i="1"/>
  <c r="S141" i="1" s="1"/>
  <c r="AI141" i="1"/>
  <c r="AI136" i="1"/>
  <c r="U132" i="1"/>
  <c r="S132" i="1" s="1"/>
  <c r="AI132" i="1"/>
  <c r="AI123" i="1"/>
  <c r="AI122" i="1"/>
  <c r="AI114" i="1"/>
  <c r="AI113" i="1"/>
  <c r="AI112" i="1"/>
  <c r="AI108" i="1"/>
  <c r="AI104" i="1"/>
  <c r="AI71" i="1"/>
  <c r="U71" i="1"/>
  <c r="S71" i="1" s="1"/>
  <c r="U149" i="1"/>
  <c r="S149" i="1" s="1"/>
  <c r="AI149" i="1"/>
  <c r="U144" i="1"/>
  <c r="S144" i="1" s="1"/>
  <c r="AI144" i="1"/>
  <c r="U137" i="1"/>
  <c r="S137" i="1" s="1"/>
  <c r="AI137" i="1"/>
  <c r="U133" i="1"/>
  <c r="S133" i="1" s="1"/>
  <c r="AI133" i="1"/>
  <c r="AI128" i="1"/>
  <c r="AI121" i="1"/>
  <c r="AI120" i="1"/>
  <c r="AI109" i="1"/>
  <c r="AI105" i="1"/>
  <c r="AI100" i="1"/>
  <c r="AI96" i="1"/>
  <c r="AI92" i="1"/>
  <c r="AI85" i="1"/>
  <c r="AI81" i="1"/>
  <c r="AI78" i="1"/>
  <c r="AI74" i="1"/>
  <c r="U72" i="1"/>
  <c r="S72" i="1" s="1"/>
  <c r="AI72" i="1"/>
  <c r="W72" i="1"/>
  <c r="AI70" i="1"/>
  <c r="AI101" i="1"/>
  <c r="AI99" i="1"/>
  <c r="AI97" i="1"/>
  <c r="AI95" i="1"/>
  <c r="AI93" i="1"/>
  <c r="AI91" i="1"/>
  <c r="AI89" i="1"/>
  <c r="AI88" i="1"/>
  <c r="AI86" i="1"/>
  <c r="AI84" i="1"/>
  <c r="AI82" i="1"/>
  <c r="AI79" i="1"/>
  <c r="AI77" i="1"/>
  <c r="AI75" i="1"/>
  <c r="U73" i="1"/>
  <c r="S73" i="1" s="1"/>
  <c r="AI73" i="1"/>
  <c r="AI69" i="1"/>
  <c r="AI68" i="1"/>
  <c r="U67" i="1"/>
  <c r="S67" i="1" s="1"/>
  <c r="AI67" i="1"/>
  <c r="AI66" i="1"/>
  <c r="W66" i="1"/>
  <c r="U65" i="1"/>
  <c r="S65" i="1" s="1"/>
  <c r="AI65" i="1"/>
  <c r="AI64" i="1"/>
  <c r="U63" i="1"/>
  <c r="S63" i="1" s="1"/>
  <c r="AI63" i="1"/>
  <c r="U62" i="1"/>
  <c r="S62" i="1" s="1"/>
  <c r="AI62" i="1"/>
  <c r="W62" i="1"/>
  <c r="AI61" i="1"/>
  <c r="U60" i="1"/>
  <c r="S60" i="1" s="1"/>
  <c r="AI60" i="1"/>
  <c r="U59" i="1"/>
  <c r="S59" i="1" s="1"/>
  <c r="AI59" i="1"/>
  <c r="AI58" i="1"/>
  <c r="W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W54" i="1"/>
  <c r="AI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AI48" i="1"/>
  <c r="U47" i="1"/>
  <c r="S47" i="1" s="1"/>
  <c r="AI47" i="1"/>
  <c r="U46" i="1"/>
  <c r="S46" i="1" s="1"/>
  <c r="AI46" i="1"/>
  <c r="U45" i="1"/>
  <c r="S45" i="1" s="1"/>
  <c r="AI45" i="1"/>
  <c r="U44" i="1"/>
  <c r="S44" i="1" s="1"/>
  <c r="AI44" i="1"/>
  <c r="W44" i="1"/>
  <c r="U43" i="1"/>
  <c r="S43" i="1" s="1"/>
  <c r="AI43" i="1"/>
  <c r="U42" i="1"/>
  <c r="S42" i="1" s="1"/>
  <c r="AI42" i="1"/>
  <c r="U41" i="1"/>
  <c r="S41" i="1" s="1"/>
  <c r="AI41" i="1"/>
  <c r="AI40" i="1"/>
  <c r="W40" i="1"/>
  <c r="U39" i="1"/>
  <c r="AI39" i="1"/>
  <c r="U38" i="1"/>
  <c r="S38" i="1" s="1"/>
  <c r="AI38" i="1"/>
  <c r="AI37" i="1"/>
  <c r="AI36" i="1"/>
  <c r="AI34" i="1"/>
  <c r="W34" i="1"/>
  <c r="AI33" i="1"/>
  <c r="AI31" i="1"/>
  <c r="AI29" i="1"/>
  <c r="AI27" i="1"/>
  <c r="AI25" i="1"/>
  <c r="AI23" i="1"/>
  <c r="AI21" i="1"/>
  <c r="AI19" i="1"/>
  <c r="AI16" i="1"/>
  <c r="U16" i="1"/>
  <c r="S16" i="1" s="1"/>
  <c r="AI35" i="1"/>
  <c r="AI32" i="1"/>
  <c r="AI30" i="1"/>
  <c r="AI28" i="1"/>
  <c r="AI26" i="1"/>
  <c r="AI24" i="1"/>
  <c r="AI22" i="1"/>
  <c r="AI20" i="1"/>
  <c r="AI18" i="1"/>
  <c r="AI15" i="1"/>
  <c r="U15" i="1"/>
  <c r="S15" i="1" s="1"/>
  <c r="AI17" i="1"/>
  <c r="U17" i="1"/>
  <c r="S17" i="1" s="1"/>
  <c r="AI14" i="1"/>
  <c r="U14" i="1"/>
  <c r="S14" i="1" s="1"/>
  <c r="W223" i="1"/>
  <c r="W221" i="1"/>
  <c r="W224" i="1"/>
  <c r="W222" i="1"/>
  <c r="W208" i="1"/>
  <c r="W225" i="1"/>
  <c r="W137" i="1"/>
  <c r="W199" i="1"/>
  <c r="W197" i="1"/>
  <c r="W144" i="1"/>
  <c r="W133" i="1"/>
  <c r="W226" i="1"/>
  <c r="W207" i="1"/>
  <c r="W203" i="1"/>
  <c r="W132" i="1"/>
  <c r="W114" i="1"/>
  <c r="W57" i="1"/>
  <c r="T168" i="1"/>
  <c r="U168" i="1" s="1"/>
  <c r="S168" i="1" s="1"/>
  <c r="X168" i="1"/>
  <c r="W129" i="1"/>
  <c r="W121" i="1"/>
  <c r="W104" i="1"/>
  <c r="W65" i="1"/>
  <c r="T167" i="1"/>
  <c r="U167" i="1" s="1"/>
  <c r="S167" i="1" s="1"/>
  <c r="X167" i="1"/>
  <c r="W166" i="1"/>
  <c r="W162" i="1"/>
  <c r="W237" i="1"/>
  <c r="W236" i="1"/>
  <c r="W235" i="1"/>
  <c r="W234" i="1"/>
  <c r="W233" i="1"/>
  <c r="W231" i="1"/>
  <c r="W230" i="1"/>
  <c r="W229" i="1"/>
  <c r="W228" i="1"/>
  <c r="W227" i="1"/>
  <c r="W219" i="1"/>
  <c r="W218" i="1"/>
  <c r="W217" i="1"/>
  <c r="W216" i="1"/>
  <c r="W215" i="1"/>
  <c r="W214" i="1"/>
  <c r="W213" i="1"/>
  <c r="W212" i="1"/>
  <c r="W211" i="1"/>
  <c r="W209" i="1"/>
  <c r="W156" i="1"/>
  <c r="W155" i="1"/>
  <c r="W152" i="1"/>
  <c r="W146" i="1"/>
  <c r="W138" i="1"/>
  <c r="W123" i="1"/>
  <c r="W120" i="1"/>
  <c r="W115" i="1"/>
  <c r="T114" i="1"/>
  <c r="U114" i="1" s="1"/>
  <c r="S114" i="1" s="1"/>
  <c r="X114" i="1"/>
  <c r="W113" i="1"/>
  <c r="W112" i="1"/>
  <c r="W111" i="1"/>
  <c r="W105" i="1"/>
  <c r="W167" i="1"/>
  <c r="W140" i="1"/>
  <c r="W134" i="1"/>
  <c r="W109" i="1"/>
  <c r="AA193" i="1"/>
  <c r="W193" i="1" s="1"/>
  <c r="AA192" i="1"/>
  <c r="W192" i="1" s="1"/>
  <c r="AA191" i="1"/>
  <c r="W191" i="1" s="1"/>
  <c r="AA189" i="1"/>
  <c r="W189" i="1" s="1"/>
  <c r="AA188" i="1"/>
  <c r="W188" i="1" s="1"/>
  <c r="AA187" i="1"/>
  <c r="W187" i="1" s="1"/>
  <c r="AA186" i="1"/>
  <c r="W186" i="1" s="1"/>
  <c r="AA185" i="1"/>
  <c r="W185" i="1" s="1"/>
  <c r="AA184" i="1"/>
  <c r="W184" i="1" s="1"/>
  <c r="AA183" i="1"/>
  <c r="W183" i="1" s="1"/>
  <c r="AA182" i="1"/>
  <c r="W182" i="1" s="1"/>
  <c r="AA181" i="1"/>
  <c r="W181" i="1" s="1"/>
  <c r="AA180" i="1"/>
  <c r="W180" i="1" s="1"/>
  <c r="AA179" i="1"/>
  <c r="W179" i="1" s="1"/>
  <c r="AA178" i="1"/>
  <c r="W178" i="1" s="1"/>
  <c r="AA177" i="1"/>
  <c r="W177" i="1" s="1"/>
  <c r="AA176" i="1"/>
  <c r="W176" i="1" s="1"/>
  <c r="AA175" i="1"/>
  <c r="W175" i="1" s="1"/>
  <c r="AA174" i="1"/>
  <c r="W174" i="1" s="1"/>
  <c r="AA173" i="1"/>
  <c r="W173" i="1" s="1"/>
  <c r="AA172" i="1"/>
  <c r="W172" i="1" s="1"/>
  <c r="AA171" i="1"/>
  <c r="W171" i="1" s="1"/>
  <c r="AA170" i="1"/>
  <c r="W170" i="1" s="1"/>
  <c r="AA169" i="1"/>
  <c r="W169" i="1" s="1"/>
  <c r="AA168" i="1"/>
  <c r="W168" i="1" s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T161" i="1"/>
  <c r="U161" i="1" s="1"/>
  <c r="S161" i="1" s="1"/>
  <c r="T160" i="1"/>
  <c r="U160" i="1" s="1"/>
  <c r="S160" i="1" s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158" i="1"/>
  <c r="U158" i="1" s="1"/>
  <c r="S158" i="1" s="1"/>
  <c r="T156" i="1"/>
  <c r="U156" i="1" s="1"/>
  <c r="S156" i="1" s="1"/>
  <c r="X156" i="1"/>
  <c r="T155" i="1"/>
  <c r="U155" i="1" s="1"/>
  <c r="S155" i="1" s="1"/>
  <c r="X155" i="1"/>
  <c r="T154" i="1"/>
  <c r="U154" i="1" s="1"/>
  <c r="X154" i="1"/>
  <c r="T153" i="1"/>
  <c r="U153" i="1" s="1"/>
  <c r="X153" i="1"/>
  <c r="T152" i="1"/>
  <c r="U152" i="1" s="1"/>
  <c r="S152" i="1" s="1"/>
  <c r="X152" i="1"/>
  <c r="W151" i="1"/>
  <c r="W131" i="1"/>
  <c r="W128" i="1"/>
  <c r="W125" i="1"/>
  <c r="W124" i="1"/>
  <c r="T123" i="1"/>
  <c r="U123" i="1" s="1"/>
  <c r="S123" i="1" s="1"/>
  <c r="X123" i="1"/>
  <c r="W122" i="1"/>
  <c r="W108" i="1"/>
  <c r="W107" i="1"/>
  <c r="W70" i="1"/>
  <c r="W69" i="1"/>
  <c r="W50" i="1"/>
  <c r="W42" i="1"/>
  <c r="T125" i="1"/>
  <c r="U125" i="1" s="1"/>
  <c r="S125" i="1" s="1"/>
  <c r="X125" i="1"/>
  <c r="T116" i="1"/>
  <c r="U116" i="1" s="1"/>
  <c r="S116" i="1" s="1"/>
  <c r="X116" i="1"/>
  <c r="W101" i="1"/>
  <c r="W97" i="1"/>
  <c r="W94" i="1"/>
  <c r="W93" i="1"/>
  <c r="W90" i="1"/>
  <c r="W89" i="1"/>
  <c r="W87" i="1"/>
  <c r="W86" i="1"/>
  <c r="W83" i="1"/>
  <c r="W82" i="1"/>
  <c r="W80" i="1"/>
  <c r="W79" i="1"/>
  <c r="W76" i="1"/>
  <c r="W75" i="1"/>
  <c r="W55" i="1"/>
  <c r="W52" i="1"/>
  <c r="W127" i="1"/>
  <c r="T121" i="1"/>
  <c r="U121" i="1" s="1"/>
  <c r="S121" i="1" s="1"/>
  <c r="X121" i="1"/>
  <c r="W119" i="1"/>
  <c r="W106" i="1"/>
  <c r="W100" i="1"/>
  <c r="W99" i="1"/>
  <c r="W96" i="1"/>
  <c r="W95" i="1"/>
  <c r="W92" i="1"/>
  <c r="W91" i="1"/>
  <c r="W88" i="1"/>
  <c r="W85" i="1"/>
  <c r="W84" i="1"/>
  <c r="W81" i="1"/>
  <c r="W78" i="1"/>
  <c r="W77" i="1"/>
  <c r="W74" i="1"/>
  <c r="W73" i="1"/>
  <c r="W67" i="1"/>
  <c r="W63" i="1"/>
  <c r="W60" i="1"/>
  <c r="W56" i="1"/>
  <c r="W48" i="1"/>
  <c r="T127" i="1"/>
  <c r="U127" i="1" s="1"/>
  <c r="S127" i="1" s="1"/>
  <c r="X127" i="1"/>
  <c r="T119" i="1"/>
  <c r="U119" i="1" s="1"/>
  <c r="S119" i="1" s="1"/>
  <c r="X119" i="1"/>
  <c r="W61" i="1"/>
  <c r="W46" i="1"/>
  <c r="W38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49" i="1"/>
  <c r="W41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W51" i="1"/>
  <c r="W47" i="1"/>
  <c r="W43" i="1"/>
  <c r="W39" i="1"/>
  <c r="W36" i="1"/>
  <c r="T26" i="1"/>
  <c r="U26" i="1" s="1"/>
  <c r="S26" i="1" s="1"/>
  <c r="X26" i="1"/>
  <c r="X73" i="1"/>
  <c r="X72" i="1"/>
  <c r="X71" i="1"/>
  <c r="T32" i="1"/>
  <c r="U32" i="1" s="1"/>
  <c r="S32" i="1" s="1"/>
  <c r="X32" i="1"/>
  <c r="T24" i="1"/>
  <c r="U24" i="1" s="1"/>
  <c r="S24" i="1" s="1"/>
  <c r="X24" i="1"/>
  <c r="W17" i="1"/>
  <c r="T36" i="1"/>
  <c r="U36" i="1" s="1"/>
  <c r="S36" i="1" s="1"/>
  <c r="X36" i="1"/>
  <c r="W35" i="1"/>
  <c r="T28" i="1"/>
  <c r="U28" i="1" s="1"/>
  <c r="S28" i="1" s="1"/>
  <c r="X28" i="1"/>
  <c r="T20" i="1"/>
  <c r="U20" i="1" s="1"/>
  <c r="S20" i="1" s="1"/>
  <c r="X20" i="1"/>
  <c r="T18" i="1"/>
  <c r="U18" i="1" s="1"/>
  <c r="S18" i="1" s="1"/>
  <c r="X18" i="1"/>
  <c r="W14" i="1"/>
  <c r="W37" i="1"/>
  <c r="T35" i="1"/>
  <c r="U35" i="1" s="1"/>
  <c r="S35" i="1" s="1"/>
  <c r="X35" i="1"/>
  <c r="T30" i="1"/>
  <c r="U30" i="1" s="1"/>
  <c r="S30" i="1" s="1"/>
  <c r="X30" i="1"/>
  <c r="T22" i="1"/>
  <c r="U22" i="1" s="1"/>
  <c r="S22" i="1" s="1"/>
  <c r="X22" i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20" i="1"/>
  <c r="W20" i="1" s="1"/>
  <c r="AA18" i="1"/>
  <c r="W18" i="1" s="1"/>
  <c r="AA15" i="1"/>
  <c r="W15" i="1" s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21" i="1"/>
  <c r="W21" i="1" s="1"/>
  <c r="AA16" i="1"/>
  <c r="W16" i="1" s="1"/>
  <c r="T34" i="1"/>
  <c r="U34" i="1" s="1"/>
  <c r="S34" i="1" s="1"/>
  <c r="X34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X17" i="1"/>
  <c r="X15" i="1"/>
  <c r="AD22" i="3"/>
  <c r="AD19" i="3"/>
  <c r="AC17" i="3"/>
  <c r="AC15" i="3"/>
  <c r="T15" i="3"/>
  <c r="AD16" i="3"/>
  <c r="AE15" i="3"/>
  <c r="AC16" i="3"/>
  <c r="AD13" i="3"/>
  <c r="AD12" i="3"/>
  <c r="AE18" i="3"/>
  <c r="AD17" i="3"/>
  <c r="AC12" i="3"/>
  <c r="AC19" i="3"/>
  <c r="AE11" i="3"/>
  <c r="AD20" i="3"/>
  <c r="AD18" i="3"/>
  <c r="AD11" i="3"/>
  <c r="AD8" i="3"/>
  <c r="AC14" i="3"/>
  <c r="AE20" i="3"/>
  <c r="AD21" i="3"/>
  <c r="AC18" i="3"/>
  <c r="AE14" i="3"/>
  <c r="T20" i="3"/>
  <c r="T8" i="3"/>
  <c r="Y16" i="3"/>
  <c r="Y19" i="3"/>
  <c r="Y9" i="3"/>
  <c r="Y17" i="3"/>
  <c r="Y22" i="3"/>
  <c r="Y20" i="3"/>
  <c r="Y8" i="3"/>
  <c r="Y14" i="3"/>
  <c r="Y15" i="3"/>
  <c r="Y12" i="3"/>
  <c r="Y7" i="3"/>
  <c r="Y18" i="3"/>
  <c r="Y13" i="3"/>
  <c r="Y11" i="3"/>
  <c r="Y21" i="3"/>
  <c r="AC13" i="3"/>
  <c r="AC11" i="3"/>
  <c r="AC21" i="3"/>
  <c r="AD14" i="3"/>
  <c r="AE13" i="3"/>
  <c r="T11" i="3"/>
  <c r="AE9" i="3"/>
  <c r="T21" i="3"/>
  <c r="T22" i="3"/>
  <c r="T7" i="3"/>
  <c r="T18" i="3"/>
  <c r="AE17" i="3"/>
  <c r="T13" i="3"/>
  <c r="AE22" i="3"/>
  <c r="AE21" i="3"/>
  <c r="AE19" i="3"/>
  <c r="AE16" i="3"/>
  <c r="AE12" i="3"/>
  <c r="AE8" i="3"/>
  <c r="S153" i="1" l="1"/>
  <c r="V13" i="1"/>
  <c r="R10" i="3"/>
  <c r="M10" i="3"/>
  <c r="U10" i="3"/>
  <c r="V10" i="3"/>
  <c r="X10" i="3"/>
  <c r="W10" i="3"/>
  <c r="AE10" i="3" l="1"/>
  <c r="AD10" i="3"/>
  <c r="S10" i="3"/>
  <c r="Y10" i="3"/>
  <c r="T10" i="3"/>
  <c r="AC10" i="3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N14" i="3" s="1"/>
  <c r="G226" i="4"/>
  <c r="G227" i="4"/>
  <c r="G228" i="4"/>
  <c r="G229" i="4"/>
  <c r="G230" i="4"/>
  <c r="G231" i="4"/>
  <c r="G232" i="4"/>
  <c r="G233" i="4"/>
  <c r="N7" i="3" s="1"/>
  <c r="G234" i="4"/>
  <c r="G235" i="4"/>
  <c r="N22" i="3" s="1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17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9" i="3" s="1"/>
  <c r="G38" i="4"/>
  <c r="G39" i="4"/>
  <c r="G40" i="4"/>
  <c r="G41" i="4"/>
  <c r="G42" i="4"/>
  <c r="G43" i="4"/>
  <c r="G44" i="4"/>
  <c r="N21" i="3" s="1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8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19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2" i="3" s="1"/>
  <c r="G122" i="4"/>
  <c r="G123" i="4"/>
  <c r="G124" i="4"/>
  <c r="G125" i="4"/>
  <c r="G126" i="4"/>
  <c r="G127" i="4"/>
  <c r="G128" i="4"/>
  <c r="N16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18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3" i="3" l="1"/>
  <c r="N15" i="3"/>
  <c r="N20" i="3"/>
  <c r="N11" i="3"/>
  <c r="N1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<sst xmlns="http://schemas.openxmlformats.org/spreadsheetml/2006/main" count="2742" uniqueCount="1110">
  <si>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</si>
  <si>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</si>
  <si>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</si>
  <si>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</si>
  <si>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</si>
  <si>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</si>
  <si>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</si>
  <si>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</si>
  <si>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</si>
  <si>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</si>
  <si>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</si>
  <si>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</si>
  <si>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</si>
  <si>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</si>
  <si>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</si>
  <si>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</si>
  <si>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</si>
  <si>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</si>
  <si>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</si>
  <si>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</si>
  <si>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</si>
  <si>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</si>
  <si>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</si>
  <si>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</si>
  <si>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</si>
  <si>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</si>
  <si>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</si>
  <si>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</si>
  <si>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</si>
  <si>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</si>
  <si>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</si>
  <si>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</si>
  <si>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</si>
  <si>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</si>
  <si>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</si>
  <si>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</si>
  <si>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</si>
  <si>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</si>
  <si>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</si>
  <si>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</si>
  <si>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</si>
  <si>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</si>
  <si>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</si>
  <si>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</si>
  <si>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</si>
  <si>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</si>
  <si>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</si>
  <si>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</si>
  <si>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</si>
  <si>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</si>
  <si>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</si>
  <si>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</si>
  <si>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</si>
  <si>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</si>
  <si>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</si>
  <si>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</si>
  <si>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</si>
  <si>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</si>
  <si>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</si>
  <si>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</si>
  <si>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</si>
  <si>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</si>
  <si>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</si>
  <si>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</si>
  <si>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</si>
  <si>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</si>
  <si>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</si>
  <si>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</si>
  <si>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</si>
  <si>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</si>
  <si>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</si>
  <si>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</si>
  <si>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</si>
  <si>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</si>
  <si>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</si>
  <si>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</si>
  <si>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</si>
  <si>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</si>
  <si>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</si>
  <si>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</si>
  <si>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</si>
  <si>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</si>
  <si>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</si>
  <si>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</si>
  <si>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</si>
  <si>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</si>
  <si>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</si>
  <si>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</si>
  <si>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</si>
  <si>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</si>
  <si>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</si>
  <si>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</si>
  <si>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</si>
  <si>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</si>
  <si>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</si>
  <si>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</si>
  <si>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</si>
  <si>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</si>
  <si>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</si>
  <si>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</si>
  <si>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</si>
  <si>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</si>
  <si>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</si>
  <si>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</si>
  <si>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</si>
  <si>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</si>
  <si>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</si>
  <si>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</si>
  <si>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</si>
  <si>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</si>
  <si>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</si>
  <si>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</si>
  <si>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</si>
  <si>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</si>
  <si>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</si>
  <si>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</si>
  <si>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</si>
  <si>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</si>
  <si>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</si>
  <si>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</si>
  <si>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</si>
  <si>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</si>
  <si>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</si>
  <si>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</si>
  <si>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</si>
  <si>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</si>
  <si>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</si>
  <si>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</si>
  <si>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</si>
  <si>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</si>
  <si>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</si>
  <si>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</si>
  <si>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</si>
  <si>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</si>
  <si>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</si>
  <si>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</si>
  <si>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</si>
  <si>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</si>
  <si>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</si>
  <si>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</si>
  <si>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</si>
  <si>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</si>
  <si>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</si>
  <si>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</si>
  <si>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</si>
  <si>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</si>
  <si>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</si>
  <si>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</si>
  <si>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</si>
  <si>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</si>
  <si>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</si>
  <si>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</si>
  <si>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</si>
  <si>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</si>
  <si>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</si>
  <si>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</si>
  <si>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</si>
  <si>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</si>
  <si>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</si>
  <si>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</si>
  <si>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</si>
  <si>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</si>
  <si>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</si>
  <si>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</si>
  <si>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</si>
  <si>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</si>
  <si>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</si>
  <si>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</si>
  <si>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</si>
  <si>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</si>
  <si>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</si>
  <si>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</si>
  <si>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</si>
  <si>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</si>
  <si>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</si>
  <si>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</si>
  <si>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</si>
  <si>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</si>
  <si>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</si>
  <si>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</si>
  <si>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</si>
  <si>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</si>
  <si>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</si>
  <si>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</si>
  <si>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</si>
  <si>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</si>
  <si>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</si>
  <si>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</si>
  <si>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</si>
  <si>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</si>
  <si>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</si>
  <si>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</si>
  <si>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</si>
  <si>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</si>
  <si>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</si>
  <si>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</si>
  <si>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</si>
  <si>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</si>
  <si>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</si>
  <si>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</si>
  <si>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</si>
  <si>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</si>
  <si>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</si>
  <si>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</si>
  <si>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</si>
  <si>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</si>
  <si>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</si>
  <si>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</si>
  <si>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</si>
  <si>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</si>
  <si>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</si>
  <si>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</si>
  <si>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</si>
  <si>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</si>
  <si>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</si>
  <si>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</si>
  <si>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</si>
  <si>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</si>
  <si>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</si>
  <si>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</si>
  <si>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</si>
  <si>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</si>
  <si>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</si>
  <si>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</si>
  <si>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</si>
  <si>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</si>
  <si>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</si>
  <si>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</si>
  <si>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</si>
  <si>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</si>
  <si>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</si>
  <si>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</si>
  <si>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</si>
  <si>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</si>
  <si>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</si>
  <si>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</si>
  <si>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</si>
  <si>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</si>
  <si>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</si>
  <si>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</si>
  <si>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</si>
  <si>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</si>
  <si>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</si>
  <si>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</si>
  <si>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</si>
  <si>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</si>
  <si>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</si>
  <si>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</si>
  <si>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</si>
  <si>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</si>
  <si>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</si>
  <si>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</si>
  <si>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</si>
  <si>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</si>
  <si>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</si>
  <si>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</si>
  <si>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</si>
  <si>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</si>
  <si>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</si>
  <si>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</si>
  <si>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</si>
  <si>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</si>
  <si>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</si>
  <si>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</si>
  <si>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</si>
  <si>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</si>
  <si>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</si>
  <si>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</si>
  <si>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</si>
  <si>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</si>
  <si>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</si>
  <si>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</si>
  <si>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</si>
  <si>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</si>
  <si>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</si>
  <si>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</si>
  <si>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</si>
  <si>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</si>
  <si>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</si>
  <si>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</si>
  <si>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</si>
  <si>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</si>
  <si>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</si>
  <si>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</si>
  <si>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</si>
  <si>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</si>
  <si>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</si>
  <si>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</si>
  <si>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</si>
  <si>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</si>
  <si>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</si>
  <si>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</si>
  <si>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</si>
  <si>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</si>
  <si>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</si>
  <si>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</si>
  <si>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</si>
  <si>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</si>
  <si>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</si>
  <si>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</si>
  <si>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</si>
  <si>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</si>
  <si>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</si>
  <si>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</si>
  <si>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</si>
  <si>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</si>
  <si>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</si>
  <si>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</si>
  <si>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</si>
  <si>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</si>
  <si>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</si>
  <si>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</si>
  <si>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</si>
  <si>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</si>
  <si>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</si>
  <si>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</si>
  <si>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</si>
  <si>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</si>
  <si>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</si>
  <si>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</si>
  <si>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</si>
  <si>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</si>
  <si>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</si>
  <si>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</si>
  <si>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</si>
  <si>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</si>
  <si>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</si>
  <si>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</si>
  <si>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</si>
  <si>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</si>
  <si>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</si>
  <si>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</si>
  <si>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</si>
  <si>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</si>
  <si>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</si>
  <si>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</si>
  <si>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</si>
  <si>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</si>
  <si>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</si>
  <si>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</si>
  <si>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</si>
  <si>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</si>
  <si>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</si>
  <si>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</si>
  <si>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</si>
  <si>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</si>
  <si>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</si>
  <si>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</si>
  <si>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</si>
  <si>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</si>
  <si>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</si>
  <si>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</si>
  <si>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</si>
  <si>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</si>
  <si>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</si>
  <si>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</si>
  <si>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</si>
  <si>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</si>
  <si>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</si>
  <si>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</si>
  <si>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</si>
  <si>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</si>
  <si>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</si>
  <si>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</si>
  <si>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</si>
  <si>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</si>
  <si>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</si>
  <si>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</si>
  <si>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</si>
  <si>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</si>
  <si>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rtdc.l.rtdc.4053:itc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</si>
  <si>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</si>
  <si>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</si>
  <si>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</si>
  <si>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</si>
  <si>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</si>
  <si>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</si>
  <si>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</si>
  <si>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</si>
  <si>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</si>
  <si>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</si>
  <si>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</si>
  <si>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</si>
  <si>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</si>
  <si>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204:513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</si>
  <si>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</si>
  <si>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</si>
  <si>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</si>
  <si>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</si>
  <si>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</si>
  <si>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</si>
  <si>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</si>
  <si>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</si>
  <si>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</si>
  <si>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</si>
  <si>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</si>
  <si>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</si>
  <si>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</si>
  <si>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</si>
  <si>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</si>
  <si>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</si>
  <si>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</si>
  <si>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</si>
  <si>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</si>
  <si>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</si>
  <si>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</si>
  <si>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</si>
  <si>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</si>
  <si>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</si>
  <si>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</si>
  <si>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</si>
  <si>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</si>
  <si>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</si>
  <si>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</si>
  <si>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</si>
  <si>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</si>
  <si>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</si>
  <si>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</si>
  <si>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</si>
  <si>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</si>
  <si>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</si>
  <si>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</si>
  <si>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</si>
  <si>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</si>
  <si>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</si>
  <si>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</si>
  <si>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</si>
  <si>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</si>
  <si>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</si>
  <si>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</si>
  <si>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</si>
  <si>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</si>
  <si>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</si>
  <si>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</si>
  <si>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</si>
  <si>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</si>
  <si>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</si>
  <si>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</si>
  <si>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</si>
  <si>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</si>
  <si>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</si>
  <si>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</si>
  <si>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</si>
  <si>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</si>
  <si>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</si>
  <si>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</si>
  <si>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</si>
  <si>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</si>
  <si>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</si>
  <si>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204:976</t>
  </si>
  <si>
    <t>rtdc.l.rtdc.4064:itc</t>
  </si>
  <si>
    <t>204:233289</t>
  </si>
  <si>
    <t>204:221</t>
  </si>
  <si>
    <t>204:214</t>
  </si>
  <si>
    <t>204:517</t>
  </si>
  <si>
    <t>Mostly Cloudy</t>
  </si>
  <si>
    <t>partly-cloudy-day</t>
  </si>
  <si>
    <t>204:508</t>
  </si>
  <si>
    <t>204:207</t>
  </si>
  <si>
    <t>204:233257</t>
  </si>
  <si>
    <t>204:232896</t>
  </si>
  <si>
    <t>204:515</t>
  </si>
  <si>
    <t>204:251</t>
  </si>
  <si>
    <t>204:212</t>
  </si>
  <si>
    <t>204:566</t>
  </si>
  <si>
    <t>204:506</t>
  </si>
  <si>
    <t>rtdc.l.rtdc.4009:itc</t>
  </si>
  <si>
    <t>rtdc.l.rtdc.4010:itc</t>
  </si>
  <si>
    <t>precipType</t>
  </si>
  <si>
    <t>rain</t>
  </si>
  <si>
    <t>204:495</t>
  </si>
  <si>
    <t>204:194</t>
  </si>
  <si>
    <t>300:58933</t>
  </si>
  <si>
    <t>204:519</t>
  </si>
  <si>
    <t>204:537</t>
  </si>
  <si>
    <t>204:233238</t>
  </si>
  <si>
    <t>rtdc.l.rtdc.4049:itc</t>
  </si>
  <si>
    <t>rtdc.l.rtdc.4050:itc</t>
  </si>
  <si>
    <t>BONDS</t>
  </si>
  <si>
    <t>REYNALDO</t>
  </si>
  <si>
    <t>YANAI</t>
  </si>
  <si>
    <t>IAN</t>
  </si>
  <si>
    <t>AUSTIN</t>
  </si>
  <si>
    <t>precipAccumulation</t>
  </si>
  <si>
    <t>snow</t>
  </si>
  <si>
    <t>204:475</t>
  </si>
  <si>
    <t>204:232957</t>
  </si>
  <si>
    <t>204:233278</t>
  </si>
  <si>
    <t>204:509</t>
  </si>
  <si>
    <t>204:232925</t>
  </si>
  <si>
    <t>204:233312</t>
  </si>
  <si>
    <t>204:528</t>
  </si>
  <si>
    <t>204:542</t>
  </si>
  <si>
    <t>204:233261</t>
  </si>
  <si>
    <t>300:23306</t>
  </si>
  <si>
    <t>204:158</t>
  </si>
  <si>
    <t>204:229</t>
  </si>
  <si>
    <t>rtdc.l.rtdc.4019:itc</t>
  </si>
  <si>
    <t>TRACK WARRANT AUTHORITY</t>
  </si>
  <si>
    <t>Form based authority (4)</t>
  </si>
  <si>
    <t>rtdc.l.rtdc.4020:itc</t>
  </si>
  <si>
    <t>rtdc.l.rtdc.4001:itc</t>
  </si>
  <si>
    <t>FORTUNATO</t>
  </si>
  <si>
    <t>FRANK</t>
  </si>
  <si>
    <t>BRUDER</t>
  </si>
  <si>
    <t>RICHARD</t>
  </si>
  <si>
    <t>DE LA ROSA</t>
  </si>
  <si>
    <t>ALEX</t>
  </si>
  <si>
    <t>ZEWDU</t>
  </si>
  <si>
    <t>DEREJE</t>
  </si>
  <si>
    <t>204:209</t>
  </si>
  <si>
    <t>204:451</t>
  </si>
  <si>
    <t>204:233259</t>
  </si>
  <si>
    <t>204:233002</t>
  </si>
  <si>
    <t>204:232967</t>
  </si>
  <si>
    <t>204:233293</t>
  </si>
  <si>
    <t>204:233184</t>
  </si>
  <si>
    <t>204:233198</t>
  </si>
  <si>
    <t>204:234</t>
  </si>
  <si>
    <t>204:227</t>
  </si>
  <si>
    <t>204:539</t>
  </si>
  <si>
    <t>204:531</t>
  </si>
  <si>
    <t>204:533</t>
  </si>
  <si>
    <t>204:233209</t>
  </si>
  <si>
    <t>204:232902</t>
  </si>
  <si>
    <t>204:232869</t>
  </si>
  <si>
    <t>204:232963</t>
  </si>
  <si>
    <t>204:232998</t>
  </si>
  <si>
    <t>204:232875</t>
  </si>
  <si>
    <t>204:233210</t>
  </si>
  <si>
    <t>204:570</t>
  </si>
  <si>
    <t>204:535</t>
  </si>
  <si>
    <t>204:232913</t>
  </si>
  <si>
    <t>300:58969</t>
  </si>
  <si>
    <t>300:58939</t>
  </si>
  <si>
    <t>204:992</t>
  </si>
  <si>
    <t>300:58666</t>
  </si>
  <si>
    <t>rtdc.l.rtdc.4052:itc</t>
  </si>
  <si>
    <t>rtdc.l.rtdc.4024:itc</t>
  </si>
  <si>
    <t>rtdc.l.rtdc.4023:itc</t>
  </si>
  <si>
    <t>235-08</t>
  </si>
  <si>
    <t>243-08</t>
  </si>
  <si>
    <t>rtdc.l.rtdc.4051:itc</t>
  </si>
  <si>
    <t>rtdc.l.rtdc.4054:itc</t>
  </si>
  <si>
    <t>HUFFSMITH</t>
  </si>
  <si>
    <t>MONTY</t>
  </si>
  <si>
    <t>DELGADO</t>
  </si>
  <si>
    <t>DIANAH</t>
  </si>
  <si>
    <t>BERLING</t>
  </si>
  <si>
    <t>GARY</t>
  </si>
  <si>
    <t>rtdc.l.rtdc.4016:itc</t>
  </si>
  <si>
    <t>LOPES</t>
  </si>
  <si>
    <t>KIMBERLY</t>
  </si>
  <si>
    <t>rtdc.l.rtdc.4013:itc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</si>
  <si>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</si>
  <si>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</si>
  <si>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</si>
  <si>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</si>
  <si>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</si>
  <si>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</si>
  <si>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</si>
  <si>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</si>
  <si>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</si>
  <si>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</si>
  <si>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</si>
  <si>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</si>
  <si>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</si>
  <si>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</si>
  <si>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</si>
  <si>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</si>
  <si>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</si>
  <si>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</si>
  <si>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</si>
  <si>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</si>
  <si>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</si>
  <si>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</si>
  <si>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</si>
  <si>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</si>
  <si>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</si>
  <si>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</si>
  <si>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</si>
  <si>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</si>
  <si>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204:201</t>
  </si>
  <si>
    <t>204:232988</t>
  </si>
  <si>
    <t>204:511</t>
  </si>
  <si>
    <t>204:232906</t>
  </si>
  <si>
    <t>204:211</t>
  </si>
  <si>
    <t>204:471</t>
  </si>
  <si>
    <t>204:141</t>
  </si>
  <si>
    <t>204:232982</t>
  </si>
  <si>
    <t>204:232975</t>
  </si>
  <si>
    <t>204:232946</t>
  </si>
  <si>
    <t>204:183</t>
  </si>
  <si>
    <t>204:458</t>
  </si>
  <si>
    <t>204:232994</t>
  </si>
  <si>
    <t>204:150</t>
  </si>
  <si>
    <t>204:233283</t>
  </si>
  <si>
    <t>204:232</t>
  </si>
  <si>
    <t>204:233199</t>
  </si>
  <si>
    <t>204:220</t>
  </si>
  <si>
    <t>204:233295</t>
  </si>
  <si>
    <t>204:232981</t>
  </si>
  <si>
    <t>204:174</t>
  </si>
  <si>
    <t>204:225</t>
  </si>
  <si>
    <t>204:469</t>
  </si>
  <si>
    <t>204:232915</t>
  </si>
  <si>
    <t>204:233220</t>
  </si>
  <si>
    <t>204:269</t>
  </si>
  <si>
    <t>204:232908</t>
  </si>
  <si>
    <t>204:524</t>
  </si>
  <si>
    <t>204:242</t>
  </si>
  <si>
    <t>204:526</t>
  </si>
  <si>
    <t>204:232909</t>
  </si>
  <si>
    <t>204:559</t>
  </si>
  <si>
    <t>204:233266</t>
  </si>
  <si>
    <t>204:232898</t>
  </si>
  <si>
    <t>204:232856</t>
  </si>
  <si>
    <t>204:231</t>
  </si>
  <si>
    <t>204:579</t>
  </si>
  <si>
    <t>204:232917</t>
  </si>
  <si>
    <t>204:529</t>
  </si>
  <si>
    <t>300:23302</t>
  </si>
  <si>
    <t>300:23308</t>
  </si>
  <si>
    <t>204:457</t>
  </si>
  <si>
    <t>300:23304</t>
  </si>
  <si>
    <t>204:1171</t>
  </si>
  <si>
    <t>300:23346</t>
  </si>
  <si>
    <t>300:58672</t>
  </si>
  <si>
    <t>204:729</t>
  </si>
  <si>
    <t>300:58982</t>
  </si>
  <si>
    <t>204:694</t>
  </si>
  <si>
    <t>204:981</t>
  </si>
  <si>
    <t>300:58971</t>
  </si>
  <si>
    <t>300:58670</t>
  </si>
  <si>
    <t>204:1011</t>
  </si>
  <si>
    <t>300:58628</t>
  </si>
  <si>
    <t>204:962</t>
  </si>
  <si>
    <t>204:965</t>
  </si>
  <si>
    <t>Operator selected wrong track</t>
  </si>
  <si>
    <t>107-09</t>
  </si>
  <si>
    <t>rtdc.l.rtdc.4005:itc</t>
  </si>
  <si>
    <t>114-09</t>
  </si>
  <si>
    <t>805-09</t>
  </si>
  <si>
    <t>134-09</t>
  </si>
  <si>
    <t>rtdc.l.rtdc.4026:itc</t>
  </si>
  <si>
    <t>165-09</t>
  </si>
  <si>
    <t>rtdc.l.rtdc.4066:itc</t>
  </si>
  <si>
    <t>173-09</t>
  </si>
  <si>
    <t>rtdc.l.rtdc.4021:itc</t>
  </si>
  <si>
    <t>172-09</t>
  </si>
  <si>
    <t>rtdc.l.rtdc.4006:itc</t>
  </si>
  <si>
    <t>183-09</t>
  </si>
  <si>
    <t>187-09</t>
  </si>
  <si>
    <t>176-09</t>
  </si>
  <si>
    <t>825-09</t>
  </si>
  <si>
    <t>212-09</t>
  </si>
  <si>
    <t>841-09</t>
  </si>
  <si>
    <t>849-09</t>
  </si>
  <si>
    <t>234-09</t>
  </si>
  <si>
    <t>243-09</t>
  </si>
  <si>
    <t>313-09</t>
  </si>
  <si>
    <t>242-09</t>
  </si>
  <si>
    <t>rtdc.l.rtdc.4063:itc</t>
  </si>
  <si>
    <t>300-09</t>
  </si>
  <si>
    <t>51-09</t>
  </si>
  <si>
    <t>101-09</t>
  </si>
  <si>
    <t>52-09</t>
  </si>
  <si>
    <t>302-09</t>
  </si>
  <si>
    <t>MAELZER</t>
  </si>
  <si>
    <t>KURT</t>
  </si>
  <si>
    <t>103-09</t>
  </si>
  <si>
    <t>304-09</t>
  </si>
  <si>
    <t>306-09</t>
  </si>
  <si>
    <t>BEAM</t>
  </si>
  <si>
    <t>ROSS</t>
  </si>
  <si>
    <t>102-09</t>
  </si>
  <si>
    <t>105-09</t>
  </si>
  <si>
    <t>rtdc.l.rtdc.4025:itc</t>
  </si>
  <si>
    <t>308-09</t>
  </si>
  <si>
    <t>DONTE</t>
  </si>
  <si>
    <t>104-09</t>
  </si>
  <si>
    <t>109-09</t>
  </si>
  <si>
    <t>310-09</t>
  </si>
  <si>
    <t>901-09</t>
  </si>
  <si>
    <t>111-09</t>
  </si>
  <si>
    <t>113-09</t>
  </si>
  <si>
    <t>106-09</t>
  </si>
  <si>
    <t>108-09</t>
  </si>
  <si>
    <t>800-09</t>
  </si>
  <si>
    <t>rtdc.l.rtdc.4065:itc</t>
  </si>
  <si>
    <t>312-09</t>
  </si>
  <si>
    <t>115-09</t>
  </si>
  <si>
    <t>801-09</t>
  </si>
  <si>
    <t>110-09</t>
  </si>
  <si>
    <t>112-09</t>
  </si>
  <si>
    <t>117-09</t>
  </si>
  <si>
    <t>rtdc.l.rtdc.4015:itc</t>
  </si>
  <si>
    <t>902-09</t>
  </si>
  <si>
    <t>119-09</t>
  </si>
  <si>
    <t>803-09</t>
  </si>
  <si>
    <t>802-09</t>
  </si>
  <si>
    <t>121-09</t>
  </si>
  <si>
    <t>116-09</t>
  </si>
  <si>
    <t>123-09</t>
  </si>
  <si>
    <t>804-09</t>
  </si>
  <si>
    <t>125-09</t>
  </si>
  <si>
    <t>118-09</t>
  </si>
  <si>
    <t>120-09</t>
  </si>
  <si>
    <t>122-09</t>
  </si>
  <si>
    <t>127-09</t>
  </si>
  <si>
    <t>806-09</t>
  </si>
  <si>
    <t>807-09</t>
  </si>
  <si>
    <t>129-09</t>
  </si>
  <si>
    <t>124-09</t>
  </si>
  <si>
    <t>126-09</t>
  </si>
  <si>
    <t>131-09</t>
  </si>
  <si>
    <t>808-09</t>
  </si>
  <si>
    <t>809-09</t>
  </si>
  <si>
    <t>128-09</t>
  </si>
  <si>
    <t>133-09</t>
  </si>
  <si>
    <t>135-09</t>
  </si>
  <si>
    <t>PAGE</t>
  </si>
  <si>
    <t>MARCUS</t>
  </si>
  <si>
    <t>810-09</t>
  </si>
  <si>
    <t>811-09</t>
  </si>
  <si>
    <t>130-09</t>
  </si>
  <si>
    <t>137-09</t>
  </si>
  <si>
    <t>132-09</t>
  </si>
  <si>
    <t>139-09</t>
  </si>
  <si>
    <t>812-09</t>
  </si>
  <si>
    <t>903-09</t>
  </si>
  <si>
    <t>141-09</t>
  </si>
  <si>
    <t>136-09</t>
  </si>
  <si>
    <t>143-09</t>
  </si>
  <si>
    <t>813-09</t>
  </si>
  <si>
    <t>138-09</t>
  </si>
  <si>
    <t>140-09</t>
  </si>
  <si>
    <t>145-09</t>
  </si>
  <si>
    <t>147-09</t>
  </si>
  <si>
    <t>814-09</t>
  </si>
  <si>
    <t>142-09</t>
  </si>
  <si>
    <t>149-09</t>
  </si>
  <si>
    <t>144-09</t>
  </si>
  <si>
    <t>151-09</t>
  </si>
  <si>
    <t>815-09</t>
  </si>
  <si>
    <t>153-09</t>
  </si>
  <si>
    <t>146-09</t>
  </si>
  <si>
    <t>148-09</t>
  </si>
  <si>
    <t>150-09</t>
  </si>
  <si>
    <t>155-09</t>
  </si>
  <si>
    <t>816-09</t>
  </si>
  <si>
    <t>157-09</t>
  </si>
  <si>
    <t>BADERTSCHER</t>
  </si>
  <si>
    <t>DIANE</t>
  </si>
  <si>
    <t>STRICKLAND</t>
  </si>
  <si>
    <t>EVAN</t>
  </si>
  <si>
    <t>152-09</t>
  </si>
  <si>
    <t>159-09</t>
  </si>
  <si>
    <t>154-09</t>
  </si>
  <si>
    <t>817-09</t>
  </si>
  <si>
    <t>156-09</t>
  </si>
  <si>
    <t>161-09</t>
  </si>
  <si>
    <t>53-09</t>
  </si>
  <si>
    <t>163-09</t>
  </si>
  <si>
    <t>818-09</t>
  </si>
  <si>
    <t>158-09</t>
  </si>
  <si>
    <t>160-09</t>
  </si>
  <si>
    <t>167-09</t>
  </si>
  <si>
    <t>819-09</t>
  </si>
  <si>
    <t>169-09</t>
  </si>
  <si>
    <t>KILLION</t>
  </si>
  <si>
    <t>DAVID</t>
  </si>
  <si>
    <t>162-09</t>
  </si>
  <si>
    <t>164-09</t>
  </si>
  <si>
    <t>171-09</t>
  </si>
  <si>
    <t>820-09</t>
  </si>
  <si>
    <t>166-09</t>
  </si>
  <si>
    <t>168-09</t>
  </si>
  <si>
    <t>175-09</t>
  </si>
  <si>
    <t>170-09</t>
  </si>
  <si>
    <t>821-09</t>
  </si>
  <si>
    <t>177-09</t>
  </si>
  <si>
    <t>71-09</t>
  </si>
  <si>
    <t>179-09</t>
  </si>
  <si>
    <t>822-09</t>
  </si>
  <si>
    <t>181-09</t>
  </si>
  <si>
    <t>174-09</t>
  </si>
  <si>
    <t>823-09</t>
  </si>
  <si>
    <t>178-09</t>
  </si>
  <si>
    <t>185-09</t>
  </si>
  <si>
    <t>180-09</t>
  </si>
  <si>
    <t>824-09</t>
  </si>
  <si>
    <t>182-09</t>
  </si>
  <si>
    <t>rtdc.l.rtdc.4014:itc</t>
  </si>
  <si>
    <t>189-09</t>
  </si>
  <si>
    <t>184-09</t>
  </si>
  <si>
    <t>191-09</t>
  </si>
  <si>
    <t>186-09</t>
  </si>
  <si>
    <t>193-09</t>
  </si>
  <si>
    <t>904-09</t>
  </si>
  <si>
    <t>188-09</t>
  </si>
  <si>
    <t>195-09</t>
  </si>
  <si>
    <t>826-09</t>
  </si>
  <si>
    <t>190-09</t>
  </si>
  <si>
    <t>827-09</t>
  </si>
  <si>
    <t>197-09</t>
  </si>
  <si>
    <t>192-09</t>
  </si>
  <si>
    <t>828-09</t>
  </si>
  <si>
    <t>199-09</t>
  </si>
  <si>
    <t>829-09</t>
  </si>
  <si>
    <t>194-09</t>
  </si>
  <si>
    <t>201-09</t>
  </si>
  <si>
    <t>68-09</t>
  </si>
  <si>
    <t>196-09</t>
  </si>
  <si>
    <t>203-09</t>
  </si>
  <si>
    <t>830-09</t>
  </si>
  <si>
    <t>831-09</t>
  </si>
  <si>
    <t>198-09</t>
  </si>
  <si>
    <t>205-09</t>
  </si>
  <si>
    <t>200-09</t>
  </si>
  <si>
    <t>207-09</t>
  </si>
  <si>
    <t>202-09</t>
  </si>
  <si>
    <t>832-09</t>
  </si>
  <si>
    <t>833-09</t>
  </si>
  <si>
    <t>209-09</t>
  </si>
  <si>
    <t>73-09</t>
  </si>
  <si>
    <t>ROBINSON</t>
  </si>
  <si>
    <t>KADDIBA</t>
  </si>
  <si>
    <t>204-09</t>
  </si>
  <si>
    <t>834-09</t>
  </si>
  <si>
    <t>211-09</t>
  </si>
  <si>
    <t>206-09</t>
  </si>
  <si>
    <t>835-09</t>
  </si>
  <si>
    <t>75-09</t>
  </si>
  <si>
    <t>72-09</t>
  </si>
  <si>
    <t>213-09</t>
  </si>
  <si>
    <t>208-09</t>
  </si>
  <si>
    <t>215-09</t>
  </si>
  <si>
    <t>836-09</t>
  </si>
  <si>
    <t>210-09</t>
  </si>
  <si>
    <t>837-09</t>
  </si>
  <si>
    <t>217-09</t>
  </si>
  <si>
    <t>ELBAUM</t>
  </si>
  <si>
    <t>MIKE</t>
  </si>
  <si>
    <t>838-09</t>
  </si>
  <si>
    <t>219-09</t>
  </si>
  <si>
    <t>214-09</t>
  </si>
  <si>
    <t>839-09</t>
  </si>
  <si>
    <t>216-09</t>
  </si>
  <si>
    <t>301-09</t>
  </si>
  <si>
    <t>218-09</t>
  </si>
  <si>
    <t>906-09</t>
  </si>
  <si>
    <t>221-09</t>
  </si>
  <si>
    <t>303-09</t>
  </si>
  <si>
    <t>220-09</t>
  </si>
  <si>
    <t>840-09</t>
  </si>
  <si>
    <t>223-09</t>
  </si>
  <si>
    <t>305-09</t>
  </si>
  <si>
    <t>225-09</t>
  </si>
  <si>
    <t>222-09</t>
  </si>
  <si>
    <t>843-09</t>
  </si>
  <si>
    <t>227-09</t>
  </si>
  <si>
    <t>842-09</t>
  </si>
  <si>
    <t>224-09</t>
  </si>
  <si>
    <t>226-09</t>
  </si>
  <si>
    <t>229-09</t>
  </si>
  <si>
    <t>845-09</t>
  </si>
  <si>
    <t>228-09</t>
  </si>
  <si>
    <t>231-09</t>
  </si>
  <si>
    <t>844-09</t>
  </si>
  <si>
    <t>233-09</t>
  </si>
  <si>
    <t>230-09</t>
  </si>
  <si>
    <t>847-09</t>
  </si>
  <si>
    <t>235-09</t>
  </si>
  <si>
    <t>232-09</t>
  </si>
  <si>
    <t>846-09</t>
  </si>
  <si>
    <t>237-09</t>
  </si>
  <si>
    <t>239-09</t>
  </si>
  <si>
    <t>236-09</t>
  </si>
  <si>
    <t>908-09</t>
  </si>
  <si>
    <t>241-09</t>
  </si>
  <si>
    <t>238-09</t>
  </si>
  <si>
    <t>240-09</t>
  </si>
  <si>
    <t>307-09</t>
  </si>
  <si>
    <t>244-09</t>
  </si>
  <si>
    <t>309-09</t>
  </si>
  <si>
    <t>311-09</t>
  </si>
  <si>
    <t>204:781</t>
  </si>
  <si>
    <t>204:143</t>
  </si>
  <si>
    <t>204:462</t>
  </si>
  <si>
    <t>204:7588</t>
  </si>
  <si>
    <t>204:464</t>
  </si>
  <si>
    <t>204:232984</t>
  </si>
  <si>
    <t>204:233285</t>
  </si>
  <si>
    <t>204:232968</t>
  </si>
  <si>
    <t>204:200</t>
  </si>
  <si>
    <t>204:233299</t>
  </si>
  <si>
    <t>204:232969</t>
  </si>
  <si>
    <t>204:149</t>
  </si>
  <si>
    <t>204:233274</t>
  </si>
  <si>
    <t>204:232959</t>
  </si>
  <si>
    <t>204:203</t>
  </si>
  <si>
    <t>204:233288</t>
  </si>
  <si>
    <t>204:160</t>
  </si>
  <si>
    <t>204:447</t>
  </si>
  <si>
    <t>204:233297</t>
  </si>
  <si>
    <t>204:232980</t>
  </si>
  <si>
    <t>204:233253</t>
  </si>
  <si>
    <t>204:232926</t>
  </si>
  <si>
    <t>204:502</t>
  </si>
  <si>
    <t>204:449</t>
  </si>
  <si>
    <t>204:233315</t>
  </si>
  <si>
    <t>204:152</t>
  </si>
  <si>
    <t>204:233272</t>
  </si>
  <si>
    <t>204:232948</t>
  </si>
  <si>
    <t>204:192</t>
  </si>
  <si>
    <t>204:232966</t>
  </si>
  <si>
    <t>204:64692</t>
  </si>
  <si>
    <t>204:232978</t>
  </si>
  <si>
    <t>204:233280</t>
  </si>
  <si>
    <t>204:223</t>
  </si>
  <si>
    <t>204:233327</t>
  </si>
  <si>
    <t>204:232970</t>
  </si>
  <si>
    <t>204:147</t>
  </si>
  <si>
    <t>204:232986</t>
  </si>
  <si>
    <t>204:546</t>
  </si>
  <si>
    <t>204:233263</t>
  </si>
  <si>
    <t>204:232949</t>
  </si>
  <si>
    <t>204:486</t>
  </si>
  <si>
    <t>204:233245</t>
  </si>
  <si>
    <t>204:181</t>
  </si>
  <si>
    <t>204:233027</t>
  </si>
  <si>
    <t>204:136</t>
  </si>
  <si>
    <t>204:233309</t>
  </si>
  <si>
    <t>204:145</t>
  </si>
  <si>
    <t>204:233281</t>
  </si>
  <si>
    <t>204:232974</t>
  </si>
  <si>
    <t>204:245</t>
  </si>
  <si>
    <t>204:489</t>
  </si>
  <si>
    <t>204:232960</t>
  </si>
  <si>
    <t>204:444</t>
  </si>
  <si>
    <t>204:232936</t>
  </si>
  <si>
    <t>204:442</t>
  </si>
  <si>
    <t>204:233246</t>
  </si>
  <si>
    <t>204:557</t>
  </si>
  <si>
    <t>204:232591</t>
  </si>
  <si>
    <t>204:233113</t>
  </si>
  <si>
    <t>204:232790</t>
  </si>
  <si>
    <t>204:282</t>
  </si>
  <si>
    <t>204:232625</t>
  </si>
  <si>
    <t>204:891</t>
  </si>
  <si>
    <t>204:233242</t>
  </si>
  <si>
    <t>204:1481</t>
  </si>
  <si>
    <t>204:19144</t>
  </si>
  <si>
    <t>204:233211</t>
  </si>
  <si>
    <t>204:232888</t>
  </si>
  <si>
    <t>204:232945</t>
  </si>
  <si>
    <t>204:233213</t>
  </si>
  <si>
    <t>204:232894</t>
  </si>
  <si>
    <t>204:238</t>
  </si>
  <si>
    <t>204:233240</t>
  </si>
  <si>
    <t>204:488</t>
  </si>
  <si>
    <t>204:232921</t>
  </si>
  <si>
    <t>204:240</t>
  </si>
  <si>
    <t>204:262</t>
  </si>
  <si>
    <t>204:233212</t>
  </si>
  <si>
    <t>204:51263</t>
  </si>
  <si>
    <t>204:233243</t>
  </si>
  <si>
    <t>204:232919</t>
  </si>
  <si>
    <t>204:218</t>
  </si>
  <si>
    <t>204:233187</t>
  </si>
  <si>
    <t>204:233208</t>
  </si>
  <si>
    <t>204:233301</t>
  </si>
  <si>
    <t>204:551</t>
  </si>
  <si>
    <t>204:232942</t>
  </si>
  <si>
    <t>204:260</t>
  </si>
  <si>
    <t>204:252</t>
  </si>
  <si>
    <t>204:233172</t>
  </si>
  <si>
    <t>204:233188</t>
  </si>
  <si>
    <t>204:232863</t>
  </si>
  <si>
    <t>204:19121</t>
  </si>
  <si>
    <t>204:276</t>
  </si>
  <si>
    <t>204:233178</t>
  </si>
  <si>
    <t>204:232865</t>
  </si>
  <si>
    <t>204:575</t>
  </si>
  <si>
    <t>204:19109</t>
  </si>
  <si>
    <t>204:30179</t>
  </si>
  <si>
    <t>204:232952</t>
  </si>
  <si>
    <t>204:577</t>
  </si>
  <si>
    <t>204:233174</t>
  </si>
  <si>
    <t>300:21697</t>
  </si>
  <si>
    <t>204:165</t>
  </si>
  <si>
    <t>204:467</t>
  </si>
  <si>
    <t>300:23295</t>
  </si>
  <si>
    <t>300:19654</t>
  </si>
  <si>
    <t>300:23553</t>
  </si>
  <si>
    <t>300:20157</t>
  </si>
  <si>
    <t>204:169</t>
  </si>
  <si>
    <t>300:22889</t>
  </si>
  <si>
    <t>300:23747</t>
  </si>
  <si>
    <t>300:26885</t>
  </si>
  <si>
    <t>300:22227</t>
  </si>
  <si>
    <t>204:400</t>
  </si>
  <si>
    <t>204:3491</t>
  </si>
  <si>
    <t>300:21992</t>
  </si>
  <si>
    <t>204:81</t>
  </si>
  <si>
    <t>204:3163</t>
  </si>
  <si>
    <t>204:410</t>
  </si>
  <si>
    <t>300:24199</t>
  </si>
  <si>
    <t>204:1508</t>
  </si>
  <si>
    <t>204:1156</t>
  </si>
  <si>
    <t>204:3495</t>
  </si>
  <si>
    <t>204:1479</t>
  </si>
  <si>
    <t>204:3462</t>
  </si>
  <si>
    <t>204:3138</t>
  </si>
  <si>
    <t>300:23875</t>
  </si>
  <si>
    <t>204:1897</t>
  </si>
  <si>
    <t>204:1188</t>
  </si>
  <si>
    <t>300:5552</t>
  </si>
  <si>
    <t>204:314</t>
  </si>
  <si>
    <t>300:58656</t>
  </si>
  <si>
    <t>204:687</t>
  </si>
  <si>
    <t>204:1399</t>
  </si>
  <si>
    <t>300:58978</t>
  </si>
  <si>
    <t>204:719</t>
  </si>
  <si>
    <t>204:1133</t>
  </si>
  <si>
    <t>300:59008</t>
  </si>
  <si>
    <t>300:58677</t>
  </si>
  <si>
    <t>204:832</t>
  </si>
  <si>
    <t>204:1025</t>
  </si>
  <si>
    <t>204:1118</t>
  </si>
  <si>
    <t>300:58653</t>
  </si>
  <si>
    <t>204:841</t>
  </si>
  <si>
    <t>204:1018</t>
  </si>
  <si>
    <t>204:119</t>
  </si>
  <si>
    <t>204:1114</t>
  </si>
  <si>
    <t>300:58647</t>
  </si>
  <si>
    <t>204:818</t>
  </si>
  <si>
    <t>204:1123</t>
  </si>
  <si>
    <t>300:58995</t>
  </si>
  <si>
    <t>300:58683</t>
  </si>
  <si>
    <t>204:836</t>
  </si>
  <si>
    <t>204:1132</t>
  </si>
  <si>
    <t>300:58984</t>
  </si>
  <si>
    <t>204:892</t>
  </si>
  <si>
    <t>204:1093</t>
  </si>
  <si>
    <t>204:843</t>
  </si>
  <si>
    <t>204:1119</t>
  </si>
  <si>
    <t>300:58937</t>
  </si>
  <si>
    <t>300:58619</t>
  </si>
  <si>
    <t>204:685</t>
  </si>
  <si>
    <t>300:58613</t>
  </si>
  <si>
    <t>204:691</t>
  </si>
  <si>
    <t>204:678</t>
  </si>
  <si>
    <t>204:1027</t>
  </si>
  <si>
    <t>300:58999</t>
  </si>
  <si>
    <t>300:58689</t>
  </si>
  <si>
    <t>204:750</t>
  </si>
  <si>
    <t>300:58918</t>
  </si>
  <si>
    <t>204:1067</t>
  </si>
  <si>
    <t>300:59005</t>
  </si>
  <si>
    <t>204:794</t>
  </si>
  <si>
    <t>204:955</t>
  </si>
  <si>
    <t>300:58924</t>
  </si>
  <si>
    <t>300:58611</t>
  </si>
  <si>
    <t>204:1049</t>
  </si>
  <si>
    <t>300:58990</t>
  </si>
  <si>
    <t>204:734</t>
  </si>
  <si>
    <t>300:58935</t>
  </si>
  <si>
    <t>300:59013</t>
  </si>
  <si>
    <t>204:967</t>
  </si>
  <si>
    <t>300:58685</t>
  </si>
  <si>
    <t>204:755</t>
  </si>
  <si>
    <t>204:1016</t>
  </si>
  <si>
    <t>300:59001</t>
  </si>
  <si>
    <t>300:29987</t>
  </si>
  <si>
    <t>300:58973</t>
  </si>
  <si>
    <t>300:23709</t>
  </si>
  <si>
    <t>204:838</t>
  </si>
  <si>
    <t>204:421</t>
  </si>
  <si>
    <t>300:24233</t>
  </si>
  <si>
    <t>300:23654</t>
  </si>
  <si>
    <t>204:775</t>
  </si>
  <si>
    <t>300:58700</t>
  </si>
  <si>
    <t>300:28789</t>
  </si>
  <si>
    <t>300:58687</t>
  </si>
  <si>
    <t>300:28772</t>
  </si>
  <si>
    <t>start /low /b %USERPROFILE%\Documents\GitHub\eaglep3\Utilities\DownloadLogsFromS3.py --loco 4022 --day 2017-11-09</t>
  </si>
  <si>
    <t>start /low /b %USERPROFILE%\Documents\GitHub\eaglep3\Utilities\DownloadLogsFromS3.py --loco 4006 --day 2017-11-09</t>
  </si>
  <si>
    <t>start /low /b %USERPROFILE%\Documents\GitHub\eaglep3\Utilities\DownloadLogsFromS3.py --loco 4007 --day 1969-12-31</t>
  </si>
  <si>
    <t>start /low /b %USERPROFILE%\Documents\GitHub\eaglep3\Utilities\DownloadLogsFromS3.py --loco 4005 --day 2017-11-09</t>
  </si>
  <si>
    <t>start /low /b %USERPROFILE%\Documents\GitHub\eaglep3\Utilities\DownloadLogsFromS3.py --loco 4024 --day 2017-11-10</t>
  </si>
  <si>
    <t>start /low /b %USERPROFILE%\Documents\GitHub\eaglep3\Utilities\DownloadLogsFromS3.py --loco 4019 --day 2017-11-09</t>
  </si>
  <si>
    <t>start /low /b %USERPROFILE%\Documents\GitHub\eaglep3\Utilities\DownloadLogsFromS3.py --loco 4024 --day 2017-11-09</t>
  </si>
  <si>
    <t>start /low /b %USERPROFILE%\Documents\GitHub\eaglep3\Utilities\DownloadLogsFromS3.py --loco 4066 --day 2017-11-09</t>
  </si>
  <si>
    <t>start /low /b %USERPROFILE%\Documents\GitHub\eaglep3\Utilities\DownloadLogsFromS3.py --loco 4021 --day 2017-11-09</t>
  </si>
  <si>
    <t>start /low /b %USERPROFILE%\Documents\GitHub\eaglep3\Utilities\DownloadLogsFromS3.py --loco 4013 --day 2017-11-10</t>
  </si>
  <si>
    <t>start /low /b %USERPROFILE%\Documents\GitHub\eaglep3\Utilities\DownloadLogsFromS3.py --loco 4019 --day 2017-11-10</t>
  </si>
  <si>
    <t>start /low /b %USERPROFILE%\Documents\GitHub\eaglep3\Utilities\DownloadLogsFromS3.py --loco 4026 --day 2017-11-09</t>
  </si>
  <si>
    <t>start /low /b %USERPROFILE%\Documents\GitHub\eaglep3\Utilities\DownloadLogsFromS3.py --loco 4054 --day 2017-11-09</t>
  </si>
  <si>
    <t>Onboard en route failure prevented operator from selecting track</t>
  </si>
  <si>
    <t>Trip cancelled due to general faults (Incident 56901)</t>
  </si>
  <si>
    <t>Onboard en route failure</t>
  </si>
  <si>
    <t>Signal downgrade to stop and proceed</t>
  </si>
  <si>
    <t>Wi-MAX data drop</t>
  </si>
  <si>
    <t>Restricting aspect (Pecos 4N)</t>
  </si>
  <si>
    <t>Operator observed unhealthy xing at Chambers due to 40th station stop</t>
  </si>
  <si>
    <t>Observed Wi-MAX data drop</t>
  </si>
  <si>
    <t>Wheel tach sensor issue</t>
  </si>
  <si>
    <t>We noticed that the EC0365RH 37-1T 1S dropped from SG-5 to stop and proceed in front of a train at around 1:26:44 on 11/10.  Was there anything unusual going on with this signal at this time?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</si>
</sst>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43048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COUNTIFS($N$13:$N$9533,"&gt;0",$AG$13:$AG$9533,I1)</f>
        <v>137</v>
      </c>
      <c r="K5" s="39"/>
      <c r="L5" s="172"/>
      <c r="M5" s="40">
        <f>AVERAGEIFS($N$13:$N$9533,$AG$13:$AG$9533,I1)</f>
        <v>37.640754258103776</v>
      </c>
      <c r="N5" s="38">
        <f t="array" ref="N5">MIN(IF($AG$13:$AG$9533=I1,IF(ISNUMBER($N$13:$N$9533),IF($N$13:$N$9533&gt;0,$N$13:$N$9533))))</f>
        <v>30.383333342615515</v>
      </c>
      <c r="O5" s="3">
        <f t="array" ref="O5">MAX(IF($AG$13:$AG$9533=I1,IF(ISNUMBER($N$13:$N$9533),IF($N$13:$N$9533&gt;0,$N$13:$N$9533))))</f>
        <v>44.700000003213063</v>
      </c>
      <c r="P5" s="2"/>
      <c r="R5" s="163" t="s">
        <v>17</v>
      </c>
      <c r="S5" s="207">
        <f>COUNTIFS($N$13:$N$9533,"&gt;0",$AG$13:$AG$9533,R1)</f>
        <v>49</v>
      </c>
      <c r="T5" s="172"/>
      <c r="U5" s="195"/>
      <c r="V5" s="211">
        <f>AVERAGEIFS($N$13:$N$9533,$AG$13:$AG$9533,R1)</f>
        <v>13.531292516795196</v>
      </c>
      <c r="W5" s="212">
        <f t="array" ref="W5">MIN(IF($AG$13:$AG$9533=R1,IF(ISNUMBER($N$13:$N$9533),IF($N$13:$N$9533&gt;0,$N$13:$N$9533))))</f>
        <v>10.933333332650363</v>
      </c>
      <c r="X5" s="200">
        <f t="array" ref="X5">MAX(IF($AG$13:$AG$9533=R1,IF(ISNUMBER($N$13:$N$9533),IF($N$13:$N$9533&gt;0,$N$13:$N$9533))))</f>
        <v>19.083333330927417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COUNT($O$13:$O$291)</f>
        <v>0</v>
      </c>
      <c r="K6" s="39"/>
      <c r="L6" s="172"/>
      <c r="M6" s="40">
        <f>IFERROR(AVERAGE($O$13:$O$291),0)</f>
        <v>0</v>
      </c>
      <c r="N6" s="38">
        <f>MIN($O$13:$O$291)</f>
        <v>0</v>
      </c>
      <c r="O6" s="3">
        <f>MAX($O$13:$O$291)</f>
        <v>0</v>
      </c>
      <c r="P6" s="2"/>
      <c r="R6" s="164" t="s">
        <v>43</v>
      </c>
      <c r="S6" s="207">
        <f>COUNT($O$13:$O$291)</f>
        <v>0</v>
      </c>
      <c r="T6" s="172"/>
      <c r="U6" s="195"/>
      <c r="V6" s="211">
        <f>IFERROR(AVERAGE($O$13:$O$291),0)</f>
        <v>0</v>
      </c>
      <c r="W6" s="212">
        <f>MIN($O$13:$O$291)</f>
        <v>0</v>
      </c>
      <c r="X6" s="200">
        <f>MAX($O$13:$O$291)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COUNTIFS($P$13:$P$9533,"&gt;0",$AG$13:$AG$9533,I1)</f>
        <v>6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COUNTIFS($P$13:$P$9533,"&gt;0",$AG$13:$AG$9533,R1)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2"/>
      <c r="M8" s="40">
        <f>M5</f>
        <v>37.640754258103776</v>
      </c>
      <c r="N8" s="38">
        <f>N5</f>
        <v>30.383333342615515</v>
      </c>
      <c r="O8" s="3">
        <f>O5</f>
        <v>44.700000003213063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13.531292516795196</v>
      </c>
      <c r="W8" s="212">
        <f>W5</f>
        <v>10.933333332650363</v>
      </c>
      <c r="X8" s="200">
        <f>X5</f>
        <v>19.083333330927417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0.95804195804195802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- 2017-11-09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AVERAGE(S13:S121)</f>
        <v>0.97975077881619932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665</v>
      </c>
      <c r="B13" s="7">
        <v>4008</v>
      </c>
      <c r="C13" s="21" t="s">
        <v>192</v>
      </c>
      <c r="D13" s="21" t="s">
        <v>887</v>
      </c>
      <c r="E13" s="13">
        <v>43048.13212962963</v>
      </c>
      <c r="F13" s="13">
        <v>43048.136203703703</v>
      </c>
      <c r="G13" s="7">
        <v>60</v>
      </c>
      <c r="H13" s="21" t="s">
        <v>515</v>
      </c>
      <c r="I13" s="13">
        <v>43048.160868055558</v>
      </c>
      <c r="J13" s="7">
        <v>0</v>
      </c>
      <c r="K13" s="89" t="str">
        <f t="shared" ref="K13:K76" si="0">IF(ISEVEN(B13),(B13-1)&amp;"/"&amp;B13,B13&amp;"/"&amp;(B13+1))</f>
        <v>4007/4008</v>
      </c>
      <c r="L13" s="185" t="str">
        <f>VLOOKUP(A13,'Trips&amp;Operators'!$C$1:$G$99911,5,FALSE)</f>
        <v>YORK EDGAR</v>
      </c>
      <c r="M13" s="6">
        <f t="shared" ref="M13:M76" si="1">I13-F13</f>
        <v>2.4664351854880806E-2</v>
      </c>
      <c r="N13" s="7">
        <f>24*60*SUM($M13:$M13)</f>
        <v>35.516666671028361</v>
      </c>
      <c r="O13" s="7"/>
      <c r="P13" s="7"/>
      <c r="Q13" s="22"/>
      <c r="R13" s="167"/>
      <c r="S13" s="221">
        <f t="shared" ref="S13:S38" si="2">1/IF(AG13="EC",12,1)*SUM(U13:U13)</f>
        <v>1</v>
      </c>
      <c r="T13" s="174" t="str">
        <f t="shared" ref="T13:T76" si="3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-09T02:10:16-0700',mode:absolute,to:'2017-11-09T04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4" t="str">
        <f>IF(AA13&lt;VLOOKUP(AG13,Variables!$AC$3:$AD$8,2,FALSE),"Y","N")</f>
        <v>N</v>
      </c>
      <c r="X13" s="204" t="e">
        <f t="shared" ref="X13:X44" si="5">VALUE(LEFT(AD13,4))-VALUE(LEFT(AD12,4))</f>
        <v>#VALUE!</v>
      </c>
      <c r="Y13" s="204">
        <f t="shared" ref="Y13:Y44" si="6">RIGHT(D13,LEN(D13)-4)/10000</f>
        <v>7.8100000000000003E-2</v>
      </c>
      <c r="Z13" s="204">
        <f t="shared" ref="Z13:Z44" si="7">RIGHT(H13,LEN(H13)-4)/10000</f>
        <v>23.3293</v>
      </c>
      <c r="AA13" s="204">
        <f t="shared" ref="AA13:AA76" si="8">ABS(Z13-Y13)</f>
        <v>23.251200000000001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/stypes="app*4008*20171109*"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4008 --swversion DE.1.0.9.0 --startMP 204:781 --initTime 2017-11-09T03:10:16 --startdatetime 2017-11-09T03:16:08 --delay 60 --endMP 204:233293 --enddatetime 2017-11-09T03:51:39 --enforcementcount 0 &gt;&gt;%USERPROFILE%\Documents\GitHub\eaglep3-reporting\EC\2017-11-09-refined-times.txt</v>
      </c>
      <c r="AI13" s="96" t="str">
        <f t="shared" ref="AI13:AI76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{"issue":{"subject":"","project_id":79,"tracker_id":40,"status_id":1,"priority_id":2,"assigned_to_id":338,"start_date":"2017-11-09","description":"","custom_fields":[{"id":1,"name":"Subdivision","value":"EC"},{"id":4,"name":"Milepost","value":"23.3293"},{"id":17,"name":"Train ID","value":"101-09"},{"id":16,"name":"Locomotive ID","value":"4008"},{"id":130,"name":"Impact","value":""},{"id":150,"name":"Time of Event (Mountain Time)","value":"03:51:39"},{"id":151,"name":"Denver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4008 --day 2017-11-09</v>
      </c>
      <c r="AN13" s="151" t="str">
        <f t="shared" ref="AN13:AN76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-09T02:10:16-0700',mode:absolute,to:'2017-11-09T04:51:39-0700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675</v>
      </c>
      <c r="B14" s="7">
        <v>4007</v>
      </c>
      <c r="C14" s="21" t="s">
        <v>192</v>
      </c>
      <c r="D14" s="21" t="s">
        <v>448</v>
      </c>
      <c r="E14" s="13">
        <v>43048.171342592592</v>
      </c>
      <c r="F14" s="13">
        <v>43048.175810185188</v>
      </c>
      <c r="G14" s="7">
        <v>64</v>
      </c>
      <c r="H14" s="21" t="s">
        <v>888</v>
      </c>
      <c r="I14" s="13">
        <v>43048.201909722222</v>
      </c>
      <c r="J14" s="7">
        <v>0</v>
      </c>
      <c r="K14" s="89" t="str">
        <f t="shared" si="0"/>
        <v>4007/4008</v>
      </c>
      <c r="L14" s="185" t="str">
        <f>VLOOKUP(A14,'Trips&amp;Operators'!$C$1:$G$99911,5,FALSE)</f>
        <v>YORK EDGAR</v>
      </c>
      <c r="M14" s="6">
        <f t="shared" si="1"/>
        <v>2.6099537033587694E-2</v>
      </c>
      <c r="N14" s="7">
        <f>24*60*SUM($M14:$M14)</f>
        <v>37.58333332836628</v>
      </c>
      <c r="O14" s="7"/>
      <c r="P14" s="7"/>
      <c r="Q14" s="22"/>
      <c r="R14" s="174"/>
      <c r="S14" s="221">
        <f t="shared" si="2"/>
        <v>1</v>
      </c>
      <c r="T14" s="174" t="str">
        <f t="shared" si="3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4"/>
        <v>https://d0f6bd738d7f1b3e5a7ca70fe4ff75f0.us-east-1.aws.found.io/app/kibana#/discover/Steve-Slow-Train-Analysis-(2080s-and-2083s)?_g=(refreshInterval:(display:Off,pause:!f,section:0,value:0),time:(from:'2017-11-09T03:06:44-0700',mode:absolute,to:'2017-11-09T05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04" t="str">
        <f>IF(AA14&lt;VLOOKUP(AG14,Variables!$AC$3:$AD$8,2,FALSE),"Y","N")</f>
        <v>N</v>
      </c>
      <c r="X14" s="204">
        <f t="shared" si="5"/>
        <v>1</v>
      </c>
      <c r="Y14" s="204">
        <f t="shared" si="6"/>
        <v>23.297699999999999</v>
      </c>
      <c r="Z14" s="204">
        <f t="shared" si="7"/>
        <v>1.43E-2</v>
      </c>
      <c r="AA14" s="204">
        <f t="shared" si="8"/>
        <v>23.2834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9"/>
        <v>102</v>
      </c>
      <c r="AE14" s="77" t="str">
        <f t="shared" si="10"/>
        <v>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 &amp; 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</v>
      </c>
      <c r="AF14" s="74" t="str">
        <f t="shared" si="11"/>
        <v>"C:\Program Files (x86)\AstroGrep\AstroGrep.exe" /e /r /s /spath="%USERPROFILE%\AppData\Local\Temp\OnboardLogs" /stypes="app*4007*20171109*" /stext=" 11:.+((SYSTEM_STATE.+slice.+state.+changed )|(ment ac)|(multiple cpu faults)|(system.+state.+changed )|(\[timeout)|(PRM\|1\|D)|(kpr)|(kdp)|(train st.+moving)|(\|lc)|(penalty))"</v>
      </c>
      <c r="AG14" s="182" t="str">
        <f t="shared" si="12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4007 --swversion DE.1.0.9.0 --startMP 204:232977 --initTime 2017-11-09T04:06:44 --startdatetime 2017-11-09T04:13:10 --delay 64 --endMP 204:143 --enddatetime 2017-11-09T04:50:45 --enforcementcount 0 &gt;&gt;%USERPROFILE%\Documents\GitHub\eaglep3-reporting\EC\2017-11-09-refined-times.txt</v>
      </c>
      <c r="AI1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{"issue":{"subject":"","project_id":79,"tracker_id":40,"status_id":1,"priority_id":2,"assigned_to_id":338,"start_date":"2017-11-09","description":"","custom_fields":[{"id":1,"name":"Subdivision","value":"EC"},{"id":4,"name":"Milepost","value":"0.0143"},{"id":17,"name":"Train ID","value":"102-09"},{"id":16,"name":"Locomotive ID","value":"4007"},{"id":130,"name":"Impact","value":""},{"id":150,"name":"Time of Event (Mountain Time)","value":"04:50:45"},{"id":151,"name":"Denver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19">"start /low /b "&amp;dls3logs&amp;" --loco "&amp;B14&amp;" --day "&amp;TEXT(F14,"YYYY-MM-DD")</f>
        <v>start /low /b %USERPROFILE%\Documents\GitHub\eaglep3\Utilities\DownloadLogsFromS3.py --loco 4007 --day 2017-11-09</v>
      </c>
      <c r="AN1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0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-09T03:06:44-0700',mode:absolute,to:'2017-11-09T05:50:45-0700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670</v>
      </c>
      <c r="B15" s="7">
        <v>4022</v>
      </c>
      <c r="C15" s="21" t="s">
        <v>192</v>
      </c>
      <c r="D15" s="21" t="s">
        <v>889</v>
      </c>
      <c r="E15" s="13">
        <v>43048.151076388887</v>
      </c>
      <c r="F15" s="13">
        <v>43048.156446759262</v>
      </c>
      <c r="G15" s="7">
        <v>97</v>
      </c>
      <c r="H15" s="21" t="s">
        <v>890</v>
      </c>
      <c r="I15" s="13">
        <v>43048.158182870371</v>
      </c>
      <c r="J15" s="7">
        <v>0</v>
      </c>
      <c r="K15" s="89" t="str">
        <f t="shared" si="0"/>
        <v>4021/4022</v>
      </c>
      <c r="L15" s="185" t="str">
        <f>VLOOKUP(A15,'Trips&amp;Operators'!$C$1:$G$99911,5,FALSE)</f>
        <v>MAELZER KURT</v>
      </c>
      <c r="M15" s="6">
        <f t="shared" si="1"/>
        <v>1.7361111094942316E-3</v>
      </c>
      <c r="N15" s="7"/>
      <c r="O15" s="7"/>
      <c r="P15" s="7">
        <f>24*60*SUM($M15:$M15)</f>
        <v>2.4999999976716936</v>
      </c>
      <c r="Q15" s="22"/>
      <c r="R15" s="174" t="s">
        <v>1108</v>
      </c>
      <c r="S15" s="221">
        <f t="shared" si="2"/>
        <v>0</v>
      </c>
      <c r="T15" s="174" t="str">
        <f t="shared" si="3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16" t="str">
        <f t="shared" si="4"/>
        <v>https://d0f6bd738d7f1b3e5a7ca70fe4ff75f0.us-east-1.aws.found.io/app/kibana#/discover/Steve-Slow-Train-Analysis-(2080s-and-2083s)?_g=(refreshInterval:(display:Off,pause:!f,section:0,value:0),time:(from:'2017-11-09T02:37:33-0700',mode:absolute,to:'2017-11-09T04:47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204" t="str">
        <f>IF(AA15&lt;VLOOKUP(AG15,Variables!$AC$3:$AD$8,2,FALSE),"Y","N")</f>
        <v>Y</v>
      </c>
      <c r="X15" s="204">
        <f t="shared" si="5"/>
        <v>1</v>
      </c>
      <c r="Y15" s="204">
        <f t="shared" si="6"/>
        <v>4.6199999999999998E-2</v>
      </c>
      <c r="Z15" s="204">
        <f t="shared" si="7"/>
        <v>0.75880000000000003</v>
      </c>
      <c r="AA15" s="204">
        <f t="shared" si="8"/>
        <v>0.71260000000000001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9"/>
        <v>103</v>
      </c>
      <c r="AE15" s="77" t="str">
        <f t="shared" si="1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5" s="74" t="str">
        <f t="shared" si="11"/>
        <v>"C:\Program Files (x86)\AstroGrep\AstroGrep.exe" /e /r /s /spath="%USERPROFILE%\AppData\Local\Temp\OnboardLogs" /stypes="app*4022*20171109*" /stext=" 10:.+((SYSTEM_STATE.+slice.+state.+changed )|(ment ac)|(multiple cpu faults)|(system.+state.+changed )|(\[timeout)|(PRM\|1\|D)|(kpr)|(kdp)|(train st.+moving)|(\|lc)|(penalty))"</v>
      </c>
      <c r="AG15" s="182" t="str">
        <f t="shared" si="12"/>
        <v>EC</v>
      </c>
      <c r="AH15" s="78" t="str">
        <f t="shared" si="18"/>
        <v>"%USERPROFILE%\Documents\GitHub\eaglep3\Utilities\RefineRTDCRunTimes.py" --tripid 103-09 --locoid 4022 --swversion DE.1.0.9.0 --startMP 204:462 --initTime 2017-11-09T03:37:33 --startdatetime 2017-11-09T03:45:17 --delay 97 --endMP 204:7588 --enddatetime 2017-11-09T03:47:47 --enforcementcount 0 &gt;&gt;%USERPROFILE%\Documents\GitHub\eaglep3-reporting\EC\2017-11-09-refined-times.txt</v>
      </c>
      <c r="AI15" s="96" t="str">
        <f t="shared" si="14"/>
        <v>echo {"issue":{"subject":"Wheel tach sensor issue","project_id":79,"tracker_id":40,"status_id":1,"priority_id":2,"assigned_to_id":338,"start_date":"2017-11-09","description":"","custom_fields":[{"id":1,"name":"Subdivision","value":"EC"},{"id":4,"name":"Milepost","value":"0.7588"},{"id":17,"name":"Train ID","value":"103-09"},{"id":16,"name":"Locomotive ID","value":"4022"},{"id":130,"name":"Impact","value":""},{"id":150,"name":"Time of Event (Mountain Time)","value":"03:47:47"},{"id":151,"name":"Denver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4022 --day 2017-11-09</v>
      </c>
      <c r="AN15" s="151" t="str">
        <f t="shared" si="16"/>
        <v>echo {"issue":{"subject":"Wheel tach sensor issue","project_id":30,"tracker_id":4,"status_id":1,"priority_id":1,"assigned_to_id":10,"start_date":"2017-11-09","description":"","custom_fields":[{"id":30,"name":"Category","value":"Issue"},{"id":3,"name":"Functional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10:47:47"},{"id":29,"name":"Sharepoint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0"/>
        <v>https://d0f6bd738d7f1b3e5a7ca70fe4ff75f0.us-east-1.aws.found.io/app/kibana#/discover/Steve-Slow-Train-Analysis-(2080s-and-2083s)?_g=(refreshInterval:(display:Off,pause:!f,section:0,value:0),time:(from:'2017-11-09T02:37:33-0700',mode:absolute,to:'2017-11-09T04:47:47-0700'))&amp;_a=(columns:!('Message%20ID',Summary),filters:!(),index:'emp_*',interval:auto,query:(query_string:(analyze_wildcard:!t,query:'%22rtdc.l.rtdc.4022%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680</v>
      </c>
      <c r="B16" s="7">
        <v>4021</v>
      </c>
      <c r="C16" s="21" t="s">
        <v>192</v>
      </c>
      <c r="D16" s="21" t="s">
        <v>892</v>
      </c>
      <c r="E16" s="13">
        <v>43048.191053240742</v>
      </c>
      <c r="F16" s="13">
        <v>43048.196076388886</v>
      </c>
      <c r="G16" s="7">
        <v>54</v>
      </c>
      <c r="H16" s="21" t="s">
        <v>888</v>
      </c>
      <c r="I16" s="13">
        <v>43048.222662037035</v>
      </c>
      <c r="J16" s="7">
        <v>0</v>
      </c>
      <c r="K16" s="89" t="str">
        <f t="shared" si="0"/>
        <v>4021/4022</v>
      </c>
      <c r="L16" s="185" t="str">
        <f>VLOOKUP(A16,'Trips&amp;Operators'!$C$1:$G$99911,5,FALSE)</f>
        <v>MAELZER KURT</v>
      </c>
      <c r="M16" s="6">
        <f t="shared" si="1"/>
        <v>2.658564814919373E-2</v>
      </c>
      <c r="N16" s="7">
        <f t="shared" ref="N16:N38" si="21">24*60*SUM($M16:$M16)</f>
        <v>38.283333334838971</v>
      </c>
      <c r="O16" s="7"/>
      <c r="P16" s="7"/>
      <c r="Q16" s="22"/>
      <c r="R16" s="174"/>
      <c r="S16" s="221">
        <f t="shared" si="2"/>
        <v>1</v>
      </c>
      <c r="T16" s="174" t="str">
        <f t="shared" si="3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4"/>
        <v>https://d0f6bd738d7f1b3e5a7ca70fe4ff75f0.us-east-1.aws.found.io/app/kibana#/discover/Steve-Slow-Train-Analysis-(2080s-and-2083s)?_g=(refreshInterval:(display:Off,pause:!f,section:0,value:0),time:(from:'2017-11-09T03:35:07-0700',mode:absolute,to:'2017-11-09T06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f t="shared" si="6"/>
        <v>23.298400000000001</v>
      </c>
      <c r="Z16" s="204">
        <f t="shared" si="7"/>
        <v>1.43E-2</v>
      </c>
      <c r="AA16" s="204">
        <f t="shared" si="8"/>
        <v>23.284100000000002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9"/>
        <v>104</v>
      </c>
      <c r="AE16" s="77" t="str">
        <f t="shared" si="1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16" s="74" t="str">
        <f t="shared" si="11"/>
        <v>"C:\Program Files (x86)\AstroGrep\AstroGrep.exe" /e /r /s /spath="%USERPROFILE%\AppData\Local\Temp\OnboardLogs" /stypes="app*4021*20171109*" /stext=" 12:.+((SYSTEM_STATE.+slice.+state.+changed )|(ment ac)|(multiple cpu faults)|(system.+state.+changed )|(\[timeout)|(PRM\|1\|D)|(kpr)|(kdp)|(train st.+moving)|(\|lc)|(penalty))"</v>
      </c>
      <c r="AG16" s="182" t="str">
        <f t="shared" si="12"/>
        <v>EC</v>
      </c>
      <c r="AH16" s="78" t="str">
        <f t="shared" si="18"/>
        <v>"%USERPROFILE%\Documents\GitHub\eaglep3\Utilities\RefineRTDCRunTimes.py" --tripid 104-09 --locoid 4021 --swversion DE.1.0.9.0 --startMP 204:232984 --initTime 2017-11-09T04:35:07 --startdatetime 2017-11-09T04:42:21 --delay 54 --endMP 204:143 --enddatetime 2017-11-09T05:20:38 --enforcementcount 0 &gt;&gt;%USERPROFILE%\Documents\GitHub\eaglep3-reporting\EC\2017-11-09-refined-times.txt</v>
      </c>
      <c r="AI1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{"issue":{"subject":"","project_id":79,"tracker_id":40,"status_id":1,"priority_id":2,"assigned_to_id":338,"start_date":"2017-11-09","description":"","custom_fields":[{"id":1,"name":"Subdivision","value":"EC"},{"id":4,"name":"Milepost","value":"0.0143"},{"id":17,"name":"Train ID","value":"104-09"},{"id":16,"name":"Locomotive ID","value":"4021"},{"id":130,"name":"Impact","value":""},{"id":150,"name":"Time of Event (Mountain Time)","value":"05:20:38"},{"id":151,"name":"Denver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4021 --day 2017-11-09</v>
      </c>
      <c r="AN1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0"/>
        <v>https://d0f6bd738d7f1b3e5a7ca70fe4ff75f0.us-east-1.aws.found.io/app/kibana#/discover/Steve-Slow-Train-Analysis-(2080s-and-2083s)?_g=(refreshInterval:(display:Off,pause:!f,section:0,value:0),time:(from:'2017-11-09T03:35:07-0700',mode:absolute,to:'2017-11-09T06:20:38-0700'))&amp;_a=(columns:!('Message%20ID',Summary),filters:!(),index:'emp_*',interval:auto,query:(query_string:(analyze_wildcard:!t,query:'%22rtdc.l.rtdc.4021%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676</v>
      </c>
      <c r="B17" s="7">
        <v>4020</v>
      </c>
      <c r="C17" s="21" t="s">
        <v>192</v>
      </c>
      <c r="D17" s="21" t="s">
        <v>488</v>
      </c>
      <c r="E17" s="13">
        <v>43048.170520833337</v>
      </c>
      <c r="F17" s="13">
        <v>43048.177361111113</v>
      </c>
      <c r="G17" s="7">
        <v>137</v>
      </c>
      <c r="H17" s="21" t="s">
        <v>893</v>
      </c>
      <c r="I17" s="13">
        <v>43048.202696759261</v>
      </c>
      <c r="J17" s="7">
        <v>0</v>
      </c>
      <c r="K17" s="89" t="str">
        <f t="shared" si="0"/>
        <v>4019/4020</v>
      </c>
      <c r="L17" s="185" t="str">
        <f>VLOOKUP(A17,'Trips&amp;Operators'!$C$1:$G$99911,5,FALSE)</f>
        <v>BONDS REYNALDO</v>
      </c>
      <c r="M17" s="6">
        <f t="shared" si="1"/>
        <v>2.5335648148029577E-2</v>
      </c>
      <c r="N17" s="7">
        <f t="shared" si="21"/>
        <v>36.483333333162591</v>
      </c>
      <c r="O17" s="7"/>
      <c r="P17" s="7"/>
      <c r="Q17" s="22"/>
      <c r="R17" s="174"/>
      <c r="S17" s="221">
        <f t="shared" si="2"/>
        <v>1</v>
      </c>
      <c r="T17" s="174" t="str">
        <f t="shared" si="3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4"/>
        <v>https://d0f6bd738d7f1b3e5a7ca70fe4ff75f0.us-east-1.aws.found.io/app/kibana#/discover/Steve-Slow-Train-Analysis-(2080s-and-2083s)?_g=(refreshInterval:(display:Off,pause:!f,section:0,value:0),time:(from:'2017-11-09T03:05:33-0700',mode:absolute,to:'2017-11-09T05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N</v>
      </c>
      <c r="X17" s="204">
        <f t="shared" si="5"/>
        <v>1</v>
      </c>
      <c r="Y17" s="204">
        <f t="shared" si="6"/>
        <v>5.0900000000000001E-2</v>
      </c>
      <c r="Z17" s="204">
        <f t="shared" si="7"/>
        <v>23.328499999999998</v>
      </c>
      <c r="AA17" s="204">
        <f t="shared" si="8"/>
        <v>23.2776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9"/>
        <v>105</v>
      </c>
      <c r="AE17" s="77" t="str">
        <f t="shared" si="10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17" s="74" t="str">
        <f t="shared" si="11"/>
        <v>"C:\Program Files (x86)\AstroGrep\AstroGrep.exe" /e /r /s /spath="%USERPROFILE%\AppData\Local\Temp\OnboardLogs" /stypes="app*4020*20171109*" /stext=" 11:.+((SYSTEM_STATE.+slice.+state.+changed )|(ment ac)|(multiple cpu faults)|(system.+state.+changed )|(\[timeout)|(PRM\|1\|D)|(kpr)|(kdp)|(train st.+moving)|(\|lc)|(penalty))"</v>
      </c>
      <c r="AG17" s="182" t="str">
        <f t="shared" si="12"/>
        <v>EC</v>
      </c>
      <c r="AH17" s="78" t="str">
        <f t="shared" si="18"/>
        <v>"%USERPROFILE%\Documents\GitHub\eaglep3\Utilities\RefineRTDCRunTimes.py" --tripid 105-09 --locoid 4020 --swversion DE.1.0.9.0 --startMP 204:509 --initTime 2017-11-09T04:05:33 --startdatetime 2017-11-09T04:15:24 --delay 137 --endMP 204:233285 --enddatetime 2017-11-09T04:51:53 --enforcementcount 0 &gt;&gt;%USERPROFILE%\Documents\GitHub\eaglep3-reporting\EC\2017-11-09-refined-times.txt</v>
      </c>
      <c r="AI1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{"issue":{"subject":"","project_id":79,"tracker_id":40,"status_id":1,"priority_id":2,"assigned_to_id":338,"start_date":"2017-11-09","description":"","custom_fields":[{"id":1,"name":"Subdivision","value":"EC"},{"id":4,"name":"Milepost","value":"23.3285"},{"id":17,"name":"Train ID","value":"105-09"},{"id":16,"name":"Locomotive ID","value":"4020"},{"id":130,"name":"Impact","value":""},{"id":150,"name":"Time of Event (Mountain Time)","value":"04:51:53"},{"id":151,"name":"Denver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4020 --day 2017-11-09</v>
      </c>
      <c r="AN1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0"/>
        <v>https://d0f6bd738d7f1b3e5a7ca70fe4ff75f0.us-east-1.aws.found.io/app/kibana#/discover/Steve-Slow-Train-Analysis-(2080s-and-2083s)?_g=(refreshInterval:(display:Off,pause:!f,section:0,value:0),time:(from:'2017-11-09T03:05:33-0700',mode:absolute,to:'2017-11-09T05:51:53-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686</v>
      </c>
      <c r="B18" s="7">
        <v>4019</v>
      </c>
      <c r="C18" s="21" t="s">
        <v>192</v>
      </c>
      <c r="D18" s="21" t="s">
        <v>894</v>
      </c>
      <c r="E18" s="13">
        <v>43048.209317129629</v>
      </c>
      <c r="F18" s="13">
        <v>43048.216840277775</v>
      </c>
      <c r="G18" s="7">
        <v>48</v>
      </c>
      <c r="H18" s="21" t="s">
        <v>895</v>
      </c>
      <c r="I18" s="13">
        <v>43048.243275462963</v>
      </c>
      <c r="J18" s="7">
        <v>0</v>
      </c>
      <c r="K18" s="89" t="str">
        <f t="shared" si="0"/>
        <v>4019/4020</v>
      </c>
      <c r="L18" s="185" t="str">
        <f>VLOOKUP(A18,'Trips&amp;Operators'!$C$1:$G$99911,5,FALSE)</f>
        <v>BONDS REYNALDO</v>
      </c>
      <c r="M18" s="6">
        <f t="shared" si="1"/>
        <v>2.6435185187438037E-2</v>
      </c>
      <c r="N18" s="7">
        <f t="shared" si="21"/>
        <v>38.066666669910774</v>
      </c>
      <c r="O18" s="7"/>
      <c r="P18" s="7"/>
      <c r="Q18" s="22"/>
      <c r="R18" s="174"/>
      <c r="S18" s="221">
        <f t="shared" si="2"/>
        <v>1</v>
      </c>
      <c r="T18" s="174" t="str">
        <f t="shared" si="3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4"/>
        <v>https://d0f6bd738d7f1b3e5a7ca70fe4ff75f0.us-east-1.aws.found.io/app/kibana#/discover/Steve-Slow-Train-Analysis-(2080s-and-2083s)?_g=(refreshInterval:(display:Off,pause:!f,section:0,value:0),time:(from:'2017-11-09T04:01:25-0700',mode:absolute,to:'2017-11-09T06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5"/>
        <v>1</v>
      </c>
      <c r="Y18" s="204">
        <f t="shared" si="6"/>
        <v>23.296800000000001</v>
      </c>
      <c r="Z18" s="204">
        <f t="shared" si="7"/>
        <v>0.02</v>
      </c>
      <c r="AA18" s="204">
        <f t="shared" si="8"/>
        <v>23.276800000000001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9"/>
        <v>106</v>
      </c>
      <c r="AE18" s="77" t="str">
        <f t="shared" si="10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18" s="74" t="str">
        <f t="shared" si="11"/>
        <v>"C:\Program Files (x86)\AstroGrep\AstroGrep.exe" /e /r /s /spath="%USERPROFILE%\AppData\Local\Temp\OnboardLogs" /stypes="app*4019*20171109*" /stext=" 12:.+((SYSTEM_STATE.+slice.+state.+changed )|(ment ac)|(multiple cpu faults)|(system.+state.+changed )|(\[timeout)|(PRM\|1\|D)|(kpr)|(kdp)|(train st.+moving)|(\|lc)|(penalty))"</v>
      </c>
      <c r="AG18" s="182" t="str">
        <f t="shared" si="12"/>
        <v>EC</v>
      </c>
      <c r="AH18" s="78" t="str">
        <f t="shared" si="18"/>
        <v>"%USERPROFILE%\Documents\GitHub\eaglep3\Utilities\RefineRTDCRunTimes.py" --tripid 106-09 --locoid 4019 --swversion DE.1.0.9.0 --startMP 204:232968 --initTime 2017-11-09T05:01:25 --startdatetime 2017-11-09T05:12:15 --delay 48 --endMP 204:200 --enddatetime 2017-11-09T05:50:19 --enforcementcount 0 &gt;&gt;%USERPROFILE%\Documents\GitHub\eaglep3-reporting\EC\2017-11-09-refined-times.txt</v>
      </c>
      <c r="AI1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{"issue":{"subject":"","project_id":79,"tracker_id":40,"status_id":1,"priority_id":2,"assigned_to_id":338,"start_date":"2017-11-09","description":"","custom_fields":[{"id":1,"name":"Subdivision","value":"EC"},{"id":4,"name":"Milepost","value":"0.02"},{"id":17,"name":"Train ID","value":"106-09"},{"id":16,"name":"Locomotive ID","value":"4019"},{"id":130,"name":"Impact","value":""},{"id":150,"name":"Time of Event (Mountain Time)","value":"05:50:19"},{"id":151,"name":"Denver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4019 --day 2017-11-09</v>
      </c>
      <c r="AN1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0"/>
        <v>https://d0f6bd738d7f1b3e5a7ca70fe4ff75f0.us-east-1.aws.found.io/app/kibana#/discover/Steve-Slow-Train-Analysis-(2080s-and-2083s)?_g=(refreshInterval:(display:Off,pause:!f,section:0,value:0),time:(from:'2017-11-09T04:01:25-0700',mode:absolute,to:'2017-11-09T06:50:19-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639</v>
      </c>
      <c r="B19" s="7">
        <v>4024</v>
      </c>
      <c r="C19" s="21" t="s">
        <v>192</v>
      </c>
      <c r="D19" s="21" t="s">
        <v>485</v>
      </c>
      <c r="E19" s="13">
        <v>43048.181215277778</v>
      </c>
      <c r="F19" s="13">
        <v>43048.1877662037</v>
      </c>
      <c r="G19" s="7">
        <v>76</v>
      </c>
      <c r="H19" s="21" t="s">
        <v>896</v>
      </c>
      <c r="I19" s="13">
        <v>43048.212384259263</v>
      </c>
      <c r="J19" s="7">
        <v>0</v>
      </c>
      <c r="K19" s="89" t="str">
        <f t="shared" si="0"/>
        <v>4023/4024</v>
      </c>
      <c r="L19" s="185" t="str">
        <f>VLOOKUP(A19,'Trips&amp;Operators'!$C$1:$G$99911,5,FALSE)</f>
        <v>BEAM ROSS</v>
      </c>
      <c r="M19" s="6">
        <f t="shared" si="1"/>
        <v>2.4618055562314112E-2</v>
      </c>
      <c r="N19" s="7">
        <f t="shared" si="21"/>
        <v>35.450000009732321</v>
      </c>
      <c r="O19" s="7"/>
      <c r="P19" s="7"/>
      <c r="Q19" s="22"/>
      <c r="R19" s="174"/>
      <c r="S19" s="221">
        <f t="shared" si="2"/>
        <v>1</v>
      </c>
      <c r="T19" s="174" t="str">
        <f t="shared" si="3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4"/>
        <v>https://d0f6bd738d7f1b3e5a7ca70fe4ff75f0.us-east-1.aws.found.io/app/kibana#/discover/Steve-Slow-Train-Analysis-(2080s-and-2083s)?_g=(refreshInterval:(display:Off,pause:!f,section:0,value:0),time:(from:'2017-11-09T03:20:57-0700',mode:absolute,to:'2017-11-09T06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04" t="str">
        <f>IF(AA19&lt;VLOOKUP(AG19,Variables!$AC$3:$AD$8,2,FALSE),"Y","N")</f>
        <v>N</v>
      </c>
      <c r="X19" s="204">
        <f t="shared" si="5"/>
        <v>1</v>
      </c>
      <c r="Y19" s="204">
        <f t="shared" si="6"/>
        <v>4.7500000000000001E-2</v>
      </c>
      <c r="Z19" s="204">
        <f t="shared" si="7"/>
        <v>23.329899999999999</v>
      </c>
      <c r="AA19" s="204">
        <f t="shared" si="8"/>
        <v>23.282399999999999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9"/>
        <v>107</v>
      </c>
      <c r="AE19" s="77" t="str">
        <f t="shared" si="1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9" s="74" t="str">
        <f t="shared" si="11"/>
        <v>"C:\Program Files (x86)\AstroGrep\AstroGrep.exe" /e /r /s /spath="%USERPROFILE%\AppData\Local\Temp\OnboardLogs" /stypes="app*4024*20171109*" /stext=" 12:.+((SYSTEM_STATE.+slice.+state.+changed )|(ment ac)|(multiple cpu faults)|(system.+state.+changed )|(\[timeout)|(PRM\|1\|D)|(kpr)|(kdp)|(train st.+moving)|(\|lc)|(penalty))"</v>
      </c>
      <c r="AG19" s="182" t="str">
        <f t="shared" si="12"/>
        <v>EC</v>
      </c>
      <c r="AH19" s="78" t="str">
        <f t="shared" si="18"/>
        <v>"%USERPROFILE%\Documents\GitHub\eaglep3\Utilities\RefineRTDCRunTimes.py" --tripid 107-09 --locoid 4024 --swversion DE.1.0.9.0 --startMP 204:475 --initTime 2017-11-09T04:20:57 --startdatetime 2017-11-09T04:30:23 --delay 76 --endMP 204:233299 --enddatetime 2017-11-09T05:05:50 --enforcementcount 0 &gt;&gt;%USERPROFILE%\Documents\GitHub\eaglep3-reporting\EC\2017-11-09-refined-times.txt</v>
      </c>
      <c r="AI1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{"issue":{"subject":"","project_id":79,"tracker_id":40,"status_id":1,"priority_id":2,"assigned_to_id":338,"start_date":"2017-11-09","description":"","custom_fields":[{"id":1,"name":"Subdivision","value":"EC"},{"id":4,"name":"Milepost","value":"23.3299"},{"id":17,"name":"Train ID","value":"107-09"},{"id":16,"name":"Locomotive ID","value":"4024"},{"id":130,"name":"Impact","value":""},{"id":150,"name":"Time of Event (Mountain Time)","value":"05:05:50"},{"id":151,"name":"Denver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4024 --day 2017-11-09</v>
      </c>
      <c r="AN1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0"/>
        <v>https://d0f6bd738d7f1b3e5a7ca70fe4ff75f0.us-east-1.aws.found.io/app/kibana#/discover/Steve-Slow-Train-Analysis-(2080s-and-2083s)?_g=(refreshInterval:(display:Off,pause:!f,section:0,value:0),time:(from:'2017-11-09T03:20:57-0700',mode:absolute,to:'2017-11-09T06:05:50-0700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687</v>
      </c>
      <c r="B20" s="7">
        <v>4023</v>
      </c>
      <c r="C20" s="21" t="s">
        <v>192</v>
      </c>
      <c r="D20" s="21" t="s">
        <v>897</v>
      </c>
      <c r="E20" s="13">
        <v>43048.213229166664</v>
      </c>
      <c r="F20" s="13">
        <v>43048.227268518516</v>
      </c>
      <c r="G20" s="7">
        <v>57</v>
      </c>
      <c r="H20" s="21" t="s">
        <v>898</v>
      </c>
      <c r="I20" s="13">
        <v>43048.253368055557</v>
      </c>
      <c r="J20" s="7">
        <v>0</v>
      </c>
      <c r="K20" s="89" t="str">
        <f t="shared" si="0"/>
        <v>4023/4024</v>
      </c>
      <c r="L20" s="185" t="str">
        <f>VLOOKUP(A20,'Trips&amp;Operators'!$C$1:$G$99911,5,FALSE)</f>
        <v>BEAM ROSS</v>
      </c>
      <c r="M20" s="6">
        <f t="shared" si="1"/>
        <v>2.6099537040863652E-2</v>
      </c>
      <c r="N20" s="7">
        <f t="shared" si="21"/>
        <v>37.583333338843659</v>
      </c>
      <c r="O20" s="7"/>
      <c r="P20" s="7"/>
      <c r="Q20" s="22"/>
      <c r="R20" s="174"/>
      <c r="S20" s="221">
        <f t="shared" si="2"/>
        <v>1</v>
      </c>
      <c r="T20" s="174" t="str">
        <f t="shared" si="3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4"/>
        <v>https://d0f6bd738d7f1b3e5a7ca70fe4ff75f0.us-east-1.aws.found.io/app/kibana#/discover/Steve-Slow-Train-Analysis-(2080s-and-2083s)?_g=(refreshInterval:(display:Off,pause:!f,section:0,value:0),time:(from:'2017-11-09T04:07:03-0700',mode:absolute,to:'2017-11-09T07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04" t="str">
        <f>IF(AA20&lt;VLOOKUP(AG20,Variables!$AC$3:$AD$8,2,FALSE),"Y","N")</f>
        <v>N</v>
      </c>
      <c r="X20" s="204">
        <f t="shared" si="5"/>
        <v>1</v>
      </c>
      <c r="Y20" s="204">
        <f t="shared" si="6"/>
        <v>23.296900000000001</v>
      </c>
      <c r="Z20" s="204">
        <f t="shared" si="7"/>
        <v>1.49E-2</v>
      </c>
      <c r="AA20" s="204">
        <f t="shared" si="8"/>
        <v>23.282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9"/>
        <v>108</v>
      </c>
      <c r="AE20" s="77" t="str">
        <f t="shared" si="10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20" s="74" t="str">
        <f t="shared" si="11"/>
        <v>"C:\Program Files (x86)\AstroGrep\AstroGrep.exe" /e /r /s /spath="%USERPROFILE%\AppData\Local\Temp\OnboardLogs" /stypes="app*4023*20171109*" /stext=" 13:.+((SYSTEM_STATE.+slice.+state.+changed )|(ment ac)|(multiple cpu faults)|(system.+state.+changed )|(\[timeout)|(PRM\|1\|D)|(kpr)|(kdp)|(train st.+moving)|(\|lc)|(penalty))"</v>
      </c>
      <c r="AG20" s="182" t="str">
        <f t="shared" si="12"/>
        <v>EC</v>
      </c>
      <c r="AH20" s="78" t="str">
        <f t="shared" si="18"/>
        <v>"%USERPROFILE%\Documents\GitHub\eaglep3\Utilities\RefineRTDCRunTimes.py" --tripid 108-09 --locoid 4023 --swversion DE.1.0.9.0 --startMP 204:232969 --initTime 2017-11-09T05:07:03 --startdatetime 2017-11-09T05:27:16 --delay 57 --endMP 204:149 --enddatetime 2017-11-09T06:04:51 --enforcementcount 0 &gt;&gt;%USERPROFILE%\Documents\GitHub\eaglep3-reporting\EC\2017-11-09-refined-times.txt</v>
      </c>
      <c r="AI20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{"issue":{"subject":"","project_id":79,"tracker_id":40,"status_id":1,"priority_id":2,"assigned_to_id":338,"start_date":"2017-11-09","description":"","custom_fields":[{"id":1,"name":"Subdivision","value":"EC"},{"id":4,"name":"Milepost","value":"0.0149"},{"id":17,"name":"Train ID","value":"108-09"},{"id":16,"name":"Locomotive ID","value":"4023"},{"id":130,"name":"Impact","value":""},{"id":150,"name":"Time of Event (Mountain Time)","value":"06:04:51"},{"id":151,"name":"Denver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4023 --day 2017-11-09</v>
      </c>
      <c r="AN20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0"/>
        <v>https://d0f6bd738d7f1b3e5a7ca70fe4ff75f0.us-east-1.aws.found.io/app/kibana#/discover/Steve-Slow-Train-Analysis-(2080s-and-2083s)?_g=(refreshInterval:(display:Off,pause:!f,section:0,value:0),time:(from:'2017-11-09T04:07:03-0700',mode:absolute,to:'2017-11-09T07:04:51-0700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681</v>
      </c>
      <c r="B21" s="7">
        <v>4026</v>
      </c>
      <c r="C21" s="21" t="s">
        <v>192</v>
      </c>
      <c r="D21" s="21" t="s">
        <v>457</v>
      </c>
      <c r="E21" s="13">
        <v>43048.194768518515</v>
      </c>
      <c r="F21" s="13">
        <v>43048.198113425926</v>
      </c>
      <c r="G21" s="7">
        <v>102</v>
      </c>
      <c r="H21" s="21" t="s">
        <v>899</v>
      </c>
      <c r="I21" s="13">
        <v>43048.223599537036</v>
      </c>
      <c r="J21" s="7">
        <v>0</v>
      </c>
      <c r="K21" s="89" t="str">
        <f t="shared" si="0"/>
        <v>4025/4026</v>
      </c>
      <c r="L21" s="185" t="str">
        <f>VLOOKUP(A21,'Trips&amp;Operators'!$C$1:$G$99911,5,FALSE)</f>
        <v>WILLIAMS DONTE</v>
      </c>
      <c r="M21" s="6">
        <f t="shared" si="1"/>
        <v>2.548611110978527E-2</v>
      </c>
      <c r="N21" s="7">
        <f t="shared" si="21"/>
        <v>36.699999998090789</v>
      </c>
      <c r="O21" s="7"/>
      <c r="P21" s="7"/>
      <c r="Q21" s="22"/>
      <c r="R21" s="174"/>
      <c r="S21" s="221">
        <f t="shared" si="2"/>
        <v>1</v>
      </c>
      <c r="T21" s="174" t="str">
        <f t="shared" si="3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4"/>
        <v>https://d0f6bd738d7f1b3e5a7ca70fe4ff75f0.us-east-1.aws.found.io/app/kibana#/discover/Steve-Slow-Train-Analysis-(2080s-and-2083s)?_g=(refreshInterval:(display:Off,pause:!f,section:0,value:0),time:(from:'2017-11-09T03:40:28-0700',mode:absolute,to:'2017-11-09T06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204" t="str">
        <f>IF(AA21&lt;VLOOKUP(AG21,Variables!$AC$3:$AD$8,2,FALSE),"Y","N")</f>
        <v>N</v>
      </c>
      <c r="X21" s="204">
        <f t="shared" si="5"/>
        <v>1</v>
      </c>
      <c r="Y21" s="204">
        <f t="shared" si="6"/>
        <v>5.0799999999999998E-2</v>
      </c>
      <c r="Z21" s="204">
        <f t="shared" si="7"/>
        <v>23.327400000000001</v>
      </c>
      <c r="AA21" s="204">
        <f t="shared" si="8"/>
        <v>23.276600000000002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9"/>
        <v>109</v>
      </c>
      <c r="AE21" s="77" t="str">
        <f t="shared" si="10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21" s="74" t="str">
        <f t="shared" si="11"/>
        <v>"C:\Program Files (x86)\AstroGrep\AstroGrep.exe" /e /r /s /spath="%USERPROFILE%\AppData\Local\Temp\OnboardLogs" /stypes="app*4026*20171109*" /stext=" 12:.+((SYSTEM_STATE.+slice.+state.+changed )|(ment ac)|(multiple cpu faults)|(system.+state.+changed )|(\[timeout)|(PRM\|1\|D)|(kpr)|(kdp)|(train st.+moving)|(\|lc)|(penalty))"</v>
      </c>
      <c r="AG21" s="182" t="str">
        <f t="shared" si="12"/>
        <v>EC</v>
      </c>
      <c r="AH21" s="78" t="str">
        <f t="shared" si="18"/>
        <v>"%USERPROFILE%\Documents\GitHub\eaglep3\Utilities\RefineRTDCRunTimes.py" --tripid 109-09 --locoid 4026 --swversion DE.1.0.9.0 --startMP 204:508 --initTime 2017-11-09T04:40:28 --startdatetime 2017-11-09T04:45:17 --delay 102 --endMP 204:233274 --enddatetime 2017-11-09T05:21:59 --enforcementcount 0 &gt;&gt;%USERPROFILE%\Documents\GitHub\eaglep3-reporting\EC\2017-11-09-refined-times.txt</v>
      </c>
      <c r="AI2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{"issue":{"subject":"","project_id":79,"tracker_id":40,"status_id":1,"priority_id":2,"assigned_to_id":338,"start_date":"2017-11-09","description":"","custom_fields":[{"id":1,"name":"Subdivision","value":"EC"},{"id":4,"name":"Milepost","value":"23.3274"},{"id":17,"name":"Train ID","value":"109-09"},{"id":16,"name":"Locomotive ID","value":"4026"},{"id":130,"name":"Impact","value":""},{"id":150,"name":"Time of Event (Mountain Time)","value":"05:21:59"},{"id":151,"name":"Denver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4026 --day 2017-11-09</v>
      </c>
      <c r="AN2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0"/>
        <v>https://d0f6bd738d7f1b3e5a7ca70fe4ff75f0.us-east-1.aws.found.io/app/kibana#/discover/Steve-Slow-Train-Analysis-(2080s-and-2083s)?_g=(refreshInterval:(display:Off,pause:!f,section:0,value:0),time:(from:'2017-11-09T03:40:28-0700',mode:absolute,to:'2017-11-09T06:21:59-0700'))&amp;_a=(columns:!('Message%20ID',Summary),filters:!(),index:'emp_*',interval:auto,query:(query_string:(analyze_wildcard:!t,query:'%22rtdc.l.rtdc.4026%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693</v>
      </c>
      <c r="B22" s="7">
        <v>4025</v>
      </c>
      <c r="C22" s="21" t="s">
        <v>192</v>
      </c>
      <c r="D22" s="21" t="s">
        <v>900</v>
      </c>
      <c r="E22" s="13">
        <v>43048.232534722221</v>
      </c>
      <c r="F22" s="13">
        <v>43048.237708333334</v>
      </c>
      <c r="G22" s="7">
        <v>99</v>
      </c>
      <c r="H22" s="21" t="s">
        <v>901</v>
      </c>
      <c r="I22" s="13">
        <v>43048.265046296299</v>
      </c>
      <c r="J22" s="7">
        <v>0</v>
      </c>
      <c r="K22" s="89" t="str">
        <f t="shared" si="0"/>
        <v>4025/4026</v>
      </c>
      <c r="L22" s="185" t="str">
        <f>VLOOKUP(A22,'Trips&amp;Operators'!$C$1:$G$99911,5,FALSE)</f>
        <v>WILLIAMS DONTE</v>
      </c>
      <c r="M22" s="6">
        <f t="shared" si="1"/>
        <v>2.7337962965248153E-2</v>
      </c>
      <c r="N22" s="7">
        <f t="shared" si="21"/>
        <v>39.36666666995734</v>
      </c>
      <c r="O22" s="7"/>
      <c r="P22" s="7"/>
      <c r="Q22" s="22"/>
      <c r="R22" s="174"/>
      <c r="S22" s="221">
        <f t="shared" si="2"/>
        <v>1</v>
      </c>
      <c r="T22" s="174" t="str">
        <f t="shared" si="3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4"/>
        <v>https://d0f6bd738d7f1b3e5a7ca70fe4ff75f0.us-east-1.aws.found.io/app/kibana#/discover/Steve-Slow-Train-Analysis-(2080s-and-2083s)?_g=(refreshInterval:(display:Off,pause:!f,section:0,value:0),time:(from:'2017-11-09T04:34:51-0700',mode:absolute,to:'2017-11-09T07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204" t="str">
        <f>IF(AA22&lt;VLOOKUP(AG22,Variables!$AC$3:$AD$8,2,FALSE),"Y","N")</f>
        <v>N</v>
      </c>
      <c r="X22" s="204">
        <f t="shared" si="5"/>
        <v>1</v>
      </c>
      <c r="Y22" s="204">
        <f t="shared" si="6"/>
        <v>23.2959</v>
      </c>
      <c r="Z22" s="204">
        <f t="shared" si="7"/>
        <v>2.0299999999999999E-2</v>
      </c>
      <c r="AA22" s="204">
        <f t="shared" si="8"/>
        <v>23.275600000000001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9"/>
        <v>110</v>
      </c>
      <c r="AE22" s="77" t="str">
        <f t="shared" si="10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22" s="74" t="str">
        <f t="shared" si="11"/>
        <v>"C:\Program Files (x86)\AstroGrep\AstroGrep.exe" /e /r /s /spath="%USERPROFILE%\AppData\Local\Temp\OnboardLogs" /stypes="app*4025*20171109*" /stext=" 13:.+((SYSTEM_STATE.+slice.+state.+changed )|(ment ac)|(multiple cpu faults)|(system.+state.+changed )|(\[timeout)|(PRM\|1\|D)|(kpr)|(kdp)|(train st.+moving)|(\|lc)|(penalty))"</v>
      </c>
      <c r="AG22" s="182" t="str">
        <f t="shared" si="12"/>
        <v>EC</v>
      </c>
      <c r="AH22" s="78" t="str">
        <f t="shared" si="18"/>
        <v>"%USERPROFILE%\Documents\GitHub\eaglep3\Utilities\RefineRTDCRunTimes.py" --tripid 110-09 --locoid 4025 --swversion DE.1.0.9.0 --startMP 204:232959 --initTime 2017-11-09T05:34:51 --startdatetime 2017-11-09T05:42:18 --delay 99 --endMP 204:203 --enddatetime 2017-11-09T06:21:40 --enforcementcount 0 &gt;&gt;%USERPROFILE%\Documents\GitHub\eaglep3-reporting\EC\2017-11-09-refined-times.txt</v>
      </c>
      <c r="AI2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{"issue":{"subject":"","project_id":79,"tracker_id":40,"status_id":1,"priority_id":2,"assigned_to_id":338,"start_date":"2017-11-09","description":"","custom_fields":[{"id":1,"name":"Subdivision","value":"EC"},{"id":4,"name":"Milepost","value":"0.0203"},{"id":17,"name":"Train ID","value":"110-09"},{"id":16,"name":"Locomotive ID","value":"4025"},{"id":130,"name":"Impact","value":""},{"id":150,"name":"Time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4025 --day 2017-11-09</v>
      </c>
      <c r="AN2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0"/>
        <v>https://d0f6bd738d7f1b3e5a7ca70fe4ff75f0.us-east-1.aws.found.io/app/kibana#/discover/Steve-Slow-Train-Analysis-(2080s-and-2083s)?_g=(refreshInterval:(display:Off,pause:!f,section:0,value:0),time:(from:'2017-11-09T04:34:51-0700',mode:absolute,to:'2017-11-09T07:21:40-0700'))&amp;_a=(columns:!('Message%20ID',Summary),filters:!(),index:'emp_*',interval:auto,query:(query_string:(analyze_wildcard:!t,query:'%22rtdc.l.rtdc.4025%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684</v>
      </c>
      <c r="B23" s="7">
        <v>4008</v>
      </c>
      <c r="C23" s="21" t="s">
        <v>192</v>
      </c>
      <c r="D23" s="21" t="s">
        <v>889</v>
      </c>
      <c r="E23" s="13">
        <v>43048.203946759262</v>
      </c>
      <c r="F23" s="13">
        <v>43048.208495370367</v>
      </c>
      <c r="G23" s="7">
        <v>46</v>
      </c>
      <c r="H23" s="21" t="s">
        <v>902</v>
      </c>
      <c r="I23" s="13">
        <v>43048.232685185183</v>
      </c>
      <c r="J23" s="7">
        <v>0</v>
      </c>
      <c r="K23" s="89" t="str">
        <f t="shared" si="0"/>
        <v>4007/4008</v>
      </c>
      <c r="L23" s="185" t="str">
        <f>VLOOKUP(A23,'Trips&amp;Operators'!$C$1:$G$99911,5,FALSE)</f>
        <v>YORK EDGAR</v>
      </c>
      <c r="M23" s="6">
        <f t="shared" si="1"/>
        <v>2.4189814816054422E-2</v>
      </c>
      <c r="N23" s="7">
        <f t="shared" si="21"/>
        <v>34.833333335118368</v>
      </c>
      <c r="O23" s="7"/>
      <c r="P23" s="7"/>
      <c r="Q23" s="22"/>
      <c r="R23" s="174"/>
      <c r="S23" s="221">
        <f t="shared" si="2"/>
        <v>1</v>
      </c>
      <c r="T23" s="174" t="str">
        <f t="shared" si="3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4"/>
        <v>https://d0f6bd738d7f1b3e5a7ca70fe4ff75f0.us-east-1.aws.found.io/app/kibana#/discover/Steve-Slow-Train-Analysis-(2080s-and-2083s)?_g=(refreshInterval:(display:Off,pause:!f,section:0,value:0),time:(from:'2017-11-09T03:53:41-0700',mode:absolute,to:'2017-11-09T06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204" t="str">
        <f>IF(AA23&lt;VLOOKUP(AG23,Variables!$AC$3:$AD$8,2,FALSE),"Y","N")</f>
        <v>N</v>
      </c>
      <c r="X23" s="204">
        <f t="shared" si="5"/>
        <v>1</v>
      </c>
      <c r="Y23" s="204">
        <f t="shared" si="6"/>
        <v>4.6199999999999998E-2</v>
      </c>
      <c r="Z23" s="204">
        <f t="shared" si="7"/>
        <v>23.328800000000001</v>
      </c>
      <c r="AA23" s="204">
        <f t="shared" si="8"/>
        <v>23.282600000000002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9"/>
        <v>111</v>
      </c>
      <c r="AE23" s="77" t="str">
        <f t="shared" si="10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23" s="74" t="str">
        <f t="shared" si="11"/>
        <v>"C:\Program Files (x86)\AstroGrep\AstroGrep.exe" /e /r /s /spath="%USERPROFILE%\AppData\Local\Temp\OnboardLogs" /stypes="app*4008*20171109*" /stext=" 12:.+((SYSTEM_STATE.+slice.+state.+changed )|(ment ac)|(multiple cpu faults)|(system.+state.+changed )|(\[timeout)|(PRM\|1\|D)|(kpr)|(kdp)|(train st.+moving)|(\|lc)|(penalty))"</v>
      </c>
      <c r="AG23" s="182" t="str">
        <f t="shared" si="12"/>
        <v>EC</v>
      </c>
      <c r="AH23" s="78" t="str">
        <f t="shared" si="18"/>
        <v>"%USERPROFILE%\Documents\GitHub\eaglep3\Utilities\RefineRTDCRunTimes.py" --tripid 111-09 --locoid 4008 --swversion DE.1.0.9.0 --startMP 204:462 --initTime 2017-11-09T04:53:41 --startdatetime 2017-11-09T05:00:14 --delay 46 --endMP 204:233288 --enddatetime 2017-11-09T05:35:04 --enforcementcount 0 &gt;&gt;%USERPROFILE%\Documents\GitHub\eaglep3-reporting\EC\2017-11-09-refined-times.txt</v>
      </c>
      <c r="AI2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{"issue":{"subject":"","project_id":79,"tracker_id":40,"status_id":1,"priority_id":2,"assigned_to_id":338,"start_date":"2017-11-09","description":"","custom_fields":[{"id":1,"name":"Subdivision","value":"EC"},{"id":4,"name":"Milepost","value":"23.3288"},{"id":17,"name":"Train ID","value":"111-09"},{"id":16,"name":"Locomotive ID","value":"4008"},{"id":130,"name":"Impact","value":""},{"id":150,"name":"Time of Event (Mountain Time)","value":"05:35:04"},{"id":151,"name":"Denver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4008 --day 2017-11-09</v>
      </c>
      <c r="AN2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0"/>
        <v>https://d0f6bd738d7f1b3e5a7ca70fe4ff75f0.us-east-1.aws.found.io/app/kibana#/discover/Steve-Slow-Train-Analysis-(2080s-and-2083s)?_g=(refreshInterval:(display:Off,pause:!f,section:0,value:0),time:(from:'2017-11-09T03:53:41-0700',mode:absolute,to:'2017-11-09T06:35:04-0700'))&amp;_a=(columns:!('Message%20ID',Summary),filters:!(),index:'emp_*',interval:auto,query:(query_string:(analyze_wildcard:!t,query:'%22rtdc.l.rtdc.4008%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694</v>
      </c>
      <c r="B24" s="7">
        <v>4007</v>
      </c>
      <c r="C24" s="21" t="s">
        <v>192</v>
      </c>
      <c r="D24" s="21" t="s">
        <v>514</v>
      </c>
      <c r="E24" s="13">
        <v>43048.233680555553</v>
      </c>
      <c r="F24" s="13">
        <v>43048.248460648145</v>
      </c>
      <c r="G24" s="7">
        <v>46</v>
      </c>
      <c r="H24" s="21" t="s">
        <v>903</v>
      </c>
      <c r="I24" s="13">
        <v>43048.273692129631</v>
      </c>
      <c r="J24" s="7">
        <v>0</v>
      </c>
      <c r="K24" s="89" t="str">
        <f t="shared" si="0"/>
        <v>4007/4008</v>
      </c>
      <c r="L24" s="185" t="str">
        <f>VLOOKUP(A24,'Trips&amp;Operators'!$C$1:$G$99911,5,FALSE)</f>
        <v>YORK EDGAR</v>
      </c>
      <c r="M24" s="6">
        <f t="shared" si="1"/>
        <v>2.5231481486116536E-2</v>
      </c>
      <c r="N24" s="7">
        <f t="shared" si="21"/>
        <v>36.333333340007812</v>
      </c>
      <c r="O24" s="7"/>
      <c r="P24" s="7"/>
      <c r="Q24" s="22"/>
      <c r="R24" s="174"/>
      <c r="S24" s="221">
        <f t="shared" si="2"/>
        <v>1</v>
      </c>
      <c r="T24" s="174" t="str">
        <f t="shared" si="3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4"/>
        <v>https://d0f6bd738d7f1b3e5a7ca70fe4ff75f0.us-east-1.aws.found.io/app/kibana#/discover/Steve-Slow-Train-Analysis-(2080s-and-2083s)?_g=(refreshInterval:(display:Off,pause:!f,section:0,value:0),time:(from:'2017-11-09T04:36:30-0700',mode:absolute,to:'2017-11-09T07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204" t="str">
        <f>IF(AA24&lt;VLOOKUP(AG24,Variables!$AC$3:$AD$8,2,FALSE),"Y","N")</f>
        <v>N</v>
      </c>
      <c r="X24" s="204">
        <f t="shared" si="5"/>
        <v>1</v>
      </c>
      <c r="Y24" s="204">
        <f t="shared" si="6"/>
        <v>23.296700000000001</v>
      </c>
      <c r="Z24" s="204">
        <f t="shared" si="7"/>
        <v>1.6E-2</v>
      </c>
      <c r="AA24" s="204">
        <f t="shared" si="8"/>
        <v>23.280700000000003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9"/>
        <v>112</v>
      </c>
      <c r="AE24" s="77" t="str">
        <f t="shared" si="10"/>
        <v>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 &amp; 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</v>
      </c>
      <c r="AF24" s="74" t="str">
        <f t="shared" si="11"/>
        <v>"C:\Program Files (x86)\AstroGrep\AstroGrep.exe" /e /r /s /spath="%USERPROFILE%\AppData\Local\Temp\OnboardLogs" /stypes="app*4007*20171109*" /stext=" 13:.+((SYSTEM_STATE.+slice.+state.+changed )|(ment ac)|(multiple cpu faults)|(system.+state.+changed )|(\[timeout)|(PRM\|1\|D)|(kpr)|(kdp)|(train st.+moving)|(\|lc)|(penalty))"</v>
      </c>
      <c r="AG24" s="182" t="str">
        <f t="shared" si="12"/>
        <v>EC</v>
      </c>
      <c r="AH24" s="78" t="str">
        <f t="shared" si="18"/>
        <v>"%USERPROFILE%\Documents\GitHub\eaglep3\Utilities\RefineRTDCRunTimes.py" --tripid 112-09 --locoid 4007 --swversion DE.1.0.9.0 --startMP 204:232967 --initTime 2017-11-09T05:36:30 --startdatetime 2017-11-09T05:57:47 --delay 46 --endMP 204:160 --enddatetime 2017-11-09T06:34:07 --enforcementcount 0 &gt;&gt;%USERPROFILE%\Documents\GitHub\eaglep3-reporting\EC\2017-11-09-refined-times.txt</v>
      </c>
      <c r="AI2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{"issue":{"subject":"","project_id":79,"tracker_id":40,"status_id":1,"priority_id":2,"assigned_to_id":338,"start_date":"2017-11-09","description":"","custom_fields":[{"id":1,"name":"Subdivision","value":"EC"},{"id":4,"name":"Milepost","value":"0.016"},{"id":17,"name":"Train ID","value":"112-09"},{"id":16,"name":"Locomotive ID","value":"4007"},{"id":130,"name":"Impact","value":""},{"id":150,"name":"Time of Event (Mountain Time)","value":"06:34:07"},{"id":151,"name":"Denver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4007 --day 2017-11-09</v>
      </c>
      <c r="AN2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0"/>
        <v>https://d0f6bd738d7f1b3e5a7ca70fe4ff75f0.us-east-1.aws.found.io/app/kibana#/discover/Steve-Slow-Train-Analysis-(2080s-and-2083s)?_g=(refreshInterval:(display:Off,pause:!f,section:0,value:0),time:(from:'2017-11-09T04:36:30-0700',mode:absolute,to:'2017-11-09T07:34:07-0700'))&amp;_a=(columns:!('Message%20ID',Summary),filters:!(),index:'emp_*',interval:auto,query:(query_string:(analyze_wildcard:!t,query:'%22rtdc.l.rtdc.4007%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685</v>
      </c>
      <c r="B25" s="7">
        <v>4006</v>
      </c>
      <c r="C25" s="21" t="s">
        <v>192</v>
      </c>
      <c r="D25" s="21" t="s">
        <v>904</v>
      </c>
      <c r="E25" s="13">
        <v>43048.204872685186</v>
      </c>
      <c r="F25" s="13">
        <v>43048.218958333331</v>
      </c>
      <c r="G25" s="7">
        <v>105</v>
      </c>
      <c r="H25" s="21" t="s">
        <v>905</v>
      </c>
      <c r="I25" s="13">
        <v>43048.243726851855</v>
      </c>
      <c r="J25" s="7">
        <v>0</v>
      </c>
      <c r="K25" s="89" t="str">
        <f t="shared" si="0"/>
        <v>4005/4006</v>
      </c>
      <c r="L25" s="185" t="str">
        <f>VLOOKUP(A25,'Trips&amp;Operators'!$C$1:$G$99911,5,FALSE)</f>
        <v>YANAI IAN</v>
      </c>
      <c r="M25" s="6">
        <f t="shared" si="1"/>
        <v>2.4768518524069805E-2</v>
      </c>
      <c r="N25" s="7">
        <f t="shared" si="21"/>
        <v>35.666666674660519</v>
      </c>
      <c r="O25" s="7"/>
      <c r="P25" s="7"/>
      <c r="Q25" s="22"/>
      <c r="R25" s="174"/>
      <c r="S25" s="221">
        <f t="shared" si="2"/>
        <v>1</v>
      </c>
      <c r="T25" s="174" t="str">
        <f t="shared" si="3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4"/>
        <v>https://d0f6bd738d7f1b3e5a7ca70fe4ff75f0.us-east-1.aws.found.io/app/kibana#/discover/Steve-Slow-Train-Analysis-(2080s-and-2083s)?_g=(refreshInterval:(display:Off,pause:!f,section:0,value:0),time:(from:'2017-11-09T03:55:01-0700',mode:absolute,to:'2017-11-09T06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04" t="str">
        <f>IF(AA25&lt;VLOOKUP(AG25,Variables!$AC$3:$AD$8,2,FALSE),"Y","N")</f>
        <v>N</v>
      </c>
      <c r="X25" s="204">
        <f t="shared" si="5"/>
        <v>1</v>
      </c>
      <c r="Y25" s="204">
        <f t="shared" si="6"/>
        <v>4.4699999999999997E-2</v>
      </c>
      <c r="Z25" s="204">
        <f t="shared" si="7"/>
        <v>23.329699999999999</v>
      </c>
      <c r="AA25" s="204">
        <f t="shared" si="8"/>
        <v>23.285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9"/>
        <v>113</v>
      </c>
      <c r="AE25" s="77" t="str">
        <f t="shared" si="10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25" s="74" t="str">
        <f t="shared" si="11"/>
        <v>"C:\Program Files (x86)\AstroGrep\AstroGrep.exe" /e /r /s /spath="%USERPROFILE%\AppData\Local\Temp\OnboardLogs" /stypes="app*4006*20171109*" /stext=" 12:.+((SYSTEM_STATE.+slice.+state.+changed )|(ment ac)|(multiple cpu faults)|(system.+state.+changed )|(\[timeout)|(PRM\|1\|D)|(kpr)|(kdp)|(train st.+moving)|(\|lc)|(penalty))"</v>
      </c>
      <c r="AG25" s="182" t="str">
        <f t="shared" si="12"/>
        <v>EC</v>
      </c>
      <c r="AH25" s="78" t="str">
        <f t="shared" si="18"/>
        <v>"%USERPROFILE%\Documents\GitHub\eaglep3\Utilities\RefineRTDCRunTimes.py" --tripid 113-09 --locoid 4006 --swversion DE.1.0.9.0 --startMP 204:447 --initTime 2017-11-09T04:55:01 --startdatetime 2017-11-09T05:15:18 --delay 105 --endMP 204:233297 --enddatetime 2017-11-09T05:50:58 --enforcementcount 0 &gt;&gt;%USERPROFILE%\Documents\GitHub\eaglep3-reporting\EC\2017-11-09-refined-times.txt</v>
      </c>
      <c r="AI2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{"issue":{"subject":"","project_id":79,"tracker_id":40,"status_id":1,"priority_id":2,"assigned_to_id":338,"start_date":"2017-11-09","description":"","custom_fields":[{"id":1,"name":"Subdivision","value":"EC"},{"id":4,"name":"Milepost","value":"23.3297"},{"id":17,"name":"Train ID","value":"113-09"},{"id":16,"name":"Locomotive ID","value":"4006"},{"id":130,"name":"Impact","value":""},{"id":150,"name":"Time of Event (Mountain Time)","value":"05:50:58"},{"id":151,"name":"Denver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4006 --day 2017-11-09</v>
      </c>
      <c r="AN2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0"/>
        <v>https://d0f6bd738d7f1b3e5a7ca70fe4ff75f0.us-east-1.aws.found.io/app/kibana#/discover/Steve-Slow-Train-Analysis-(2080s-and-2083s)?_g=(refreshInterval:(display:Off,pause:!f,section:0,value:0),time:(from:'2017-11-09T03:55:01-0700',mode:absolute,to:'2017-11-09T06:50:58-0700'))&amp;_a=(columns:!('Message%20ID',Summary),filters:!(),index:'emp_*',interval:auto,query:(query_string:(analyze_wildcard:!t,query:'%22rtdc.l.rtdc.4006%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641</v>
      </c>
      <c r="B26" s="7">
        <v>4005</v>
      </c>
      <c r="C26" s="21" t="s">
        <v>192</v>
      </c>
      <c r="D26" s="21" t="s">
        <v>894</v>
      </c>
      <c r="E26" s="13">
        <v>43048.24491898148</v>
      </c>
      <c r="F26" s="13">
        <v>43048.25849537037</v>
      </c>
      <c r="G26" s="7">
        <v>65</v>
      </c>
      <c r="H26" s="21" t="s">
        <v>519</v>
      </c>
      <c r="I26" s="13">
        <v>43048.284305555557</v>
      </c>
      <c r="J26" s="7">
        <v>0</v>
      </c>
      <c r="K26" s="89" t="str">
        <f t="shared" si="0"/>
        <v>4005/4006</v>
      </c>
      <c r="L26" s="185" t="str">
        <f>VLOOKUP(A26,'Trips&amp;Operators'!$C$1:$G$99911,5,FALSE)</f>
        <v>YANAI IAN</v>
      </c>
      <c r="M26" s="6">
        <f t="shared" si="1"/>
        <v>2.5810185186855961E-2</v>
      </c>
      <c r="N26" s="7">
        <f t="shared" si="21"/>
        <v>37.166666669072583</v>
      </c>
      <c r="O26" s="7"/>
      <c r="P26" s="7"/>
      <c r="Q26" s="22"/>
      <c r="R26" s="174"/>
      <c r="S26" s="221">
        <f t="shared" si="2"/>
        <v>1</v>
      </c>
      <c r="T26" s="174" t="str">
        <f t="shared" si="3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4"/>
        <v>https://d0f6bd738d7f1b3e5a7ca70fe4ff75f0.us-east-1.aws.found.io/app/kibana#/discover/Steve-Slow-Train-Analysis-(2080s-and-2083s)?_g=(refreshInterval:(display:Off,pause:!f,section:0,value:0),time:(from:'2017-11-09T04:52:41-0700',mode:absolute,to:'2017-11-09T07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04" t="str">
        <f>IF(AA26&lt;VLOOKUP(AG26,Variables!$AC$3:$AD$8,2,FALSE),"Y","N")</f>
        <v>N</v>
      </c>
      <c r="X26" s="204">
        <f t="shared" si="5"/>
        <v>1</v>
      </c>
      <c r="Y26" s="204">
        <f t="shared" si="6"/>
        <v>23.296800000000001</v>
      </c>
      <c r="Z26" s="204">
        <f t="shared" si="7"/>
        <v>2.2700000000000001E-2</v>
      </c>
      <c r="AA26" s="204">
        <f t="shared" si="8"/>
        <v>23.274100000000001</v>
      </c>
      <c r="AB26" s="54" t="str">
        <f>VLOOKUP(A26,Enforcements!$C$7:$K$9,8,0)</f>
        <v>Bulletin (2)</v>
      </c>
      <c r="AC26" s="51" t="str">
        <f>VLOOKUP(A26,Enforcements!$C$7:$E$9,3,0)</f>
        <v>GRADE CROSSING</v>
      </c>
      <c r="AD26" s="179">
        <f t="shared" si="9"/>
        <v>114</v>
      </c>
      <c r="AE26" s="77" t="str">
        <f t="shared" si="10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26" s="74" t="str">
        <f t="shared" si="11"/>
        <v>"C:\Program Files (x86)\AstroGrep\AstroGrep.exe" /e /r /s /spath="%USERPROFILE%\AppData\Local\Temp\OnboardLogs" /stypes="app*4005*20171109*" /stext=" 13:.+((SYSTEM_STATE.+slice.+state.+changed )|(ment ac)|(multiple cpu faults)|(system.+state.+changed )|(\[timeout)|(PRM\|1\|D)|(kpr)|(kdp)|(train st.+moving)|(\|lc)|(penalty))"</v>
      </c>
      <c r="AG26" s="182" t="str">
        <f t="shared" si="12"/>
        <v>EC</v>
      </c>
      <c r="AH26" s="78" t="str">
        <f t="shared" si="18"/>
        <v>"%USERPROFILE%\Documents\GitHub\eaglep3\Utilities\RefineRTDCRunTimes.py" --tripid 114-09 --locoid 4005 --swversion DE.1.0.9.0 --startMP 204:232968 --initTime 2017-11-09T05:52:41 --startdatetime 2017-11-09T06:12:14 --delay 65 --endMP 204:227 --enddatetime 2017-11-09T06:49:24 --enforcementcount 0 &gt;&gt;%USERPROFILE%\Documents\GitHub\eaglep3-reporting\EC\2017-11-09-refined-times.txt</v>
      </c>
      <c r="AI2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{"issue":{"subject":"","project_id":79,"tracker_id":40,"status_id":1,"priority_id":2,"assigned_to_id":338,"start_date":"2017-11-09","description":"","custom_fields":[{"id":1,"name":"Subdivision","value":"EC"},{"id":4,"name":"Milepost","value":"0.0227"},{"id":17,"name":"Train ID","value":"114-09"},{"id":16,"name":"Locomotive ID","value":"4005"},{"id":130,"name":"Impact","value":""},{"id":150,"name":"Time of Event (Mountain Time)","value":"06:49:24"},{"id":151,"name":"Denver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4005 --day 2017-11-09</v>
      </c>
      <c r="AN2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0"/>
        <v>https://d0f6bd738d7f1b3e5a7ca70fe4ff75f0.us-east-1.aws.found.io/app/kibana#/discover/Steve-Slow-Train-Analysis-(2080s-and-2083s)?_g=(refreshInterval:(display:Off,pause:!f,section:0,value:0),time:(from:'2017-11-09T04:52:41-0700',mode:absolute,to:'2017-11-09T07:49:24-0700'))&amp;_a=(columns:!('Message%20ID',Summary),filters:!(),index:'emp_*',interval:auto,query:(query_string:(analyze_wildcard:!t,query:'%22rtdc.l.rtdc.4005%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691</v>
      </c>
      <c r="B27" s="7">
        <v>4022</v>
      </c>
      <c r="C27" s="21" t="s">
        <v>192</v>
      </c>
      <c r="D27" s="21" t="s">
        <v>891</v>
      </c>
      <c r="E27" s="13">
        <v>43048.226458333331</v>
      </c>
      <c r="F27" s="13">
        <v>43048.229525462964</v>
      </c>
      <c r="G27" s="7">
        <v>56</v>
      </c>
      <c r="H27" s="21" t="s">
        <v>600</v>
      </c>
      <c r="I27" s="13">
        <v>43048.254340277781</v>
      </c>
      <c r="J27" s="7">
        <v>0</v>
      </c>
      <c r="K27" s="89" t="str">
        <f t="shared" si="0"/>
        <v>4021/4022</v>
      </c>
      <c r="L27" s="185" t="str">
        <f>VLOOKUP(A27,'Trips&amp;Operators'!$C$1:$G$99911,5,FALSE)</f>
        <v>MAELZER KURT</v>
      </c>
      <c r="M27" s="6">
        <f t="shared" si="1"/>
        <v>2.4814814816636499E-2</v>
      </c>
      <c r="N27" s="7">
        <f t="shared" si="21"/>
        <v>35.733333335956559</v>
      </c>
      <c r="O27" s="7"/>
      <c r="P27" s="7"/>
      <c r="Q27" s="22"/>
      <c r="R27" s="174"/>
      <c r="S27" s="221">
        <f t="shared" si="2"/>
        <v>1</v>
      </c>
      <c r="T27" s="174" t="str">
        <f t="shared" si="3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4"/>
        <v>https://d0f6bd738d7f1b3e5a7ca70fe4ff75f0.us-east-1.aws.found.io/app/kibana#/discover/Steve-Slow-Train-Analysis-(2080s-and-2083s)?_g=(refreshInterval:(display:Off,pause:!f,section:0,value:0),time:(from:'2017-11-09T04:26:06-0700',mode:absolute,to:'2017-11-09T07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204" t="str">
        <f>IF(AA27&lt;VLOOKUP(AG27,Variables!$AC$3:$AD$8,2,FALSE),"Y","N")</f>
        <v>N</v>
      </c>
      <c r="X27" s="204">
        <f t="shared" si="5"/>
        <v>1</v>
      </c>
      <c r="Y27" s="204">
        <f t="shared" si="6"/>
        <v>4.6399999999999997E-2</v>
      </c>
      <c r="Z27" s="204">
        <f t="shared" si="7"/>
        <v>23.329499999999999</v>
      </c>
      <c r="AA27" s="204">
        <f t="shared" si="8"/>
        <v>23.283100000000001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9"/>
        <v>115</v>
      </c>
      <c r="AE27" s="77" t="str">
        <f t="shared" si="1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27" s="74" t="str">
        <f t="shared" si="11"/>
        <v>"C:\Program Files (x86)\AstroGrep\AstroGrep.exe" /e /r /s /spath="%USERPROFILE%\AppData\Local\Temp\OnboardLogs" /stypes="app*4022*20171109*" /stext=" 13:.+((SYSTEM_STATE.+slice.+state.+changed )|(ment ac)|(multiple cpu faults)|(system.+state.+changed )|(\[timeout)|(PRM\|1\|D)|(kpr)|(kdp)|(train st.+moving)|(\|lc)|(penalty))"</v>
      </c>
      <c r="AG27" s="182" t="str">
        <f t="shared" si="12"/>
        <v>EC</v>
      </c>
      <c r="AH27" s="78" t="str">
        <f t="shared" si="18"/>
        <v>"%USERPROFILE%\Documents\GitHub\eaglep3\Utilities\RefineRTDCRunTimes.py" --tripid 115-09 --locoid 4022 --swversion DE.1.0.9.0 --startMP 204:464 --initTime 2017-11-09T05:26:06 --startdatetime 2017-11-09T05:30:31 --delay 56 --endMP 204:233295 --enddatetime 2017-11-09T06:06:15 --enforcementcount 0 &gt;&gt;%USERPROFILE%\Documents\GitHub\eaglep3-reporting\EC\2017-11-09-refined-times.txt</v>
      </c>
      <c r="AI2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{"issue":{"subject":"","project_id":79,"tracker_id":40,"status_id":1,"priority_id":2,"assigned_to_id":338,"start_date":"2017-11-09","description":"","custom_fields":[{"id":1,"name":"Subdivision","value":"EC"},{"id":4,"name":"Milepost","value":"23.3295"},{"id":17,"name":"Train ID","value":"115-09"},{"id":16,"name":"Locomotive ID","value":"4022"},{"id":130,"name":"Impact","value":""},{"id":150,"name":"Time of Event (Mountain Time)","value":"06:06:15"},{"id":151,"name":"Denver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4022 --day 2017-11-09</v>
      </c>
      <c r="AN2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0"/>
        <v>https://d0f6bd738d7f1b3e5a7ca70fe4ff75f0.us-east-1.aws.found.io/app/kibana#/discover/Steve-Slow-Train-Analysis-(2080s-and-2083s)?_g=(refreshInterval:(display:Off,pause:!f,section:0,value:0),time:(from:'2017-11-09T04:26:06-0700',mode:absolute,to:'2017-11-09T07:06:15-0700'))&amp;_a=(columns:!('Message%20ID',Summary),filters:!(),index:'emp_*',interval:auto,query:(query_string:(analyze_wildcard:!t,query:'%22rtdc.l.rtdc.4022%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702</v>
      </c>
      <c r="B28" s="7">
        <v>4021</v>
      </c>
      <c r="C28" s="21" t="s">
        <v>192</v>
      </c>
      <c r="D28" s="21" t="s">
        <v>906</v>
      </c>
      <c r="E28" s="13">
        <v>43048.263275462959</v>
      </c>
      <c r="F28" s="13">
        <v>43048.268923611111</v>
      </c>
      <c r="G28" s="7">
        <v>44</v>
      </c>
      <c r="H28" s="21" t="s">
        <v>588</v>
      </c>
      <c r="I28" s="13">
        <v>43048.295520833337</v>
      </c>
      <c r="J28" s="7">
        <v>0</v>
      </c>
      <c r="K28" s="89" t="str">
        <f t="shared" si="0"/>
        <v>4021/4022</v>
      </c>
      <c r="L28" s="185" t="str">
        <f>VLOOKUP(A28,'Trips&amp;Operators'!$C$1:$G$99911,5,FALSE)</f>
        <v>MAELZER KURT</v>
      </c>
      <c r="M28" s="6">
        <f t="shared" si="1"/>
        <v>2.6597222225973383E-2</v>
      </c>
      <c r="N28" s="7">
        <f t="shared" si="21"/>
        <v>38.300000005401671</v>
      </c>
      <c r="O28" s="7"/>
      <c r="P28" s="7"/>
      <c r="Q28" s="22"/>
      <c r="R28" s="174"/>
      <c r="S28" s="221">
        <f t="shared" si="2"/>
        <v>1</v>
      </c>
      <c r="T28" s="174" t="str">
        <f t="shared" si="3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4"/>
        <v>https://d0f6bd738d7f1b3e5a7ca70fe4ff75f0.us-east-1.aws.found.io/app/kibana#/discover/Steve-Slow-Train-Analysis-(2080s-and-2083s)?_g=(refreshInterval:(display:Off,pause:!f,section:0,value:0),time:(from:'2017-11-09T05:19:07-0700',mode:absolute,to:'2017-11-09T08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204" t="str">
        <f>IF(AA28&lt;VLOOKUP(AG28,Variables!$AC$3:$AD$8,2,FALSE),"Y","N")</f>
        <v>N</v>
      </c>
      <c r="X28" s="204">
        <f t="shared" si="5"/>
        <v>1</v>
      </c>
      <c r="Y28" s="204">
        <f t="shared" si="6"/>
        <v>23.297999999999998</v>
      </c>
      <c r="Z28" s="204">
        <f t="shared" si="7"/>
        <v>1.41E-2</v>
      </c>
      <c r="AA28" s="204">
        <f t="shared" si="8"/>
        <v>23.283899999999999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9"/>
        <v>116</v>
      </c>
      <c r="AE28" s="77" t="str">
        <f t="shared" si="1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28" s="74" t="str">
        <f t="shared" si="11"/>
        <v>"C:\Program Files (x86)\AstroGrep\AstroGrep.exe" /e /r /s /spath="%USERPROFILE%\AppData\Local\Temp\OnboardLogs" /stypes="app*4021*20171109*" /stext=" 14:.+((SYSTEM_STATE.+slice.+state.+changed )|(ment ac)|(multiple cpu faults)|(system.+state.+changed )|(\[timeout)|(PRM\|1\|D)|(kpr)|(kdp)|(train st.+moving)|(\|lc)|(penalty))"</v>
      </c>
      <c r="AG28" s="182" t="str">
        <f t="shared" si="12"/>
        <v>EC</v>
      </c>
      <c r="AH28" s="78" t="str">
        <f t="shared" si="18"/>
        <v>"%USERPROFILE%\Documents\GitHub\eaglep3\Utilities\RefineRTDCRunTimes.py" --tripid 116-09 --locoid 4021 --swversion DE.1.0.9.0 --startMP 204:232980 --initTime 2017-11-09T06:19:07 --startdatetime 2017-11-09T06:27:15 --delay 44 --endMP 204:141 --enddatetime 2017-11-09T07:05:33 --enforcementcount 0 &gt;&gt;%USERPROFILE%\Documents\GitHub\eaglep3-reporting\EC\2017-11-09-refined-times.txt</v>
      </c>
      <c r="AI2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{"issue":{"subject":"","project_id":79,"tracker_id":40,"status_id":1,"priority_id":2,"assigned_to_id":338,"start_date":"2017-11-09","description":"","custom_fields":[{"id":1,"name":"Subdivision","value":"EC"},{"id":4,"name":"Milepost","value":"0.0141"},{"id":17,"name":"Train ID","value":"116-09"},{"id":16,"name":"Locomotive ID","value":"4021"},{"id":130,"name":"Impact","value":""},{"id":150,"name":"Time of Event (Mountain Time)","value":"07:05:33"},{"id":151,"name":"Denver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4021 --day 2017-11-09</v>
      </c>
      <c r="AN2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0"/>
        <v>https://d0f6bd738d7f1b3e5a7ca70fe4ff75f0.us-east-1.aws.found.io/app/kibana#/discover/Steve-Slow-Train-Analysis-(2080s-and-2083s)?_g=(refreshInterval:(display:Off,pause:!f,section:0,value:0),time:(from:'2017-11-09T05:19:07-0700',mode:absolute,to:'2017-11-09T08:05:33-0700'))&amp;_a=(columns:!('Message%20ID',Summary),filters:!(),index:'emp_*',interval:auto,query:(query_string:(analyze_wildcard:!t,query:'%22rtdc.l.rtdc.4021%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695</v>
      </c>
      <c r="B29" s="7">
        <v>4066</v>
      </c>
      <c r="C29" s="21" t="s">
        <v>192</v>
      </c>
      <c r="D29" s="21" t="s">
        <v>384</v>
      </c>
      <c r="E29" s="13">
        <v>43048.233460648145</v>
      </c>
      <c r="F29" s="13">
        <v>43048.23982638889</v>
      </c>
      <c r="G29" s="7">
        <v>71</v>
      </c>
      <c r="H29" s="21" t="s">
        <v>907</v>
      </c>
      <c r="I29" s="13">
        <v>43048.265185185184</v>
      </c>
      <c r="J29" s="7">
        <v>0</v>
      </c>
      <c r="K29" s="89" t="str">
        <f t="shared" si="0"/>
        <v>4065/4066</v>
      </c>
      <c r="L29" s="185" t="str">
        <f>VLOOKUP(A29,'Trips&amp;Operators'!$C$1:$G$99911,5,FALSE)</f>
        <v>MOSES BRADLEY</v>
      </c>
      <c r="M29" s="6">
        <f t="shared" si="1"/>
        <v>2.5358796294312924E-2</v>
      </c>
      <c r="N29" s="7">
        <f t="shared" si="21"/>
        <v>36.516666663810611</v>
      </c>
      <c r="O29" s="7"/>
      <c r="P29" s="7"/>
      <c r="Q29" s="22"/>
      <c r="R29" s="174"/>
      <c r="S29" s="221">
        <f t="shared" si="2"/>
        <v>1</v>
      </c>
      <c r="T29" s="174" t="str">
        <f t="shared" si="3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4"/>
        <v>https://d0f6bd738d7f1b3e5a7ca70fe4ff75f0.us-east-1.aws.found.io/app/kibana#/discover/Steve-Slow-Train-Analysis-(2080s-and-2083s)?_g=(refreshInterval:(display:Off,pause:!f,section:0,value:0),time:(from:'2017-11-09T04:36:11-0700',mode:absolute,to:'2017-11-09T07:21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04" t="str">
        <f>IF(AA29&lt;VLOOKUP(AG29,Variables!$AC$3:$AD$8,2,FALSE),"Y","N")</f>
        <v>N</v>
      </c>
      <c r="X29" s="204">
        <f t="shared" si="5"/>
        <v>1</v>
      </c>
      <c r="Y29" s="204">
        <f t="shared" si="6"/>
        <v>5.1299999999999998E-2</v>
      </c>
      <c r="Z29" s="204">
        <f t="shared" si="7"/>
        <v>23.325299999999999</v>
      </c>
      <c r="AA29" s="204">
        <f t="shared" si="8"/>
        <v>23.273999999999997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9"/>
        <v>117</v>
      </c>
      <c r="AE29" s="77" t="str">
        <f t="shared" si="10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29" s="74" t="str">
        <f t="shared" si="11"/>
        <v>"C:\Program Files (x86)\AstroGrep\AstroGrep.exe" /e /r /s /spath="%USERPROFILE%\AppData\Local\Temp\OnboardLogs" /stypes="app*4066*20171109*" /stext=" 13:.+((SYSTEM_STATE.+slice.+state.+changed )|(ment ac)|(multiple cpu faults)|(system.+state.+changed )|(\[timeout)|(PRM\|1\|D)|(kpr)|(kdp)|(train st.+moving)|(\|lc)|(penalty))"</v>
      </c>
      <c r="AG29" s="182" t="str">
        <f t="shared" si="12"/>
        <v>EC</v>
      </c>
      <c r="AH29" s="78" t="str">
        <f t="shared" si="18"/>
        <v>"%USERPROFILE%\Documents\GitHub\eaglep3\Utilities\RefineRTDCRunTimes.py" --tripid 117-09 --locoid 4066 --swversion DE.1.0.9.0 --startMP 204:513 --initTime 2017-11-09T05:36:11 --startdatetime 2017-11-09T05:45:21 --delay 71 --endMP 204:233253 --enddatetime 2017-11-09T06:21:52 --enforcementcount 0 &gt;&gt;%USERPROFILE%\Documents\GitHub\eaglep3-reporting\EC\2017-11-09-refined-times.txt</v>
      </c>
      <c r="AI2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{"issue":{"subject":"","project_id":79,"tracker_id":40,"status_id":1,"priority_id":2,"assigned_to_id":338,"start_date":"2017-11-09","description":"","custom_fields":[{"id":1,"name":"Subdivision","value":"EC"},{"id":4,"name":"Milepost","value":"23.3253"},{"id":17,"name":"Train ID","value":"117-09"},{"id":16,"name":"Locomotive ID","value":"4066"},{"id":130,"name":"Impact","value":""},{"id":150,"name":"Time of Event (Mountain Time)","value":"06:21:52"},{"id":151,"name":"Denver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4066 --day 2017-11-09</v>
      </c>
      <c r="AN2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0"/>
        <v>https://d0f6bd738d7f1b3e5a7ca70fe4ff75f0.us-east-1.aws.found.io/app/kibana#/discover/Steve-Slow-Train-Analysis-(2080s-and-2083s)?_g=(refreshInterval:(display:Off,pause:!f,section:0,value:0),time:(from:'2017-11-09T04:36:11-0700',mode:absolute,to:'2017-11-09T07:21:52-0700'))&amp;_a=(columns:!('Message%20ID',Summary),filters:!(),index:'emp_*',interval:auto,query:(query_string:(analyze_wildcard:!t,query:'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706</v>
      </c>
      <c r="B30" s="7">
        <v>4065</v>
      </c>
      <c r="C30" s="21" t="s">
        <v>192</v>
      </c>
      <c r="D30" s="21" t="s">
        <v>908</v>
      </c>
      <c r="E30" s="13">
        <v>43048.275879629633</v>
      </c>
      <c r="F30" s="13">
        <v>43048.279456018521</v>
      </c>
      <c r="G30" s="7">
        <v>59</v>
      </c>
      <c r="H30" s="21" t="s">
        <v>582</v>
      </c>
      <c r="I30" s="13">
        <v>43048.305520833332</v>
      </c>
      <c r="J30" s="7">
        <v>0</v>
      </c>
      <c r="K30" s="89" t="str">
        <f t="shared" si="0"/>
        <v>4065/4066</v>
      </c>
      <c r="L30" s="185" t="str">
        <f>VLOOKUP(A30,'Trips&amp;Operators'!$C$1:$G$99911,5,FALSE)</f>
        <v>MOSES BRADLEY</v>
      </c>
      <c r="M30" s="6">
        <f t="shared" si="1"/>
        <v>2.6064814810524695E-2</v>
      </c>
      <c r="N30" s="7">
        <f t="shared" si="21"/>
        <v>37.53333332715556</v>
      </c>
      <c r="O30" s="7"/>
      <c r="P30" s="7"/>
      <c r="Q30" s="22"/>
      <c r="R30" s="174"/>
      <c r="S30" s="221">
        <f t="shared" si="2"/>
        <v>1</v>
      </c>
      <c r="T30" s="174" t="str">
        <f t="shared" si="3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4"/>
        <v>https://d0f6bd738d7f1b3e5a7ca70fe4ff75f0.us-east-1.aws.found.io/app/kibana#/discover/Steve-Slow-Train-Analysis-(2080s-and-2083s)?_g=(refreshInterval:(display:Off,pause:!f,section:0,value:0),time:(from:'2017-11-09T05:37:16-0700',mode:absolute,to:'2017-11-09T08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04" t="str">
        <f>IF(AA30&lt;VLOOKUP(AG30,Variables!$AC$3:$AD$8,2,FALSE),"Y","N")</f>
        <v>N</v>
      </c>
      <c r="X30" s="204">
        <f t="shared" si="5"/>
        <v>1</v>
      </c>
      <c r="Y30" s="204">
        <f t="shared" si="6"/>
        <v>23.2926</v>
      </c>
      <c r="Z30" s="204">
        <f t="shared" si="7"/>
        <v>2.01E-2</v>
      </c>
      <c r="AA30" s="204">
        <f t="shared" si="8"/>
        <v>23.272500000000001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9"/>
        <v>118</v>
      </c>
      <c r="AE30" s="77" t="str">
        <f t="shared" si="10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30" s="74" t="str">
        <f t="shared" si="11"/>
        <v>"C:\Program Files (x86)\AstroGrep\AstroGrep.exe" /e /r /s /spath="%USERPROFILE%\AppData\Local\Temp\OnboardLogs" /stypes="app*4065*20171109*" /stext=" 14:.+((SYSTEM_STATE.+slice.+state.+changed )|(ment ac)|(multiple cpu faults)|(system.+state.+changed )|(\[timeout)|(PRM\|1\|D)|(kpr)|(kdp)|(train st.+moving)|(\|lc)|(penalty))"</v>
      </c>
      <c r="AG30" s="182" t="str">
        <f t="shared" si="12"/>
        <v>EC</v>
      </c>
      <c r="AH30" s="78" t="str">
        <f t="shared" si="18"/>
        <v>"%USERPROFILE%\Documents\GitHub\eaglep3\Utilities\RefineRTDCRunTimes.py" --tripid 118-09 --locoid 4065 --swversion DE.1.0.9.0 --startMP 204:232926 --initTime 2017-11-09T06:37:16 --startdatetime 2017-11-09T06:42:25 --delay 59 --endMP 204:201 --enddatetime 2017-11-09T07:19:57 --enforcementcount 0 &gt;&gt;%USERPROFILE%\Documents\GitHub\eaglep3-reporting\EC\2017-11-09-refined-times.txt</v>
      </c>
      <c r="AI30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{"issue":{"subject":"","project_id":79,"tracker_id":40,"status_id":1,"priority_id":2,"assigned_to_id":338,"start_date":"2017-11-09","description":"","custom_fields":[{"id":1,"name":"Subdivision","value":"EC"},{"id":4,"name":"Milepost","value":"0.0201"},{"id":17,"name":"Train ID","value":"118-09"},{"id":16,"name":"Locomotive ID","value":"4065"},{"id":130,"name":"Impact","value":""},{"id":150,"name":"Time of Event (Mountain Time)","value":"07:19:57"},{"id":151,"name":"Denver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4065 --day 2017-11-09</v>
      </c>
      <c r="AN30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0"/>
        <v>https://d0f6bd738d7f1b3e5a7ca70fe4ff75f0.us-east-1.aws.found.io/app/kibana#/discover/Steve-Slow-Train-Analysis-(2080s-and-2083s)?_g=(refreshInterval:(display:Off,pause:!f,section:0,value:0),time:(from:'2017-11-09T05:37:16-0700',mode:absolute,to:'2017-11-09T08:19:57-0700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698</v>
      </c>
      <c r="B31" s="7">
        <v>4020</v>
      </c>
      <c r="C31" s="21" t="s">
        <v>192</v>
      </c>
      <c r="D31" s="21" t="s">
        <v>909</v>
      </c>
      <c r="E31" s="13">
        <v>43048.245300925926</v>
      </c>
      <c r="F31" s="13">
        <v>43048.250162037039</v>
      </c>
      <c r="G31" s="7">
        <v>55</v>
      </c>
      <c r="H31" s="21" t="s">
        <v>451</v>
      </c>
      <c r="I31" s="13">
        <v>43048.27516203704</v>
      </c>
      <c r="J31" s="7">
        <v>0</v>
      </c>
      <c r="K31" s="89" t="str">
        <f t="shared" si="0"/>
        <v>4019/4020</v>
      </c>
      <c r="L31" s="185" t="str">
        <f>VLOOKUP(A31,'Trips&amp;Operators'!$C$1:$G$99911,5,FALSE)</f>
        <v>BONDS REYNALDO</v>
      </c>
      <c r="M31" s="6">
        <f t="shared" si="1"/>
        <v>2.5000000001455192E-2</v>
      </c>
      <c r="N31" s="7">
        <f t="shared" si="21"/>
        <v>36.000000002095476</v>
      </c>
      <c r="O31" s="7"/>
      <c r="P31" s="7"/>
      <c r="Q31" s="22"/>
      <c r="R31" s="174"/>
      <c r="S31" s="221">
        <f t="shared" si="2"/>
        <v>1</v>
      </c>
      <c r="T31" s="174" t="str">
        <f t="shared" si="3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4"/>
        <v>https://d0f6bd738d7f1b3e5a7ca70fe4ff75f0.us-east-1.aws.found.io/app/kibana#/discover/Steve-Slow-Train-Analysis-(2080s-and-2083s)?_g=(refreshInterval:(display:Off,pause:!f,section:0,value:0),time:(from:'2017-11-09T04:53:14-0700',mode:absolute,to:'2017-11-09T07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>IF(AA31&lt;VLOOKUP(AG31,Variables!$AC$3:$AD$8,2,FALSE),"Y","N")</f>
        <v>N</v>
      </c>
      <c r="X31" s="204">
        <f t="shared" si="5"/>
        <v>1</v>
      </c>
      <c r="Y31" s="204">
        <f t="shared" si="6"/>
        <v>5.0200000000000002E-2</v>
      </c>
      <c r="Z31" s="204">
        <f t="shared" si="7"/>
        <v>23.328900000000001</v>
      </c>
      <c r="AA31" s="204">
        <f t="shared" si="8"/>
        <v>23.278700000000001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9"/>
        <v>119</v>
      </c>
      <c r="AE31" s="77" t="str">
        <f t="shared" si="10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31" s="74" t="str">
        <f t="shared" si="11"/>
        <v>"C:\Program Files (x86)\AstroGrep\AstroGrep.exe" /e /r /s /spath="%USERPROFILE%\AppData\Local\Temp\OnboardLogs" /stypes="app*4020*20171109*" /stext=" 13:.+((SYSTEM_STATE.+slice.+state.+changed )|(ment ac)|(multiple cpu faults)|(system.+state.+changed )|(\[timeout)|(PRM\|1\|D)|(kpr)|(kdp)|(train st.+moving)|(\|lc)|(penalty))"</v>
      </c>
      <c r="AG31" s="182" t="str">
        <f t="shared" si="12"/>
        <v>EC</v>
      </c>
      <c r="AH31" s="78" t="str">
        <f t="shared" si="18"/>
        <v>"%USERPROFILE%\Documents\GitHub\eaglep3\Utilities\RefineRTDCRunTimes.py" --tripid 119-09 --locoid 4020 --swversion DE.1.0.9.0 --startMP 204:502 --initTime 2017-11-09T05:53:14 --startdatetime 2017-11-09T06:00:14 --delay 55 --endMP 204:233289 --enddatetime 2017-11-09T06:36:14 --enforcementcount 0 &gt;&gt;%USERPROFILE%\Documents\GitHub\eaglep3-reporting\EC\2017-11-09-refined-times.txt</v>
      </c>
      <c r="AI3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{"issue":{"subject":"","project_id":79,"tracker_id":40,"status_id":1,"priority_id":2,"assigned_to_id":338,"start_date":"2017-11-09","description":"","custom_fields":[{"id":1,"name":"Subdivision","value":"EC"},{"id":4,"name":"Milepost","value":"23.3289"},{"id":17,"name":"Train ID","value":"119-09"},{"id":16,"name":"Locomotive ID","value":"4020"},{"id":130,"name":"Impact","value":""},{"id":150,"name":"Time of Event (Mountain Time)","value":"06:36:14"},{"id":151,"name":"Denver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4020 --day 2017-11-09</v>
      </c>
      <c r="AN3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0"/>
        <v>https://d0f6bd738d7f1b3e5a7ca70fe4ff75f0.us-east-1.aws.found.io/app/kibana#/discover/Steve-Slow-Train-Analysis-(2080s-and-2083s)?_g=(refreshInterval:(display:Off,pause:!f,section:0,value:0),time:(from:'2017-11-09T04:53:14-0700',mode:absolute,to:'2017-11-09T07:36:14-0700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707</v>
      </c>
      <c r="B32" s="7">
        <v>4019</v>
      </c>
      <c r="C32" s="21" t="s">
        <v>192</v>
      </c>
      <c r="D32" s="21" t="s">
        <v>900</v>
      </c>
      <c r="E32" s="13">
        <v>43048.282870370371</v>
      </c>
      <c r="F32" s="13">
        <v>43048.289756944447</v>
      </c>
      <c r="G32" s="7">
        <v>48</v>
      </c>
      <c r="H32" s="21" t="s">
        <v>463</v>
      </c>
      <c r="I32" s="13">
        <v>43048.316574074073</v>
      </c>
      <c r="J32" s="7">
        <v>0</v>
      </c>
      <c r="K32" s="89" t="str">
        <f t="shared" si="0"/>
        <v>4019/4020</v>
      </c>
      <c r="L32" s="185" t="str">
        <f>VLOOKUP(A32,'Trips&amp;Operators'!$C$1:$G$99911,5,FALSE)</f>
        <v>BONDS REYNALDO</v>
      </c>
      <c r="M32" s="6">
        <f t="shared" si="1"/>
        <v>2.6817129626579117E-2</v>
      </c>
      <c r="N32" s="7">
        <f t="shared" si="21"/>
        <v>38.616666662273929</v>
      </c>
      <c r="O32" s="7"/>
      <c r="P32" s="7"/>
      <c r="Q32" s="22"/>
      <c r="R32" s="174"/>
      <c r="S32" s="221">
        <f t="shared" si="2"/>
        <v>1</v>
      </c>
      <c r="T32" s="174" t="str">
        <f t="shared" si="3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4"/>
        <v>https://d0f6bd738d7f1b3e5a7ca70fe4ff75f0.us-east-1.aws.found.io/app/kibana#/discover/Steve-Slow-Train-Analysis-(2080s-and-2083s)?_g=(refreshInterval:(display:Off,pause:!f,section:0,value:0),time:(from:'2017-11-09T05:47:20-0700',mode:absolute,to:'2017-11-09T08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>IF(AA32&lt;VLOOKUP(AG32,Variables!$AC$3:$AD$8,2,FALSE),"Y","N")</f>
        <v>N</v>
      </c>
      <c r="X32" s="204">
        <f t="shared" si="5"/>
        <v>1</v>
      </c>
      <c r="Y32" s="204">
        <f t="shared" si="6"/>
        <v>23.2959</v>
      </c>
      <c r="Z32" s="204">
        <f t="shared" si="7"/>
        <v>2.12E-2</v>
      </c>
      <c r="AA32" s="204">
        <f t="shared" si="8"/>
        <v>23.274699999999999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9"/>
        <v>120</v>
      </c>
      <c r="AE32" s="77" t="str">
        <f t="shared" si="10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32" s="74" t="str">
        <f t="shared" si="11"/>
        <v>"C:\Program Files (x86)\AstroGrep\AstroGrep.exe" /e /r /s /spath="%USERPROFILE%\AppData\Local\Temp\OnboardLogs" /stypes="app*4019*20171109*" /stext=" 14:.+((SYSTEM_STATE.+slice.+state.+changed )|(ment ac)|(multiple cpu faults)|(system.+state.+changed )|(\[timeout)|(PRM\|1\|D)|(kpr)|(kdp)|(train st.+moving)|(\|lc)|(penalty))"</v>
      </c>
      <c r="AG32" s="182" t="str">
        <f t="shared" si="12"/>
        <v>EC</v>
      </c>
      <c r="AH32" s="78" t="str">
        <f t="shared" si="18"/>
        <v>"%USERPROFILE%\Documents\GitHub\eaglep3\Utilities\RefineRTDCRunTimes.py" --tripid 120-09 --locoid 4019 --swversion DE.1.0.9.0 --startMP 204:232959 --initTime 2017-11-09T06:47:20 --startdatetime 2017-11-09T06:57:15 --delay 48 --endMP 204:212 --enddatetime 2017-11-09T07:35:52 --enforcementcount 0 &gt;&gt;%USERPROFILE%\Documents\GitHub\eaglep3-reporting\EC\2017-11-09-refined-times.txt</v>
      </c>
      <c r="AI3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{"issue":{"subject":"","project_id":79,"tracker_id":40,"status_id":1,"priority_id":2,"assigned_to_id":338,"start_date":"2017-11-09","description":"","custom_fields":[{"id":1,"name":"Subdivision","value":"EC"},{"id":4,"name":"Milepost","value":"0.0212"},{"id":17,"name":"Train ID","value":"120-09"},{"id":16,"name":"Locomotive ID","value":"4019"},{"id":130,"name":"Impact","value":""},{"id":150,"name":"Time of Event (Mountain Time)","value":"07:35:52"},{"id":151,"name":"Denver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4019 --day 2017-11-09</v>
      </c>
      <c r="AN3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0"/>
        <v>https://d0f6bd738d7f1b3e5a7ca70fe4ff75f0.us-east-1.aws.found.io/app/kibana#/discover/Steve-Slow-Train-Analysis-(2080s-and-2083s)?_g=(refreshInterval:(display:Off,pause:!f,section:0,value:0),time:(from:'2017-11-09T05:47:20-0700',mode:absolute,to:'2017-11-09T08:35:52-0700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701</v>
      </c>
      <c r="B33" s="7">
        <v>4024</v>
      </c>
      <c r="C33" s="21" t="s">
        <v>192</v>
      </c>
      <c r="D33" s="21" t="s">
        <v>910</v>
      </c>
      <c r="E33" s="13">
        <v>43048.257152777776</v>
      </c>
      <c r="F33" s="13">
        <v>43048.26090277778</v>
      </c>
      <c r="G33" s="7">
        <v>65</v>
      </c>
      <c r="H33" s="21" t="s">
        <v>911</v>
      </c>
      <c r="I33" s="13">
        <v>43048.285370370373</v>
      </c>
      <c r="J33" s="7">
        <v>0</v>
      </c>
      <c r="K33" s="89" t="str">
        <f t="shared" si="0"/>
        <v>4023/4024</v>
      </c>
      <c r="L33" s="185" t="str">
        <f>VLOOKUP(A33,'Trips&amp;Operators'!$C$1:$G$99911,5,FALSE)</f>
        <v>BEAM ROSS</v>
      </c>
      <c r="M33" s="6">
        <f t="shared" si="1"/>
        <v>2.4467592593282461E-2</v>
      </c>
      <c r="N33" s="7">
        <f t="shared" si="21"/>
        <v>35.233333334326744</v>
      </c>
      <c r="O33" s="7"/>
      <c r="P33" s="7"/>
      <c r="Q33" s="22"/>
      <c r="R33" s="174"/>
      <c r="S33" s="221">
        <f t="shared" si="2"/>
        <v>1</v>
      </c>
      <c r="T33" s="174" t="str">
        <f t="shared" si="3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4"/>
        <v>https://d0f6bd738d7f1b3e5a7ca70fe4ff75f0.us-east-1.aws.found.io/app/kibana#/discover/Steve-Slow-Train-Analysis-(2080s-and-2083s)?_g=(refreshInterval:(display:Off,pause:!f,section:0,value:0),time:(from:'2017-11-09T05:10:18-0700',mode:absolute,to:'2017-11-09T07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04" t="str">
        <f>IF(AA33&lt;VLOOKUP(AG33,Variables!$AC$3:$AD$8,2,FALSE),"Y","N")</f>
        <v>N</v>
      </c>
      <c r="X33" s="204">
        <f t="shared" si="5"/>
        <v>1</v>
      </c>
      <c r="Y33" s="204">
        <f t="shared" si="6"/>
        <v>4.4900000000000002E-2</v>
      </c>
      <c r="Z33" s="204">
        <f t="shared" si="7"/>
        <v>23.331499999999998</v>
      </c>
      <c r="AA33" s="204">
        <f t="shared" si="8"/>
        <v>23.2866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9"/>
        <v>121</v>
      </c>
      <c r="AE33" s="77" t="str">
        <f t="shared" si="1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33" s="74" t="str">
        <f t="shared" si="11"/>
        <v>"C:\Program Files (x86)\AstroGrep\AstroGrep.exe" /e /r /s /spath="%USERPROFILE%\AppData\Local\Temp\OnboardLogs" /stypes="app*4024*20171109*" /stext=" 13:.+((SYSTEM_STATE.+slice.+state.+changed )|(ment ac)|(multiple cpu faults)|(system.+state.+changed )|(\[timeout)|(PRM\|1\|D)|(kpr)|(kdp)|(train st.+moving)|(\|lc)|(penalty))"</v>
      </c>
      <c r="AG33" s="182" t="str">
        <f t="shared" si="12"/>
        <v>EC</v>
      </c>
      <c r="AH33" s="78" t="str">
        <f t="shared" si="18"/>
        <v>"%USERPROFILE%\Documents\GitHub\eaglep3\Utilities\RefineRTDCRunTimes.py" --tripid 121-09 --locoid 4024 --swversion DE.1.0.9.0 --startMP 204:449 --initTime 2017-11-09T06:10:18 --startdatetime 2017-11-09T06:15:42 --delay 65 --endMP 204:233315 --enddatetime 2017-11-09T06:50:56 --enforcementcount 0 &gt;&gt;%USERPROFILE%\Documents\GitHub\eaglep3-reporting\EC\2017-11-09-refined-times.txt</v>
      </c>
      <c r="AI3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{"issue":{"subject":"","project_id":79,"tracker_id":40,"status_id":1,"priority_id":2,"assigned_to_id":338,"start_date":"2017-11-09","description":"","custom_fields":[{"id":1,"name":"Subdivision","value":"EC"},{"id":4,"name":"Milepost","value":"23.3315"},{"id":17,"name":"Train ID","value":"121-09"},{"id":16,"name":"Locomotive ID","value":"4024"},{"id":130,"name":"Impact","value":""},{"id":150,"name":"Time of Event (Mountain Time)","value":"06:50:56"},{"id":151,"name":"Denver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4024 --day 2017-11-09</v>
      </c>
      <c r="AN3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0"/>
        <v>https://d0f6bd738d7f1b3e5a7ca70fe4ff75f0.us-east-1.aws.found.io/app/kibana#/discover/Steve-Slow-Train-Analysis-(2080s-and-2083s)?_g=(refreshInterval:(display:Off,pause:!f,section:0,value:0),time:(from:'2017-11-09T05:10:18-0700',mode:absolute,to:'2017-11-09T07:50:56-0700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708</v>
      </c>
      <c r="B34" s="7">
        <v>4023</v>
      </c>
      <c r="C34" s="21" t="s">
        <v>192</v>
      </c>
      <c r="D34" s="21" t="s">
        <v>527</v>
      </c>
      <c r="E34" s="13">
        <v>43048.286539351851</v>
      </c>
      <c r="F34" s="13">
        <v>43048.300173611111</v>
      </c>
      <c r="G34" s="7">
        <v>59</v>
      </c>
      <c r="H34" s="21" t="s">
        <v>912</v>
      </c>
      <c r="I34" s="13">
        <v>43048.325914351852</v>
      </c>
      <c r="J34" s="7">
        <v>0</v>
      </c>
      <c r="K34" s="89" t="str">
        <f t="shared" si="0"/>
        <v>4023/4024</v>
      </c>
      <c r="L34" s="185" t="str">
        <f>VLOOKUP(A34,'Trips&amp;Operators'!$C$1:$G$99911,5,FALSE)</f>
        <v>BEAM ROSS</v>
      </c>
      <c r="M34" s="6">
        <f t="shared" si="1"/>
        <v>2.5740740740729962E-2</v>
      </c>
      <c r="N34" s="7">
        <f t="shared" si="21"/>
        <v>37.066666666651145</v>
      </c>
      <c r="O34" s="7"/>
      <c r="P34" s="7"/>
      <c r="Q34" s="22"/>
      <c r="R34" s="174"/>
      <c r="S34" s="221">
        <f t="shared" si="2"/>
        <v>1</v>
      </c>
      <c r="T34" s="174" t="str">
        <f t="shared" si="3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4"/>
        <v>https://d0f6bd738d7f1b3e5a7ca70fe4ff75f0.us-east-1.aws.found.io/app/kibana#/discover/Steve-Slow-Train-Analysis-(2080s-and-2083s)?_g=(refreshInterval:(display:Off,pause:!f,section:0,value:0),time:(from:'2017-11-09T05:52:37-0700',mode:absolute,to:'2017-11-09T08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04" t="str">
        <f>IF(AA34&lt;VLOOKUP(AG34,Variables!$AC$3:$AD$8,2,FALSE),"Y","N")</f>
        <v>N</v>
      </c>
      <c r="X34" s="204">
        <f t="shared" si="5"/>
        <v>1</v>
      </c>
      <c r="Y34" s="204">
        <f t="shared" si="6"/>
        <v>23.299800000000001</v>
      </c>
      <c r="Z34" s="204">
        <f t="shared" si="7"/>
        <v>1.52E-2</v>
      </c>
      <c r="AA34" s="204">
        <f t="shared" si="8"/>
        <v>23.284600000000001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9"/>
        <v>122</v>
      </c>
      <c r="AE34" s="77" t="str">
        <f t="shared" si="10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34" s="74" t="str">
        <f t="shared" si="11"/>
        <v>"C:\Program Files (x86)\AstroGrep\AstroGrep.exe" /e /r /s /spath="%USERPROFILE%\AppData\Local\Temp\OnboardLogs" /stypes="app*4023*20171109*" /stext=" 14:.+((SYSTEM_STATE.+slice.+state.+changed )|(ment ac)|(multiple cpu faults)|(system.+state.+changed )|(\[timeout)|(PRM\|1\|D)|(kpr)|(kdp)|(train st.+moving)|(\|lc)|(penalty))"</v>
      </c>
      <c r="AG34" s="182" t="str">
        <f t="shared" si="12"/>
        <v>EC</v>
      </c>
      <c r="AH34" s="78" t="str">
        <f t="shared" si="18"/>
        <v>"%USERPROFILE%\Documents\GitHub\eaglep3\Utilities\RefineRTDCRunTimes.py" --tripid 122-09 --locoid 4023 --swversion DE.1.0.9.0 --startMP 204:232998 --initTime 2017-11-09T06:52:37 --startdatetime 2017-11-09T07:12:15 --delay 59 --endMP 204:152 --enddatetime 2017-11-09T07:49:19 --enforcementcount 0 &gt;&gt;%USERPROFILE%\Documents\GitHub\eaglep3-reporting\EC\2017-11-09-refined-times.txt</v>
      </c>
      <c r="AI3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{"issue":{"subject":"","project_id":79,"tracker_id":40,"status_id":1,"priority_id":2,"assigned_to_id":338,"start_date":"2017-11-09","description":"","custom_fields":[{"id":1,"name":"Subdivision","value":"EC"},{"id":4,"name":"Milepost","value":"0.0152"},{"id":17,"name":"Train ID","value":"122-09"},{"id":16,"name":"Locomotive ID","value":"4023"},{"id":130,"name":"Impact","value":""},{"id":150,"name":"Time of Event (Mountain Time)","value":"07:49:19"},{"id":151,"name":"Denver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4023 --day 2017-11-09</v>
      </c>
      <c r="AN3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0"/>
        <v>https://d0f6bd738d7f1b3e5a7ca70fe4ff75f0.us-east-1.aws.found.io/app/kibana#/discover/Steve-Slow-Train-Analysis-(2080s-and-2083s)?_g=(refreshInterval:(display:Off,pause:!f,section:0,value:0),time:(from:'2017-11-09T05:52:37-0700',mode:absolute,to:'2017-11-09T08:49:19-0700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703</v>
      </c>
      <c r="B35" s="7">
        <v>4026</v>
      </c>
      <c r="C35" s="21" t="s">
        <v>192</v>
      </c>
      <c r="D35" s="21" t="s">
        <v>465</v>
      </c>
      <c r="E35" s="13">
        <v>43048.266423611109</v>
      </c>
      <c r="F35" s="13">
        <v>43048.271041666667</v>
      </c>
      <c r="G35" s="7">
        <v>85</v>
      </c>
      <c r="H35" s="21" t="s">
        <v>913</v>
      </c>
      <c r="I35" s="13">
        <v>43048.296331018515</v>
      </c>
      <c r="J35" s="7">
        <v>0</v>
      </c>
      <c r="K35" s="89" t="str">
        <f t="shared" si="0"/>
        <v>4025/4026</v>
      </c>
      <c r="L35" s="185" t="str">
        <f>VLOOKUP(A35,'Trips&amp;Operators'!$C$1:$G$99911,5,FALSE)</f>
        <v>WILLIAMS DONTE</v>
      </c>
      <c r="M35" s="6">
        <f t="shared" si="1"/>
        <v>2.5289351848186925E-2</v>
      </c>
      <c r="N35" s="7">
        <f t="shared" si="21"/>
        <v>36.416666661389172</v>
      </c>
      <c r="O35" s="7"/>
      <c r="P35" s="7"/>
      <c r="Q35" s="22"/>
      <c r="R35" s="174"/>
      <c r="S35" s="221">
        <f t="shared" si="2"/>
        <v>1</v>
      </c>
      <c r="T35" s="174" t="str">
        <f t="shared" si="3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4"/>
        <v>https://d0f6bd738d7f1b3e5a7ca70fe4ff75f0.us-east-1.aws.found.io/app/kibana#/discover/Steve-Slow-Train-Analysis-(2080s-and-2083s)?_g=(refreshInterval:(display:Off,pause:!f,section:0,value:0),time:(from:'2017-11-09T05:23:39-0700',mode:absolute,to:'2017-11-09T08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204" t="str">
        <f>IF(AA35&lt;VLOOKUP(AG35,Variables!$AC$3:$AD$8,2,FALSE),"Y","N")</f>
        <v>N</v>
      </c>
      <c r="X35" s="204">
        <f t="shared" si="5"/>
        <v>1</v>
      </c>
      <c r="Y35" s="204">
        <f t="shared" si="6"/>
        <v>5.0599999999999999E-2</v>
      </c>
      <c r="Z35" s="204">
        <f t="shared" si="7"/>
        <v>23.327200000000001</v>
      </c>
      <c r="AA35" s="204">
        <f t="shared" si="8"/>
        <v>23.276600000000002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9"/>
        <v>123</v>
      </c>
      <c r="AE35" s="77" t="str">
        <f t="shared" si="10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35" s="74" t="str">
        <f t="shared" si="11"/>
        <v>"C:\Program Files (x86)\AstroGrep\AstroGrep.exe" /e /r /s /spath="%USERPROFILE%\AppData\Local\Temp\OnboardLogs" /stypes="app*4026*20171109*" /stext=" 14:.+((SYSTEM_STATE.+slice.+state.+changed )|(ment ac)|(multiple cpu faults)|(system.+state.+changed )|(\[timeout)|(PRM\|1\|D)|(kpr)|(kdp)|(train st.+moving)|(\|lc)|(penalty))"</v>
      </c>
      <c r="AG35" s="182" t="str">
        <f t="shared" si="12"/>
        <v>EC</v>
      </c>
      <c r="AH35" s="78" t="str">
        <f t="shared" si="18"/>
        <v>"%USERPROFILE%\Documents\GitHub\eaglep3\Utilities\RefineRTDCRunTimes.py" --tripid 123-09 --locoid 4026 --swversion DE.1.0.9.0 --startMP 204:506 --initTime 2017-11-09T06:23:39 --startdatetime 2017-11-09T06:30:18 --delay 85 --endMP 204:233272 --enddatetime 2017-11-09T07:06:43 --enforcementcount 0 &gt;&gt;%USERPROFILE%\Documents\GitHub\eaglep3-reporting\EC\2017-11-09-refined-times.txt</v>
      </c>
      <c r="AI3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{"issue":{"subject":"","project_id":79,"tracker_id":40,"status_id":1,"priority_id":2,"assigned_to_id":338,"start_date":"2017-11-09","description":"","custom_fields":[{"id":1,"name":"Subdivision","value":"EC"},{"id":4,"name":"Milepost","value":"23.3272"},{"id":17,"name":"Train ID","value":"123-09"},{"id":16,"name":"Locomotive ID","value":"4026"},{"id":130,"name":"Impact","value":""},{"id":150,"name":"Time of Event (Mountain Time)","value":"07:06:43"},{"id":151,"name":"Denver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4026 --day 2017-11-09</v>
      </c>
      <c r="AN3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0"/>
        <v>https://d0f6bd738d7f1b3e5a7ca70fe4ff75f0.us-east-1.aws.found.io/app/kibana#/discover/Steve-Slow-Train-Analysis-(2080s-and-2083s)?_g=(refreshInterval:(display:Off,pause:!f,section:0,value:0),time:(from:'2017-11-09T05:23:39-0700',mode:absolute,to:'2017-11-09T08:06:43-0700'))&amp;_a=(columns:!('Message%20ID',Summary),filters:!(),index:'emp_*',interval:auto,query:(query_string:(analyze_wildcard:!t,query:'%22rtdc.l.rtdc.4026%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713</v>
      </c>
      <c r="B36" s="7">
        <v>4025</v>
      </c>
      <c r="C36" s="21" t="s">
        <v>192</v>
      </c>
      <c r="D36" s="21" t="s">
        <v>914</v>
      </c>
      <c r="E36" s="13">
        <v>43048.305520833332</v>
      </c>
      <c r="F36" s="13">
        <v>43048.310590277775</v>
      </c>
      <c r="G36" s="7">
        <v>100</v>
      </c>
      <c r="H36" s="21" t="s">
        <v>915</v>
      </c>
      <c r="I36" s="13">
        <v>43048.338240740741</v>
      </c>
      <c r="J36" s="7">
        <v>0</v>
      </c>
      <c r="K36" s="89" t="str">
        <f t="shared" si="0"/>
        <v>4025/4026</v>
      </c>
      <c r="L36" s="185" t="str">
        <f>VLOOKUP(A36,'Trips&amp;Operators'!$C$1:$G$99911,5,FALSE)</f>
        <v>WILLIAMS DONTE</v>
      </c>
      <c r="M36" s="6">
        <f t="shared" si="1"/>
        <v>2.7650462965539191E-2</v>
      </c>
      <c r="N36" s="7">
        <f t="shared" si="21"/>
        <v>39.816666670376435</v>
      </c>
      <c r="O36" s="7"/>
      <c r="P36" s="7"/>
      <c r="Q36" s="22"/>
      <c r="R36" s="174"/>
      <c r="S36" s="221">
        <f t="shared" si="2"/>
        <v>1</v>
      </c>
      <c r="T36" s="174" t="str">
        <f t="shared" si="3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4"/>
        <v>https://d0f6bd738d7f1b3e5a7ca70fe4ff75f0.us-east-1.aws.found.io/app/kibana#/discover/Steve-Slow-Train-Analysis-(2080s-and-2083s)?_g=(refreshInterval:(display:Off,pause:!f,section:0,value:0),time:(from:'2017-11-09T06:19:57-0700',mode:absolute,to:'2017-11-09T09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204" t="str">
        <f>IF(AA36&lt;VLOOKUP(AG36,Variables!$AC$3:$AD$8,2,FALSE),"Y","N")</f>
        <v>N</v>
      </c>
      <c r="X36" s="204">
        <f t="shared" si="5"/>
        <v>1</v>
      </c>
      <c r="Y36" s="204">
        <f t="shared" si="6"/>
        <v>23.294799999999999</v>
      </c>
      <c r="Z36" s="204">
        <f t="shared" si="7"/>
        <v>1.9199999999999998E-2</v>
      </c>
      <c r="AA36" s="204">
        <f t="shared" si="8"/>
        <v>23.275599999999997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9"/>
        <v>124</v>
      </c>
      <c r="AE36" s="77" t="str">
        <f t="shared" si="10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36" s="74" t="str">
        <f t="shared" si="11"/>
        <v>"C:\Program Files (x86)\AstroGrep\AstroGrep.exe" /e /r /s /spath="%USERPROFILE%\AppData\Local\Temp\OnboardLogs" /stypes="app*4025*20171109*" /stext=" 15:.+((SYSTEM_STATE.+slice.+state.+changed )|(ment ac)|(multiple cpu faults)|(system.+state.+changed )|(\[timeout)|(PRM\|1\|D)|(kpr)|(kdp)|(train st.+moving)|(\|lc)|(penalty))"</v>
      </c>
      <c r="AG36" s="182" t="str">
        <f t="shared" si="12"/>
        <v>EC</v>
      </c>
      <c r="AH36" s="78" t="str">
        <f t="shared" si="18"/>
        <v>"%USERPROFILE%\Documents\GitHub\eaglep3\Utilities\RefineRTDCRunTimes.py" --tripid 124-09 --locoid 4025 --swversion DE.1.0.9.0 --startMP 204:232948 --initTime 2017-11-09T07:19:57 --startdatetime 2017-11-09T07:27:15 --delay 100 --endMP 204:192 --enddatetime 2017-11-09T08:07:04 --enforcementcount 0 &gt;&gt;%USERPROFILE%\Documents\GitHub\eaglep3-reporting\EC\2017-11-09-refined-times.txt</v>
      </c>
      <c r="AI3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{"issue":{"subject":"","project_id":79,"tracker_id":40,"status_id":1,"priority_id":2,"assigned_to_id":338,"start_date":"2017-11-09","description":"","custom_fields":[{"id":1,"name":"Subdivision","value":"EC"},{"id":4,"name":"Milepost","value":"0.0192"},{"id":17,"name":"Train ID","value":"124-09"},{"id":16,"name":"Locomotive ID","value":"4025"},{"id":130,"name":"Impact","value":""},{"id":150,"name":"Time of Event (Mountain Time)","value":"08:07:04"},{"id":151,"name":"Denver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4025 --day 2017-11-09</v>
      </c>
      <c r="AN3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0"/>
        <v>https://d0f6bd738d7f1b3e5a7ca70fe4ff75f0.us-east-1.aws.found.io/app/kibana#/discover/Steve-Slow-Train-Analysis-(2080s-and-2083s)?_g=(refreshInterval:(display:Off,pause:!f,section:0,value:0),time:(from:'2017-11-09T06:19:57-0700',mode:absolute,to:'2017-11-09T09:07:04-0700'))&amp;_a=(columns:!('Message%20ID',Summary),filters:!(),index:'emp_*',interval:auto,query:(query_string:(analyze_wildcard:!t,query:'%22rtdc.l.rtdc.4025%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705</v>
      </c>
      <c r="B37" s="7">
        <v>4008</v>
      </c>
      <c r="C37" s="21" t="s">
        <v>192</v>
      </c>
      <c r="D37" s="21" t="s">
        <v>889</v>
      </c>
      <c r="E37" s="13">
        <v>43048.275046296294</v>
      </c>
      <c r="F37" s="13">
        <v>43048.2815162037</v>
      </c>
      <c r="G37" s="7">
        <v>43</v>
      </c>
      <c r="H37" s="21" t="s">
        <v>515</v>
      </c>
      <c r="I37" s="13">
        <v>43048.305659722224</v>
      </c>
      <c r="J37" s="7">
        <v>0</v>
      </c>
      <c r="K37" s="89" t="str">
        <f t="shared" si="0"/>
        <v>4007/4008</v>
      </c>
      <c r="L37" s="185" t="str">
        <f>VLOOKUP(A37,'Trips&amp;Operators'!$C$1:$G$99911,5,FALSE)</f>
        <v>YORK EDGAR</v>
      </c>
      <c r="M37" s="6">
        <f t="shared" si="1"/>
        <v>2.4143518523487728E-2</v>
      </c>
      <c r="N37" s="7">
        <f t="shared" si="21"/>
        <v>34.766666673822328</v>
      </c>
      <c r="O37" s="7"/>
      <c r="P37" s="7"/>
      <c r="Q37" s="22"/>
      <c r="R37" s="174"/>
      <c r="S37" s="221">
        <f t="shared" si="2"/>
        <v>1</v>
      </c>
      <c r="T37" s="174" t="str">
        <f t="shared" si="3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4"/>
        <v>https://d0f6bd738d7f1b3e5a7ca70fe4ff75f0.us-east-1.aws.found.io/app/kibana#/discover/Steve-Slow-Train-Analysis-(2080s-and-2083s)?_g=(refreshInterval:(display:Off,pause:!f,section:0,value:0),time:(from:'2017-11-09T05:36:04-0700',mode:absolute,to:'2017-11-09T08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204" t="str">
        <f>IF(AA37&lt;VLOOKUP(AG37,Variables!$AC$3:$AD$8,2,FALSE),"Y","N")</f>
        <v>N</v>
      </c>
      <c r="X37" s="204">
        <f t="shared" si="5"/>
        <v>1</v>
      </c>
      <c r="Y37" s="204">
        <f t="shared" si="6"/>
        <v>4.6199999999999998E-2</v>
      </c>
      <c r="Z37" s="204">
        <f t="shared" si="7"/>
        <v>23.3293</v>
      </c>
      <c r="AA37" s="204">
        <f t="shared" si="8"/>
        <v>23.283100000000001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9"/>
        <v>125</v>
      </c>
      <c r="AE37" s="77" t="str">
        <f t="shared" si="10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37" s="74" t="str">
        <f t="shared" si="11"/>
        <v>"C:\Program Files (x86)\AstroGrep\AstroGrep.exe" /e /r /s /spath="%USERPROFILE%\AppData\Local\Temp\OnboardLogs" /stypes="app*4008*20171109*" /stext=" 14:.+((SYSTEM_STATE.+slice.+state.+changed )|(ment ac)|(multiple cpu faults)|(system.+state.+changed )|(\[timeout)|(PRM\|1\|D)|(kpr)|(kdp)|(train st.+moving)|(\|lc)|(penalty))"</v>
      </c>
      <c r="AG37" s="182" t="str">
        <f t="shared" si="12"/>
        <v>EC</v>
      </c>
      <c r="AH37" s="78" t="str">
        <f t="shared" si="18"/>
        <v>"%USERPROFILE%\Documents\GitHub\eaglep3\Utilities\RefineRTDCRunTimes.py" --tripid 125-09 --locoid 4008 --swversion DE.1.0.9.0 --startMP 204:462 --initTime 2017-11-09T06:36:04 --startdatetime 2017-11-09T06:45:23 --delay 43 --endMP 204:233293 --enddatetime 2017-11-09T07:20:09 --enforcementcount 0 &gt;&gt;%USERPROFILE%\Documents\GitHub\eaglep3-reporting\EC\2017-11-09-refined-times.txt</v>
      </c>
      <c r="AI3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{"issue":{"subject":"","project_id":79,"tracker_id":40,"status_id":1,"priority_id":2,"assigned_to_id":338,"start_date":"2017-11-09","description":"","custom_fields":[{"id":1,"name":"Subdivision","value":"EC"},{"id":4,"name":"Milepost","value":"23.3293"},{"id":17,"name":"Train ID","value":"125-09"},{"id":16,"name":"Locomotive ID","value":"4008"},{"id":130,"name":"Impact","value":""},{"id":150,"name":"Time of Event (Mountain Time)","value":"07:20:09"},{"id":151,"name":"Denver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4008 --day 2017-11-09</v>
      </c>
      <c r="AN3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0"/>
        <v>https://d0f6bd738d7f1b3e5a7ca70fe4ff75f0.us-east-1.aws.found.io/app/kibana#/discover/Steve-Slow-Train-Analysis-(2080s-and-2083s)?_g=(refreshInterval:(display:Off,pause:!f,section:0,value:0),time:(from:'2017-11-09T05:36:04-0700',mode:absolute,to:'2017-11-09T08:20:09-0700'))&amp;_a=(columns:!('Message%20ID',Summary),filters:!(),index:'emp_*',interval:auto,query:(query_string:(analyze_wildcard:!t,query:'%22rtdc.l.rtdc.4008%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714</v>
      </c>
      <c r="B38" s="7">
        <v>4007</v>
      </c>
      <c r="C38" s="21" t="s">
        <v>192</v>
      </c>
      <c r="D38" s="21" t="s">
        <v>916</v>
      </c>
      <c r="E38" s="13">
        <v>43048.306562500002</v>
      </c>
      <c r="F38" s="13">
        <v>43048.321319444447</v>
      </c>
      <c r="G38" s="7">
        <v>55</v>
      </c>
      <c r="H38" s="21" t="s">
        <v>595</v>
      </c>
      <c r="I38" s="13">
        <v>43048.346458333333</v>
      </c>
      <c r="J38" s="7">
        <v>0</v>
      </c>
      <c r="K38" s="89" t="str">
        <f t="shared" si="0"/>
        <v>4007/4008</v>
      </c>
      <c r="L38" s="185" t="str">
        <f>VLOOKUP(A38,'Trips&amp;Operators'!$C$1:$G$99911,5,FALSE)</f>
        <v>YORK EDGAR</v>
      </c>
      <c r="M38" s="6">
        <f t="shared" si="1"/>
        <v>2.5138888886431232E-2</v>
      </c>
      <c r="N38" s="7">
        <f t="shared" si="21"/>
        <v>36.199999996460974</v>
      </c>
      <c r="O38" s="7"/>
      <c r="P38" s="7"/>
      <c r="Q38" s="22"/>
      <c r="R38" s="174"/>
      <c r="S38" s="221">
        <f t="shared" si="2"/>
        <v>1</v>
      </c>
      <c r="T38" s="174" t="str">
        <f t="shared" si="3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4"/>
        <v>https://d0f6bd738d7f1b3e5a7ca70fe4ff75f0.us-east-1.aws.found.io/app/kibana#/discover/Steve-Slow-Train-Analysis-(2080s-and-2083s)?_g=(refreshInterval:(display:Off,pause:!f,section:0,value:0),time:(from:'2017-11-09T06:21:27-0700',mode:absolute,to:'2017-11-09T09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204" t="str">
        <f>IF(AA38&lt;VLOOKUP(AG38,Variables!$AC$3:$AD$8,2,FALSE),"Y","N")</f>
        <v>N</v>
      </c>
      <c r="X38" s="204">
        <f t="shared" si="5"/>
        <v>1</v>
      </c>
      <c r="Y38" s="204">
        <f t="shared" si="6"/>
        <v>23.296600000000002</v>
      </c>
      <c r="Z38" s="204">
        <f t="shared" si="7"/>
        <v>1.4999999999999999E-2</v>
      </c>
      <c r="AA38" s="204">
        <f t="shared" si="8"/>
        <v>23.281600000000001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9"/>
        <v>126</v>
      </c>
      <c r="AE38" s="77" t="str">
        <f t="shared" si="10"/>
        <v>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 &amp; 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</v>
      </c>
      <c r="AF38" s="74" t="str">
        <f t="shared" si="11"/>
        <v>"C:\Program Files (x86)\AstroGrep\AstroGrep.exe" /e /r /s /spath="%USERPROFILE%\AppData\Local\Temp\OnboardLogs" /stypes="app*4007*20171109*" /stext=" 15:.+((SYSTEM_STATE.+slice.+state.+changed )|(ment ac)|(multiple cpu faults)|(system.+state.+changed )|(\[timeout)|(PRM\|1\|D)|(kpr)|(kdp)|(train st.+moving)|(\|lc)|(penalty))"</v>
      </c>
      <c r="AG38" s="182" t="str">
        <f t="shared" si="12"/>
        <v>EC</v>
      </c>
      <c r="AH38" s="78" t="str">
        <f t="shared" si="18"/>
        <v>"%USERPROFILE%\Documents\GitHub\eaglep3\Utilities\RefineRTDCRunTimes.py" --tripid 126-09 --locoid 4007 --swversion DE.1.0.9.0 --startMP 204:232966 --initTime 2017-11-09T07:21:27 --startdatetime 2017-11-09T07:42:42 --delay 55 --endMP 204:150 --enddatetime 2017-11-09T08:18:54 --enforcementcount 0 &gt;&gt;%USERPROFILE%\Documents\GitHub\eaglep3-reporting\EC\2017-11-09-refined-times.txt</v>
      </c>
      <c r="AI3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{"issue":{"subject":"","project_id":79,"tracker_id":40,"status_id":1,"priority_id":2,"assigned_to_id":338,"start_date":"2017-11-09","description":"","custom_fields":[{"id":1,"name":"Subdivision","value":"EC"},{"id":4,"name":"Milepost","value":"0.015"},{"id":17,"name":"Train ID","value":"126-09"},{"id":16,"name":"Locomotive ID","value":"4007"},{"id":130,"name":"Impact","value":""},{"id":150,"name":"Time of Event (Mountain Time)","value":"08:18:54"},{"id":151,"name":"Denver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4007 --day 2017-11-09</v>
      </c>
      <c r="AN3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0"/>
        <v>https://d0f6bd738d7f1b3e5a7ca70fe4ff75f0.us-east-1.aws.found.io/app/kibana#/discover/Steve-Slow-Train-Analysis-(2080s-and-2083s)?_g=(refreshInterval:(display:Off,pause:!f,section:0,value:0),time:(from:'2017-11-09T06:21:27-0700',mode:absolute,to:'2017-11-09T09:18:54-0700'))&amp;_a=(columns:!('Message%20ID',Summary),filters:!(),index:'emp_*',interval:auto,query:(query_string:(analyze_wildcard:!t,query:'%22rtdc.l.rtdc.4007%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709</v>
      </c>
      <c r="B39" s="7">
        <v>4006</v>
      </c>
      <c r="C39" s="21" t="s">
        <v>192</v>
      </c>
      <c r="D39" s="21" t="s">
        <v>474</v>
      </c>
      <c r="E39" s="13">
        <v>43048.286689814813</v>
      </c>
      <c r="F39" s="13">
        <v>43048.301944444444</v>
      </c>
      <c r="G39" s="7">
        <v>55</v>
      </c>
      <c r="H39" s="21" t="s">
        <v>474</v>
      </c>
      <c r="I39" s="13">
        <v>43048.316724537035</v>
      </c>
      <c r="J39" s="7">
        <v>0</v>
      </c>
      <c r="K39" s="89" t="str">
        <f t="shared" si="0"/>
        <v>4005/4006</v>
      </c>
      <c r="L39" s="185" t="str">
        <f>VLOOKUP(A39,'Trips&amp;Operators'!$C$1:$G$99911,5,FALSE)</f>
        <v>YANAI IAN</v>
      </c>
      <c r="M39" s="6">
        <f t="shared" si="1"/>
        <v>1.4780092591536231E-2</v>
      </c>
      <c r="N39" s="7"/>
      <c r="O39" s="7"/>
      <c r="P39" s="7"/>
      <c r="Q39" s="22"/>
      <c r="R39" s="174"/>
      <c r="S39" s="221"/>
      <c r="T39" s="174" t="str">
        <f t="shared" si="3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216" t="str">
        <f t="shared" si="4"/>
        <v>https://d0f6bd738d7f1b3e5a7ca70fe4ff75f0.us-east-1.aws.found.io/app/kibana#/discover/Steve-Slow-Train-Analysis-(2080s-and-2083s)?_g=(refreshInterval:(display:Off,pause:!f,section:0,value:0),time:(from:'2017-11-09T05:52:50-0700',mode:absolute,to:'2017-11-09T08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204" t="str">
        <f>IF(AA39&lt;VLOOKUP(AG39,Variables!$AC$3:$AD$8,2,FALSE),"Y","N")</f>
        <v>Y</v>
      </c>
      <c r="X39" s="204">
        <f t="shared" si="5"/>
        <v>1</v>
      </c>
      <c r="Y39" s="204">
        <f t="shared" si="6"/>
        <v>5.3699999999999998E-2</v>
      </c>
      <c r="Z39" s="204">
        <f t="shared" si="7"/>
        <v>5.3699999999999998E-2</v>
      </c>
      <c r="AA39" s="204">
        <f t="shared" si="8"/>
        <v>0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9"/>
        <v>127</v>
      </c>
      <c r="AE39" s="77" t="str">
        <f t="shared" si="10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39" s="74" t="str">
        <f t="shared" si="11"/>
        <v>"C:\Program Files (x86)\AstroGrep\AstroGrep.exe" /e /r /s /spath="%USERPROFILE%\AppData\Local\Temp\OnboardLogs" /stypes="app*4006*20171109*" /stext=" 14:.+((SYSTEM_STATE.+slice.+state.+changed )|(ment ac)|(multiple cpu faults)|(system.+state.+changed )|(\[timeout)|(PRM\|1\|D)|(kpr)|(kdp)|(train st.+moving)|(\|lc)|(penalty))"</v>
      </c>
      <c r="AG39" s="182" t="str">
        <f t="shared" si="12"/>
        <v>EC</v>
      </c>
      <c r="AH39" s="78" t="str">
        <f t="shared" si="18"/>
        <v>"%USERPROFILE%\Documents\GitHub\eaglep3\Utilities\RefineRTDCRunTimes.py" --tripid 127-09 --locoid 4006 --swversion DE.1.0.9.0 --startMP 204:537 --initTime 2017-11-09T06:52:50 --startdatetime 2017-11-09T07:14:48 --delay 55 --endMP 204:537 --enddatetime 2017-11-09T07:36:05 --enforcementcount 0 &gt;&gt;%USERPROFILE%\Documents\GitHub\eaglep3-reporting\EC\2017-11-09-refined-times.txt</v>
      </c>
      <c r="AI3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{"issue":{"subject":"","project_id":79,"tracker_id":40,"status_id":1,"priority_id":2,"assigned_to_id":338,"start_date":"2017-11-09","description":"","custom_fields":[{"id":1,"name":"Subdivision","value":"EC"},{"id":4,"name":"Milepost","value":"0.0537"},{"id":17,"name":"Train ID","value":"127-09"},{"id":16,"name":"Locomotive ID","value":"4006"},{"id":130,"name":"Impact","value":""},{"id":150,"name":"Time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4006 --day 2017-11-09</v>
      </c>
      <c r="AN3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0"/>
        <v>https://d0f6bd738d7f1b3e5a7ca70fe4ff75f0.us-east-1.aws.found.io/app/kibana#/discover/Steve-Slow-Train-Analysis-(2080s-and-2083s)?_g=(refreshInterval:(display:Off,pause:!f,section:0,value:0),time:(from:'2017-11-09T05:52:50-0700',mode:absolute,to:'2017-11-09T08:36:05-0700'))&amp;_a=(columns:!('Message%20ID',Summary),filters:!(),index:'emp_*',interval:auto,query:(query_string:(analyze_wildcard:!t,query:'%22rtdc.l.rtdc.4006%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709</v>
      </c>
      <c r="B40" s="7">
        <v>4006</v>
      </c>
      <c r="C40" s="21" t="s">
        <v>192</v>
      </c>
      <c r="D40" s="21" t="s">
        <v>917</v>
      </c>
      <c r="E40" s="13">
        <v>43048.300717592596</v>
      </c>
      <c r="F40" s="13">
        <v>43048.301944444444</v>
      </c>
      <c r="G40" s="7">
        <v>51</v>
      </c>
      <c r="H40" s="21" t="s">
        <v>451</v>
      </c>
      <c r="I40" s="13">
        <v>43048.316724537035</v>
      </c>
      <c r="J40" s="7">
        <v>0</v>
      </c>
      <c r="K40" s="89" t="str">
        <f t="shared" si="0"/>
        <v>4005/4006</v>
      </c>
      <c r="L40" s="185" t="str">
        <f>VLOOKUP(A40,'Trips&amp;Operators'!$C$1:$G$99911,5,FALSE)</f>
        <v>YANAI IAN</v>
      </c>
      <c r="M40" s="6">
        <f t="shared" si="1"/>
        <v>1.4780092591536231E-2</v>
      </c>
      <c r="N40" s="7"/>
      <c r="O40" s="7"/>
      <c r="P40" s="7">
        <f>24*60*SUM($M40:$M40)</f>
        <v>21.283333331812173</v>
      </c>
      <c r="Q40" s="22"/>
      <c r="R40" s="174" t="s">
        <v>1100</v>
      </c>
      <c r="S40" s="221">
        <f t="shared" ref="S40:S71" si="22">1/IF(AG40="EC",12,1)*SUM(U40:U40)</f>
        <v>0.25</v>
      </c>
      <c r="T40" s="174" t="str">
        <f t="shared" si="3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3</v>
      </c>
      <c r="V40" s="216" t="str">
        <f t="shared" si="4"/>
        <v>https://d0f6bd738d7f1b3e5a7ca70fe4ff75f0.us-east-1.aws.found.io/app/kibana#/discover/Steve-Slow-Train-Analysis-(2080s-and-2083s)?_g=(refreshInterval:(display:Off,pause:!f,section:0,value:0),time:(from:'2017-11-09T06:13:02-0700',mode:absolute,to:'2017-11-09T08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04" t="str">
        <f>IF(AA40&lt;VLOOKUP(AG40,Variables!$AC$3:$AD$8,2,FALSE),"Y","N")</f>
        <v>Y</v>
      </c>
      <c r="X40" s="204">
        <f t="shared" si="5"/>
        <v>0</v>
      </c>
      <c r="Y40" s="204">
        <f t="shared" si="6"/>
        <v>6.4691999999999998</v>
      </c>
      <c r="Z40" s="204">
        <f t="shared" si="7"/>
        <v>23.328900000000001</v>
      </c>
      <c r="AA40" s="204">
        <f t="shared" si="8"/>
        <v>16.8597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 t="shared" si="9"/>
        <v>127</v>
      </c>
      <c r="AE40" s="77" t="str">
        <f t="shared" si="10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40" s="74" t="str">
        <f t="shared" si="11"/>
        <v>"C:\Program Files (x86)\AstroGrep\AstroGrep.exe" /e /r /s /spath="%USERPROFILE%\AppData\Local\Temp\OnboardLogs" /stypes="app*4006*20171109*" /stext=" 14:.+((SYSTEM_STATE.+slice.+state.+changed )|(ment ac)|(multiple cpu faults)|(system.+state.+changed )|(\[timeout)|(PRM\|1\|D)|(kpr)|(kdp)|(train st.+moving)|(\|lc)|(penalty))"</v>
      </c>
      <c r="AG40" s="182" t="str">
        <f t="shared" si="12"/>
        <v>EC</v>
      </c>
      <c r="AH40" s="78" t="str">
        <f t="shared" si="18"/>
        <v>"%USERPROFILE%\Documents\GitHub\eaglep3\Utilities\RefineRTDCRunTimes.py" --tripid 127-09 --locoid 4006 --swversion DE.1.0.9.0 --startMP 204:64692 --initTime 2017-11-09T07:13:02 --startdatetime 2017-11-09T07:14:48 --delay 51 --endMP 204:233289 --enddatetime 2017-11-09T07:36:05 --enforcementcount 0 &gt;&gt;%USERPROFILE%\Documents\GitHub\eaglep3-reporting\EC\2017-11-09-refined-times.txt</v>
      </c>
      <c r="AI40" s="96" t="str">
        <f t="shared" si="14"/>
        <v>echo {"issue":{"subject":"Onboard en route failure prevented operator from selecting track","project_id":79,"tracker_id":40,"status_id":1,"priority_id":2,"assigned_to_id":338,"start_date":"2017-11-09","description":"","custom_fields":[{"id":1,"name":"Subdivision","value":"EC"},{"id":4,"name":"Milepost","value":"23.3289"},{"id":17,"name":"Train ID","value":"127-09"},{"id":16,"name":"Locomotive ID","value":"4006"},{"id":130,"name":"Impact","value":""},{"id":150,"name":"Time of Event (Mountain Time)","value":"07:36:05"},{"id":151,"name":"Denver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4006 --day 2017-11-09</v>
      </c>
      <c r="AN40" s="151" t="str">
        <f t="shared" si="16"/>
        <v>echo {"issue":{"subject":"Onboard en route failure prevented operator from selecting track","project_id":30,"tracker_id":4,"status_id":1,"priority_id":1,"assigned_to_id":10,"start_date":"2017-11-09","description":"","custom_fields":[{"id":30,"name":"Category","value":"Issue"},{"id":3,"name":"Functional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0"/>
        <v>https://d0f6bd738d7f1b3e5a7ca70fe4ff75f0.us-east-1.aws.found.io/app/kibana#/discover/Steve-Slow-Train-Analysis-(2080s-and-2083s)?_g=(refreshInterval:(display:Off,pause:!f,section:0,value:0),time:(from:'2017-11-09T06:13:02-0700',mode:absolute,to:'2017-11-09T08:36:05-0700'))&amp;_a=(columns:!('Message%20ID',Summary),filters:!(),index:'emp_*',interval:auto,query:(query_string:(analyze_wildcard:!t,query:'%22rtdc.l.rtdc.4006%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718</v>
      </c>
      <c r="B41" s="7">
        <v>4005</v>
      </c>
      <c r="C41" s="21" t="s">
        <v>192</v>
      </c>
      <c r="D41" s="21" t="s">
        <v>918</v>
      </c>
      <c r="E41" s="13">
        <v>43048.317928240744</v>
      </c>
      <c r="F41" s="13">
        <v>43048.331435185188</v>
      </c>
      <c r="G41" s="7">
        <v>69</v>
      </c>
      <c r="H41" s="21" t="s">
        <v>453</v>
      </c>
      <c r="I41" s="13">
        <v>43048.35769675926</v>
      </c>
      <c r="J41" s="7">
        <v>0</v>
      </c>
      <c r="K41" s="89" t="str">
        <f t="shared" si="0"/>
        <v>4005/4006</v>
      </c>
      <c r="L41" s="185" t="str">
        <f>VLOOKUP(A41,'Trips&amp;Operators'!$C$1:$G$99911,5,FALSE)</f>
        <v>YANAI IAN</v>
      </c>
      <c r="M41" s="6">
        <f t="shared" si="1"/>
        <v>2.626157407212304E-2</v>
      </c>
      <c r="N41" s="7">
        <f t="shared" ref="N41:N72" si="23">24*60*SUM($M41:$M41)</f>
        <v>37.816666663857177</v>
      </c>
      <c r="O41" s="7"/>
      <c r="P41" s="7"/>
      <c r="Q41" s="22"/>
      <c r="R41" s="174"/>
      <c r="S41" s="221">
        <f t="shared" si="22"/>
        <v>1</v>
      </c>
      <c r="T41" s="174" t="str">
        <f t="shared" si="3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4"/>
        <v>https://d0f6bd738d7f1b3e5a7ca70fe4ff75f0.us-east-1.aws.found.io/app/kibana#/discover/Steve-Slow-Train-Analysis-(2080s-and-2083s)?_g=(refreshInterval:(display:Off,pause:!f,section:0,value:0),time:(from:'2017-11-09T06:37:49-0700',mode:absolute,to:'2017-11-09T09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04" t="str">
        <f>IF(AA41&lt;VLOOKUP(AG41,Variables!$AC$3:$AD$8,2,FALSE),"Y","N")</f>
        <v>N</v>
      </c>
      <c r="X41" s="204">
        <f t="shared" si="5"/>
        <v>1</v>
      </c>
      <c r="Y41" s="204">
        <f t="shared" si="6"/>
        <v>23.297799999999999</v>
      </c>
      <c r="Z41" s="204">
        <f t="shared" si="7"/>
        <v>2.1399999999999999E-2</v>
      </c>
      <c r="AA41" s="204">
        <f t="shared" si="8"/>
        <v>23.276399999999999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9"/>
        <v>128</v>
      </c>
      <c r="AE41" s="77" t="str">
        <f t="shared" si="10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41" s="74" t="str">
        <f t="shared" si="11"/>
        <v>"C:\Program Files (x86)\AstroGrep\AstroGrep.exe" /e /r /s /spath="%USERPROFILE%\AppData\Local\Temp\OnboardLogs" /stypes="app*4005*20171109*" /stext=" 15:.+((SYSTEM_STATE.+slice.+state.+changed )|(ment ac)|(multiple cpu faults)|(system.+state.+changed )|(\[timeout)|(PRM\|1\|D)|(kpr)|(kdp)|(train st.+moving)|(\|lc)|(penalty))"</v>
      </c>
      <c r="AG41" s="182" t="str">
        <f t="shared" si="12"/>
        <v>EC</v>
      </c>
      <c r="AH41" s="78" t="str">
        <f t="shared" si="18"/>
        <v>"%USERPROFILE%\Documents\GitHub\eaglep3\Utilities\RefineRTDCRunTimes.py" --tripid 128-09 --locoid 4005 --swversion DE.1.0.9.0 --startMP 204:232978 --initTime 2017-11-09T07:37:49 --startdatetime 2017-11-09T07:57:16 --delay 69 --endMP 204:214 --enddatetime 2017-11-09T08:35:05 --enforcementcount 0 &gt;&gt;%USERPROFILE%\Documents\GitHub\eaglep3-reporting\EC\2017-11-09-refined-times.txt</v>
      </c>
      <c r="AI4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{"issue":{"subject":"","project_id":79,"tracker_id":40,"status_id":1,"priority_id":2,"assigned_to_id":338,"start_date":"2017-11-09","description":"","custom_fields":[{"id":1,"name":"Subdivision","value":"EC"},{"id":4,"name":"Milepost","value":"0.0214"},{"id":17,"name":"Train ID","value":"128-09"},{"id":16,"name":"Locomotive ID","value":"4005"},{"id":130,"name":"Impact","value":""},{"id":150,"name":"Time of Event (Mountain Time)","value":"08:35:05"},{"id":151,"name":"Denver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4005 --day 2017-11-09</v>
      </c>
      <c r="AN4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0"/>
        <v>https://d0f6bd738d7f1b3e5a7ca70fe4ff75f0.us-east-1.aws.found.io/app/kibana#/discover/Steve-Slow-Train-Analysis-(2080s-and-2083s)?_g=(refreshInterval:(display:Off,pause:!f,section:0,value:0),time:(from:'2017-11-09T06:37:49-0700',mode:absolute,to:'2017-11-09T09:35:05-0700'))&amp;_a=(columns:!('Message%20ID',Summary),filters:!(),index:'emp_*',interval:auto,query:(query_string:(analyze_wildcard:!t,query:'%22rtdc.l.rtdc.4005%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712</v>
      </c>
      <c r="B42" s="7">
        <v>4022</v>
      </c>
      <c r="C42" s="21" t="s">
        <v>192</v>
      </c>
      <c r="D42" s="21" t="s">
        <v>623</v>
      </c>
      <c r="E42" s="13">
        <v>43048.298009259262</v>
      </c>
      <c r="F42" s="13">
        <v>43048.302291666667</v>
      </c>
      <c r="G42" s="7">
        <v>48</v>
      </c>
      <c r="H42" s="21" t="s">
        <v>911</v>
      </c>
      <c r="I42" s="13">
        <v>43048.327326388891</v>
      </c>
      <c r="J42" s="7">
        <v>0</v>
      </c>
      <c r="K42" s="89" t="str">
        <f t="shared" si="0"/>
        <v>4021/4022</v>
      </c>
      <c r="L42" s="185" t="str">
        <f>VLOOKUP(A42,'Trips&amp;Operators'!$C$1:$G$99911,5,FALSE)</f>
        <v>MAELZER KURT</v>
      </c>
      <c r="M42" s="6">
        <f t="shared" si="1"/>
        <v>2.5034722224518191E-2</v>
      </c>
      <c r="N42" s="7">
        <f t="shared" si="23"/>
        <v>36.050000003306195</v>
      </c>
      <c r="O42" s="7"/>
      <c r="P42" s="7"/>
      <c r="Q42" s="22"/>
      <c r="R42" s="174"/>
      <c r="S42" s="221">
        <f t="shared" si="22"/>
        <v>1</v>
      </c>
      <c r="T42" s="174" t="str">
        <f t="shared" si="3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4"/>
        <v>https://d0f6bd738d7f1b3e5a7ca70fe4ff75f0.us-east-1.aws.found.io/app/kibana#/discover/Steve-Slow-Train-Analysis-(2080s-and-2083s)?_g=(refreshInterval:(display:Off,pause:!f,section:0,value:0),time:(from:'2017-11-09T06:09:08-0700',mode:absolute,to:'2017-11-09T08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2" s="204" t="str">
        <f>IF(AA42&lt;VLOOKUP(AG42,Variables!$AC$3:$AD$8,2,FALSE),"Y","N")</f>
        <v>N</v>
      </c>
      <c r="X42" s="204">
        <f t="shared" si="5"/>
        <v>1</v>
      </c>
      <c r="Y42" s="204">
        <f t="shared" si="6"/>
        <v>4.5699999999999998E-2</v>
      </c>
      <c r="Z42" s="204">
        <f t="shared" si="7"/>
        <v>23.331499999999998</v>
      </c>
      <c r="AA42" s="204">
        <f t="shared" si="8"/>
        <v>23.285799999999998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9"/>
        <v>129</v>
      </c>
      <c r="AE42" s="77" t="str">
        <f t="shared" si="1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42" s="74" t="str">
        <f t="shared" si="11"/>
        <v>"C:\Program Files (x86)\AstroGrep\AstroGrep.exe" /e /r /s /spath="%USERPROFILE%\AppData\Local\Temp\OnboardLogs" /stypes="app*4022*20171109*" /stext=" 14:.+((SYSTEM_STATE.+slice.+state.+changed )|(ment ac)|(multiple cpu faults)|(system.+state.+changed )|(\[timeout)|(PRM\|1\|D)|(kpr)|(kdp)|(train st.+moving)|(\|lc)|(penalty))"</v>
      </c>
      <c r="AG42" s="182" t="str">
        <f t="shared" si="12"/>
        <v>EC</v>
      </c>
      <c r="AH42" s="78" t="str">
        <f t="shared" si="18"/>
        <v>"%USERPROFILE%\Documents\GitHub\eaglep3\Utilities\RefineRTDCRunTimes.py" --tripid 129-09 --locoid 4022 --swversion DE.1.0.9.0 --startMP 204:457 --initTime 2017-11-09T07:09:08 --startdatetime 2017-11-09T07:15:18 --delay 48 --endMP 204:233315 --enddatetime 2017-11-09T07:51:21 --enforcementcount 0 &gt;&gt;%USERPROFILE%\Documents\GitHub\eaglep3-reporting\EC\2017-11-09-refined-times.txt</v>
      </c>
      <c r="AI4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{"issue":{"subject":"","project_id":79,"tracker_id":40,"status_id":1,"priority_id":2,"assigned_to_id":338,"start_date":"2017-11-09","description":"","custom_fields":[{"id":1,"name":"Subdivision","value":"EC"},{"id":4,"name":"Milepost","value":"23.3315"},{"id":17,"name":"Train ID","value":"129-09"},{"id":16,"name":"Locomotive ID","value":"4022"},{"id":130,"name":"Impact","value":""},{"id":150,"name":"Time of Event (Mountain Time)","value":"07:51:21"},{"id":151,"name":"Denver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4022 --day 2017-11-09</v>
      </c>
      <c r="AN4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0"/>
        <v>https://d0f6bd738d7f1b3e5a7ca70fe4ff75f0.us-east-1.aws.found.io/app/kibana#/discover/Steve-Slow-Train-Analysis-(2080s-and-2083s)?_g=(refreshInterval:(display:Off,pause:!f,section:0,value:0),time:(from:'2017-11-09T06:09:08-0700',mode:absolute,to:'2017-11-09T08:51:21-0700'))&amp;_a=(columns:!('Message%20ID',Summary),filters:!(),index:'emp_*',interval:auto,query:(query_string:(analyze_wildcard:!t,query:'%22rtdc.l.rtdc.4022%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725</v>
      </c>
      <c r="B43" s="7">
        <v>4021</v>
      </c>
      <c r="C43" s="21" t="s">
        <v>192</v>
      </c>
      <c r="D43" s="21" t="s">
        <v>513</v>
      </c>
      <c r="E43" s="13">
        <v>43048.334976851853</v>
      </c>
      <c r="F43" s="13">
        <v>43048.34202546296</v>
      </c>
      <c r="G43" s="7">
        <v>43</v>
      </c>
      <c r="H43" s="21" t="s">
        <v>888</v>
      </c>
      <c r="I43" s="13">
        <v>43048.368541666663</v>
      </c>
      <c r="J43" s="7">
        <v>0</v>
      </c>
      <c r="K43" s="89" t="str">
        <f t="shared" si="0"/>
        <v>4021/4022</v>
      </c>
      <c r="L43" s="185" t="str">
        <f>VLOOKUP(A43,'Trips&amp;Operators'!$C$1:$G$99911,5,FALSE)</f>
        <v>MAELZER KURT</v>
      </c>
      <c r="M43" s="6">
        <f t="shared" si="1"/>
        <v>2.6516203703067731E-2</v>
      </c>
      <c r="N43" s="7">
        <f t="shared" si="23"/>
        <v>38.183333332417533</v>
      </c>
      <c r="O43" s="7"/>
      <c r="P43" s="7"/>
      <c r="Q43" s="22"/>
      <c r="R43" s="174"/>
      <c r="S43" s="221">
        <f t="shared" si="22"/>
        <v>1</v>
      </c>
      <c r="T43" s="174" t="str">
        <f t="shared" si="3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4"/>
        <v>https://d0f6bd738d7f1b3e5a7ca70fe4ff75f0.us-east-1.aws.found.io/app/kibana#/discover/Steve-Slow-Train-Analysis-(2080s-and-2083s)?_g=(refreshInterval:(display:Off,pause:!f,section:0,value:0),time:(from:'2017-11-09T07:02:22-0700',mode:absolute,to:'2017-11-09T09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3" s="204" t="str">
        <f>IF(AA43&lt;VLOOKUP(AG43,Variables!$AC$3:$AD$8,2,FALSE),"Y","N")</f>
        <v>N</v>
      </c>
      <c r="X43" s="204">
        <f t="shared" si="5"/>
        <v>1</v>
      </c>
      <c r="Y43" s="204">
        <f t="shared" si="6"/>
        <v>23.3002</v>
      </c>
      <c r="Z43" s="204">
        <f t="shared" si="7"/>
        <v>1.43E-2</v>
      </c>
      <c r="AA43" s="204">
        <f t="shared" si="8"/>
        <v>23.285900000000002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9"/>
        <v>130</v>
      </c>
      <c r="AE43" s="77" t="str">
        <f t="shared" si="1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43" s="74" t="str">
        <f t="shared" si="11"/>
        <v>"C:\Program Files (x86)\AstroGrep\AstroGrep.exe" /e /r /s /spath="%USERPROFILE%\AppData\Local\Temp\OnboardLogs" /stypes="app*4021*20171109*" /stext=" 15:.+((SYSTEM_STATE.+slice.+state.+changed )|(ment ac)|(multiple cpu faults)|(system.+state.+changed )|(\[timeout)|(PRM\|1\|D)|(kpr)|(kdp)|(train st.+moving)|(\|lc)|(penalty))"</v>
      </c>
      <c r="AG43" s="182" t="str">
        <f t="shared" si="12"/>
        <v>EC</v>
      </c>
      <c r="AH43" s="78" t="str">
        <f t="shared" si="18"/>
        <v>"%USERPROFILE%\Documents\GitHub\eaglep3\Utilities\RefineRTDCRunTimes.py" --tripid 130-09 --locoid 4021 --swversion DE.1.0.9.0 --startMP 204:233002 --initTime 2017-11-09T08:02:22 --startdatetime 2017-11-09T08:12:31 --delay 43 --endMP 204:143 --enddatetime 2017-11-09T08:50:42 --enforcementcount 0 &gt;&gt;%USERPROFILE%\Documents\GitHub\eaglep3-reporting\EC\2017-11-09-refined-times.txt</v>
      </c>
      <c r="AI4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{"issue":{"subject":"","project_id":79,"tracker_id":40,"status_id":1,"priority_id":2,"assigned_to_id":338,"start_date":"2017-11-09","description":"","custom_fields":[{"id":1,"name":"Subdivision","value":"EC"},{"id":4,"name":"Milepost","value":"0.0143"},{"id":17,"name":"Train ID","value":"130-09"},{"id":16,"name":"Locomotive ID","value":"4021"},{"id":130,"name":"Impact","value":""},{"id":150,"name":"Time of Event (Mountain Time)","value":"08:50:42"},{"id":151,"name":"Denver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4021 --day 2017-11-09</v>
      </c>
      <c r="AN4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0"/>
        <v>https://d0f6bd738d7f1b3e5a7ca70fe4ff75f0.us-east-1.aws.found.io/app/kibana#/discover/Steve-Slow-Train-Analysis-(2080s-and-2083s)?_g=(refreshInterval:(display:Off,pause:!f,section:0,value:0),time:(from:'2017-11-09T07:02:22-0700',mode:absolute,to:'2017-11-09T09:50:42-0700'))&amp;_a=(columns:!('Message%20ID',Summary),filters:!(),index:'emp_*',interval:auto,query:(query_string:(analyze_wildcard:!t,query:'%22rtdc.l.rtdc.4021%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715</v>
      </c>
      <c r="B44" s="7">
        <v>4066</v>
      </c>
      <c r="C44" s="21" t="s">
        <v>192</v>
      </c>
      <c r="D44" s="21" t="s">
        <v>609</v>
      </c>
      <c r="E44" s="13">
        <v>43048.308171296296</v>
      </c>
      <c r="F44" s="13">
        <v>43048.312800925924</v>
      </c>
      <c r="G44" s="7">
        <v>71</v>
      </c>
      <c r="H44" s="21" t="s">
        <v>919</v>
      </c>
      <c r="I44" s="13">
        <v>43048.337638888886</v>
      </c>
      <c r="J44" s="7">
        <v>0</v>
      </c>
      <c r="K44" s="89" t="str">
        <f t="shared" si="0"/>
        <v>4065/4066</v>
      </c>
      <c r="L44" s="185" t="str">
        <f>VLOOKUP(A44,'Trips&amp;Operators'!$C$1:$G$99911,5,FALSE)</f>
        <v>MOSES BRADLEY</v>
      </c>
      <c r="M44" s="6">
        <f t="shared" si="1"/>
        <v>2.4837962962919846E-2</v>
      </c>
      <c r="N44" s="7">
        <f t="shared" si="23"/>
        <v>35.766666666604578</v>
      </c>
      <c r="O44" s="7"/>
      <c r="P44" s="7"/>
      <c r="Q44" s="22"/>
      <c r="R44" s="174"/>
      <c r="S44" s="221">
        <f t="shared" si="22"/>
        <v>1</v>
      </c>
      <c r="T44" s="174" t="str">
        <f t="shared" si="3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4"/>
        <v>https://d0f6bd738d7f1b3e5a7ca70fe4ff75f0.us-east-1.aws.found.io/app/kibana#/discover/Steve-Slow-Train-Analysis-(2080s-and-2083s)?_g=(refreshInterval:(display:Off,pause:!f,section:0,value:0),time:(from:'2017-11-09T06:23:46-0700',mode:absolute,to:'2017-11-09T09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4" s="204" t="str">
        <f>IF(AA44&lt;VLOOKUP(AG44,Variables!$AC$3:$AD$8,2,FALSE),"Y","N")</f>
        <v>N</v>
      </c>
      <c r="X44" s="204">
        <f t="shared" si="5"/>
        <v>1</v>
      </c>
      <c r="Y44" s="204">
        <f t="shared" si="6"/>
        <v>5.2400000000000002E-2</v>
      </c>
      <c r="Z44" s="204">
        <f t="shared" si="7"/>
        <v>23.327999999999999</v>
      </c>
      <c r="AA44" s="204">
        <f t="shared" si="8"/>
        <v>23.275600000000001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9"/>
        <v>131</v>
      </c>
      <c r="AE44" s="77" t="str">
        <f t="shared" si="10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44" s="74" t="str">
        <f t="shared" si="11"/>
        <v>"C:\Program Files (x86)\AstroGrep\AstroGrep.exe" /e /r /s /spath="%USERPROFILE%\AppData\Local\Temp\OnboardLogs" /stypes="app*4066*20171109*" /stext=" 15:.+((SYSTEM_STATE.+slice.+state.+changed )|(ment ac)|(multiple cpu faults)|(system.+state.+changed )|(\[timeout)|(PRM\|1\|D)|(kpr)|(kdp)|(train st.+moving)|(\|lc)|(penalty))"</v>
      </c>
      <c r="AG44" s="182" t="str">
        <f t="shared" si="12"/>
        <v>EC</v>
      </c>
      <c r="AH44" s="78" t="str">
        <f t="shared" si="18"/>
        <v>"%USERPROFILE%\Documents\GitHub\eaglep3\Utilities\RefineRTDCRunTimes.py" --tripid 131-09 --locoid 4066 --swversion DE.1.0.9.0 --startMP 204:524 --initTime 2017-11-09T07:23:46 --startdatetime 2017-11-09T07:30:26 --delay 71 --endMP 204:233280 --enddatetime 2017-11-09T08:06:12 --enforcementcount 0 &gt;&gt;%USERPROFILE%\Documents\GitHub\eaglep3-reporting\EC\2017-11-09-refined-times.txt</v>
      </c>
      <c r="AI4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{"issue":{"subject":"","project_id":79,"tracker_id":40,"status_id":1,"priority_id":2,"assigned_to_id":338,"start_date":"2017-11-09","description":"","custom_fields":[{"id":1,"name":"Subdivision","value":"EC"},{"id":4,"name":"Milepost","value":"23.328"},{"id":17,"name":"Train ID","value":"131-09"},{"id":16,"name":"Locomotive ID","value":"4066"},{"id":130,"name":"Impact","value":""},{"id":150,"name":"Time of Event (Mountain Time)","value":"08:06:12"},{"id":151,"name":"Denver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4066 --day 2017-11-09</v>
      </c>
      <c r="AN4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0"/>
        <v>https://d0f6bd738d7f1b3e5a7ca70fe4ff75f0.us-east-1.aws.found.io/app/kibana#/discover/Steve-Slow-Train-Analysis-(2080s-and-2083s)?_g=(refreshInterval:(display:Off,pause:!f,section:0,value:0),time:(from:'2017-11-09T06:23:46-0700',mode:absolute,to:'2017-11-09T09:06:12-0700'))&amp;_a=(columns:!('Message%20ID',Summary),filters:!(),index:'emp_*',interval:auto,query:(query_string:(analyze_wildcard:!t,query:'%22rtdc.l.rtdc.4066%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727</v>
      </c>
      <c r="B45" s="7">
        <v>4065</v>
      </c>
      <c r="C45" s="21" t="s">
        <v>192</v>
      </c>
      <c r="D45" s="21" t="s">
        <v>591</v>
      </c>
      <c r="E45" s="13">
        <v>43048.345613425925</v>
      </c>
      <c r="F45" s="13">
        <v>43048.352314814816</v>
      </c>
      <c r="G45" s="7">
        <v>63</v>
      </c>
      <c r="H45" s="21" t="s">
        <v>920</v>
      </c>
      <c r="I45" s="13">
        <v>43048.379131944443</v>
      </c>
      <c r="J45" s="7">
        <v>0</v>
      </c>
      <c r="K45" s="89" t="str">
        <f t="shared" si="0"/>
        <v>4065/4066</v>
      </c>
      <c r="L45" s="185" t="str">
        <f>VLOOKUP(A45,'Trips&amp;Operators'!$C$1:$G$99911,5,FALSE)</f>
        <v>MOSES BRADLEY</v>
      </c>
      <c r="M45" s="6">
        <f t="shared" si="1"/>
        <v>2.6817129626579117E-2</v>
      </c>
      <c r="N45" s="7">
        <f t="shared" si="23"/>
        <v>38.616666662273929</v>
      </c>
      <c r="O45" s="7"/>
      <c r="P45" s="7"/>
      <c r="Q45" s="22"/>
      <c r="R45" s="174"/>
      <c r="S45" s="221">
        <f t="shared" si="22"/>
        <v>1</v>
      </c>
      <c r="T45" s="174" t="str">
        <f t="shared" si="3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4"/>
        <v>https://d0f6bd738d7f1b3e5a7ca70fe4ff75f0.us-east-1.aws.found.io/app/kibana#/discover/Steve-Slow-Train-Analysis-(2080s-and-2083s)?_g=(refreshInterval:(display:Off,pause:!f,section:0,value:0),time:(from:'2017-11-09T07:17:41-0700',mode:absolute,to:'2017-11-09T10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5" s="204" t="str">
        <f>IF(AA45&lt;VLOOKUP(AG45,Variables!$AC$3:$AD$8,2,FALSE),"Y","N")</f>
        <v>N</v>
      </c>
      <c r="X45" s="204">
        <f t="shared" ref="X45:X80" si="24">VALUE(LEFT(AD45,4))-VALUE(LEFT(AD44,4))</f>
        <v>1</v>
      </c>
      <c r="Y45" s="204">
        <f t="shared" ref="Y45:Y76" si="25">RIGHT(D45,LEN(D45)-4)/10000</f>
        <v>23.294599999999999</v>
      </c>
      <c r="Z45" s="204">
        <f t="shared" ref="Z45:Z76" si="26">RIGHT(H45,LEN(H45)-4)/10000</f>
        <v>2.23E-2</v>
      </c>
      <c r="AA45" s="204">
        <f t="shared" si="8"/>
        <v>23.272299999999998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9"/>
        <v>132</v>
      </c>
      <c r="AE45" s="77" t="str">
        <f t="shared" si="10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45" s="74" t="str">
        <f t="shared" si="11"/>
        <v>"C:\Program Files (x86)\AstroGrep\AstroGrep.exe" /e /r /s /spath="%USERPROFILE%\AppData\Local\Temp\OnboardLogs" /stypes="app*4065*20171109*" /stext=" 16:.+((SYSTEM_STATE.+slice.+state.+changed )|(ment ac)|(multiple cpu faults)|(system.+state.+changed )|(\[timeout)|(PRM\|1\|D)|(kpr)|(kdp)|(train st.+moving)|(\|lc)|(penalty))"</v>
      </c>
      <c r="AG45" s="182" t="str">
        <f t="shared" si="12"/>
        <v>EC</v>
      </c>
      <c r="AH45" s="78" t="str">
        <f t="shared" si="18"/>
        <v>"%USERPROFILE%\Documents\GitHub\eaglep3\Utilities\RefineRTDCRunTimes.py" --tripid 132-09 --locoid 4065 --swversion DE.1.0.9.0 --startMP 204:232946 --initTime 2017-11-09T08:17:41 --startdatetime 2017-11-09T08:27:20 --delay 63 --endMP 204:223 --enddatetime 2017-11-09T09:05:57 --enforcementcount 0 &gt;&gt;%USERPROFILE%\Documents\GitHub\eaglep3-reporting\EC\2017-11-09-refined-times.txt</v>
      </c>
      <c r="AI4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{"issue":{"subject":"","project_id":79,"tracker_id":40,"status_id":1,"priority_id":2,"assigned_to_id":338,"start_date":"2017-11-09","description":"","custom_fields":[{"id":1,"name":"Subdivision","value":"EC"},{"id":4,"name":"Milepost","value":"0.0223"},{"id":17,"name":"Train ID","value":"132-09"},{"id":16,"name":"Locomotive ID","value":"4065"},{"id":130,"name":"Impact","value":""},{"id":150,"name":"Time of Event (Mountain Time)","value":"09:05:57"},{"id":151,"name":"Denver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4065 --day 2017-11-09</v>
      </c>
      <c r="AN4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0"/>
        <v>https://d0f6bd738d7f1b3e5a7ca70fe4ff75f0.us-east-1.aws.found.io/app/kibana#/discover/Steve-Slow-Train-Analysis-(2080s-and-2083s)?_g=(refreshInterval:(display:Off,pause:!f,section:0,value:0),time:(from:'2017-11-09T07:17:41-0700',mode:absolute,to:'2017-11-09T10:05:57-0700'))&amp;_a=(columns:!('Message%20ID',Summary),filters:!(),index:'emp_*',interval:auto,query:(query_string:(analyze_wildcard:!t,query:'%22rtdc.l.rtdc.4065%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719</v>
      </c>
      <c r="B46" s="7">
        <v>4020</v>
      </c>
      <c r="C46" s="21" t="s">
        <v>192</v>
      </c>
      <c r="D46" s="21" t="s">
        <v>465</v>
      </c>
      <c r="E46" s="13">
        <v>43048.318993055553</v>
      </c>
      <c r="F46" s="13">
        <v>43048.323229166665</v>
      </c>
      <c r="G46" s="7">
        <v>52</v>
      </c>
      <c r="H46" s="21" t="s">
        <v>921</v>
      </c>
      <c r="I46" s="13">
        <v>43048.348437499997</v>
      </c>
      <c r="J46" s="7">
        <v>0</v>
      </c>
      <c r="K46" s="89" t="str">
        <f t="shared" si="0"/>
        <v>4019/4020</v>
      </c>
      <c r="L46" s="185" t="str">
        <f>VLOOKUP(A46,'Trips&amp;Operators'!$C$1:$G$99911,5,FALSE)</f>
        <v>BONDS REYNALDO</v>
      </c>
      <c r="M46" s="6">
        <f t="shared" si="1"/>
        <v>2.5208333332557231E-2</v>
      </c>
      <c r="N46" s="7">
        <f t="shared" si="23"/>
        <v>36.299999998882413</v>
      </c>
      <c r="O46" s="7"/>
      <c r="P46" s="7"/>
      <c r="Q46" s="22"/>
      <c r="R46" s="174"/>
      <c r="S46" s="221">
        <f t="shared" si="22"/>
        <v>1</v>
      </c>
      <c r="T46" s="174" t="str">
        <f t="shared" si="3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4"/>
        <v>https://d0f6bd738d7f1b3e5a7ca70fe4ff75f0.us-east-1.aws.found.io/app/kibana#/discover/Steve-Slow-Train-Analysis-(2080s-and-2083s)?_g=(refreshInterval:(display:Off,pause:!f,section:0,value:0),time:(from:'2017-11-09T06:39:21-0700',mode:absolute,to:'2017-11-09T09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5.0599999999999999E-2</v>
      </c>
      <c r="Z46" s="204">
        <f t="shared" si="26"/>
        <v>23.332699999999999</v>
      </c>
      <c r="AA46" s="204">
        <f t="shared" si="8"/>
        <v>23.2821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9"/>
        <v>133</v>
      </c>
      <c r="AE46" s="77" t="str">
        <f t="shared" si="10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46" s="74" t="str">
        <f t="shared" si="11"/>
        <v>"C:\Program Files (x86)\AstroGrep\AstroGrep.exe" /e /r /s /spath="%USERPROFILE%\AppData\Local\Temp\OnboardLogs" /stypes="app*4020*20171109*" /stext=" 15:.+((SYSTEM_STATE.+slice.+state.+changed )|(ment ac)|(multiple cpu faults)|(system.+state.+changed )|(\[timeout)|(PRM\|1\|D)|(kpr)|(kdp)|(train st.+moving)|(\|lc)|(penalty))"</v>
      </c>
      <c r="AG46" s="182" t="str">
        <f t="shared" si="12"/>
        <v>EC</v>
      </c>
      <c r="AH46" s="78" t="str">
        <f t="shared" si="18"/>
        <v>"%USERPROFILE%\Documents\GitHub\eaglep3\Utilities\RefineRTDCRunTimes.py" --tripid 133-09 --locoid 4020 --swversion DE.1.0.9.0 --startMP 204:506 --initTime 2017-11-09T07:39:21 --startdatetime 2017-11-09T07:45:27 --delay 52 --endMP 204:233327 --enddatetime 2017-11-09T08:21:45 --enforcementcount 0 &gt;&gt;%USERPROFILE%\Documents\GitHub\eaglep3-reporting\EC\2017-11-09-refined-times.txt</v>
      </c>
      <c r="AI4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{"issue":{"subject":"","project_id":79,"tracker_id":40,"status_id":1,"priority_id":2,"assigned_to_id":338,"start_date":"2017-11-09","description":"","custom_fields":[{"id":1,"name":"Subdivision","value":"EC"},{"id":4,"name":"Milepost","value":"23.3327"},{"id":17,"name":"Train ID","value":"133-09"},{"id":16,"name":"Locomotive ID","value":"4020"},{"id":130,"name":"Impact","value":""},{"id":150,"name":"Time of Event (Mountain Time)","value":"08:21:45"},{"id":151,"name":"Denver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4020 --day 2017-11-09</v>
      </c>
      <c r="AN4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0"/>
        <v>https://d0f6bd738d7f1b3e5a7ca70fe4ff75f0.us-east-1.aws.found.io/app/kibana#/discover/Steve-Slow-Train-Analysis-(2080s-and-2083s)?_g=(refreshInterval:(display:Off,pause:!f,section:0,value:0),time:(from:'2017-11-09T06:39:21-0700',mode:absolute,to:'2017-11-09T09:21:45-0700'))&amp;_a=(columns:!('Message%20ID',Summary),filters:!(),index:'emp_*',interval:auto,query:(query_string:(analyze_wildcard:!t,query:'%22rtdc.l.rtdc.4020%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643</v>
      </c>
      <c r="B47" s="7">
        <v>4019</v>
      </c>
      <c r="C47" s="21" t="s">
        <v>192</v>
      </c>
      <c r="D47" s="21" t="s">
        <v>594</v>
      </c>
      <c r="E47" s="13">
        <v>43048.359479166669</v>
      </c>
      <c r="F47" s="13">
        <v>43048.362673611111</v>
      </c>
      <c r="G47" s="7">
        <v>55</v>
      </c>
      <c r="H47" s="21" t="s">
        <v>915</v>
      </c>
      <c r="I47" s="13">
        <v>43048.388935185183</v>
      </c>
      <c r="J47" s="7">
        <v>0</v>
      </c>
      <c r="K47" s="89" t="str">
        <f t="shared" si="0"/>
        <v>4019/4020</v>
      </c>
      <c r="L47" s="185" t="str">
        <f>VLOOKUP(A47,'Trips&amp;Operators'!$C$1:$G$99911,5,FALSE)</f>
        <v>BONDS REYNALDO</v>
      </c>
      <c r="M47" s="6">
        <f t="shared" si="1"/>
        <v>2.626157407212304E-2</v>
      </c>
      <c r="N47" s="7">
        <f t="shared" si="23"/>
        <v>37.816666663857177</v>
      </c>
      <c r="O47" s="7"/>
      <c r="P47" s="7"/>
      <c r="Q47" s="22"/>
      <c r="R47" s="174"/>
      <c r="S47" s="221">
        <f t="shared" si="22"/>
        <v>1</v>
      </c>
      <c r="T47" s="174" t="str">
        <f t="shared" si="3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4"/>
        <v>https://d0f6bd738d7f1b3e5a7ca70fe4ff75f0.us-east-1.aws.found.io/app/kibana#/discover/Steve-Slow-Train-Analysis-(2080s-and-2083s)?_g=(refreshInterval:(display:Off,pause:!f,section:0,value:0),time:(from:'2017-11-09T07:37:39-0700',mode:absolute,to:'2017-11-09T10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23.299399999999999</v>
      </c>
      <c r="Z47" s="204">
        <f t="shared" si="26"/>
        <v>1.9199999999999998E-2</v>
      </c>
      <c r="AA47" s="204">
        <f t="shared" si="8"/>
        <v>23.280199999999997</v>
      </c>
      <c r="AB47" s="54" t="str">
        <f>VLOOKUP(A47,Enforcements!$C$7:$K$9,8,0)</f>
        <v>Bulletin (2)</v>
      </c>
      <c r="AC47" s="51" t="str">
        <f>VLOOKUP(A47,Enforcements!$C$7:$E$9,3,0)</f>
        <v>GRADE CROSSING</v>
      </c>
      <c r="AD47" s="179">
        <f t="shared" si="9"/>
        <v>134</v>
      </c>
      <c r="AE47" s="77" t="str">
        <f t="shared" si="10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47" s="74" t="str">
        <f t="shared" si="11"/>
        <v>"C:\Program Files (x86)\AstroGrep\AstroGrep.exe" /e /r /s /spath="%USERPROFILE%\AppData\Local\Temp\OnboardLogs" /stypes="app*4019*20171109*" /stext=" 16:.+((SYSTEM_STATE.+slice.+state.+changed )|(ment ac)|(multiple cpu faults)|(system.+state.+changed )|(\[timeout)|(PRM\|1\|D)|(kpr)|(kdp)|(train st.+moving)|(\|lc)|(penalty))"</v>
      </c>
      <c r="AG47" s="182" t="str">
        <f t="shared" si="12"/>
        <v>EC</v>
      </c>
      <c r="AH47" s="78" t="str">
        <f t="shared" si="18"/>
        <v>"%USERPROFILE%\Documents\GitHub\eaglep3\Utilities\RefineRTDCRunTimes.py" --tripid 134-09 --locoid 4019 --swversion DE.1.0.9.0 --startMP 204:232994 --initTime 2017-11-09T08:37:39 --startdatetime 2017-11-09T08:42:15 --delay 55 --endMP 204:192 --enddatetime 2017-11-09T09:20:04 --enforcementcount 0 &gt;&gt;%USERPROFILE%\Documents\GitHub\eaglep3-reporting\EC\2017-11-09-refined-times.txt</v>
      </c>
      <c r="AI4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{"issue":{"subject":"","project_id":79,"tracker_id":40,"status_id":1,"priority_id":2,"assigned_to_id":338,"start_date":"2017-11-09","description":"","custom_fields":[{"id":1,"name":"Subdivision","value":"EC"},{"id":4,"name":"Milepost","value":"0.0192"},{"id":17,"name":"Train ID","value":"134-09"},{"id":16,"name":"Locomotive ID","value":"4019"},{"id":130,"name":"Impact","value":""},{"id":150,"name":"Time of Event (Mountain Time)","value":"09:20:04"},{"id":151,"name":"Denver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4019 --day 2017-11-09</v>
      </c>
      <c r="AN4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0"/>
        <v>https://d0f6bd738d7f1b3e5a7ca70fe4ff75f0.us-east-1.aws.found.io/app/kibana#/discover/Steve-Slow-Train-Analysis-(2080s-and-2083s)?_g=(refreshInterval:(display:Off,pause:!f,section:0,value:0),time:(from:'2017-11-09T07:37:39-0700',mode:absolute,to:'2017-11-09T10:20:04-0700'))&amp;_a=(columns:!('Message%20ID',Summary),filters:!(),index:'emp_*',interval:auto,query:(query_string:(analyze_wildcard:!t,query:'%22rtdc.l.rtdc.4019%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720</v>
      </c>
      <c r="B48" s="7">
        <v>4024</v>
      </c>
      <c r="C48" s="21" t="s">
        <v>192</v>
      </c>
      <c r="D48" s="21" t="s">
        <v>891</v>
      </c>
      <c r="E48" s="13">
        <v>43048.328206018516</v>
      </c>
      <c r="F48" s="13">
        <v>43048.333506944444</v>
      </c>
      <c r="G48" s="7">
        <v>73</v>
      </c>
      <c r="H48" s="21" t="s">
        <v>902</v>
      </c>
      <c r="I48" s="13">
        <v>43048.35738425926</v>
      </c>
      <c r="J48" s="7">
        <v>0</v>
      </c>
      <c r="K48" s="89" t="str">
        <f t="shared" si="0"/>
        <v>4023/4024</v>
      </c>
      <c r="L48" s="185" t="str">
        <f>VLOOKUP(A48,'Trips&amp;Operators'!$C$1:$G$99911,5,FALSE)</f>
        <v>PAGE MARCUS</v>
      </c>
      <c r="M48" s="6">
        <f t="shared" si="1"/>
        <v>2.3877314815763384E-2</v>
      </c>
      <c r="N48" s="7">
        <f t="shared" si="23"/>
        <v>34.383333334699273</v>
      </c>
      <c r="O48" s="7"/>
      <c r="P48" s="7"/>
      <c r="Q48" s="22"/>
      <c r="R48" s="174"/>
      <c r="S48" s="221">
        <f t="shared" si="22"/>
        <v>1</v>
      </c>
      <c r="T48" s="174" t="str">
        <f t="shared" si="3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4"/>
        <v>https://d0f6bd738d7f1b3e5a7ca70fe4ff75f0.us-east-1.aws.found.io/app/kibana#/discover/Steve-Slow-Train-Analysis-(2080s-and-2083s)?_g=(refreshInterval:(display:Off,pause:!f,section:0,value:0),time:(from:'2017-11-09T06:52:37-0700',mode:absolute,to:'2017-11-09T09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4.6399999999999997E-2</v>
      </c>
      <c r="Z48" s="204">
        <f t="shared" si="26"/>
        <v>23.328800000000001</v>
      </c>
      <c r="AA48" s="204">
        <f t="shared" si="8"/>
        <v>23.282400000000003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9"/>
        <v>135</v>
      </c>
      <c r="AE48" s="77" t="str">
        <f t="shared" si="1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48" s="74" t="str">
        <f t="shared" si="11"/>
        <v>"C:\Program Files (x86)\AstroGrep\AstroGrep.exe" /e /r /s /spath="%USERPROFILE%\AppData\Local\Temp\OnboardLogs" /stypes="app*4024*20171109*" /stext=" 15:.+((SYSTEM_STATE.+slice.+state.+changed )|(ment ac)|(multiple cpu faults)|(system.+state.+changed )|(\[timeout)|(PRM\|1\|D)|(kpr)|(kdp)|(train st.+moving)|(\|lc)|(penalty))"</v>
      </c>
      <c r="AG48" s="182" t="str">
        <f t="shared" si="12"/>
        <v>EC</v>
      </c>
      <c r="AH48" s="78" t="str">
        <f t="shared" si="18"/>
        <v>"%USERPROFILE%\Documents\GitHub\eaglep3\Utilities\RefineRTDCRunTimes.py" --tripid 135-09 --locoid 4024 --swversion DE.1.0.9.0 --startMP 204:464 --initTime 2017-11-09T07:52:37 --startdatetime 2017-11-09T08:00:15 --delay 73 --endMP 204:233288 --enddatetime 2017-11-09T08:34:38 --enforcementcount 0 &gt;&gt;%USERPROFILE%\Documents\GitHub\eaglep3-reporting\EC\2017-11-09-refined-times.txt</v>
      </c>
      <c r="AI4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{"issue":{"subject":"","project_id":79,"tracker_id":40,"status_id":1,"priority_id":2,"assigned_to_id":338,"start_date":"2017-11-09","description":"","custom_fields":[{"id":1,"name":"Subdivision","value":"EC"},{"id":4,"name":"Milepost","value":"23.3288"},{"id":17,"name":"Train ID","value":"135-09"},{"id":16,"name":"Locomotive ID","value":"4024"},{"id":130,"name":"Impact","value":""},{"id":150,"name":"Time of Event (Mountain Time)","value":"08:34:38"},{"id":151,"name":"Denver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4024 --day 2017-11-09</v>
      </c>
      <c r="AN4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0"/>
        <v>https://d0f6bd738d7f1b3e5a7ca70fe4ff75f0.us-east-1.aws.found.io/app/kibana#/discover/Steve-Slow-Train-Analysis-(2080s-and-2083s)?_g=(refreshInterval:(display:Off,pause:!f,section:0,value:0),time:(from:'2017-11-09T06:52:37-0700',mode:absolute,to:'2017-11-09T09:34:38-0700'))&amp;_a=(columns:!('Message%20ID',Summary),filters:!(),index:'emp_*',interval:auto,query:(query_string:(analyze_wildcard:!t,query:'%22rtdc.l.rtdc.4024%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732</v>
      </c>
      <c r="B49" s="7">
        <v>4023</v>
      </c>
      <c r="C49" s="21" t="s">
        <v>192</v>
      </c>
      <c r="D49" s="21" t="s">
        <v>897</v>
      </c>
      <c r="E49" s="13">
        <v>43048.366643518515</v>
      </c>
      <c r="F49" s="13">
        <v>43048.373090277775</v>
      </c>
      <c r="G49" s="7">
        <v>62</v>
      </c>
      <c r="H49" s="21" t="s">
        <v>495</v>
      </c>
      <c r="I49" s="13">
        <v>43048.399016203701</v>
      </c>
      <c r="J49" s="7">
        <v>0</v>
      </c>
      <c r="K49" s="89" t="str">
        <f t="shared" si="0"/>
        <v>4023/4024</v>
      </c>
      <c r="L49" s="185" t="str">
        <f>VLOOKUP(A49,'Trips&amp;Operators'!$C$1:$G$99911,5,FALSE)</f>
        <v>PAGE MARCUS</v>
      </c>
      <c r="M49" s="6">
        <f t="shared" si="1"/>
        <v>2.5925925925548654E-2</v>
      </c>
      <c r="N49" s="7">
        <f t="shared" si="23"/>
        <v>37.333333332790062</v>
      </c>
      <c r="O49" s="7"/>
      <c r="P49" s="7"/>
      <c r="Q49" s="22"/>
      <c r="R49" s="174"/>
      <c r="S49" s="221">
        <f t="shared" si="22"/>
        <v>1</v>
      </c>
      <c r="T49" s="174" t="str">
        <f t="shared" si="3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4"/>
        <v>https://d0f6bd738d7f1b3e5a7ca70fe4ff75f0.us-east-1.aws.found.io/app/kibana#/discover/Steve-Slow-Train-Analysis-(2080s-and-2083s)?_g=(refreshInterval:(display:Off,pause:!f,section:0,value:0),time:(from:'2017-11-09T07:47:58-0700',mode:absolute,to:'2017-11-09T10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23.296900000000001</v>
      </c>
      <c r="Z49" s="204">
        <f t="shared" si="26"/>
        <v>1.5800000000000002E-2</v>
      </c>
      <c r="AA49" s="204">
        <f t="shared" si="8"/>
        <v>23.281100000000002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9"/>
        <v>136</v>
      </c>
      <c r="AE49" s="77" t="str">
        <f t="shared" si="10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49" s="74" t="str">
        <f t="shared" si="11"/>
        <v>"C:\Program Files (x86)\AstroGrep\AstroGrep.exe" /e /r /s /spath="%USERPROFILE%\AppData\Local\Temp\OnboardLogs" /stypes="app*4023*20171109*" /stext=" 16:.+((SYSTEM_STATE.+slice.+state.+changed )|(ment ac)|(multiple cpu faults)|(system.+state.+changed )|(\[timeout)|(PRM\|1\|D)|(kpr)|(kdp)|(train st.+moving)|(\|lc)|(penalty))"</v>
      </c>
      <c r="AG49" s="182" t="str">
        <f t="shared" si="12"/>
        <v>EC</v>
      </c>
      <c r="AH49" s="78" t="str">
        <f t="shared" si="18"/>
        <v>"%USERPROFILE%\Documents\GitHub\eaglep3\Utilities\RefineRTDCRunTimes.py" --tripid 136-09 --locoid 4023 --swversion DE.1.0.9.0 --startMP 204:232969 --initTime 2017-11-09T08:47:58 --startdatetime 2017-11-09T08:57:15 --delay 62 --endMP 204:158 --enddatetime 2017-11-09T09:34:35 --enforcementcount 0 &gt;&gt;%USERPROFILE%\Documents\GitHub\eaglep3-reporting\EC\2017-11-09-refined-times.txt</v>
      </c>
      <c r="AI4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{"issue":{"subject":"","project_id":79,"tracker_id":40,"status_id":1,"priority_id":2,"assigned_to_id":338,"start_date":"2017-11-09","description":"","custom_fields":[{"id":1,"name":"Subdivision","value":"EC"},{"id":4,"name":"Milepost","value":"0.0158"},{"id":17,"name":"Train ID","value":"136-09"},{"id":16,"name":"Locomotive ID","value":"4023"},{"id":130,"name":"Impact","value":""},{"id":150,"name":"Time of Event (Mountain Time)","value":"09:34:35"},{"id":151,"name":"Denver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4023 --day 2017-11-09</v>
      </c>
      <c r="AN4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0"/>
        <v>https://d0f6bd738d7f1b3e5a7ca70fe4ff75f0.us-east-1.aws.found.io/app/kibana#/discover/Steve-Slow-Train-Analysis-(2080s-and-2083s)?_g=(refreshInterval:(display:Off,pause:!f,section:0,value:0),time:(from:'2017-11-09T07:47:58-0700',mode:absolute,to:'2017-11-09T10:34:35-0700'))&amp;_a=(columns:!('Message%20ID',Summary),filters:!(),index:'emp_*',interval:auto,query:(query_string:(analyze_wildcard:!t,query:'%22rtdc.l.rtdc.4023%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726</v>
      </c>
      <c r="B50" s="7">
        <v>4026</v>
      </c>
      <c r="C50" s="21" t="s">
        <v>192</v>
      </c>
      <c r="D50" s="21" t="s">
        <v>470</v>
      </c>
      <c r="E50" s="13">
        <v>43048.339965277781</v>
      </c>
      <c r="F50" s="13">
        <v>43048.343946759262</v>
      </c>
      <c r="G50" s="7">
        <v>83</v>
      </c>
      <c r="H50" s="21" t="s">
        <v>596</v>
      </c>
      <c r="I50" s="13">
        <v>43048.369768518518</v>
      </c>
      <c r="J50" s="7">
        <v>0</v>
      </c>
      <c r="K50" s="89" t="str">
        <f t="shared" si="0"/>
        <v>4025/4026</v>
      </c>
      <c r="L50" s="185" t="str">
        <f>VLOOKUP(A50,'Trips&amp;Operators'!$C$1:$G$99911,5,FALSE)</f>
        <v>WILLIAMS DONTE</v>
      </c>
      <c r="M50" s="6">
        <f t="shared" si="1"/>
        <v>2.5821759256359655E-2</v>
      </c>
      <c r="N50" s="7">
        <f t="shared" si="23"/>
        <v>37.183333329157904</v>
      </c>
      <c r="O50" s="7"/>
      <c r="P50" s="7"/>
      <c r="Q50" s="22"/>
      <c r="R50" s="174"/>
      <c r="S50" s="221">
        <f t="shared" si="22"/>
        <v>1</v>
      </c>
      <c r="T50" s="174" t="str">
        <f t="shared" si="3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4"/>
        <v>https://d0f6bd738d7f1b3e5a7ca70fe4ff75f0.us-east-1.aws.found.io/app/kibana#/discover/Steve-Slow-Train-Analysis-(2080s-and-2083s)?_g=(refreshInterval:(display:Off,pause:!f,section:0,value:0),time:(from:'2017-11-09T07:09:33-0700',mode:absolute,to:'2017-11-09T09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4.9500000000000002E-2</v>
      </c>
      <c r="Z50" s="204">
        <f t="shared" si="26"/>
        <v>23.328299999999999</v>
      </c>
      <c r="AA50" s="204">
        <f t="shared" si="8"/>
        <v>23.2788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9"/>
        <v>137</v>
      </c>
      <c r="AE50" s="77" t="str">
        <f t="shared" si="10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50" s="74" t="str">
        <f t="shared" si="11"/>
        <v>"C:\Program Files (x86)\AstroGrep\AstroGrep.exe" /e /r /s /spath="%USERPROFILE%\AppData\Local\Temp\OnboardLogs" /stypes="app*4026*20171109*" /stext=" 15:.+((SYSTEM_STATE.+slice.+state.+changed )|(ment ac)|(multiple cpu faults)|(system.+state.+changed )|(\[timeout)|(PRM\|1\|D)|(kpr)|(kdp)|(train st.+moving)|(\|lc)|(penalty))"</v>
      </c>
      <c r="AG50" s="182" t="str">
        <f t="shared" si="12"/>
        <v>EC</v>
      </c>
      <c r="AH50" s="78" t="str">
        <f t="shared" si="18"/>
        <v>"%USERPROFILE%\Documents\GitHub\eaglep3\Utilities\RefineRTDCRunTimes.py" --tripid 137-09 --locoid 4026 --swversion DE.1.0.9.0 --startMP 204:495 --initTime 2017-11-09T08:09:33 --startdatetime 2017-11-09T08:15:17 --delay 83 --endMP 204:233283 --enddatetime 2017-11-09T08:52:28 --enforcementcount 0 &gt;&gt;%USERPROFILE%\Documents\GitHub\eaglep3-reporting\EC\2017-11-09-refined-times.txt</v>
      </c>
      <c r="AI50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{"issue":{"subject":"","project_id":79,"tracker_id":40,"status_id":1,"priority_id":2,"assigned_to_id":338,"start_date":"2017-11-09","description":"","custom_fields":[{"id":1,"name":"Subdivision","value":"EC"},{"id":4,"name":"Milepost","value":"23.3283"},{"id":17,"name":"Train ID","value":"137-09"},{"id":16,"name":"Locomotive ID","value":"4026"},{"id":130,"name":"Impact","value":""},{"id":150,"name":"Time of Event (Mountain Time)","value":"08:52:28"},{"id":151,"name":"Denver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4026 --day 2017-11-09</v>
      </c>
      <c r="AN50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0"/>
        <v>https://d0f6bd738d7f1b3e5a7ca70fe4ff75f0.us-east-1.aws.found.io/app/kibana#/discover/Steve-Slow-Train-Analysis-(2080s-and-2083s)?_g=(refreshInterval:(display:Off,pause:!f,section:0,value:0),time:(from:'2017-11-09T07:09:33-0700',mode:absolute,to:'2017-11-09T09:52:28-0700'))&amp;_a=(columns:!('Message%20ID',Summary),filters:!(),index:'emp_*',interval:auto,query:(query_string:(analyze_wildcard:!t,query:'%22rtdc.l.rtdc.4026%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735</v>
      </c>
      <c r="B51" s="7">
        <v>4025</v>
      </c>
      <c r="C51" s="21" t="s">
        <v>192</v>
      </c>
      <c r="D51" s="21" t="s">
        <v>922</v>
      </c>
      <c r="E51" s="13">
        <v>43048.377789351849</v>
      </c>
      <c r="F51" s="13">
        <v>43048.383506944447</v>
      </c>
      <c r="G51" s="7">
        <v>93</v>
      </c>
      <c r="H51" s="21" t="s">
        <v>471</v>
      </c>
      <c r="I51" s="13">
        <v>43048.409872685188</v>
      </c>
      <c r="J51" s="7">
        <v>0</v>
      </c>
      <c r="K51" s="89" t="str">
        <f t="shared" si="0"/>
        <v>4025/4026</v>
      </c>
      <c r="L51" s="185" t="str">
        <f>VLOOKUP(A51,'Trips&amp;Operators'!$C$1:$G$99911,5,FALSE)</f>
        <v>WILLIAMS DONTE</v>
      </c>
      <c r="M51" s="6">
        <f t="shared" si="1"/>
        <v>2.6365740741312038E-2</v>
      </c>
      <c r="N51" s="7">
        <f t="shared" si="23"/>
        <v>37.966666667489335</v>
      </c>
      <c r="O51" s="7"/>
      <c r="P51" s="7"/>
      <c r="Q51" s="22"/>
      <c r="R51" s="174"/>
      <c r="S51" s="221">
        <f t="shared" si="22"/>
        <v>1</v>
      </c>
      <c r="T51" s="174" t="str">
        <f t="shared" si="3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4"/>
        <v>https://d0f6bd738d7f1b3e5a7ca70fe4ff75f0.us-east-1.aws.found.io/app/kibana#/discover/Steve-Slow-Train-Analysis-(2080s-and-2083s)?_g=(refreshInterval:(display:Off,pause:!f,section:0,value:0),time:(from:'2017-11-09T08:04:01-0700',mode:absolute,to:'2017-11-09T10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23.297000000000001</v>
      </c>
      <c r="Z51" s="204">
        <f t="shared" si="26"/>
        <v>1.9400000000000001E-2</v>
      </c>
      <c r="AA51" s="204">
        <f t="shared" si="8"/>
        <v>23.2776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9"/>
        <v>138</v>
      </c>
      <c r="AE51" s="77" t="str">
        <f t="shared" si="10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51" s="74" t="str">
        <f t="shared" si="11"/>
        <v>"C:\Program Files (x86)\AstroGrep\AstroGrep.exe" /e /r /s /spath="%USERPROFILE%\AppData\Local\Temp\OnboardLogs" /stypes="app*4025*20171109*" /stext=" 16:.+((SYSTEM_STATE.+slice.+state.+changed )|(ment ac)|(multiple cpu faults)|(system.+state.+changed )|(\[timeout)|(PRM\|1\|D)|(kpr)|(kdp)|(train st.+moving)|(\|lc)|(penalty))"</v>
      </c>
      <c r="AG51" s="182" t="str">
        <f t="shared" si="12"/>
        <v>EC</v>
      </c>
      <c r="AH51" s="78" t="str">
        <f t="shared" si="18"/>
        <v>"%USERPROFILE%\Documents\GitHub\eaglep3\Utilities\RefineRTDCRunTimes.py" --tripid 138-09 --locoid 4025 --swversion DE.1.0.9.0 --startMP 204:232970 --initTime 2017-11-09T09:04:01 --startdatetime 2017-11-09T09:12:15 --delay 93 --endMP 204:194 --enddatetime 2017-11-09T09:50:13 --enforcementcount 0 &gt;&gt;%USERPROFILE%\Documents\GitHub\eaglep3-reporting\EC\2017-11-09-refined-times.txt</v>
      </c>
      <c r="AI5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{"issue":{"subject":"","project_id":79,"tracker_id":40,"status_id":1,"priority_id":2,"assigned_to_id":338,"start_date":"2017-11-09","description":"","custom_fields":[{"id":1,"name":"Subdivision","value":"EC"},{"id":4,"name":"Milepost","value":"0.0194"},{"id":17,"name":"Train ID","value":"138-09"},{"id":16,"name":"Locomotive ID","value":"4025"},{"id":130,"name":"Impact","value":""},{"id":150,"name":"Time of Event (Mountain Time)","value":"09:50:13"},{"id":151,"name":"Denver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4025 --day 2017-11-09</v>
      </c>
      <c r="AN5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0"/>
        <v>https://d0f6bd738d7f1b3e5a7ca70fe4ff75f0.us-east-1.aws.found.io/app/kibana#/discover/Steve-Slow-Train-Analysis-(2080s-and-2083s)?_g=(refreshInterval:(display:Off,pause:!f,section:0,value:0),time:(from:'2017-11-09T08:04:01-0700',mode:absolute,to:'2017-11-09T10:50:13-0700'))&amp;_a=(columns:!('Message%20ID',Summary),filters:!(),index:'emp_*',interval:auto,query:(query_string:(analyze_wildcard:!t,query:'%22rtdc.l.rtdc.4025%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728</v>
      </c>
      <c r="B52" s="7">
        <v>4008</v>
      </c>
      <c r="C52" s="21" t="s">
        <v>192</v>
      </c>
      <c r="D52" s="21" t="s">
        <v>587</v>
      </c>
      <c r="E52" s="13">
        <v>43048.349108796298</v>
      </c>
      <c r="F52" s="13">
        <v>43048.354317129626</v>
      </c>
      <c r="G52" s="7">
        <v>47</v>
      </c>
      <c r="H52" s="21" t="s">
        <v>899</v>
      </c>
      <c r="I52" s="13">
        <v>43048.377928240741</v>
      </c>
      <c r="J52" s="7">
        <v>0</v>
      </c>
      <c r="K52" s="89" t="str">
        <f t="shared" si="0"/>
        <v>4007/4008</v>
      </c>
      <c r="L52" s="185" t="str">
        <f>VLOOKUP(A52,'Trips&amp;Operators'!$C$1:$G$99911,5,FALSE)</f>
        <v>YORK EDGAR</v>
      </c>
      <c r="M52" s="6">
        <f t="shared" si="1"/>
        <v>2.3611111115314998E-2</v>
      </c>
      <c r="N52" s="7">
        <f t="shared" si="23"/>
        <v>34.000000006053597</v>
      </c>
      <c r="O52" s="7"/>
      <c r="P52" s="7"/>
      <c r="Q52" s="22"/>
      <c r="R52" s="174"/>
      <c r="S52" s="221">
        <f t="shared" si="22"/>
        <v>1</v>
      </c>
      <c r="T52" s="174" t="str">
        <f t="shared" si="3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4"/>
        <v>https://d0f6bd738d7f1b3e5a7ca70fe4ff75f0.us-east-1.aws.found.io/app/kibana#/discover/Steve-Slow-Train-Analysis-(2080s-and-2083s)?_g=(refreshInterval:(display:Off,pause:!f,section:0,value:0),time:(from:'2017-11-09T07:22:43-0700',mode:absolute,to:'2017-11-09T10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4.7100000000000003E-2</v>
      </c>
      <c r="Z52" s="204">
        <f t="shared" si="26"/>
        <v>23.327400000000001</v>
      </c>
      <c r="AA52" s="204">
        <f t="shared" si="8"/>
        <v>23.2803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9"/>
        <v>139</v>
      </c>
      <c r="AE52" s="77" t="str">
        <f t="shared" si="10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52" s="74" t="str">
        <f t="shared" si="11"/>
        <v>"C:\Program Files (x86)\AstroGrep\AstroGrep.exe" /e /r /s /spath="%USERPROFILE%\AppData\Local\Temp\OnboardLogs" /stypes="app*4008*20171109*" /stext=" 16:.+((SYSTEM_STATE.+slice.+state.+changed )|(ment ac)|(multiple cpu faults)|(system.+state.+changed )|(\[timeout)|(PRM\|1\|D)|(kpr)|(kdp)|(train st.+moving)|(\|lc)|(penalty))"</v>
      </c>
      <c r="AG52" s="182" t="str">
        <f t="shared" si="12"/>
        <v>EC</v>
      </c>
      <c r="AH52" s="78" t="str">
        <f t="shared" si="18"/>
        <v>"%USERPROFILE%\Documents\GitHub\eaglep3\Utilities\RefineRTDCRunTimes.py" --tripid 139-09 --locoid 4008 --swversion DE.1.0.9.0 --startMP 204:471 --initTime 2017-11-09T08:22:43 --startdatetime 2017-11-09T08:30:13 --delay 47 --endMP 204:233274 --enddatetime 2017-11-09T09:04:13 --enforcementcount 0 &gt;&gt;%USERPROFILE%\Documents\GitHub\eaglep3-reporting\EC\2017-11-09-refined-times.txt</v>
      </c>
      <c r="AI5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{"issue":{"subject":"","project_id":79,"tracker_id":40,"status_id":1,"priority_id":2,"assigned_to_id":338,"start_date":"2017-11-09","description":"","custom_fields":[{"id":1,"name":"Subdivision","value":"EC"},{"id":4,"name":"Milepost","value":"23.3274"},{"id":17,"name":"Train ID","value":"139-09"},{"id":16,"name":"Locomotive ID","value":"4008"},{"id":130,"name":"Impact","value":""},{"id":150,"name":"Time of Event (Mountain Time)","value":"09:04:13"},{"id":151,"name":"Denver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4008 --day 2017-11-09</v>
      </c>
      <c r="AN5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0"/>
        <v>https://d0f6bd738d7f1b3e5a7ca70fe4ff75f0.us-east-1.aws.found.io/app/kibana#/discover/Steve-Slow-Train-Analysis-(2080s-and-2083s)?_g=(refreshInterval:(display:Off,pause:!f,section:0,value:0),time:(from:'2017-11-09T07:22:43-0700',mode:absolute,to:'2017-11-09T10:04:13-0700'))&amp;_a=(columns:!('Message%20ID',Summary),filters:!(),index:'emp_*',interval:auto,query:(query_string:(analyze_wildcard:!t,query:'%22rtdc.l.rtdc.4008%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4007</v>
      </c>
      <c r="C53" s="21" t="s">
        <v>192</v>
      </c>
      <c r="D53" s="21" t="s">
        <v>526</v>
      </c>
      <c r="E53" s="13">
        <v>43048.378865740742</v>
      </c>
      <c r="F53" s="13">
        <v>43048.393923611111</v>
      </c>
      <c r="G53" s="7">
        <v>115</v>
      </c>
      <c r="H53" s="21" t="s">
        <v>923</v>
      </c>
      <c r="I53" s="13">
        <v>43048.418680555558</v>
      </c>
      <c r="J53" s="7">
        <v>0</v>
      </c>
      <c r="K53" s="89" t="str">
        <f t="shared" si="0"/>
        <v>4007/4008</v>
      </c>
      <c r="L53" s="185" t="str">
        <f>VLOOKUP(A53,'Trips&amp;Operators'!$C$1:$G$99911,5,FALSE)</f>
        <v>YORK EDGAR</v>
      </c>
      <c r="M53" s="6">
        <f t="shared" si="1"/>
        <v>2.4756944447290152E-2</v>
      </c>
      <c r="N53" s="7">
        <f t="shared" si="23"/>
        <v>35.650000004097819</v>
      </c>
      <c r="O53" s="7"/>
      <c r="P53" s="7"/>
      <c r="Q53" s="22"/>
      <c r="R53" s="174"/>
      <c r="S53" s="221">
        <f t="shared" si="22"/>
        <v>1</v>
      </c>
      <c r="T53" s="174" t="str">
        <f t="shared" si="3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4"/>
        <v>https://d0f6bd738d7f1b3e5a7ca70fe4ff75f0.us-east-1.aws.found.io/app/kibana#/discover/Steve-Slow-Train-Analysis-(2080s-and-2083s)?_g=(refreshInterval:(display:Off,pause:!f,section:0,value:0),time:(from:'2017-11-09T08:05:34-0700',mode:absolute,to:'2017-11-09T11:02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23.296299999999999</v>
      </c>
      <c r="Z53" s="204">
        <f t="shared" si="26"/>
        <v>1.47E-2</v>
      </c>
      <c r="AA53" s="204">
        <f t="shared" si="8"/>
        <v>23.281599999999997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9"/>
        <v>140</v>
      </c>
      <c r="AE53" s="77" t="str">
        <f t="shared" si="10"/>
        <v>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 &amp; 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</v>
      </c>
      <c r="AF53" s="74" t="str">
        <f t="shared" si="11"/>
        <v>"C:\Program Files (x86)\AstroGrep\AstroGrep.exe" /e /r /s /spath="%USERPROFILE%\AppData\Local\Temp\OnboardLogs" /stypes="app*4007*20171109*" /stext=" 17:.+((SYSTEM_STATE.+slice.+state.+changed )|(ment ac)|(multiple cpu faults)|(system.+state.+changed )|(\[timeout)|(PRM\|1\|D)|(kpr)|(kdp)|(train st.+moving)|(\|lc)|(penalty))"</v>
      </c>
      <c r="AG53" s="182" t="str">
        <f t="shared" si="12"/>
        <v>EC</v>
      </c>
      <c r="AH53" s="78" t="str">
        <f t="shared" si="18"/>
        <v>"%USERPROFILE%\Documents\GitHub\eaglep3\Utilities\RefineRTDCRunTimes.py" --tripid 140-09 --locoid 4007 --swversion DE.1.0.9.0 --startMP 204:232963 --initTime 2017-11-09T09:05:34 --startdatetime 2017-11-09T09:27:15 --delay 115 --endMP 204:147 --enddatetime 2017-11-09T10:02:54 --enforcementcount 0 &gt;&gt;%USERPROFILE%\Documents\GitHub\eaglep3-reporting\EC\2017-11-09-refined-times.txt</v>
      </c>
      <c r="AI5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{"issue":{"subject":"","project_id":79,"tracker_id":40,"status_id":1,"priority_id":2,"assigned_to_id":338,"start_date":"2017-11-09","description":"","custom_fields":[{"id":1,"name":"Subdivision","value":"EC"},{"id":4,"name":"Milepost","value":"0.0147"},{"id":17,"name":"Train ID","value":"140-09"},{"id":16,"name":"Locomotive ID","value":"4007"},{"id":130,"name":"Impact","value":""},{"id":150,"name":"Time of Event (Mountain Time)","value":"10:02:54"},{"id":151,"name":"Denver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4007 --day 2017-11-09</v>
      </c>
      <c r="AN5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0"/>
        <v>https://d0f6bd738d7f1b3e5a7ca70fe4ff75f0.us-east-1.aws.found.io/app/kibana#/discover/Steve-Slow-Train-Analysis-(2080s-and-2083s)?_g=(refreshInterval:(display:Off,pause:!f,section:0,value:0),time:(from:'2017-11-09T08:05:34-0700',mode:absolute,to:'2017-11-09T11:02:54-0700'))&amp;_a=(columns:!('Message%20ID',Summary),filters:!(),index:'emp_*',interval:auto,query:(query_string:(analyze_wildcard:!t,query:'%22rtdc.l.rtdc.4007%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731</v>
      </c>
      <c r="B54" s="7">
        <v>4006</v>
      </c>
      <c r="C54" s="21" t="s">
        <v>192</v>
      </c>
      <c r="D54" s="21" t="s">
        <v>384</v>
      </c>
      <c r="E54" s="13">
        <v>43048.362280092595</v>
      </c>
      <c r="F54" s="13">
        <v>43048.364756944444</v>
      </c>
      <c r="G54" s="7">
        <v>47</v>
      </c>
      <c r="H54" s="21" t="s">
        <v>905</v>
      </c>
      <c r="I54" s="13">
        <v>43048.389733796299</v>
      </c>
      <c r="J54" s="7">
        <v>0</v>
      </c>
      <c r="K54" s="89" t="str">
        <f t="shared" si="0"/>
        <v>4005/4006</v>
      </c>
      <c r="L54" s="185" t="str">
        <f>VLOOKUP(A54,'Trips&amp;Operators'!$C$1:$G$99911,5,FALSE)</f>
        <v>YANAI IAN</v>
      </c>
      <c r="M54" s="6">
        <f t="shared" si="1"/>
        <v>2.4976851855171844E-2</v>
      </c>
      <c r="N54" s="7">
        <f t="shared" si="23"/>
        <v>35.966666671447456</v>
      </c>
      <c r="O54" s="7"/>
      <c r="P54" s="7"/>
      <c r="Q54" s="22"/>
      <c r="R54" s="174"/>
      <c r="S54" s="221">
        <f t="shared" si="22"/>
        <v>1</v>
      </c>
      <c r="T54" s="174" t="str">
        <f t="shared" si="3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4"/>
        <v>https://d0f6bd738d7f1b3e5a7ca70fe4ff75f0.us-east-1.aws.found.io/app/kibana#/discover/Steve-Slow-Train-Analysis-(2080s-and-2083s)?_g=(refreshInterval:(display:Off,pause:!f,section:0,value:0),time:(from:'2017-11-09T07:41:41-0700',mode:absolute,to:'2017-11-09T10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5.1299999999999998E-2</v>
      </c>
      <c r="Z54" s="204">
        <f t="shared" si="26"/>
        <v>23.329699999999999</v>
      </c>
      <c r="AA54" s="204">
        <f t="shared" si="8"/>
        <v>23.278399999999998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9"/>
        <v>141</v>
      </c>
      <c r="AE54" s="77" t="str">
        <f t="shared" si="10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54" s="74" t="str">
        <f t="shared" si="11"/>
        <v>"C:\Program Files (x86)\AstroGrep\AstroGrep.exe" /e /r /s /spath="%USERPROFILE%\AppData\Local\Temp\OnboardLogs" /stypes="app*4006*20171109*" /stext=" 16:.+((SYSTEM_STATE.+slice.+state.+changed )|(ment ac)|(multiple cpu faults)|(system.+state.+changed )|(\[timeout)|(PRM\|1\|D)|(kpr)|(kdp)|(train st.+moving)|(\|lc)|(penalty))"</v>
      </c>
      <c r="AG54" s="182" t="str">
        <f t="shared" si="12"/>
        <v>EC</v>
      </c>
      <c r="AH54" s="78" t="str">
        <f t="shared" si="18"/>
        <v>"%USERPROFILE%\Documents\GitHub\eaglep3\Utilities\RefineRTDCRunTimes.py" --tripid 141-09 --locoid 4006 --swversion DE.1.0.9.0 --startMP 204:513 --initTime 2017-11-09T08:41:41 --startdatetime 2017-11-09T08:45:15 --delay 47 --endMP 204:233297 --enddatetime 2017-11-09T09:21:13 --enforcementcount 0 &gt;&gt;%USERPROFILE%\Documents\GitHub\eaglep3-reporting\EC\2017-11-09-refined-times.txt</v>
      </c>
      <c r="AI5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{"issue":{"subject":"","project_id":79,"tracker_id":40,"status_id":1,"priority_id":2,"assigned_to_id":338,"start_date":"2017-11-09","description":"","custom_fields":[{"id":1,"name":"Subdivision","value":"EC"},{"id":4,"name":"Milepost","value":"23.3297"},{"id":17,"name":"Train ID","value":"141-09"},{"id":16,"name":"Locomotive ID","value":"4006"},{"id":130,"name":"Impact","value":""},{"id":150,"name":"Time of Event (Mountain Time)","value":"09:21:13"},{"id":151,"name":"Denver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4006 --day 2017-11-09</v>
      </c>
      <c r="AN5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0"/>
        <v>https://d0f6bd738d7f1b3e5a7ca70fe4ff75f0.us-east-1.aws.found.io/app/kibana#/discover/Steve-Slow-Train-Analysis-(2080s-and-2083s)?_g=(refreshInterval:(display:Off,pause:!f,section:0,value:0),time:(from:'2017-11-09T07:41:41-0700',mode:absolute,to:'2017-11-09T10:21:13-0700'))&amp;_a=(columns:!('Message%20ID',Summary),filters:!(),index:'emp_*',interval:auto,query:(query_string:(analyze_wildcard:!t,query:'%22rtdc.l.rtdc.4006%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740</v>
      </c>
      <c r="B55" s="7">
        <v>4005</v>
      </c>
      <c r="C55" s="21" t="s">
        <v>192</v>
      </c>
      <c r="D55" s="21" t="s">
        <v>601</v>
      </c>
      <c r="E55" s="13">
        <v>43048.391435185185</v>
      </c>
      <c r="F55" s="13">
        <v>43048.404363425929</v>
      </c>
      <c r="G55" s="7">
        <v>307</v>
      </c>
      <c r="H55" s="21" t="s">
        <v>597</v>
      </c>
      <c r="I55" s="13">
        <v>43048.4299537037</v>
      </c>
      <c r="J55" s="7">
        <v>0</v>
      </c>
      <c r="K55" s="89" t="str">
        <f t="shared" si="0"/>
        <v>4005/4006</v>
      </c>
      <c r="L55" s="185" t="str">
        <f>VLOOKUP(A55,'Trips&amp;Operators'!$C$1:$G$99911,5,FALSE)</f>
        <v>YANAI IAN</v>
      </c>
      <c r="M55" s="6">
        <f t="shared" si="1"/>
        <v>2.5590277771698311E-2</v>
      </c>
      <c r="N55" s="7">
        <f t="shared" si="23"/>
        <v>36.849999991245568</v>
      </c>
      <c r="O55" s="7"/>
      <c r="P55" s="7"/>
      <c r="Q55" s="22"/>
      <c r="R55" s="174"/>
      <c r="S55" s="221">
        <f t="shared" si="22"/>
        <v>1</v>
      </c>
      <c r="T55" s="174" t="str">
        <f t="shared" si="3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4"/>
        <v>https://d0f6bd738d7f1b3e5a7ca70fe4ff75f0.us-east-1.aws.found.io/app/kibana#/discover/Steve-Slow-Train-Analysis-(2080s-and-2083s)?_g=(refreshInterval:(display:Off,pause:!f,section:0,value:0),time:(from:'2017-11-09T08:23:40-0700',mode:absolute,to:'2017-11-09T11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23.298100000000002</v>
      </c>
      <c r="Z55" s="204">
        <f t="shared" si="26"/>
        <v>2.3199999999999998E-2</v>
      </c>
      <c r="AA55" s="204">
        <f t="shared" si="8"/>
        <v>23.274900000000002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9"/>
        <v>142</v>
      </c>
      <c r="AE55" s="77" t="str">
        <f t="shared" si="10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55" s="74" t="str">
        <f t="shared" si="11"/>
        <v>"C:\Program Files (x86)\AstroGrep\AstroGrep.exe" /e /r /s /spath="%USERPROFILE%\AppData\Local\Temp\OnboardLogs" /stypes="app*4005*20171109*" /stext=" 17:.+((SYSTEM_STATE.+slice.+state.+changed )|(ment ac)|(multiple cpu faults)|(system.+state.+changed )|(\[timeout)|(PRM\|1\|D)|(kpr)|(kdp)|(train st.+moving)|(\|lc)|(penalty))"</v>
      </c>
      <c r="AG55" s="182" t="str">
        <f t="shared" si="12"/>
        <v>EC</v>
      </c>
      <c r="AH55" s="78" t="str">
        <f t="shared" si="18"/>
        <v>"%USERPROFILE%\Documents\GitHub\eaglep3\Utilities\RefineRTDCRunTimes.py" --tripid 142-09 --locoid 4005 --swversion DE.1.0.9.0 --startMP 204:232981 --initTime 2017-11-09T09:23:40 --startdatetime 2017-11-09T09:42:17 --delay 307 --endMP 204:232 --enddatetime 2017-11-09T10:19:08 --enforcementcount 0 &gt;&gt;%USERPROFILE%\Documents\GitHub\eaglep3-reporting\EC\2017-11-09-refined-times.txt</v>
      </c>
      <c r="AI5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{"issue":{"subject":"","project_id":79,"tracker_id":40,"status_id":1,"priority_id":2,"assigned_to_id":338,"start_date":"2017-11-09","description":"","custom_fields":[{"id":1,"name":"Subdivision","value":"EC"},{"id":4,"name":"Milepost","value":"0.0232"},{"id":17,"name":"Train ID","value":"142-09"},{"id":16,"name":"Locomotive ID","value":"4005"},{"id":130,"name":"Impact","value":""},{"id":150,"name":"Time of Event (Mountain Time)","value":"10:19:08"},{"id":151,"name":"Denver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4005 --day 2017-11-09</v>
      </c>
      <c r="AN5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0"/>
        <v>https://d0f6bd738d7f1b3e5a7ca70fe4ff75f0.us-east-1.aws.found.io/app/kibana#/discover/Steve-Slow-Train-Analysis-(2080s-and-2083s)?_g=(refreshInterval:(display:Off,pause:!f,section:0,value:0),time:(from:'2017-11-09T08:23:40-0700',mode:absolute,to:'2017-11-09T11:19:08-0700'))&amp;_a=(columns:!('Message%20ID',Summary),filters:!(),index:'emp_*',interval:auto,query:(query_string:(analyze_wildcard:!t,query:'%22rtdc.l.rtdc.4005%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733</v>
      </c>
      <c r="B56" s="7">
        <v>4022</v>
      </c>
      <c r="C56" s="21" t="s">
        <v>192</v>
      </c>
      <c r="D56" s="21" t="s">
        <v>593</v>
      </c>
      <c r="E56" s="13">
        <v>43048.370879629627</v>
      </c>
      <c r="F56" s="13">
        <v>43048.375543981485</v>
      </c>
      <c r="G56" s="7">
        <v>47</v>
      </c>
      <c r="H56" s="21" t="s">
        <v>905</v>
      </c>
      <c r="I56" s="13">
        <v>43048.399537037039</v>
      </c>
      <c r="J56" s="7">
        <v>0</v>
      </c>
      <c r="K56" s="89" t="str">
        <f t="shared" si="0"/>
        <v>4021/4022</v>
      </c>
      <c r="L56" s="185" t="str">
        <f>VLOOKUP(A56,'Trips&amp;Operators'!$C$1:$G$99911,5,FALSE)</f>
        <v>MAELZER KURT</v>
      </c>
      <c r="M56" s="6">
        <f t="shared" si="1"/>
        <v>2.3993055554456078E-2</v>
      </c>
      <c r="N56" s="7">
        <f t="shared" si="23"/>
        <v>34.549999998416752</v>
      </c>
      <c r="O56" s="7"/>
      <c r="P56" s="7"/>
      <c r="Q56" s="22"/>
      <c r="R56" s="174"/>
      <c r="S56" s="221">
        <f t="shared" si="22"/>
        <v>1</v>
      </c>
      <c r="T56" s="174" t="str">
        <f t="shared" si="3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4"/>
        <v>https://d0f6bd738d7f1b3e5a7ca70fe4ff75f0.us-east-1.aws.found.io/app/kibana#/discover/Steve-Slow-Train-Analysis-(2080s-and-2083s)?_g=(refreshInterval:(display:Off,pause:!f,section:0,value:0),time:(from:'2017-11-09T07:54:04-0700',mode:absolute,to:'2017-11-09T10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4.58E-2</v>
      </c>
      <c r="Z56" s="204">
        <f t="shared" si="26"/>
        <v>23.329699999999999</v>
      </c>
      <c r="AA56" s="204">
        <f t="shared" si="8"/>
        <v>23.283899999999999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9"/>
        <v>143</v>
      </c>
      <c r="AE56" s="77" t="str">
        <f t="shared" si="1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56" s="74" t="str">
        <f t="shared" si="11"/>
        <v>"C:\Program Files (x86)\AstroGrep\AstroGrep.exe" /e /r /s /spath="%USERPROFILE%\AppData\Local\Temp\OnboardLogs" /stypes="app*4022*20171109*" /stext=" 16:.+((SYSTEM_STATE.+slice.+state.+changed )|(ment ac)|(multiple cpu faults)|(system.+state.+changed )|(\[timeout)|(PRM\|1\|D)|(kpr)|(kdp)|(train st.+moving)|(\|lc)|(penalty))"</v>
      </c>
      <c r="AG56" s="182" t="str">
        <f t="shared" si="12"/>
        <v>EC</v>
      </c>
      <c r="AH56" s="78" t="str">
        <f t="shared" si="18"/>
        <v>"%USERPROFILE%\Documents\GitHub\eaglep3\Utilities\RefineRTDCRunTimes.py" --tripid 143-09 --locoid 4022 --swversion DE.1.0.9.0 --startMP 204:458 --initTime 2017-11-09T08:54:04 --startdatetime 2017-11-09T09:00:47 --delay 47 --endMP 204:233297 --enddatetime 2017-11-09T09:35:20 --enforcementcount 0 &gt;&gt;%USERPROFILE%\Documents\GitHub\eaglep3-reporting\EC\2017-11-09-refined-times.txt</v>
      </c>
      <c r="AI5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{"issue":{"subject":"","project_id":79,"tracker_id":40,"status_id":1,"priority_id":2,"assigned_to_id":338,"start_date":"2017-11-09","description":"","custom_fields":[{"id":1,"name":"Subdivision","value":"EC"},{"id":4,"name":"Milepost","value":"23.3297"},{"id":17,"name":"Train ID","value":"143-09"},{"id":16,"name":"Locomotive ID","value":"4022"},{"id":130,"name":"Impact","value":""},{"id":150,"name":"Time of Event (Mountain Time)","value":"09:35:20"},{"id":151,"name":"Denver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4022 --day 2017-11-09</v>
      </c>
      <c r="AN5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0"/>
        <v>https://d0f6bd738d7f1b3e5a7ca70fe4ff75f0.us-east-1.aws.found.io/app/kibana#/discover/Steve-Slow-Train-Analysis-(2080s-and-2083s)?_g=(refreshInterval:(display:Off,pause:!f,section:0,value:0),time:(from:'2017-11-09T07:54:04-0700',mode:absolute,to:'2017-11-09T10:35:20-0700'))&amp;_a=(columns:!('Message%20ID',Summary),filters:!(),index:'emp_*',interval:auto,query:(query_string:(analyze_wildcard:!t,query:'%22rtdc.l.rtdc.4022%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742</v>
      </c>
      <c r="B57" s="7">
        <v>4021</v>
      </c>
      <c r="C57" s="21" t="s">
        <v>192</v>
      </c>
      <c r="D57" s="21" t="s">
        <v>924</v>
      </c>
      <c r="E57" s="13">
        <v>43048.410254629627</v>
      </c>
      <c r="F57" s="13">
        <v>43048.414768518516</v>
      </c>
      <c r="G57" s="7">
        <v>51</v>
      </c>
      <c r="H57" s="21" t="s">
        <v>463</v>
      </c>
      <c r="I57" s="13">
        <v>43048.441354166665</v>
      </c>
      <c r="J57" s="7">
        <v>0</v>
      </c>
      <c r="K57" s="89" t="str">
        <f t="shared" si="0"/>
        <v>4021/4022</v>
      </c>
      <c r="L57" s="185" t="str">
        <f>VLOOKUP(A57,'Trips&amp;Operators'!$C$1:$G$99911,5,FALSE)</f>
        <v>MAELZER KURT</v>
      </c>
      <c r="M57" s="6">
        <f t="shared" si="1"/>
        <v>2.658564814919373E-2</v>
      </c>
      <c r="N57" s="7">
        <f t="shared" si="23"/>
        <v>38.283333334838971</v>
      </c>
      <c r="O57" s="7"/>
      <c r="P57" s="7"/>
      <c r="Q57" s="22"/>
      <c r="R57" s="174"/>
      <c r="S57" s="221">
        <f t="shared" si="22"/>
        <v>1</v>
      </c>
      <c r="T57" s="174" t="str">
        <f t="shared" si="3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4"/>
        <v>https://d0f6bd738d7f1b3e5a7ca70fe4ff75f0.us-east-1.aws.found.io/app/kibana#/discover/Steve-Slow-Train-Analysis-(2080s-and-2083s)?_g=(refreshInterval:(display:Off,pause:!f,section:0,value:0),time:(from:'2017-11-09T08:50:46-0700',mode:absolute,to:'2017-11-09T11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23.2986</v>
      </c>
      <c r="Z57" s="204">
        <f t="shared" si="26"/>
        <v>2.12E-2</v>
      </c>
      <c r="AA57" s="204">
        <f t="shared" si="8"/>
        <v>23.2774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9"/>
        <v>144</v>
      </c>
      <c r="AE57" s="77" t="str">
        <f t="shared" si="1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57" s="74" t="str">
        <f t="shared" si="11"/>
        <v>"C:\Program Files (x86)\AstroGrep\AstroGrep.exe" /e /r /s /spath="%USERPROFILE%\AppData\Local\Temp\OnboardLogs" /stypes="app*4021*20171109*" /stext=" 17:.+((SYSTEM_STATE.+slice.+state.+changed )|(ment ac)|(multiple cpu faults)|(system.+state.+changed )|(\[timeout)|(PRM\|1\|D)|(kpr)|(kdp)|(train st.+moving)|(\|lc)|(penalty))"</v>
      </c>
      <c r="AG57" s="182" t="str">
        <f t="shared" si="12"/>
        <v>EC</v>
      </c>
      <c r="AH57" s="78" t="str">
        <f t="shared" si="18"/>
        <v>"%USERPROFILE%\Documents\GitHub\eaglep3\Utilities\RefineRTDCRunTimes.py" --tripid 144-09 --locoid 4021 --swversion DE.1.0.9.0 --startMP 204:232986 --initTime 2017-11-09T09:50:46 --startdatetime 2017-11-09T09:57:16 --delay 51 --endMP 204:212 --enddatetime 2017-11-09T10:35:33 --enforcementcount 0 &gt;&gt;%USERPROFILE%\Documents\GitHub\eaglep3-reporting\EC\2017-11-09-refined-times.txt</v>
      </c>
      <c r="AI5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{"issue":{"subject":"","project_id":79,"tracker_id":40,"status_id":1,"priority_id":2,"assigned_to_id":338,"start_date":"2017-11-09","description":"","custom_fields":[{"id":1,"name":"Subdivision","value":"EC"},{"id":4,"name":"Milepost","value":"0.0212"},{"id":17,"name":"Train ID","value":"144-09"},{"id":16,"name":"Locomotive ID","value":"4021"},{"id":130,"name":"Impact","value":""},{"id":150,"name":"Time of Event (Mountain Time)","value":"10:35:33"},{"id":151,"name":"Denver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4021 --day 2017-11-09</v>
      </c>
      <c r="AN5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0"/>
        <v>https://d0f6bd738d7f1b3e5a7ca70fe4ff75f0.us-east-1.aws.found.io/app/kibana#/discover/Steve-Slow-Train-Analysis-(2080s-and-2083s)?_g=(refreshInterval:(display:Off,pause:!f,section:0,value:0),time:(from:'2017-11-09T08:50:46-0700',mode:absolute,to:'2017-11-09T11:35:33-0700'))&amp;_a=(columns:!('Message%20ID',Summary),filters:!(),index:'emp_*',interval:auto,query:(query_string:(analyze_wildcard:!t,query:'%22rtdc.l.rtdc.4021%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737</v>
      </c>
      <c r="B58" s="7">
        <v>4066</v>
      </c>
      <c r="C58" s="21" t="s">
        <v>192</v>
      </c>
      <c r="D58" s="21" t="s">
        <v>925</v>
      </c>
      <c r="E58" s="13">
        <v>43048.383321759262</v>
      </c>
      <c r="F58" s="13">
        <v>43048.385659722226</v>
      </c>
      <c r="G58" s="7">
        <v>48</v>
      </c>
      <c r="H58" s="21" t="s">
        <v>926</v>
      </c>
      <c r="I58" s="13">
        <v>43048.410879629628</v>
      </c>
      <c r="J58" s="7">
        <v>0</v>
      </c>
      <c r="K58" s="89" t="str">
        <f t="shared" si="0"/>
        <v>4065/4066</v>
      </c>
      <c r="L58" s="185" t="str">
        <f>VLOOKUP(A58,'Trips&amp;Operators'!$C$1:$G$99911,5,FALSE)</f>
        <v>MOSES BRADLEY</v>
      </c>
      <c r="M58" s="6">
        <f t="shared" si="1"/>
        <v>2.5219907402060926E-2</v>
      </c>
      <c r="N58" s="7">
        <f t="shared" si="23"/>
        <v>36.316666658967733</v>
      </c>
      <c r="O58" s="7"/>
      <c r="P58" s="7"/>
      <c r="Q58" s="22"/>
      <c r="R58" s="174"/>
      <c r="S58" s="221">
        <f t="shared" si="22"/>
        <v>1</v>
      </c>
      <c r="T58" s="174" t="str">
        <f t="shared" si="3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4"/>
        <v>https://d0f6bd738d7f1b3e5a7ca70fe4ff75f0.us-east-1.aws.found.io/app/kibana#/discover/Steve-Slow-Train-Analysis-(2080s-and-2083s)?_g=(refreshInterval:(display:Off,pause:!f,section:0,value:0),time:(from:'2017-11-09T08:11:59-0700',mode:absolute,to:'2017-11-09T10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5.4600000000000003E-2</v>
      </c>
      <c r="Z58" s="204">
        <f t="shared" si="26"/>
        <v>23.3263</v>
      </c>
      <c r="AA58" s="204">
        <f t="shared" si="8"/>
        <v>23.271699999999999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9"/>
        <v>145</v>
      </c>
      <c r="AE58" s="77" t="str">
        <f t="shared" si="10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58" s="74" t="str">
        <f t="shared" si="11"/>
        <v>"C:\Program Files (x86)\AstroGrep\AstroGrep.exe" /e /r /s /spath="%USERPROFILE%\AppData\Local\Temp\OnboardLogs" /stypes="app*4066*20171109*" /stext=" 16:.+((SYSTEM_STATE.+slice.+state.+changed )|(ment ac)|(multiple cpu faults)|(system.+state.+changed )|(\[timeout)|(PRM\|1\|D)|(kpr)|(kdp)|(train st.+moving)|(\|lc)|(penalty))"</v>
      </c>
      <c r="AG58" s="182" t="str">
        <f t="shared" si="12"/>
        <v>EC</v>
      </c>
      <c r="AH58" s="78" t="str">
        <f t="shared" si="18"/>
        <v>"%USERPROFILE%\Documents\GitHub\eaglep3\Utilities\RefineRTDCRunTimes.py" --tripid 145-09 --locoid 4066 --swversion DE.1.0.9.0 --startMP 204:546 --initTime 2017-11-09T09:11:59 --startdatetime 2017-11-09T09:15:21 --delay 48 --endMP 204:233263 --enddatetime 2017-11-09T09:51:40 --enforcementcount 0 &gt;&gt;%USERPROFILE%\Documents\GitHub\eaglep3-reporting\EC\2017-11-09-refined-times.txt</v>
      </c>
      <c r="AI5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{"issue":{"subject":"","project_id":79,"tracker_id":40,"status_id":1,"priority_id":2,"assigned_to_id":338,"start_date":"2017-11-09","description":"","custom_fields":[{"id":1,"name":"Subdivision","value":"EC"},{"id":4,"name":"Milepost","value":"23.3263"},{"id":17,"name":"Train ID","value":"145-09"},{"id":16,"name":"Locomotive ID","value":"4066"},{"id":130,"name":"Impact","value":""},{"id":150,"name":"Time of Event (Mountain Time)","value":"09:51:40"},{"id":151,"name":"Denver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4066 --day 2017-11-09</v>
      </c>
      <c r="AN5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0"/>
        <v>https://d0f6bd738d7f1b3e5a7ca70fe4ff75f0.us-east-1.aws.found.io/app/kibana#/discover/Steve-Slow-Train-Analysis-(2080s-and-2083s)?_g=(refreshInterval:(display:Off,pause:!f,section:0,value:0),time:(from:'2017-11-09T08:11:59-0700',mode:absolute,to:'2017-11-09T10:51:40-0700'))&amp;_a=(columns:!('Message%20ID',Summary),filters:!(),index:'emp_*',interval:auto,query:(query_string:(analyze_wildcard:!t,query:'%22rtdc.l.rtdc.4066%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746</v>
      </c>
      <c r="B59" s="7">
        <v>4065</v>
      </c>
      <c r="C59" s="21" t="s">
        <v>192</v>
      </c>
      <c r="D59" s="21" t="s">
        <v>927</v>
      </c>
      <c r="E59" s="13">
        <v>43048.422789351855</v>
      </c>
      <c r="F59" s="13">
        <v>43048.425243055557</v>
      </c>
      <c r="G59" s="7">
        <v>51</v>
      </c>
      <c r="H59" s="21" t="s">
        <v>586</v>
      </c>
      <c r="I59" s="13">
        <v>43048.45108796296</v>
      </c>
      <c r="J59" s="7">
        <v>0</v>
      </c>
      <c r="K59" s="89" t="str">
        <f t="shared" si="0"/>
        <v>4065/4066</v>
      </c>
      <c r="L59" s="185" t="str">
        <f>VLOOKUP(A59,'Trips&amp;Operators'!$C$1:$G$99911,5,FALSE)</f>
        <v>MOSES BRADLEY</v>
      </c>
      <c r="M59" s="6">
        <f t="shared" si="1"/>
        <v>2.5844907402643003E-2</v>
      </c>
      <c r="N59" s="7">
        <f t="shared" si="23"/>
        <v>37.216666659805924</v>
      </c>
      <c r="O59" s="7"/>
      <c r="P59" s="7"/>
      <c r="Q59" s="22"/>
      <c r="R59" s="174"/>
      <c r="S59" s="221">
        <f t="shared" si="22"/>
        <v>1</v>
      </c>
      <c r="T59" s="174" t="str">
        <f t="shared" si="3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4"/>
        <v>https://d0f6bd738d7f1b3e5a7ca70fe4ff75f0.us-east-1.aws.found.io/app/kibana#/discover/Steve-Slow-Train-Analysis-(2080s-and-2083s)?_g=(refreshInterval:(display:Off,pause:!f,section:0,value:0),time:(from:'2017-11-09T09:08:49-0700',mode:absolute,to:'2017-11-09T11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23.294899999999998</v>
      </c>
      <c r="Z59" s="204">
        <f t="shared" si="26"/>
        <v>2.1100000000000001E-2</v>
      </c>
      <c r="AA59" s="204">
        <f t="shared" si="8"/>
        <v>23.273799999999998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9"/>
        <v>146</v>
      </c>
      <c r="AE59" s="77" t="str">
        <f t="shared" si="10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59" s="74" t="str">
        <f t="shared" si="11"/>
        <v>"C:\Program Files (x86)\AstroGrep\AstroGrep.exe" /e /r /s /spath="%USERPROFILE%\AppData\Local\Temp\OnboardLogs" /stypes="app*4065*20171109*" /stext=" 17:.+((SYSTEM_STATE.+slice.+state.+changed )|(ment ac)|(multiple cpu faults)|(system.+state.+changed )|(\[timeout)|(PRM\|1\|D)|(kpr)|(kdp)|(train st.+moving)|(\|lc)|(penalty))"</v>
      </c>
      <c r="AG59" s="182" t="str">
        <f t="shared" si="12"/>
        <v>EC</v>
      </c>
      <c r="AH59" s="78" t="str">
        <f t="shared" si="18"/>
        <v>"%USERPROFILE%\Documents\GitHub\eaglep3\Utilities\RefineRTDCRunTimes.py" --tripid 146-09 --locoid 4065 --swversion DE.1.0.9.0 --startMP 204:232949 --initTime 2017-11-09T10:08:49 --startdatetime 2017-11-09T10:12:21 --delay 51 --endMP 204:211 --enddatetime 2017-11-09T10:49:34 --enforcementcount 0 &gt;&gt;%USERPROFILE%\Documents\GitHub\eaglep3-reporting\EC\2017-11-09-refined-times.txt</v>
      </c>
      <c r="AI5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{"issue":{"subject":"","project_id":79,"tracker_id":40,"status_id":1,"priority_id":2,"assigned_to_id":338,"start_date":"2017-11-09","description":"","custom_fields":[{"id":1,"name":"Subdivision","value":"EC"},{"id":4,"name":"Milepost","value":"0.0211"},{"id":17,"name":"Train ID","value":"146-09"},{"id":16,"name":"Locomotive ID","value":"4065"},{"id":130,"name":"Impact","value":""},{"id":150,"name":"Time of Event (Mountain Time)","value":"10:49:34"},{"id":151,"name":"Denver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4065 --day 2017-11-09</v>
      </c>
      <c r="AN5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0"/>
        <v>https://d0f6bd738d7f1b3e5a7ca70fe4ff75f0.us-east-1.aws.found.io/app/kibana#/discover/Steve-Slow-Train-Analysis-(2080s-and-2083s)?_g=(refreshInterval:(display:Off,pause:!f,section:0,value:0),time:(from:'2017-11-09T09:08:49-0700',mode:absolute,to:'2017-11-09T11:49:34-0700'))&amp;_a=(columns:!('Message%20ID',Summary),filters:!(),index:'emp_*',interval:auto,query:(query_string:(analyze_wildcard:!t,query:'%22rtdc.l.rtdc.4065%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738</v>
      </c>
      <c r="B60" s="7">
        <v>4020</v>
      </c>
      <c r="C60" s="21" t="s">
        <v>192</v>
      </c>
      <c r="D60" s="21" t="s">
        <v>620</v>
      </c>
      <c r="E60" s="13">
        <v>43048.390844907408</v>
      </c>
      <c r="F60" s="13">
        <v>43048.396180555559</v>
      </c>
      <c r="G60" s="7">
        <v>48</v>
      </c>
      <c r="H60" s="21" t="s">
        <v>490</v>
      </c>
      <c r="I60" s="13">
        <v>43048.420810185184</v>
      </c>
      <c r="J60" s="7">
        <v>0</v>
      </c>
      <c r="K60" s="89" t="str">
        <f t="shared" si="0"/>
        <v>4019/4020</v>
      </c>
      <c r="L60" s="185" t="str">
        <f>VLOOKUP(A60,'Trips&amp;Operators'!$C$1:$G$99911,5,FALSE)</f>
        <v>BONDS REYNALDO</v>
      </c>
      <c r="M60" s="6">
        <f t="shared" si="1"/>
        <v>2.4629629624541849E-2</v>
      </c>
      <c r="N60" s="7">
        <f t="shared" si="23"/>
        <v>35.466666659340262</v>
      </c>
      <c r="O60" s="7"/>
      <c r="P60" s="7"/>
      <c r="Q60" s="22"/>
      <c r="R60" s="174"/>
      <c r="S60" s="221">
        <f t="shared" si="22"/>
        <v>1</v>
      </c>
      <c r="T60" s="174" t="str">
        <f t="shared" si="3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4"/>
        <v>https://d0f6bd738d7f1b3e5a7ca70fe4ff75f0.us-east-1.aws.found.io/app/kibana#/discover/Steve-Slow-Train-Analysis-(2080s-and-2083s)?_g=(refreshInterval:(display:Off,pause:!f,section:0,value:0),time:(from:'2017-11-09T08:22:49-0700',mode:absolute,to:'2017-11-09T11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25"/>
        <v>5.2900000000000003E-2</v>
      </c>
      <c r="Z60" s="204">
        <f t="shared" si="26"/>
        <v>23.331199999999999</v>
      </c>
      <c r="AA60" s="204">
        <f t="shared" si="8"/>
        <v>23.278299999999998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9"/>
        <v>147</v>
      </c>
      <c r="AE60" s="77" t="str">
        <f t="shared" si="10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60" s="74" t="str">
        <f t="shared" si="11"/>
        <v>"C:\Program Files (x86)\AstroGrep\AstroGrep.exe" /e /r /s /spath="%USERPROFILE%\AppData\Local\Temp\OnboardLogs" /stypes="app*4020*20171109*" /stext=" 17:.+((SYSTEM_STATE.+slice.+state.+changed )|(ment ac)|(multiple cpu faults)|(system.+state.+changed )|(\[timeout)|(PRM\|1\|D)|(kpr)|(kdp)|(train st.+moving)|(\|lc)|(penalty))"</v>
      </c>
      <c r="AG60" s="182" t="str">
        <f t="shared" si="12"/>
        <v>EC</v>
      </c>
      <c r="AH60" s="78" t="str">
        <f t="shared" si="18"/>
        <v>"%USERPROFILE%\Documents\GitHub\eaglep3\Utilities\RefineRTDCRunTimes.py" --tripid 147-09 --locoid 4020 --swversion DE.1.0.9.0 --startMP 204:529 --initTime 2017-11-09T09:22:49 --startdatetime 2017-11-09T09:30:30 --delay 48 --endMP 204:233312 --enddatetime 2017-11-09T10:05:58 --enforcementcount 0 &gt;&gt;%USERPROFILE%\Documents\GitHub\eaglep3-reporting\EC\2017-11-09-refined-times.txt</v>
      </c>
      <c r="AI60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{"issue":{"subject":"","project_id":79,"tracker_id":40,"status_id":1,"priority_id":2,"assigned_to_id":338,"start_date":"2017-11-09","description":"","custom_fields":[{"id":1,"name":"Subdivision","value":"EC"},{"id":4,"name":"Milepost","value":"23.3312"},{"id":17,"name":"Train ID","value":"147-09"},{"id":16,"name":"Locomotive ID","value":"4020"},{"id":130,"name":"Impact","value":""},{"id":150,"name":"Time of Event (Mountain Time)","value":"10:05:58"},{"id":151,"name":"Denver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4020 --day 2017-11-09</v>
      </c>
      <c r="AN60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0"/>
        <v>https://d0f6bd738d7f1b3e5a7ca70fe4ff75f0.us-east-1.aws.found.io/app/kibana#/discover/Steve-Slow-Train-Analysis-(2080s-and-2083s)?_g=(refreshInterval:(display:Off,pause:!f,section:0,value:0),time:(from:'2017-11-09T08:22:49-0700',mode:absolute,to:'2017-11-09T11:05:58-0700'))&amp;_a=(columns:!('Message%20ID',Summary),filters:!(),index:'emp_*',interval:auto,query:(query_string:(analyze_wildcard:!t,query:'%22rtdc.l.rtdc.4020%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747</v>
      </c>
      <c r="B61" s="7">
        <v>4019</v>
      </c>
      <c r="C61" s="21" t="s">
        <v>192</v>
      </c>
      <c r="D61" s="21" t="s">
        <v>900</v>
      </c>
      <c r="E61" s="13">
        <v>43048.4299537037</v>
      </c>
      <c r="F61" s="13">
        <v>43048.435590277775</v>
      </c>
      <c r="G61" s="7">
        <v>50</v>
      </c>
      <c r="H61" s="21" t="s">
        <v>458</v>
      </c>
      <c r="I61" s="13">
        <v>43048.461817129632</v>
      </c>
      <c r="J61" s="7">
        <v>0</v>
      </c>
      <c r="K61" s="89" t="str">
        <f t="shared" si="0"/>
        <v>4019/4020</v>
      </c>
      <c r="L61" s="185" t="str">
        <f>VLOOKUP(A61,'Trips&amp;Operators'!$C$1:$G$99911,5,FALSE)</f>
        <v>BONDS REYNALDO</v>
      </c>
      <c r="M61" s="6">
        <f t="shared" si="1"/>
        <v>2.6226851856335998E-2</v>
      </c>
      <c r="N61" s="7">
        <f t="shared" si="23"/>
        <v>37.766666673123837</v>
      </c>
      <c r="O61" s="7"/>
      <c r="P61" s="7"/>
      <c r="Q61" s="22"/>
      <c r="R61" s="174"/>
      <c r="S61" s="221">
        <f t="shared" si="22"/>
        <v>1</v>
      </c>
      <c r="T61" s="174" t="str">
        <f t="shared" si="3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4"/>
        <v>https://d0f6bd738d7f1b3e5a7ca70fe4ff75f0.us-east-1.aws.found.io/app/kibana#/discover/Steve-Slow-Train-Analysis-(2080s-and-2083s)?_g=(refreshInterval:(display:Off,pause:!f,section:0,value:0),time:(from:'2017-11-09T09:19:08-0700',mode:absolute,to:'2017-11-09T12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25"/>
        <v>23.2959</v>
      </c>
      <c r="Z61" s="204">
        <f t="shared" si="26"/>
        <v>2.07E-2</v>
      </c>
      <c r="AA61" s="204">
        <f t="shared" si="8"/>
        <v>23.275199999999998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9"/>
        <v>148</v>
      </c>
      <c r="AE61" s="77" t="str">
        <f t="shared" si="10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61" s="74" t="str">
        <f t="shared" si="11"/>
        <v>"C:\Program Files (x86)\AstroGrep\AstroGrep.exe" /e /r /s /spath="%USERPROFILE%\AppData\Local\Temp\OnboardLogs" /stypes="app*4019*20171109*" /stext=" 18:.+((SYSTEM_STATE.+slice.+state.+changed )|(ment ac)|(multiple cpu faults)|(system.+state.+changed )|(\[timeout)|(PRM\|1\|D)|(kpr)|(kdp)|(train st.+moving)|(\|lc)|(penalty))"</v>
      </c>
      <c r="AG61" s="182" t="str">
        <f t="shared" si="12"/>
        <v>EC</v>
      </c>
      <c r="AH61" s="78" t="str">
        <f t="shared" si="18"/>
        <v>"%USERPROFILE%\Documents\GitHub\eaglep3\Utilities\RefineRTDCRunTimes.py" --tripid 148-09 --locoid 4019 --swversion DE.1.0.9.0 --startMP 204:232959 --initTime 2017-11-09T10:19:08 --startdatetime 2017-11-09T10:27:15 --delay 50 --endMP 204:207 --enddatetime 2017-11-09T11:05:01 --enforcementcount 0 &gt;&gt;%USERPROFILE%\Documents\GitHub\eaglep3-reporting\EC\2017-11-09-refined-times.txt</v>
      </c>
      <c r="AI6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{"issue":{"subject":"","project_id":79,"tracker_id":40,"status_id":1,"priority_id":2,"assigned_to_id":338,"start_date":"2017-11-09","description":"","custom_fields":[{"id":1,"name":"Subdivision","value":"EC"},{"id":4,"name":"Milepost","value":"0.0207"},{"id":17,"name":"Train ID","value":"148-09"},{"id":16,"name":"Locomotive ID","value":"4019"},{"id":130,"name":"Impact","value":""},{"id":150,"name":"Time of Event (Mountain Time)","value":"11:05:01"},{"id":151,"name":"Denver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4019 --day 2017-11-09</v>
      </c>
      <c r="AN6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0"/>
        <v>https://d0f6bd738d7f1b3e5a7ca70fe4ff75f0.us-east-1.aws.found.io/app/kibana#/discover/Steve-Slow-Train-Analysis-(2080s-and-2083s)?_g=(refreshInterval:(display:Off,pause:!f,section:0,value:0),time:(from:'2017-11-09T09:19:08-0700',mode:absolute,to:'2017-11-09T12:05:01-0700'))&amp;_a=(columns:!('Message%20ID',Summary),filters:!(),index:'emp_*',interval:auto,query:(query_string:(analyze_wildcard:!t,query:'%22rtdc.l.rtdc.4019%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741</v>
      </c>
      <c r="B62" s="7">
        <v>4024</v>
      </c>
      <c r="C62" s="21" t="s">
        <v>192</v>
      </c>
      <c r="D62" s="21" t="s">
        <v>511</v>
      </c>
      <c r="E62" s="13">
        <v>43048.402083333334</v>
      </c>
      <c r="F62" s="13">
        <v>43048.406458333331</v>
      </c>
      <c r="G62" s="7">
        <v>90</v>
      </c>
      <c r="H62" s="21" t="s">
        <v>490</v>
      </c>
      <c r="I62" s="13">
        <v>43048.431354166663</v>
      </c>
      <c r="J62" s="7">
        <v>0</v>
      </c>
      <c r="K62" s="89" t="str">
        <f t="shared" si="0"/>
        <v>4023/4024</v>
      </c>
      <c r="L62" s="185" t="str">
        <f>VLOOKUP(A62,'Trips&amp;Operators'!$C$1:$G$99911,5,FALSE)</f>
        <v>BEAM ROSS</v>
      </c>
      <c r="M62" s="6">
        <f t="shared" si="1"/>
        <v>2.4895833332266193E-2</v>
      </c>
      <c r="N62" s="7">
        <f t="shared" si="23"/>
        <v>35.849999998463318</v>
      </c>
      <c r="O62" s="7"/>
      <c r="P62" s="7"/>
      <c r="Q62" s="22"/>
      <c r="R62" s="174"/>
      <c r="S62" s="221">
        <f t="shared" si="22"/>
        <v>1</v>
      </c>
      <c r="T62" s="174" t="str">
        <f t="shared" si="3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4"/>
        <v>https://d0f6bd738d7f1b3e5a7ca70fe4ff75f0.us-east-1.aws.found.io/app/kibana#/discover/Steve-Slow-Train-Analysis-(2080s-and-2083s)?_g=(refreshInterval:(display:Off,pause:!f,section:0,value:0),time:(from:'2017-11-09T08:39:00-0700',mode:absolute,to:'2017-11-09T11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4.5100000000000001E-2</v>
      </c>
      <c r="Z62" s="204">
        <f t="shared" si="26"/>
        <v>23.331199999999999</v>
      </c>
      <c r="AA62" s="204">
        <f t="shared" si="8"/>
        <v>23.286099999999998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9"/>
        <v>149</v>
      </c>
      <c r="AE62" s="77" t="str">
        <f t="shared" si="1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62" s="74" t="str">
        <f t="shared" si="11"/>
        <v>"C:\Program Files (x86)\AstroGrep\AstroGrep.exe" /e /r /s /spath="%USERPROFILE%\AppData\Local\Temp\OnboardLogs" /stypes="app*4024*20171109*" /stext=" 17:.+((SYSTEM_STATE.+slice.+state.+changed )|(ment ac)|(multiple cpu faults)|(system.+state.+changed )|(\[timeout)|(PRM\|1\|D)|(kpr)|(kdp)|(train st.+moving)|(\|lc)|(penalty))"</v>
      </c>
      <c r="AG62" s="182" t="str">
        <f t="shared" si="12"/>
        <v>EC</v>
      </c>
      <c r="AH62" s="78" t="str">
        <f t="shared" si="18"/>
        <v>"%USERPROFILE%\Documents\GitHub\eaglep3\Utilities\RefineRTDCRunTimes.py" --tripid 149-09 --locoid 4024 --swversion DE.1.0.9.0 --startMP 204:451 --initTime 2017-11-09T09:39:00 --startdatetime 2017-11-09T09:45:18 --delay 90 --endMP 204:233312 --enddatetime 2017-11-09T10:21:09 --enforcementcount 0 &gt;&gt;%USERPROFILE%\Documents\GitHub\eaglep3-reporting\EC\2017-11-09-refined-times.txt</v>
      </c>
      <c r="AI6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{"issue":{"subject":"","project_id":79,"tracker_id":40,"status_id":1,"priority_id":2,"assigned_to_id":338,"start_date":"2017-11-09","description":"","custom_fields":[{"id":1,"name":"Subdivision","value":"EC"},{"id":4,"name":"Milepost","value":"23.3312"},{"id":17,"name":"Train ID","value":"149-09"},{"id":16,"name":"Locomotive ID","value":"4024"},{"id":130,"name":"Impact","value":""},{"id":150,"name":"Time of Event (Mountain Time)","value":"10:21:09"},{"id":151,"name":"Denver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4024 --day 2017-11-09</v>
      </c>
      <c r="AN6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0"/>
        <v>https://d0f6bd738d7f1b3e5a7ca70fe4ff75f0.us-east-1.aws.found.io/app/kibana#/discover/Steve-Slow-Train-Analysis-(2080s-and-2083s)?_g=(refreshInterval:(display:Off,pause:!f,section:0,value:0),time:(from:'2017-11-09T08:39:00-0700',mode:absolute,to:'2017-11-09T11:21:09-0700'))&amp;_a=(columns:!('Message%20ID',Summary),filters:!(),index:'emp_*',interval:auto,query:(query_string:(analyze_wildcard:!t,query:'%22rtdc.l.rtdc.4024%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748</v>
      </c>
      <c r="B63" s="7">
        <v>4023</v>
      </c>
      <c r="C63" s="21" t="s">
        <v>192</v>
      </c>
      <c r="D63" s="21" t="s">
        <v>594</v>
      </c>
      <c r="E63" s="13">
        <v>43048.432303240741</v>
      </c>
      <c r="F63" s="13">
        <v>43048.44636574074</v>
      </c>
      <c r="G63" s="7">
        <v>62</v>
      </c>
      <c r="H63" s="21" t="s">
        <v>347</v>
      </c>
      <c r="I63" s="13">
        <v>43048.471782407411</v>
      </c>
      <c r="J63" s="7">
        <v>0</v>
      </c>
      <c r="K63" s="89" t="str">
        <f t="shared" si="0"/>
        <v>4023/4024</v>
      </c>
      <c r="L63" s="185" t="str">
        <f>VLOOKUP(A63,'Trips&amp;Operators'!$C$1:$G$99911,5,FALSE)</f>
        <v>BEAM ROSS</v>
      </c>
      <c r="M63" s="6">
        <f t="shared" si="1"/>
        <v>2.5416666670935228E-2</v>
      </c>
      <c r="N63" s="7">
        <f t="shared" si="23"/>
        <v>36.600000006146729</v>
      </c>
      <c r="O63" s="7"/>
      <c r="P63" s="7"/>
      <c r="Q63" s="22"/>
      <c r="R63" s="174"/>
      <c r="S63" s="221">
        <f t="shared" si="22"/>
        <v>1</v>
      </c>
      <c r="T63" s="174" t="str">
        <f t="shared" si="3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4"/>
        <v>https://d0f6bd738d7f1b3e5a7ca70fe4ff75f0.us-east-1.aws.found.io/app/kibana#/discover/Steve-Slow-Train-Analysis-(2080s-and-2083s)?_g=(refreshInterval:(display:Off,pause:!f,section:0,value:0),time:(from:'2017-11-09T09:22:31-0700',mode:absolute,to:'2017-11-09T12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23.299399999999999</v>
      </c>
      <c r="Z63" s="204">
        <f t="shared" si="26"/>
        <v>1.54E-2</v>
      </c>
      <c r="AA63" s="204">
        <f t="shared" si="8"/>
        <v>23.283999999999999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9"/>
        <v>150</v>
      </c>
      <c r="AE63" s="77" t="str">
        <f t="shared" si="10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63" s="74" t="str">
        <f t="shared" si="11"/>
        <v>"C:\Program Files (x86)\AstroGrep\AstroGrep.exe" /e /r /s /spath="%USERPROFILE%\AppData\Local\Temp\OnboardLogs" /stypes="app*4023*20171109*" /stext=" 18:.+((SYSTEM_STATE.+slice.+state.+changed )|(ment ac)|(multiple cpu faults)|(system.+state.+changed )|(\[timeout)|(PRM\|1\|D)|(kpr)|(kdp)|(train st.+moving)|(\|lc)|(penalty))"</v>
      </c>
      <c r="AG63" s="182" t="str">
        <f t="shared" si="12"/>
        <v>EC</v>
      </c>
      <c r="AH63" s="78" t="str">
        <f t="shared" si="18"/>
        <v>"%USERPROFILE%\Documents\GitHub\eaglep3\Utilities\RefineRTDCRunTimes.py" --tripid 150-09 --locoid 4023 --swversion DE.1.0.9.0 --startMP 204:232994 --initTime 2017-11-09T10:22:31 --startdatetime 2017-11-09T10:42:46 --delay 62 --endMP 204:154 --enddatetime 2017-11-09T11:19:22 --enforcementcount 0 &gt;&gt;%USERPROFILE%\Documents\GitHub\eaglep3-reporting\EC\2017-11-09-refined-times.txt</v>
      </c>
      <c r="AI6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{"issue":{"subject":"","project_id":79,"tracker_id":40,"status_id":1,"priority_id":2,"assigned_to_id":338,"start_date":"2017-11-09","description":"","custom_fields":[{"id":1,"name":"Subdivision","value":"EC"},{"id":4,"name":"Milepost","value":"0.0154"},{"id":17,"name":"Train ID","value":"150-09"},{"id":16,"name":"Locomotive ID","value":"4023"},{"id":130,"name":"Impact","value":""},{"id":150,"name":"Time of Event (Mountain Time)","value":"11:19:22"},{"id":151,"name":"Denver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4023 --day 2017-11-09</v>
      </c>
      <c r="AN6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0"/>
        <v>https://d0f6bd738d7f1b3e5a7ca70fe4ff75f0.us-east-1.aws.found.io/app/kibana#/discover/Steve-Slow-Train-Analysis-(2080s-and-2083s)?_g=(refreshInterval:(display:Off,pause:!f,section:0,value:0),time:(from:'2017-11-09T09:22:31-0700',mode:absolute,to:'2017-11-09T12:19:22-0700'))&amp;_a=(columns:!('Message%20ID',Summary),filters:!(),index:'emp_*',interval:auto,query:(query_string:(analyze_wildcard:!t,query:'%22rtdc.l.rtdc.4023%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743</v>
      </c>
      <c r="B64" s="7">
        <v>4026</v>
      </c>
      <c r="C64" s="21" t="s">
        <v>192</v>
      </c>
      <c r="D64" s="21" t="s">
        <v>928</v>
      </c>
      <c r="E64" s="13">
        <v>43048.411759259259</v>
      </c>
      <c r="F64" s="13">
        <v>43048.416851851849</v>
      </c>
      <c r="G64" s="7">
        <v>97</v>
      </c>
      <c r="H64" s="21" t="s">
        <v>929</v>
      </c>
      <c r="I64" s="13">
        <v>43048.441574074073</v>
      </c>
      <c r="J64" s="7">
        <v>0</v>
      </c>
      <c r="K64" s="89" t="str">
        <f t="shared" si="0"/>
        <v>4025/4026</v>
      </c>
      <c r="L64" s="185" t="str">
        <f>VLOOKUP(A64,'Trips&amp;Operators'!$C$1:$G$99911,5,FALSE)</f>
        <v>WILLIAMS DONTE</v>
      </c>
      <c r="M64" s="6">
        <f t="shared" si="1"/>
        <v>2.4722222224227153E-2</v>
      </c>
      <c r="N64" s="7">
        <f t="shared" si="23"/>
        <v>35.6000000028871</v>
      </c>
      <c r="O64" s="7"/>
      <c r="P64" s="7"/>
      <c r="Q64" s="22"/>
      <c r="R64" s="174"/>
      <c r="S64" s="221">
        <f t="shared" si="22"/>
        <v>1</v>
      </c>
      <c r="T64" s="174" t="str">
        <f t="shared" si="3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4"/>
        <v>https://d0f6bd738d7f1b3e5a7ca70fe4ff75f0.us-east-1.aws.found.io/app/kibana#/discover/Steve-Slow-Train-Analysis-(2080s-and-2083s)?_g=(refreshInterval:(display:Off,pause:!f,section:0,value:0),time:(from:'2017-11-09T08:52:56-0700',mode:absolute,to:'2017-11-09T11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4.8599999999999997E-2</v>
      </c>
      <c r="Z64" s="204">
        <f t="shared" si="26"/>
        <v>23.3245</v>
      </c>
      <c r="AA64" s="204">
        <f t="shared" si="8"/>
        <v>23.2759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9"/>
        <v>151</v>
      </c>
      <c r="AE64" s="77" t="str">
        <f t="shared" si="10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64" s="74" t="str">
        <f t="shared" si="11"/>
        <v>"C:\Program Files (x86)\AstroGrep\AstroGrep.exe" /e /r /s /spath="%USERPROFILE%\AppData\Local\Temp\OnboardLogs" /stypes="app*4026*20171109*" /stext=" 17:.+((SYSTEM_STATE.+slice.+state.+changed )|(ment ac)|(multiple cpu faults)|(system.+state.+changed )|(\[timeout)|(PRM\|1\|D)|(kpr)|(kdp)|(train st.+moving)|(\|lc)|(penalty))"</v>
      </c>
      <c r="AG64" s="182" t="str">
        <f t="shared" si="12"/>
        <v>EC</v>
      </c>
      <c r="AH64" s="78" t="str">
        <f t="shared" si="18"/>
        <v>"%USERPROFILE%\Documents\GitHub\eaglep3\Utilities\RefineRTDCRunTimes.py" --tripid 151-09 --locoid 4026 --swversion DE.1.0.9.0 --startMP 204:486 --initTime 2017-11-09T09:52:56 --startdatetime 2017-11-09T10:00:16 --delay 97 --endMP 204:233245 --enddatetime 2017-11-09T10:35:52 --enforcementcount 0 &gt;&gt;%USERPROFILE%\Documents\GitHub\eaglep3-reporting\EC\2017-11-09-refined-times.txt</v>
      </c>
      <c r="AI6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{"issue":{"subject":"","project_id":79,"tracker_id":40,"status_id":1,"priority_id":2,"assigned_to_id":338,"start_date":"2017-11-09","description":"","custom_fields":[{"id":1,"name":"Subdivision","value":"EC"},{"id":4,"name":"Milepost","value":"23.3245"},{"id":17,"name":"Train ID","value":"151-09"},{"id":16,"name":"Locomotive ID","value":"4026"},{"id":130,"name":"Impact","value":""},{"id":150,"name":"Time of Event (Mountain Time)","value":"10:35:52"},{"id":151,"name":"Denver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4026 --day 2017-11-09</v>
      </c>
      <c r="AN6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0"/>
        <v>https://d0f6bd738d7f1b3e5a7ca70fe4ff75f0.us-east-1.aws.found.io/app/kibana#/discover/Steve-Slow-Train-Analysis-(2080s-and-2083s)?_g=(refreshInterval:(display:Off,pause:!f,section:0,value:0),time:(from:'2017-11-09T08:52:56-0700',mode:absolute,to:'2017-11-09T11:35:52-0700'))&amp;_a=(columns:!('Message%20ID',Summary),filters:!(),index:'emp_*',interval:auto,query:(query_string:(analyze_wildcard:!t,query:'%22rtdc.l.rtdc.4026%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756</v>
      </c>
      <c r="B65" s="7">
        <v>4025</v>
      </c>
      <c r="C65" s="21" t="s">
        <v>192</v>
      </c>
      <c r="D65" s="21" t="s">
        <v>532</v>
      </c>
      <c r="E65" s="13">
        <v>43048.450706018521</v>
      </c>
      <c r="F65" s="13">
        <v>43048.456423611111</v>
      </c>
      <c r="G65" s="7">
        <v>100</v>
      </c>
      <c r="H65" s="21" t="s">
        <v>930</v>
      </c>
      <c r="I65" s="13">
        <v>43048.484791666669</v>
      </c>
      <c r="J65" s="7">
        <v>0</v>
      </c>
      <c r="K65" s="89" t="str">
        <f t="shared" si="0"/>
        <v>4025/4026</v>
      </c>
      <c r="L65" s="185" t="str">
        <f>VLOOKUP(A65,'Trips&amp;Operators'!$C$1:$G$99911,5,FALSE)</f>
        <v>WILLIAMS DONTE</v>
      </c>
      <c r="M65" s="6">
        <f t="shared" si="1"/>
        <v>2.8368055558530614E-2</v>
      </c>
      <c r="N65" s="7">
        <f t="shared" si="23"/>
        <v>40.850000004284084</v>
      </c>
      <c r="O65" s="7"/>
      <c r="P65" s="7"/>
      <c r="Q65" s="22"/>
      <c r="R65" s="174"/>
      <c r="S65" s="221">
        <f t="shared" si="22"/>
        <v>1</v>
      </c>
      <c r="T65" s="174" t="str">
        <f t="shared" si="3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4"/>
        <v>https://d0f6bd738d7f1b3e5a7ca70fe4ff75f0.us-east-1.aws.found.io/app/kibana#/discover/Steve-Slow-Train-Analysis-(2080s-and-2083s)?_g=(refreshInterval:(display:Off,pause:!f,section:0,value:0),time:(from:'2017-11-09T09:49:01-0700',mode:absolute,to:'2017-11-09T12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23.2913</v>
      </c>
      <c r="Z65" s="204">
        <f t="shared" si="26"/>
        <v>1.8100000000000002E-2</v>
      </c>
      <c r="AA65" s="204">
        <f t="shared" si="8"/>
        <v>23.273199999999999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9"/>
        <v>152</v>
      </c>
      <c r="AE65" s="77" t="str">
        <f t="shared" si="10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65" s="74" t="str">
        <f t="shared" si="11"/>
        <v>"C:\Program Files (x86)\AstroGrep\AstroGrep.exe" /e /r /s /spath="%USERPROFILE%\AppData\Local\Temp\OnboardLogs" /stypes="app*4025*20171109*" /stext=" 18:.+((SYSTEM_STATE.+slice.+state.+changed )|(ment ac)|(multiple cpu faults)|(system.+state.+changed )|(\[timeout)|(PRM\|1\|D)|(kpr)|(kdp)|(train st.+moving)|(\|lc)|(penalty))"</v>
      </c>
      <c r="AG65" s="182" t="str">
        <f t="shared" si="12"/>
        <v>EC</v>
      </c>
      <c r="AH65" s="78" t="str">
        <f t="shared" si="18"/>
        <v>"%USERPROFILE%\Documents\GitHub\eaglep3\Utilities\RefineRTDCRunTimes.py" --tripid 152-09 --locoid 4025 --swversion DE.1.0.9.0 --startMP 204:232913 --initTime 2017-11-09T10:49:01 --startdatetime 2017-11-09T10:57:15 --delay 100 --endMP 204:181 --enddatetime 2017-11-09T11:38:06 --enforcementcount 0 &gt;&gt;%USERPROFILE%\Documents\GitHub\eaglep3-reporting\EC\2017-11-09-refined-times.txt</v>
      </c>
      <c r="AI6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{"issue":{"subject":"","project_id":79,"tracker_id":40,"status_id":1,"priority_id":2,"assigned_to_id":338,"start_date":"2017-11-09","description":"","custom_fields":[{"id":1,"name":"Subdivision","value":"EC"},{"id":4,"name":"Milepost","value":"0.0181"},{"id":17,"name":"Train ID","value":"152-09"},{"id":16,"name":"Locomotive ID","value":"4025"},{"id":130,"name":"Impact","value":""},{"id":150,"name":"Time of Event (Mountain Time)","value":"11:38:06"},{"id":151,"name":"Denver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4025 --day 2017-11-09</v>
      </c>
      <c r="AN6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0"/>
        <v>https://d0f6bd738d7f1b3e5a7ca70fe4ff75f0.us-east-1.aws.found.io/app/kibana#/discover/Steve-Slow-Train-Analysis-(2080s-and-2083s)?_g=(refreshInterval:(display:Off,pause:!f,section:0,value:0),time:(from:'2017-11-09T09:49:01-0700',mode:absolute,to:'2017-11-09T12:38:06-0700'))&amp;_a=(columns:!('Message%20ID',Summary),filters:!(),index:'emp_*',interval:auto,query:(query_string:(analyze_wildcard:!t,query:'%22rtdc.l.rtdc.4025%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745</v>
      </c>
      <c r="B66" s="7">
        <v>4008</v>
      </c>
      <c r="C66" s="21" t="s">
        <v>192</v>
      </c>
      <c r="D66" s="21" t="s">
        <v>511</v>
      </c>
      <c r="E66" s="13">
        <v>43048.420694444445</v>
      </c>
      <c r="F66" s="13">
        <v>43048.427476851852</v>
      </c>
      <c r="G66" s="7">
        <v>72</v>
      </c>
      <c r="H66" s="21" t="s">
        <v>921</v>
      </c>
      <c r="I66" s="13">
        <v>43048.453020833331</v>
      </c>
      <c r="J66" s="7">
        <v>0</v>
      </c>
      <c r="K66" s="89" t="str">
        <f t="shared" si="0"/>
        <v>4007/4008</v>
      </c>
      <c r="L66" s="185" t="str">
        <f>VLOOKUP(A66,'Trips&amp;Operators'!$C$1:$G$99911,5,FALSE)</f>
        <v>HUFFSMITH MONTY</v>
      </c>
      <c r="M66" s="6">
        <f t="shared" si="1"/>
        <v>2.5543981479131617E-2</v>
      </c>
      <c r="N66" s="7">
        <f t="shared" si="23"/>
        <v>36.783333329949528</v>
      </c>
      <c r="O66" s="7"/>
      <c r="P66" s="7"/>
      <c r="Q66" s="22"/>
      <c r="R66" s="174"/>
      <c r="S66" s="221">
        <f t="shared" si="22"/>
        <v>1</v>
      </c>
      <c r="T66" s="174" t="str">
        <f t="shared" si="3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4"/>
        <v>https://d0f6bd738d7f1b3e5a7ca70fe4ff75f0.us-east-1.aws.found.io/app/kibana#/discover/Steve-Slow-Train-Analysis-(2080s-and-2083s)?_g=(refreshInterval:(display:Off,pause:!f,section:0,value:0),time:(from:'2017-11-09T09:05:48-0700',mode:absolute,to:'2017-11-09T11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25"/>
        <v>4.5100000000000001E-2</v>
      </c>
      <c r="Z66" s="204">
        <f t="shared" si="26"/>
        <v>23.332699999999999</v>
      </c>
      <c r="AA66" s="204">
        <f t="shared" si="8"/>
        <v>23.287599999999998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9"/>
        <v>153</v>
      </c>
      <c r="AE66" s="77" t="str">
        <f t="shared" si="10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66" s="74" t="str">
        <f t="shared" si="11"/>
        <v>"C:\Program Files (x86)\AstroGrep\AstroGrep.exe" /e /r /s /spath="%USERPROFILE%\AppData\Local\Temp\OnboardLogs" /stypes="app*4008*20171109*" /stext=" 17:.+((SYSTEM_STATE.+slice.+state.+changed )|(ment ac)|(multiple cpu faults)|(system.+state.+changed )|(\[timeout)|(PRM\|1\|D)|(kpr)|(kdp)|(train st.+moving)|(\|lc)|(penalty))"</v>
      </c>
      <c r="AG66" s="182" t="str">
        <f t="shared" si="12"/>
        <v>EC</v>
      </c>
      <c r="AH66" s="78" t="str">
        <f t="shared" si="18"/>
        <v>"%USERPROFILE%\Documents\GitHub\eaglep3\Utilities\RefineRTDCRunTimes.py" --tripid 153-09 --locoid 4008 --swversion DE.1.0.9.0 --startMP 204:451 --initTime 2017-11-09T10:05:48 --startdatetime 2017-11-09T10:15:34 --delay 72 --endMP 204:233327 --enddatetime 2017-11-09T10:52:21 --enforcementcount 0 &gt;&gt;%USERPROFILE%\Documents\GitHub\eaglep3-reporting\EC\2017-11-09-refined-times.txt</v>
      </c>
      <c r="AI6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{"issue":{"subject":"","project_id":79,"tracker_id":40,"status_id":1,"priority_id":2,"assigned_to_id":338,"start_date":"2017-11-09","description":"","custom_fields":[{"id":1,"name":"Subdivision","value":"EC"},{"id":4,"name":"Milepost","value":"23.3327"},{"id":17,"name":"Train ID","value":"153-09"},{"id":16,"name":"Locomotive ID","value":"4008"},{"id":130,"name":"Impact","value":""},{"id":150,"name":"Time of Event (Mountain Time)","value":"10:52:21"},{"id":151,"name":"Denver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4008 --day 2017-11-09</v>
      </c>
      <c r="AN6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0"/>
        <v>https://d0f6bd738d7f1b3e5a7ca70fe4ff75f0.us-east-1.aws.found.io/app/kibana#/discover/Steve-Slow-Train-Analysis-(2080s-and-2083s)?_g=(refreshInterval:(display:Off,pause:!f,section:0,value:0),time:(from:'2017-11-09T09:05:48-0700',mode:absolute,to:'2017-11-09T11:52:21-0700'))&amp;_a=(columns:!('Message%20ID',Summary),filters:!(),index:'emp_*',interval:auto,query:(query_string:(analyze_wildcard:!t,query:'%22rtdc.l.rtdc.4008%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758</v>
      </c>
      <c r="B67" s="7">
        <v>4007</v>
      </c>
      <c r="C67" s="21" t="s">
        <v>192</v>
      </c>
      <c r="D67" s="21" t="s">
        <v>931</v>
      </c>
      <c r="E67" s="13">
        <v>43048.45952546296</v>
      </c>
      <c r="F67" s="13">
        <v>43048.466886574075</v>
      </c>
      <c r="G67" s="7">
        <v>61</v>
      </c>
      <c r="H67" s="21" t="s">
        <v>932</v>
      </c>
      <c r="I67" s="13">
        <v>43048.494166666664</v>
      </c>
      <c r="J67" s="7">
        <v>0</v>
      </c>
      <c r="K67" s="89" t="str">
        <f t="shared" si="0"/>
        <v>4007/4008</v>
      </c>
      <c r="L67" s="185" t="str">
        <f>VLOOKUP(A67,'Trips&amp;Operators'!$C$1:$G$99911,5,FALSE)</f>
        <v>HUFFSMITH MONTY</v>
      </c>
      <c r="M67" s="6">
        <f t="shared" si="1"/>
        <v>2.7280092588625848E-2</v>
      </c>
      <c r="N67" s="7">
        <f t="shared" si="23"/>
        <v>39.283333327621222</v>
      </c>
      <c r="O67" s="7"/>
      <c r="P67" s="7"/>
      <c r="Q67" s="22"/>
      <c r="R67" s="174"/>
      <c r="S67" s="221">
        <f t="shared" si="22"/>
        <v>1</v>
      </c>
      <c r="T67" s="174" t="str">
        <f t="shared" si="3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4"/>
        <v>https://d0f6bd738d7f1b3e5a7ca70fe4ff75f0.us-east-1.aws.found.io/app/kibana#/discover/Steve-Slow-Train-Analysis-(2080s-and-2083s)?_g=(refreshInterval:(display:Off,pause:!f,section:0,value:0),time:(from:'2017-11-09T10:01:43-0700',mode:absolute,to:'2017-11-09T12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204" t="str">
        <f>IF(AA67&lt;VLOOKUP(AG67,Variables!$AC$3:$AD$8,2,FALSE),"Y","N")</f>
        <v>N</v>
      </c>
      <c r="X67" s="204">
        <f t="shared" si="24"/>
        <v>1</v>
      </c>
      <c r="Y67" s="204">
        <f t="shared" si="25"/>
        <v>23.302700000000002</v>
      </c>
      <c r="Z67" s="204">
        <f t="shared" si="26"/>
        <v>1.3599999999999999E-2</v>
      </c>
      <c r="AA67" s="204">
        <f t="shared" si="8"/>
        <v>23.289100000000001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9"/>
        <v>154</v>
      </c>
      <c r="AE67" s="77" t="str">
        <f t="shared" si="10"/>
        <v>aws s3 cp s3://rtdc.mdm.uploadarchive.raw/RTDC4007/ "%USERPROFILE%\AppData\Local\Temp\OnboardLogs"\RTDC4007\2017-11-09 --exclude "*" --recursive --include "*20171109*" &amp; "%USERPROFILE%\Documents\GitHub\mrs-test-scripts\Headless Mode &amp; Sideloading\WalkAndUnGZ.bat" "%USERPROFILE%\AppData\Local\Temp\OnboardLogs"\RTDC4007\2017-11-09 &amp; aws s3 cp s3://rtdc.mdm.uploadarchive.raw/RTDC4007/ "%USERPROFILE%\AppData\Local\Temp\OnboardLogs"\RTDC4007\2017-11-10 --exclude "*" --recursive --include "*20171110*" &amp; "%USERPROFILE%\Documents\GitHub\mrs-test-scripts\Headless Mode &amp; Sideloading\WalkAndUnGZ.bat" "%USERPROFILE%\AppData\Local\Temp\OnboardLogs"\RTDC4007\2017-11-10</v>
      </c>
      <c r="AF67" s="74" t="str">
        <f t="shared" si="11"/>
        <v>"C:\Program Files (x86)\AstroGrep\AstroGrep.exe" /e /r /s /spath="%USERPROFILE%\AppData\Local\Temp\OnboardLogs" /stypes="app*4007*20171109*" /stext=" 18:.+((SYSTEM_STATE.+slice.+state.+changed )|(ment ac)|(multiple cpu faults)|(system.+state.+changed )|(\[timeout)|(PRM\|1\|D)|(kpr)|(kdp)|(train st.+moving)|(\|lc)|(penalty))"</v>
      </c>
      <c r="AG67" s="182" t="str">
        <f t="shared" si="12"/>
        <v>EC</v>
      </c>
      <c r="AH67" s="78" t="str">
        <f t="shared" si="18"/>
        <v>"%USERPROFILE%\Documents\GitHub\eaglep3\Utilities\RefineRTDCRunTimes.py" --tripid 154-09 --locoid 4007 --swversion DE.1.0.9.0 --startMP 204:233027 --initTime 2017-11-09T11:01:43 --startdatetime 2017-11-09T11:12:19 --delay 61 --endMP 204:136 --enddatetime 2017-11-09T11:51:36 --enforcementcount 0 &gt;&gt;%USERPROFILE%\Documents\GitHub\eaglep3-reporting\EC\2017-11-09-refined-times.txt</v>
      </c>
      <c r="AI67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{"issue":{"subject":"","project_id":79,"tracker_id":40,"status_id":1,"priority_id":2,"assigned_to_id":338,"start_date":"2017-11-09","description":"","custom_fields":[{"id":1,"name":"Subdivision","value":"EC"},{"id":4,"name":"Milepost","value":"0.0136"},{"id":17,"name":"Train ID","value":"154-09"},{"id":16,"name":"Locomotive ID","value":"4007"},{"id":130,"name":"Impact","value":""},{"id":150,"name":"Time of Event (Mountain Time)","value":"11:51:36"},{"id":151,"name":"Denver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4007 --day 2017-11-09</v>
      </c>
      <c r="AN67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0"/>
        <v>https://d0f6bd738d7f1b3e5a7ca70fe4ff75f0.us-east-1.aws.found.io/app/kibana#/discover/Steve-Slow-Train-Analysis-(2080s-and-2083s)?_g=(refreshInterval:(display:Off,pause:!f,section:0,value:0),time:(from:'2017-11-09T10:01:43-0700',mode:absolute,to:'2017-11-09T12:51:36-0700'))&amp;_a=(columns:!('Message%20ID',Summary),filters:!(),index:'emp_*',interval:auto,query:(query_string:(analyze_wildcard:!t,query:'%22rtdc.l.rtdc.4007%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749</v>
      </c>
      <c r="B68" s="7">
        <v>4006</v>
      </c>
      <c r="C68" s="21" t="s">
        <v>192</v>
      </c>
      <c r="D68" s="21" t="s">
        <v>522</v>
      </c>
      <c r="E68" s="13">
        <v>43048.434108796297</v>
      </c>
      <c r="F68" s="13">
        <v>43048.437650462962</v>
      </c>
      <c r="G68" s="7">
        <v>59</v>
      </c>
      <c r="H68" s="21" t="s">
        <v>933</v>
      </c>
      <c r="I68" s="13">
        <v>43048.46162037037</v>
      </c>
      <c r="J68" s="7">
        <v>0</v>
      </c>
      <c r="K68" s="89" t="str">
        <f t="shared" si="0"/>
        <v>4005/4006</v>
      </c>
      <c r="L68" s="185" t="str">
        <f>VLOOKUP(A68,'Trips&amp;Operators'!$C$1:$G$99911,5,FALSE)</f>
        <v>YANAI IAN</v>
      </c>
      <c r="M68" s="6">
        <f t="shared" si="1"/>
        <v>2.396990740817273E-2</v>
      </c>
      <c r="N68" s="7">
        <f t="shared" si="23"/>
        <v>34.516666667768732</v>
      </c>
      <c r="O68" s="7"/>
      <c r="P68" s="7"/>
      <c r="Q68" s="22"/>
      <c r="R68" s="174"/>
      <c r="S68" s="221">
        <f t="shared" si="22"/>
        <v>1</v>
      </c>
      <c r="T68" s="174" t="str">
        <f t="shared" si="3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4"/>
        <v>https://d0f6bd738d7f1b3e5a7ca70fe4ff75f0.us-east-1.aws.found.io/app/kibana#/discover/Steve-Slow-Train-Analysis-(2080s-and-2083s)?_g=(refreshInterval:(display:Off,pause:!f,section:0,value:0),time:(from:'2017-11-09T09:25:07-0700',mode:absolute,to:'2017-11-09T12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5.33E-2</v>
      </c>
      <c r="Z68" s="204">
        <f t="shared" si="26"/>
        <v>23.3309</v>
      </c>
      <c r="AA68" s="204">
        <f t="shared" si="8"/>
        <v>23.2776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9"/>
        <v>155</v>
      </c>
      <c r="AE68" s="77" t="str">
        <f t="shared" si="10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68" s="74" t="str">
        <f t="shared" si="11"/>
        <v>"C:\Program Files (x86)\AstroGrep\AstroGrep.exe" /e /r /s /spath="%USERPROFILE%\AppData\Local\Temp\OnboardLogs" /stypes="app*4006*20171109*" /stext=" 18:.+((SYSTEM_STATE.+slice.+state.+changed )|(ment ac)|(multiple cpu faults)|(system.+state.+changed )|(\[timeout)|(PRM\|1\|D)|(kpr)|(kdp)|(train st.+moving)|(\|lc)|(penalty))"</v>
      </c>
      <c r="AG68" s="182" t="str">
        <f t="shared" si="12"/>
        <v>EC</v>
      </c>
      <c r="AH68" s="78" t="str">
        <f t="shared" si="18"/>
        <v>"%USERPROFILE%\Documents\GitHub\eaglep3\Utilities\RefineRTDCRunTimes.py" --tripid 155-09 --locoid 4006 --swversion DE.1.0.9.0 --startMP 204:533 --initTime 2017-11-09T10:25:07 --startdatetime 2017-11-09T10:30:13 --delay 59 --endMP 204:233309 --enddatetime 2017-11-09T11:04:44 --enforcementcount 0 &gt;&gt;%USERPROFILE%\Documents\GitHub\eaglep3-reporting\EC\2017-11-09-refined-times.txt</v>
      </c>
      <c r="AI68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{"issue":{"subject":"","project_id":79,"tracker_id":40,"status_id":1,"priority_id":2,"assigned_to_id":338,"start_date":"2017-11-09","description":"","custom_fields":[{"id":1,"name":"Subdivision","value":"EC"},{"id":4,"name":"Milepost","value":"23.3309"},{"id":17,"name":"Train ID","value":"155-09"},{"id":16,"name":"Locomotive ID","value":"4006"},{"id":130,"name":"Impact","value":""},{"id":150,"name":"Time of Event (Mountain Time)","value":"11:04:44"},{"id":151,"name":"Denver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4006 --day 2017-11-09</v>
      </c>
      <c r="AN68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0"/>
        <v>https://d0f6bd738d7f1b3e5a7ca70fe4ff75f0.us-east-1.aws.found.io/app/kibana#/discover/Steve-Slow-Train-Analysis-(2080s-and-2083s)?_g=(refreshInterval:(display:Off,pause:!f,section:0,value:0),time:(from:'2017-11-09T09:25:07-0700',mode:absolute,to:'2017-11-09T12:04:44-0700'))&amp;_a=(columns:!('Message%20ID',Summary),filters:!(),index:'emp_*',interval:auto,query:(query_string:(analyze_wildcard:!t,query:'%22rtdc.l.rtdc.4006%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760</v>
      </c>
      <c r="B69" s="7">
        <v>4005</v>
      </c>
      <c r="C69" s="21" t="s">
        <v>192</v>
      </c>
      <c r="D69" s="21" t="s">
        <v>583</v>
      </c>
      <c r="E69" s="13">
        <v>43048.462743055556</v>
      </c>
      <c r="F69" s="13">
        <v>43048.477395833332</v>
      </c>
      <c r="G69" s="7">
        <v>53</v>
      </c>
      <c r="H69" s="21" t="s">
        <v>934</v>
      </c>
      <c r="I69" s="13">
        <v>43048.503599537034</v>
      </c>
      <c r="J69" s="7">
        <v>0</v>
      </c>
      <c r="K69" s="89" t="str">
        <f t="shared" si="0"/>
        <v>4005/4006</v>
      </c>
      <c r="L69" s="185" t="str">
        <f>VLOOKUP(A69,'Trips&amp;Operators'!$C$1:$G$99911,5,FALSE)</f>
        <v>YANAI IAN</v>
      </c>
      <c r="M69" s="6">
        <f t="shared" si="1"/>
        <v>2.6203703702776693E-2</v>
      </c>
      <c r="N69" s="7">
        <f t="shared" si="23"/>
        <v>37.733333331998438</v>
      </c>
      <c r="O69" s="7"/>
      <c r="P69" s="7"/>
      <c r="Q69" s="22"/>
      <c r="R69" s="174"/>
      <c r="S69" s="221">
        <f t="shared" si="22"/>
        <v>1</v>
      </c>
      <c r="T69" s="174" t="str">
        <f t="shared" si="3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4"/>
        <v>https://d0f6bd738d7f1b3e5a7ca70fe4ff75f0.us-east-1.aws.found.io/app/kibana#/discover/Steve-Slow-Train-Analysis-(2080s-and-2083s)?_g=(refreshInterval:(display:Off,pause:!f,section:0,value:0),time:(from:'2017-11-09T10:06:21-0700',mode:absolute,to:'2017-11-09T13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23.2988</v>
      </c>
      <c r="Z69" s="204">
        <f t="shared" si="26"/>
        <v>1.4500000000000001E-2</v>
      </c>
      <c r="AA69" s="204">
        <f t="shared" si="8"/>
        <v>23.284299999999998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9"/>
        <v>156</v>
      </c>
      <c r="AE69" s="77" t="str">
        <f t="shared" si="10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69" s="74" t="str">
        <f t="shared" si="11"/>
        <v>"C:\Program Files (x86)\AstroGrep\AstroGrep.exe" /e /r /s /spath="%USERPROFILE%\AppData\Local\Temp\OnboardLogs" /stypes="app*4005*20171109*" /stext=" 19:.+((SYSTEM_STATE.+slice.+state.+changed )|(ment ac)|(multiple cpu faults)|(system.+state.+changed )|(\[timeout)|(PRM\|1\|D)|(kpr)|(kdp)|(train st.+moving)|(\|lc)|(penalty))"</v>
      </c>
      <c r="AG69" s="182" t="str">
        <f t="shared" si="12"/>
        <v>EC</v>
      </c>
      <c r="AH69" s="78" t="str">
        <f t="shared" si="18"/>
        <v>"%USERPROFILE%\Documents\GitHub\eaglep3\Utilities\RefineRTDCRunTimes.py" --tripid 156-09 --locoid 4005 --swversion DE.1.0.9.0 --startMP 204:232988 --initTime 2017-11-09T11:06:21 --startdatetime 2017-11-09T11:27:27 --delay 53 --endMP 204:145 --enddatetime 2017-11-09T12:05:11 --enforcementcount 0 &gt;&gt;%USERPROFILE%\Documents\GitHub\eaglep3-reporting\EC\2017-11-09-refined-times.txt</v>
      </c>
      <c r="AI69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{"issue":{"subject":"","project_id":79,"tracker_id":40,"status_id":1,"priority_id":2,"assigned_to_id":338,"start_date":"2017-11-09","description":"","custom_fields":[{"id":1,"name":"Subdivision","value":"EC"},{"id":4,"name":"Milepost","value":"0.0145"},{"id":17,"name":"Train ID","value":"156-09"},{"id":16,"name":"Locomotive ID","value":"4005"},{"id":130,"name":"Impact","value":""},{"id":150,"name":"Time of Event (Mountain Time)","value":"12:05:11"},{"id":151,"name":"Denver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4005 --day 2017-11-09</v>
      </c>
      <c r="AN69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0"/>
        <v>https://d0f6bd738d7f1b3e5a7ca70fe4ff75f0.us-east-1.aws.found.io/app/kibana#/discover/Steve-Slow-Train-Analysis-(2080s-and-2083s)?_g=(refreshInterval:(display:Off,pause:!f,section:0,value:0),time:(from:'2017-11-09T10:06:21-0700',mode:absolute,to:'2017-11-09T13:05:11-0700'))&amp;_a=(columns:!('Message%20ID',Summary),filters:!(),index:'emp_*',interval:auto,query:(query_string:(analyze_wildcard:!t,query:'%22rtdc.l.rtdc.4005%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751</v>
      </c>
      <c r="B70" s="7">
        <v>4022</v>
      </c>
      <c r="C70" s="21" t="s">
        <v>192</v>
      </c>
      <c r="D70" s="21" t="s">
        <v>584</v>
      </c>
      <c r="E70" s="13">
        <v>43048.444074074076</v>
      </c>
      <c r="F70" s="13">
        <v>43048.448159722226</v>
      </c>
      <c r="G70" s="7">
        <v>71</v>
      </c>
      <c r="H70" s="21" t="s">
        <v>935</v>
      </c>
      <c r="I70" s="13">
        <v>43048.473715277774</v>
      </c>
      <c r="J70" s="7">
        <v>0</v>
      </c>
      <c r="K70" s="89" t="str">
        <f t="shared" si="0"/>
        <v>4021/4022</v>
      </c>
      <c r="L70" s="185" t="str">
        <f>VLOOKUP(A70,'Trips&amp;Operators'!$C$1:$G$99911,5,FALSE)</f>
        <v>BADERTSCHER DIANE</v>
      </c>
      <c r="M70" s="6">
        <f t="shared" si="1"/>
        <v>2.5555555548635311E-2</v>
      </c>
      <c r="N70" s="7">
        <f t="shared" si="23"/>
        <v>36.799999990034848</v>
      </c>
      <c r="O70" s="7"/>
      <c r="P70" s="7"/>
      <c r="Q70" s="22"/>
      <c r="R70" s="174"/>
      <c r="S70" s="221">
        <f t="shared" si="22"/>
        <v>1</v>
      </c>
      <c r="T70" s="174" t="str">
        <f t="shared" si="3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4"/>
        <v>https://d0f6bd738d7f1b3e5a7ca70fe4ff75f0.us-east-1.aws.found.io/app/kibana#/discover/Steve-Slow-Train-Analysis-(2080s-and-2083s)?_g=(refreshInterval:(display:Off,pause:!f,section:0,value:0),time:(from:'2017-11-09T09:39:28-0700',mode:absolute,to:'2017-11-09T12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5.11E-2</v>
      </c>
      <c r="Z70" s="204">
        <f t="shared" si="26"/>
        <v>23.328099999999999</v>
      </c>
      <c r="AA70" s="204">
        <f t="shared" si="8"/>
        <v>23.276999999999997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9"/>
        <v>157</v>
      </c>
      <c r="AE70" s="77" t="str">
        <f t="shared" si="1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70" s="74" t="str">
        <f t="shared" si="11"/>
        <v>"C:\Program Files (x86)\AstroGrep\AstroGrep.exe" /e /r /s /spath="%USERPROFILE%\AppData\Local\Temp\OnboardLogs" /stypes="app*4022*20171109*" /stext=" 18:.+((SYSTEM_STATE.+slice.+state.+changed )|(ment ac)|(multiple cpu faults)|(system.+state.+changed )|(\[timeout)|(PRM\|1\|D)|(kpr)|(kdp)|(train st.+moving)|(\|lc)|(penalty))"</v>
      </c>
      <c r="AG70" s="182" t="str">
        <f t="shared" si="12"/>
        <v>EC</v>
      </c>
      <c r="AH70" s="78" t="str">
        <f t="shared" si="18"/>
        <v>"%USERPROFILE%\Documents\GitHub\eaglep3\Utilities\RefineRTDCRunTimes.py" --tripid 157-09 --locoid 4022 --swversion DE.1.0.9.0 --startMP 204:511 --initTime 2017-11-09T10:39:28 --startdatetime 2017-11-09T10:45:21 --delay 71 --endMP 204:233281 --enddatetime 2017-11-09T11:22:09 --enforcementcount 0 &gt;&gt;%USERPROFILE%\Documents\GitHub\eaglep3-reporting\EC\2017-11-09-refined-times.txt</v>
      </c>
      <c r="AI70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{"issue":{"subject":"","project_id":79,"tracker_id":40,"status_id":1,"priority_id":2,"assigned_to_id":338,"start_date":"2017-11-09","description":"","custom_fields":[{"id":1,"name":"Subdivision","value":"EC"},{"id":4,"name":"Milepost","value":"23.3281"},{"id":17,"name":"Train ID","value":"157-09"},{"id":16,"name":"Locomotive ID","value":"4022"},{"id":130,"name":"Impact","value":""},{"id":150,"name":"Time of Event (Mountain Time)","value":"11:22:09"},{"id":151,"name":"Denver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4022 --day 2017-11-09</v>
      </c>
      <c r="AN70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0"/>
        <v>https://d0f6bd738d7f1b3e5a7ca70fe4ff75f0.us-east-1.aws.found.io/app/kibana#/discover/Steve-Slow-Train-Analysis-(2080s-and-2083s)?_g=(refreshInterval:(display:Off,pause:!f,section:0,value:0),time:(from:'2017-11-09T09:39:28-0700',mode:absolute,to:'2017-11-09T12:22:09-0700'))&amp;_a=(columns:!('Message%20ID',Summary),filters:!(),index:'emp_*',interval:auto,query:(query_string:(analyze_wildcard:!t,query:'%22rtdc.l.rtdc.4022%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765</v>
      </c>
      <c r="B71" s="7">
        <v>4021</v>
      </c>
      <c r="C71" s="21" t="s">
        <v>192</v>
      </c>
      <c r="D71" s="21" t="s">
        <v>936</v>
      </c>
      <c r="E71" s="13">
        <v>43048.483252314814</v>
      </c>
      <c r="F71" s="13">
        <v>43048.487708333334</v>
      </c>
      <c r="G71" s="7">
        <v>75</v>
      </c>
      <c r="H71" s="21" t="s">
        <v>937</v>
      </c>
      <c r="I71" s="13">
        <v>43048.515011574076</v>
      </c>
      <c r="J71" s="7">
        <v>0</v>
      </c>
      <c r="K71" s="89" t="str">
        <f t="shared" si="0"/>
        <v>4021/4022</v>
      </c>
      <c r="L71" s="185" t="str">
        <f>VLOOKUP(A71,'Trips&amp;Operators'!$C$1:$G$99911,5,FALSE)</f>
        <v>BADERTSCHER DIANE</v>
      </c>
      <c r="M71" s="6">
        <f t="shared" si="1"/>
        <v>2.7303240742185153E-2</v>
      </c>
      <c r="N71" s="7">
        <f t="shared" si="23"/>
        <v>39.31666666874662</v>
      </c>
      <c r="O71" s="7"/>
      <c r="P71" s="7"/>
      <c r="Q71" s="22"/>
      <c r="R71" s="174"/>
      <c r="S71" s="221">
        <f t="shared" si="22"/>
        <v>1</v>
      </c>
      <c r="T71" s="174" t="str">
        <f t="shared" si="3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4"/>
        <v>https://d0f6bd738d7f1b3e5a7ca70fe4ff75f0.us-east-1.aws.found.io/app/kibana#/discover/Steve-Slow-Train-Analysis-(2080s-and-2083s)?_g=(refreshInterval:(display:Off,pause:!f,section:0,value:0),time:(from:'2017-11-09T10:35:53-0700',mode:absolute,to:'2017-11-09T13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23.2974</v>
      </c>
      <c r="Z71" s="204">
        <f t="shared" si="26"/>
        <v>2.4500000000000001E-2</v>
      </c>
      <c r="AA71" s="204">
        <f t="shared" si="8"/>
        <v>23.2729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9"/>
        <v>158</v>
      </c>
      <c r="AE71" s="77" t="str">
        <f t="shared" si="1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71" s="74" t="str">
        <f t="shared" si="11"/>
        <v>"C:\Program Files (x86)\AstroGrep\AstroGrep.exe" /e /r /s /spath="%USERPROFILE%\AppData\Local\Temp\OnboardLogs" /stypes="app*4021*20171109*" /stext=" 19:.+((SYSTEM_STATE.+slice.+state.+changed )|(ment ac)|(multiple cpu faults)|(system.+state.+changed )|(\[timeout)|(PRM\|1\|D)|(kpr)|(kdp)|(train st.+moving)|(\|lc)|(penalty))"</v>
      </c>
      <c r="AG71" s="182" t="str">
        <f t="shared" si="12"/>
        <v>EC</v>
      </c>
      <c r="AH71" s="78" t="str">
        <f t="shared" si="18"/>
        <v>"%USERPROFILE%\Documents\GitHub\eaglep3\Utilities\RefineRTDCRunTimes.py" --tripid 158-09 --locoid 4021 --swversion DE.1.0.9.0 --startMP 204:232974 --initTime 2017-11-09T11:35:53 --startdatetime 2017-11-09T11:42:18 --delay 75 --endMP 204:245 --enddatetime 2017-11-09T12:21:37 --enforcementcount 0 &gt;&gt;%USERPROFILE%\Documents\GitHub\eaglep3-reporting\EC\2017-11-09-refined-times.txt</v>
      </c>
      <c r="AI71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{"issue":{"subject":"","project_id":79,"tracker_id":40,"status_id":1,"priority_id":2,"assigned_to_id":338,"start_date":"2017-11-09","description":"","custom_fields":[{"id":1,"name":"Subdivision","value":"EC"},{"id":4,"name":"Milepost","value":"0.0245"},{"id":17,"name":"Train ID","value":"158-09"},{"id":16,"name":"Locomotive ID","value":"4021"},{"id":130,"name":"Impact","value":""},{"id":150,"name":"Time of Event (Mountain Time)","value":"12:21:37"},{"id":151,"name":"Denver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4021 --day 2017-11-09</v>
      </c>
      <c r="AN71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0"/>
        <v>https://d0f6bd738d7f1b3e5a7ca70fe4ff75f0.us-east-1.aws.found.io/app/kibana#/discover/Steve-Slow-Train-Analysis-(2080s-and-2083s)?_g=(refreshInterval:(display:Off,pause:!f,section:0,value:0),time:(from:'2017-11-09T10:35:53-0700',mode:absolute,to:'2017-11-09T13:21:37-0700'))&amp;_a=(columns:!('Message%20ID',Summary),filters:!(),index:'emp_*',interval:auto,query:(query_string:(analyze_wildcard:!t,query:'%22rtdc.l.rtdc.4021%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757</v>
      </c>
      <c r="B72" s="7">
        <v>4066</v>
      </c>
      <c r="C72" s="21" t="s">
        <v>192</v>
      </c>
      <c r="D72" s="21" t="s">
        <v>454</v>
      </c>
      <c r="E72" s="13">
        <v>43048.454247685186</v>
      </c>
      <c r="F72" s="13">
        <v>43048.458564814813</v>
      </c>
      <c r="G72" s="7">
        <v>66</v>
      </c>
      <c r="H72" s="21" t="s">
        <v>902</v>
      </c>
      <c r="I72" s="13">
        <v>43048.482777777775</v>
      </c>
      <c r="J72" s="7">
        <v>0</v>
      </c>
      <c r="K72" s="89" t="str">
        <f t="shared" si="0"/>
        <v>4065/4066</v>
      </c>
      <c r="L72" s="185" t="str">
        <f>VLOOKUP(A72,'Trips&amp;Operators'!$C$1:$G$99911,5,FALSE)</f>
        <v>MOSES BRADLEY</v>
      </c>
      <c r="M72" s="6">
        <f t="shared" si="1"/>
        <v>2.421296296233777E-2</v>
      </c>
      <c r="N72" s="7">
        <f t="shared" si="23"/>
        <v>34.866666665766388</v>
      </c>
      <c r="O72" s="7"/>
      <c r="P72" s="7"/>
      <c r="Q72" s="22"/>
      <c r="R72" s="174"/>
      <c r="S72" s="221">
        <f t="shared" ref="S72:S94" si="27">1/IF(AG72="EC",12,1)*SUM(U72:U72)</f>
        <v>1</v>
      </c>
      <c r="T72" s="174" t="str">
        <f t="shared" si="3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4"/>
        <v>https://d0f6bd738d7f1b3e5a7ca70fe4ff75f0.us-east-1.aws.found.io/app/kibana#/discover/Steve-Slow-Train-Analysis-(2080s-and-2083s)?_g=(refreshInterval:(display:Off,pause:!f,section:0,value:0),time:(from:'2017-11-09T09:54:07-0700',mode:absolute,to:'2017-11-09T12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5.1700000000000003E-2</v>
      </c>
      <c r="Z72" s="204">
        <f t="shared" si="26"/>
        <v>23.328800000000001</v>
      </c>
      <c r="AA72" s="204">
        <f t="shared" si="8"/>
        <v>23.277100000000001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9"/>
        <v>159</v>
      </c>
      <c r="AE72" s="77" t="str">
        <f t="shared" si="10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72" s="74" t="str">
        <f t="shared" si="11"/>
        <v>"C:\Program Files (x86)\AstroGrep\AstroGrep.exe" /e /r /s /spath="%USERPROFILE%\AppData\Local\Temp\OnboardLogs" /stypes="app*4066*20171109*" /stext=" 18:.+((SYSTEM_STATE.+slice.+state.+changed )|(ment ac)|(multiple cpu faults)|(system.+state.+changed )|(\[timeout)|(PRM\|1\|D)|(kpr)|(kdp)|(train st.+moving)|(\|lc)|(penalty))"</v>
      </c>
      <c r="AG72" s="182" t="str">
        <f t="shared" si="12"/>
        <v>EC</v>
      </c>
      <c r="AH72" s="78" t="str">
        <f t="shared" si="18"/>
        <v>"%USERPROFILE%\Documents\GitHub\eaglep3\Utilities\RefineRTDCRunTimes.py" --tripid 159-09 --locoid 4066 --swversion DE.1.0.9.0 --startMP 204:517 --initTime 2017-11-09T10:54:07 --startdatetime 2017-11-09T11:00:20 --delay 66 --endMP 204:233288 --enddatetime 2017-11-09T11:35:12 --enforcementcount 0 &gt;&gt;%USERPROFILE%\Documents\GitHub\eaglep3-reporting\EC\2017-11-09-refined-times.txt</v>
      </c>
      <c r="AI72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{"issue":{"subject":"","project_id":79,"tracker_id":40,"status_id":1,"priority_id":2,"assigned_to_id":338,"start_date":"2017-11-09","description":"","custom_fields":[{"id":1,"name":"Subdivision","value":"EC"},{"id":4,"name":"Milepost","value":"23.3288"},{"id":17,"name":"Train ID","value":"159-09"},{"id":16,"name":"Locomotive ID","value":"4066"},{"id":130,"name":"Impact","value":""},{"id":150,"name":"Time of Event (Mountain Time)","value":"11:35:12"},{"id":151,"name":"Denver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4066 --day 2017-11-09</v>
      </c>
      <c r="AN72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0"/>
        <v>https://d0f6bd738d7f1b3e5a7ca70fe4ff75f0.us-east-1.aws.found.io/app/kibana#/discover/Steve-Slow-Train-Analysis-(2080s-and-2083s)?_g=(refreshInterval:(display:Off,pause:!f,section:0,value:0),time:(from:'2017-11-09T09:54:07-0700',mode:absolute,to:'2017-11-09T12:35:12-0700'))&amp;_a=(columns:!('Message%20ID',Summary),filters:!(),index:'emp_*',interval:auto,query:(query_string:(analyze_wildcard:!t,query:'%22rtdc.l.rtdc.4066%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766</v>
      </c>
      <c r="B73" s="7">
        <v>4065</v>
      </c>
      <c r="C73" s="21" t="s">
        <v>192</v>
      </c>
      <c r="D73" s="21" t="s">
        <v>590</v>
      </c>
      <c r="E73" s="13">
        <v>43048.495219907411</v>
      </c>
      <c r="F73" s="13">
        <v>43048.498194444444</v>
      </c>
      <c r="G73" s="7">
        <v>53</v>
      </c>
      <c r="H73" s="21" t="s">
        <v>458</v>
      </c>
      <c r="I73" s="13">
        <v>43048.524270833332</v>
      </c>
      <c r="J73" s="7">
        <v>0</v>
      </c>
      <c r="K73" s="89" t="str">
        <f t="shared" si="0"/>
        <v>4065/4066</v>
      </c>
      <c r="L73" s="185" t="str">
        <f>VLOOKUP(A73,'Trips&amp;Operators'!$C$1:$G$99911,5,FALSE)</f>
        <v>MOSES BRADLEY</v>
      </c>
      <c r="M73" s="6">
        <f t="shared" si="1"/>
        <v>2.6076388887304347E-2</v>
      </c>
      <c r="N73" s="7">
        <f t="shared" ref="N73:N94" si="28">24*60*SUM($M73:$M73)</f>
        <v>37.54999999771826</v>
      </c>
      <c r="O73" s="7"/>
      <c r="P73" s="7"/>
      <c r="Q73" s="22"/>
      <c r="R73" s="174"/>
      <c r="S73" s="221">
        <f t="shared" si="27"/>
        <v>1</v>
      </c>
      <c r="T73" s="174" t="str">
        <f t="shared" si="3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4"/>
        <v>https://d0f6bd738d7f1b3e5a7ca70fe4ff75f0.us-east-1.aws.found.io/app/kibana#/discover/Steve-Slow-Train-Analysis-(2080s-and-2083s)?_g=(refreshInterval:(display:Off,pause:!f,section:0,value:0),time:(from:'2017-11-09T10:53:07-0700',mode:absolute,to:'2017-11-09T13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23.297499999999999</v>
      </c>
      <c r="Z73" s="204">
        <f t="shared" si="26"/>
        <v>2.07E-2</v>
      </c>
      <c r="AA73" s="204">
        <f t="shared" si="8"/>
        <v>23.276799999999998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9"/>
        <v>160</v>
      </c>
      <c r="AE73" s="77" t="str">
        <f t="shared" si="10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73" s="74" t="str">
        <f t="shared" si="11"/>
        <v>"C:\Program Files (x86)\AstroGrep\AstroGrep.exe" /e /r /s /spath="%USERPROFILE%\AppData\Local\Temp\OnboardLogs" /stypes="app*4065*20171109*" /stext=" 19:.+((SYSTEM_STATE.+slice.+state.+changed )|(ment ac)|(multiple cpu faults)|(system.+state.+changed )|(\[timeout)|(PRM\|1\|D)|(kpr)|(kdp)|(train st.+moving)|(\|lc)|(penalty))"</v>
      </c>
      <c r="AG73" s="182" t="str">
        <f t="shared" si="12"/>
        <v>EC</v>
      </c>
      <c r="AH73" s="78" t="str">
        <f t="shared" si="18"/>
        <v>"%USERPROFILE%\Documents\GitHub\eaglep3\Utilities\RefineRTDCRunTimes.py" --tripid 160-09 --locoid 4065 --swversion DE.1.0.9.0 --startMP 204:232975 --initTime 2017-11-09T11:53:07 --startdatetime 2017-11-09T11:57:24 --delay 53 --endMP 204:207 --enddatetime 2017-11-09T12:34:57 --enforcementcount 0 &gt;&gt;%USERPROFILE%\Documents\GitHub\eaglep3-reporting\EC\2017-11-09-refined-times.txt</v>
      </c>
      <c r="AI73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{"issue":{"subject":"","project_id":79,"tracker_id":40,"status_id":1,"priority_id":2,"assigned_to_id":338,"start_date":"2017-11-09","description":"","custom_fields":[{"id":1,"name":"Subdivision","value":"EC"},{"id":4,"name":"Milepost","value":"0.0207"},{"id":17,"name":"Train ID","value":"160-09"},{"id":16,"name":"Locomotive ID","value":"4065"},{"id":130,"name":"Impact","value":""},{"id":150,"name":"Time of Event (Mountain Time)","value":"12:34:57"},{"id":151,"name":"Denver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4065 --day 2017-11-09</v>
      </c>
      <c r="AN73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0"/>
        <v>https://d0f6bd738d7f1b3e5a7ca70fe4ff75f0.us-east-1.aws.found.io/app/kibana#/discover/Steve-Slow-Train-Analysis-(2080s-and-2083s)?_g=(refreshInterval:(display:Off,pause:!f,section:0,value:0),time:(from:'2017-11-09T10:53:07-0700',mode:absolute,to:'2017-11-09T13:34:57-0700'))&amp;_a=(columns:!('Message%20ID',Summary),filters:!(),index:'emp_*',interval:auto,query:(query_string:(analyze_wildcard:!t,query:'%22rtdc.l.rtdc.4065%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761</v>
      </c>
      <c r="B74" s="7">
        <v>4020</v>
      </c>
      <c r="C74" s="21" t="s">
        <v>192</v>
      </c>
      <c r="D74" s="21" t="s">
        <v>909</v>
      </c>
      <c r="E74" s="13">
        <v>43048.465104166666</v>
      </c>
      <c r="F74" s="13">
        <v>43048.468912037039</v>
      </c>
      <c r="G74" s="7">
        <v>103</v>
      </c>
      <c r="H74" s="21" t="s">
        <v>529</v>
      </c>
      <c r="I74" s="13">
        <v>43048.493854166663</v>
      </c>
      <c r="J74" s="7">
        <v>0</v>
      </c>
      <c r="K74" s="89" t="str">
        <f t="shared" si="0"/>
        <v>4019/4020</v>
      </c>
      <c r="L74" s="185" t="str">
        <f>VLOOKUP(A74,'Trips&amp;Operators'!$C$1:$G$99911,5,FALSE)</f>
        <v>BRUDER RICHARD</v>
      </c>
      <c r="M74" s="6">
        <f t="shared" si="1"/>
        <v>2.4942129624832887E-2</v>
      </c>
      <c r="N74" s="7">
        <f t="shared" si="28"/>
        <v>35.916666659759358</v>
      </c>
      <c r="O74" s="7"/>
      <c r="P74" s="7"/>
      <c r="Q74" s="22"/>
      <c r="R74" s="174"/>
      <c r="S74" s="221">
        <f t="shared" si="27"/>
        <v>1</v>
      </c>
      <c r="T74" s="174" t="str">
        <f t="shared" si="3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4"/>
        <v>https://d0f6bd738d7f1b3e5a7ca70fe4ff75f0.us-east-1.aws.found.io/app/kibana#/discover/Steve-Slow-Train-Analysis-(2080s-and-2083s)?_g=(refreshInterval:(display:Off,pause:!f,section:0,value:0),time:(from:'2017-11-09T10:09:45-0700',mode:absolute,to:'2017-11-09T12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5.0200000000000002E-2</v>
      </c>
      <c r="Z74" s="204">
        <f t="shared" si="26"/>
        <v>23.321000000000002</v>
      </c>
      <c r="AA74" s="204">
        <f t="shared" si="8"/>
        <v>23.270800000000001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9"/>
        <v>161</v>
      </c>
      <c r="AE74" s="77" t="str">
        <f t="shared" si="10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74" s="74" t="str">
        <f t="shared" si="11"/>
        <v>"C:\Program Files (x86)\AstroGrep\AstroGrep.exe" /e /r /s /spath="%USERPROFILE%\AppData\Local\Temp\OnboardLogs" /stypes="app*4020*20171109*" /stext=" 18:.+((SYSTEM_STATE.+slice.+state.+changed )|(ment ac)|(multiple cpu faults)|(system.+state.+changed )|(\[timeout)|(PRM\|1\|D)|(kpr)|(kdp)|(train st.+moving)|(\|lc)|(penalty))"</v>
      </c>
      <c r="AG74" s="182" t="str">
        <f t="shared" si="12"/>
        <v>EC</v>
      </c>
      <c r="AH74" s="78" t="str">
        <f t="shared" si="18"/>
        <v>"%USERPROFILE%\Documents\GitHub\eaglep3\Utilities\RefineRTDCRunTimes.py" --tripid 161-09 --locoid 4020 --swversion DE.1.0.9.0 --startMP 204:502 --initTime 2017-11-09T11:09:45 --startdatetime 2017-11-09T11:15:14 --delay 103 --endMP 204:233210 --enddatetime 2017-11-09T11:51:09 --enforcementcount 0 &gt;&gt;%USERPROFILE%\Documents\GitHub\eaglep3-reporting\EC\2017-11-09-refined-times.txt</v>
      </c>
      <c r="AI74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{"issue":{"subject":"","project_id":79,"tracker_id":40,"status_id":1,"priority_id":2,"assigned_to_id":338,"start_date":"2017-11-09","description":"","custom_fields":[{"id":1,"name":"Subdivision","value":"EC"},{"id":4,"name":"Milepost","value":"23.321"},{"id":17,"name":"Train ID","value":"161-09"},{"id":16,"name":"Locomotive ID","value":"4020"},{"id":130,"name":"Impact","value":""},{"id":150,"name":"Time of Event (Mountain Time)","value":"11:51:09"},{"id":151,"name":"Denver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4020 --day 2017-11-09</v>
      </c>
      <c r="AN74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0"/>
        <v>https://d0f6bd738d7f1b3e5a7ca70fe4ff75f0.us-east-1.aws.found.io/app/kibana#/discover/Steve-Slow-Train-Analysis-(2080s-and-2083s)?_g=(refreshInterval:(display:Off,pause:!f,section:0,value:0),time:(from:'2017-11-09T10:09:45-0700',mode:absolute,to:'2017-11-09T12:51:09-0700'))&amp;_a=(columns:!('Message%20ID',Summary),filters:!(),index:'emp_*',interval:auto,query:(query_string:(analyze_wildcard:!t,query:'%22rtdc.l.rtdc.4020%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772</v>
      </c>
      <c r="B75" s="7">
        <v>4019</v>
      </c>
      <c r="C75" s="21" t="s">
        <v>192</v>
      </c>
      <c r="D75" s="21" t="s">
        <v>608</v>
      </c>
      <c r="E75" s="13">
        <v>43048.505335648151</v>
      </c>
      <c r="F75" s="13">
        <v>43048.50849537037</v>
      </c>
      <c r="G75" s="7">
        <v>122</v>
      </c>
      <c r="H75" s="21" t="s">
        <v>920</v>
      </c>
      <c r="I75" s="13">
        <v>43048.535509259258</v>
      </c>
      <c r="J75" s="7">
        <v>0</v>
      </c>
      <c r="K75" s="89" t="str">
        <f t="shared" si="0"/>
        <v>4019/4020</v>
      </c>
      <c r="L75" s="185" t="str">
        <f>VLOOKUP(A75,'Trips&amp;Operators'!$C$1:$G$99911,5,FALSE)</f>
        <v>BRUDER RICHARD</v>
      </c>
      <c r="M75" s="6">
        <f t="shared" si="1"/>
        <v>2.7013888888177462E-2</v>
      </c>
      <c r="N75" s="7">
        <f t="shared" si="28"/>
        <v>38.899999998975545</v>
      </c>
      <c r="O75" s="7"/>
      <c r="P75" s="7"/>
      <c r="Q75" s="22"/>
      <c r="R75" s="174"/>
      <c r="S75" s="221">
        <f t="shared" si="27"/>
        <v>1</v>
      </c>
      <c r="T75" s="174" t="str">
        <f t="shared" si="3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4"/>
        <v>https://d0f6bd738d7f1b3e5a7ca70fe4ff75f0.us-east-1.aws.found.io/app/kibana#/discover/Steve-Slow-Train-Analysis-(2080s-and-2083s)?_g=(refreshInterval:(display:Off,pause:!f,section:0,value:0),time:(from:'2017-11-09T11:07:41-0700',mode:absolute,to:'2017-11-09T13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23.290800000000001</v>
      </c>
      <c r="Z75" s="204">
        <f t="shared" si="26"/>
        <v>2.23E-2</v>
      </c>
      <c r="AA75" s="204">
        <f t="shared" si="8"/>
        <v>23.2685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9"/>
        <v>162</v>
      </c>
      <c r="AE75" s="77" t="str">
        <f t="shared" si="10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75" s="74" t="str">
        <f t="shared" si="11"/>
        <v>"C:\Program Files (x86)\AstroGrep\AstroGrep.exe" /e /r /s /spath="%USERPROFILE%\AppData\Local\Temp\OnboardLogs" /stypes="app*4019*20171109*" /stext=" 19:.+((SYSTEM_STATE.+slice.+state.+changed )|(ment ac)|(multiple cpu faults)|(system.+state.+changed )|(\[timeout)|(PRM\|1\|D)|(kpr)|(kdp)|(train st.+moving)|(\|lc)|(penalty))"</v>
      </c>
      <c r="AG75" s="182" t="str">
        <f t="shared" si="12"/>
        <v>EC</v>
      </c>
      <c r="AH75" s="78" t="str">
        <f t="shared" si="18"/>
        <v>"%USERPROFILE%\Documents\GitHub\eaglep3\Utilities\RefineRTDCRunTimes.py" --tripid 162-09 --locoid 4019 --swversion DE.1.0.9.0 --startMP 204:232908 --initTime 2017-11-09T12:07:41 --startdatetime 2017-11-09T12:12:14 --delay 122 --endMP 204:223 --enddatetime 2017-11-09T12:51:08 --enforcementcount 0 &gt;&gt;%USERPROFILE%\Documents\GitHub\eaglep3-reporting\EC\2017-11-09-refined-times.txt</v>
      </c>
      <c r="AI75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{"issue":{"subject":"","project_id":79,"tracker_id":40,"status_id":1,"priority_id":2,"assigned_to_id":338,"start_date":"2017-11-09","description":"","custom_fields":[{"id":1,"name":"Subdivision","value":"EC"},{"id":4,"name":"Milepost","value":"0.0223"},{"id":17,"name":"Train ID","value":"162-09"},{"id":16,"name":"Locomotive ID","value":"4019"},{"id":130,"name":"Impact","value":""},{"id":150,"name":"Time of Event (Mountain Time)","value":"12:51:08"},{"id":151,"name":"Denver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4019 --day 2017-11-09</v>
      </c>
      <c r="AN75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0"/>
        <v>https://d0f6bd738d7f1b3e5a7ca70fe4ff75f0.us-east-1.aws.found.io/app/kibana#/discover/Steve-Slow-Train-Analysis-(2080s-and-2083s)?_g=(refreshInterval:(display:Off,pause:!f,section:0,value:0),time:(from:'2017-11-09T11:07:41-0700',mode:absolute,to:'2017-11-09T13:51:08-0700'))&amp;_a=(columns:!('Message%20ID',Summary),filters:!(),index:'emp_*',interval:auto,query:(query_string:(analyze_wildcard:!t,query:'%22rtdc.l.rtdc.4019%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763</v>
      </c>
      <c r="B76" s="7">
        <v>4024</v>
      </c>
      <c r="C76" s="21" t="s">
        <v>192</v>
      </c>
      <c r="D76" s="21" t="s">
        <v>485</v>
      </c>
      <c r="E76" s="13">
        <v>43048.474247685182</v>
      </c>
      <c r="F76" s="13">
        <v>43048.479409722226</v>
      </c>
      <c r="G76" s="7">
        <v>108</v>
      </c>
      <c r="H76" s="21" t="s">
        <v>606</v>
      </c>
      <c r="I76" s="13">
        <v>43048.503576388888</v>
      </c>
      <c r="J76" s="7">
        <v>0</v>
      </c>
      <c r="K76" s="89" t="str">
        <f t="shared" si="0"/>
        <v>4023/4024</v>
      </c>
      <c r="L76" s="185" t="str">
        <f>VLOOKUP(A76,'Trips&amp;Operators'!$C$1:$G$99911,5,FALSE)</f>
        <v>STEWART MICHAEL</v>
      </c>
      <c r="M76" s="6">
        <f t="shared" si="1"/>
        <v>2.4166666662495118E-2</v>
      </c>
      <c r="N76" s="7">
        <f t="shared" si="28"/>
        <v>34.799999993992969</v>
      </c>
      <c r="O76" s="7"/>
      <c r="P76" s="7"/>
      <c r="Q76" s="22"/>
      <c r="R76" s="174"/>
      <c r="S76" s="221">
        <f t="shared" si="27"/>
        <v>1</v>
      </c>
      <c r="T76" s="174" t="str">
        <f t="shared" si="3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4"/>
        <v>https://d0f6bd738d7f1b3e5a7ca70fe4ff75f0.us-east-1.aws.found.io/app/kibana#/discover/Steve-Slow-Train-Analysis-(2080s-and-2083s)?_g=(refreshInterval:(display:Off,pause:!f,section:0,value:0),time:(from:'2017-11-09T10:22:55-0700',mode:absolute,to:'2017-11-09T13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4.7500000000000001E-2</v>
      </c>
      <c r="Z76" s="204">
        <f t="shared" si="26"/>
        <v>23.321999999999999</v>
      </c>
      <c r="AA76" s="204">
        <f t="shared" si="8"/>
        <v>23.2745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9"/>
        <v>163</v>
      </c>
      <c r="AE76" s="77" t="str">
        <f t="shared" si="1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76" s="74" t="str">
        <f t="shared" si="11"/>
        <v>"C:\Program Files (x86)\AstroGrep\AstroGrep.exe" /e /r /s /spath="%USERPROFILE%\AppData\Local\Temp\OnboardLogs" /stypes="app*4024*20171109*" /stext=" 19:.+((SYSTEM_STATE.+slice.+state.+changed )|(ment ac)|(multiple cpu faults)|(system.+state.+changed )|(\[timeout)|(PRM\|1\|D)|(kpr)|(kdp)|(train st.+moving)|(\|lc)|(penalty))"</v>
      </c>
      <c r="AG76" s="182" t="str">
        <f t="shared" si="12"/>
        <v>EC</v>
      </c>
      <c r="AH76" s="78" t="str">
        <f t="shared" si="18"/>
        <v>"%USERPROFILE%\Documents\GitHub\eaglep3\Utilities\RefineRTDCRunTimes.py" --tripid 163-09 --locoid 4024 --swversion DE.1.0.9.0 --startMP 204:475 --initTime 2017-11-09T11:22:55 --startdatetime 2017-11-09T11:30:21 --delay 108 --endMP 204:233220 --enddatetime 2017-11-09T12:05:09 --enforcementcount 0 &gt;&gt;%USERPROFILE%\Documents\GitHub\eaglep3-reporting\EC\2017-11-09-refined-times.txt</v>
      </c>
      <c r="AI76" s="96" t="str">
        <f t="shared" si="14"/>
        <v>echo {"issue":{"subject":"","project_id":79,"tracker_id":40,"status_id":1,"priority_id":2,"assigned_to_id":338,"start_date":"2017-11-09","description":"","custom_fields":[{"id":1,"name":"Subdivision","value":"EC"},{"id":4,"name":"Milepost","value":"23.322"},{"id":17,"name":"Train ID","value":"163-09"},{"id":16,"name":"Locomotive ID","value":"4024"},{"id":130,"name":"Impact","value":""},{"id":150,"name":"Time of Event (Mountain Time)","value":"12:05:09"},{"id":151,"name":"Denver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4024 --day 2017-11-09</v>
      </c>
      <c r="AN76" s="151" t="str">
        <f t="shared" si="16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0"/>
        <v>https://d0f6bd738d7f1b3e5a7ca70fe4ff75f0.us-east-1.aws.found.io/app/kibana#/discover/Steve-Slow-Train-Analysis-(2080s-and-2083s)?_g=(refreshInterval:(display:Off,pause:!f,section:0,value:0),time:(from:'2017-11-09T10:22:55-0700',mode:absolute,to:'2017-11-09T13:05:09-0700'))&amp;_a=(columns:!('Message%20ID',Summary),filters:!(),index:'emp_*',interval:auto,query:(query_string:(analyze_wildcard:!t,query:'%22rtdc.l.rtdc.4024%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773</v>
      </c>
      <c r="B77" s="7">
        <v>4023</v>
      </c>
      <c r="C77" s="21" t="s">
        <v>192</v>
      </c>
      <c r="D77" s="21" t="s">
        <v>524</v>
      </c>
      <c r="E77" s="13">
        <v>43048.515034722222</v>
      </c>
      <c r="F77" s="13">
        <v>43048.51898148148</v>
      </c>
      <c r="G77" s="7">
        <v>100</v>
      </c>
      <c r="H77" s="21" t="s">
        <v>599</v>
      </c>
      <c r="I77" s="13">
        <v>43048.546875</v>
      </c>
      <c r="J77" s="7">
        <v>0</v>
      </c>
      <c r="K77" s="89" t="str">
        <f t="shared" ref="K77:K140" si="29">IF(ISEVEN(B77),(B77-1)&amp;"/"&amp;B77,B77&amp;"/"&amp;(B77+1))</f>
        <v>4023/4024</v>
      </c>
      <c r="L77" s="185" t="str">
        <f>VLOOKUP(A77,'Trips&amp;Operators'!$C$1:$G$99911,5,FALSE)</f>
        <v>STEWART MICHAEL</v>
      </c>
      <c r="M77" s="6">
        <f t="shared" ref="M77:M140" si="30">I77-F77</f>
        <v>2.789351851970423E-2</v>
      </c>
      <c r="N77" s="7">
        <f t="shared" si="28"/>
        <v>40.166666668374091</v>
      </c>
      <c r="O77" s="7"/>
      <c r="P77" s="7"/>
      <c r="Q77" s="22"/>
      <c r="R77" s="174"/>
      <c r="S77" s="221">
        <f t="shared" si="27"/>
        <v>1</v>
      </c>
      <c r="T77" s="174" t="str">
        <f t="shared" ref="T77:T140" si="31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-09T11:21:39-0700',mode:absolute,to:'2017-11-09T14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7" s="204" t="str">
        <f>IF(AA77&lt;VLOOKUP(AG77,Variables!$AC$3:$AD$8,2,FALSE),"Y","N")</f>
        <v>N</v>
      </c>
      <c r="X77" s="204">
        <f t="shared" si="24"/>
        <v>1</v>
      </c>
      <c r="Y77" s="204">
        <f t="shared" ref="Y77:Y101" si="33">RIGHT(D77,LEN(D77)-4)/10000</f>
        <v>23.290199999999999</v>
      </c>
      <c r="Z77" s="204">
        <f t="shared" ref="Z77:Z101" si="34">RIGHT(H77,LEN(H77)-4)/10000</f>
        <v>2.1999999999999999E-2</v>
      </c>
      <c r="AA77" s="204">
        <f t="shared" ref="AA77:AA140" si="35">ABS(Z77-Y77)</f>
        <v>23.2682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6">VALUE(LEFT(A77,LEN(A77)-3))</f>
        <v>164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/stypes="app*4023*20171109*" /stext=" 20:.+((SYSTEM_STATE.+slice.+state.+changed )|(ment ac)|(multiple cpu faults)|(system.+state.+changed )|(\[timeout)|(PRM\|1\|D)|(kpr)|(kdp)|(train st.+moving)|(\|lc)|(penalty))"</v>
      </c>
      <c r="AG77" s="182" t="str">
        <f t="shared" ref="AG77:AG140" si="39">DetSubdiv(A77)</f>
        <v>EC</v>
      </c>
      <c r="AH77" s="78" t="str">
        <f t="shared" ref="AH77:AH144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164-09 --locoid 4023 --swversion DE.1.0.9.0 --startMP 204:232902 --initTime 2017-11-09T12:21:39 --startdatetime 2017-11-09T12:27:20 --delay 100 --endMP 204:220 --enddatetime 2017-11-09T13:07:30 --enforcementcount 0 &gt;&gt;%USERPROFILE%\Documents\GitHub\eaglep3-reporting\EC\2017-11-09-refined-times.txt</v>
      </c>
      <c r="AI77" s="96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{"issue":{"subject":"","project_id":79,"tracker_id":40,"status_id":1,"priority_id":2,"assigned_to_id":338,"start_date":"2017-11-09","description":"","custom_fields":[{"id":1,"name":"Subdivision","value":"EC"},{"id":4,"name":"Milepost","value":"0.022"},{"id":17,"name":"Train ID","value":"164-09"},{"id":16,"name":"Locomotive ID","value":"4023"},{"id":130,"name":"Impact","value":""},{"id":150,"name":"Time of Event (Mountain Time)","value":"13:07:30"},{"id":151,"name":"Denver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4" si="42">"start /low /b "&amp;dls3logs&amp;" --loco "&amp;B77&amp;" --day "&amp;TEXT(F77,"YYYY-MM-DD")</f>
        <v>start /low /b %USERPROFILE%\Documents\GitHub\eaglep3\Utilities\DownloadLogsFromS3.py --loco 4023 --day 2017-11-09</v>
      </c>
      <c r="AN77" s="151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4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-09T11:21:39-0700',mode:absolute,to:'2017-11-09T14:07:30-0700'))&amp;_a=(columns:!('Message%20ID',Summary),filters:!(),index:'emp_*',interval:auto,query:(query_string:(analyze_wildcard:!t,query:'%22rtdc.l.rtdc.4023%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645</v>
      </c>
      <c r="B78" s="7">
        <v>4026</v>
      </c>
      <c r="C78" s="21" t="s">
        <v>192</v>
      </c>
      <c r="D78" s="21" t="s">
        <v>938</v>
      </c>
      <c r="E78" s="13">
        <v>43048.486388888887</v>
      </c>
      <c r="F78" s="13">
        <v>43048.48978009259</v>
      </c>
      <c r="G78" s="7">
        <v>105</v>
      </c>
      <c r="H78" s="21" t="s">
        <v>913</v>
      </c>
      <c r="I78" s="13">
        <v>43048.514432870368</v>
      </c>
      <c r="J78" s="7">
        <v>0</v>
      </c>
      <c r="K78" s="89" t="str">
        <f t="shared" si="29"/>
        <v>4025/4026</v>
      </c>
      <c r="L78" s="185" t="str">
        <f>VLOOKUP(A78,'Trips&amp;Operators'!$C$1:$G$99911,5,FALSE)</f>
        <v>LEVIN SCOTT</v>
      </c>
      <c r="M78" s="6">
        <f t="shared" si="30"/>
        <v>2.4652777778101154E-2</v>
      </c>
      <c r="N78" s="7">
        <f t="shared" si="28"/>
        <v>35.500000000465661</v>
      </c>
      <c r="O78" s="7"/>
      <c r="P78" s="7"/>
      <c r="Q78" s="22"/>
      <c r="R78" s="174"/>
      <c r="S78" s="221">
        <f t="shared" si="27"/>
        <v>1</v>
      </c>
      <c r="T78" s="174" t="str">
        <f t="shared" si="31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-11-09T10:40:24-0700',mode:absolute,to:'2017-11-09T13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04" t="str">
        <f>IF(AA78&lt;VLOOKUP(AG78,Variables!$AC$3:$AD$8,2,FALSE),"Y","N")</f>
        <v>N</v>
      </c>
      <c r="X78" s="204">
        <f t="shared" si="24"/>
        <v>1</v>
      </c>
      <c r="Y78" s="204">
        <f t="shared" si="33"/>
        <v>4.8899999999999999E-2</v>
      </c>
      <c r="Z78" s="204">
        <f t="shared" si="34"/>
        <v>23.327200000000001</v>
      </c>
      <c r="AA78" s="204">
        <f t="shared" si="35"/>
        <v>23.278300000000002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6"/>
        <v>165</v>
      </c>
      <c r="AE78" s="77" t="str">
        <f t="shared" si="37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78" s="74" t="str">
        <f t="shared" si="38"/>
        <v>"C:\Program Files (x86)\AstroGrep\AstroGrep.exe" /e /r /s /spath="%USERPROFILE%\AppData\Local\Temp\OnboardLogs" /stypes="app*4026*20171109*" /stext=" 19:.+((SYSTEM_STATE.+slice.+state.+changed )|(ment ac)|(multiple cpu faults)|(system.+state.+changed )|(\[timeout)|(PRM\|1\|D)|(kpr)|(kdp)|(train st.+moving)|(\|lc)|(penalty))"</v>
      </c>
      <c r="AG78" s="182" t="str">
        <f t="shared" si="39"/>
        <v>EC</v>
      </c>
      <c r="AH78" s="78" t="str">
        <f t="shared" si="40"/>
        <v>"%USERPROFILE%\Documents\GitHub\eaglep3\Utilities\RefineRTDCRunTimes.py" --tripid 165-09 --locoid 4026 --swversion DE.1.0.9.0 --startMP 204:489 --initTime 2017-11-09T11:40:24 --startdatetime 2017-11-09T11:45:17 --delay 105 --endMP 204:233272 --enddatetime 2017-11-09T12:20:47 --enforcementcount 0 &gt;&gt;%USERPROFILE%\Documents\GitHub\eaglep3-reporting\EC\2017-11-09-refined-times.txt</v>
      </c>
      <c r="AI7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{"issue":{"subject":"","project_id":79,"tracker_id":40,"status_id":1,"priority_id":2,"assigned_to_id":338,"start_date":"2017-11-09","description":"","custom_fields":[{"id":1,"name":"Subdivision","value":"EC"},{"id":4,"name":"Milepost","value":"23.3272"},{"id":17,"name":"Train ID","value":"165-09"},{"id":16,"name":"Locomotive ID","value":"4026"},{"id":130,"name":"Impact","value":""},{"id":150,"name":"Time of Event (Mountain Time)","value":"12:20:47"},{"id":151,"name":"Denver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2"/>
        <v>start /low /b %USERPROFILE%\Documents\GitHub\eaglep3\Utilities\DownloadLogsFromS3.py --loco 4026 --day 2017-11-09</v>
      </c>
      <c r="AN78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4"/>
        <v>https://d0f6bd738d7f1b3e5a7ca70fe4ff75f0.us-east-1.aws.found.io/app/kibana#/discover/Steve-Slow-Train-Analysis-(2080s-and-2083s)?_g=(refreshInterval:(display:Off,pause:!f,section:0,value:0),time:(from:'2017-11-09T10:40:24-0700',mode:absolute,to:'2017-11-09T13:20:47-0700'))&amp;_a=(columns:!('Message%20ID',Summary),filters:!(),index:'emp_*',interval:auto,query:(query_string:(analyze_wildcard:!t,query:'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776</v>
      </c>
      <c r="B79" s="7">
        <v>4025</v>
      </c>
      <c r="C79" s="21" t="s">
        <v>192</v>
      </c>
      <c r="D79" s="21" t="s">
        <v>939</v>
      </c>
      <c r="E79" s="13">
        <v>43048.522152777776</v>
      </c>
      <c r="F79" s="13">
        <v>43048.529560185183</v>
      </c>
      <c r="G79" s="7">
        <v>95</v>
      </c>
      <c r="H79" s="21" t="s">
        <v>518</v>
      </c>
      <c r="I79" s="13">
        <v>43048.555474537039</v>
      </c>
      <c r="J79" s="7">
        <v>0</v>
      </c>
      <c r="K79" s="89" t="str">
        <f t="shared" si="29"/>
        <v>4025/4026</v>
      </c>
      <c r="L79" s="185" t="str">
        <f>VLOOKUP(A79,'Trips&amp;Operators'!$C$1:$G$99911,5,FALSE)</f>
        <v>LEVIN SCOTT</v>
      </c>
      <c r="M79" s="6">
        <f t="shared" si="30"/>
        <v>2.5914351856044959E-2</v>
      </c>
      <c r="N79" s="7">
        <f t="shared" si="28"/>
        <v>37.316666672704741</v>
      </c>
      <c r="O79" s="7"/>
      <c r="P79" s="7"/>
      <c r="Q79" s="22"/>
      <c r="R79" s="174"/>
      <c r="S79" s="221">
        <f t="shared" si="27"/>
        <v>1</v>
      </c>
      <c r="T79" s="174" t="str">
        <f t="shared" si="31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-11-09T11:31:54-0700',mode:absolute,to:'2017-11-09T14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04" t="str">
        <f>IF(AA79&lt;VLOOKUP(AG79,Variables!$AC$3:$AD$8,2,FALSE),"Y","N")</f>
        <v>N</v>
      </c>
      <c r="X79" s="204">
        <f t="shared" si="24"/>
        <v>1</v>
      </c>
      <c r="Y79" s="204">
        <f t="shared" si="33"/>
        <v>23.295999999999999</v>
      </c>
      <c r="Z79" s="204">
        <f t="shared" si="34"/>
        <v>2.3400000000000001E-2</v>
      </c>
      <c r="AA79" s="204">
        <f t="shared" si="35"/>
        <v>23.272600000000001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6"/>
        <v>166</v>
      </c>
      <c r="AE79" s="77" t="str">
        <f t="shared" si="37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79" s="74" t="str">
        <f t="shared" si="38"/>
        <v>"C:\Program Files (x86)\AstroGrep\AstroGrep.exe" /e /r /s /spath="%USERPROFILE%\AppData\Local\Temp\OnboardLogs" /stypes="app*4025*20171109*" /stext=" 20:.+((SYSTEM_STATE.+slice.+state.+changed )|(ment ac)|(multiple cpu faults)|(system.+state.+changed )|(\[timeout)|(PRM\|1\|D)|(kpr)|(kdp)|(train st.+moving)|(\|lc)|(penalty))"</v>
      </c>
      <c r="AG79" s="182" t="str">
        <f t="shared" si="39"/>
        <v>EC</v>
      </c>
      <c r="AH79" s="78" t="str">
        <f t="shared" si="40"/>
        <v>"%USERPROFILE%\Documents\GitHub\eaglep3\Utilities\RefineRTDCRunTimes.py" --tripid 166-09 --locoid 4025 --swversion DE.1.0.9.0 --startMP 204:232960 --initTime 2017-11-09T12:31:54 --startdatetime 2017-11-09T12:42:34 --delay 95 --endMP 204:234 --enddatetime 2017-11-09T13:19:53 --enforcementcount 0 &gt;&gt;%USERPROFILE%\Documents\GitHub\eaglep3-reporting\EC\2017-11-09-refined-times.txt</v>
      </c>
      <c r="AI7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{"issue":{"subject":"","project_id":79,"tracker_id":40,"status_id":1,"priority_id":2,"assigned_to_id":338,"start_date":"2017-11-09","description":"","custom_fields":[{"id":1,"name":"Subdivision","value":"EC"},{"id":4,"name":"Milepost","value":"0.0234"},{"id":17,"name":"Train ID","value":"166-09"},{"id":16,"name":"Locomotive ID","value":"4025"},{"id":130,"name":"Impact","value":""},{"id":150,"name":"Time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4025 --day 2017-11-09</v>
      </c>
      <c r="AN79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4"/>
        <v>https://d0f6bd738d7f1b3e5a7ca70fe4ff75f0.us-east-1.aws.found.io/app/kibana#/discover/Steve-Slow-Train-Analysis-(2080s-and-2083s)?_g=(refreshInterval:(display:Off,pause:!f,section:0,value:0),time:(from:'2017-11-09T11:31:54-0700',mode:absolute,to:'2017-11-09T14:19:53-0700'))&amp;_a=(columns:!('Message%20ID',Summary),filters:!(),index:'emp_*',interval:auto,query:(query_string:(analyze_wildcard:!t,query:'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767</v>
      </c>
      <c r="B80" s="7">
        <v>4008</v>
      </c>
      <c r="C80" s="21" t="s">
        <v>192</v>
      </c>
      <c r="D80" s="21" t="s">
        <v>940</v>
      </c>
      <c r="E80" s="13">
        <v>43048.49658564815</v>
      </c>
      <c r="F80" s="13">
        <v>43048.500162037039</v>
      </c>
      <c r="G80" s="7">
        <v>85</v>
      </c>
      <c r="H80" s="21" t="s">
        <v>512</v>
      </c>
      <c r="I80" s="13">
        <v>43048.526747685188</v>
      </c>
      <c r="J80" s="7">
        <v>0</v>
      </c>
      <c r="K80" s="89" t="str">
        <f t="shared" si="29"/>
        <v>4007/4008</v>
      </c>
      <c r="L80" s="185" t="str">
        <f>VLOOKUP(A80,'Trips&amp;Operators'!$C$1:$G$99911,5,FALSE)</f>
        <v>BERLING GARY</v>
      </c>
      <c r="M80" s="6">
        <f t="shared" si="30"/>
        <v>2.658564814919373E-2</v>
      </c>
      <c r="N80" s="7">
        <f t="shared" si="28"/>
        <v>38.283333334838971</v>
      </c>
      <c r="O80" s="7"/>
      <c r="P80" s="7"/>
      <c r="Q80" s="22"/>
      <c r="R80" s="174"/>
      <c r="S80" s="221">
        <f t="shared" si="27"/>
        <v>1</v>
      </c>
      <c r="T80" s="174" t="str">
        <f t="shared" si="31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-11-09T10:55:05-0700',mode:absolute,to:'2017-11-09T13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204" t="str">
        <f>IF(AA80&lt;VLOOKUP(AG80,Variables!$AC$3:$AD$8,2,FALSE),"Y","N")</f>
        <v>N</v>
      </c>
      <c r="X80" s="204">
        <f t="shared" si="24"/>
        <v>1</v>
      </c>
      <c r="Y80" s="204">
        <f t="shared" si="33"/>
        <v>4.4400000000000002E-2</v>
      </c>
      <c r="Z80" s="204">
        <f t="shared" si="34"/>
        <v>23.325900000000001</v>
      </c>
      <c r="AA80" s="204">
        <f t="shared" si="35"/>
        <v>23.281500000000001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6"/>
        <v>167</v>
      </c>
      <c r="AE80" s="77" t="str">
        <f t="shared" si="37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80" s="74" t="str">
        <f t="shared" si="38"/>
        <v>"C:\Program Files (x86)\AstroGrep\AstroGrep.exe" /e /r /s /spath="%USERPROFILE%\AppData\Local\Temp\OnboardLogs" /stypes="app*4008*20171109*" /stext=" 19:.+((SYSTEM_STATE.+slice.+state.+changed )|(ment ac)|(multiple cpu faults)|(system.+state.+changed )|(\[timeout)|(PRM\|1\|D)|(kpr)|(kdp)|(train st.+moving)|(\|lc)|(penalty))"</v>
      </c>
      <c r="AG80" s="182" t="str">
        <f t="shared" si="39"/>
        <v>EC</v>
      </c>
      <c r="AH80" s="78" t="str">
        <f t="shared" si="40"/>
        <v>"%USERPROFILE%\Documents\GitHub\eaglep3\Utilities\RefineRTDCRunTimes.py" --tripid 167-09 --locoid 4008 --swversion DE.1.0.9.0 --startMP 204:444 --initTime 2017-11-09T11:55:05 --startdatetime 2017-11-09T12:00:14 --delay 85 --endMP 204:233259 --enddatetime 2017-11-09T12:38:31 --enforcementcount 0 &gt;&gt;%USERPROFILE%\Documents\GitHub\eaglep3-reporting\EC\2017-11-09-refined-times.txt</v>
      </c>
      <c r="AI8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{"issue":{"subject":"","project_id":79,"tracker_id":40,"status_id":1,"priority_id":2,"assigned_to_id":338,"start_date":"2017-11-09","description":"","custom_fields":[{"id":1,"name":"Subdivision","value":"EC"},{"id":4,"name":"Milepost","value":"23.3259"},{"id":17,"name":"Train ID","value":"167-09"},{"id":16,"name":"Locomotive ID","value":"4008"},{"id":130,"name":"Impact","value":""},{"id":150,"name":"Time of Event (Mountain Time)","value":"12:38:31"},{"id":151,"name":"Denver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4008 --day 2017-11-09</v>
      </c>
      <c r="AN80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4"/>
        <v>https://d0f6bd738d7f1b3e5a7ca70fe4ff75f0.us-east-1.aws.found.io/app/kibana#/discover/Steve-Slow-Train-Analysis-(2080s-and-2083s)?_g=(refreshInterval:(display:Off,pause:!f,section:0,value:0),time:(from:'2017-11-09T10:55:05-0700',mode:absolute,to:'2017-11-09T13:38:31-0700'))&amp;_a=(columns:!('Message%20ID',Summary),filters:!(),index:'emp_*',interval:auto,query:(query_string:(analyze_wildcard:!t,query:'%22rtdc.l.rtdc.4008%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769</v>
      </c>
      <c r="B81" s="7">
        <v>4006</v>
      </c>
      <c r="C81" s="21" t="s">
        <v>192</v>
      </c>
      <c r="D81" s="21" t="s">
        <v>942</v>
      </c>
      <c r="E81" s="13">
        <v>43048.505914351852</v>
      </c>
      <c r="F81" s="13">
        <v>43048.510625000003</v>
      </c>
      <c r="G81" s="7">
        <v>74</v>
      </c>
      <c r="H81" s="21" t="s">
        <v>943</v>
      </c>
      <c r="I81" s="13">
        <v>43048.535474537035</v>
      </c>
      <c r="J81" s="7">
        <v>0</v>
      </c>
      <c r="K81" s="89" t="str">
        <f t="shared" si="29"/>
        <v>4005/4006</v>
      </c>
      <c r="L81" s="185" t="str">
        <f>VLOOKUP(A81,'Trips&amp;Operators'!$C$1:$G$99911,5,FALSE)</f>
        <v>KILLION DAVID</v>
      </c>
      <c r="M81" s="6">
        <f t="shared" si="30"/>
        <v>2.4849537032423541E-2</v>
      </c>
      <c r="N81" s="7">
        <f t="shared" si="28"/>
        <v>35.783333326689899</v>
      </c>
      <c r="O81" s="7"/>
      <c r="P81" s="7"/>
      <c r="Q81" s="22"/>
      <c r="R81" s="174"/>
      <c r="S81" s="221">
        <f t="shared" si="27"/>
        <v>1</v>
      </c>
      <c r="T81" s="174" t="str">
        <f t="shared" si="31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-11-09T11:08:31-0700',mode:absolute,to:'2017-11-09T13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1" s="204" t="str">
        <f>IF(AA81&lt;VLOOKUP(AG81,Variables!$AC$3:$AD$8,2,FALSE),"Y","N")</f>
        <v>N</v>
      </c>
      <c r="X81" s="204">
        <f t="shared" ref="X81:X82" si="45">VALUE(LEFT(AD81,4))-VALUE(LEFT(AD80,4))</f>
        <v>2</v>
      </c>
      <c r="Y81" s="204">
        <f t="shared" si="33"/>
        <v>4.4200000000000003E-2</v>
      </c>
      <c r="Z81" s="204">
        <f t="shared" si="34"/>
        <v>23.3246</v>
      </c>
      <c r="AA81" s="204">
        <f t="shared" si="35"/>
        <v>23.2804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6"/>
        <v>169</v>
      </c>
      <c r="AE81" s="77" t="str">
        <f t="shared" si="37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81" s="74" t="str">
        <f t="shared" si="38"/>
        <v>"C:\Program Files (x86)\AstroGrep\AstroGrep.exe" /e /r /s /spath="%USERPROFILE%\AppData\Local\Temp\OnboardLogs" /stypes="app*4006*20171109*" /stext=" 19:.+((SYSTEM_STATE.+slice.+state.+changed )|(ment ac)|(multiple cpu faults)|(system.+state.+changed )|(\[timeout)|(PRM\|1\|D)|(kpr)|(kdp)|(train st.+moving)|(\|lc)|(penalty))"</v>
      </c>
      <c r="AG81" s="182" t="str">
        <f t="shared" si="39"/>
        <v>EC</v>
      </c>
      <c r="AH81" s="78" t="str">
        <f t="shared" si="40"/>
        <v>"%USERPROFILE%\Documents\GitHub\eaglep3\Utilities\RefineRTDCRunTimes.py" --tripid 169-09 --locoid 4006 --swversion DE.1.0.9.0 --startMP 204:442 --initTime 2017-11-09T12:08:31 --startdatetime 2017-11-09T12:15:18 --delay 74 --endMP 204:233246 --enddatetime 2017-11-09T12:51:05 --enforcementcount 0 &gt;&gt;%USERPROFILE%\Documents\GitHub\eaglep3-reporting\EC\2017-11-09-refined-times.txt</v>
      </c>
      <c r="AI81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{"issue":{"subject":"","project_id":79,"tracker_id":40,"status_id":1,"priority_id":2,"assigned_to_id":338,"start_date":"2017-11-09","description":"","custom_fields":[{"id":1,"name":"Subdivision","value":"EC"},{"id":4,"name":"Milepost","value":"23.3246"},{"id":17,"name":"Train ID","value":"169-09"},{"id":16,"name":"Locomotive ID","value":"4006"},{"id":130,"name":"Impact","value":""},{"id":150,"name":"Time of Event (Mountain Time)","value":"12:51:05"},{"id":151,"name":"Denver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4006 --day 2017-11-09</v>
      </c>
      <c r="AN81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4"/>
        <v>https://d0f6bd738d7f1b3e5a7ca70fe4ff75f0.us-east-1.aws.found.io/app/kibana#/discover/Steve-Slow-Train-Analysis-(2080s-and-2083s)?_g=(refreshInterval:(display:Off,pause:!f,section:0,value:0),time:(from:'2017-11-09T11:08:31-0700',mode:absolute,to:'2017-11-09T13:51:05-0700'))&amp;_a=(columns:!('Message%20ID',Summary),filters:!(),index:'emp_*',interval:auto,query:(query_string:(analyze_wildcard:!t,query:'%22rtdc.l.rtdc.4006%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779</v>
      </c>
      <c r="B82" s="7">
        <v>4005</v>
      </c>
      <c r="C82" s="21" t="s">
        <v>192</v>
      </c>
      <c r="D82" s="21" t="s">
        <v>927</v>
      </c>
      <c r="E82" s="13">
        <v>43048.540277777778</v>
      </c>
      <c r="F82" s="13">
        <v>43048.550196759257</v>
      </c>
      <c r="G82" s="7">
        <v>74</v>
      </c>
      <c r="H82" s="21" t="s">
        <v>595</v>
      </c>
      <c r="I82" s="13">
        <v>43048.57707175926</v>
      </c>
      <c r="J82" s="7">
        <v>0</v>
      </c>
      <c r="K82" s="89" t="str">
        <f t="shared" si="29"/>
        <v>4005/4006</v>
      </c>
      <c r="L82" s="185" t="str">
        <f>VLOOKUP(A82,'Trips&amp;Operators'!$C$1:$G$99911,5,FALSE)</f>
        <v>KILLION DAVID</v>
      </c>
      <c r="M82" s="6">
        <f t="shared" si="30"/>
        <v>2.6875000003201421E-2</v>
      </c>
      <c r="N82" s="7">
        <f t="shared" si="28"/>
        <v>38.700000004610047</v>
      </c>
      <c r="O82" s="7"/>
      <c r="P82" s="7"/>
      <c r="Q82" s="22"/>
      <c r="R82" s="174"/>
      <c r="S82" s="221">
        <f t="shared" si="27"/>
        <v>1</v>
      </c>
      <c r="T82" s="174" t="str">
        <f t="shared" si="31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-11-09T11:58:00-0700',mode:absolute,to:'2017-11-09T14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2" s="204" t="str">
        <f>IF(AA82&lt;VLOOKUP(AG82,Variables!$AC$3:$AD$8,2,FALSE),"Y","N")</f>
        <v>N</v>
      </c>
      <c r="X82" s="204">
        <f t="shared" si="45"/>
        <v>1</v>
      </c>
      <c r="Y82" s="204">
        <f t="shared" si="33"/>
        <v>23.294899999999998</v>
      </c>
      <c r="Z82" s="204">
        <f t="shared" si="34"/>
        <v>1.4999999999999999E-2</v>
      </c>
      <c r="AA82" s="204">
        <f t="shared" si="35"/>
        <v>23.279899999999998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6"/>
        <v>170</v>
      </c>
      <c r="AE82" s="77" t="str">
        <f t="shared" si="37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82" s="74" t="str">
        <f t="shared" si="38"/>
        <v>"C:\Program Files (x86)\AstroGrep\AstroGrep.exe" /e /r /s /spath="%USERPROFILE%\AppData\Local\Temp\OnboardLogs" /stypes="app*4005*20171109*" /stext=" 20:.+((SYSTEM_STATE.+slice.+state.+changed )|(ment ac)|(multiple cpu faults)|(system.+state.+changed )|(\[timeout)|(PRM\|1\|D)|(kpr)|(kdp)|(train st.+moving)|(\|lc)|(penalty))"</v>
      </c>
      <c r="AG82" s="182" t="str">
        <f t="shared" si="39"/>
        <v>EC</v>
      </c>
      <c r="AH82" s="78" t="str">
        <f t="shared" si="40"/>
        <v>"%USERPROFILE%\Documents\GitHub\eaglep3\Utilities\RefineRTDCRunTimes.py" --tripid 170-09 --locoid 4005 --swversion DE.1.0.9.0 --startMP 204:232949 --initTime 2017-11-09T12:58:00 --startdatetime 2017-11-09T13:12:17 --delay 74 --endMP 204:150 --enddatetime 2017-11-09T13:50:59 --enforcementcount 0 &gt;&gt;%USERPROFILE%\Documents\GitHub\eaglep3-reporting\EC\2017-11-09-refined-times.txt</v>
      </c>
      <c r="AI8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{"issue":{"subject":"","project_id":79,"tracker_id":40,"status_id":1,"priority_id":2,"assigned_to_id":338,"start_date":"2017-11-09","description":"","custom_fields":[{"id":1,"name":"Subdivision","value":"EC"},{"id":4,"name":"Milepost","value":"0.015"},{"id":17,"name":"Train ID","value":"170-09"},{"id":16,"name":"Locomotive ID","value":"4005"},{"id":130,"name":"Impact","value":""},{"id":150,"name":"Time of Event (Mountain Time)","value":"13:50:59"},{"id":151,"name":"Denver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4005 --day 2017-11-09</v>
      </c>
      <c r="AN82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4"/>
        <v>https://d0f6bd738d7f1b3e5a7ca70fe4ff75f0.us-east-1.aws.found.io/app/kibana#/discover/Steve-Slow-Train-Analysis-(2080s-and-2083s)?_g=(refreshInterval:(display:Off,pause:!f,section:0,value:0),time:(from:'2017-11-09T11:58:00-0700',mode:absolute,to:'2017-11-09T14:50:59-0700'))&amp;_a=(columns:!('Message%20ID',Summary),filters:!(),index:'emp_*',interval:auto,query:(query_string:(analyze_wildcard:!t,query:'%22rtdc.l.rtdc.4005%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774</v>
      </c>
      <c r="B83" s="7">
        <v>4022</v>
      </c>
      <c r="C83" s="21" t="s">
        <v>192</v>
      </c>
      <c r="D83" s="21" t="s">
        <v>944</v>
      </c>
      <c r="E83" s="13">
        <v>43048.516574074078</v>
      </c>
      <c r="F83" s="13">
        <v>43048.520995370367</v>
      </c>
      <c r="G83" s="7">
        <v>71</v>
      </c>
      <c r="H83" s="21" t="s">
        <v>619</v>
      </c>
      <c r="I83" s="13">
        <v>43048.549745370372</v>
      </c>
      <c r="J83" s="7">
        <v>0</v>
      </c>
      <c r="K83" s="89" t="str">
        <f t="shared" si="29"/>
        <v>4021/4022</v>
      </c>
      <c r="L83" s="185" t="str">
        <f>VLOOKUP(A83,'Trips&amp;Operators'!$C$1:$G$99911,5,FALSE)</f>
        <v>BADERTSCHER DIANE</v>
      </c>
      <c r="M83" s="6">
        <f t="shared" si="30"/>
        <v>2.8750000004947651E-2</v>
      </c>
      <c r="N83" s="7">
        <f t="shared" si="28"/>
        <v>41.400000007124618</v>
      </c>
      <c r="O83" s="7"/>
      <c r="P83" s="7"/>
      <c r="Q83" s="22"/>
      <c r="R83" s="174"/>
      <c r="S83" s="221">
        <f t="shared" si="27"/>
        <v>1</v>
      </c>
      <c r="T83" s="174" t="str">
        <f t="shared" si="31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-11-09T11:23:52-0700',mode:absolute,to:'2017-11-09T14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204" t="str">
        <f>IF(AA83&lt;VLOOKUP(AG83,Variables!$AC$3:$AD$8,2,FALSE),"Y","N")</f>
        <v>N</v>
      </c>
      <c r="X83" s="204">
        <f t="shared" ref="X83:X88" si="46">VALUE(LEFT(AD83,4))-VALUE(LEFT(AD82,4))</f>
        <v>1</v>
      </c>
      <c r="Y83" s="204">
        <f t="shared" si="33"/>
        <v>5.57E-2</v>
      </c>
      <c r="Z83" s="204">
        <f t="shared" si="34"/>
        <v>23.291699999999999</v>
      </c>
      <c r="AA83" s="204">
        <f t="shared" si="35"/>
        <v>23.235999999999997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6"/>
        <v>171</v>
      </c>
      <c r="AE83" s="77" t="str">
        <f t="shared" si="37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83" s="74" t="str">
        <f t="shared" si="38"/>
        <v>"C:\Program Files (x86)\AstroGrep\AstroGrep.exe" /e /r /s /spath="%USERPROFILE%\AppData\Local\Temp\OnboardLogs" /stypes="app*4022*20171109*" /stext=" 20:.+((SYSTEM_STATE.+slice.+state.+changed )|(ment ac)|(multiple cpu faults)|(system.+state.+changed )|(\[timeout)|(PRM\|1\|D)|(kpr)|(kdp)|(train st.+moving)|(\|lc)|(penalty))"</v>
      </c>
      <c r="AG83" s="182" t="str">
        <f t="shared" si="39"/>
        <v>EC</v>
      </c>
      <c r="AH83" s="78" t="str">
        <f t="shared" si="40"/>
        <v>"%USERPROFILE%\Documents\GitHub\eaglep3\Utilities\RefineRTDCRunTimes.py" --tripid 171-09 --locoid 4022 --swversion DE.1.0.9.0 --startMP 204:557 --initTime 2017-11-09T12:23:52 --startdatetime 2017-11-09T12:30:14 --delay 71 --endMP 204:232917 --enddatetime 2017-11-09T13:11:38 --enforcementcount 0 &gt;&gt;%USERPROFILE%\Documents\GitHub\eaglep3-reporting\EC\2017-11-09-refined-times.txt</v>
      </c>
      <c r="AI8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{"issue":{"subject":"","project_id":79,"tracker_id":40,"status_id":1,"priority_id":2,"assigned_to_id":338,"start_date":"2017-11-09","description":"","custom_fields":[{"id":1,"name":"Subdivision","value":"EC"},{"id":4,"name":"Milepost","value":"23.2917"},{"id":17,"name":"Train ID","value":"171-09"},{"id":16,"name":"Locomotive ID","value":"4022"},{"id":130,"name":"Impact","value":""},{"id":150,"name":"Time of Event (Mountain Time)","value":"13:11:38"},{"id":151,"name":"Denver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4022 --day 2017-11-09</v>
      </c>
      <c r="AN83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20:11:38"},{"id":29,"name":"Sharepoint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4"/>
        <v>https://d0f6bd738d7f1b3e5a7ca70fe4ff75f0.us-east-1.aws.found.io/app/kibana#/discover/Steve-Slow-Train-Analysis-(2080s-and-2083s)?_g=(refreshInterval:(display:Off,pause:!f,section:0,value:0),time:(from:'2017-11-09T11:23:52-0700',mode:absolute,to:'2017-11-09T14:11:38-0700'))&amp;_a=(columns:!('Message%20ID',Summary),filters:!(),index:'emp_*',interval:auto,query:(query_string:(analyze_wildcard:!t,query:'%22rtdc.l.rtdc.4022%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649</v>
      </c>
      <c r="B84" s="7">
        <v>4021</v>
      </c>
      <c r="C84" s="21" t="s">
        <v>192</v>
      </c>
      <c r="D84" s="21" t="s">
        <v>945</v>
      </c>
      <c r="E84" s="13">
        <v>43048.554814814815</v>
      </c>
      <c r="F84" s="13">
        <v>43048.560740740744</v>
      </c>
      <c r="G84" s="7">
        <v>69</v>
      </c>
      <c r="H84" s="21" t="s">
        <v>607</v>
      </c>
      <c r="I84" s="13">
        <v>43048.588854166665</v>
      </c>
      <c r="J84" s="7">
        <v>0</v>
      </c>
      <c r="K84" s="89" t="str">
        <f t="shared" si="29"/>
        <v>4021/4022</v>
      </c>
      <c r="L84" s="185" t="str">
        <f>VLOOKUP(A84,'Trips&amp;Operators'!$C$1:$G$99911,5,FALSE)</f>
        <v>BADERTSCHER DIANE</v>
      </c>
      <c r="M84" s="6">
        <f t="shared" si="30"/>
        <v>2.8113425920309965E-2</v>
      </c>
      <c r="N84" s="7">
        <f t="shared" si="28"/>
        <v>40.483333325246349</v>
      </c>
      <c r="O84" s="7"/>
      <c r="P84" s="7"/>
      <c r="Q84" s="22"/>
      <c r="R84" s="174"/>
      <c r="S84" s="221">
        <f t="shared" si="27"/>
        <v>1</v>
      </c>
      <c r="T84" s="174" t="str">
        <f t="shared" si="31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-11-09T12:18:56-0700',mode:absolute,to:'2017-11-09T15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204" t="str">
        <f>IF(AA84&lt;VLOOKUP(AG84,Variables!$AC$3:$AD$8,2,FALSE),"Y","N")</f>
        <v>N</v>
      </c>
      <c r="X84" s="204">
        <f t="shared" si="46"/>
        <v>1</v>
      </c>
      <c r="Y84" s="204">
        <f t="shared" si="33"/>
        <v>23.2591</v>
      </c>
      <c r="Z84" s="204">
        <f t="shared" si="34"/>
        <v>2.69E-2</v>
      </c>
      <c r="AA84" s="204">
        <f t="shared" si="35"/>
        <v>23.232199999999999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 t="shared" si="36"/>
        <v>172</v>
      </c>
      <c r="AE84" s="77" t="str">
        <f t="shared" si="37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84" s="74" t="str">
        <f t="shared" si="38"/>
        <v>"C:\Program Files (x86)\AstroGrep\AstroGrep.exe" /e /r /s /spath="%USERPROFILE%\AppData\Local\Temp\OnboardLogs" /stypes="app*4021*20171109*" /stext=" 21:.+((SYSTEM_STATE.+slice.+state.+changed )|(ment ac)|(multiple cpu faults)|(system.+state.+changed )|(\[timeout)|(PRM\|1\|D)|(kpr)|(kdp)|(train st.+moving)|(\|lc)|(penalty))"</v>
      </c>
      <c r="AG84" s="182" t="str">
        <f t="shared" si="39"/>
        <v>EC</v>
      </c>
      <c r="AH84" s="78" t="str">
        <f t="shared" si="40"/>
        <v>"%USERPROFILE%\Documents\GitHub\eaglep3\Utilities\RefineRTDCRunTimes.py" --tripid 172-09 --locoid 4021 --swversion DE.1.0.9.0 --startMP 204:232591 --initTime 2017-11-09T13:18:56 --startdatetime 2017-11-09T13:27:28 --delay 69 --endMP 204:269 --enddatetime 2017-11-09T14:07:57 --enforcementcount 0 &gt;&gt;%USERPROFILE%\Documents\GitHub\eaglep3-reporting\EC\2017-11-09-refined-times.txt</v>
      </c>
      <c r="AI8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{"issue":{"subject":"","project_id":79,"tracker_id":40,"status_id":1,"priority_id":2,"assigned_to_id":338,"start_date":"2017-11-09","description":"","custom_fields":[{"id":1,"name":"Subdivision","value":"EC"},{"id":4,"name":"Milepost","value":"0.0269"},{"id":17,"name":"Train ID","value":"172-09"},{"id":16,"name":"Locomotive ID","value":"4021"},{"id":130,"name":"Impact","value":""},{"id":150,"name":"Time of Event (Mountain Time)","value":"14:07:57"},{"id":151,"name":"Denver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4021 --day 2017-11-09</v>
      </c>
      <c r="AN84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4"/>
        <v>https://d0f6bd738d7f1b3e5a7ca70fe4ff75f0.us-east-1.aws.found.io/app/kibana#/discover/Steve-Slow-Train-Analysis-(2080s-and-2083s)?_g=(refreshInterval:(display:Off,pause:!f,section:0,value:0),time:(from:'2017-11-09T12:18:56-0700',mode:absolute,to:'2017-11-09T15:07:57-0700'))&amp;_a=(columns:!('Message%20ID',Summary),filters:!(),index:'emp_*',interval:auto,query:(query_string:(analyze_wildcard:!t,query:'%22rtdc.l.rtdc.4021%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647</v>
      </c>
      <c r="B85" s="7">
        <v>4066</v>
      </c>
      <c r="C85" s="21" t="s">
        <v>192</v>
      </c>
      <c r="D85" s="21" t="s">
        <v>470</v>
      </c>
      <c r="E85" s="13">
        <v>43048.527870370373</v>
      </c>
      <c r="F85" s="13">
        <v>43048.531458333331</v>
      </c>
      <c r="G85" s="7">
        <v>118</v>
      </c>
      <c r="H85" s="21" t="s">
        <v>946</v>
      </c>
      <c r="I85" s="13">
        <v>43048.558182870373</v>
      </c>
      <c r="J85" s="7">
        <v>0</v>
      </c>
      <c r="K85" s="89" t="str">
        <f t="shared" si="29"/>
        <v>4065/4066</v>
      </c>
      <c r="L85" s="185" t="str">
        <f>VLOOKUP(A85,'Trips&amp;Operators'!$C$1:$G$99911,5,FALSE)</f>
        <v>ANDREA WILLIAMS</v>
      </c>
      <c r="M85" s="6">
        <f t="shared" si="30"/>
        <v>2.6724537041445728E-2</v>
      </c>
      <c r="N85" s="7">
        <f t="shared" si="28"/>
        <v>38.483333339681849</v>
      </c>
      <c r="O85" s="7"/>
      <c r="P85" s="7"/>
      <c r="Q85" s="22"/>
      <c r="R85" s="174"/>
      <c r="S85" s="221">
        <f t="shared" si="27"/>
        <v>1</v>
      </c>
      <c r="T85" s="174" t="str">
        <f t="shared" si="31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-11-09T11:40:08-0700',mode:absolute,to:'2017-11-09T14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204" t="str">
        <f>IF(AA85&lt;VLOOKUP(AG85,Variables!$AC$3:$AD$8,2,FALSE),"Y","N")</f>
        <v>N</v>
      </c>
      <c r="X85" s="204">
        <f t="shared" si="46"/>
        <v>1</v>
      </c>
      <c r="Y85" s="204">
        <f t="shared" si="33"/>
        <v>4.9500000000000002E-2</v>
      </c>
      <c r="Z85" s="204">
        <f t="shared" si="34"/>
        <v>23.311299999999999</v>
      </c>
      <c r="AA85" s="204">
        <f t="shared" si="35"/>
        <v>23.261800000000001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36"/>
        <v>173</v>
      </c>
      <c r="AE85" s="77" t="str">
        <f t="shared" si="37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85" s="74" t="str">
        <f t="shared" si="38"/>
        <v>"C:\Program Files (x86)\AstroGrep\AstroGrep.exe" /e /r /s /spath="%USERPROFILE%\AppData\Local\Temp\OnboardLogs" /stypes="app*4066*20171109*" /stext=" 20:.+((SYSTEM_STATE.+slice.+state.+changed )|(ment ac)|(multiple cpu faults)|(system.+state.+changed )|(\[timeout)|(PRM\|1\|D)|(kpr)|(kdp)|(train st.+moving)|(\|lc)|(penalty))"</v>
      </c>
      <c r="AG85" s="182" t="str">
        <f t="shared" si="39"/>
        <v>EC</v>
      </c>
      <c r="AH85" s="78" t="str">
        <f t="shared" si="40"/>
        <v>"%USERPROFILE%\Documents\GitHub\eaglep3\Utilities\RefineRTDCRunTimes.py" --tripid 173-09 --locoid 4066 --swversion DE.1.0.9.0 --startMP 204:495 --initTime 2017-11-09T12:40:08 --startdatetime 2017-11-09T12:45:18 --delay 118 --endMP 204:233113 --enddatetime 2017-11-09T13:23:47 --enforcementcount 0 &gt;&gt;%USERPROFILE%\Documents\GitHub\eaglep3-reporting\EC\2017-11-09-refined-times.txt</v>
      </c>
      <c r="AI8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{"issue":{"subject":"","project_id":79,"tracker_id":40,"status_id":1,"priority_id":2,"assigned_to_id":338,"start_date":"2017-11-09","description":"","custom_fields":[{"id":1,"name":"Subdivision","value":"EC"},{"id":4,"name":"Milepost","value":"23.3113"},{"id":17,"name":"Train ID","value":"173-09"},{"id":16,"name":"Locomotive ID","value":"4066"},{"id":130,"name":"Impact","value":""},{"id":150,"name":"Time of Event (Mountain Time)","value":"13:23:47"},{"id":151,"name":"Denver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4066 --day 2017-11-09</v>
      </c>
      <c r="AN85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4"/>
        <v>https://d0f6bd738d7f1b3e5a7ca70fe4ff75f0.us-east-1.aws.found.io/app/kibana#/discover/Steve-Slow-Train-Analysis-(2080s-and-2083s)?_g=(refreshInterval:(display:Off,pause:!f,section:0,value:0),time:(from:'2017-11-09T11:40:08-0700',mode:absolute,to:'2017-11-09T14:23:47-0700'))&amp;_a=(columns:!('Message%20ID',Summary),filters:!(),index:'emp_*',interval:auto,query:(query_string:(analyze_wildcard:!t,query:'%22rtdc.l.rtdc.4066%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786</v>
      </c>
      <c r="B86" s="7">
        <v>4065</v>
      </c>
      <c r="C86" s="21" t="s">
        <v>192</v>
      </c>
      <c r="D86" s="21" t="s">
        <v>947</v>
      </c>
      <c r="E86" s="13">
        <v>43048.565937500003</v>
      </c>
      <c r="F86" s="13">
        <v>43048.571192129632</v>
      </c>
      <c r="G86" s="7">
        <v>94</v>
      </c>
      <c r="H86" s="21" t="s">
        <v>948</v>
      </c>
      <c r="I86" s="13">
        <v>43048.598275462966</v>
      </c>
      <c r="J86" s="7">
        <v>0</v>
      </c>
      <c r="K86" s="89" t="str">
        <f t="shared" si="29"/>
        <v>4065/4066</v>
      </c>
      <c r="L86" s="185" t="str">
        <f>VLOOKUP(A86,'Trips&amp;Operators'!$C$1:$G$99911,5,FALSE)</f>
        <v>ANDREA WILLIAMS</v>
      </c>
      <c r="M86" s="6">
        <f t="shared" si="30"/>
        <v>2.7083333334303461E-2</v>
      </c>
      <c r="N86" s="7">
        <f t="shared" si="28"/>
        <v>39.000000001396984</v>
      </c>
      <c r="O86" s="7"/>
      <c r="P86" s="7"/>
      <c r="Q86" s="22"/>
      <c r="R86" s="174"/>
      <c r="S86" s="221">
        <f t="shared" si="27"/>
        <v>1</v>
      </c>
      <c r="T86" s="174" t="str">
        <f t="shared" si="31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-11-09T12:34:57-0700',mode:absolute,to:'2017-11-09T15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204" t="str">
        <f>IF(AA86&lt;VLOOKUP(AG86,Variables!$AC$3:$AD$8,2,FALSE),"Y","N")</f>
        <v>N</v>
      </c>
      <c r="X86" s="204">
        <f t="shared" si="46"/>
        <v>1</v>
      </c>
      <c r="Y86" s="204">
        <f t="shared" si="33"/>
        <v>23.279</v>
      </c>
      <c r="Z86" s="204">
        <f t="shared" si="34"/>
        <v>2.8199999999999999E-2</v>
      </c>
      <c r="AA86" s="204">
        <f t="shared" si="35"/>
        <v>23.250800000000002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6"/>
        <v>174</v>
      </c>
      <c r="AE86" s="77" t="str">
        <f t="shared" si="37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86" s="74" t="str">
        <f t="shared" si="38"/>
        <v>"C:\Program Files (x86)\AstroGrep\AstroGrep.exe" /e /r /s /spath="%USERPROFILE%\AppData\Local\Temp\OnboardLogs" /stypes="app*4065*20171109*" /stext=" 21:.+((SYSTEM_STATE.+slice.+state.+changed )|(ment ac)|(multiple cpu faults)|(system.+state.+changed )|(\[timeout)|(PRM\|1\|D)|(kpr)|(kdp)|(train st.+moving)|(\|lc)|(penalty))"</v>
      </c>
      <c r="AG86" s="182" t="str">
        <f t="shared" si="39"/>
        <v>EC</v>
      </c>
      <c r="AH86" s="78" t="str">
        <f t="shared" si="40"/>
        <v>"%USERPROFILE%\Documents\GitHub\eaglep3\Utilities\RefineRTDCRunTimes.py" --tripid 174-09 --locoid 4065 --swversion DE.1.0.9.0 --startMP 204:232790 --initTime 2017-11-09T13:34:57 --startdatetime 2017-11-09T13:42:31 --delay 94 --endMP 204:282 --enddatetime 2017-11-09T14:21:31 --enforcementcount 0 &gt;&gt;%USERPROFILE%\Documents\GitHub\eaglep3-reporting\EC\2017-11-09-refined-times.txt</v>
      </c>
      <c r="AI86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{"issue":{"subject":"","project_id":79,"tracker_id":40,"status_id":1,"priority_id":2,"assigned_to_id":338,"start_date":"2017-11-09","description":"","custom_fields":[{"id":1,"name":"Subdivision","value":"EC"},{"id":4,"name":"Milepost","value":"0.0282"},{"id":17,"name":"Train ID","value":"174-09"},{"id":16,"name":"Locomotive ID","value":"4065"},{"id":130,"name":"Impact","value":""},{"id":150,"name":"Time of Event (Mountain Time)","value":"14:21:31"},{"id":151,"name":"Denver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4065 --day 2017-11-09</v>
      </c>
      <c r="AN86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4"/>
        <v>https://d0f6bd738d7f1b3e5a7ca70fe4ff75f0.us-east-1.aws.found.io/app/kibana#/discover/Steve-Slow-Train-Analysis-(2080s-and-2083s)?_g=(refreshInterval:(display:Off,pause:!f,section:0,value:0),time:(from:'2017-11-09T12:34:57-0700',mode:absolute,to:'2017-11-09T15:21:31-0700'))&amp;_a=(columns:!('Message%20ID',Summary),filters:!(),index:'emp_*',interval:auto,query:(query_string:(analyze_wildcard:!t,query:'%22rtdc.l.rtdc.4065%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778</v>
      </c>
      <c r="B87" s="7">
        <v>4020</v>
      </c>
      <c r="C87" s="21" t="s">
        <v>192</v>
      </c>
      <c r="D87" s="21" t="s">
        <v>609</v>
      </c>
      <c r="E87" s="13">
        <v>43048.537708333337</v>
      </c>
      <c r="F87" s="13">
        <v>43048.541921296295</v>
      </c>
      <c r="G87" s="7">
        <v>62</v>
      </c>
      <c r="H87" s="21" t="s">
        <v>914</v>
      </c>
      <c r="I87" s="13">
        <v>43048.568113425928</v>
      </c>
      <c r="J87" s="7">
        <v>0</v>
      </c>
      <c r="K87" s="89" t="str">
        <f t="shared" si="29"/>
        <v>4019/4020</v>
      </c>
      <c r="L87" s="185" t="str">
        <f>VLOOKUP(A87,'Trips&amp;Operators'!$C$1:$G$99911,5,FALSE)</f>
        <v>BRUDER RICHARD</v>
      </c>
      <c r="M87" s="6">
        <f t="shared" si="30"/>
        <v>2.6192129633272998E-2</v>
      </c>
      <c r="N87" s="7">
        <f t="shared" si="28"/>
        <v>37.716666671913117</v>
      </c>
      <c r="O87" s="7"/>
      <c r="P87" s="7"/>
      <c r="Q87" s="22"/>
      <c r="R87" s="174"/>
      <c r="S87" s="221">
        <f t="shared" si="27"/>
        <v>1</v>
      </c>
      <c r="T87" s="174" t="str">
        <f t="shared" si="31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-11-09T11:54:18-0700',mode:absolute,to:'2017-11-09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04" t="str">
        <f>IF(AA87&lt;VLOOKUP(AG87,Variables!$AC$3:$AD$8,2,FALSE),"Y","N")</f>
        <v>N</v>
      </c>
      <c r="X87" s="204">
        <f t="shared" si="46"/>
        <v>1</v>
      </c>
      <c r="Y87" s="204">
        <f t="shared" si="33"/>
        <v>5.2400000000000002E-2</v>
      </c>
      <c r="Z87" s="204">
        <f t="shared" si="34"/>
        <v>23.294799999999999</v>
      </c>
      <c r="AA87" s="204">
        <f t="shared" si="35"/>
        <v>23.2424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6"/>
        <v>175</v>
      </c>
      <c r="AE87" s="77" t="str">
        <f t="shared" si="37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87" s="74" t="str">
        <f t="shared" si="38"/>
        <v>"C:\Program Files (x86)\AstroGrep\AstroGrep.exe" /e /r /s /spath="%USERPROFILE%\AppData\Local\Temp\OnboardLogs" /stypes="app*4020*20171109*" /stext=" 20:.+((SYSTEM_STATE.+slice.+state.+changed )|(ment ac)|(multiple cpu faults)|(system.+state.+changed )|(\[timeout)|(PRM\|1\|D)|(kpr)|(kdp)|(train st.+moving)|(\|lc)|(penalty))"</v>
      </c>
      <c r="AG87" s="182" t="str">
        <f t="shared" si="39"/>
        <v>EC</v>
      </c>
      <c r="AH87" s="78" t="str">
        <f t="shared" si="40"/>
        <v>"%USERPROFILE%\Documents\GitHub\eaglep3\Utilities\RefineRTDCRunTimes.py" --tripid 175-09 --locoid 4020 --swversion DE.1.0.9.0 --startMP 204:524 --initTime 2017-11-09T12:54:18 --startdatetime 2017-11-09T13:00:22 --delay 62 --endMP 204:232948 --enddatetime 2017-11-09T13:38:05 --enforcementcount 0 &gt;&gt;%USERPROFILE%\Documents\GitHub\eaglep3-reporting\EC\2017-11-09-refined-times.txt</v>
      </c>
      <c r="AI8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{"issue":{"subject":"","project_id":79,"tracker_id":40,"status_id":1,"priority_id":2,"assigned_to_id":338,"start_date":"2017-11-09","description":"","custom_fields":[{"id":1,"name":"Subdivision","value":"EC"},{"id":4,"name":"Milepost","value":"23.2948"},{"id":17,"name":"Train ID","value":"175-09"},{"id":16,"name":"Locomotive ID","value":"4020"},{"id":130,"name":"Impact","value":""},{"id":150,"name":"Time of Event (Mountain Time)","value":"13:38:05"},{"id":151,"name":"Denver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4020 --day 2017-11-09</v>
      </c>
      <c r="AN87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4"/>
        <v>https://d0f6bd738d7f1b3e5a7ca70fe4ff75f0.us-east-1.aws.found.io/app/kibana#/discover/Steve-Slow-Train-Analysis-(2080s-and-2083s)?_g=(refreshInterval:(display:Off,pause:!f,section:0,value:0),time:(from:'2017-11-09T11:54:18-0700',mode:absolute,to:'2017-11-09T14:38:05-0700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653</v>
      </c>
      <c r="B88" s="7">
        <v>4019</v>
      </c>
      <c r="C88" s="21" t="s">
        <v>192</v>
      </c>
      <c r="D88" s="21" t="s">
        <v>949</v>
      </c>
      <c r="E88" s="13">
        <v>43048.578043981484</v>
      </c>
      <c r="F88" s="13">
        <v>43048.584016203706</v>
      </c>
      <c r="G88" s="7">
        <v>70</v>
      </c>
      <c r="H88" s="21" t="s">
        <v>950</v>
      </c>
      <c r="I88" s="13">
        <v>43048.613020833334</v>
      </c>
      <c r="J88" s="7">
        <v>0</v>
      </c>
      <c r="K88" s="89" t="str">
        <f t="shared" si="29"/>
        <v>4019/4020</v>
      </c>
      <c r="L88" s="185" t="str">
        <f>VLOOKUP(A88,'Trips&amp;Operators'!$C$1:$G$99911,5,FALSE)</f>
        <v>BRUDER RICHARD</v>
      </c>
      <c r="M88" s="6">
        <f t="shared" si="30"/>
        <v>2.9004629628616385E-2</v>
      </c>
      <c r="N88" s="7">
        <f t="shared" si="28"/>
        <v>41.766666665207595</v>
      </c>
      <c r="O88" s="7"/>
      <c r="P88" s="7"/>
      <c r="Q88" s="22"/>
      <c r="R88" s="174"/>
      <c r="S88" s="221">
        <f t="shared" si="27"/>
        <v>1</v>
      </c>
      <c r="T88" s="174" t="str">
        <f t="shared" si="3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-11-09T12:52:23-0700',mode:absolute,to:'2017-11-09T15:42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04" t="str">
        <f>IF(AA88&lt;VLOOKUP(AG88,Variables!$AC$3:$AD$8,2,FALSE),"Y","N")</f>
        <v>N</v>
      </c>
      <c r="X88" s="204">
        <f t="shared" si="46"/>
        <v>1</v>
      </c>
      <c r="Y88" s="204">
        <f t="shared" si="33"/>
        <v>23.262499999999999</v>
      </c>
      <c r="Z88" s="204">
        <f t="shared" si="34"/>
        <v>8.9099999999999999E-2</v>
      </c>
      <c r="AA88" s="204">
        <f t="shared" si="35"/>
        <v>23.173400000000001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6"/>
        <v>176</v>
      </c>
      <c r="AE88" s="77" t="str">
        <f t="shared" si="37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88" s="74" t="str">
        <f t="shared" si="38"/>
        <v>"C:\Program Files (x86)\AstroGrep\AstroGrep.exe" /e /r /s /spath="%USERPROFILE%\AppData\Local\Temp\OnboardLogs" /stypes="app*4019*20171109*" /stext=" 21:.+((SYSTEM_STATE.+slice.+state.+changed )|(ment ac)|(multiple cpu faults)|(system.+state.+changed )|(\[timeout)|(PRM\|1\|D)|(kpr)|(kdp)|(train st.+moving)|(\|lc)|(penalty))"</v>
      </c>
      <c r="AG88" s="182" t="str">
        <f t="shared" si="39"/>
        <v>EC</v>
      </c>
      <c r="AH88" s="78" t="str">
        <f t="shared" si="40"/>
        <v>"%USERPROFILE%\Documents\GitHub\eaglep3\Utilities\RefineRTDCRunTimes.py" --tripid 176-09 --locoid 4019 --swversion DE.1.0.9.0 --startMP 204:232625 --initTime 2017-11-09T13:52:23 --startdatetime 2017-11-09T14:00:59 --delay 70 --endMP 204:891 --enddatetime 2017-11-09T14:42:45 --enforcementcount 0 &gt;&gt;%USERPROFILE%\Documents\GitHub\eaglep3-reporting\EC\2017-11-09-refined-times.txt</v>
      </c>
      <c r="AI8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{"issue":{"subject":"","project_id":79,"tracker_id":40,"status_id":1,"priority_id":2,"assigned_to_id":338,"start_date":"2017-11-09","description":"","custom_fields":[{"id":1,"name":"Subdivision","value":"EC"},{"id":4,"name":"Milepost","value":"0.0891"},{"id":17,"name":"Train ID","value":"176-09"},{"id":16,"name":"Locomotive ID","value":"4019"},{"id":130,"name":"Impact","value":""},{"id":150,"name":"Time of Event (Mountain Time)","value":"14:42:45"},{"id":151,"name":"Denver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4019 --day 2017-11-09</v>
      </c>
      <c r="AN88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21:42:45"},{"id":29,"name":"Sharepoint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4"/>
        <v>https://d0f6bd738d7f1b3e5a7ca70fe4ff75f0.us-east-1.aws.found.io/app/kibana#/discover/Steve-Slow-Train-Analysis-(2080s-and-2083s)?_g=(refreshInterval:(display:Off,pause:!f,section:0,value:0),time:(from:'2017-11-09T12:52:23-0700',mode:absolute,to:'2017-11-09T15:42:45-0700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781</v>
      </c>
      <c r="B89" s="7">
        <v>4024</v>
      </c>
      <c r="C89" s="21" t="s">
        <v>192</v>
      </c>
      <c r="D89" s="21" t="s">
        <v>491</v>
      </c>
      <c r="E89" s="13">
        <v>43048.549641203703</v>
      </c>
      <c r="F89" s="13">
        <v>43048.552337962959</v>
      </c>
      <c r="G89" s="7">
        <v>54</v>
      </c>
      <c r="H89" s="21" t="s">
        <v>951</v>
      </c>
      <c r="I89" s="13">
        <v>43048.577604166669</v>
      </c>
      <c r="J89" s="7">
        <v>0</v>
      </c>
      <c r="K89" s="89" t="str">
        <f t="shared" si="29"/>
        <v>4023/4024</v>
      </c>
      <c r="L89" s="185" t="str">
        <f>VLOOKUP(A89,'Trips&amp;Operators'!$C$1:$G$99911,5,FALSE)</f>
        <v>STEWART MICHAEL</v>
      </c>
      <c r="M89" s="6">
        <f t="shared" si="30"/>
        <v>2.5266203709179536E-2</v>
      </c>
      <c r="N89" s="7">
        <f t="shared" si="28"/>
        <v>36.383333341218531</v>
      </c>
      <c r="O89" s="7"/>
      <c r="P89" s="7"/>
      <c r="Q89" s="22"/>
      <c r="R89" s="174"/>
      <c r="S89" s="221">
        <f t="shared" si="27"/>
        <v>1</v>
      </c>
      <c r="T89" s="174" t="str">
        <f t="shared" si="3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-11-09T12:11:29-0700',mode:absolute,to:'2017-11-09T14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9" s="204" t="str">
        <f>IF(AA89&lt;VLOOKUP(AG89,Variables!$AC$3:$AD$8,2,FALSE),"Y","N")</f>
        <v>N</v>
      </c>
      <c r="X89" s="204">
        <f t="shared" ref="X89:X90" si="47">VALUE(LEFT(AD89,4))-VALUE(LEFT(AD88,4))</f>
        <v>1</v>
      </c>
      <c r="Y89" s="204">
        <f t="shared" si="33"/>
        <v>5.28E-2</v>
      </c>
      <c r="Z89" s="204">
        <f t="shared" si="34"/>
        <v>23.324200000000001</v>
      </c>
      <c r="AA89" s="204">
        <f t="shared" si="35"/>
        <v>23.2714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6"/>
        <v>177</v>
      </c>
      <c r="AE89" s="77" t="str">
        <f t="shared" si="37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89" s="74" t="str">
        <f t="shared" si="38"/>
        <v>"C:\Program Files (x86)\AstroGrep\AstroGrep.exe" /e /r /s /spath="%USERPROFILE%\AppData\Local\Temp\OnboardLogs" /stypes="app*4024*20171109*" /stext=" 20:.+((SYSTEM_STATE.+slice.+state.+changed )|(ment ac)|(multiple cpu faults)|(system.+state.+changed )|(\[timeout)|(PRM\|1\|D)|(kpr)|(kdp)|(train st.+moving)|(\|lc)|(penalty))"</v>
      </c>
      <c r="AG89" s="182" t="str">
        <f t="shared" si="39"/>
        <v>EC</v>
      </c>
      <c r="AH89" s="78" t="str">
        <f t="shared" si="40"/>
        <v>"%USERPROFILE%\Documents\GitHub\eaglep3\Utilities\RefineRTDCRunTimes.py" --tripid 177-09 --locoid 4024 --swversion DE.1.0.9.0 --startMP 204:528 --initTime 2017-11-09T13:11:29 --startdatetime 2017-11-09T13:15:22 --delay 54 --endMP 204:233242 --enddatetime 2017-11-09T13:51:45 --enforcementcount 0 &gt;&gt;%USERPROFILE%\Documents\GitHub\eaglep3-reporting\EC\2017-11-09-refined-times.txt</v>
      </c>
      <c r="AI8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{"issue":{"subject":"","project_id":79,"tracker_id":40,"status_id":1,"priority_id":2,"assigned_to_id":338,"start_date":"2017-11-09","description":"","custom_fields":[{"id":1,"name":"Subdivision","value":"EC"},{"id":4,"name":"Milepost","value":"23.3242"},{"id":17,"name":"Train ID","value":"177-09"},{"id":16,"name":"Locomotive ID","value":"4024"},{"id":130,"name":"Impact","value":""},{"id":150,"name":"Time of Event (Mountain Time)","value":"13:51:45"},{"id":151,"name":"Denver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4024 --day 2017-11-09</v>
      </c>
      <c r="AN89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4"/>
        <v>https://d0f6bd738d7f1b3e5a7ca70fe4ff75f0.us-east-1.aws.found.io/app/kibana#/discover/Steve-Slow-Train-Analysis-(2080s-and-2083s)?_g=(refreshInterval:(display:Off,pause:!f,section:0,value:0),time:(from:'2017-11-09T12:11:29-0700',mode:absolute,to:'2017-11-09T14:51:45-0700'))&amp;_a=(columns:!('Message%20ID',Summary),filters:!(),index:'emp_*',interval:auto,query:(query_string:(analyze_wildcard:!t,query:'%22rtdc.l.rtdc.4024%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788</v>
      </c>
      <c r="B90" s="7">
        <v>4023</v>
      </c>
      <c r="C90" s="21" t="s">
        <v>192</v>
      </c>
      <c r="D90" s="21" t="s">
        <v>605</v>
      </c>
      <c r="E90" s="13">
        <v>43048.58898148148</v>
      </c>
      <c r="F90" s="13">
        <v>43048.591874999998</v>
      </c>
      <c r="G90" s="7">
        <v>69</v>
      </c>
      <c r="H90" s="21" t="s">
        <v>603</v>
      </c>
      <c r="I90" s="13">
        <v>43048.618981481479</v>
      </c>
      <c r="J90" s="7">
        <v>0</v>
      </c>
      <c r="K90" s="89" t="str">
        <f t="shared" si="29"/>
        <v>4023/4024</v>
      </c>
      <c r="L90" s="185" t="str">
        <f>VLOOKUP(A90,'Trips&amp;Operators'!$C$1:$G$99911,5,FALSE)</f>
        <v>STEWART MICHAEL</v>
      </c>
      <c r="M90" s="6">
        <f t="shared" si="30"/>
        <v>2.7106481480586808E-2</v>
      </c>
      <c r="N90" s="7">
        <f t="shared" si="28"/>
        <v>39.033333332045004</v>
      </c>
      <c r="O90" s="7"/>
      <c r="P90" s="7"/>
      <c r="Q90" s="22"/>
      <c r="R90" s="174"/>
      <c r="S90" s="221">
        <f t="shared" si="27"/>
        <v>1</v>
      </c>
      <c r="T90" s="174" t="str">
        <f t="shared" si="3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-11-09T13:08:08-0700',mode:absolute,to:'2017-11-09T15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0" s="204" t="str">
        <f>IF(AA90&lt;VLOOKUP(AG90,Variables!$AC$3:$AD$8,2,FALSE),"Y","N")</f>
        <v>N</v>
      </c>
      <c r="X90" s="204">
        <f t="shared" si="47"/>
        <v>1</v>
      </c>
      <c r="Y90" s="204">
        <f t="shared" si="33"/>
        <v>23.291499999999999</v>
      </c>
      <c r="Z90" s="204">
        <f t="shared" si="34"/>
        <v>2.2499999999999999E-2</v>
      </c>
      <c r="AA90" s="204">
        <f t="shared" si="35"/>
        <v>23.268999999999998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6"/>
        <v>178</v>
      </c>
      <c r="AE90" s="77" t="str">
        <f t="shared" si="37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90" s="74" t="str">
        <f t="shared" si="38"/>
        <v>"C:\Program Files (x86)\AstroGrep\AstroGrep.exe" /e /r /s /spath="%USERPROFILE%\AppData\Local\Temp\OnboardLogs" /stypes="app*4023*20171109*" /stext=" 21:.+((SYSTEM_STATE.+slice.+state.+changed )|(ment ac)|(multiple cpu faults)|(system.+state.+changed )|(\[timeout)|(PRM\|1\|D)|(kpr)|(kdp)|(train st.+moving)|(\|lc)|(penalty))"</v>
      </c>
      <c r="AG90" s="182" t="str">
        <f t="shared" si="39"/>
        <v>EC</v>
      </c>
      <c r="AH90" s="78" t="str">
        <f t="shared" si="40"/>
        <v>"%USERPROFILE%\Documents\GitHub\eaglep3\Utilities\RefineRTDCRunTimes.py" --tripid 178-09 --locoid 4023 --swversion DE.1.0.9.0 --startMP 204:232915 --initTime 2017-11-09T14:08:08 --startdatetime 2017-11-09T14:12:18 --delay 69 --endMP 204:225 --enddatetime 2017-11-09T14:51:20 --enforcementcount 0 &gt;&gt;%USERPROFILE%\Documents\GitHub\eaglep3-reporting\EC\2017-11-09-refined-times.txt</v>
      </c>
      <c r="AI9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{"issue":{"subject":"","project_id":79,"tracker_id":40,"status_id":1,"priority_id":2,"assigned_to_id":338,"start_date":"2017-11-09","description":"","custom_fields":[{"id":1,"name":"Subdivision","value":"EC"},{"id":4,"name":"Milepost","value":"0.0225"},{"id":17,"name":"Train ID","value":"178-09"},{"id":16,"name":"Locomotive ID","value":"4023"},{"id":130,"name":"Impact","value":""},{"id":150,"name":"Time of Event (Mountain Time)","value":"14:51:20"},{"id":151,"name":"Denver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4023 --day 2017-11-09</v>
      </c>
      <c r="AN90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4"/>
        <v>https://d0f6bd738d7f1b3e5a7ca70fe4ff75f0.us-east-1.aws.found.io/app/kibana#/discover/Steve-Slow-Train-Analysis-(2080s-and-2083s)?_g=(refreshInterval:(display:Off,pause:!f,section:0,value:0),time:(from:'2017-11-09T13:08:08-0700',mode:absolute,to:'2017-11-09T15:51:20-0700'))&amp;_a=(columns:!('Message%20ID',Summary),filters:!(),index:'emp_*',interval:auto,query:(query_string:(analyze_wildcard:!t,query:'%22rtdc.l.rtdc.4023%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783</v>
      </c>
      <c r="B91" s="7">
        <v>4026</v>
      </c>
      <c r="C91" s="21" t="s">
        <v>192</v>
      </c>
      <c r="D91" s="21" t="s">
        <v>520</v>
      </c>
      <c r="E91" s="13">
        <v>43048.559340277781</v>
      </c>
      <c r="F91" s="13">
        <v>43048.562719907408</v>
      </c>
      <c r="G91" s="7">
        <v>86</v>
      </c>
      <c r="H91" s="21" t="s">
        <v>907</v>
      </c>
      <c r="I91" s="13">
        <v>43048.587534722225</v>
      </c>
      <c r="J91" s="7">
        <v>0</v>
      </c>
      <c r="K91" s="89" t="str">
        <f t="shared" si="29"/>
        <v>4025/4026</v>
      </c>
      <c r="L91" s="185" t="str">
        <f>VLOOKUP(A91,'Trips&amp;Operators'!$C$1:$G$99911,5,FALSE)</f>
        <v>LEVIN SCOTT</v>
      </c>
      <c r="M91" s="6">
        <f t="shared" si="30"/>
        <v>2.4814814816636499E-2</v>
      </c>
      <c r="N91" s="7">
        <f t="shared" si="28"/>
        <v>35.733333335956559</v>
      </c>
      <c r="O91" s="7"/>
      <c r="P91" s="7"/>
      <c r="Q91" s="22"/>
      <c r="R91" s="174"/>
      <c r="S91" s="221">
        <f t="shared" si="27"/>
        <v>1</v>
      </c>
      <c r="T91" s="174" t="str">
        <f t="shared" si="3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-11-09T12:25:27-0700',mode:absolute,to:'2017-11-09T15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204" t="str">
        <f>IF(AA91&lt;VLOOKUP(AG91,Variables!$AC$3:$AD$8,2,FALSE),"Y","N")</f>
        <v>N</v>
      </c>
      <c r="X91" s="204">
        <f t="shared" ref="X91:X130" si="48">VALUE(LEFT(AD91,4))-VALUE(LEFT(AD90,4))</f>
        <v>1</v>
      </c>
      <c r="Y91" s="204">
        <f t="shared" si="33"/>
        <v>5.3900000000000003E-2</v>
      </c>
      <c r="Z91" s="204">
        <f t="shared" si="34"/>
        <v>23.325299999999999</v>
      </c>
      <c r="AA91" s="204">
        <f t="shared" si="35"/>
        <v>23.2714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6"/>
        <v>179</v>
      </c>
      <c r="AE91" s="77" t="str">
        <f t="shared" si="37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91" s="74" t="str">
        <f t="shared" si="38"/>
        <v>"C:\Program Files (x86)\AstroGrep\AstroGrep.exe" /e /r /s /spath="%USERPROFILE%\AppData\Local\Temp\OnboardLogs" /stypes="app*4026*20171109*" /stext=" 21:.+((SYSTEM_STATE.+slice.+state.+changed )|(ment ac)|(multiple cpu faults)|(system.+state.+changed )|(\[timeout)|(PRM\|1\|D)|(kpr)|(kdp)|(train st.+moving)|(\|lc)|(penalty))"</v>
      </c>
      <c r="AG91" s="182" t="str">
        <f t="shared" si="39"/>
        <v>EC</v>
      </c>
      <c r="AH91" s="78" t="str">
        <f t="shared" si="40"/>
        <v>"%USERPROFILE%\Documents\GitHub\eaglep3\Utilities\RefineRTDCRunTimes.py" --tripid 179-09 --locoid 4026 --swversion DE.1.0.9.0 --startMP 204:539 --initTime 2017-11-09T13:25:27 --startdatetime 2017-11-09T13:30:19 --delay 86 --endMP 204:233253 --enddatetime 2017-11-09T14:06:03 --enforcementcount 0 &gt;&gt;%USERPROFILE%\Documents\GitHub\eaglep3-reporting\EC\2017-11-09-refined-times.txt</v>
      </c>
      <c r="AI91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{"issue":{"subject":"","project_id":79,"tracker_id":40,"status_id":1,"priority_id":2,"assigned_to_id":338,"start_date":"2017-11-09","description":"","custom_fields":[{"id":1,"name":"Subdivision","value":"EC"},{"id":4,"name":"Milepost","value":"23.3253"},{"id":17,"name":"Train ID","value":"179-09"},{"id":16,"name":"Locomotive ID","value":"4026"},{"id":130,"name":"Impact","value":""},{"id":150,"name":"Time of Event (Mountain Time)","value":"14:06:03"},{"id":151,"name":"Denver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4026 --day 2017-11-09</v>
      </c>
      <c r="AN91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4"/>
        <v>https://d0f6bd738d7f1b3e5a7ca70fe4ff75f0.us-east-1.aws.found.io/app/kibana#/discover/Steve-Slow-Train-Analysis-(2080s-and-2083s)?_g=(refreshInterval:(display:Off,pause:!f,section:0,value:0),time:(from:'2017-11-09T12:25:27-0700',mode:absolute,to:'2017-11-09T15:06:03-0700'))&amp;_a=(columns:!('Message%20ID',Summary),filters:!(),index:'emp_*',interval:auto,query:(query_string:(analyze_wildcard:!t,query:'%22rtdc.l.rtdc.4026%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790</v>
      </c>
      <c r="B92" s="7">
        <v>4025</v>
      </c>
      <c r="C92" s="21" t="s">
        <v>192</v>
      </c>
      <c r="D92" s="21" t="s">
        <v>591</v>
      </c>
      <c r="E92" s="13">
        <v>43048.591840277775</v>
      </c>
      <c r="F92" s="13">
        <v>43048.60224537037</v>
      </c>
      <c r="G92" s="7">
        <v>58</v>
      </c>
      <c r="H92" s="21" t="s">
        <v>930</v>
      </c>
      <c r="I92" s="13">
        <v>43048.629004629627</v>
      </c>
      <c r="J92" s="7">
        <v>0</v>
      </c>
      <c r="K92" s="89" t="str">
        <f t="shared" si="29"/>
        <v>4025/4026</v>
      </c>
      <c r="L92" s="185" t="str">
        <f>VLOOKUP(A92,'Trips&amp;Operators'!$C$1:$G$99911,5,FALSE)</f>
        <v>LEVIN SCOTT</v>
      </c>
      <c r="M92" s="6">
        <f t="shared" si="30"/>
        <v>2.675925925723277E-2</v>
      </c>
      <c r="N92" s="7">
        <f t="shared" si="28"/>
        <v>38.533333330415189</v>
      </c>
      <c r="O92" s="7"/>
      <c r="P92" s="7"/>
      <c r="Q92" s="22"/>
      <c r="R92" s="174"/>
      <c r="S92" s="221">
        <f t="shared" si="27"/>
        <v>1</v>
      </c>
      <c r="T92" s="174" t="str">
        <f t="shared" si="3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-11-09T13:12:15-0700',mode:absolute,to:'2017-11-09T16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204" t="str">
        <f>IF(AA92&lt;VLOOKUP(AG92,Variables!$AC$3:$AD$8,2,FALSE),"Y","N")</f>
        <v>N</v>
      </c>
      <c r="X92" s="204">
        <f t="shared" si="48"/>
        <v>1</v>
      </c>
      <c r="Y92" s="204">
        <f t="shared" si="33"/>
        <v>23.294599999999999</v>
      </c>
      <c r="Z92" s="204">
        <f t="shared" si="34"/>
        <v>1.8100000000000002E-2</v>
      </c>
      <c r="AA92" s="204">
        <f t="shared" si="35"/>
        <v>23.276499999999999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6"/>
        <v>180</v>
      </c>
      <c r="AE92" s="77" t="str">
        <f t="shared" si="37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92" s="74" t="str">
        <f t="shared" si="38"/>
        <v>"C:\Program Files (x86)\AstroGrep\AstroGrep.exe" /e /r /s /spath="%USERPROFILE%\AppData\Local\Temp\OnboardLogs" /stypes="app*4025*20171109*" /stext=" 22:.+((SYSTEM_STATE.+slice.+state.+changed )|(ment ac)|(multiple cpu faults)|(system.+state.+changed )|(\[timeout)|(PRM\|1\|D)|(kpr)|(kdp)|(train st.+moving)|(\|lc)|(penalty))"</v>
      </c>
      <c r="AG92" s="182" t="str">
        <f t="shared" si="39"/>
        <v>EC</v>
      </c>
      <c r="AH92" s="78" t="str">
        <f t="shared" si="40"/>
        <v>"%USERPROFILE%\Documents\GitHub\eaglep3\Utilities\RefineRTDCRunTimes.py" --tripid 180-09 --locoid 4025 --swversion DE.1.0.9.0 --startMP 204:232946 --initTime 2017-11-09T14:12:15 --startdatetime 2017-11-09T14:27:14 --delay 58 --endMP 204:181 --enddatetime 2017-11-09T15:05:46 --enforcementcount 0 &gt;&gt;%USERPROFILE%\Documents\GitHub\eaglep3-reporting\EC\2017-11-09-refined-times.txt</v>
      </c>
      <c r="AI9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{"issue":{"subject":"","project_id":79,"tracker_id":40,"status_id":1,"priority_id":2,"assigned_to_id":338,"start_date":"2017-11-09","description":"","custom_fields":[{"id":1,"name":"Subdivision","value":"EC"},{"id":4,"name":"Milepost","value":"0.0181"},{"id":17,"name":"Train ID","value":"180-09"},{"id":16,"name":"Locomotive ID","value":"4025"},{"id":130,"name":"Impact","value":""},{"id":150,"name":"Time of Event (Mountain Time)","value":"15:05:46"},{"id":151,"name":"Denver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4025 --day 2017-11-09</v>
      </c>
      <c r="AN92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4"/>
        <v>https://d0f6bd738d7f1b3e5a7ca70fe4ff75f0.us-east-1.aws.found.io/app/kibana#/discover/Steve-Slow-Train-Analysis-(2080s-and-2083s)?_g=(refreshInterval:(display:Off,pause:!f,section:0,value:0),time:(from:'2017-11-09T13:12:15-0700',mode:absolute,to:'2017-11-09T16:05:46-0700'))&amp;_a=(columns:!('Message%20ID',Summary),filters:!(),index:'emp_*',interval:auto,query:(query_string:(analyze_wildcard:!t,query:'%22rtdc.l.rtdc.4025%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785</v>
      </c>
      <c r="B93" s="7">
        <v>4064</v>
      </c>
      <c r="C93" s="21" t="s">
        <v>192</v>
      </c>
      <c r="D93" s="21" t="s">
        <v>492</v>
      </c>
      <c r="E93" s="13">
        <v>43048.560381944444</v>
      </c>
      <c r="F93" s="13">
        <v>43048.573136574072</v>
      </c>
      <c r="G93" s="7">
        <v>67</v>
      </c>
      <c r="H93" s="21" t="s">
        <v>517</v>
      </c>
      <c r="I93" s="13">
        <v>43048.598692129628</v>
      </c>
      <c r="J93" s="7">
        <v>0</v>
      </c>
      <c r="K93" s="89" t="str">
        <f t="shared" si="29"/>
        <v>4063/4064</v>
      </c>
      <c r="L93" s="185" t="str">
        <f>VLOOKUP(A93,'Trips&amp;Operators'!$C$1:$G$99911,5,FALSE)</f>
        <v>LOPES KIMBERLY</v>
      </c>
      <c r="M93" s="6">
        <f t="shared" si="30"/>
        <v>2.5555555555911269E-2</v>
      </c>
      <c r="N93" s="7">
        <f t="shared" si="28"/>
        <v>36.800000000512227</v>
      </c>
      <c r="O93" s="7"/>
      <c r="P93" s="7"/>
      <c r="Q93" s="22"/>
      <c r="R93" s="174"/>
      <c r="S93" s="221">
        <f t="shared" si="27"/>
        <v>1</v>
      </c>
      <c r="T93" s="174" t="str">
        <f t="shared" si="3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-11-09T12:26:57-0700',mode:absolute,to:'2017-11-09T15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204" t="str">
        <f>IF(AA93&lt;VLOOKUP(AG93,Variables!$AC$3:$AD$8,2,FALSE),"Y","N")</f>
        <v>N</v>
      </c>
      <c r="X93" s="204">
        <f t="shared" si="48"/>
        <v>1</v>
      </c>
      <c r="Y93" s="204">
        <f t="shared" si="33"/>
        <v>5.4199999999999998E-2</v>
      </c>
      <c r="Z93" s="204">
        <f t="shared" si="34"/>
        <v>23.319800000000001</v>
      </c>
      <c r="AA93" s="204">
        <f t="shared" si="35"/>
        <v>23.265599999999999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6"/>
        <v>181</v>
      </c>
      <c r="AE93" s="77" t="str">
        <f t="shared" si="37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93" s="74" t="str">
        <f t="shared" si="38"/>
        <v>"C:\Program Files (x86)\AstroGrep\AstroGrep.exe" /e /r /s /spath="%USERPROFILE%\AppData\Local\Temp\OnboardLogs" /stypes="app*4064*20171109*" /stext=" 21:.+((SYSTEM_STATE.+slice.+state.+changed )|(ment ac)|(multiple cpu faults)|(system.+state.+changed )|(\[timeout)|(PRM\|1\|D)|(kpr)|(kdp)|(train st.+moving)|(\|lc)|(penalty))"</v>
      </c>
      <c r="AG93" s="182" t="str">
        <f t="shared" si="39"/>
        <v>EC</v>
      </c>
      <c r="AH93" s="78" t="str">
        <f t="shared" si="40"/>
        <v>"%USERPROFILE%\Documents\GitHub\eaglep3\Utilities\RefineRTDCRunTimes.py" --tripid 181-09 --locoid 4064 --swversion DE.1.0.9.0 --startMP 204:542 --initTime 2017-11-09T13:26:57 --startdatetime 2017-11-09T13:45:19 --delay 67 --endMP 204:233198 --enddatetime 2017-11-09T14:22:07 --enforcementcount 0 &gt;&gt;%USERPROFILE%\Documents\GitHub\eaglep3-reporting\EC\2017-11-09-refined-times.txt</v>
      </c>
      <c r="AI9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{"issue":{"subject":"","project_id":79,"tracker_id":40,"status_id":1,"priority_id":2,"assigned_to_id":338,"start_date":"2017-11-09","description":"","custom_fields":[{"id":1,"name":"Subdivision","value":"EC"},{"id":4,"name":"Milepost","value":"23.3198"},{"id":17,"name":"Train ID","value":"181-09"},{"id":16,"name":"Locomotive ID","value":"4064"},{"id":130,"name":"Impact","value":""},{"id":150,"name":"Time of Event (Mountain Time)","value":"14:22:07"},{"id":151,"name":"Denver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4064 --day 2017-11-09</v>
      </c>
      <c r="AN93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4"/>
        <v>https://d0f6bd738d7f1b3e5a7ca70fe4ff75f0.us-east-1.aws.found.io/app/kibana#/discover/Steve-Slow-Train-Analysis-(2080s-and-2083s)?_g=(refreshInterval:(display:Off,pause:!f,section:0,value:0),time:(from:'2017-11-09T12:26:57-0700',mode:absolute,to:'2017-11-09T15:22:07-0700'))&amp;_a=(columns:!('Message%20ID',Summary),filters:!(),index:'emp_*',interval:auto,query:(query_string:(analyze_wildcard:!t,query:'%22rtdc.l.rtdc.4064%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792</v>
      </c>
      <c r="B94" s="7">
        <v>4063</v>
      </c>
      <c r="C94" s="21" t="s">
        <v>192</v>
      </c>
      <c r="D94" s="21" t="s">
        <v>528</v>
      </c>
      <c r="E94" s="13">
        <v>43048.601458333331</v>
      </c>
      <c r="F94" s="13">
        <v>43048.612673611111</v>
      </c>
      <c r="G94" s="7">
        <v>60</v>
      </c>
      <c r="H94" s="21" t="s">
        <v>495</v>
      </c>
      <c r="I94" s="13">
        <v>43048.639328703706</v>
      </c>
      <c r="J94" s="7">
        <v>0</v>
      </c>
      <c r="K94" s="89" t="str">
        <f t="shared" si="29"/>
        <v>4063/4064</v>
      </c>
      <c r="L94" s="185" t="str">
        <f>VLOOKUP(A94,'Trips&amp;Operators'!$C$1:$G$99911,5,FALSE)</f>
        <v>DELGADO DIANAH</v>
      </c>
      <c r="M94" s="6">
        <f t="shared" si="30"/>
        <v>2.6655092595319729E-2</v>
      </c>
      <c r="N94" s="7">
        <f t="shared" si="28"/>
        <v>38.38333333726041</v>
      </c>
      <c r="O94" s="7"/>
      <c r="P94" s="7"/>
      <c r="Q94" s="22"/>
      <c r="R94" s="174"/>
      <c r="S94" s="221">
        <f t="shared" si="27"/>
        <v>1</v>
      </c>
      <c r="T94" s="174" t="str">
        <f t="shared" si="3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-11-09T13:26:06-0700',mode:absolute,to:'2017-11-09T16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204" t="str">
        <f>IF(AA94&lt;VLOOKUP(AG94,Variables!$AC$3:$AD$8,2,FALSE),"Y","N")</f>
        <v>N</v>
      </c>
      <c r="X94" s="204">
        <f t="shared" si="48"/>
        <v>1</v>
      </c>
      <c r="Y94" s="204">
        <f t="shared" si="33"/>
        <v>23.287500000000001</v>
      </c>
      <c r="Z94" s="204">
        <f t="shared" si="34"/>
        <v>1.5800000000000002E-2</v>
      </c>
      <c r="AA94" s="204">
        <f t="shared" si="35"/>
        <v>23.271700000000003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6"/>
        <v>182</v>
      </c>
      <c r="AE94" s="77" t="str">
        <f t="shared" si="37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94" s="74" t="str">
        <f t="shared" si="38"/>
        <v>"C:\Program Files (x86)\AstroGrep\AstroGrep.exe" /e /r /s /spath="%USERPROFILE%\AppData\Local\Temp\OnboardLogs" /stypes="app*4063*20171109*" /stext=" 22:.+((SYSTEM_STATE.+slice.+state.+changed )|(ment ac)|(multiple cpu faults)|(system.+state.+changed )|(\[timeout)|(PRM\|1\|D)|(kpr)|(kdp)|(train st.+moving)|(\|lc)|(penalty))"</v>
      </c>
      <c r="AG94" s="182" t="str">
        <f t="shared" si="39"/>
        <v>EC</v>
      </c>
      <c r="AH94" s="78" t="str">
        <f t="shared" si="40"/>
        <v>"%USERPROFILE%\Documents\GitHub\eaglep3\Utilities\RefineRTDCRunTimes.py" --tripid 182-09 --locoid 4063 --swversion DE.1.0.9.0 --startMP 204:232875 --initTime 2017-11-09T14:26:06 --startdatetime 2017-11-09T14:42:15 --delay 60 --endMP 204:158 --enddatetime 2017-11-09T15:20:38 --enforcementcount 0 &gt;&gt;%USERPROFILE%\Documents\GitHub\eaglep3-reporting\EC\2017-11-09-refined-times.txt</v>
      </c>
      <c r="AI9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{"issue":{"subject":"","project_id":79,"tracker_id":40,"status_id":1,"priority_id":2,"assigned_to_id":338,"start_date":"2017-11-09","description":"","custom_fields":[{"id":1,"name":"Subdivision","value":"EC"},{"id":4,"name":"Milepost","value":"0.0158"},{"id":17,"name":"Train ID","value":"182-09"},{"id":16,"name":"Locomotive ID","value":"4063"},{"id":130,"name":"Impact","value":""},{"id":150,"name":"Time of Event (Mountain Time)","value":"15:20:38"},{"id":151,"name":"Denver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4063 --day 2017-11-09</v>
      </c>
      <c r="AN94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4"/>
        <v>https://d0f6bd738d7f1b3e5a7ca70fe4ff75f0.us-east-1.aws.found.io/app/kibana#/discover/Steve-Slow-Train-Analysis-(2080s-and-2083s)?_g=(refreshInterval:(display:Off,pause:!f,section:0,value:0),time:(from:'2017-11-09T13:26:06-0700',mode:absolute,to:'2017-11-09T16:20:38-0700'))&amp;_a=(columns:!('Message%20ID',Summary),filters:!(),index:'emp_*',interval:auto,query:(query_string:(analyze_wildcard:!t,query:'%22rtdc.l.rtdc.4063%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651</v>
      </c>
      <c r="B95" s="7">
        <v>4006</v>
      </c>
      <c r="C95" s="21" t="s">
        <v>192</v>
      </c>
      <c r="D95" s="21" t="s">
        <v>604</v>
      </c>
      <c r="E95" s="13">
        <v>43048.578634259262</v>
      </c>
      <c r="F95" s="13">
        <v>43048.588692129626</v>
      </c>
      <c r="G95" s="7">
        <v>56</v>
      </c>
      <c r="H95" s="21" t="s">
        <v>952</v>
      </c>
      <c r="I95" s="13">
        <v>43048.609409722223</v>
      </c>
      <c r="J95" s="7">
        <v>0</v>
      </c>
      <c r="K95" s="89" t="str">
        <f t="shared" si="29"/>
        <v>4005/4006</v>
      </c>
      <c r="L95" s="185" t="str">
        <f>VLOOKUP(A95,'Trips&amp;Operators'!$C$1:$G$99911,5,FALSE)</f>
        <v>KILLION DAVID</v>
      </c>
      <c r="M95" s="6">
        <f t="shared" si="30"/>
        <v>2.0717592597065959E-2</v>
      </c>
      <c r="N95" s="7"/>
      <c r="O95" s="7"/>
      <c r="P95" s="7"/>
      <c r="Q95" s="22"/>
      <c r="R95" s="174"/>
      <c r="S95" s="221"/>
      <c r="T95" s="174" t="str">
        <f t="shared" si="31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-11-09T12:53:14-0700',mode:absolute,to:'2017-11-09T15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204" t="str">
        <f>IF(AA95&lt;VLOOKUP(AG95,Variables!$AC$3:$AD$8,2,FALSE),"Y","N")</f>
        <v>Y</v>
      </c>
      <c r="X95" s="204">
        <f t="shared" si="48"/>
        <v>1</v>
      </c>
      <c r="Y95" s="204">
        <f t="shared" si="33"/>
        <v>4.6899999999999997E-2</v>
      </c>
      <c r="Z95" s="204">
        <f t="shared" si="34"/>
        <v>0.14810000000000001</v>
      </c>
      <c r="AA95" s="204">
        <f t="shared" si="35"/>
        <v>0.10120000000000001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6"/>
        <v>183</v>
      </c>
      <c r="AE95" s="77" t="str">
        <f t="shared" si="37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95" s="74" t="str">
        <f t="shared" si="38"/>
        <v>"C:\Program Files (x86)\AstroGrep\AstroGrep.exe" /e /r /s /spath="%USERPROFILE%\AppData\Local\Temp\OnboardLogs" /stypes="app*4006*20171109*" /stext=" 21:.+((SYSTEM_STATE.+slice.+state.+changed )|(ment ac)|(multiple cpu faults)|(system.+state.+changed )|(\[timeout)|(PRM\|1\|D)|(kpr)|(kdp)|(train st.+moving)|(\|lc)|(penalty))"</v>
      </c>
      <c r="AG95" s="182" t="str">
        <f t="shared" si="39"/>
        <v>EC</v>
      </c>
      <c r="AH95" s="78" t="str">
        <f t="shared" si="40"/>
        <v>"%USERPROFILE%\Documents\GitHub\eaglep3\Utilities\RefineRTDCRunTimes.py" --tripid 183-09 --locoid 4006 --swversion DE.1.0.9.0 --startMP 204:469 --initTime 2017-11-09T13:53:14 --startdatetime 2017-11-09T14:07:43 --delay 56 --endMP 204:1481 --enddatetime 2017-11-09T14:37:33 --enforcementcount 0 &gt;&gt;%USERPROFILE%\Documents\GitHub\eaglep3-reporting\EC\2017-11-09-refined-times.txt</v>
      </c>
      <c r="AI9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{"issue":{"subject":"","project_id":79,"tracker_id":40,"status_id":1,"priority_id":2,"assigned_to_id":338,"start_date":"2017-11-09","description":"","custom_fields":[{"id":1,"name":"Subdivision","value":"EC"},{"id":4,"name":"Milepost","value":"0.1481"},{"id":17,"name":"Train ID","value":"183-09"},{"id":16,"name":"Locomotive ID","value":"4006"},{"id":130,"name":"Impact","value":""},{"id":150,"name":"Time of Event (Mountain Time)","value":"14:37:33"},{"id":151,"name":"Denver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4006 --day 2017-11-09</v>
      </c>
      <c r="AN95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4"/>
        <v>https://d0f6bd738d7f1b3e5a7ca70fe4ff75f0.us-east-1.aws.found.io/app/kibana#/discover/Steve-Slow-Train-Analysis-(2080s-and-2083s)?_g=(refreshInterval:(display:Off,pause:!f,section:0,value:0),time:(from:'2017-11-09T12:53:14-0700',mode:absolute,to:'2017-11-09T15:37:33-0700'))&amp;_a=(columns:!('Message%20ID',Summary),filters:!(),index:'emp_*',interval:auto,query:(query_string:(analyze_wildcard:!t,query:'%22rtdc.l.rtdc.4006%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651</v>
      </c>
      <c r="B96" s="7">
        <v>4006</v>
      </c>
      <c r="C96" s="21" t="s">
        <v>192</v>
      </c>
      <c r="D96" s="21" t="s">
        <v>953</v>
      </c>
      <c r="E96" s="13">
        <v>43048.587835648148</v>
      </c>
      <c r="F96" s="13">
        <v>43048.588692129626</v>
      </c>
      <c r="G96" s="7">
        <v>42</v>
      </c>
      <c r="H96" s="21" t="s">
        <v>954</v>
      </c>
      <c r="I96" s="13">
        <v>43048.609409722223</v>
      </c>
      <c r="J96" s="7">
        <v>0</v>
      </c>
      <c r="K96" s="89" t="str">
        <f t="shared" si="29"/>
        <v>4005/4006</v>
      </c>
      <c r="L96" s="185" t="str">
        <f>VLOOKUP(A96,'Trips&amp;Operators'!$C$1:$G$99911,5,FALSE)</f>
        <v>KILLION DAVID</v>
      </c>
      <c r="M96" s="6">
        <f t="shared" si="30"/>
        <v>2.0717592597065959E-2</v>
      </c>
      <c r="N96" s="7"/>
      <c r="O96" s="7"/>
      <c r="P96" s="7">
        <f>24*60*SUM($M96:$M96)</f>
        <v>29.833333339774981</v>
      </c>
      <c r="Q96" s="22"/>
      <c r="R96" s="174" t="s">
        <v>638</v>
      </c>
      <c r="S96" s="221">
        <f t="shared" ref="S96:S127" si="49">1/IF(AG96="EC",12,1)*SUM(U96:U96)</f>
        <v>1</v>
      </c>
      <c r="T96" s="174" t="str">
        <f t="shared" si="31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-11-09T13:06:29-0700',mode:absolute,to:'2017-11-09T15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6" s="204" t="str">
        <f>IF(AA96&lt;VLOOKUP(AG96,Variables!$AC$3:$AD$8,2,FALSE),"Y","N")</f>
        <v>Y</v>
      </c>
      <c r="X96" s="204">
        <f t="shared" si="48"/>
        <v>0</v>
      </c>
      <c r="Y96" s="204">
        <f t="shared" si="33"/>
        <v>1.9144000000000001</v>
      </c>
      <c r="Z96" s="204">
        <f t="shared" si="34"/>
        <v>23.321100000000001</v>
      </c>
      <c r="AA96" s="204">
        <f t="shared" si="35"/>
        <v>21.406700000000001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6"/>
        <v>183</v>
      </c>
      <c r="AE96" s="77" t="str">
        <f t="shared" si="37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96" s="74" t="str">
        <f t="shared" si="38"/>
        <v>"C:\Program Files (x86)\AstroGrep\AstroGrep.exe" /e /r /s /spath="%USERPROFILE%\AppData\Local\Temp\OnboardLogs" /stypes="app*4006*20171109*" /stext=" 21:.+((SYSTEM_STATE.+slice.+state.+changed )|(ment ac)|(multiple cpu faults)|(system.+state.+changed )|(\[timeout)|(PRM\|1\|D)|(kpr)|(kdp)|(train st.+moving)|(\|lc)|(penalty))"</v>
      </c>
      <c r="AG96" s="182" t="str">
        <f t="shared" si="39"/>
        <v>EC</v>
      </c>
      <c r="AH96" s="78" t="str">
        <f t="shared" si="40"/>
        <v>"%USERPROFILE%\Documents\GitHub\eaglep3\Utilities\RefineRTDCRunTimes.py" --tripid 183-09 --locoid 4006 --swversion DE.1.0.9.0 --startMP 204:19144 --initTime 2017-11-09T14:06:29 --startdatetime 2017-11-09T14:07:43 --delay 42 --endMP 204:233211 --enddatetime 2017-11-09T14:37:33 --enforcementcount 0 &gt;&gt;%USERPROFILE%\Documents\GitHub\eaglep3-reporting\EC\2017-11-09-refined-times.txt</v>
      </c>
      <c r="AI96" s="96" t="str">
        <f t="shared" si="41"/>
        <v>echo {"issue":{"subject":"Operator selected wrong track","project_id":79,"tracker_id":40,"status_id":1,"priority_id":2,"assigned_to_id":338,"start_date":"2017-11-09","description":"","custom_fields":[{"id":1,"name":"Subdivision","value":"EC"},{"id":4,"name":"Milepost","value":"23.3211"},{"id":17,"name":"Train ID","value":"183-09"},{"id":16,"name":"Locomotive ID","value":"4006"},{"id":130,"name":"Impact","value":""},{"id":150,"name":"Time of Event (Mountain Time)","value":"14:37:33"},{"id":151,"name":"Denver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4006 --day 2017-11-09</v>
      </c>
      <c r="AN96" s="151" t="str">
        <f t="shared" si="43"/>
        <v>echo {"issue":{"subject":"Operator selected wrong track","project_id":30,"tracker_id":4,"status_id":1,"priority_id":1,"assigned_to_id":10,"start_date":"2017-11-09","description":"","custom_fields":[{"id":30,"name":"Category","value":"Issue"},{"id":3,"name":"Functional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4"/>
        <v>https://d0f6bd738d7f1b3e5a7ca70fe4ff75f0.us-east-1.aws.found.io/app/kibana#/discover/Steve-Slow-Train-Analysis-(2080s-and-2083s)?_g=(refreshInterval:(display:Off,pause:!f,section:0,value:0),time:(from:'2017-11-09T13:06:29-0700',mode:absolute,to:'2017-11-09T15:37:33-0700'))&amp;_a=(columns:!('Message%20ID',Summary),filters:!(),index:'emp_*',interval:auto,query:(query_string:(analyze_wildcard:!t,query:'%22rtdc.l.rtdc.4006%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795</v>
      </c>
      <c r="B97" s="7">
        <v>4005</v>
      </c>
      <c r="C97" s="21" t="s">
        <v>192</v>
      </c>
      <c r="D97" s="21" t="s">
        <v>955</v>
      </c>
      <c r="E97" s="13">
        <v>43048.614999999998</v>
      </c>
      <c r="F97" s="13">
        <v>43048.623078703706</v>
      </c>
      <c r="G97" s="7">
        <v>58</v>
      </c>
      <c r="H97" s="21" t="s">
        <v>588</v>
      </c>
      <c r="I97" s="13">
        <v>43048.650358796294</v>
      </c>
      <c r="J97" s="7">
        <v>0</v>
      </c>
      <c r="K97" s="89" t="str">
        <f t="shared" si="29"/>
        <v>4005/4006</v>
      </c>
      <c r="L97" s="185" t="str">
        <f>VLOOKUP(A97,'Trips&amp;Operators'!$C$1:$G$99911,5,FALSE)</f>
        <v>KILLION DAVID</v>
      </c>
      <c r="M97" s="6">
        <f t="shared" si="30"/>
        <v>2.7280092588625848E-2</v>
      </c>
      <c r="N97" s="7">
        <f t="shared" ref="N97:N110" si="50">24*60*SUM($M97:$M97)</f>
        <v>39.283333327621222</v>
      </c>
      <c r="O97" s="7"/>
      <c r="P97" s="7"/>
      <c r="Q97" s="22"/>
      <c r="R97" s="174"/>
      <c r="S97" s="221">
        <f t="shared" si="49"/>
        <v>1</v>
      </c>
      <c r="T97" s="174" t="str">
        <f t="shared" si="31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-11-09T13:45:36-0700',mode:absolute,to:'2017-11-09T16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7" s="204" t="str">
        <f>IF(AA97&lt;VLOOKUP(AG97,Variables!$AC$3:$AD$8,2,FALSE),"Y","N")</f>
        <v>N</v>
      </c>
      <c r="X97" s="204">
        <f t="shared" si="48"/>
        <v>1</v>
      </c>
      <c r="Y97" s="204">
        <f t="shared" si="33"/>
        <v>23.288799999999998</v>
      </c>
      <c r="Z97" s="204">
        <f t="shared" si="34"/>
        <v>1.41E-2</v>
      </c>
      <c r="AA97" s="204">
        <f t="shared" si="35"/>
        <v>23.274699999999999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6"/>
        <v>184</v>
      </c>
      <c r="AE97" s="77" t="str">
        <f t="shared" si="37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97" s="74" t="str">
        <f t="shared" si="38"/>
        <v>"C:\Program Files (x86)\AstroGrep\AstroGrep.exe" /e /r /s /spath="%USERPROFILE%\AppData\Local\Temp\OnboardLogs" /stypes="app*4005*20171109*" /stext=" 22:.+((SYSTEM_STATE.+slice.+state.+changed )|(ment ac)|(multiple cpu faults)|(system.+state.+changed )|(\[timeout)|(PRM\|1\|D)|(kpr)|(kdp)|(train st.+moving)|(\|lc)|(penalty))"</v>
      </c>
      <c r="AG97" s="182" t="str">
        <f t="shared" si="39"/>
        <v>EC</v>
      </c>
      <c r="AH97" s="78" t="str">
        <f t="shared" si="40"/>
        <v>"%USERPROFILE%\Documents\GitHub\eaglep3\Utilities\RefineRTDCRunTimes.py" --tripid 184-09 --locoid 4005 --swversion DE.1.0.9.0 --startMP 204:232888 --initTime 2017-11-09T14:45:36 --startdatetime 2017-11-09T14:57:14 --delay 58 --endMP 204:141 --enddatetime 2017-11-09T15:36:31 --enforcementcount 0 &gt;&gt;%USERPROFILE%\Documents\GitHub\eaglep3-reporting\EC\2017-11-09-refined-times.txt</v>
      </c>
      <c r="AI9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{"issue":{"subject":"","project_id":79,"tracker_id":40,"status_id":1,"priority_id":2,"assigned_to_id":338,"start_date":"2017-11-09","description":"","custom_fields":[{"id":1,"name":"Subdivision","value":"EC"},{"id":4,"name":"Milepost","value":"0.0141"},{"id":17,"name":"Train ID","value":"184-09"},{"id":16,"name":"Locomotive ID","value":"4005"},{"id":130,"name":"Impact","value":""},{"id":150,"name":"Time of Event (Mountain Time)","value":"15:36:31"},{"id":151,"name":"Denver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4005 --day 2017-11-09</v>
      </c>
      <c r="AN97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4"/>
        <v>https://d0f6bd738d7f1b3e5a7ca70fe4ff75f0.us-east-1.aws.found.io/app/kibana#/discover/Steve-Slow-Train-Analysis-(2080s-and-2083s)?_g=(refreshInterval:(display:Off,pause:!f,section:0,value:0),time:(from:'2017-11-09T13:45:36-0700',mode:absolute,to:'2017-11-09T16:36:31-0700'))&amp;_a=(columns:!('Message%20ID',Summary),filters:!(),index:'emp_*',interval:auto,query:(query_string:(analyze_wildcard:!t,query:'%22rtdc.l.rtdc.4005%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789</v>
      </c>
      <c r="B98" s="7">
        <v>4022</v>
      </c>
      <c r="C98" s="21" t="s">
        <v>192</v>
      </c>
      <c r="D98" s="21" t="s">
        <v>618</v>
      </c>
      <c r="E98" s="13">
        <v>43048.590474537035</v>
      </c>
      <c r="F98" s="13">
        <v>43048.593912037039</v>
      </c>
      <c r="G98" s="7">
        <v>85</v>
      </c>
      <c r="H98" s="21" t="s">
        <v>614</v>
      </c>
      <c r="I98" s="13">
        <v>43048.620613425926</v>
      </c>
      <c r="J98" s="7">
        <v>0</v>
      </c>
      <c r="K98" s="89" t="str">
        <f t="shared" si="29"/>
        <v>4021/4022</v>
      </c>
      <c r="L98" s="185" t="str">
        <f>VLOOKUP(A98,'Trips&amp;Operators'!$C$1:$G$99911,5,FALSE)</f>
        <v>BADERTSCHER DIANE</v>
      </c>
      <c r="M98" s="6">
        <f t="shared" si="30"/>
        <v>2.6701388887886424E-2</v>
      </c>
      <c r="N98" s="7">
        <f t="shared" si="50"/>
        <v>38.44999999855645</v>
      </c>
      <c r="O98" s="7"/>
      <c r="P98" s="7"/>
      <c r="Q98" s="22"/>
      <c r="R98" s="174"/>
      <c r="S98" s="221">
        <f t="shared" si="49"/>
        <v>1</v>
      </c>
      <c r="T98" s="174" t="str">
        <f t="shared" si="31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-11-09T13:10:17-0700',mode:absolute,to:'2017-11-09T15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8" s="204" t="str">
        <f>IF(AA98&lt;VLOOKUP(AG98,Variables!$AC$3:$AD$8,2,FALSE),"Y","N")</f>
        <v>N</v>
      </c>
      <c r="X98" s="204">
        <f t="shared" si="48"/>
        <v>1</v>
      </c>
      <c r="Y98" s="204">
        <f t="shared" si="33"/>
        <v>5.79E-2</v>
      </c>
      <c r="Z98" s="204">
        <f t="shared" si="34"/>
        <v>23.326599999999999</v>
      </c>
      <c r="AA98" s="204">
        <f t="shared" si="35"/>
        <v>23.268699999999999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6"/>
        <v>185</v>
      </c>
      <c r="AE98" s="77" t="str">
        <f t="shared" si="37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98" s="74" t="str">
        <f t="shared" si="38"/>
        <v>"C:\Program Files (x86)\AstroGrep\AstroGrep.exe" /e /r /s /spath="%USERPROFILE%\AppData\Local\Temp\OnboardLogs" /stypes="app*4022*20171109*" /stext=" 21:.+((SYSTEM_STATE.+slice.+state.+changed )|(ment ac)|(multiple cpu faults)|(system.+state.+changed )|(\[timeout)|(PRM\|1\|D)|(kpr)|(kdp)|(train st.+moving)|(\|lc)|(penalty))"</v>
      </c>
      <c r="AG98" s="182" t="str">
        <f t="shared" si="39"/>
        <v>EC</v>
      </c>
      <c r="AH98" s="78" t="str">
        <f t="shared" si="40"/>
        <v>"%USERPROFILE%\Documents\GitHub\eaglep3\Utilities\RefineRTDCRunTimes.py" --tripid 185-09 --locoid 4022 --swversion DE.1.0.9.0 --startMP 204:579 --initTime 2017-11-09T14:10:17 --startdatetime 2017-11-09T14:15:14 --delay 85 --endMP 204:233266 --enddatetime 2017-11-09T14:53:41 --enforcementcount 0 &gt;&gt;%USERPROFILE%\Documents\GitHub\eaglep3-reporting\EC\2017-11-09-refined-times.txt</v>
      </c>
      <c r="AI9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{"issue":{"subject":"","project_id":79,"tracker_id":40,"status_id":1,"priority_id":2,"assigned_to_id":338,"start_date":"2017-11-09","description":"","custom_fields":[{"id":1,"name":"Subdivision","value":"EC"},{"id":4,"name":"Milepost","value":"23.3266"},{"id":17,"name":"Train ID","value":"185-09"},{"id":16,"name":"Locomotive ID","value":"4022"},{"id":130,"name":"Impact","value":""},{"id":150,"name":"Time of Event (Mountain Time)","value":"14:53:41"},{"id":151,"name":"Denver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4022 --day 2017-11-09</v>
      </c>
      <c r="AN98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4"/>
        <v>https://d0f6bd738d7f1b3e5a7ca70fe4ff75f0.us-east-1.aws.found.io/app/kibana#/discover/Steve-Slow-Train-Analysis-(2080s-and-2083s)?_g=(refreshInterval:(display:Off,pause:!f,section:0,value:0),time:(from:'2017-11-09T13:10:17-0700',mode:absolute,to:'2017-11-09T15:53:41-0700'))&amp;_a=(columns:!('Message%20ID',Summary),filters:!(),index:'emp_*',interval:auto,query:(query_string:(analyze_wildcard:!t,query:'%22rtdc.l.rtdc.4022%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797</v>
      </c>
      <c r="B99" s="7">
        <v>4021</v>
      </c>
      <c r="C99" s="21" t="s">
        <v>192</v>
      </c>
      <c r="D99" s="21" t="s">
        <v>956</v>
      </c>
      <c r="E99" s="13">
        <v>43048.629976851851</v>
      </c>
      <c r="F99" s="13">
        <v>43048.634421296294</v>
      </c>
      <c r="G99" s="7">
        <v>82</v>
      </c>
      <c r="H99" s="21" t="s">
        <v>453</v>
      </c>
      <c r="I99" s="13">
        <v>43048.662002314813</v>
      </c>
      <c r="J99" s="7">
        <v>0</v>
      </c>
      <c r="K99" s="89" t="str">
        <f t="shared" si="29"/>
        <v>4021/4022</v>
      </c>
      <c r="L99" s="185" t="str">
        <f>VLOOKUP(A99,'Trips&amp;Operators'!$C$1:$G$99911,5,FALSE)</f>
        <v>BADERTSCHER DIANE</v>
      </c>
      <c r="M99" s="6">
        <f t="shared" si="30"/>
        <v>2.7581018519413192E-2</v>
      </c>
      <c r="N99" s="7">
        <f t="shared" si="50"/>
        <v>39.716666667954996</v>
      </c>
      <c r="O99" s="7"/>
      <c r="P99" s="7"/>
      <c r="Q99" s="22"/>
      <c r="R99" s="174" t="s">
        <v>1106</v>
      </c>
      <c r="S99" s="221">
        <f t="shared" si="49"/>
        <v>1</v>
      </c>
      <c r="T99" s="174" t="str">
        <f t="shared" si="31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-11-09T14:07:10-0700',mode:absolute,to:'2017-11-09T16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9" s="204" t="str">
        <f>IF(AA99&lt;VLOOKUP(AG99,Variables!$AC$3:$AD$8,2,FALSE),"Y","N")</f>
        <v>N</v>
      </c>
      <c r="X99" s="204">
        <f t="shared" si="48"/>
        <v>1</v>
      </c>
      <c r="Y99" s="204">
        <f t="shared" si="33"/>
        <v>23.294499999999999</v>
      </c>
      <c r="Z99" s="204">
        <f t="shared" si="34"/>
        <v>2.1399999999999999E-2</v>
      </c>
      <c r="AA99" s="204">
        <f t="shared" si="35"/>
        <v>23.273099999999999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6"/>
        <v>186</v>
      </c>
      <c r="AE99" s="77" t="str">
        <f t="shared" si="37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99" s="74" t="str">
        <f t="shared" si="38"/>
        <v>"C:\Program Files (x86)\AstroGrep\AstroGrep.exe" /e /r /s /spath="%USERPROFILE%\AppData\Local\Temp\OnboardLogs" /stypes="app*4021*20171109*" /stext=" 22:.+((SYSTEM_STATE.+slice.+state.+changed )|(ment ac)|(multiple cpu faults)|(system.+state.+changed )|(\[timeout)|(PRM\|1\|D)|(kpr)|(kdp)|(train st.+moving)|(\|lc)|(penalty))"</v>
      </c>
      <c r="AG99" s="182" t="str">
        <f t="shared" si="39"/>
        <v>EC</v>
      </c>
      <c r="AH99" s="78" t="str">
        <f t="shared" si="40"/>
        <v>"%USERPROFILE%\Documents\GitHub\eaglep3\Utilities\RefineRTDCRunTimes.py" --tripid 186-09 --locoid 4021 --swversion DE.1.0.9.0 --startMP 204:232945 --initTime 2017-11-09T15:07:10 --startdatetime 2017-11-09T15:13:34 --delay 82 --endMP 204:214 --enddatetime 2017-11-09T15:53:17 --enforcementcount 0 &gt;&gt;%USERPROFILE%\Documents\GitHub\eaglep3-reporting\EC\2017-11-09-refined-times.txt</v>
      </c>
      <c r="AI99" s="96" t="str">
        <f t="shared" si="41"/>
        <v>echo {"issue":{"subject":"Operator observed unhealthy xing at Chambers due to 40th station stop","project_id":79,"tracker_id":40,"status_id":1,"priority_id":2,"assigned_to_id":338,"start_date":"2017-11-09","description":"","custom_fields":[{"id":1,"name":"Subdivision","value":"EC"},{"id":4,"name":"Milepost","value":"0.0214"},{"id":17,"name":"Train ID","value":"186-09"},{"id":16,"name":"Locomotive ID","value":"4021"},{"id":130,"name":"Impact","value":""},{"id":150,"name":"Time of Event (Mountain Time)","value":"15:53:17"},{"id":151,"name":"Denver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4021 --day 2017-11-09</v>
      </c>
      <c r="AN99" s="151" t="str">
        <f t="shared" si="43"/>
        <v>echo {"issue":{"subject":"Operator observed unhealthy xing at Chambers due to 40th station stop","project_id":30,"tracker_id":4,"status_id":1,"priority_id":1,"assigned_to_id":10,"start_date":"2017-11-09","description":"","custom_fields":[{"id":30,"name":"Category","value":"Issue"},{"id":3,"name":"Functional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4"/>
        <v>https://d0f6bd738d7f1b3e5a7ca70fe4ff75f0.us-east-1.aws.found.io/app/kibana#/discover/Steve-Slow-Train-Analysis-(2080s-and-2083s)?_g=(refreshInterval:(display:Off,pause:!f,section:0,value:0),time:(from:'2017-11-09T14:07:10-0700',mode:absolute,to:'2017-11-09T16:53:17-0700'))&amp;_a=(columns:!('Message%20ID',Summary),filters:!(),index:'emp_*',interval:auto,query:(query_string:(analyze_wildcard:!t,query:'%22rtdc.l.rtdc.4021%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652</v>
      </c>
      <c r="B100" s="7">
        <v>4066</v>
      </c>
      <c r="C100" s="21" t="s">
        <v>192</v>
      </c>
      <c r="D100" s="21" t="s">
        <v>925</v>
      </c>
      <c r="E100" s="13">
        <v>43048.600185185183</v>
      </c>
      <c r="F100" s="13">
        <v>43048.604537037034</v>
      </c>
      <c r="G100" s="7">
        <v>72</v>
      </c>
      <c r="H100" s="21" t="s">
        <v>957</v>
      </c>
      <c r="I100" s="13">
        <v>43048.631296296298</v>
      </c>
      <c r="J100" s="7">
        <v>0</v>
      </c>
      <c r="K100" s="89" t="str">
        <f t="shared" si="29"/>
        <v>4065/4066</v>
      </c>
      <c r="L100" s="185" t="str">
        <f>VLOOKUP(A100,'Trips&amp;Operators'!$C$1:$G$99911,5,FALSE)</f>
        <v>ANDREA WILLIAMS</v>
      </c>
      <c r="M100" s="6">
        <f t="shared" si="30"/>
        <v>2.6759259264508728E-2</v>
      </c>
      <c r="N100" s="7">
        <f t="shared" si="50"/>
        <v>38.533333340892568</v>
      </c>
      <c r="O100" s="7"/>
      <c r="P100" s="7"/>
      <c r="Q100" s="22"/>
      <c r="R100" s="174"/>
      <c r="S100" s="221">
        <f t="shared" si="49"/>
        <v>1</v>
      </c>
      <c r="T100" s="174" t="str">
        <f t="shared" si="31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-11-09T13:24:16-0700',mode:absolute,to:'2017-11-09T16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0" s="204" t="str">
        <f>IF(AA100&lt;VLOOKUP(AG100,Variables!$AC$3:$AD$8,2,FALSE),"Y","N")</f>
        <v>N</v>
      </c>
      <c r="X100" s="204">
        <f t="shared" si="48"/>
        <v>1</v>
      </c>
      <c r="Y100" s="204">
        <f t="shared" si="33"/>
        <v>5.4600000000000003E-2</v>
      </c>
      <c r="Z100" s="204">
        <f t="shared" si="34"/>
        <v>23.321300000000001</v>
      </c>
      <c r="AA100" s="204">
        <f t="shared" si="35"/>
        <v>23.2667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6"/>
        <v>187</v>
      </c>
      <c r="AE100" s="77" t="str">
        <f t="shared" si="37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100" s="74" t="str">
        <f t="shared" si="38"/>
        <v>"C:\Program Files (x86)\AstroGrep\AstroGrep.exe" /e /r /s /spath="%USERPROFILE%\AppData\Local\Temp\OnboardLogs" /stypes="app*4066*20171109*" /stext=" 22:.+((SYSTEM_STATE.+slice.+state.+changed )|(ment ac)|(multiple cpu faults)|(system.+state.+changed )|(\[timeout)|(PRM\|1\|D)|(kpr)|(kdp)|(train st.+moving)|(\|lc)|(penalty))"</v>
      </c>
      <c r="AG100" s="182" t="str">
        <f t="shared" si="39"/>
        <v>EC</v>
      </c>
      <c r="AH100" s="78" t="str">
        <f t="shared" si="40"/>
        <v>"%USERPROFILE%\Documents\GitHub\eaglep3\Utilities\RefineRTDCRunTimes.py" --tripid 187-09 --locoid 4066 --swversion DE.1.0.9.0 --startMP 204:546 --initTime 2017-11-09T14:24:16 --startdatetime 2017-11-09T14:30:32 --delay 72 --endMP 204:233213 --enddatetime 2017-11-09T15:09:04 --enforcementcount 0 &gt;&gt;%USERPROFILE%\Documents\GitHub\eaglep3-reporting\EC\2017-11-09-refined-times.txt</v>
      </c>
      <c r="AI10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{"issue":{"subject":"","project_id":79,"tracker_id":40,"status_id":1,"priority_id":2,"assigned_to_id":338,"start_date":"2017-11-09","description":"","custom_fields":[{"id":1,"name":"Subdivision","value":"EC"},{"id":4,"name":"Milepost","value":"23.3213"},{"id":17,"name":"Train ID","value":"187-09"},{"id":16,"name":"Locomotive ID","value":"4066"},{"id":130,"name":"Impact","value":""},{"id":150,"name":"Time of Event (Mountain Time)","value":"15:09:04"},{"id":151,"name":"Denver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4066 --day 2017-11-09</v>
      </c>
      <c r="AN100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4"/>
        <v>https://d0f6bd738d7f1b3e5a7ca70fe4ff75f0.us-east-1.aws.found.io/app/kibana#/discover/Steve-Slow-Train-Analysis-(2080s-and-2083s)?_g=(refreshInterval:(display:Off,pause:!f,section:0,value:0),time:(from:'2017-11-09T13:24:16-0700',mode:absolute,to:'2017-11-09T16:09:04-0700'))&amp;_a=(columns:!('Message%20ID',Summary),filters:!(),index:'emp_*',interval:auto,query:(query_string:(analyze_wildcard:!t,query:'%22rtdc.l.rtdc.4066%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800</v>
      </c>
      <c r="B101" s="7">
        <v>4065</v>
      </c>
      <c r="C101" s="21" t="s">
        <v>192</v>
      </c>
      <c r="D101" s="21" t="s">
        <v>958</v>
      </c>
      <c r="E101" s="13">
        <v>43048.640347222223</v>
      </c>
      <c r="F101" s="13">
        <v>43048.64402777778</v>
      </c>
      <c r="G101" s="7">
        <v>74</v>
      </c>
      <c r="H101" s="21" t="s">
        <v>959</v>
      </c>
      <c r="I101" s="13">
        <v>43048.670567129629</v>
      </c>
      <c r="J101" s="7">
        <v>0</v>
      </c>
      <c r="K101" s="89" t="str">
        <f t="shared" si="29"/>
        <v>4065/4066</v>
      </c>
      <c r="L101" s="185" t="str">
        <f>VLOOKUP(A101,'Trips&amp;Operators'!$C$1:$G$99911,5,FALSE)</f>
        <v>ANDREA WILLIAMS</v>
      </c>
      <c r="M101" s="6">
        <f t="shared" si="30"/>
        <v>2.6539351849351078E-2</v>
      </c>
      <c r="N101" s="7">
        <f t="shared" si="50"/>
        <v>38.216666663065553</v>
      </c>
      <c r="O101" s="7"/>
      <c r="P101" s="7"/>
      <c r="Q101" s="22"/>
      <c r="R101" s="174"/>
      <c r="S101" s="221">
        <f t="shared" si="49"/>
        <v>1</v>
      </c>
      <c r="T101" s="174" t="str">
        <f t="shared" si="31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-11-09T14:22:06-0700',mode:absolute,to:'2017-11-09T17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1" s="204" t="str">
        <f>IF(AA101&lt;VLOOKUP(AG101,Variables!$AC$3:$AD$8,2,FALSE),"Y","N")</f>
        <v>N</v>
      </c>
      <c r="X101" s="204">
        <f t="shared" si="48"/>
        <v>1</v>
      </c>
      <c r="Y101" s="204">
        <f t="shared" si="33"/>
        <v>23.289400000000001</v>
      </c>
      <c r="Z101" s="204">
        <f t="shared" si="34"/>
        <v>2.3800000000000002E-2</v>
      </c>
      <c r="AA101" s="204">
        <f t="shared" si="35"/>
        <v>23.265599999999999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6"/>
        <v>188</v>
      </c>
      <c r="AE101" s="77" t="str">
        <f t="shared" si="37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101" s="74" t="str">
        <f t="shared" si="38"/>
        <v>"C:\Program Files (x86)\AstroGrep\AstroGrep.exe" /e /r /s /spath="%USERPROFILE%\AppData\Local\Temp\OnboardLogs" /stypes="app*4065*20171109*" /stext=" 23:.+((SYSTEM_STATE.+slice.+state.+changed )|(ment ac)|(multiple cpu faults)|(system.+state.+changed )|(\[timeout)|(PRM\|1\|D)|(kpr)|(kdp)|(train st.+moving)|(\|lc)|(penalty))"</v>
      </c>
      <c r="AG101" s="182" t="str">
        <f t="shared" si="39"/>
        <v>EC</v>
      </c>
      <c r="AH101" s="78" t="str">
        <f t="shared" si="40"/>
        <v>"%USERPROFILE%\Documents\GitHub\eaglep3\Utilities\RefineRTDCRunTimes.py" --tripid 188-09 --locoid 4065 --swversion DE.1.0.9.0 --startMP 204:232894 --initTime 2017-11-09T15:22:06 --startdatetime 2017-11-09T15:27:24 --delay 74 --endMP 204:238 --enddatetime 2017-11-09T16:05:37 --enforcementcount 0 &gt;&gt;%USERPROFILE%\Documents\GitHub\eaglep3-reporting\EC\2017-11-09-refined-times.txt</v>
      </c>
      <c r="AI101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{"issue":{"subject":"","project_id":79,"tracker_id":40,"status_id":1,"priority_id":2,"assigned_to_id":338,"start_date":"2017-11-09","description":"","custom_fields":[{"id":1,"name":"Subdivision","value":"EC"},{"id":4,"name":"Milepost","value":"0.0238"},{"id":17,"name":"Train ID","value":"188-09"},{"id":16,"name":"Locomotive ID","value":"4065"},{"id":130,"name":"Impact","value":""},{"id":150,"name":"Time of Event (Mountain Time)","value":"16:05:37"},{"id":151,"name":"Denver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4065 --day 2017-11-09</v>
      </c>
      <c r="AN101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4"/>
        <v>https://d0f6bd738d7f1b3e5a7ca70fe4ff75f0.us-east-1.aws.found.io/app/kibana#/discover/Steve-Slow-Train-Analysis-(2080s-and-2083s)?_g=(refreshInterval:(display:Off,pause:!f,section:0,value:0),time:(from:'2017-11-09T14:22:06-0700',mode:absolute,to:'2017-11-09T17:05:37-0700'))&amp;_a=(columns:!('Message%20ID',Summary),filters:!(),index:'emp_*',interval:auto,query:(query_string:(analyze_wildcard:!t,query:'%22rtdc.l.rtdc.4065%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794</v>
      </c>
      <c r="B102" s="7">
        <v>4014</v>
      </c>
      <c r="C102" s="21" t="s">
        <v>192</v>
      </c>
      <c r="D102" s="21" t="s">
        <v>958</v>
      </c>
      <c r="E102" s="13">
        <v>43048.640347222223</v>
      </c>
      <c r="F102" s="13">
        <v>43048.614872685182</v>
      </c>
      <c r="G102" s="7">
        <v>74</v>
      </c>
      <c r="H102" s="21" t="s">
        <v>959</v>
      </c>
      <c r="I102" s="13">
        <v>43048.640682870369</v>
      </c>
      <c r="J102" s="7">
        <v>0</v>
      </c>
      <c r="K102" s="89" t="str">
        <f t="shared" si="29"/>
        <v>4013/4014</v>
      </c>
      <c r="L102" s="185" t="str">
        <f>VLOOKUP(A102,'Trips&amp;Operators'!$C$1:$G$99911,5,FALSE)</f>
        <v>STRICKLAND EVAN</v>
      </c>
      <c r="M102" s="6">
        <f t="shared" si="30"/>
        <v>2.5810185186855961E-2</v>
      </c>
      <c r="N102" s="7">
        <f t="shared" si="50"/>
        <v>37.166666669072583</v>
      </c>
      <c r="O102" s="7"/>
      <c r="P102" s="7"/>
      <c r="Q102" s="22"/>
      <c r="R102" s="174"/>
      <c r="S102" s="221">
        <f t="shared" si="49"/>
        <v>1</v>
      </c>
      <c r="T102" s="174" t="str">
        <f t="shared" si="31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-11-09T14:22:06-0700',mode:absolute,to:'2017-11-09T16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2" s="204" t="str">
        <f>IF(AA102&lt;VLOOKUP(AG102,Variables!$AC$3:$AD$8,2,FALSE),"Y","N")</f>
        <v>N</v>
      </c>
      <c r="X102" s="204">
        <f t="shared" si="48"/>
        <v>1</v>
      </c>
      <c r="Y102" s="204">
        <v>5.4600000000000003E-2</v>
      </c>
      <c r="Z102" s="204">
        <v>23.321300000000001</v>
      </c>
      <c r="AA102" s="204">
        <f t="shared" si="35"/>
        <v>23.2667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6"/>
        <v>189</v>
      </c>
      <c r="AE102" s="77" t="str">
        <f t="shared" si="37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102" s="74" t="str">
        <f t="shared" si="38"/>
        <v>"C:\Program Files (x86)\AstroGrep\AstroGrep.exe" /e /r /s /spath="%USERPROFILE%\AppData\Local\Temp\OnboardLogs" /stypes="app*4014*20171109*" /stext=" 22:.+((SYSTEM_STATE.+slice.+state.+changed )|(ment ac)|(multiple cpu faults)|(system.+state.+changed )|(\[timeout)|(PRM\|1\|D)|(kpr)|(kdp)|(train st.+moving)|(\|lc)|(penalty))"</v>
      </c>
      <c r="AG102" s="182" t="str">
        <f t="shared" si="39"/>
        <v>EC</v>
      </c>
      <c r="AH102" s="78" t="str">
        <f t="shared" ref="AH102" si="51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189-09 --locoid 4014 --swversion DE.1.0.9.0 --startMP 204:232894 --initTime 2017-11-09T15:22:06 --startdatetime 2017-11-09T14:45:25 --delay 74 --endMP 204:238 --enddatetime 2017-11-09T15:22:35 --enforcementcount 0 &gt;&gt;%USERPROFILE%\Documents\GitHub\eaglep3-reporting\EC\2017-11-09-refined-times.txt</v>
      </c>
      <c r="AI10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{"issue":{"subject":"","project_id":79,"tracker_id":40,"status_id":1,"priority_id":2,"assigned_to_id":338,"start_date":"2017-11-09","description":"","custom_fields":[{"id":1,"name":"Subdivision","value":"EC"},{"id":4,"name":"Milepost","value":"23.3213"},{"id":17,"name":"Train ID","value":"189-09"},{"id":16,"name":"Locomotive ID","value":"4014"},{"id":130,"name":"Impact","value":""},{"id":150,"name":"Time of Event (Mountain Time)","value":"15:22:35"},{"id":151,"name":"Denver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ref="AM102" si="52">"start /low /b "&amp;dls3logs&amp;" --loco "&amp;B102&amp;" --day "&amp;TEXT(F102,"YYYY-MM-DD")</f>
        <v>start /low /b %USERPROFILE%\Documents\GitHub\eaglep3\Utilities\DownloadLogsFromS3.py --loco 4014 --day 2017-11-09</v>
      </c>
      <c r="AN102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53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-09T14:22:06-0700',mode:absolute,to:'2017-11-09T16:22:35-0700'))&amp;_a=(columns:!('Message%20ID',Summary),filters:!(),index:'emp_*',interval:auto,query:(query_string:(analyze_wildcard:!t,query:'%22rtdc.l.rtdc.4014%22')),sort:!(Time.ISO8601,asc))</v>
      </c>
    </row>
    <row r="103" spans="1:91" s="20" customFormat="1" x14ac:dyDescent="0.25">
      <c r="A103" s="32" t="s">
        <v>803</v>
      </c>
      <c r="B103" s="7">
        <v>4013</v>
      </c>
      <c r="C103" s="21" t="s">
        <v>192</v>
      </c>
      <c r="D103" s="21" t="s">
        <v>585</v>
      </c>
      <c r="E103" s="13">
        <v>43048.642604166664</v>
      </c>
      <c r="F103" s="13">
        <v>43048.654490740744</v>
      </c>
      <c r="G103" s="7">
        <v>83</v>
      </c>
      <c r="H103" s="21" t="s">
        <v>610</v>
      </c>
      <c r="I103" s="13">
        <v>43048.681342592594</v>
      </c>
      <c r="J103" s="7">
        <v>0</v>
      </c>
      <c r="K103" s="89" t="str">
        <f t="shared" si="29"/>
        <v>4013/4014</v>
      </c>
      <c r="L103" s="185" t="str">
        <f>VLOOKUP(A103,'Trips&amp;Operators'!$C$1:$G$99911,5,FALSE)</f>
        <v>STRICKLAND EVAN</v>
      </c>
      <c r="M103" s="6">
        <f t="shared" si="30"/>
        <v>2.6851851849642117E-2</v>
      </c>
      <c r="N103" s="7">
        <f t="shared" si="50"/>
        <v>38.666666663484648</v>
      </c>
      <c r="O103" s="7"/>
      <c r="P103" s="7"/>
      <c r="Q103" s="22"/>
      <c r="R103" s="174"/>
      <c r="S103" s="221">
        <f t="shared" si="49"/>
        <v>1</v>
      </c>
      <c r="T103" s="174" t="str">
        <f t="shared" si="31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-11-09T14:25:21-0700',mode:absolute,to:'2017-11-09T17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3" s="204" t="str">
        <f>IF(AA103&lt;VLOOKUP(AG103,Variables!$AC$3:$AD$8,2,FALSE),"Y","N")</f>
        <v>N</v>
      </c>
      <c r="X103" s="204">
        <f t="shared" si="48"/>
        <v>1</v>
      </c>
      <c r="Y103" s="204">
        <f t="shared" ref="Y103:Y116" si="54">RIGHT(D103,LEN(D103)-4)/10000</f>
        <v>23.290600000000001</v>
      </c>
      <c r="Z103" s="204">
        <f t="shared" ref="Z103:Z116" si="55">RIGHT(H103,LEN(H103)-4)/10000</f>
        <v>2.4199999999999999E-2</v>
      </c>
      <c r="AA103" s="204">
        <f t="shared" si="35"/>
        <v>23.266400000000001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6"/>
        <v>190</v>
      </c>
      <c r="AE103" s="77" t="str">
        <f t="shared" si="37"/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AF103" s="74" t="str">
        <f t="shared" si="38"/>
        <v>"C:\Program Files (x86)\AstroGrep\AstroGrep.exe" /e /r /s /spath="%USERPROFILE%\AppData\Local\Temp\OnboardLogs" /stypes="app*4013*20171109*" /stext=" 23:.+((SYSTEM_STATE.+slice.+state.+changed )|(ment ac)|(multiple cpu faults)|(system.+state.+changed )|(\[timeout)|(PRM\|1\|D)|(kpr)|(kdp)|(train st.+moving)|(\|lc)|(penalty))"</v>
      </c>
      <c r="AG103" s="182" t="str">
        <f t="shared" si="39"/>
        <v>EC</v>
      </c>
      <c r="AH103" s="78" t="str">
        <f t="shared" si="40"/>
        <v>"%USERPROFILE%\Documents\GitHub\eaglep3\Utilities\RefineRTDCRunTimes.py" --tripid 190-09 --locoid 4013 --swversion DE.1.0.9.0 --startMP 204:232906 --initTime 2017-11-09T15:25:21 --startdatetime 2017-11-09T15:42:28 --delay 83 --endMP 204:242 --enddatetime 2017-11-09T16:21:08 --enforcementcount 0 &gt;&gt;%USERPROFILE%\Documents\GitHub\eaglep3-reporting\EC\2017-11-09-refined-times.txt</v>
      </c>
      <c r="AI10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{"issue":{"subject":"","project_id":79,"tracker_id":40,"status_id":1,"priority_id":2,"assigned_to_id":338,"start_date":"2017-11-09","description":"","custom_fields":[{"id":1,"name":"Subdivision","value":"EC"},{"id":4,"name":"Milepost","value":"0.0242"},{"id":17,"name":"Train ID","value":"190-09"},{"id":16,"name":"Locomotive ID","value":"4013"},{"id":130,"name":"Impact","value":""},{"id":150,"name":"Time of Event (Mountain Time)","value":"16:21:08"},{"id":151,"name":"Denver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4013 --day 2017-11-09</v>
      </c>
      <c r="AN103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4"/>
        <v>https://d0f6bd738d7f1b3e5a7ca70fe4ff75f0.us-east-1.aws.found.io/app/kibana#/discover/Steve-Slow-Train-Analysis-(2080s-and-2083s)?_g=(refreshInterval:(display:Off,pause:!f,section:0,value:0),time:(from:'2017-11-09T14:25:21-0700',mode:absolute,to:'2017-11-09T17:21:08-0700'))&amp;_a=(columns:!('Message%20ID',Summary),filters:!(),index:'emp_*',interval:auto,query:(query_string:(analyze_wildcard:!t,query:'%22rtdc.l.rtdc.4013%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796</v>
      </c>
      <c r="B104" s="7">
        <v>4024</v>
      </c>
      <c r="C104" s="21" t="s">
        <v>192</v>
      </c>
      <c r="D104" s="21" t="s">
        <v>620</v>
      </c>
      <c r="E104" s="13">
        <v>43048.621562499997</v>
      </c>
      <c r="F104" s="13">
        <v>43048.625196759262</v>
      </c>
      <c r="G104" s="7">
        <v>62</v>
      </c>
      <c r="H104" s="21" t="s">
        <v>960</v>
      </c>
      <c r="I104" s="13">
        <v>43048.64947916667</v>
      </c>
      <c r="J104" s="7">
        <v>0</v>
      </c>
      <c r="K104" s="89" t="str">
        <f t="shared" si="29"/>
        <v>4023/4024</v>
      </c>
      <c r="L104" s="185" t="str">
        <f>VLOOKUP(A104,'Trips&amp;Operators'!$C$1:$G$99911,5,FALSE)</f>
        <v>STEWART MICHAEL</v>
      </c>
      <c r="M104" s="6">
        <f t="shared" si="30"/>
        <v>2.4282407408463769E-2</v>
      </c>
      <c r="N104" s="7">
        <f t="shared" si="50"/>
        <v>34.966666668187827</v>
      </c>
      <c r="O104" s="7"/>
      <c r="P104" s="7"/>
      <c r="Q104" s="22"/>
      <c r="R104" s="174"/>
      <c r="S104" s="221">
        <f t="shared" si="49"/>
        <v>1</v>
      </c>
      <c r="T104" s="174" t="str">
        <f t="shared" si="31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-11-09T13:55:03-0700',mode:absolute,to:'2017-11-09T16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4" s="204" t="str">
        <f>IF(AA104&lt;VLOOKUP(AG104,Variables!$AC$3:$AD$8,2,FALSE),"Y","N")</f>
        <v>N</v>
      </c>
      <c r="X104" s="204">
        <f t="shared" si="48"/>
        <v>1</v>
      </c>
      <c r="Y104" s="204">
        <f t="shared" si="54"/>
        <v>5.2900000000000003E-2</v>
      </c>
      <c r="Z104" s="204">
        <f t="shared" si="55"/>
        <v>23.324000000000002</v>
      </c>
      <c r="AA104" s="204">
        <f t="shared" si="35"/>
        <v>23.271100000000001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6"/>
        <v>191</v>
      </c>
      <c r="AE104" s="77" t="str">
        <f t="shared" si="37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04" s="74" t="str">
        <f t="shared" si="38"/>
        <v>"C:\Program Files (x86)\AstroGrep\AstroGrep.exe" /e /r /s /spath="%USERPROFILE%\AppData\Local\Temp\OnboardLogs" /stypes="app*4024*20171109*" /stext=" 22:.+((SYSTEM_STATE.+slice.+state.+changed )|(ment ac)|(multiple cpu faults)|(system.+state.+changed )|(\[timeout)|(PRM\|1\|D)|(kpr)|(kdp)|(train st.+moving)|(\|lc)|(penalty))"</v>
      </c>
      <c r="AG104" s="182" t="str">
        <f t="shared" si="39"/>
        <v>EC</v>
      </c>
      <c r="AH104" s="78" t="str">
        <f t="shared" si="40"/>
        <v>"%USERPROFILE%\Documents\GitHub\eaglep3\Utilities\RefineRTDCRunTimes.py" --tripid 191-09 --locoid 4024 --swversion DE.1.0.9.0 --startMP 204:529 --initTime 2017-11-09T14:55:03 --startdatetime 2017-11-09T15:00:17 --delay 62 --endMP 204:233240 --enddatetime 2017-11-09T15:35:15 --enforcementcount 0 &gt;&gt;%USERPROFILE%\Documents\GitHub\eaglep3-reporting\EC\2017-11-09-refined-times.txt</v>
      </c>
      <c r="AI10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{"issue":{"subject":"","project_id":79,"tracker_id":40,"status_id":1,"priority_id":2,"assigned_to_id":338,"start_date":"2017-11-09","description":"","custom_fields":[{"id":1,"name":"Subdivision","value":"EC"},{"id":4,"name":"Milepost","value":"23.324"},{"id":17,"name":"Train ID","value":"191-09"},{"id":16,"name":"Locomotive ID","value":"4024"},{"id":130,"name":"Impact","value":""},{"id":150,"name":"Time of Event (Mountain Time)","value":"15:35:15"},{"id":151,"name":"Denver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4024 --day 2017-11-09</v>
      </c>
      <c r="AN104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4"/>
        <v>https://d0f6bd738d7f1b3e5a7ca70fe4ff75f0.us-east-1.aws.found.io/app/kibana#/discover/Steve-Slow-Train-Analysis-(2080s-and-2083s)?_g=(refreshInterval:(display:Off,pause:!f,section:0,value:0),time:(from:'2017-11-09T13:55:03-0700',mode:absolute,to:'2017-11-09T16:35:15-0700'))&amp;_a=(columns:!('Message%20ID',Summary),filters:!(),index:'emp_*',interval:auto,query:(query_string:(analyze_wildcard:!t,query:'%22rtdc.l.rtdc.4024%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806</v>
      </c>
      <c r="B105" s="7">
        <v>4023</v>
      </c>
      <c r="C105" s="21" t="s">
        <v>192</v>
      </c>
      <c r="D105" s="21" t="s">
        <v>612</v>
      </c>
      <c r="E105" s="13">
        <v>43048.661180555559</v>
      </c>
      <c r="F105" s="13">
        <v>43048.664780092593</v>
      </c>
      <c r="G105" s="7">
        <v>49</v>
      </c>
      <c r="H105" s="21" t="s">
        <v>599</v>
      </c>
      <c r="I105" s="13">
        <v>43048.691979166666</v>
      </c>
      <c r="J105" s="7">
        <v>0</v>
      </c>
      <c r="K105" s="89" t="str">
        <f t="shared" si="29"/>
        <v>4023/4024</v>
      </c>
      <c r="L105" s="185" t="str">
        <f>VLOOKUP(A105,'Trips&amp;Operators'!$C$1:$G$99911,5,FALSE)</f>
        <v>STEWART MICHAEL</v>
      </c>
      <c r="M105" s="6">
        <f t="shared" si="30"/>
        <v>2.7199074072996154E-2</v>
      </c>
      <c r="N105" s="7">
        <f t="shared" si="50"/>
        <v>39.166666665114462</v>
      </c>
      <c r="O105" s="7"/>
      <c r="P105" s="7"/>
      <c r="Q105" s="22"/>
      <c r="R105" s="174"/>
      <c r="S105" s="221">
        <f t="shared" si="49"/>
        <v>1</v>
      </c>
      <c r="T105" s="174" t="str">
        <f t="shared" si="31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-11-09T14:52:06-0700',mode:absolute,to:'2017-11-09T17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5" s="204" t="str">
        <f>IF(AA105&lt;VLOOKUP(AG105,Variables!$AC$3:$AD$8,2,FALSE),"Y","N")</f>
        <v>N</v>
      </c>
      <c r="X105" s="204">
        <f t="shared" si="48"/>
        <v>1</v>
      </c>
      <c r="Y105" s="204">
        <f t="shared" si="54"/>
        <v>23.290900000000001</v>
      </c>
      <c r="Z105" s="204">
        <f t="shared" si="55"/>
        <v>2.1999999999999999E-2</v>
      </c>
      <c r="AA105" s="204">
        <f t="shared" si="35"/>
        <v>23.268900000000002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6"/>
        <v>192</v>
      </c>
      <c r="AE105" s="77" t="str">
        <f t="shared" si="37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105" s="74" t="str">
        <f t="shared" si="38"/>
        <v>"C:\Program Files (x86)\AstroGrep\AstroGrep.exe" /e /r /s /spath="%USERPROFILE%\AppData\Local\Temp\OnboardLogs" /stypes="app*4023*20171109*" /stext=" 23:.+((SYSTEM_STATE.+slice.+state.+changed )|(ment ac)|(multiple cpu faults)|(system.+state.+changed )|(\[timeout)|(PRM\|1\|D)|(kpr)|(kdp)|(train st.+moving)|(\|lc)|(penalty))"</v>
      </c>
      <c r="AG105" s="182" t="str">
        <f t="shared" si="39"/>
        <v>EC</v>
      </c>
      <c r="AH105" s="78" t="str">
        <f t="shared" si="40"/>
        <v>"%USERPROFILE%\Documents\GitHub\eaglep3\Utilities\RefineRTDCRunTimes.py" --tripid 192-09 --locoid 4023 --swversion DE.1.0.9.0 --startMP 204:232909 --initTime 2017-11-09T15:52:06 --startdatetime 2017-11-09T15:57:17 --delay 49 --endMP 204:220 --enddatetime 2017-11-09T16:36:27 --enforcementcount 0 &gt;&gt;%USERPROFILE%\Documents\GitHub\eaglep3-reporting\EC\2017-11-09-refined-times.txt</v>
      </c>
      <c r="AI10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{"issue":{"subject":"","project_id":79,"tracker_id":40,"status_id":1,"priority_id":2,"assigned_to_id":338,"start_date":"2017-11-09","description":"","custom_fields":[{"id":1,"name":"Subdivision","value":"EC"},{"id":4,"name":"Milepost","value":"0.022"},{"id":17,"name":"Train ID","value":"192-09"},{"id":16,"name":"Locomotive ID","value":"4023"},{"id":130,"name":"Impact","value":""},{"id":150,"name":"Time of Event (Mountain Time)","value":"16:36:27"},{"id":151,"name":"Denver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4023 --day 2017-11-09</v>
      </c>
      <c r="AN105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4"/>
        <v>https://d0f6bd738d7f1b3e5a7ca70fe4ff75f0.us-east-1.aws.found.io/app/kibana#/discover/Steve-Slow-Train-Analysis-(2080s-and-2083s)?_g=(refreshInterval:(display:Off,pause:!f,section:0,value:0),time:(from:'2017-11-09T14:52:06-0700',mode:absolute,to:'2017-11-09T17:36:27-0700'))&amp;_a=(columns:!('Message%20ID',Summary),filters:!(),index:'emp_*',interval:auto,query:(query_string:(analyze_wildcard:!t,query:'%22rtdc.l.rtdc.4023%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798</v>
      </c>
      <c r="B106" s="7">
        <v>4026</v>
      </c>
      <c r="C106" s="21" t="s">
        <v>192</v>
      </c>
      <c r="D106" s="21" t="s">
        <v>961</v>
      </c>
      <c r="E106" s="13">
        <v>43048.632777777777</v>
      </c>
      <c r="F106" s="13">
        <v>43048.635578703703</v>
      </c>
      <c r="G106" s="7">
        <v>50</v>
      </c>
      <c r="H106" s="21" t="s">
        <v>951</v>
      </c>
      <c r="I106" s="13">
        <v>43048.660486111112</v>
      </c>
      <c r="J106" s="7">
        <v>0</v>
      </c>
      <c r="K106" s="89" t="str">
        <f t="shared" si="29"/>
        <v>4025/4026</v>
      </c>
      <c r="L106" s="185" t="str">
        <f>VLOOKUP(A106,'Trips&amp;Operators'!$C$1:$G$99911,5,FALSE)</f>
        <v>LEVIN SCOTT</v>
      </c>
      <c r="M106" s="6">
        <f t="shared" si="30"/>
        <v>2.4907407409045845E-2</v>
      </c>
      <c r="N106" s="7">
        <f t="shared" si="50"/>
        <v>35.866666669026017</v>
      </c>
      <c r="O106" s="7"/>
      <c r="P106" s="7"/>
      <c r="Q106" s="22"/>
      <c r="R106" s="174"/>
      <c r="S106" s="221">
        <f t="shared" si="49"/>
        <v>1</v>
      </c>
      <c r="T106" s="174" t="str">
        <f t="shared" si="31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-11-09T14:11:12-0700',mode:absolute,to:'2017-11-09T16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4" t="str">
        <f>IF(AA106&lt;VLOOKUP(AG106,Variables!$AC$3:$AD$8,2,FALSE),"Y","N")</f>
        <v>N</v>
      </c>
      <c r="X106" s="204">
        <f t="shared" si="48"/>
        <v>1</v>
      </c>
      <c r="Y106" s="204">
        <f t="shared" si="54"/>
        <v>4.8800000000000003E-2</v>
      </c>
      <c r="Z106" s="204">
        <f t="shared" si="55"/>
        <v>23.324200000000001</v>
      </c>
      <c r="AA106" s="204">
        <f t="shared" si="35"/>
        <v>23.275400000000001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6"/>
        <v>193</v>
      </c>
      <c r="AE106" s="77" t="str">
        <f t="shared" si="37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106" s="74" t="str">
        <f t="shared" si="38"/>
        <v>"C:\Program Files (x86)\AstroGrep\AstroGrep.exe" /e /r /s /spath="%USERPROFILE%\AppData\Local\Temp\OnboardLogs" /stypes="app*4026*20171109*" /stext=" 22:.+((SYSTEM_STATE.+slice.+state.+changed )|(ment ac)|(multiple cpu faults)|(system.+state.+changed )|(\[timeout)|(PRM\|1\|D)|(kpr)|(kdp)|(train st.+moving)|(\|lc)|(penalty))"</v>
      </c>
      <c r="AG106" s="182" t="str">
        <f t="shared" si="39"/>
        <v>EC</v>
      </c>
      <c r="AH106" s="78" t="str">
        <f t="shared" si="40"/>
        <v>"%USERPROFILE%\Documents\GitHub\eaglep3\Utilities\RefineRTDCRunTimes.py" --tripid 193-09 --locoid 4026 --swversion DE.1.0.9.0 --startMP 204:488 --initTime 2017-11-09T15:11:12 --startdatetime 2017-11-09T15:15:14 --delay 50 --endMP 204:233242 --enddatetime 2017-11-09T15:51:06 --enforcementcount 0 &gt;&gt;%USERPROFILE%\Documents\GitHub\eaglep3-reporting\EC\2017-11-09-refined-times.txt</v>
      </c>
      <c r="AI106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{"issue":{"subject":"","project_id":79,"tracker_id":40,"status_id":1,"priority_id":2,"assigned_to_id":338,"start_date":"2017-11-09","description":"","custom_fields":[{"id":1,"name":"Subdivision","value":"EC"},{"id":4,"name":"Milepost","value":"23.3242"},{"id":17,"name":"Train ID","value":"193-09"},{"id":16,"name":"Locomotive ID","value":"4026"},{"id":130,"name":"Impact","value":""},{"id":150,"name":"Time of Event (Mountain Time)","value":"15:51:06"},{"id":151,"name":"Denver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4026 --day 2017-11-09</v>
      </c>
      <c r="AN106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4"/>
        <v>https://d0f6bd738d7f1b3e5a7ca70fe4ff75f0.us-east-1.aws.found.io/app/kibana#/discover/Steve-Slow-Train-Analysis-(2080s-and-2083s)?_g=(refreshInterval:(display:Off,pause:!f,section:0,value:0),time:(from:'2017-11-09T14:11:12-0700',mode:absolute,to:'2017-11-09T16:51:06-0700'))&amp;_a=(columns:!('Message%20ID',Summary),filters:!(),index:'emp_*',interval:auto,query:(query_string:(analyze_wildcard:!t,query:'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810</v>
      </c>
      <c r="B107" s="7">
        <v>4025</v>
      </c>
      <c r="C107" s="21" t="s">
        <v>192</v>
      </c>
      <c r="D107" s="21" t="s">
        <v>962</v>
      </c>
      <c r="E107" s="13">
        <v>43048.672094907408</v>
      </c>
      <c r="F107" s="13">
        <v>43048.675219907411</v>
      </c>
      <c r="G107" s="7">
        <v>52</v>
      </c>
      <c r="H107" s="21" t="s">
        <v>963</v>
      </c>
      <c r="I107" s="13">
        <v>43048.701620370368</v>
      </c>
      <c r="J107" s="7">
        <v>0</v>
      </c>
      <c r="K107" s="89" t="str">
        <f t="shared" si="29"/>
        <v>4025/4026</v>
      </c>
      <c r="L107" s="185" t="str">
        <f>VLOOKUP(A107,'Trips&amp;Operators'!$C$1:$G$99911,5,FALSE)</f>
        <v>LEVIN SCOTT</v>
      </c>
      <c r="M107" s="6">
        <f t="shared" si="30"/>
        <v>2.640046295709908E-2</v>
      </c>
      <c r="N107" s="7">
        <f t="shared" si="50"/>
        <v>38.016666658222675</v>
      </c>
      <c r="O107" s="7"/>
      <c r="P107" s="7"/>
      <c r="Q107" s="22"/>
      <c r="R107" s="174"/>
      <c r="S107" s="221">
        <f t="shared" si="49"/>
        <v>1</v>
      </c>
      <c r="T107" s="174" t="str">
        <f t="shared" si="31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-11-09T15:07:49-0700',mode:absolute,to:'2017-11-09T17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4" t="str">
        <f>IF(AA107&lt;VLOOKUP(AG107,Variables!$AC$3:$AD$8,2,FALSE),"Y","N")</f>
        <v>N</v>
      </c>
      <c r="X107" s="204">
        <f t="shared" si="48"/>
        <v>1</v>
      </c>
      <c r="Y107" s="204">
        <f t="shared" si="54"/>
        <v>23.292100000000001</v>
      </c>
      <c r="Z107" s="204">
        <f t="shared" si="55"/>
        <v>2.4E-2</v>
      </c>
      <c r="AA107" s="204">
        <f t="shared" si="35"/>
        <v>23.2681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36"/>
        <v>194</v>
      </c>
      <c r="AE107" s="77" t="str">
        <f t="shared" si="37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107" s="74" t="str">
        <f t="shared" si="38"/>
        <v>"C:\Program Files (x86)\AstroGrep\AstroGrep.exe" /e /r /s /spath="%USERPROFILE%\AppData\Local\Temp\OnboardLogs" /stypes="app*4025*20171109*" /stext=" 23:.+((SYSTEM_STATE.+slice.+state.+changed )|(ment ac)|(multiple cpu faults)|(system.+state.+changed )|(\[timeout)|(PRM\|1\|D)|(kpr)|(kdp)|(train st.+moving)|(\|lc)|(penalty))"</v>
      </c>
      <c r="AG107" s="182" t="str">
        <f t="shared" si="39"/>
        <v>EC</v>
      </c>
      <c r="AH107" s="78" t="str">
        <f t="shared" si="40"/>
        <v>"%USERPROFILE%\Documents\GitHub\eaglep3\Utilities\RefineRTDCRunTimes.py" --tripid 194-09 --locoid 4025 --swversion DE.1.0.9.0 --startMP 204:232921 --initTime 2017-11-09T16:07:49 --startdatetime 2017-11-09T16:12:19 --delay 52 --endMP 204:240 --enddatetime 2017-11-09T16:50:20 --enforcementcount 0 &gt;&gt;%USERPROFILE%\Documents\GitHub\eaglep3-reporting\EC\2017-11-09-refined-times.txt</v>
      </c>
      <c r="AI10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{"issue":{"subject":"","project_id":79,"tracker_id":40,"status_id":1,"priority_id":2,"assigned_to_id":338,"start_date":"2017-11-09","description":"","custom_fields":[{"id":1,"name":"Subdivision","value":"EC"},{"id":4,"name":"Milepost","value":"0.024"},{"id":17,"name":"Train ID","value":"194-09"},{"id":16,"name":"Locomotive ID","value":"4025"},{"id":130,"name":"Impact","value":""},{"id":150,"name":"Time of Event (Mountain Time)","value":"16:50:20"},{"id":151,"name":"Denver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4025 --day 2017-11-09</v>
      </c>
      <c r="AN107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4"/>
        <v>https://d0f6bd738d7f1b3e5a7ca70fe4ff75f0.us-east-1.aws.found.io/app/kibana#/discover/Steve-Slow-Train-Analysis-(2080s-and-2083s)?_g=(refreshInterval:(display:Off,pause:!f,section:0,value:0),time:(from:'2017-11-09T15:07:49-0700',mode:absolute,to:'2017-11-09T17:50:20-0700'))&amp;_a=(columns:!('Message%20ID',Summary),filters:!(),index:'emp_*',interval:auto,query:(query_string:(analyze_wildcard:!t,query:'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801</v>
      </c>
      <c r="B108" s="7">
        <v>4064</v>
      </c>
      <c r="C108" s="21" t="s">
        <v>192</v>
      </c>
      <c r="D108" s="21" t="s">
        <v>910</v>
      </c>
      <c r="E108" s="13">
        <v>43048.641400462962</v>
      </c>
      <c r="F108" s="13">
        <v>43048.645983796298</v>
      </c>
      <c r="G108" s="7">
        <v>82</v>
      </c>
      <c r="H108" s="21" t="s">
        <v>523</v>
      </c>
      <c r="I108" s="13">
        <v>43048.671087962961</v>
      </c>
      <c r="J108" s="7">
        <v>0</v>
      </c>
      <c r="K108" s="89" t="str">
        <f t="shared" si="29"/>
        <v>4063/4064</v>
      </c>
      <c r="L108" s="185" t="str">
        <f>VLOOKUP(A108,'Trips&amp;Operators'!$C$1:$G$99911,5,FALSE)</f>
        <v>BERLING GARY</v>
      </c>
      <c r="M108" s="6">
        <f t="shared" si="30"/>
        <v>2.5104166663368233E-2</v>
      </c>
      <c r="N108" s="7">
        <f t="shared" si="50"/>
        <v>36.149999995250255</v>
      </c>
      <c r="O108" s="7"/>
      <c r="P108" s="7"/>
      <c r="Q108" s="22"/>
      <c r="R108" s="174"/>
      <c r="S108" s="221">
        <f t="shared" si="49"/>
        <v>1</v>
      </c>
      <c r="T108" s="174" t="str">
        <f t="shared" si="31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-11-09T14:23:37-0700',mode:absolute,to:'2017-11-09T17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8" s="204" t="str">
        <f>IF(AA108&lt;VLOOKUP(AG108,Variables!$AC$3:$AD$8,2,FALSE),"Y","N")</f>
        <v>N</v>
      </c>
      <c r="X108" s="204">
        <f t="shared" si="48"/>
        <v>1</v>
      </c>
      <c r="Y108" s="204">
        <f t="shared" si="54"/>
        <v>4.4900000000000002E-2</v>
      </c>
      <c r="Z108" s="204">
        <f t="shared" si="55"/>
        <v>23.320900000000002</v>
      </c>
      <c r="AA108" s="204">
        <f t="shared" si="35"/>
        <v>23.276000000000003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6"/>
        <v>195</v>
      </c>
      <c r="AE108" s="77" t="str">
        <f t="shared" si="37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108" s="74" t="str">
        <f t="shared" si="38"/>
        <v>"C:\Program Files (x86)\AstroGrep\AstroGrep.exe" /e /r /s /spath="%USERPROFILE%\AppData\Local\Temp\OnboardLogs" /stypes="app*4064*20171109*" /stext=" 23:.+((SYSTEM_STATE.+slice.+state.+changed )|(ment ac)|(multiple cpu faults)|(system.+state.+changed )|(\[timeout)|(PRM\|1\|D)|(kpr)|(kdp)|(train st.+moving)|(\|lc)|(penalty))"</v>
      </c>
      <c r="AG108" s="182" t="str">
        <f t="shared" si="39"/>
        <v>EC</v>
      </c>
      <c r="AH108" s="78" t="str">
        <f t="shared" si="40"/>
        <v>"%USERPROFILE%\Documents\GitHub\eaglep3\Utilities\RefineRTDCRunTimes.py" --tripid 195-09 --locoid 4064 --swversion DE.1.0.9.0 --startMP 204:449 --initTime 2017-11-09T15:23:37 --startdatetime 2017-11-09T15:30:13 --delay 82 --endMP 204:233209 --enddatetime 2017-11-09T16:06:22 --enforcementcount 0 &gt;&gt;%USERPROFILE%\Documents\GitHub\eaglep3-reporting\EC\2017-11-09-refined-times.txt</v>
      </c>
      <c r="AI10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{"issue":{"subject":"","project_id":79,"tracker_id":40,"status_id":1,"priority_id":2,"assigned_to_id":338,"start_date":"2017-11-09","description":"","custom_fields":[{"id":1,"name":"Subdivision","value":"EC"},{"id":4,"name":"Milepost","value":"23.3209"},{"id":17,"name":"Train ID","value":"195-09"},{"id":16,"name":"Locomotive ID","value":"4064"},{"id":130,"name":"Impact","value":""},{"id":150,"name":"Time of Event (Mountain Time)","value":"16:06:22"},{"id":151,"name":"Denver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4064 --day 2017-11-09</v>
      </c>
      <c r="AN108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4"/>
        <v>https://d0f6bd738d7f1b3e5a7ca70fe4ff75f0.us-east-1.aws.found.io/app/kibana#/discover/Steve-Slow-Train-Analysis-(2080s-and-2083s)?_g=(refreshInterval:(display:Off,pause:!f,section:0,value:0),time:(from:'2017-11-09T14:23:37-0700',mode:absolute,to:'2017-11-09T17:06:22-0700'))&amp;_a=(columns:!('Message%20ID',Summary),filters:!(),index:'emp_*',interval:auto,query:(query_string:(analyze_wildcard:!t,query:'%22rtdc.l.rtdc.4064%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813</v>
      </c>
      <c r="B109" s="7">
        <v>4063</v>
      </c>
      <c r="C109" s="21" t="s">
        <v>192</v>
      </c>
      <c r="D109" s="21" t="s">
        <v>524</v>
      </c>
      <c r="E109" s="13">
        <v>43048.68209490741</v>
      </c>
      <c r="F109" s="13">
        <v>43048.685578703706</v>
      </c>
      <c r="G109" s="7">
        <v>84</v>
      </c>
      <c r="H109" s="21" t="s">
        <v>964</v>
      </c>
      <c r="I109" s="13">
        <v>43048.713842592595</v>
      </c>
      <c r="J109" s="7">
        <v>0</v>
      </c>
      <c r="K109" s="89" t="str">
        <f t="shared" si="29"/>
        <v>4063/4064</v>
      </c>
      <c r="L109" s="185" t="str">
        <f>VLOOKUP(A109,'Trips&amp;Operators'!$C$1:$G$99911,5,FALSE)</f>
        <v>BERLING GARY</v>
      </c>
      <c r="M109" s="6">
        <f t="shared" si="30"/>
        <v>2.8263888889341615E-2</v>
      </c>
      <c r="N109" s="7">
        <f t="shared" si="50"/>
        <v>40.700000000651926</v>
      </c>
      <c r="O109" s="7"/>
      <c r="P109" s="7"/>
      <c r="Q109" s="22"/>
      <c r="R109" s="174"/>
      <c r="S109" s="221">
        <f t="shared" si="49"/>
        <v>1</v>
      </c>
      <c r="T109" s="174" t="str">
        <f t="shared" si="31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-11-09T15:22:13-0700',mode:absolute,to:'2017-11-09T18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9" s="204" t="str">
        <f>IF(AA109&lt;VLOOKUP(AG109,Variables!$AC$3:$AD$8,2,FALSE),"Y","N")</f>
        <v>N</v>
      </c>
      <c r="X109" s="204">
        <f t="shared" si="48"/>
        <v>1</v>
      </c>
      <c r="Y109" s="204">
        <f t="shared" si="54"/>
        <v>23.290199999999999</v>
      </c>
      <c r="Z109" s="204">
        <f t="shared" si="55"/>
        <v>2.6200000000000001E-2</v>
      </c>
      <c r="AA109" s="204">
        <f t="shared" si="35"/>
        <v>23.263999999999999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6"/>
        <v>196</v>
      </c>
      <c r="AE109" s="77" t="str">
        <f t="shared" si="37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109" s="74" t="str">
        <f t="shared" si="38"/>
        <v>"C:\Program Files (x86)\AstroGrep\AstroGrep.exe" /e /r /s /spath="%USERPROFILE%\AppData\Local\Temp\OnboardLogs" /stypes="app*4063*20171110*" /stext=" 00:.+((SYSTEM_STATE.+slice.+state.+changed )|(ment ac)|(multiple cpu faults)|(system.+state.+changed )|(\[timeout)|(PRM\|1\|D)|(kpr)|(kdp)|(train st.+moving)|(\|lc)|(penalty))"</v>
      </c>
      <c r="AG109" s="182" t="str">
        <f t="shared" si="39"/>
        <v>EC</v>
      </c>
      <c r="AH109" s="78" t="str">
        <f t="shared" si="40"/>
        <v>"%USERPROFILE%\Documents\GitHub\eaglep3\Utilities\RefineRTDCRunTimes.py" --tripid 196-09 --locoid 4063 --swversion DE.1.0.9.0 --startMP 204:232902 --initTime 2017-11-09T16:22:13 --startdatetime 2017-11-09T16:27:14 --delay 84 --endMP 204:262 --enddatetime 2017-11-09T17:07:56 --enforcementcount 0 &gt;&gt;%USERPROFILE%\Documents\GitHub\eaglep3-reporting\EC\2017-11-09-refined-times.txt</v>
      </c>
      <c r="AI10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{"issue":{"subject":"","project_id":79,"tracker_id":40,"status_id":1,"priority_id":2,"assigned_to_id":338,"start_date":"2017-11-09","description":"","custom_fields":[{"id":1,"name":"Subdivision","value":"EC"},{"id":4,"name":"Milepost","value":"0.0262"},{"id":17,"name":"Train ID","value":"196-09"},{"id":16,"name":"Locomotive ID","value":"4063"},{"id":130,"name":"Impact","value":""},{"id":150,"name":"Time of Event (Mountain Time)","value":"17:07:56"},{"id":151,"name":"Denver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4063 --day 2017-11-09</v>
      </c>
      <c r="AN109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4"/>
        <v>https://d0f6bd738d7f1b3e5a7ca70fe4ff75f0.us-east-1.aws.found.io/app/kibana#/discover/Steve-Slow-Train-Analysis-(2080s-and-2083s)?_g=(refreshInterval:(display:Off,pause:!f,section:0,value:0),time:(from:'2017-11-09T15:22:13-0700',mode:absolute,to:'2017-11-09T18:07:56-0700'))&amp;_a=(columns:!('Message%20ID',Summary),filters:!(),index:'emp_*',interval:auto,query:(query_string:(analyze_wildcard:!t,query:'%22rtdc.l.rtdc.4063%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805</v>
      </c>
      <c r="B110" s="7">
        <v>4006</v>
      </c>
      <c r="C110" s="21" t="s">
        <v>192</v>
      </c>
      <c r="D110" s="21" t="s">
        <v>623</v>
      </c>
      <c r="E110" s="13">
        <v>43048.652384259258</v>
      </c>
      <c r="F110" s="13">
        <v>43048.656446759262</v>
      </c>
      <c r="G110" s="7">
        <v>72</v>
      </c>
      <c r="H110" s="21" t="s">
        <v>965</v>
      </c>
      <c r="I110" s="13">
        <v>43048.681481481479</v>
      </c>
      <c r="J110" s="7">
        <v>0</v>
      </c>
      <c r="K110" s="89" t="str">
        <f t="shared" si="29"/>
        <v>4005/4006</v>
      </c>
      <c r="L110" s="185" t="str">
        <f>VLOOKUP(A110,'Trips&amp;Operators'!$C$1:$G$99911,5,FALSE)</f>
        <v>KILLION DAVID</v>
      </c>
      <c r="M110" s="6">
        <f t="shared" si="30"/>
        <v>2.5034722217242233E-2</v>
      </c>
      <c r="N110" s="7">
        <f t="shared" si="50"/>
        <v>36.049999992828816</v>
      </c>
      <c r="O110" s="7"/>
      <c r="P110" s="7"/>
      <c r="Q110" s="22"/>
      <c r="R110" s="174"/>
      <c r="S110" s="221">
        <f t="shared" si="49"/>
        <v>1</v>
      </c>
      <c r="T110" s="174" t="str">
        <f t="shared" si="31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-11-09T14:39:26-0700',mode:absolute,to:'2017-11-09T17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204" t="str">
        <f>IF(AA110&lt;VLOOKUP(AG110,Variables!$AC$3:$AD$8,2,FALSE),"Y","N")</f>
        <v>N</v>
      </c>
      <c r="X110" s="204">
        <f t="shared" si="48"/>
        <v>1</v>
      </c>
      <c r="Y110" s="204">
        <f t="shared" si="54"/>
        <v>4.5699999999999998E-2</v>
      </c>
      <c r="Z110" s="204">
        <f t="shared" si="55"/>
        <v>23.321200000000001</v>
      </c>
      <c r="AA110" s="204">
        <f t="shared" si="35"/>
        <v>23.275500000000001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6"/>
        <v>197</v>
      </c>
      <c r="AE110" s="77" t="str">
        <f t="shared" si="37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110" s="74" t="str">
        <f t="shared" si="38"/>
        <v>"C:\Program Files (x86)\AstroGrep\AstroGrep.exe" /e /r /s /spath="%USERPROFILE%\AppData\Local\Temp\OnboardLogs" /stypes="app*4006*20171109*" /stext=" 23:.+((SYSTEM_STATE.+slice.+state.+changed )|(ment ac)|(multiple cpu faults)|(system.+state.+changed )|(\[timeout)|(PRM\|1\|D)|(kpr)|(kdp)|(train st.+moving)|(\|lc)|(penalty))"</v>
      </c>
      <c r="AG110" s="182" t="str">
        <f t="shared" si="39"/>
        <v>EC</v>
      </c>
      <c r="AH110" s="78" t="str">
        <f t="shared" si="40"/>
        <v>"%USERPROFILE%\Documents\GitHub\eaglep3\Utilities\RefineRTDCRunTimes.py" --tripid 197-09 --locoid 4006 --swversion DE.1.0.9.0 --startMP 204:457 --initTime 2017-11-09T15:39:26 --startdatetime 2017-11-09T15:45:17 --delay 72 --endMP 204:233212 --enddatetime 2017-11-09T16:21:20 --enforcementcount 0 &gt;&gt;%USERPROFILE%\Documents\GitHub\eaglep3-reporting\EC\2017-11-09-refined-times.txt</v>
      </c>
      <c r="AI11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{"issue":{"subject":"","project_id":79,"tracker_id":40,"status_id":1,"priority_id":2,"assigned_to_id":338,"start_date":"2017-11-09","description":"","custom_fields":[{"id":1,"name":"Subdivision","value":"EC"},{"id":4,"name":"Milepost","value":"23.3212"},{"id":17,"name":"Train ID","value":"197-09"},{"id":16,"name":"Locomotive ID","value":"4006"},{"id":130,"name":"Impact","value":""},{"id":150,"name":"Time of Event (Mountain Time)","value":"16:21:20"},{"id":151,"name":"Denver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4006 --day 2017-11-09</v>
      </c>
      <c r="AN110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4"/>
        <v>https://d0f6bd738d7f1b3e5a7ca70fe4ff75f0.us-east-1.aws.found.io/app/kibana#/discover/Steve-Slow-Train-Analysis-(2080s-and-2083s)?_g=(refreshInterval:(display:Off,pause:!f,section:0,value:0),time:(from:'2017-11-09T14:39:26-0700',mode:absolute,to:'2017-11-09T17:21:20-0700'))&amp;_a=(columns:!('Message%20ID',Summary),filters:!(),index:'emp_*',interval:auto,query:(query_string:(analyze_wildcard:!t,query:'%22rtdc.l.rtdc.4006%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817</v>
      </c>
      <c r="B111" s="7">
        <v>4005</v>
      </c>
      <c r="C111" s="21" t="s">
        <v>192</v>
      </c>
      <c r="D111" s="21" t="s">
        <v>615</v>
      </c>
      <c r="E111" s="13">
        <v>43048.687291666669</v>
      </c>
      <c r="F111" s="13">
        <v>43048.696168981478</v>
      </c>
      <c r="G111" s="7">
        <v>59</v>
      </c>
      <c r="H111" s="21" t="s">
        <v>966</v>
      </c>
      <c r="I111" s="13">
        <v>43048.713807870372</v>
      </c>
      <c r="J111" s="7">
        <v>0</v>
      </c>
      <c r="K111" s="89" t="str">
        <f t="shared" si="29"/>
        <v>4005/4006</v>
      </c>
      <c r="L111" s="185" t="str">
        <f>VLOOKUP(A111,'Trips&amp;Operators'!$C$1:$G$99911,5,FALSE)</f>
        <v>KILLION DAVID</v>
      </c>
      <c r="M111" s="6">
        <f t="shared" si="30"/>
        <v>1.7638888893998228E-2</v>
      </c>
      <c r="N111" s="7"/>
      <c r="O111" s="7"/>
      <c r="P111" s="7">
        <f>24*60*SUM($M111:$M111)</f>
        <v>25.400000007357448</v>
      </c>
      <c r="Q111" s="22"/>
      <c r="R111" s="174" t="s">
        <v>1102</v>
      </c>
      <c r="S111" s="221">
        <f t="shared" si="49"/>
        <v>0.58333333333333326</v>
      </c>
      <c r="T111" s="174" t="str">
        <f t="shared" si="31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7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-11-09T15:29:42-0700',mode:absolute,to:'2017-11-09T18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204" t="str">
        <f>IF(AA111&lt;VLOOKUP(AG111,Variables!$AC$3:$AD$8,2,FALSE),"Y","N")</f>
        <v>Y</v>
      </c>
      <c r="X111" s="204">
        <f t="shared" si="48"/>
        <v>1</v>
      </c>
      <c r="Y111" s="204">
        <f t="shared" si="54"/>
        <v>23.2898</v>
      </c>
      <c r="Z111" s="204">
        <f t="shared" si="55"/>
        <v>5.1262999999999996</v>
      </c>
      <c r="AA111" s="204">
        <f t="shared" si="35"/>
        <v>18.163499999999999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6"/>
        <v>198</v>
      </c>
      <c r="AE111" s="77" t="str">
        <f t="shared" si="37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111" s="74" t="str">
        <f t="shared" si="38"/>
        <v>"C:\Program Files (x86)\AstroGrep\AstroGrep.exe" /e /r /s /spath="%USERPROFILE%\AppData\Local\Temp\OnboardLogs" /stypes="app*4005*20171110*" /stext=" 00:.+((SYSTEM_STATE.+slice.+state.+changed )|(ment ac)|(multiple cpu faults)|(system.+state.+changed )|(\[timeout)|(PRM\|1\|D)|(kpr)|(kdp)|(train st.+moving)|(\|lc)|(penalty))"</v>
      </c>
      <c r="AG111" s="182" t="str">
        <f t="shared" si="39"/>
        <v>EC</v>
      </c>
      <c r="AH111" s="78" t="str">
        <f t="shared" si="40"/>
        <v>"%USERPROFILE%\Documents\GitHub\eaglep3\Utilities\RefineRTDCRunTimes.py" --tripid 198-09 --locoid 4005 --swversion DE.1.0.9.0 --startMP 204:232898 --initTime 2017-11-09T16:29:42 --startdatetime 2017-11-09T16:42:29 --delay 59 --endMP 204:51263 --enddatetime 2017-11-09T17:07:53 --enforcementcount 0 &gt;&gt;%USERPROFILE%\Documents\GitHub\eaglep3-reporting\EC\2017-11-09-refined-times.txt</v>
      </c>
      <c r="AI111" s="96" t="str">
        <f t="shared" si="41"/>
        <v>echo {"issue":{"subject":"Onboard en route failure","project_id":79,"tracker_id":40,"status_id":1,"priority_id":2,"assigned_to_id":338,"start_date":"2017-11-09","description":"","custom_fields":[{"id":1,"name":"Subdivision","value":"EC"},{"id":4,"name":"Milepost","value":"5.1263"},{"id":17,"name":"Train ID","value":"198-09"},{"id":16,"name":"Locomotive ID","value":"4005"},{"id":130,"name":"Impact","value":""},{"id":150,"name":"Time of Event (Mountain Time)","value":"17:07:53"},{"id":151,"name":"Denver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4005 --day 2017-11-09</v>
      </c>
      <c r="AN111" s="151" t="str">
        <f t="shared" si="43"/>
        <v>echo {"issue":{"subject":"Onboard en route failure","project_id":30,"tracker_id":4,"status_id":1,"priority_id":1,"assigned_to_id":10,"start_date":"2017-11-10","description":"","custom_fields":[{"id":30,"name":"Category","value":"Issue"},{"id":3,"name":"Functional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4"/>
        <v>https://d0f6bd738d7f1b3e5a7ca70fe4ff75f0.us-east-1.aws.found.io/app/kibana#/discover/Steve-Slow-Train-Analysis-(2080s-and-2083s)?_g=(refreshInterval:(display:Off,pause:!f,section:0,value:0),time:(from:'2017-11-09T15:29:42-0700',mode:absolute,to:'2017-11-09T18:07:53-0700'))&amp;_a=(columns:!('Message%20ID',Summary),filters:!(),index:'emp_*',interval:auto,query:(query_string:(analyze_wildcard:!t,query:'%22rtdc.l.rtdc.4005%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808</v>
      </c>
      <c r="B112" s="7">
        <v>4022</v>
      </c>
      <c r="C112" s="21" t="s">
        <v>192</v>
      </c>
      <c r="D112" s="21" t="s">
        <v>611</v>
      </c>
      <c r="E112" s="13">
        <v>43048.665277777778</v>
      </c>
      <c r="F112" s="13">
        <v>43048.666979166665</v>
      </c>
      <c r="G112" s="7">
        <v>56</v>
      </c>
      <c r="H112" s="21" t="s">
        <v>967</v>
      </c>
      <c r="I112" s="13">
        <v>43048.691770833335</v>
      </c>
      <c r="J112" s="7">
        <v>0</v>
      </c>
      <c r="K112" s="89" t="str">
        <f t="shared" si="29"/>
        <v>4021/4022</v>
      </c>
      <c r="L112" s="185" t="str">
        <f>VLOOKUP(A112,'Trips&amp;Operators'!$C$1:$G$99911,5,FALSE)</f>
        <v>BADERTSCHER DIANE</v>
      </c>
      <c r="M112" s="6">
        <f t="shared" si="30"/>
        <v>2.4791666670353152E-2</v>
      </c>
      <c r="N112" s="7">
        <f t="shared" ref="N112:N143" si="56">24*60*SUM($M112:$M112)</f>
        <v>35.700000005308539</v>
      </c>
      <c r="O112" s="7"/>
      <c r="P112" s="7"/>
      <c r="Q112" s="22"/>
      <c r="R112" s="174"/>
      <c r="S112" s="221">
        <f t="shared" si="49"/>
        <v>1</v>
      </c>
      <c r="T112" s="174" t="str">
        <f t="shared" si="31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-11-09T14:58:00-0700',mode:absolute,to:'2017-11-09T17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204" t="str">
        <f>IF(AA112&lt;VLOOKUP(AG112,Variables!$AC$3:$AD$8,2,FALSE),"Y","N")</f>
        <v>N</v>
      </c>
      <c r="X112" s="204">
        <f t="shared" si="48"/>
        <v>1</v>
      </c>
      <c r="Y112" s="204">
        <f t="shared" si="54"/>
        <v>5.2600000000000001E-2</v>
      </c>
      <c r="Z112" s="204">
        <f t="shared" si="55"/>
        <v>23.324300000000001</v>
      </c>
      <c r="AA112" s="204">
        <f t="shared" si="35"/>
        <v>23.271699999999999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6"/>
        <v>199</v>
      </c>
      <c r="AE112" s="77" t="str">
        <f t="shared" si="37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12" s="74" t="str">
        <f t="shared" si="38"/>
        <v>"C:\Program Files (x86)\AstroGrep\AstroGrep.exe" /e /r /s /spath="%USERPROFILE%\AppData\Local\Temp\OnboardLogs" /stypes="app*4022*20171109*" /stext=" 23:.+((SYSTEM_STATE.+slice.+state.+changed )|(ment ac)|(multiple cpu faults)|(system.+state.+changed )|(\[timeout)|(PRM\|1\|D)|(kpr)|(kdp)|(train st.+moving)|(\|lc)|(penalty))"</v>
      </c>
      <c r="AG112" s="182" t="str">
        <f t="shared" si="39"/>
        <v>EC</v>
      </c>
      <c r="AH112" s="78" t="str">
        <f t="shared" si="40"/>
        <v>"%USERPROFILE%\Documents\GitHub\eaglep3\Utilities\RefineRTDCRunTimes.py" --tripid 199-09 --locoid 4022 --swversion DE.1.0.9.0 --startMP 204:526 --initTime 2017-11-09T15:58:00 --startdatetime 2017-11-09T16:00:27 --delay 56 --endMP 204:233243 --enddatetime 2017-11-09T16:36:09 --enforcementcount 0 &gt;&gt;%USERPROFILE%\Documents\GitHub\eaglep3-reporting\EC\2017-11-09-refined-times.txt</v>
      </c>
      <c r="AI11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{"issue":{"subject":"","project_id":79,"tracker_id":40,"status_id":1,"priority_id":2,"assigned_to_id":338,"start_date":"2017-11-09","description":"","custom_fields":[{"id":1,"name":"Subdivision","value":"EC"},{"id":4,"name":"Milepost","value":"23.3243"},{"id":17,"name":"Train ID","value":"199-09"},{"id":16,"name":"Locomotive ID","value":"4022"},{"id":130,"name":"Impact","value":""},{"id":150,"name":"Time of Event (Mountain Time)","value":"16:36:09"},{"id":151,"name":"Denver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4022 --day 2017-11-09</v>
      </c>
      <c r="AN112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4"/>
        <v>https://d0f6bd738d7f1b3e5a7ca70fe4ff75f0.us-east-1.aws.found.io/app/kibana#/discover/Steve-Slow-Train-Analysis-(2080s-and-2083s)?_g=(refreshInterval:(display:Off,pause:!f,section:0,value:0),time:(from:'2017-11-09T14:58:00-0700',mode:absolute,to:'2017-11-09T17:36:09-0700'))&amp;_a=(columns:!('Message%20ID',Summary),filters:!(),index:'emp_*',interval:auto,query:(query_string:(analyze_wildcard:!t,query:'%22rtdc.l.rtdc.4022%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819</v>
      </c>
      <c r="B113" s="7">
        <v>4021</v>
      </c>
      <c r="C113" s="21" t="s">
        <v>192</v>
      </c>
      <c r="D113" s="21" t="s">
        <v>968</v>
      </c>
      <c r="E113" s="13">
        <v>43048.696296296293</v>
      </c>
      <c r="F113" s="13">
        <v>43048.706446759257</v>
      </c>
      <c r="G113" s="7">
        <v>97</v>
      </c>
      <c r="H113" s="21" t="s">
        <v>969</v>
      </c>
      <c r="I113" s="13">
        <v>43048.735694444447</v>
      </c>
      <c r="J113" s="7">
        <v>0</v>
      </c>
      <c r="K113" s="89" t="str">
        <f t="shared" si="29"/>
        <v>4021/4022</v>
      </c>
      <c r="L113" s="185" t="str">
        <f>VLOOKUP(A113,'Trips&amp;Operators'!$C$1:$G$99911,5,FALSE)</f>
        <v>BADERTSCHER DIANE</v>
      </c>
      <c r="M113" s="6">
        <f t="shared" si="30"/>
        <v>2.9247685190057382E-2</v>
      </c>
      <c r="N113" s="7">
        <f t="shared" si="56"/>
        <v>42.11666667368263</v>
      </c>
      <c r="O113" s="7"/>
      <c r="P113" s="7"/>
      <c r="Q113" s="22"/>
      <c r="R113" s="174"/>
      <c r="S113" s="221">
        <f t="shared" si="49"/>
        <v>1</v>
      </c>
      <c r="T113" s="174" t="str">
        <f t="shared" si="31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-11-09T15:42:40-0700',mode:absolute,to:'2017-11-09T18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204" t="str">
        <f>IF(AA113&lt;VLOOKUP(AG113,Variables!$AC$3:$AD$8,2,FALSE),"Y","N")</f>
        <v>N</v>
      </c>
      <c r="X113" s="204">
        <f t="shared" si="48"/>
        <v>1</v>
      </c>
      <c r="Y113" s="204">
        <f t="shared" si="54"/>
        <v>23.291899999999998</v>
      </c>
      <c r="Z113" s="204">
        <f t="shared" si="55"/>
        <v>2.18E-2</v>
      </c>
      <c r="AA113" s="204">
        <f t="shared" si="35"/>
        <v>23.270099999999999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6"/>
        <v>200</v>
      </c>
      <c r="AE113" s="77" t="str">
        <f t="shared" si="37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113" s="74" t="str">
        <f t="shared" si="38"/>
        <v>"C:\Program Files (x86)\AstroGrep\AstroGrep.exe" /e /r /s /spath="%USERPROFILE%\AppData\Local\Temp\OnboardLogs" /stypes="app*4021*20171110*" /stext=" 00:.+((SYSTEM_STATE.+slice.+state.+changed )|(ment ac)|(multiple cpu faults)|(system.+state.+changed )|(\[timeout)|(PRM\|1\|D)|(kpr)|(kdp)|(train st.+moving)|(\|lc)|(penalty))"</v>
      </c>
      <c r="AG113" s="182" t="str">
        <f t="shared" si="39"/>
        <v>EC</v>
      </c>
      <c r="AH113" s="78" t="str">
        <f t="shared" si="40"/>
        <v>"%USERPROFILE%\Documents\GitHub\eaglep3\Utilities\RefineRTDCRunTimes.py" --tripid 200-09 --locoid 4021 --swversion DE.1.0.9.0 --startMP 204:232919 --initTime 2017-11-09T16:42:40 --startdatetime 2017-11-09T16:57:17 --delay 97 --endMP 204:218 --enddatetime 2017-11-09T17:39:24 --enforcementcount 0 &gt;&gt;%USERPROFILE%\Documents\GitHub\eaglep3-reporting\EC\2017-11-09-refined-times.txt</v>
      </c>
      <c r="AI11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{"issue":{"subject":"","project_id":79,"tracker_id":40,"status_id":1,"priority_id":2,"assigned_to_id":338,"start_date":"2017-11-09","description":"","custom_fields":[{"id":1,"name":"Subdivision","value":"EC"},{"id":4,"name":"Milepost","value":"0.0218"},{"id":17,"name":"Train ID","value":"200-09"},{"id":16,"name":"Locomotive ID","value":"4021"},{"id":130,"name":"Impact","value":""},{"id":150,"name":"Time of Event (Mountain Time)","value":"17:39:24"},{"id":151,"name":"Denver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4021 --day 2017-11-09</v>
      </c>
      <c r="AN113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4"/>
        <v>https://d0f6bd738d7f1b3e5a7ca70fe4ff75f0.us-east-1.aws.found.io/app/kibana#/discover/Steve-Slow-Train-Analysis-(2080s-and-2083s)?_g=(refreshInterval:(display:Off,pause:!f,section:0,value:0),time:(from:'2017-11-09T15:42:40-0700',mode:absolute,to:'2017-11-09T18:39:24-0700'))&amp;_a=(columns:!('Message%20ID',Summary),filters:!(),index:'emp_*',interval:auto,query:(query_string:(analyze_wildcard:!t,query:'%22rtdc.l.rtdc.4021%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811</v>
      </c>
      <c r="B114" s="7">
        <v>4066</v>
      </c>
      <c r="C114" s="21" t="s">
        <v>192</v>
      </c>
      <c r="D114" s="21" t="s">
        <v>613</v>
      </c>
      <c r="E114" s="13">
        <v>43048.673344907409</v>
      </c>
      <c r="F114" s="13">
        <v>43048.677581018521</v>
      </c>
      <c r="G114" s="7">
        <v>78</v>
      </c>
      <c r="H114" s="21" t="s">
        <v>970</v>
      </c>
      <c r="I114" s="13">
        <v>43048.702789351853</v>
      </c>
      <c r="J114" s="7">
        <v>0</v>
      </c>
      <c r="K114" s="89" t="str">
        <f t="shared" si="29"/>
        <v>4065/4066</v>
      </c>
      <c r="L114" s="185" t="str">
        <f>VLOOKUP(A114,'Trips&amp;Operators'!$C$1:$G$99911,5,FALSE)</f>
        <v>ANDREA WILLIAMS</v>
      </c>
      <c r="M114" s="6">
        <f t="shared" si="30"/>
        <v>2.5208333332557231E-2</v>
      </c>
      <c r="N114" s="7">
        <f t="shared" si="56"/>
        <v>36.299999998882413</v>
      </c>
      <c r="O114" s="7"/>
      <c r="P114" s="7"/>
      <c r="Q114" s="22"/>
      <c r="R114" s="174"/>
      <c r="S114" s="221">
        <f t="shared" si="49"/>
        <v>1</v>
      </c>
      <c r="T114" s="174" t="str">
        <f t="shared" si="31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-11-09T15:09:37-0700',mode:absolute,to:'2017-11-09T17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4" s="204" t="str">
        <f>IF(AA114&lt;VLOOKUP(AG114,Variables!$AC$3:$AD$8,2,FALSE),"Y","N")</f>
        <v>N</v>
      </c>
      <c r="X114" s="204">
        <f t="shared" si="48"/>
        <v>1</v>
      </c>
      <c r="Y114" s="204">
        <f t="shared" si="54"/>
        <v>5.5899999999999998E-2</v>
      </c>
      <c r="Z114" s="204">
        <f t="shared" si="55"/>
        <v>23.3187</v>
      </c>
      <c r="AA114" s="204">
        <f t="shared" si="35"/>
        <v>23.262799999999999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6"/>
        <v>201</v>
      </c>
      <c r="AE114" s="77" t="str">
        <f t="shared" si="37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114" s="74" t="str">
        <f t="shared" si="38"/>
        <v>"C:\Program Files (x86)\AstroGrep\AstroGrep.exe" /e /r /s /spath="%USERPROFILE%\AppData\Local\Temp\OnboardLogs" /stypes="app*4066*20171109*" /stext=" 23:.+((SYSTEM_STATE.+slice.+state.+changed )|(ment ac)|(multiple cpu faults)|(system.+state.+changed )|(\[timeout)|(PRM\|1\|D)|(kpr)|(kdp)|(train st.+moving)|(\|lc)|(penalty))"</v>
      </c>
      <c r="AG114" s="182" t="str">
        <f t="shared" si="39"/>
        <v>EC</v>
      </c>
      <c r="AH114" s="78" t="str">
        <f t="shared" si="40"/>
        <v>"%USERPROFILE%\Documents\GitHub\eaglep3\Utilities\RefineRTDCRunTimes.py" --tripid 201-09 --locoid 4066 --swversion DE.1.0.9.0 --startMP 204:559 --initTime 2017-11-09T16:09:37 --startdatetime 2017-11-09T16:15:43 --delay 78 --endMP 204:233187 --enddatetime 2017-11-09T16:52:01 --enforcementcount 0 &gt;&gt;%USERPROFILE%\Documents\GitHub\eaglep3-reporting\EC\2017-11-09-refined-times.txt</v>
      </c>
      <c r="AI11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{"issue":{"subject":"","project_id":79,"tracker_id":40,"status_id":1,"priority_id":2,"assigned_to_id":338,"start_date":"2017-11-09","description":"","custom_fields":[{"id":1,"name":"Subdivision","value":"EC"},{"id":4,"name":"Milepost","value":"23.3187"},{"id":17,"name":"Train ID","value":"201-09"},{"id":16,"name":"Locomotive ID","value":"4066"},{"id":130,"name":"Impact","value":""},{"id":150,"name":"Time of Event (Mountain Time)","value":"16:52:01"},{"id":151,"name":"Denver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4066 --day 2017-11-09</v>
      </c>
      <c r="AN114" s="151" t="str">
        <f t="shared" si="43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4"/>
        <v>https://d0f6bd738d7f1b3e5a7ca70fe4ff75f0.us-east-1.aws.found.io/app/kibana#/discover/Steve-Slow-Train-Analysis-(2080s-and-2083s)?_g=(refreshInterval:(display:Off,pause:!f,section:0,value:0),time:(from:'2017-11-09T15:09:37-0700',mode:absolute,to:'2017-11-09T17:52:01-0700'))&amp;_a=(columns:!('Message%20ID',Summary),filters:!(),index:'emp_*',interval:auto,query:(query_string:(analyze_wildcard:!t,query:'%22rtdc.l.rtdc.4066%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821</v>
      </c>
      <c r="B115" s="7">
        <v>4065</v>
      </c>
      <c r="C115" s="21" t="s">
        <v>192</v>
      </c>
      <c r="D115" s="21" t="s">
        <v>460</v>
      </c>
      <c r="E115" s="13">
        <v>43048.704629629632</v>
      </c>
      <c r="F115" s="13">
        <v>43048.716874999998</v>
      </c>
      <c r="G115" s="7">
        <v>104</v>
      </c>
      <c r="H115" s="21" t="s">
        <v>462</v>
      </c>
      <c r="I115" s="13">
        <v>43048.743773148148</v>
      </c>
      <c r="J115" s="7">
        <v>0</v>
      </c>
      <c r="K115" s="89" t="str">
        <f t="shared" si="29"/>
        <v>4065/4066</v>
      </c>
      <c r="L115" s="185" t="str">
        <f>VLOOKUP(A115,'Trips&amp;Operators'!$C$1:$G$99911,5,FALSE)</f>
        <v>ANDREA WILLIAMS</v>
      </c>
      <c r="M115" s="6">
        <f t="shared" si="30"/>
        <v>2.6898148149484769E-2</v>
      </c>
      <c r="N115" s="7">
        <f t="shared" si="56"/>
        <v>38.733333335258067</v>
      </c>
      <c r="O115" s="7"/>
      <c r="P115" s="7"/>
      <c r="Q115" s="22"/>
      <c r="R115" s="174"/>
      <c r="S115" s="221">
        <f t="shared" si="49"/>
        <v>1</v>
      </c>
      <c r="T115" s="174" t="str">
        <f t="shared" si="31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-11-09T15:54:40-0700',mode:absolute,to:'2017-11-09T18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5" s="204" t="str">
        <f>IF(AA115&lt;VLOOKUP(AG115,Variables!$AC$3:$AD$8,2,FALSE),"Y","N")</f>
        <v>N</v>
      </c>
      <c r="X115" s="204">
        <f t="shared" si="48"/>
        <v>1</v>
      </c>
      <c r="Y115" s="204">
        <f t="shared" si="54"/>
        <v>23.2896</v>
      </c>
      <c r="Z115" s="204">
        <f t="shared" si="55"/>
        <v>2.5100000000000001E-2</v>
      </c>
      <c r="AA115" s="204">
        <f t="shared" si="35"/>
        <v>23.264500000000002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6"/>
        <v>202</v>
      </c>
      <c r="AE115" s="77" t="str">
        <f t="shared" si="37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115" s="74" t="str">
        <f t="shared" si="38"/>
        <v>"C:\Program Files (x86)\AstroGrep\AstroGrep.exe" /e /r /s /spath="%USERPROFILE%\AppData\Local\Temp\OnboardLogs" /stypes="app*4065*20171110*" /stext=" 00:.+((SYSTEM_STATE.+slice.+state.+changed )|(ment ac)|(multiple cpu faults)|(system.+state.+changed )|(\[timeout)|(PRM\|1\|D)|(kpr)|(kdp)|(train st.+moving)|(\|lc)|(penalty))"</v>
      </c>
      <c r="AG115" s="182" t="str">
        <f t="shared" si="39"/>
        <v>EC</v>
      </c>
      <c r="AH115" s="78" t="str">
        <f t="shared" si="40"/>
        <v>"%USERPROFILE%\Documents\GitHub\eaglep3\Utilities\RefineRTDCRunTimes.py" --tripid 202-09 --locoid 4065 --swversion DE.1.0.9.0 --startMP 204:232896 --initTime 2017-11-09T16:54:40 --startdatetime 2017-11-09T17:12:18 --delay 104 --endMP 204:251 --enddatetime 2017-11-09T17:51:02 --enforcementcount 0 &gt;&gt;%USERPROFILE%\Documents\GitHub\eaglep3-reporting\EC\2017-11-09-refined-times.txt</v>
      </c>
      <c r="AI11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{"issue":{"subject":"","project_id":79,"tracker_id":40,"status_id":1,"priority_id":2,"assigned_to_id":338,"start_date":"2017-11-09","description":"","custom_fields":[{"id":1,"name":"Subdivision","value":"EC"},{"id":4,"name":"Milepost","value":"0.0251"},{"id":17,"name":"Train ID","value":"202-09"},{"id":16,"name":"Locomotive ID","value":"4065"},{"id":130,"name":"Impact","value":""},{"id":150,"name":"Time of Event (Mountain Time)","value":"17:51:02"},{"id":151,"name":"Denver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4065 --day 2017-11-09</v>
      </c>
      <c r="AN115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4"/>
        <v>https://d0f6bd738d7f1b3e5a7ca70fe4ff75f0.us-east-1.aws.found.io/app/kibana#/discover/Steve-Slow-Train-Analysis-(2080s-and-2083s)?_g=(refreshInterval:(display:Off,pause:!f,section:0,value:0),time:(from:'2017-11-09T15:54:40-0700',mode:absolute,to:'2017-11-09T18:51:02-0700'))&amp;_a=(columns:!('Message%20ID',Summary),filters:!(),index:'emp_*',interval:auto,query:(query_string:(analyze_wildcard:!t,query:'%22rtdc.l.rtdc.4065%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814</v>
      </c>
      <c r="B116" s="7">
        <v>4014</v>
      </c>
      <c r="C116" s="21" t="s">
        <v>192</v>
      </c>
      <c r="D116" s="21" t="s">
        <v>531</v>
      </c>
      <c r="E116" s="13">
        <v>43048.683564814812</v>
      </c>
      <c r="F116" s="13">
        <v>43048.687662037039</v>
      </c>
      <c r="G116" s="7">
        <v>113</v>
      </c>
      <c r="H116" s="21" t="s">
        <v>598</v>
      </c>
      <c r="I116" s="13">
        <v>43048.712164351855</v>
      </c>
      <c r="J116" s="7">
        <v>0</v>
      </c>
      <c r="K116" s="89" t="str">
        <f t="shared" si="29"/>
        <v>4013/4014</v>
      </c>
      <c r="L116" s="185" t="str">
        <f>VLOOKUP(A116,'Trips&amp;Operators'!$C$1:$G$99911,5,FALSE)</f>
        <v>BRUDER RICHARD</v>
      </c>
      <c r="M116" s="6">
        <f t="shared" si="30"/>
        <v>2.4502314816345461E-2</v>
      </c>
      <c r="N116" s="7">
        <f t="shared" si="56"/>
        <v>35.283333335537463</v>
      </c>
      <c r="O116" s="7"/>
      <c r="P116" s="7"/>
      <c r="Q116" s="22"/>
      <c r="R116" s="174"/>
      <c r="S116" s="221">
        <f t="shared" si="49"/>
        <v>1</v>
      </c>
      <c r="T116" s="174" t="str">
        <f t="shared" si="31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-11-09T15:24:20-0700',mode:absolute,to:'2017-11-09T18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204" t="str">
        <f>IF(AA116&lt;VLOOKUP(AG116,Variables!$AC$3:$AD$8,2,FALSE),"Y","N")</f>
        <v>N</v>
      </c>
      <c r="X116" s="204">
        <f t="shared" si="48"/>
        <v>1</v>
      </c>
      <c r="Y116" s="204">
        <f t="shared" si="54"/>
        <v>5.3499999999999999E-2</v>
      </c>
      <c r="Z116" s="204">
        <f t="shared" si="55"/>
        <v>23.319900000000001</v>
      </c>
      <c r="AA116" s="204">
        <f t="shared" si="35"/>
        <v>23.266400000000001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6"/>
        <v>203</v>
      </c>
      <c r="AE116" s="77" t="str">
        <f t="shared" si="37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116" s="74" t="str">
        <f t="shared" si="38"/>
        <v>"C:\Program Files (x86)\AstroGrep\AstroGrep.exe" /e /r /s /spath="%USERPROFILE%\AppData\Local\Temp\OnboardLogs" /stypes="app*4014*20171110*" /stext=" 00:.+((SYSTEM_STATE.+slice.+state.+changed )|(ment ac)|(multiple cpu faults)|(system.+state.+changed )|(\[timeout)|(PRM\|1\|D)|(kpr)|(kdp)|(train st.+moving)|(\|lc)|(penalty))"</v>
      </c>
      <c r="AG116" s="182" t="str">
        <f t="shared" si="39"/>
        <v>EC</v>
      </c>
      <c r="AH116" s="78" t="str">
        <f t="shared" si="40"/>
        <v>"%USERPROFILE%\Documents\GitHub\eaglep3\Utilities\RefineRTDCRunTimes.py" --tripid 203-09 --locoid 4014 --swversion DE.1.0.9.0 --startMP 204:535 --initTime 2017-11-09T16:24:20 --startdatetime 2017-11-09T16:30:14 --delay 113 --endMP 204:233199 --enddatetime 2017-11-09T17:05:31 --enforcementcount 0 &gt;&gt;%USERPROFILE%\Documents\GitHub\eaglep3-reporting\EC\2017-11-09-refined-times.txt</v>
      </c>
      <c r="AI116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{"issue":{"subject":"","project_id":79,"tracker_id":40,"status_id":1,"priority_id":2,"assigned_to_id":338,"start_date":"2017-11-09","description":"","custom_fields":[{"id":1,"name":"Subdivision","value":"EC"},{"id":4,"name":"Milepost","value":"23.3199"},{"id":17,"name":"Train ID","value":"203-09"},{"id":16,"name":"Locomotive ID","value":"4014"},{"id":130,"name":"Impact","value":""},{"id":150,"name":"Time of Event (Mountain Time)","value":"17:05:31"},{"id":151,"name":"Denver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4014 --day 2017-11-09</v>
      </c>
      <c r="AN116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4"/>
        <v>https://d0f6bd738d7f1b3e5a7ca70fe4ff75f0.us-east-1.aws.found.io/app/kibana#/discover/Steve-Slow-Train-Analysis-(2080s-and-2083s)?_g=(refreshInterval:(display:Off,pause:!f,section:0,value:0),time:(from:'2017-11-09T15:24:20-0700',mode:absolute,to:'2017-11-09T18:05:31-0700'))&amp;_a=(columns:!('Message%20ID',Summary),filters:!(),index:'emp_*',interval:auto,query:(query_string:(analyze_wildcard:!t,query:'%22rtdc.l.rtdc.4014%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828</v>
      </c>
      <c r="B117" s="7">
        <v>4013</v>
      </c>
      <c r="C117" s="21" t="s">
        <v>192</v>
      </c>
      <c r="D117" s="21" t="s">
        <v>531</v>
      </c>
      <c r="E117" s="13">
        <v>43048.683564814812</v>
      </c>
      <c r="F117" s="13">
        <v>43048.727314814816</v>
      </c>
      <c r="G117" s="7">
        <v>113</v>
      </c>
      <c r="H117" s="21" t="s">
        <v>598</v>
      </c>
      <c r="I117" s="13">
        <v>43048.754212962966</v>
      </c>
      <c r="J117" s="7">
        <v>0</v>
      </c>
      <c r="K117" s="89" t="str">
        <f t="shared" si="29"/>
        <v>4013/4014</v>
      </c>
      <c r="L117" s="185" t="str">
        <f>VLOOKUP(A117,'Trips&amp;Operators'!$C$1:$G$99911,5,FALSE)</f>
        <v>BRUDER RICHARD</v>
      </c>
      <c r="M117" s="6">
        <f t="shared" si="30"/>
        <v>2.6898148149484769E-2</v>
      </c>
      <c r="N117" s="7">
        <f t="shared" si="56"/>
        <v>38.733333335258067</v>
      </c>
      <c r="O117" s="7"/>
      <c r="P117" s="7"/>
      <c r="Q117" s="22"/>
      <c r="R117" s="174"/>
      <c r="S117" s="221">
        <f t="shared" si="49"/>
        <v>1</v>
      </c>
      <c r="T117" s="174" t="str">
        <f t="shared" si="31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-11-09T15:24:20-0700',mode:absolute,to:'2017-11-09T19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204" t="str">
        <f>IF(AA117&lt;VLOOKUP(AG117,Variables!$AC$3:$AD$8,2,FALSE),"Y","N")</f>
        <v>N</v>
      </c>
      <c r="X117" s="204">
        <f t="shared" si="48"/>
        <v>1</v>
      </c>
      <c r="Y117" s="204">
        <v>23.2896</v>
      </c>
      <c r="Z117" s="204">
        <v>2.5100000000000001E-2</v>
      </c>
      <c r="AA117" s="204">
        <f t="shared" si="35"/>
        <v>23.264500000000002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6"/>
        <v>204</v>
      </c>
      <c r="AE117" s="77" t="str">
        <f t="shared" si="37"/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AF117" s="74" t="str">
        <f t="shared" si="38"/>
        <v>"C:\Program Files (x86)\AstroGrep\AstroGrep.exe" /e /r /s /spath="%USERPROFILE%\AppData\Local\Temp\OnboardLogs" /stypes="app*4013*20171110*" /stext=" 01:.+((SYSTEM_STATE.+slice.+state.+changed )|(ment ac)|(multiple cpu faults)|(system.+state.+changed )|(\[timeout)|(PRM\|1\|D)|(kpr)|(kdp)|(train st.+moving)|(\|lc)|(penalty))"</v>
      </c>
      <c r="AG117" s="182" t="str">
        <f t="shared" si="39"/>
        <v>EC</v>
      </c>
      <c r="AH117" s="78" t="str">
        <f t="shared" ref="AH117" si="57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204-09 --locoid 4013 --swversion DE.1.0.9.0 --startMP 204:535 --initTime 2017-11-09T16:24:20 --startdatetime 2017-11-09T17:27:20 --delay 113 --endMP 204:233199 --enddatetime 2017-11-09T18:06:04 --enforcementcount 0 &gt;&gt;%USERPROFILE%\Documents\GitHub\eaglep3-reporting\EC\2017-11-09-refined-times.txt</v>
      </c>
      <c r="AI11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{"issue":{"subject":"","project_id":79,"tracker_id":40,"status_id":1,"priority_id":2,"assigned_to_id":338,"start_date":"2017-11-09","description":"","custom_fields":[{"id":1,"name":"Subdivision","value":"EC"},{"id":4,"name":"Milepost","value":"0.0251"},{"id":17,"name":"Train ID","value":"204-09"},{"id":16,"name":"Locomotive ID","value":"4013"},{"id":130,"name":"Impact","value":""},{"id":150,"name":"Time of Event (Mountain Time)","value":"18:06:04"},{"id":151,"name":"Denver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ref="AM117" si="58">"start /low /b "&amp;dls3logs&amp;" --loco "&amp;B117&amp;" --day "&amp;TEXT(F117,"YYYY-MM-DD")</f>
        <v>start /low /b %USERPROFILE%\Documents\GitHub\eaglep3\Utilities\DownloadLogsFromS3.py --loco 4013 --day 2017-11-09</v>
      </c>
      <c r="AN117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ref="AO117" si="59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-09T15:24:20-0700',mode:absolute,to:'2017-11-09T19:06:04-0700'))&amp;_a=(columns:!('Message%20ID',Summary),filters:!(),index:'emp_*',interval:auto,query:(query_string:(analyze_wildcard:!t,query:'%22rtdc.l.rtdc.4013%22')),sort:!(Time.ISO8601,asc))</v>
      </c>
    </row>
    <row r="118" spans="1:91" s="20" customFormat="1" x14ac:dyDescent="0.25">
      <c r="A118" s="32" t="s">
        <v>818</v>
      </c>
      <c r="B118" s="7">
        <v>4024</v>
      </c>
      <c r="C118" s="21" t="s">
        <v>192</v>
      </c>
      <c r="D118" s="21" t="s">
        <v>520</v>
      </c>
      <c r="E118" s="13">
        <v>43048.694155092591</v>
      </c>
      <c r="F118" s="13">
        <v>43048.698148148149</v>
      </c>
      <c r="G118" s="7">
        <v>51</v>
      </c>
      <c r="H118" s="21" t="s">
        <v>971</v>
      </c>
      <c r="I118" s="13">
        <v>43048.723981481482</v>
      </c>
      <c r="J118" s="7">
        <v>0</v>
      </c>
      <c r="K118" s="89" t="str">
        <f t="shared" si="29"/>
        <v>4023/4024</v>
      </c>
      <c r="L118" s="185" t="str">
        <f>VLOOKUP(A118,'Trips&amp;Operators'!$C$1:$G$99911,5,FALSE)</f>
        <v>STEWART MICHAEL</v>
      </c>
      <c r="M118" s="6">
        <f t="shared" si="30"/>
        <v>2.5833333333139308E-2</v>
      </c>
      <c r="N118" s="7">
        <f t="shared" si="56"/>
        <v>37.199999999720603</v>
      </c>
      <c r="O118" s="7"/>
      <c r="P118" s="7"/>
      <c r="Q118" s="22"/>
      <c r="R118" s="174"/>
      <c r="S118" s="221">
        <f t="shared" si="49"/>
        <v>1</v>
      </c>
      <c r="T118" s="174" t="str">
        <f t="shared" si="31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-11-09T15:39:35-0700',mode:absolute,to:'2017-11-09T18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8" s="204" t="str">
        <f>IF(AA118&lt;VLOOKUP(AG118,Variables!$AC$3:$AD$8,2,FALSE),"Y","N")</f>
        <v>N</v>
      </c>
      <c r="X118" s="204">
        <f t="shared" si="48"/>
        <v>1</v>
      </c>
      <c r="Y118" s="204">
        <f t="shared" ref="Y118:Y129" si="60">RIGHT(D118,LEN(D118)-4)/10000</f>
        <v>5.3900000000000003E-2</v>
      </c>
      <c r="Z118" s="204">
        <f t="shared" ref="Z118:Z129" si="61">RIGHT(H118,LEN(H118)-4)/10000</f>
        <v>23.320799999999998</v>
      </c>
      <c r="AA118" s="204">
        <f t="shared" si="35"/>
        <v>23.2669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6"/>
        <v>205</v>
      </c>
      <c r="AE118" s="77" t="str">
        <f t="shared" si="37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18" s="74" t="str">
        <f t="shared" si="38"/>
        <v>"C:\Program Files (x86)\AstroGrep\AstroGrep.exe" /e /r /s /spath="%USERPROFILE%\AppData\Local\Temp\OnboardLogs" /stypes="app*4024*20171110*" /stext=" 00:.+((SYSTEM_STATE.+slice.+state.+changed )|(ment ac)|(multiple cpu faults)|(system.+state.+changed )|(\[timeout)|(PRM\|1\|D)|(kpr)|(kdp)|(train st.+moving)|(\|lc)|(penalty))"</v>
      </c>
      <c r="AG118" s="182" t="str">
        <f t="shared" si="39"/>
        <v>EC</v>
      </c>
      <c r="AH118" s="78" t="str">
        <f t="shared" si="40"/>
        <v>"%USERPROFILE%\Documents\GitHub\eaglep3\Utilities\RefineRTDCRunTimes.py" --tripid 205-09 --locoid 4024 --swversion DE.1.0.9.0 --startMP 204:539 --initTime 2017-11-09T16:39:35 --startdatetime 2017-11-09T16:45:20 --delay 51 --endMP 204:233208 --enddatetime 2017-11-09T17:22:32 --enforcementcount 0 &gt;&gt;%USERPROFILE%\Documents\GitHub\eaglep3-reporting\EC\2017-11-09-refined-times.txt</v>
      </c>
      <c r="AI11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{"issue":{"subject":"","project_id":79,"tracker_id":40,"status_id":1,"priority_id":2,"assigned_to_id":338,"start_date":"2017-11-09","description":"","custom_fields":[{"id":1,"name":"Subdivision","value":"EC"},{"id":4,"name":"Milepost","value":"23.3208"},{"id":17,"name":"Train ID","value":"205-09"},{"id":16,"name":"Locomotive ID","value":"4024"},{"id":130,"name":"Impact","value":""},{"id":150,"name":"Time of Event (Mountain Time)","value":"17:22:32"},{"id":151,"name":"Denver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4024 --day 2017-11-09</v>
      </c>
      <c r="AN118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4"/>
        <v>https://d0f6bd738d7f1b3e5a7ca70fe4ff75f0.us-east-1.aws.found.io/app/kibana#/discover/Steve-Slow-Train-Analysis-(2080s-and-2083s)?_g=(refreshInterval:(display:Off,pause:!f,section:0,value:0),time:(from:'2017-11-09T15:39:35-0700',mode:absolute,to:'2017-11-09T18:22:32-0700'))&amp;_a=(columns:!('Message%20ID',Summary),filters:!(),index:'emp_*',interval:auto,query:(query_string:(analyze_wildcard:!t,query:'%22rtdc.l.rtdc.4024%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831</v>
      </c>
      <c r="B119" s="7">
        <v>4023</v>
      </c>
      <c r="C119" s="21" t="s">
        <v>192</v>
      </c>
      <c r="D119" s="21" t="s">
        <v>585</v>
      </c>
      <c r="E119" s="13">
        <v>43048.733553240738</v>
      </c>
      <c r="F119" s="13">
        <v>43048.73777777778</v>
      </c>
      <c r="G119" s="7">
        <v>63</v>
      </c>
      <c r="H119" s="21" t="s">
        <v>964</v>
      </c>
      <c r="I119" s="13">
        <v>43048.765486111108</v>
      </c>
      <c r="J119" s="7">
        <v>0</v>
      </c>
      <c r="K119" s="89" t="str">
        <f t="shared" si="29"/>
        <v>4023/4024</v>
      </c>
      <c r="L119" s="185" t="str">
        <f>VLOOKUP(A119,'Trips&amp;Operators'!$C$1:$G$99911,5,FALSE)</f>
        <v>STEWART MICHAEL</v>
      </c>
      <c r="M119" s="6">
        <f t="shared" si="30"/>
        <v>2.770833332760958E-2</v>
      </c>
      <c r="N119" s="7">
        <f t="shared" si="56"/>
        <v>39.899999991757795</v>
      </c>
      <c r="O119" s="7"/>
      <c r="P119" s="7"/>
      <c r="Q119" s="22"/>
      <c r="R119" s="174"/>
      <c r="S119" s="221">
        <f t="shared" si="49"/>
        <v>1</v>
      </c>
      <c r="T119" s="174" t="str">
        <f t="shared" si="31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-11-09T16:36:19-0700',mode:absolute,to:'2017-11-09T19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9" s="204" t="str">
        <f>IF(AA119&lt;VLOOKUP(AG119,Variables!$AC$3:$AD$8,2,FALSE),"Y","N")</f>
        <v>N</v>
      </c>
      <c r="X119" s="204">
        <f t="shared" si="48"/>
        <v>1</v>
      </c>
      <c r="Y119" s="204">
        <f t="shared" si="60"/>
        <v>23.290600000000001</v>
      </c>
      <c r="Z119" s="204">
        <f t="shared" si="61"/>
        <v>2.6200000000000001E-2</v>
      </c>
      <c r="AA119" s="204">
        <f t="shared" si="35"/>
        <v>23.264400000000002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6"/>
        <v>206</v>
      </c>
      <c r="AE119" s="77" t="str">
        <f t="shared" si="37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119" s="74" t="str">
        <f t="shared" si="38"/>
        <v>"C:\Program Files (x86)\AstroGrep\AstroGrep.exe" /e /r /s /spath="%USERPROFILE%\AppData\Local\Temp\OnboardLogs" /stypes="app*4023*20171110*" /stext=" 01:.+((SYSTEM_STATE.+slice.+state.+changed )|(ment ac)|(multiple cpu faults)|(system.+state.+changed )|(\[timeout)|(PRM\|1\|D)|(kpr)|(kdp)|(train st.+moving)|(\|lc)|(penalty))"</v>
      </c>
      <c r="AG119" s="182" t="str">
        <f t="shared" si="39"/>
        <v>EC</v>
      </c>
      <c r="AH119" s="78" t="str">
        <f t="shared" si="40"/>
        <v>"%USERPROFILE%\Documents\GitHub\eaglep3\Utilities\RefineRTDCRunTimes.py" --tripid 206-09 --locoid 4023 --swversion DE.1.0.9.0 --startMP 204:232906 --initTime 2017-11-09T17:36:19 --startdatetime 2017-11-09T17:42:24 --delay 63 --endMP 204:262 --enddatetime 2017-11-09T18:22:18 --enforcementcount 0 &gt;&gt;%USERPROFILE%\Documents\GitHub\eaglep3-reporting\EC\2017-11-09-refined-times.txt</v>
      </c>
      <c r="AI11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{"issue":{"subject":"","project_id":79,"tracker_id":40,"status_id":1,"priority_id":2,"assigned_to_id":338,"start_date":"2017-11-09","description":"","custom_fields":[{"id":1,"name":"Subdivision","value":"EC"},{"id":4,"name":"Milepost","value":"0.0262"},{"id":17,"name":"Train ID","value":"206-09"},{"id":16,"name":"Locomotive ID","value":"4023"},{"id":130,"name":"Impact","value":""},{"id":150,"name":"Time of Event (Mountain Time)","value":"18:22:18"},{"id":151,"name":"Denver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4023 --day 2017-11-09</v>
      </c>
      <c r="AN119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4"/>
        <v>https://d0f6bd738d7f1b3e5a7ca70fe4ff75f0.us-east-1.aws.found.io/app/kibana#/discover/Steve-Slow-Train-Analysis-(2080s-and-2083s)?_g=(refreshInterval:(display:Off,pause:!f,section:0,value:0),time:(from:'2017-11-09T16:36:19-0700',mode:absolute,to:'2017-11-09T19:22:18-0700'))&amp;_a=(columns:!('Message%20ID',Summary),filters:!(),index:'emp_*',interval:auto,query:(query_string:(analyze_wildcard:!t,query:'%22rtdc.l.rtdc.4023%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820</v>
      </c>
      <c r="B120" s="7">
        <v>4026</v>
      </c>
      <c r="C120" s="21" t="s">
        <v>192</v>
      </c>
      <c r="D120" s="21" t="s">
        <v>531</v>
      </c>
      <c r="E120" s="13">
        <v>43048.703877314816</v>
      </c>
      <c r="F120" s="13">
        <v>43048.708506944444</v>
      </c>
      <c r="G120" s="7">
        <v>49</v>
      </c>
      <c r="H120" s="21" t="s">
        <v>972</v>
      </c>
      <c r="I120" s="13">
        <v>43048.733738425923</v>
      </c>
      <c r="J120" s="7">
        <v>0</v>
      </c>
      <c r="K120" s="89" t="str">
        <f t="shared" si="29"/>
        <v>4025/4026</v>
      </c>
      <c r="L120" s="185" t="str">
        <f>VLOOKUP(A120,'Trips&amp;Operators'!$C$1:$G$99911,5,FALSE)</f>
        <v>LEVIN SCOTT</v>
      </c>
      <c r="M120" s="6">
        <f t="shared" si="30"/>
        <v>2.5231481478840578E-2</v>
      </c>
      <c r="N120" s="7">
        <f t="shared" si="56"/>
        <v>36.333333329530433</v>
      </c>
      <c r="O120" s="7"/>
      <c r="P120" s="7"/>
      <c r="Q120" s="22"/>
      <c r="R120" s="174"/>
      <c r="S120" s="221">
        <f t="shared" si="49"/>
        <v>1</v>
      </c>
      <c r="T120" s="174" t="str">
        <f t="shared" si="31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-11-09T15:53:35-0700',mode:absolute,to:'2017-11-09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04" t="str">
        <f>IF(AA120&lt;VLOOKUP(AG120,Variables!$AC$3:$AD$8,2,FALSE),"Y","N")</f>
        <v>N</v>
      </c>
      <c r="X120" s="204">
        <f t="shared" si="48"/>
        <v>1</v>
      </c>
      <c r="Y120" s="204">
        <f t="shared" si="60"/>
        <v>5.3499999999999999E-2</v>
      </c>
      <c r="Z120" s="204">
        <f t="shared" si="61"/>
        <v>23.330100000000002</v>
      </c>
      <c r="AA120" s="204">
        <f t="shared" si="35"/>
        <v>23.276600000000002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6"/>
        <v>207</v>
      </c>
      <c r="AE120" s="77" t="str">
        <f t="shared" si="37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120" s="74" t="str">
        <f t="shared" si="38"/>
        <v>"C:\Program Files (x86)\AstroGrep\AstroGrep.exe" /e /r /s /spath="%USERPROFILE%\AppData\Local\Temp\OnboardLogs" /stypes="app*4026*20171110*" /stext=" 00:.+((SYSTEM_STATE.+slice.+state.+changed )|(ment ac)|(multiple cpu faults)|(system.+state.+changed )|(\[timeout)|(PRM\|1\|D)|(kpr)|(kdp)|(train st.+moving)|(\|lc)|(penalty))"</v>
      </c>
      <c r="AG120" s="182" t="str">
        <f t="shared" si="39"/>
        <v>EC</v>
      </c>
      <c r="AH120" s="78" t="str">
        <f t="shared" si="40"/>
        <v>"%USERPROFILE%\Documents\GitHub\eaglep3\Utilities\RefineRTDCRunTimes.py" --tripid 207-09 --locoid 4026 --swversion DE.1.0.9.0 --startMP 204:535 --initTime 2017-11-09T16:53:35 --startdatetime 2017-11-09T17:00:15 --delay 49 --endMP 204:233301 --enddatetime 2017-11-09T17:36:35 --enforcementcount 0 &gt;&gt;%USERPROFILE%\Documents\GitHub\eaglep3-reporting\EC\2017-11-09-refined-times.txt</v>
      </c>
      <c r="AI12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{"issue":{"subject":"","project_id":79,"tracker_id":40,"status_id":1,"priority_id":2,"assigned_to_id":338,"start_date":"2017-11-09","description":"","custom_fields":[{"id":1,"name":"Subdivision","value":"EC"},{"id":4,"name":"Milepost","value":"23.3301"},{"id":17,"name":"Train ID","value":"207-09"},{"id":16,"name":"Locomotive ID","value":"4026"},{"id":130,"name":"Impact","value":""},{"id":150,"name":"Time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4026 --day 2017-11-09</v>
      </c>
      <c r="AN120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4"/>
        <v>https://d0f6bd738d7f1b3e5a7ca70fe4ff75f0.us-east-1.aws.found.io/app/kibana#/discover/Steve-Slow-Train-Analysis-(2080s-and-2083s)?_g=(refreshInterval:(display:Off,pause:!f,section:0,value:0),time:(from:'2017-11-09T15:53:35-0700',mode:absolute,to:'2017-11-09T18:36:35-0700'))&amp;_a=(columns:!('Message%20ID',Summary),filters:!(),index:'emp_*',interval:auto,query:(query_string:(analyze_wildcard:!t,query:'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836</v>
      </c>
      <c r="B121" s="7">
        <v>4025</v>
      </c>
      <c r="C121" s="21" t="s">
        <v>192</v>
      </c>
      <c r="D121" s="21" t="s">
        <v>589</v>
      </c>
      <c r="E121" s="13">
        <v>43048.738692129627</v>
      </c>
      <c r="F121" s="13">
        <v>43048.748078703706</v>
      </c>
      <c r="G121" s="7">
        <v>59</v>
      </c>
      <c r="H121" s="21" t="s">
        <v>602</v>
      </c>
      <c r="I121" s="13">
        <v>43048.775497685187</v>
      </c>
      <c r="J121" s="7">
        <v>0</v>
      </c>
      <c r="K121" s="89" t="str">
        <f t="shared" si="29"/>
        <v>4025/4026</v>
      </c>
      <c r="L121" s="185" t="str">
        <f>VLOOKUP(A121,'Trips&amp;Operators'!$C$1:$G$99911,5,FALSE)</f>
        <v>LEVIN SCOTT</v>
      </c>
      <c r="M121" s="6">
        <f t="shared" si="30"/>
        <v>2.7418981480877846E-2</v>
      </c>
      <c r="N121" s="7">
        <f t="shared" si="56"/>
        <v>39.483333332464099</v>
      </c>
      <c r="O121" s="7"/>
      <c r="P121" s="7"/>
      <c r="Q121" s="22"/>
      <c r="R121" s="174"/>
      <c r="S121" s="221">
        <f t="shared" si="49"/>
        <v>1</v>
      </c>
      <c r="T121" s="174" t="str">
        <f t="shared" si="31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-11-09T16:43:43-0700',mode:absolute,to:'2017-11-09T19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04" t="str">
        <f>IF(AA121&lt;VLOOKUP(AG121,Variables!$AC$3:$AD$8,2,FALSE),"Y","N")</f>
        <v>N</v>
      </c>
      <c r="X121" s="204">
        <f t="shared" si="48"/>
        <v>1</v>
      </c>
      <c r="Y121" s="204">
        <f t="shared" si="60"/>
        <v>23.298200000000001</v>
      </c>
      <c r="Z121" s="204">
        <f t="shared" si="61"/>
        <v>1.7399999999999999E-2</v>
      </c>
      <c r="AA121" s="204">
        <f t="shared" si="35"/>
        <v>23.280800000000003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6"/>
        <v>208</v>
      </c>
      <c r="AE121" s="77" t="str">
        <f t="shared" si="37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121" s="74" t="str">
        <f t="shared" si="38"/>
        <v>"C:\Program Files (x86)\AstroGrep\AstroGrep.exe" /e /r /s /spath="%USERPROFILE%\AppData\Local\Temp\OnboardLogs" /stypes="app*4025*20171110*" /stext=" 01:.+((SYSTEM_STATE.+slice.+state.+changed )|(ment ac)|(multiple cpu faults)|(system.+state.+changed )|(\[timeout)|(PRM\|1\|D)|(kpr)|(kdp)|(train st.+moving)|(\|lc)|(penalty))"</v>
      </c>
      <c r="AG121" s="182" t="str">
        <f t="shared" si="39"/>
        <v>EC</v>
      </c>
      <c r="AH121" s="78" t="str">
        <f t="shared" si="40"/>
        <v>"%USERPROFILE%\Documents\GitHub\eaglep3\Utilities\RefineRTDCRunTimes.py" --tripid 208-09 --locoid 4025 --swversion DE.1.0.9.0 --startMP 204:232982 --initTime 2017-11-09T17:43:43 --startdatetime 2017-11-09T17:57:14 --delay 59 --endMP 204:174 --enddatetime 2017-11-09T18:36:43 --enforcementcount 0 &gt;&gt;%USERPROFILE%\Documents\GitHub\eaglep3-reporting\EC\2017-11-09-refined-times.txt</v>
      </c>
      <c r="AI121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{"issue":{"subject":"","project_id":79,"tracker_id":40,"status_id":1,"priority_id":2,"assigned_to_id":338,"start_date":"2017-11-09","description":"","custom_fields":[{"id":1,"name":"Subdivision","value":"EC"},{"id":4,"name":"Milepost","value":"0.0174"},{"id":17,"name":"Train ID","value":"208-09"},{"id":16,"name":"Locomotive ID","value":"4025"},{"id":130,"name":"Impact","value":""},{"id":150,"name":"Time of Event (Mountain Time)","value":"18:36:43"},{"id":151,"name":"Denver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4025 --day 2017-11-09</v>
      </c>
      <c r="AN121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4"/>
        <v>https://d0f6bd738d7f1b3e5a7ca70fe4ff75f0.us-east-1.aws.found.io/app/kibana#/discover/Steve-Slow-Train-Analysis-(2080s-and-2083s)?_g=(refreshInterval:(display:Off,pause:!f,section:0,value:0),time:(from:'2017-11-09T16:43:43-0700',mode:absolute,to:'2017-11-09T19:36:43-0700'))&amp;_a=(columns:!('Message%20ID',Summary),filters:!(),index:'emp_*',interval:auto,query:(query_string:(analyze_wildcard:!t,query:'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824</v>
      </c>
      <c r="B122" s="7">
        <v>4064</v>
      </c>
      <c r="C122" s="21" t="s">
        <v>192</v>
      </c>
      <c r="D122" s="21" t="s">
        <v>464</v>
      </c>
      <c r="E122" s="13">
        <v>43048.715451388889</v>
      </c>
      <c r="F122" s="13">
        <v>43048.718912037039</v>
      </c>
      <c r="G122" s="7">
        <v>60</v>
      </c>
      <c r="H122" s="21" t="s">
        <v>487</v>
      </c>
      <c r="I122" s="13">
        <v>43048.74590277778</v>
      </c>
      <c r="J122" s="7">
        <v>0</v>
      </c>
      <c r="K122" s="89" t="str">
        <f t="shared" si="29"/>
        <v>4063/4064</v>
      </c>
      <c r="L122" s="185" t="str">
        <f>VLOOKUP(A122,'Trips&amp;Operators'!$C$1:$G$99911,5,FALSE)</f>
        <v>BERLING GARY</v>
      </c>
      <c r="M122" s="6">
        <f t="shared" si="30"/>
        <v>2.6990740741894115E-2</v>
      </c>
      <c r="N122" s="7">
        <f t="shared" si="56"/>
        <v>38.866666668327525</v>
      </c>
      <c r="O122" s="7"/>
      <c r="P122" s="7"/>
      <c r="Q122" s="22"/>
      <c r="R122" s="174"/>
      <c r="S122" s="221">
        <f t="shared" si="49"/>
        <v>1</v>
      </c>
      <c r="T122" s="174" t="str">
        <f t="shared" si="31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-11-09T16:10:15-0700',mode:absolute,to:'2017-11-09T18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04" t="str">
        <f>IF(AA122&lt;VLOOKUP(AG122,Variables!$AC$3:$AD$8,2,FALSE),"Y","N")</f>
        <v>N</v>
      </c>
      <c r="X122" s="204">
        <f t="shared" si="48"/>
        <v>1</v>
      </c>
      <c r="Y122" s="204">
        <f t="shared" si="60"/>
        <v>5.6599999999999998E-2</v>
      </c>
      <c r="Z122" s="204">
        <f t="shared" si="61"/>
        <v>23.3278</v>
      </c>
      <c r="AA122" s="204">
        <f t="shared" si="35"/>
        <v>23.2712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6"/>
        <v>209</v>
      </c>
      <c r="AE122" s="77" t="str">
        <f t="shared" si="37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122" s="74" t="str">
        <f t="shared" si="38"/>
        <v>"C:\Program Files (x86)\AstroGrep\AstroGrep.exe" /e /r /s /spath="%USERPROFILE%\AppData\Local\Temp\OnboardLogs" /stypes="app*4064*20171110*" /stext=" 00:.+((SYSTEM_STATE.+slice.+state.+changed )|(ment ac)|(multiple cpu faults)|(system.+state.+changed )|(\[timeout)|(PRM\|1\|D)|(kpr)|(kdp)|(train st.+moving)|(\|lc)|(penalty))"</v>
      </c>
      <c r="AG122" s="182" t="str">
        <f t="shared" si="39"/>
        <v>EC</v>
      </c>
      <c r="AH122" s="78" t="str">
        <f t="shared" si="40"/>
        <v>"%USERPROFILE%\Documents\GitHub\eaglep3\Utilities\RefineRTDCRunTimes.py" --tripid 209-09 --locoid 4064 --swversion DE.1.0.9.0 --startMP 204:566 --initTime 2017-11-09T17:10:15 --startdatetime 2017-11-09T17:15:14 --delay 60 --endMP 204:233278 --enddatetime 2017-11-09T17:54:06 --enforcementcount 0 &gt;&gt;%USERPROFILE%\Documents\GitHub\eaglep3-reporting\EC\2017-11-09-refined-times.txt</v>
      </c>
      <c r="AI12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{"issue":{"subject":"","project_id":79,"tracker_id":40,"status_id":1,"priority_id":2,"assigned_to_id":338,"start_date":"2017-11-09","description":"","custom_fields":[{"id":1,"name":"Subdivision","value":"EC"},{"id":4,"name":"Milepost","value":"23.3278"},{"id":17,"name":"Train ID","value":"209-09"},{"id":16,"name":"Locomotive ID","value":"4064"},{"id":130,"name":"Impact","value":""},{"id":150,"name":"Time of Event (Mountain Time)","value":"17:54:06"},{"id":151,"name":"Denver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4064 --day 2017-11-09</v>
      </c>
      <c r="AN122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4"/>
        <v>https://d0f6bd738d7f1b3e5a7ca70fe4ff75f0.us-east-1.aws.found.io/app/kibana#/discover/Steve-Slow-Train-Analysis-(2080s-and-2083s)?_g=(refreshInterval:(display:Off,pause:!f,section:0,value:0),time:(from:'2017-11-09T16:10:15-0700',mode:absolute,to:'2017-11-09T18:54:06-0700'))&amp;_a=(columns:!('Message%20ID',Summary),filters:!(),index:'emp_*',interval:auto,query:(query_string:(analyze_wildcard:!t,query:'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839</v>
      </c>
      <c r="B123" s="7">
        <v>4063</v>
      </c>
      <c r="C123" s="21" t="s">
        <v>192</v>
      </c>
      <c r="D123" s="21" t="s">
        <v>486</v>
      </c>
      <c r="E123" s="13">
        <v>43048.752615740741</v>
      </c>
      <c r="F123" s="13">
        <v>43048.758506944447</v>
      </c>
      <c r="G123" s="7">
        <v>63</v>
      </c>
      <c r="H123" s="21" t="s">
        <v>592</v>
      </c>
      <c r="I123" s="13">
        <v>43048.786469907405</v>
      </c>
      <c r="J123" s="7">
        <v>0</v>
      </c>
      <c r="K123" s="89" t="str">
        <f t="shared" si="29"/>
        <v>4063/4064</v>
      </c>
      <c r="L123" s="185" t="str">
        <f>VLOOKUP(A123,'Trips&amp;Operators'!$C$1:$G$99911,5,FALSE)</f>
        <v>BERLING GARY</v>
      </c>
      <c r="M123" s="6">
        <f t="shared" si="30"/>
        <v>2.7962962958554272E-2</v>
      </c>
      <c r="N123" s="7">
        <f t="shared" si="56"/>
        <v>40.266666660318151</v>
      </c>
      <c r="O123" s="7"/>
      <c r="P123" s="7"/>
      <c r="Q123" s="22"/>
      <c r="R123" s="174"/>
      <c r="S123" s="221">
        <f t="shared" si="49"/>
        <v>1</v>
      </c>
      <c r="T123" s="174" t="str">
        <f t="shared" si="31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-11-09T17:03:46-0700',mode:absolute,to:'2017-11-09T19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3" s="204" t="str">
        <f>IF(AA123&lt;VLOOKUP(AG123,Variables!$AC$3:$AD$8,2,FALSE),"Y","N")</f>
        <v>N</v>
      </c>
      <c r="X123" s="204">
        <f t="shared" si="48"/>
        <v>1</v>
      </c>
      <c r="Y123" s="204">
        <f t="shared" si="60"/>
        <v>23.2957</v>
      </c>
      <c r="Z123" s="204">
        <f t="shared" si="61"/>
        <v>1.83E-2</v>
      </c>
      <c r="AA123" s="204">
        <f t="shared" si="35"/>
        <v>23.2774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6"/>
        <v>210</v>
      </c>
      <c r="AE123" s="77" t="str">
        <f t="shared" si="37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123" s="74" t="str">
        <f t="shared" si="38"/>
        <v>"C:\Program Files (x86)\AstroGrep\AstroGrep.exe" /e /r /s /spath="%USERPROFILE%\AppData\Local\Temp\OnboardLogs" /stypes="app*4063*20171110*" /stext=" 01:.+((SYSTEM_STATE.+slice.+state.+changed )|(ment ac)|(multiple cpu faults)|(system.+state.+changed )|(\[timeout)|(PRM\|1\|D)|(kpr)|(kdp)|(train st.+moving)|(\|lc)|(penalty))"</v>
      </c>
      <c r="AG123" s="182" t="str">
        <f t="shared" si="39"/>
        <v>EC</v>
      </c>
      <c r="AH123" s="78" t="str">
        <f t="shared" si="40"/>
        <v>"%USERPROFILE%\Documents\GitHub\eaglep3\Utilities\RefineRTDCRunTimes.py" --tripid 210-09 --locoid 4063 --swversion DE.1.0.9.0 --startMP 204:232957 --initTime 2017-11-09T18:03:46 --startdatetime 2017-11-09T18:12:15 --delay 63 --endMP 204:183 --enddatetime 2017-11-09T18:52:31 --enforcementcount 0 &gt;&gt;%USERPROFILE%\Documents\GitHub\eaglep3-reporting\EC\2017-11-09-refined-times.txt</v>
      </c>
      <c r="AI12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{"issue":{"subject":"","project_id":79,"tracker_id":40,"status_id":1,"priority_id":2,"assigned_to_id":338,"start_date":"2017-11-09","description":"","custom_fields":[{"id":1,"name":"Subdivision","value":"EC"},{"id":4,"name":"Milepost","value":"0.0183"},{"id":17,"name":"Train ID","value":"210-09"},{"id":16,"name":"Locomotive ID","value":"4063"},{"id":130,"name":"Impact","value":""},{"id":150,"name":"Time of Event (Mountain Time)","value":"18:52:31"},{"id":151,"name":"Denver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4063 --day 2017-11-09</v>
      </c>
      <c r="AN123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4"/>
        <v>https://d0f6bd738d7f1b3e5a7ca70fe4ff75f0.us-east-1.aws.found.io/app/kibana#/discover/Steve-Slow-Train-Analysis-(2080s-and-2083s)?_g=(refreshInterval:(display:Off,pause:!f,section:0,value:0),time:(from:'2017-11-09T17:03:46-0700',mode:absolute,to:'2017-11-09T19:52:31-0700'))&amp;_a=(columns:!('Message%20ID',Summary),filters:!(),index:'emp_*',interval:auto,query:(query_string:(analyze_wildcard:!t,query:'%22rtdc.l.rtdc.4063%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830</v>
      </c>
      <c r="B124" s="7">
        <v>4020</v>
      </c>
      <c r="C124" s="21" t="s">
        <v>192</v>
      </c>
      <c r="D124" s="21" t="s">
        <v>973</v>
      </c>
      <c r="E124" s="13">
        <v>43048.728518518517</v>
      </c>
      <c r="F124" s="13">
        <v>43048.729907407411</v>
      </c>
      <c r="G124" s="7">
        <v>55</v>
      </c>
      <c r="H124" s="21" t="s">
        <v>493</v>
      </c>
      <c r="I124" s="13">
        <v>43048.754849537036</v>
      </c>
      <c r="J124" s="7">
        <v>0</v>
      </c>
      <c r="K124" s="89" t="str">
        <f t="shared" si="29"/>
        <v>4019/4020</v>
      </c>
      <c r="L124" s="185" t="str">
        <f>VLOOKUP(A124,'Trips&amp;Operators'!$C$1:$G$99911,5,FALSE)</f>
        <v>ROBINSON KADDIBA</v>
      </c>
      <c r="M124" s="6">
        <f t="shared" si="30"/>
        <v>2.4942129624832887E-2</v>
      </c>
      <c r="N124" s="7">
        <f t="shared" si="56"/>
        <v>35.916666659759358</v>
      </c>
      <c r="O124" s="7"/>
      <c r="P124" s="7"/>
      <c r="Q124" s="22"/>
      <c r="R124" s="174"/>
      <c r="S124" s="221">
        <f t="shared" si="49"/>
        <v>1</v>
      </c>
      <c r="T124" s="174" t="str">
        <f t="shared" si="31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-11-09T16:29:04-0700',mode:absolute,to:'2017-11-09T19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204" t="str">
        <f>IF(AA124&lt;VLOOKUP(AG124,Variables!$AC$3:$AD$8,2,FALSE),"Y","N")</f>
        <v>N</v>
      </c>
      <c r="X124" s="204">
        <f t="shared" si="48"/>
        <v>1</v>
      </c>
      <c r="Y124" s="204">
        <f t="shared" si="60"/>
        <v>5.5100000000000003E-2</v>
      </c>
      <c r="Z124" s="204">
        <f t="shared" si="61"/>
        <v>23.3261</v>
      </c>
      <c r="AA124" s="204">
        <f t="shared" si="35"/>
        <v>23.271000000000001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6"/>
        <v>211</v>
      </c>
      <c r="AE124" s="77" t="str">
        <f t="shared" si="37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124" s="74" t="str">
        <f t="shared" si="38"/>
        <v>"C:\Program Files (x86)\AstroGrep\AstroGrep.exe" /e /r /s /spath="%USERPROFILE%\AppData\Local\Temp\OnboardLogs" /stypes="app*4020*20171110*" /stext=" 01:.+((SYSTEM_STATE.+slice.+state.+changed )|(ment ac)|(multiple cpu faults)|(system.+state.+changed )|(\[timeout)|(PRM\|1\|D)|(kpr)|(kdp)|(train st.+moving)|(\|lc)|(penalty))"</v>
      </c>
      <c r="AG124" s="182" t="str">
        <f t="shared" si="39"/>
        <v>EC</v>
      </c>
      <c r="AH124" s="78" t="str">
        <f t="shared" si="40"/>
        <v>"%USERPROFILE%\Documents\GitHub\eaglep3\Utilities\RefineRTDCRunTimes.py" --tripid 211-09 --locoid 4020 --swversion DE.1.0.9.0 --startMP 204:551 --initTime 2017-11-09T17:29:04 --startdatetime 2017-11-09T17:31:04 --delay 55 --endMP 204:233261 --enddatetime 2017-11-09T18:06:59 --enforcementcount 0 &gt;&gt;%USERPROFILE%\Documents\GitHub\eaglep3-reporting\EC\2017-11-09-refined-times.txt</v>
      </c>
      <c r="AI12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{"issue":{"subject":"","project_id":79,"tracker_id":40,"status_id":1,"priority_id":2,"assigned_to_id":338,"start_date":"2017-11-09","description":"","custom_fields":[{"id":1,"name":"Subdivision","value":"EC"},{"id":4,"name":"Milepost","value":"23.3261"},{"id":17,"name":"Train ID","value":"211-09"},{"id":16,"name":"Locomotive ID","value":"4020"},{"id":130,"name":"Impact","value":""},{"id":150,"name":"Time of Event (Mountain Time)","value":"18:06:59"},{"id":151,"name":"Denver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4020 --day 2017-11-09</v>
      </c>
      <c r="AN124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4"/>
        <v>https://d0f6bd738d7f1b3e5a7ca70fe4ff75f0.us-east-1.aws.found.io/app/kibana#/discover/Steve-Slow-Train-Analysis-(2080s-and-2083s)?_g=(refreshInterval:(display:Off,pause:!f,section:0,value:0),time:(from:'2017-11-09T16:29:04-0700',mode:absolute,to:'2017-11-09T19:06:59-0700'))&amp;_a=(columns:!('Message%20ID',Summary),filters:!(),index:'emp_*',interval:auto,query:(query_string:(analyze_wildcard:!t,query:'%22rtdc.l.rtdc.4020%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655</v>
      </c>
      <c r="B125" s="7">
        <v>4019</v>
      </c>
      <c r="C125" s="21" t="s">
        <v>192</v>
      </c>
      <c r="D125" s="21" t="s">
        <v>974</v>
      </c>
      <c r="E125" s="13">
        <v>43048.761134259257</v>
      </c>
      <c r="F125" s="13">
        <v>43048.768912037034</v>
      </c>
      <c r="G125" s="7">
        <v>57</v>
      </c>
      <c r="H125" s="21" t="s">
        <v>969</v>
      </c>
      <c r="I125" s="13">
        <v>43048.7971412037</v>
      </c>
      <c r="J125" s="7">
        <v>0</v>
      </c>
      <c r="K125" s="89" t="str">
        <f t="shared" si="29"/>
        <v>4019/4020</v>
      </c>
      <c r="L125" s="185" t="str">
        <f>VLOOKUP(A125,'Trips&amp;Operators'!$C$1:$G$99911,5,FALSE)</f>
        <v>ROBINSON KADDIBA</v>
      </c>
      <c r="M125" s="6">
        <f t="shared" si="30"/>
        <v>2.8229166666278616E-2</v>
      </c>
      <c r="N125" s="7">
        <f t="shared" si="56"/>
        <v>40.649999999441206</v>
      </c>
      <c r="O125" s="7"/>
      <c r="P125" s="7"/>
      <c r="Q125" s="22"/>
      <c r="R125" s="174"/>
      <c r="S125" s="221">
        <f t="shared" si="49"/>
        <v>1</v>
      </c>
      <c r="T125" s="174" t="str">
        <f t="shared" si="31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-11-09T17:16:02-0700',mode:absolute,to:'2017-11-09T20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204" t="str">
        <f>IF(AA125&lt;VLOOKUP(AG125,Variables!$AC$3:$AD$8,2,FALSE),"Y","N")</f>
        <v>N</v>
      </c>
      <c r="X125" s="204">
        <f t="shared" si="48"/>
        <v>1</v>
      </c>
      <c r="Y125" s="204">
        <f t="shared" si="60"/>
        <v>23.2942</v>
      </c>
      <c r="Z125" s="204">
        <f t="shared" si="61"/>
        <v>2.18E-2</v>
      </c>
      <c r="AA125" s="204">
        <f t="shared" si="35"/>
        <v>23.272400000000001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6"/>
        <v>212</v>
      </c>
      <c r="AE125" s="77" t="str">
        <f t="shared" si="37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125" s="74" t="str">
        <f t="shared" si="38"/>
        <v>"C:\Program Files (x86)\AstroGrep\AstroGrep.exe" /e /r /s /spath="%USERPROFILE%\AppData\Local\Temp\OnboardLogs" /stypes="app*4019*20171110*" /stext=" 02:.+((SYSTEM_STATE.+slice.+state.+changed )|(ment ac)|(multiple cpu faults)|(system.+state.+changed )|(\[timeout)|(PRM\|1\|D)|(kpr)|(kdp)|(train st.+moving)|(\|lc)|(penalty))"</v>
      </c>
      <c r="AG125" s="182" t="str">
        <f t="shared" si="39"/>
        <v>EC</v>
      </c>
      <c r="AH125" s="78" t="str">
        <f t="shared" si="40"/>
        <v>"%USERPROFILE%\Documents\GitHub\eaglep3\Utilities\RefineRTDCRunTimes.py" --tripid 212-09 --locoid 4019 --swversion DE.1.0.9.0 --startMP 204:232942 --initTime 2017-11-09T18:16:02 --startdatetime 2017-11-09T18:27:14 --delay 57 --endMP 204:218 --enddatetime 2017-11-09T19:07:53 --enforcementcount 0 &gt;&gt;%USERPROFILE%\Documents\GitHub\eaglep3-reporting\EC\2017-11-09-refined-times.txt</v>
      </c>
      <c r="AI12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{"issue":{"subject":"","project_id":79,"tracker_id":40,"status_id":1,"priority_id":2,"assigned_to_id":338,"start_date":"2017-11-09","description":"","custom_fields":[{"id":1,"name":"Subdivision","value":"EC"},{"id":4,"name":"Milepost","value":"0.0218"},{"id":17,"name":"Train ID","value":"212-09"},{"id":16,"name":"Locomotive ID","value":"4019"},{"id":130,"name":"Impact","value":""},{"id":150,"name":"Time of Event (Mountain Time)","value":"19:07:53"},{"id":151,"name":"Denver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4019 --day 2017-11-09</v>
      </c>
      <c r="AN125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4"/>
        <v>https://d0f6bd738d7f1b3e5a7ca70fe4ff75f0.us-east-1.aws.found.io/app/kibana#/discover/Steve-Slow-Train-Analysis-(2080s-and-2083s)?_g=(refreshInterval:(display:Off,pause:!f,section:0,value:0),time:(from:'2017-11-09T17:16:02-0700',mode:absolute,to:'2017-11-09T20:07:53-0700'))&amp;_a=(columns:!('Message%20ID',Summary),filters:!(),index:'emp_*',interval:auto,query:(query_string:(analyze_wildcard:!t,query:'%22rtdc.l.rtdc.4019%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835</v>
      </c>
      <c r="B126" s="7">
        <v>4022</v>
      </c>
      <c r="C126" s="21" t="s">
        <v>192</v>
      </c>
      <c r="D126" s="21" t="s">
        <v>473</v>
      </c>
      <c r="E126" s="13">
        <v>43048.738506944443</v>
      </c>
      <c r="F126" s="13">
        <v>43048.74013888889</v>
      </c>
      <c r="G126" s="7">
        <v>64</v>
      </c>
      <c r="H126" s="21" t="s">
        <v>899</v>
      </c>
      <c r="I126" s="13">
        <v>43048.764479166668</v>
      </c>
      <c r="J126" s="7">
        <v>0</v>
      </c>
      <c r="K126" s="89" t="str">
        <f t="shared" si="29"/>
        <v>4021/4022</v>
      </c>
      <c r="L126" s="185" t="str">
        <f>VLOOKUP(A126,'Trips&amp;Operators'!$C$1:$G$99911,5,FALSE)</f>
        <v>LOZA FIDEL</v>
      </c>
      <c r="M126" s="6">
        <f t="shared" si="30"/>
        <v>2.4340277777810115E-2</v>
      </c>
      <c r="N126" s="7">
        <f t="shared" si="56"/>
        <v>35.050000000046566</v>
      </c>
      <c r="O126" s="7"/>
      <c r="P126" s="7"/>
      <c r="Q126" s="22"/>
      <c r="R126" s="174"/>
      <c r="S126" s="221">
        <f t="shared" si="49"/>
        <v>1</v>
      </c>
      <c r="T126" s="174" t="str">
        <f t="shared" si="31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-11-09T16:43:27-0700',mode:absolute,to:'2017-11-09T19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204" t="str">
        <f>IF(AA126&lt;VLOOKUP(AG126,Variables!$AC$3:$AD$8,2,FALSE),"Y","N")</f>
        <v>N</v>
      </c>
      <c r="X126" s="204">
        <f t="shared" si="48"/>
        <v>1</v>
      </c>
      <c r="Y126" s="204">
        <f t="shared" si="60"/>
        <v>5.1900000000000002E-2</v>
      </c>
      <c r="Z126" s="204">
        <f t="shared" si="61"/>
        <v>23.327400000000001</v>
      </c>
      <c r="AA126" s="204">
        <f t="shared" si="35"/>
        <v>23.275500000000001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6"/>
        <v>213</v>
      </c>
      <c r="AE126" s="77" t="str">
        <f t="shared" si="37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26" s="74" t="str">
        <f t="shared" si="38"/>
        <v>"C:\Program Files (x86)\AstroGrep\AstroGrep.exe" /e /r /s /spath="%USERPROFILE%\AppData\Local\Temp\OnboardLogs" /stypes="app*4022*20171110*" /stext=" 01:.+((SYSTEM_STATE.+slice.+state.+changed )|(ment ac)|(multiple cpu faults)|(system.+state.+changed )|(\[timeout)|(PRM\|1\|D)|(kpr)|(kdp)|(train st.+moving)|(\|lc)|(penalty))"</v>
      </c>
      <c r="AG126" s="182" t="str">
        <f t="shared" si="39"/>
        <v>EC</v>
      </c>
      <c r="AH126" s="78" t="str">
        <f t="shared" si="40"/>
        <v>"%USERPROFILE%\Documents\GitHub\eaglep3\Utilities\RefineRTDCRunTimes.py" --tripid 213-09 --locoid 4022 --swversion DE.1.0.9.0 --startMP 204:519 --initTime 2017-11-09T17:43:27 --startdatetime 2017-11-09T17:45:48 --delay 64 --endMP 204:233274 --enddatetime 2017-11-09T18:20:51 --enforcementcount 0 &gt;&gt;%USERPROFILE%\Documents\GitHub\eaglep3-reporting\EC\2017-11-09-refined-times.txt</v>
      </c>
      <c r="AI126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{"issue":{"subject":"","project_id":79,"tracker_id":40,"status_id":1,"priority_id":2,"assigned_to_id":338,"start_date":"2017-11-09","description":"","custom_fields":[{"id":1,"name":"Subdivision","value":"EC"},{"id":4,"name":"Milepost","value":"23.3274"},{"id":17,"name":"Train ID","value":"213-09"},{"id":16,"name":"Locomotive ID","value":"4022"},{"id":130,"name":"Impact","value":""},{"id":150,"name":"Time of Event (Mountain Time)","value":"18:20:51"},{"id":151,"name":"Denver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4022 --day 2017-11-09</v>
      </c>
      <c r="AN126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4"/>
        <v>https://d0f6bd738d7f1b3e5a7ca70fe4ff75f0.us-east-1.aws.found.io/app/kibana#/discover/Steve-Slow-Train-Analysis-(2080s-and-2083s)?_g=(refreshInterval:(display:Off,pause:!f,section:0,value:0),time:(from:'2017-11-09T16:43:27-0700',mode:absolute,to:'2017-11-09T19:20:51-0700'))&amp;_a=(columns:!('Message%20ID',Summary),filters:!(),index:'emp_*',interval:auto,query:(query_string:(analyze_wildcard:!t,query:'%22rtdc.l.rtdc.4022%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846</v>
      </c>
      <c r="B127" s="7">
        <v>4021</v>
      </c>
      <c r="C127" s="21" t="s">
        <v>192</v>
      </c>
      <c r="D127" s="21" t="s">
        <v>927</v>
      </c>
      <c r="E127" s="13">
        <v>43048.769131944442</v>
      </c>
      <c r="F127" s="13">
        <v>43048.779548611114</v>
      </c>
      <c r="G127" s="7">
        <v>73</v>
      </c>
      <c r="H127" s="21" t="s">
        <v>602</v>
      </c>
      <c r="I127" s="13">
        <v>43048.805289351854</v>
      </c>
      <c r="J127" s="7">
        <v>0</v>
      </c>
      <c r="K127" s="89" t="str">
        <f t="shared" si="29"/>
        <v>4021/4022</v>
      </c>
      <c r="L127" s="185" t="str">
        <f>VLOOKUP(A127,'Trips&amp;Operators'!$C$1:$G$99911,5,FALSE)</f>
        <v>LOZA FIDEL</v>
      </c>
      <c r="M127" s="6">
        <f t="shared" si="30"/>
        <v>2.5740740740729962E-2</v>
      </c>
      <c r="N127" s="7">
        <f t="shared" si="56"/>
        <v>37.066666666651145</v>
      </c>
      <c r="O127" s="7"/>
      <c r="P127" s="7"/>
      <c r="Q127" s="22"/>
      <c r="R127" s="174"/>
      <c r="S127" s="221">
        <f t="shared" si="49"/>
        <v>1</v>
      </c>
      <c r="T127" s="174" t="str">
        <f t="shared" si="31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-11-09T17:27:33-0700',mode:absolute,to:'2017-11-09T20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204" t="str">
        <f>IF(AA127&lt;VLOOKUP(AG127,Variables!$AC$3:$AD$8,2,FALSE),"Y","N")</f>
        <v>N</v>
      </c>
      <c r="X127" s="204">
        <f t="shared" si="48"/>
        <v>1</v>
      </c>
      <c r="Y127" s="204">
        <f t="shared" si="60"/>
        <v>23.294899999999998</v>
      </c>
      <c r="Z127" s="204">
        <f t="shared" si="61"/>
        <v>1.7399999999999999E-2</v>
      </c>
      <c r="AA127" s="204">
        <f t="shared" si="35"/>
        <v>23.2775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6"/>
        <v>214</v>
      </c>
      <c r="AE127" s="77" t="str">
        <f t="shared" si="37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127" s="74" t="str">
        <f t="shared" si="38"/>
        <v>"C:\Program Files (x86)\AstroGrep\AstroGrep.exe" /e /r /s /spath="%USERPROFILE%\AppData\Local\Temp\OnboardLogs" /stypes="app*4021*20171110*" /stext=" 02:.+((SYSTEM_STATE.+slice.+state.+changed )|(ment ac)|(multiple cpu faults)|(system.+state.+changed )|(\[timeout)|(PRM\|1\|D)|(kpr)|(kdp)|(train st.+moving)|(\|lc)|(penalty))"</v>
      </c>
      <c r="AG127" s="182" t="str">
        <f t="shared" si="39"/>
        <v>EC</v>
      </c>
      <c r="AH127" s="78" t="str">
        <f t="shared" si="40"/>
        <v>"%USERPROFILE%\Documents\GitHub\eaglep3\Utilities\RefineRTDCRunTimes.py" --tripid 214-09 --locoid 4021 --swversion DE.1.0.9.0 --startMP 204:232949 --initTime 2017-11-09T18:27:33 --startdatetime 2017-11-09T18:42:33 --delay 73 --endMP 204:174 --enddatetime 2017-11-09T19:19:37 --enforcementcount 0 &gt;&gt;%USERPROFILE%\Documents\GitHub\eaglep3-reporting\EC\2017-11-09-refined-times.txt</v>
      </c>
      <c r="AI12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{"issue":{"subject":"","project_id":79,"tracker_id":40,"status_id":1,"priority_id":2,"assigned_to_id":338,"start_date":"2017-11-09","description":"","custom_fields":[{"id":1,"name":"Subdivision","value":"EC"},{"id":4,"name":"Milepost","value":"0.0174"},{"id":17,"name":"Train ID","value":"214-09"},{"id":16,"name":"Locomotive ID","value":"4021"},{"id":130,"name":"Impact","value":""},{"id":150,"name":"Time of Event (Mountain Time)","value":"19:19:37"},{"id":151,"name":"Denver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4021 --day 2017-11-09</v>
      </c>
      <c r="AN127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4"/>
        <v>https://d0f6bd738d7f1b3e5a7ca70fe4ff75f0.us-east-1.aws.found.io/app/kibana#/discover/Steve-Slow-Train-Analysis-(2080s-and-2083s)?_g=(refreshInterval:(display:Off,pause:!f,section:0,value:0),time:(from:'2017-11-09T17:27:33-0700',mode:absolute,to:'2017-11-09T20:19:37-0700'))&amp;_a=(columns:!('Message%20ID',Summary),filters:!(),index:'emp_*',interval:auto,query:(query_string:(analyze_wildcard:!t,query:'%22rtdc.l.rtdc.4021%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837</v>
      </c>
      <c r="B128" s="7">
        <v>4066</v>
      </c>
      <c r="C128" s="21" t="s">
        <v>192</v>
      </c>
      <c r="D128" s="21" t="s">
        <v>973</v>
      </c>
      <c r="E128" s="13">
        <v>43048.745127314818</v>
      </c>
      <c r="F128" s="13">
        <v>43048.750486111108</v>
      </c>
      <c r="G128" s="7">
        <v>145</v>
      </c>
      <c r="H128" s="21" t="s">
        <v>516</v>
      </c>
      <c r="I128" s="13">
        <v>43048.775138888886</v>
      </c>
      <c r="J128" s="7">
        <v>0</v>
      </c>
      <c r="K128" s="89" t="str">
        <f t="shared" si="29"/>
        <v>4065/4066</v>
      </c>
      <c r="L128" s="185" t="str">
        <f>VLOOKUP(A128,'Trips&amp;Operators'!$C$1:$G$99911,5,FALSE)</f>
        <v>ANDREA WILLIAMS</v>
      </c>
      <c r="M128" s="6">
        <f t="shared" si="30"/>
        <v>2.4652777778101154E-2</v>
      </c>
      <c r="N128" s="7">
        <f t="shared" si="56"/>
        <v>35.500000000465661</v>
      </c>
      <c r="O128" s="7"/>
      <c r="P128" s="7"/>
      <c r="Q128" s="22"/>
      <c r="R128" s="174"/>
      <c r="S128" s="221">
        <f t="shared" ref="S128:S144" si="62">1/IF(AG128="EC",12,1)*SUM(U128:U128)</f>
        <v>1</v>
      </c>
      <c r="T128" s="174" t="str">
        <f t="shared" si="31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-11-09T16:52:59-0700',mode:absolute,to:'2017-11-09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8" s="204" t="str">
        <f>IF(AA128&lt;VLOOKUP(AG128,Variables!$AC$3:$AD$8,2,FALSE),"Y","N")</f>
        <v>N</v>
      </c>
      <c r="X128" s="204">
        <f t="shared" si="48"/>
        <v>1</v>
      </c>
      <c r="Y128" s="204">
        <f t="shared" si="60"/>
        <v>5.5100000000000003E-2</v>
      </c>
      <c r="Z128" s="204">
        <f t="shared" si="61"/>
        <v>23.3184</v>
      </c>
      <c r="AA128" s="204">
        <f t="shared" si="35"/>
        <v>23.263300000000001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6"/>
        <v>215</v>
      </c>
      <c r="AE128" s="77" t="str">
        <f t="shared" si="37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128" s="74" t="str">
        <f t="shared" si="38"/>
        <v>"C:\Program Files (x86)\AstroGrep\AstroGrep.exe" /e /r /s /spath="%USERPROFILE%\AppData\Local\Temp\OnboardLogs" /stypes="app*4066*20171110*" /stext=" 01:.+((SYSTEM_STATE.+slice.+state.+changed )|(ment ac)|(multiple cpu faults)|(system.+state.+changed )|(\[timeout)|(PRM\|1\|D)|(kpr)|(kdp)|(train st.+moving)|(\|lc)|(penalty))"</v>
      </c>
      <c r="AG128" s="182" t="str">
        <f t="shared" si="39"/>
        <v>EC</v>
      </c>
      <c r="AH128" s="78" t="str">
        <f t="shared" si="40"/>
        <v>"%USERPROFILE%\Documents\GitHub\eaglep3\Utilities\RefineRTDCRunTimes.py" --tripid 215-09 --locoid 4066 --swversion DE.1.0.9.0 --startMP 204:551 --initTime 2017-11-09T17:52:59 --startdatetime 2017-11-09T18:00:42 --delay 145 --endMP 204:233184 --enddatetime 2017-11-09T18:36:12 --enforcementcount 0 &gt;&gt;%USERPROFILE%\Documents\GitHub\eaglep3-reporting\EC\2017-11-09-refined-times.txt</v>
      </c>
      <c r="AI12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{"issue":{"subject":"","project_id":79,"tracker_id":40,"status_id":1,"priority_id":2,"assigned_to_id":338,"start_date":"2017-11-09","description":"","custom_fields":[{"id":1,"name":"Subdivision","value":"EC"},{"id":4,"name":"Milepost","value":"23.3184"},{"id":17,"name":"Train ID","value":"215-09"},{"id":16,"name":"Locomotive ID","value":"4066"},{"id":130,"name":"Impact","value":""},{"id":150,"name":"Time of Event (Mountain Time)","value":"18:36:12"},{"id":151,"name":"Denver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4066 --day 2017-11-09</v>
      </c>
      <c r="AN128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4"/>
        <v>https://d0f6bd738d7f1b3e5a7ca70fe4ff75f0.us-east-1.aws.found.io/app/kibana#/discover/Steve-Slow-Train-Analysis-(2080s-and-2083s)?_g=(refreshInterval:(display:Off,pause:!f,section:0,value:0),time:(from:'2017-11-09T16:52:59-0700',mode:absolute,to:'2017-11-09T19:36:12-0700'))&amp;_a=(columns:!('Message%20ID',Summary),filters:!(),index:'emp_*',interval:auto,query:(query_string:(analyze_wildcard:!t,query:'%22rtdc.l.rtdc.4066%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848</v>
      </c>
      <c r="B129" s="7">
        <v>4065</v>
      </c>
      <c r="C129" s="21" t="s">
        <v>192</v>
      </c>
      <c r="D129" s="21" t="s">
        <v>525</v>
      </c>
      <c r="E129" s="13">
        <v>43048.776643518519</v>
      </c>
      <c r="F129" s="13">
        <v>43048.789756944447</v>
      </c>
      <c r="G129" s="7">
        <v>69</v>
      </c>
      <c r="H129" s="21" t="s">
        <v>975</v>
      </c>
      <c r="I129" s="13">
        <v>43048.816817129627</v>
      </c>
      <c r="J129" s="7">
        <v>0</v>
      </c>
      <c r="K129" s="89" t="str">
        <f t="shared" si="29"/>
        <v>4065/4066</v>
      </c>
      <c r="L129" s="185" t="str">
        <f>VLOOKUP(A129,'Trips&amp;Operators'!$C$1:$G$99911,5,FALSE)</f>
        <v>ANDREA WILLIAMS</v>
      </c>
      <c r="M129" s="6">
        <f t="shared" si="30"/>
        <v>2.7060185180744156E-2</v>
      </c>
      <c r="N129" s="7">
        <f t="shared" si="56"/>
        <v>38.966666660271585</v>
      </c>
      <c r="O129" s="7"/>
      <c r="P129" s="7"/>
      <c r="Q129" s="22"/>
      <c r="R129" s="174"/>
      <c r="S129" s="221">
        <f t="shared" si="62"/>
        <v>1</v>
      </c>
      <c r="T129" s="174" t="str">
        <f t="shared" si="31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-11-09T17:38:22-0700',mode:absolute,to:'2017-11-09T20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9" s="204" t="str">
        <f>IF(AA129&lt;VLOOKUP(AG129,Variables!$AC$3:$AD$8,2,FALSE),"Y","N")</f>
        <v>N</v>
      </c>
      <c r="X129" s="204">
        <f t="shared" si="48"/>
        <v>1</v>
      </c>
      <c r="Y129" s="204">
        <f t="shared" si="60"/>
        <v>23.286899999999999</v>
      </c>
      <c r="Z129" s="204">
        <f t="shared" si="61"/>
        <v>2.5999999999999999E-2</v>
      </c>
      <c r="AA129" s="204">
        <f t="shared" si="35"/>
        <v>23.260899999999999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6"/>
        <v>216</v>
      </c>
      <c r="AE129" s="77" t="str">
        <f t="shared" si="37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129" s="74" t="str">
        <f t="shared" si="38"/>
        <v>"C:\Program Files (x86)\AstroGrep\AstroGrep.exe" /e /r /s /spath="%USERPROFILE%\AppData\Local\Temp\OnboardLogs" /stypes="app*4065*20171110*" /stext=" 02:.+((SYSTEM_STATE.+slice.+state.+changed )|(ment ac)|(multiple cpu faults)|(system.+state.+changed )|(\[timeout)|(PRM\|1\|D)|(kpr)|(kdp)|(train st.+moving)|(\|lc)|(penalty))"</v>
      </c>
      <c r="AG129" s="182" t="str">
        <f t="shared" si="39"/>
        <v>EC</v>
      </c>
      <c r="AH129" s="78" t="str">
        <f t="shared" si="40"/>
        <v>"%USERPROFILE%\Documents\GitHub\eaglep3\Utilities\RefineRTDCRunTimes.py" --tripid 216-09 --locoid 4065 --swversion DE.1.0.9.0 --startMP 204:232869 --initTime 2017-11-09T18:38:22 --startdatetime 2017-11-09T18:57:15 --delay 69 --endMP 204:260 --enddatetime 2017-11-09T19:36:13 --enforcementcount 0 &gt;&gt;%USERPROFILE%\Documents\GitHub\eaglep3-reporting\EC\2017-11-09-refined-times.txt</v>
      </c>
      <c r="AI12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{"issue":{"subject":"","project_id":79,"tracker_id":40,"status_id":1,"priority_id":2,"assigned_to_id":338,"start_date":"2017-11-09","description":"","custom_fields":[{"id":1,"name":"Subdivision","value":"EC"},{"id":4,"name":"Milepost","value":"0.026"},{"id":17,"name":"Train ID","value":"216-09"},{"id":16,"name":"Locomotive ID","value":"4065"},{"id":130,"name":"Impact","value":""},{"id":150,"name":"Time of Event (Mountain Time)","value":"19:36:13"},{"id":151,"name":"Denver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4065 --day 2017-11-09</v>
      </c>
      <c r="AN129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4"/>
        <v>https://d0f6bd738d7f1b3e5a7ca70fe4ff75f0.us-east-1.aws.found.io/app/kibana#/discover/Steve-Slow-Train-Analysis-(2080s-and-2083s)?_g=(refreshInterval:(display:Off,pause:!f,section:0,value:0),time:(from:'2017-11-09T17:38:22-0700',mode:absolute,to:'2017-11-09T20:36:13-0700'))&amp;_a=(columns:!('Message%20ID',Summary),filters:!(),index:'emp_*',interval:auto,query:(query_string:(analyze_wildcard:!t,query:'%22rtdc.l.rtdc.4065%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841</v>
      </c>
      <c r="B130" s="7">
        <v>4014</v>
      </c>
      <c r="C130" s="21" t="s">
        <v>192</v>
      </c>
      <c r="D130" s="21" t="s">
        <v>525</v>
      </c>
      <c r="E130" s="13">
        <v>43048.776643518519</v>
      </c>
      <c r="F130" s="13">
        <v>43048.760555555556</v>
      </c>
      <c r="G130" s="7">
        <v>69</v>
      </c>
      <c r="H130" s="21" t="s">
        <v>975</v>
      </c>
      <c r="I130" s="13">
        <v>43048.785162037035</v>
      </c>
      <c r="J130" s="7">
        <v>0</v>
      </c>
      <c r="K130" s="89" t="str">
        <f t="shared" si="29"/>
        <v>4013/4014</v>
      </c>
      <c r="L130" s="185" t="str">
        <f>VLOOKUP(A130,'Trips&amp;Operators'!$C$1:$G$99911,5,FALSE)</f>
        <v>ELBAUM MIKE</v>
      </c>
      <c r="M130" s="6">
        <f t="shared" si="30"/>
        <v>2.4606481478258502E-2</v>
      </c>
      <c r="N130" s="7">
        <f t="shared" si="56"/>
        <v>35.433333328692243</v>
      </c>
      <c r="O130" s="7"/>
      <c r="P130" s="7"/>
      <c r="Q130" s="22"/>
      <c r="R130" s="174"/>
      <c r="S130" s="221">
        <f t="shared" si="62"/>
        <v>1</v>
      </c>
      <c r="T130" s="174" t="str">
        <f t="shared" si="31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-11-09T17:38:22-0700',mode:absolute,to:'2017-11-09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204" t="str">
        <f>IF(AA130&lt;VLOOKUP(AG130,Variables!$AC$3:$AD$8,2,FALSE),"Y","N")</f>
        <v>N</v>
      </c>
      <c r="X130" s="204">
        <f t="shared" si="48"/>
        <v>1</v>
      </c>
      <c r="Y130" s="204">
        <v>5.5100000000000003E-2</v>
      </c>
      <c r="Z130" s="204">
        <v>23.3184</v>
      </c>
      <c r="AA130" s="204">
        <f t="shared" si="35"/>
        <v>23.263300000000001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6"/>
        <v>217</v>
      </c>
      <c r="AE130" s="77" t="str">
        <f t="shared" si="37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130" s="74" t="str">
        <f t="shared" si="38"/>
        <v>"C:\Program Files (x86)\AstroGrep\AstroGrep.exe" /e /r /s /spath="%USERPROFILE%\AppData\Local\Temp\OnboardLogs" /stypes="app*4014*20171110*" /stext=" 01:.+((SYSTEM_STATE.+slice.+state.+changed )|(ment ac)|(multiple cpu faults)|(system.+state.+changed )|(\[timeout)|(PRM\|1\|D)|(kpr)|(kdp)|(train st.+moving)|(\|lc)|(penalty))"</v>
      </c>
      <c r="AG130" s="182" t="str">
        <f t="shared" si="39"/>
        <v>EC</v>
      </c>
      <c r="AH130" s="78" t="str">
        <f t="shared" ref="AH130" si="63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217-09 --locoid 4014 --swversion DE.1.0.9.0 --startMP 204:232869 --initTime 2017-11-09T18:38:22 --startdatetime 2017-11-09T18:15:12 --delay 69 --endMP 204:260 --enddatetime 2017-11-09T18:50:38 --enforcementcount 0 &gt;&gt;%USERPROFILE%\Documents\GitHub\eaglep3-reporting\EC\2017-11-09-refined-times.txt</v>
      </c>
      <c r="AI13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{"issue":{"subject":"","project_id":79,"tracker_id":40,"status_id":1,"priority_id":2,"assigned_to_id":338,"start_date":"2017-11-09","description":"","custom_fields":[{"id":1,"name":"Subdivision","value":"EC"},{"id":4,"name":"Milepost","value":"23.3184"},{"id":17,"name":"Train ID","value":"217-09"},{"id":16,"name":"Locomotive ID","value":"4014"},{"id":130,"name":"Impact","value":""},{"id":150,"name":"Time of Event (Mountain Time)","value":"18:50:38"},{"id":151,"name":"Denver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ref="AM130" si="64">"start /low /b "&amp;dls3logs&amp;" --loco "&amp;B130&amp;" --day "&amp;TEXT(F130,"YYYY-MM-DD")</f>
        <v>start /low /b %USERPROFILE%\Documents\GitHub\eaglep3\Utilities\DownloadLogsFromS3.py --loco 4014 --day 2017-11-09</v>
      </c>
      <c r="AN130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65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-09T17:38:22-0700',mode:absolute,to:'2017-11-09T19:50:38-0700'))&amp;_a=(columns:!('Message%20ID',Summary),filters:!(),index:'emp_*',interval:auto,query:(query_string:(analyze_wildcard:!t,query:'%22rtdc.l.rtdc.4014%22')),sort:!(Time.ISO8601,asc))</v>
      </c>
    </row>
    <row r="131" spans="1:91" s="20" customFormat="1" x14ac:dyDescent="0.25">
      <c r="A131" s="32" t="s">
        <v>850</v>
      </c>
      <c r="B131" s="7">
        <v>4013</v>
      </c>
      <c r="C131" s="21" t="s">
        <v>192</v>
      </c>
      <c r="D131" s="21" t="s">
        <v>956</v>
      </c>
      <c r="E131" s="13">
        <v>43048.786168981482</v>
      </c>
      <c r="F131" s="13">
        <v>43048.800138888888</v>
      </c>
      <c r="G131" s="7">
        <v>88</v>
      </c>
      <c r="H131" s="21" t="s">
        <v>976</v>
      </c>
      <c r="I131" s="13">
        <v>43048.825555555559</v>
      </c>
      <c r="J131" s="7">
        <v>0</v>
      </c>
      <c r="K131" s="89" t="str">
        <f t="shared" si="29"/>
        <v>4013/4014</v>
      </c>
      <c r="L131" s="185" t="str">
        <f>VLOOKUP(A131,'Trips&amp;Operators'!$C$1:$G$99911,5,FALSE)</f>
        <v>ELBAUM MIKE</v>
      </c>
      <c r="M131" s="6">
        <f t="shared" si="30"/>
        <v>2.5416666670935228E-2</v>
      </c>
      <c r="N131" s="7">
        <f t="shared" si="56"/>
        <v>36.600000006146729</v>
      </c>
      <c r="O131" s="7"/>
      <c r="P131" s="7"/>
      <c r="Q131" s="22"/>
      <c r="R131" s="174"/>
      <c r="S131" s="221">
        <f t="shared" si="62"/>
        <v>1</v>
      </c>
      <c r="T131" s="174" t="str">
        <f t="shared" si="31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-11-09T17:52:05-0700',mode:absolute,to:'2017-11-09T20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204" t="str">
        <f>IF(AA131&lt;VLOOKUP(AG131,Variables!$AC$3:$AD$8,2,FALSE),"Y","N")</f>
        <v>N</v>
      </c>
      <c r="X131" s="204">
        <f t="shared" ref="X131:X132" si="66">VALUE(LEFT(AD131,4))-VALUE(LEFT(AD130,4))</f>
        <v>1</v>
      </c>
      <c r="Y131" s="204">
        <f t="shared" ref="Y131:Y138" si="67">RIGHT(D131,LEN(D131)-4)/10000</f>
        <v>23.294499999999999</v>
      </c>
      <c r="Z131" s="204">
        <f t="shared" ref="Z131:Z138" si="68">RIGHT(H131,LEN(H131)-4)/10000</f>
        <v>2.52E-2</v>
      </c>
      <c r="AA131" s="204">
        <f t="shared" si="35"/>
        <v>23.269299999999998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6"/>
        <v>218</v>
      </c>
      <c r="AE131" s="77" t="str">
        <f t="shared" si="37"/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AF131" s="74" t="str">
        <f t="shared" si="38"/>
        <v>"C:\Program Files (x86)\AstroGrep\AstroGrep.exe" /e /r /s /spath="%USERPROFILE%\AppData\Local\Temp\OnboardLogs" /stypes="app*4013*20171110*" /stext=" 02:.+((SYSTEM_STATE.+slice.+state.+changed )|(ment ac)|(multiple cpu faults)|(system.+state.+changed )|(\[timeout)|(PRM\|1\|D)|(kpr)|(kdp)|(train st.+moving)|(\|lc)|(penalty))"</v>
      </c>
      <c r="AG131" s="182" t="str">
        <f t="shared" si="39"/>
        <v>EC</v>
      </c>
      <c r="AH131" s="78" t="str">
        <f t="shared" si="40"/>
        <v>"%USERPROFILE%\Documents\GitHub\eaglep3\Utilities\RefineRTDCRunTimes.py" --tripid 218-09 --locoid 4013 --swversion DE.1.0.9.0 --startMP 204:232945 --initTime 2017-11-09T18:52:05 --startdatetime 2017-11-09T19:12:12 --delay 88 --endMP 204:252 --enddatetime 2017-11-09T19:48:48 --enforcementcount 0 &gt;&gt;%USERPROFILE%\Documents\GitHub\eaglep3-reporting\EC\2017-11-09-refined-times.txt</v>
      </c>
      <c r="AI131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{"issue":{"subject":"","project_id":79,"tracker_id":40,"status_id":1,"priority_id":2,"assigned_to_id":338,"start_date":"2017-11-09","description":"","custom_fields":[{"id":1,"name":"Subdivision","value":"EC"},{"id":4,"name":"Milepost","value":"0.0252"},{"id":17,"name":"Train ID","value":"218-09"},{"id":16,"name":"Locomotive ID","value":"4013"},{"id":130,"name":"Impact","value":""},{"id":150,"name":"Time of Event (Mountain Time)","value":"19:48:48"},{"id":151,"name":"Denver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4013 --day 2017-11-09</v>
      </c>
      <c r="AN131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4"/>
        <v>https://d0f6bd738d7f1b3e5a7ca70fe4ff75f0.us-east-1.aws.found.io/app/kibana#/discover/Steve-Slow-Train-Analysis-(2080s-and-2083s)?_g=(refreshInterval:(display:Off,pause:!f,section:0,value:0),time:(from:'2017-11-09T17:52:05-0700',mode:absolute,to:'2017-11-09T20:48:48-0700'))&amp;_a=(columns:!('Message%20ID',Summary),filters:!(),index:'emp_*',interval:auto,query:(query_string:(analyze_wildcard:!t,query:'%22rtdc.l.rtdc.4013%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845</v>
      </c>
      <c r="B132" s="7">
        <v>4024</v>
      </c>
      <c r="C132" s="21" t="s">
        <v>192</v>
      </c>
      <c r="D132" s="21" t="s">
        <v>530</v>
      </c>
      <c r="E132" s="13">
        <v>43048.767766203702</v>
      </c>
      <c r="F132" s="13">
        <v>43048.771064814813</v>
      </c>
      <c r="G132" s="7">
        <v>122</v>
      </c>
      <c r="H132" s="21" t="s">
        <v>977</v>
      </c>
      <c r="I132" s="13">
        <v>43048.797418981485</v>
      </c>
      <c r="J132" s="7">
        <v>0</v>
      </c>
      <c r="K132" s="89" t="str">
        <f t="shared" si="29"/>
        <v>4023/4024</v>
      </c>
      <c r="L132" s="185" t="str">
        <f>VLOOKUP(A132,'Trips&amp;Operators'!$C$1:$G$99911,5,FALSE)</f>
        <v>NICHOLSON WESLEY</v>
      </c>
      <c r="M132" s="6">
        <f t="shared" si="30"/>
        <v>2.6354166671808343E-2</v>
      </c>
      <c r="N132" s="7">
        <f t="shared" si="56"/>
        <v>37.950000007404014</v>
      </c>
      <c r="O132" s="7"/>
      <c r="P132" s="7"/>
      <c r="Q132" s="22"/>
      <c r="R132" s="174"/>
      <c r="S132" s="221">
        <f t="shared" si="62"/>
        <v>1</v>
      </c>
      <c r="T132" s="174" t="str">
        <f t="shared" si="31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-11-09T17:25:35-0700',mode:absolute,to:'2017-11-09T20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2" s="204" t="str">
        <f>IF(AA132&lt;VLOOKUP(AG132,Variables!$AC$3:$AD$8,2,FALSE),"Y","N")</f>
        <v>N</v>
      </c>
      <c r="X132" s="204">
        <f t="shared" si="66"/>
        <v>1</v>
      </c>
      <c r="Y132" s="204">
        <f t="shared" si="67"/>
        <v>5.7000000000000002E-2</v>
      </c>
      <c r="Z132" s="204">
        <f t="shared" si="68"/>
        <v>23.3172</v>
      </c>
      <c r="AA132" s="204">
        <f t="shared" si="35"/>
        <v>23.260200000000001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6"/>
        <v>219</v>
      </c>
      <c r="AE132" s="77" t="str">
        <f t="shared" si="37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32" s="74" t="str">
        <f t="shared" si="38"/>
        <v>"C:\Program Files (x86)\AstroGrep\AstroGrep.exe" /e /r /s /spath="%USERPROFILE%\AppData\Local\Temp\OnboardLogs" /stypes="app*4024*20171110*" /stext=" 02:.+((SYSTEM_STATE.+slice.+state.+changed )|(ment ac)|(multiple cpu faults)|(system.+state.+changed )|(\[timeout)|(PRM\|1\|D)|(kpr)|(kdp)|(train st.+moving)|(\|lc)|(penalty))"</v>
      </c>
      <c r="AG132" s="182" t="str">
        <f t="shared" si="39"/>
        <v>EC</v>
      </c>
      <c r="AH132" s="78" t="str">
        <f t="shared" si="40"/>
        <v>"%USERPROFILE%\Documents\GitHub\eaglep3\Utilities\RefineRTDCRunTimes.py" --tripid 219-09 --locoid 4024 --swversion DE.1.0.9.0 --startMP 204:570 --initTime 2017-11-09T18:25:35 --startdatetime 2017-11-09T18:30:20 --delay 122 --endMP 204:233172 --enddatetime 2017-11-09T19:08:17 --enforcementcount 0 &gt;&gt;%USERPROFILE%\Documents\GitHub\eaglep3-reporting\EC\2017-11-09-refined-times.txt</v>
      </c>
      <c r="AI132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{"issue":{"subject":"","project_id":79,"tracker_id":40,"status_id":1,"priority_id":2,"assigned_to_id":338,"start_date":"2017-11-09","description":"","custom_fields":[{"id":1,"name":"Subdivision","value":"EC"},{"id":4,"name":"Milepost","value":"23.3172"},{"id":17,"name":"Train ID","value":"219-09"},{"id":16,"name":"Locomotive ID","value":"4024"},{"id":130,"name":"Impact","value":""},{"id":150,"name":"Time of Event (Mountain Time)","value":"19:08:17"},{"id":151,"name":"Denver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4024 --day 2017-11-09</v>
      </c>
      <c r="AN132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4"/>
        <v>https://d0f6bd738d7f1b3e5a7ca70fe4ff75f0.us-east-1.aws.found.io/app/kibana#/discover/Steve-Slow-Train-Analysis-(2080s-and-2083s)?_g=(refreshInterval:(display:Off,pause:!f,section:0,value:0),time:(from:'2017-11-09T17:25:35-0700',mode:absolute,to:'2017-11-09T20:08:17-0700'))&amp;_a=(columns:!('Message%20ID',Summary),filters:!(),index:'emp_*',interval:auto,query:(query_string:(analyze_wildcard:!t,query:'%22rtdc.l.rtdc.4024%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854</v>
      </c>
      <c r="B133" s="7">
        <v>4023</v>
      </c>
      <c r="C133" s="21" t="s">
        <v>192</v>
      </c>
      <c r="D133" s="21" t="s">
        <v>616</v>
      </c>
      <c r="E133" s="13">
        <v>43048.802210648151</v>
      </c>
      <c r="F133" s="13">
        <v>43048.810810185183</v>
      </c>
      <c r="G133" s="7">
        <v>94</v>
      </c>
      <c r="H133" s="21" t="s">
        <v>519</v>
      </c>
      <c r="I133" s="13">
        <v>43048.838287037041</v>
      </c>
      <c r="J133" s="7">
        <v>0</v>
      </c>
      <c r="K133" s="89" t="str">
        <f t="shared" si="29"/>
        <v>4023/4024</v>
      </c>
      <c r="L133" s="185" t="str">
        <f>VLOOKUP(A133,'Trips&amp;Operators'!$C$1:$G$99911,5,FALSE)</f>
        <v>NICHOLSON WESLEY</v>
      </c>
      <c r="M133" s="6">
        <f t="shared" si="30"/>
        <v>2.7476851857500151E-2</v>
      </c>
      <c r="N133" s="7">
        <f t="shared" si="56"/>
        <v>39.566666674800217</v>
      </c>
      <c r="O133" s="7"/>
      <c r="P133" s="7"/>
      <c r="Q133" s="22"/>
      <c r="R133" s="174"/>
      <c r="S133" s="221">
        <f t="shared" si="62"/>
        <v>1</v>
      </c>
      <c r="T133" s="174" t="str">
        <f t="shared" si="31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-11-09T18:15:11-0700',mode:absolute,to:'2017-11-09T21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3" s="204" t="str">
        <f>IF(AA133&lt;VLOOKUP(AG133,Variables!$AC$3:$AD$8,2,FALSE),"Y","N")</f>
        <v>N</v>
      </c>
      <c r="X133" s="204">
        <f t="shared" ref="X133:X139" si="69">VALUE(LEFT(AD133,4))-VALUE(LEFT(AD132,4))</f>
        <v>1</v>
      </c>
      <c r="Y133" s="204">
        <f t="shared" si="67"/>
        <v>23.285599999999999</v>
      </c>
      <c r="Z133" s="204">
        <f t="shared" si="68"/>
        <v>2.2700000000000001E-2</v>
      </c>
      <c r="AA133" s="204">
        <f t="shared" si="35"/>
        <v>23.262899999999998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6"/>
        <v>220</v>
      </c>
      <c r="AE133" s="77" t="str">
        <f t="shared" si="37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133" s="74" t="str">
        <f t="shared" si="38"/>
        <v>"C:\Program Files (x86)\AstroGrep\AstroGrep.exe" /e /r /s /spath="%USERPROFILE%\AppData\Local\Temp\OnboardLogs" /stypes="app*4023*20171110*" /stext=" 03:.+((SYSTEM_STATE.+slice.+state.+changed )|(ment ac)|(multiple cpu faults)|(system.+state.+changed )|(\[timeout)|(PRM\|1\|D)|(kpr)|(kdp)|(train st.+moving)|(\|lc)|(penalty))"</v>
      </c>
      <c r="AG133" s="182" t="str">
        <f t="shared" si="39"/>
        <v>EC</v>
      </c>
      <c r="AH133" s="78" t="str">
        <f t="shared" si="40"/>
        <v>"%USERPROFILE%\Documents\GitHub\eaglep3\Utilities\RefineRTDCRunTimes.py" --tripid 220-09 --locoid 4023 --swversion DE.1.0.9.0 --startMP 204:232856 --initTime 2017-11-09T19:15:11 --startdatetime 2017-11-09T19:27:34 --delay 94 --endMP 204:227 --enddatetime 2017-11-09T20:07:08 --enforcementcount 0 &gt;&gt;%USERPROFILE%\Documents\GitHub\eaglep3-reporting\EC\2017-11-09-refined-times.txt</v>
      </c>
      <c r="AI133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{"issue":{"subject":"","project_id":79,"tracker_id":40,"status_id":1,"priority_id":2,"assigned_to_id":338,"start_date":"2017-11-09","description":"","custom_fields":[{"id":1,"name":"Subdivision","value":"EC"},{"id":4,"name":"Milepost","value":"0.0227"},{"id":17,"name":"Train ID","value":"220-09"},{"id":16,"name":"Locomotive ID","value":"4023"},{"id":130,"name":"Impact","value":""},{"id":150,"name":"Time of Event (Mountain Time)","value":"20:07:08"},{"id":151,"name":"Denver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4023 --day 2017-11-09</v>
      </c>
      <c r="AN133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4"/>
        <v>https://d0f6bd738d7f1b3e5a7ca70fe4ff75f0.us-east-1.aws.found.io/app/kibana#/discover/Steve-Slow-Train-Analysis-(2080s-and-2083s)?_g=(refreshInterval:(display:Off,pause:!f,section:0,value:0),time:(from:'2017-11-09T18:15:11-0700',mode:absolute,to:'2017-11-09T21:07:08-0700'))&amp;_a=(columns:!('Message%20ID',Summary),filters:!(),index:'emp_*',interval:auto,query:(query_string:(analyze_wildcard:!t,query:'%22rtdc.l.rtdc.4023%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852</v>
      </c>
      <c r="B134" s="7">
        <v>4064</v>
      </c>
      <c r="C134" s="21" t="s">
        <v>192</v>
      </c>
      <c r="D134" s="21" t="s">
        <v>488</v>
      </c>
      <c r="E134" s="13">
        <v>43048.789039351854</v>
      </c>
      <c r="F134" s="13">
        <v>43048.79215277778</v>
      </c>
      <c r="G134" s="7">
        <v>207</v>
      </c>
      <c r="H134" s="21" t="s">
        <v>459</v>
      </c>
      <c r="I134" s="13">
        <v>43048.817407407405</v>
      </c>
      <c r="J134" s="7">
        <v>0</v>
      </c>
      <c r="K134" s="89" t="str">
        <f t="shared" si="29"/>
        <v>4063/4064</v>
      </c>
      <c r="L134" s="185" t="str">
        <f>VLOOKUP(A134,'Trips&amp;Operators'!$C$1:$G$99911,5,FALSE)</f>
        <v>AUSTIN THOMPSON</v>
      </c>
      <c r="M134" s="6">
        <f t="shared" si="30"/>
        <v>2.5254629625123926E-2</v>
      </c>
      <c r="N134" s="7">
        <f t="shared" si="56"/>
        <v>36.366666660178453</v>
      </c>
      <c r="O134" s="7"/>
      <c r="P134" s="7"/>
      <c r="Q134" s="22"/>
      <c r="R134" s="174"/>
      <c r="S134" s="221">
        <f t="shared" si="62"/>
        <v>1</v>
      </c>
      <c r="T134" s="174" t="str">
        <f t="shared" si="31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-11-09T17:56:13-0700',mode:absolute,to:'2017-11-09T20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4" s="204" t="str">
        <f>IF(AA134&lt;VLOOKUP(AG134,Variables!$AC$3:$AD$8,2,FALSE),"Y","N")</f>
        <v>N</v>
      </c>
      <c r="X134" s="204">
        <f t="shared" si="69"/>
        <v>1</v>
      </c>
      <c r="Y134" s="204">
        <f t="shared" si="67"/>
        <v>5.0900000000000001E-2</v>
      </c>
      <c r="Z134" s="204">
        <f t="shared" si="68"/>
        <v>23.325700000000001</v>
      </c>
      <c r="AA134" s="204">
        <f t="shared" si="35"/>
        <v>23.274800000000003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6"/>
        <v>221</v>
      </c>
      <c r="AE134" s="77" t="str">
        <f t="shared" si="37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134" s="74" t="str">
        <f t="shared" si="38"/>
        <v>"C:\Program Files (x86)\AstroGrep\AstroGrep.exe" /e /r /s /spath="%USERPROFILE%\AppData\Local\Temp\OnboardLogs" /stypes="app*4064*20171110*" /stext=" 02:.+((SYSTEM_STATE.+slice.+state.+changed )|(ment ac)|(multiple cpu faults)|(system.+state.+changed )|(\[timeout)|(PRM\|1\|D)|(kpr)|(kdp)|(train st.+moving)|(\|lc)|(penalty))"</v>
      </c>
      <c r="AG134" s="182" t="str">
        <f t="shared" si="39"/>
        <v>EC</v>
      </c>
      <c r="AH134" s="78" t="str">
        <f t="shared" si="40"/>
        <v>"%USERPROFILE%\Documents\GitHub\eaglep3\Utilities\RefineRTDCRunTimes.py" --tripid 221-09 --locoid 4064 --swversion DE.1.0.9.0 --startMP 204:509 --initTime 2017-11-09T18:56:13 --startdatetime 2017-11-09T19:00:42 --delay 207 --endMP 204:233257 --enddatetime 2017-11-09T19:37:04 --enforcementcount 0 &gt;&gt;%USERPROFILE%\Documents\GitHub\eaglep3-reporting\EC\2017-11-09-refined-times.txt</v>
      </c>
      <c r="AI134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{"issue":{"subject":"","project_id":79,"tracker_id":40,"status_id":1,"priority_id":2,"assigned_to_id":338,"start_date":"2017-11-09","description":"","custom_fields":[{"id":1,"name":"Subdivision","value":"EC"},{"id":4,"name":"Milepost","value":"23.3257"},{"id":17,"name":"Train ID","value":"221-09"},{"id":16,"name":"Locomotive ID","value":"4064"},{"id":130,"name":"Impact","value":""},{"id":150,"name":"Time of Event (Mountain Time)","value":"19:37:04"},{"id":151,"name":"Denver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4064 --day 2017-11-09</v>
      </c>
      <c r="AN134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4"/>
        <v>https://d0f6bd738d7f1b3e5a7ca70fe4ff75f0.us-east-1.aws.found.io/app/kibana#/discover/Steve-Slow-Train-Analysis-(2080s-and-2083s)?_g=(refreshInterval:(display:Off,pause:!f,section:0,value:0),time:(from:'2017-11-09T17:56:13-0700',mode:absolute,to:'2017-11-09T20:37:04-0700'))&amp;_a=(columns:!('Message%20ID',Summary),filters:!(),index:'emp_*',interval:auto,query:(query_string:(analyze_wildcard:!t,query:'%22rtdc.l.rtdc.4064%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859</v>
      </c>
      <c r="B135" s="7">
        <v>4063</v>
      </c>
      <c r="C135" s="21" t="s">
        <v>192</v>
      </c>
      <c r="D135" s="21" t="s">
        <v>941</v>
      </c>
      <c r="E135" s="13">
        <v>43048.829027777778</v>
      </c>
      <c r="F135" s="13">
        <v>43048.831608796296</v>
      </c>
      <c r="G135" s="7">
        <v>70</v>
      </c>
      <c r="H135" s="21" t="s">
        <v>452</v>
      </c>
      <c r="I135" s="13">
        <v>43048.858761574076</v>
      </c>
      <c r="J135" s="7">
        <v>0</v>
      </c>
      <c r="K135" s="89" t="str">
        <f t="shared" si="29"/>
        <v>4063/4064</v>
      </c>
      <c r="L135" s="185" t="str">
        <f>VLOOKUP(A135,'Trips&amp;Operators'!$C$1:$G$99911,5,FALSE)</f>
        <v>AUSTIN THOMPSON</v>
      </c>
      <c r="M135" s="6">
        <f t="shared" si="30"/>
        <v>2.715277778042946E-2</v>
      </c>
      <c r="N135" s="7">
        <f t="shared" si="56"/>
        <v>39.100000003818423</v>
      </c>
      <c r="O135" s="7"/>
      <c r="P135" s="7"/>
      <c r="Q135" s="22"/>
      <c r="R135" s="174"/>
      <c r="S135" s="221">
        <f t="shared" si="62"/>
        <v>1</v>
      </c>
      <c r="T135" s="174" t="str">
        <f t="shared" si="31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-11-09T18:53:48-0700',mode:absolute,to:'2017-11-09T21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5" s="204" t="str">
        <f>IF(AA135&lt;VLOOKUP(AG135,Variables!$AC$3:$AD$8,2,FALSE),"Y","N")</f>
        <v>N</v>
      </c>
      <c r="X135" s="204">
        <f t="shared" si="69"/>
        <v>1</v>
      </c>
      <c r="Y135" s="204">
        <f t="shared" si="67"/>
        <v>23.293600000000001</v>
      </c>
      <c r="Z135" s="204">
        <f t="shared" si="68"/>
        <v>2.2100000000000002E-2</v>
      </c>
      <c r="AA135" s="204">
        <f t="shared" si="35"/>
        <v>23.271500000000003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6"/>
        <v>222</v>
      </c>
      <c r="AE135" s="77" t="str">
        <f t="shared" si="37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135" s="74" t="str">
        <f t="shared" si="38"/>
        <v>"C:\Program Files (x86)\AstroGrep\AstroGrep.exe" /e /r /s /spath="%USERPROFILE%\AppData\Local\Temp\OnboardLogs" /stypes="app*4063*20171110*" /stext=" 03:.+((SYSTEM_STATE.+slice.+state.+changed )|(ment ac)|(multiple cpu faults)|(system.+state.+changed )|(\[timeout)|(PRM\|1\|D)|(kpr)|(kdp)|(train st.+moving)|(\|lc)|(penalty))"</v>
      </c>
      <c r="AG135" s="182" t="str">
        <f t="shared" si="39"/>
        <v>EC</v>
      </c>
      <c r="AH135" s="78" t="str">
        <f t="shared" si="40"/>
        <v>"%USERPROFILE%\Documents\GitHub\eaglep3\Utilities\RefineRTDCRunTimes.py" --tripid 222-09 --locoid 4063 --swversion DE.1.0.9.0 --startMP 204:232936 --initTime 2017-11-09T19:53:48 --startdatetime 2017-11-09T19:57:31 --delay 70 --endMP 204:221 --enddatetime 2017-11-09T20:36:37 --enforcementcount 0 &gt;&gt;%USERPROFILE%\Documents\GitHub\eaglep3-reporting\EC\2017-11-09-refined-times.txt</v>
      </c>
      <c r="AI135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{"issue":{"subject":"","project_id":79,"tracker_id":40,"status_id":1,"priority_id":2,"assigned_to_id":338,"start_date":"2017-11-09","description":"","custom_fields":[{"id":1,"name":"Subdivision","value":"EC"},{"id":4,"name":"Milepost","value":"0.0221"},{"id":17,"name":"Train ID","value":"222-09"},{"id":16,"name":"Locomotive ID","value":"4063"},{"id":130,"name":"Impact","value":""},{"id":150,"name":"Time of Event (Mountain Time)","value":"20:36:37"},{"id":151,"name":"Denver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4063 --day 2017-11-09</v>
      </c>
      <c r="AN135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4"/>
        <v>https://d0f6bd738d7f1b3e5a7ca70fe4ff75f0.us-east-1.aws.found.io/app/kibana#/discover/Steve-Slow-Train-Analysis-(2080s-and-2083s)?_g=(refreshInterval:(display:Off,pause:!f,section:0,value:0),time:(from:'2017-11-09T18:53:48-0700',mode:absolute,to:'2017-11-09T21:36:37-0700'))&amp;_a=(columns:!('Message%20ID',Summary),filters:!(),index:'emp_*',interval:auto,query:(query_string:(analyze_wildcard:!t,query:'%22rtdc.l.rtdc.4063%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856</v>
      </c>
      <c r="B136" s="7">
        <v>4022</v>
      </c>
      <c r="C136" s="21" t="s">
        <v>192</v>
      </c>
      <c r="D136" s="21" t="s">
        <v>604</v>
      </c>
      <c r="E136" s="13">
        <v>43048.811157407406</v>
      </c>
      <c r="F136" s="13">
        <v>43048.812893518516</v>
      </c>
      <c r="G136" s="7">
        <v>83</v>
      </c>
      <c r="H136" s="21" t="s">
        <v>926</v>
      </c>
      <c r="I136" s="13">
        <v>43048.83662037037</v>
      </c>
      <c r="J136" s="7">
        <v>0</v>
      </c>
      <c r="K136" s="89" t="str">
        <f t="shared" si="29"/>
        <v>4021/4022</v>
      </c>
      <c r="L136" s="185" t="str">
        <f>VLOOKUP(A136,'Trips&amp;Operators'!$C$1:$G$99911,5,FALSE)</f>
        <v>LOZA FIDEL</v>
      </c>
      <c r="M136" s="6">
        <f t="shared" si="30"/>
        <v>2.3726851854007691E-2</v>
      </c>
      <c r="N136" s="7">
        <f t="shared" si="56"/>
        <v>34.166666669771075</v>
      </c>
      <c r="O136" s="7"/>
      <c r="P136" s="7"/>
      <c r="Q136" s="22"/>
      <c r="R136" s="174"/>
      <c r="S136" s="221">
        <f t="shared" si="62"/>
        <v>1</v>
      </c>
      <c r="T136" s="174" t="str">
        <f t="shared" si="31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-11-09T18:28:04-0700',mode:absolute,to:'2017-11-09T21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6" s="204" t="str">
        <f>IF(AA136&lt;VLOOKUP(AG136,Variables!$AC$3:$AD$8,2,FALSE),"Y","N")</f>
        <v>N</v>
      </c>
      <c r="X136" s="204">
        <f t="shared" si="69"/>
        <v>1</v>
      </c>
      <c r="Y136" s="204">
        <f t="shared" si="67"/>
        <v>4.6899999999999997E-2</v>
      </c>
      <c r="Z136" s="204">
        <f t="shared" si="68"/>
        <v>23.3263</v>
      </c>
      <c r="AA136" s="204">
        <f t="shared" si="35"/>
        <v>23.279399999999999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6"/>
        <v>223</v>
      </c>
      <c r="AE136" s="77" t="str">
        <f t="shared" si="37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36" s="74" t="str">
        <f t="shared" si="38"/>
        <v>"C:\Program Files (x86)\AstroGrep\AstroGrep.exe" /e /r /s /spath="%USERPROFILE%\AppData\Local\Temp\OnboardLogs" /stypes="app*4022*20171110*" /stext=" 03:.+((SYSTEM_STATE.+slice.+state.+changed )|(ment ac)|(multiple cpu faults)|(system.+state.+changed )|(\[timeout)|(PRM\|1\|D)|(kpr)|(kdp)|(train st.+moving)|(\|lc)|(penalty))"</v>
      </c>
      <c r="AG136" s="182" t="str">
        <f t="shared" si="39"/>
        <v>EC</v>
      </c>
      <c r="AH136" s="78" t="str">
        <f t="shared" si="40"/>
        <v>"%USERPROFILE%\Documents\GitHub\eaglep3\Utilities\RefineRTDCRunTimes.py" --tripid 223-09 --locoid 4022 --swversion DE.1.0.9.0 --startMP 204:469 --initTime 2017-11-09T19:28:04 --startdatetime 2017-11-09T19:30:34 --delay 83 --endMP 204:233263 --enddatetime 2017-11-09T20:04:44 --enforcementcount 0 &gt;&gt;%USERPROFILE%\Documents\GitHub\eaglep3-reporting\EC\2017-11-09-refined-times.txt</v>
      </c>
      <c r="AI136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{"issue":{"subject":"","project_id":79,"tracker_id":40,"status_id":1,"priority_id":2,"assigned_to_id":338,"start_date":"2017-11-09","description":"","custom_fields":[{"id":1,"name":"Subdivision","value":"EC"},{"id":4,"name":"Milepost","value":"23.3263"},{"id":17,"name":"Train ID","value":"223-09"},{"id":16,"name":"Locomotive ID","value":"4022"},{"id":130,"name":"Impact","value":""},{"id":150,"name":"Time of Event (Mountain Time)","value":"20:04:44"},{"id":151,"name":"Denver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4022 --day 2017-11-09</v>
      </c>
      <c r="AN136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4"/>
        <v>https://d0f6bd738d7f1b3e5a7ca70fe4ff75f0.us-east-1.aws.found.io/app/kibana#/discover/Steve-Slow-Train-Analysis-(2080s-and-2083s)?_g=(refreshInterval:(display:Off,pause:!f,section:0,value:0),time:(from:'2017-11-09T18:28:04-0700',mode:absolute,to:'2017-11-09T21:04:44-0700'))&amp;_a=(columns:!('Message%20ID',Summary),filters:!(),index:'emp_*',interval:auto,query:(query_string:(analyze_wildcard:!t,query:'%22rtdc.l.rtdc.4022%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863</v>
      </c>
      <c r="B137" s="7">
        <v>4021</v>
      </c>
      <c r="C137" s="21" t="s">
        <v>192</v>
      </c>
      <c r="D137" s="21" t="s">
        <v>974</v>
      </c>
      <c r="E137" s="13">
        <v>43048.851261574076</v>
      </c>
      <c r="F137" s="13">
        <v>43048.85292824074</v>
      </c>
      <c r="G137" s="7">
        <v>54</v>
      </c>
      <c r="H137" s="21" t="s">
        <v>930</v>
      </c>
      <c r="I137" s="13">
        <v>43048.87877314815</v>
      </c>
      <c r="J137" s="7">
        <v>0</v>
      </c>
      <c r="K137" s="89" t="str">
        <f t="shared" si="29"/>
        <v>4021/4022</v>
      </c>
      <c r="L137" s="185" t="str">
        <f>VLOOKUP(A137,'Trips&amp;Operators'!$C$1:$G$99911,5,FALSE)</f>
        <v>LOZA FIDEL</v>
      </c>
      <c r="M137" s="6">
        <f t="shared" si="30"/>
        <v>2.584490740991896E-2</v>
      </c>
      <c r="N137" s="7">
        <f t="shared" si="56"/>
        <v>37.216666670283303</v>
      </c>
      <c r="O137" s="7"/>
      <c r="P137" s="7"/>
      <c r="Q137" s="22"/>
      <c r="R137" s="174"/>
      <c r="S137" s="221">
        <f t="shared" si="62"/>
        <v>1</v>
      </c>
      <c r="T137" s="174" t="str">
        <f t="shared" si="31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-11-09T19:25:49-0700',mode:absolute,to:'2017-11-09T22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7" s="204" t="str">
        <f>IF(AA137&lt;VLOOKUP(AG137,Variables!$AC$3:$AD$8,2,FALSE),"Y","N")</f>
        <v>N</v>
      </c>
      <c r="X137" s="204">
        <f t="shared" si="69"/>
        <v>1</v>
      </c>
      <c r="Y137" s="204">
        <f t="shared" si="67"/>
        <v>23.2942</v>
      </c>
      <c r="Z137" s="204">
        <f t="shared" si="68"/>
        <v>1.8100000000000002E-2</v>
      </c>
      <c r="AA137" s="204">
        <f t="shared" si="35"/>
        <v>23.2761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6"/>
        <v>224</v>
      </c>
      <c r="AE137" s="77" t="str">
        <f t="shared" si="37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137" s="74" t="str">
        <f t="shared" si="38"/>
        <v>"C:\Program Files (x86)\AstroGrep\AstroGrep.exe" /e /r /s /spath="%USERPROFILE%\AppData\Local\Temp\OnboardLogs" /stypes="app*4021*20171110*" /stext=" 04:.+((SYSTEM_STATE.+slice.+state.+changed )|(ment ac)|(multiple cpu faults)|(system.+state.+changed )|(\[timeout)|(PRM\|1\|D)|(kpr)|(kdp)|(train st.+moving)|(\|lc)|(penalty))"</v>
      </c>
      <c r="AG137" s="182" t="str">
        <f t="shared" si="39"/>
        <v>EC</v>
      </c>
      <c r="AH137" s="78" t="str">
        <f t="shared" si="40"/>
        <v>"%USERPROFILE%\Documents\GitHub\eaglep3\Utilities\RefineRTDCRunTimes.py" --tripid 224-09 --locoid 4021 --swversion DE.1.0.9.0 --startMP 204:232942 --initTime 2017-11-09T20:25:49 --startdatetime 2017-11-09T20:28:13 --delay 54 --endMP 204:181 --enddatetime 2017-11-09T21:05:26 --enforcementcount 0 &gt;&gt;%USERPROFILE%\Documents\GitHub\eaglep3-reporting\EC\2017-11-09-refined-times.txt</v>
      </c>
      <c r="AI137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{"issue":{"subject":"","project_id":79,"tracker_id":40,"status_id":1,"priority_id":2,"assigned_to_id":338,"start_date":"2017-11-09","description":"","custom_fields":[{"id":1,"name":"Subdivision","value":"EC"},{"id":4,"name":"Milepost","value":"0.0181"},{"id":17,"name":"Train ID","value":"224-09"},{"id":16,"name":"Locomotive ID","value":"4021"},{"id":130,"name":"Impact","value":""},{"id":150,"name":"Time of Event (Mountain Time)","value":"21:05:26"},{"id":151,"name":"Denver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4021 --day 2017-11-09</v>
      </c>
      <c r="AN137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4"/>
        <v>https://d0f6bd738d7f1b3e5a7ca70fe4ff75f0.us-east-1.aws.found.io/app/kibana#/discover/Steve-Slow-Train-Analysis-(2080s-and-2083s)?_g=(refreshInterval:(display:Off,pause:!f,section:0,value:0),time:(from:'2017-11-09T19:25:49-0700',mode:absolute,to:'2017-11-09T22:05:26-0700'))&amp;_a=(columns:!('Message%20ID',Summary),filters:!(),index:'emp_*',interval:auto,query:(query_string:(analyze_wildcard:!t,query:'%22rtdc.l.rtdc.4021%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858</v>
      </c>
      <c r="B138" s="7">
        <v>4014</v>
      </c>
      <c r="C138" s="21" t="s">
        <v>192</v>
      </c>
      <c r="D138" s="21" t="s">
        <v>521</v>
      </c>
      <c r="E138" s="13">
        <v>43048.827060185184</v>
      </c>
      <c r="F138" s="13">
        <v>43048.833483796298</v>
      </c>
      <c r="G138" s="7">
        <v>60</v>
      </c>
      <c r="H138" s="21" t="s">
        <v>926</v>
      </c>
      <c r="I138" s="13">
        <v>43048.857546296298</v>
      </c>
      <c r="J138" s="7">
        <v>0</v>
      </c>
      <c r="K138" s="89" t="str">
        <f t="shared" si="29"/>
        <v>4013/4014</v>
      </c>
      <c r="L138" s="185" t="str">
        <f>VLOOKUP(A138,'Trips&amp;Operators'!$C$1:$G$99911,5,FALSE)</f>
        <v>ELBAUM MIKE</v>
      </c>
      <c r="M138" s="6">
        <f t="shared" si="30"/>
        <v>2.4062500000582077E-2</v>
      </c>
      <c r="N138" s="7">
        <f t="shared" si="56"/>
        <v>34.65000000083819</v>
      </c>
      <c r="O138" s="7"/>
      <c r="P138" s="7"/>
      <c r="Q138" s="22"/>
      <c r="R138" s="174"/>
      <c r="S138" s="221">
        <f t="shared" si="62"/>
        <v>1</v>
      </c>
      <c r="T138" s="174" t="str">
        <f t="shared" si="31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-11-09T18:50:58-0700',mode:absolute,to:'2017-11-09T21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8" s="204" t="str">
        <f>IF(AA138&lt;VLOOKUP(AG138,Variables!$AC$3:$AD$8,2,FALSE),"Y","N")</f>
        <v>N</v>
      </c>
      <c r="X138" s="204">
        <f t="shared" si="69"/>
        <v>1</v>
      </c>
      <c r="Y138" s="204">
        <f t="shared" si="67"/>
        <v>5.3100000000000001E-2</v>
      </c>
      <c r="Z138" s="204">
        <f t="shared" si="68"/>
        <v>23.3263</v>
      </c>
      <c r="AA138" s="204">
        <f t="shared" si="35"/>
        <v>23.273199999999999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6"/>
        <v>225</v>
      </c>
      <c r="AE138" s="77" t="str">
        <f t="shared" si="37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138" s="74" t="str">
        <f t="shared" si="38"/>
        <v>"C:\Program Files (x86)\AstroGrep\AstroGrep.exe" /e /r /s /spath="%USERPROFILE%\AppData\Local\Temp\OnboardLogs" /stypes="app*4014*20171110*" /stext=" 03:.+((SYSTEM_STATE.+slice.+state.+changed )|(ment ac)|(multiple cpu faults)|(system.+state.+changed )|(\[timeout)|(PRM\|1\|D)|(kpr)|(kdp)|(train st.+moving)|(\|lc)|(penalty))"</v>
      </c>
      <c r="AG138" s="182" t="str">
        <f t="shared" si="39"/>
        <v>EC</v>
      </c>
      <c r="AH138" s="78" t="str">
        <f t="shared" si="40"/>
        <v>"%USERPROFILE%\Documents\GitHub\eaglep3\Utilities\RefineRTDCRunTimes.py" --tripid 225-09 --locoid 4014 --swversion DE.1.0.9.0 --startMP 204:531 --initTime 2017-11-09T19:50:58 --startdatetime 2017-11-09T20:00:13 --delay 60 --endMP 204:233263 --enddatetime 2017-11-09T20:34:52 --enforcementcount 0 &gt;&gt;%USERPROFILE%\Documents\GitHub\eaglep3-reporting\EC\2017-11-09-refined-times.txt</v>
      </c>
      <c r="AI138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{"issue":{"subject":"","project_id":79,"tracker_id":40,"status_id":1,"priority_id":2,"assigned_to_id":338,"start_date":"2017-11-09","description":"","custom_fields":[{"id":1,"name":"Subdivision","value":"EC"},{"id":4,"name":"Milepost","value":"23.3263"},{"id":17,"name":"Train ID","value":"225-09"},{"id":16,"name":"Locomotive ID","value":"4014"},{"id":130,"name":"Impact","value":""},{"id":150,"name":"Time of Event (Mountain Time)","value":"20:34:52"},{"id":151,"name":"Denver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4014 --day 2017-11-09</v>
      </c>
      <c r="AN138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4"/>
        <v>https://d0f6bd738d7f1b3e5a7ca70fe4ff75f0.us-east-1.aws.found.io/app/kibana#/discover/Steve-Slow-Train-Analysis-(2080s-and-2083s)?_g=(refreshInterval:(display:Off,pause:!f,section:0,value:0),time:(from:'2017-11-09T18:50:58-0700',mode:absolute,to:'2017-11-09T21:34:52-0700'))&amp;_a=(columns:!('Message%20ID',Summary),filters:!(),index:'emp_*',interval:auto,query:(query_string:(analyze_wildcard:!t,query:'%22rtdc.l.rtdc.4014%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864</v>
      </c>
      <c r="B139" s="7">
        <v>4013</v>
      </c>
      <c r="C139" s="21" t="s">
        <v>192</v>
      </c>
      <c r="D139" s="21" t="s">
        <v>521</v>
      </c>
      <c r="E139" s="13">
        <v>43048.827060185184</v>
      </c>
      <c r="F139" s="13">
        <v>43048.873113425929</v>
      </c>
      <c r="G139" s="7">
        <v>60</v>
      </c>
      <c r="H139" s="21" t="s">
        <v>926</v>
      </c>
      <c r="I139" s="13">
        <v>43048.899618055555</v>
      </c>
      <c r="J139" s="7">
        <v>0</v>
      </c>
      <c r="K139" s="89" t="str">
        <f t="shared" si="29"/>
        <v>4013/4014</v>
      </c>
      <c r="L139" s="185" t="str">
        <f>VLOOKUP(A139,'Trips&amp;Operators'!$C$1:$G$99911,5,FALSE)</f>
        <v>ELBAUM MIKE</v>
      </c>
      <c r="M139" s="6">
        <f t="shared" si="30"/>
        <v>2.6504629626288079E-2</v>
      </c>
      <c r="N139" s="7">
        <f t="shared" si="56"/>
        <v>38.166666661854833</v>
      </c>
      <c r="O139" s="7"/>
      <c r="P139" s="7"/>
      <c r="Q139" s="22"/>
      <c r="R139" s="174"/>
      <c r="S139" s="221">
        <f t="shared" si="62"/>
        <v>1</v>
      </c>
      <c r="T139" s="174" t="str">
        <f t="shared" si="31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-11-09T18:50:58-0700',mode:absolute,to:'2017-11-09T22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9" s="204" t="str">
        <f>IF(AA139&lt;VLOOKUP(AG139,Variables!$AC$3:$AD$8,2,FALSE),"Y","N")</f>
        <v>N</v>
      </c>
      <c r="X139" s="204">
        <f t="shared" si="69"/>
        <v>1</v>
      </c>
      <c r="Y139" s="204">
        <v>23.2942</v>
      </c>
      <c r="Z139" s="204">
        <v>1.8100000000000002E-2</v>
      </c>
      <c r="AA139" s="204">
        <f t="shared" si="35"/>
        <v>23.2761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6"/>
        <v>226</v>
      </c>
      <c r="AE139" s="77" t="str">
        <f t="shared" si="37"/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AF139" s="74" t="str">
        <f t="shared" si="38"/>
        <v>"C:\Program Files (x86)\AstroGrep\AstroGrep.exe" /e /r /s /spath="%USERPROFILE%\AppData\Local\Temp\OnboardLogs" /stypes="app*4013*20171110*" /stext=" 04:.+((SYSTEM_STATE.+slice.+state.+changed )|(ment ac)|(multiple cpu faults)|(system.+state.+changed )|(\[timeout)|(PRM\|1\|D)|(kpr)|(kdp)|(train st.+moving)|(\|lc)|(penalty))"</v>
      </c>
      <c r="AG139" s="182" t="str">
        <f t="shared" si="39"/>
        <v>EC</v>
      </c>
      <c r="AH139" s="78" t="str">
        <f t="shared" ref="AH139" si="70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226-09 --locoid 4013 --swversion DE.1.0.9.0 --startMP 204:531 --initTime 2017-11-09T19:50:58 --startdatetime 2017-11-09T20:57:17 --delay 60 --endMP 204:233263 --enddatetime 2017-11-09T21:35:27 --enforcementcount 0 &gt;&gt;%USERPROFILE%\Documents\GitHub\eaglep3-reporting\EC\2017-11-09-refined-times.txt</v>
      </c>
      <c r="AI139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{"issue":{"subject":"","project_id":79,"tracker_id":40,"status_id":1,"priority_id":2,"assigned_to_id":338,"start_date":"2017-11-09","description":"","custom_fields":[{"id":1,"name":"Subdivision","value":"EC"},{"id":4,"name":"Milepost","value":"0.0181"},{"id":17,"name":"Train ID","value":"226-09"},{"id":16,"name":"Locomotive ID","value":"4013"},{"id":130,"name":"Impact","value":""},{"id":150,"name":"Time of Event (Mountain Time)","value":"21:35:27"},{"id":151,"name":"Denver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ref="AM139" si="71">"start /low /b "&amp;dls3logs&amp;" --loco "&amp;B139&amp;" --day "&amp;TEXT(F139,"YYYY-MM-DD")</f>
        <v>start /low /b %USERPROFILE%\Documents\GitHub\eaglep3\Utilities\DownloadLogsFromS3.py --loco 4013 --day 2017-11-09</v>
      </c>
      <c r="AN139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72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-09T18:50:58-0700',mode:absolute,to:'2017-11-09T22:35:27-0700'))&amp;_a=(columns:!('Message%20ID',Summary),filters:!(),index:'emp_*',interval:auto,query:(query_string:(analyze_wildcard:!t,query:'%22rtdc.l.rtdc.4013%22')),sort:!(Time.ISO8601,asc))</v>
      </c>
    </row>
    <row r="140" spans="1:91" s="20" customFormat="1" x14ac:dyDescent="0.25">
      <c r="A140" s="32" t="s">
        <v>861</v>
      </c>
      <c r="B140" s="7">
        <v>4024</v>
      </c>
      <c r="C140" s="21" t="s">
        <v>192</v>
      </c>
      <c r="D140" s="21" t="s">
        <v>492</v>
      </c>
      <c r="E140" s="13">
        <v>43048.840949074074</v>
      </c>
      <c r="F140" s="13">
        <v>43048.85460648148</v>
      </c>
      <c r="G140" s="7">
        <v>65</v>
      </c>
      <c r="H140" s="21" t="s">
        <v>978</v>
      </c>
      <c r="I140" s="13">
        <v>43048.879814814813</v>
      </c>
      <c r="J140" s="7">
        <v>0</v>
      </c>
      <c r="K140" s="89" t="str">
        <f t="shared" si="29"/>
        <v>4023/4024</v>
      </c>
      <c r="L140" s="185" t="str">
        <f>VLOOKUP(A140,'Trips&amp;Operators'!$C$1:$G$99911,5,FALSE)</f>
        <v>NICHOLSON WESLEY</v>
      </c>
      <c r="M140" s="6">
        <f t="shared" si="30"/>
        <v>2.5208333332557231E-2</v>
      </c>
      <c r="N140" s="7">
        <f t="shared" si="56"/>
        <v>36.299999998882413</v>
      </c>
      <c r="O140" s="7"/>
      <c r="P140" s="7"/>
      <c r="Q140" s="22"/>
      <c r="R140" s="174"/>
      <c r="S140" s="221">
        <f t="shared" si="62"/>
        <v>1</v>
      </c>
      <c r="T140" s="174" t="str">
        <f t="shared" si="31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-11-09T19:10:58-0700',mode:absolute,to:'2017-11-09T22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0" s="204" t="str">
        <f>IF(AA140&lt;VLOOKUP(AG140,Variables!$AC$3:$AD$8,2,FALSE),"Y","N")</f>
        <v>N</v>
      </c>
      <c r="X140" s="204">
        <f t="shared" ref="X140:X142" si="73">VALUE(LEFT(AD140,4))-VALUE(LEFT(AD139,4))</f>
        <v>1</v>
      </c>
      <c r="Y140" s="204">
        <f>RIGHT(D140,LEN(D140)-4)/10000</f>
        <v>5.4199999999999998E-2</v>
      </c>
      <c r="Z140" s="204">
        <f>RIGHT(H140,LEN(H140)-4)/10000</f>
        <v>23.3188</v>
      </c>
      <c r="AA140" s="204">
        <f t="shared" si="35"/>
        <v>23.264599999999998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6"/>
        <v>227</v>
      </c>
      <c r="AE140" s="77" t="str">
        <f t="shared" si="37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40" s="74" t="str">
        <f t="shared" si="38"/>
        <v>"C:\Program Files (x86)\AstroGrep\AstroGrep.exe" /e /r /s /spath="%USERPROFILE%\AppData\Local\Temp\OnboardLogs" /stypes="app*4024*20171110*" /stext=" 04:.+((SYSTEM_STATE.+slice.+state.+changed )|(ment ac)|(multiple cpu faults)|(system.+state.+changed )|(\[timeout)|(PRM\|1\|D)|(kpr)|(kdp)|(train st.+moving)|(\|lc)|(penalty))"</v>
      </c>
      <c r="AG140" s="182" t="str">
        <f t="shared" si="39"/>
        <v>EC</v>
      </c>
      <c r="AH140" s="78" t="str">
        <f t="shared" si="40"/>
        <v>"%USERPROFILE%\Documents\GitHub\eaglep3\Utilities\RefineRTDCRunTimes.py" --tripid 227-09 --locoid 4024 --swversion DE.1.0.9.0 --startMP 204:542 --initTime 2017-11-09T20:10:58 --startdatetime 2017-11-09T20:30:38 --delay 65 --endMP 204:233188 --enddatetime 2017-11-09T21:06:56 --enforcementcount 0 &gt;&gt;%USERPROFILE%\Documents\GitHub\eaglep3-reporting\EC\2017-11-09-refined-times.txt</v>
      </c>
      <c r="AI140" s="96" t="str">
        <f t="shared" si="41"/>
        <v>echo {"issue":{"subject":"","project_id":79,"tracker_id":40,"status_id":1,"priority_id":2,"assigned_to_id":338,"start_date":"2017-11-09","description":"","custom_fields":[{"id":1,"name":"Subdivision","value":"EC"},{"id":4,"name":"Milepost","value":"23.3188"},{"id":17,"name":"Train ID","value":"227-09"},{"id":16,"name":"Locomotive ID","value":"4024"},{"id":130,"name":"Impact","value":""},{"id":150,"name":"Time of Event (Mountain Time)","value":"21:06:56"},{"id":151,"name":"Denver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4024 --day 2017-11-09</v>
      </c>
      <c r="AN140" s="151" t="str">
        <f t="shared" si="43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4"/>
        <v>https://d0f6bd738d7f1b3e5a7ca70fe4ff75f0.us-east-1.aws.found.io/app/kibana#/discover/Steve-Slow-Train-Analysis-(2080s-and-2083s)?_g=(refreshInterval:(display:Off,pause:!f,section:0,value:0),time:(from:'2017-11-09T19:10:58-0700',mode:absolute,to:'2017-11-09T22:06:56-0700'))&amp;_a=(columns:!('Message%20ID',Summary),filters:!(),index:'emp_*',interval:auto,query:(query_string:(analyze_wildcard:!t,query:'%22rtdc.l.rtdc.4024%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867</v>
      </c>
      <c r="B141" s="7">
        <v>4023</v>
      </c>
      <c r="C141" s="21" t="s">
        <v>192</v>
      </c>
      <c r="D141" s="21" t="s">
        <v>979</v>
      </c>
      <c r="E141" s="13">
        <v>43048.886296296296</v>
      </c>
      <c r="F141" s="13">
        <v>43048.894050925926</v>
      </c>
      <c r="G141" s="7">
        <v>107</v>
      </c>
      <c r="H141" s="21" t="s">
        <v>496</v>
      </c>
      <c r="I141" s="13">
        <v>43048.924537037034</v>
      </c>
      <c r="J141" s="7">
        <v>0</v>
      </c>
      <c r="K141" s="89" t="str">
        <f t="shared" ref="K141:K208" si="74">IF(ISEVEN(B141),(B141-1)&amp;"/"&amp;B141,B141&amp;"/"&amp;(B141+1))</f>
        <v>4023/4024</v>
      </c>
      <c r="L141" s="185" t="str">
        <f>VLOOKUP(A141,'Trips&amp;Operators'!$C$1:$G$99911,5,FALSE)</f>
        <v>NICHOLSON WESLEY</v>
      </c>
      <c r="M141" s="6">
        <f t="shared" ref="M141:M208" si="75">I141-F141</f>
        <v>3.0486111107165925E-2</v>
      </c>
      <c r="N141" s="7">
        <f t="shared" si="56"/>
        <v>43.899999994318932</v>
      </c>
      <c r="O141" s="7"/>
      <c r="P141" s="7"/>
      <c r="Q141" s="22"/>
      <c r="R141" s="174"/>
      <c r="S141" s="221">
        <f t="shared" si="62"/>
        <v>1</v>
      </c>
      <c r="T141" s="174" t="str">
        <f t="shared" ref="T141:T208" si="76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8" si="7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-09T20:16:16-0700',mode:absolute,to:'2017-11-09T23:11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1" s="204" t="str">
        <f>IF(AA141&lt;VLOOKUP(AG141,Variables!$AC$3:$AD$8,2,FALSE),"Y","N")</f>
        <v>N</v>
      </c>
      <c r="X141" s="204">
        <f t="shared" si="73"/>
        <v>1</v>
      </c>
      <c r="Y141" s="204">
        <f>RIGHT(D141,LEN(D141)-4)/10000</f>
        <v>23.286300000000001</v>
      </c>
      <c r="Z141" s="204">
        <f>RIGHT(H141,LEN(H141)-4)/10000</f>
        <v>2.29E-2</v>
      </c>
      <c r="AA141" s="204">
        <f t="shared" ref="AA141:AA208" si="78">ABS(Z141-Y141)</f>
        <v>23.263400000000001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8" si="79">VALUE(LEFT(A141,LEN(A141)-3))</f>
        <v>228</v>
      </c>
      <c r="AE141" s="77" t="str">
        <f t="shared" ref="AE141:AE208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141" s="74" t="str">
        <f t="shared" ref="AF141:AF208" si="8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/stypes="app*4023*20171110*" /stext=" 05:.+((SYSTEM_STATE.+slice.+state.+changed )|(ment ac)|(multiple cpu faults)|(system.+state.+changed )|(\[timeout)|(PRM\|1\|D)|(kpr)|(kdp)|(train st.+moving)|(\|lc)|(penalty))"</v>
      </c>
      <c r="AG141" s="182" t="str">
        <f t="shared" ref="AG141:AG208" si="82">DetSubdiv(A141)</f>
        <v>EC</v>
      </c>
      <c r="AH141" s="78" t="str">
        <f t="shared" si="40"/>
        <v>"%USERPROFILE%\Documents\GitHub\eaglep3\Utilities\RefineRTDCRunTimes.py" --tripid 228-09 --locoid 4023 --swversion DE.1.0.9.0 --startMP 204:232863 --initTime 2017-11-09T21:16:16 --startdatetime 2017-11-09T21:27:26 --delay 107 --endMP 204:229 --enddatetime 2017-11-09T22:11:20 --enforcementcount 0 &gt;&gt;%USERPROFILE%\Documents\GitHub\eaglep3-reporting\EC\2017-11-09-refined-times.txt</v>
      </c>
      <c r="AI141" s="96" t="str">
        <f t="shared" ref="AI141:AI208" si="8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{"issue":{"subject":"","project_id":79,"tracker_id":40,"status_id":1,"priority_id":2,"assigned_to_id":338,"start_date":"2017-11-09","description":"","custom_fields":[{"id":1,"name":"Subdivision","value":"EC"},{"id":4,"name":"Milepost","value":"0.0229"},{"id":17,"name":"Train ID","value":"228-09"},{"id":16,"name":"Locomotive ID","value":"4023"},{"id":130,"name":"Impact","value":""},{"id":150,"name":"Time of Event (Mountain Time)","value":"22:11:20"},{"id":151,"name":"Denver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4023 --day 2017-11-09</v>
      </c>
      <c r="AN141" s="151" t="str">
        <f t="shared" ref="AN141:AN208" si="84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05:11:20"},{"id":29,"name":"Sharepoint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4"/>
        <v>https://d0f6bd738d7f1b3e5a7ca70fe4ff75f0.us-east-1.aws.found.io/app/kibana#/discover/Steve-Slow-Train-Analysis-(2080s-and-2083s)?_g=(refreshInterval:(display:Off,pause:!f,section:0,value:0),time:(from:'2017-11-09T20:16:16-0700',mode:absolute,to:'2017-11-09T23:11:20-0700'))&amp;_a=(columns:!('Message%20ID',Summary),filters:!(),index:'emp_*',interval:auto,query:(query_string:(analyze_wildcard:!t,query:'%22rtdc.l.rtdc.4023%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865</v>
      </c>
      <c r="B142" s="7">
        <v>4064</v>
      </c>
      <c r="C142" s="21" t="s">
        <v>192</v>
      </c>
      <c r="D142" s="21" t="s">
        <v>979</v>
      </c>
      <c r="E142" s="13">
        <v>43048.886296296296</v>
      </c>
      <c r="F142" s="13">
        <v>43048.875185185185</v>
      </c>
      <c r="G142" s="7">
        <v>107</v>
      </c>
      <c r="H142" s="21" t="s">
        <v>496</v>
      </c>
      <c r="I142" s="13">
        <v>43048.903171296297</v>
      </c>
      <c r="J142" s="7">
        <v>0</v>
      </c>
      <c r="K142" s="89" t="str">
        <f t="shared" si="74"/>
        <v>4063/4064</v>
      </c>
      <c r="L142" s="185" t="str">
        <f>VLOOKUP(A142,'Trips&amp;Operators'!$C$1:$G$99911,5,FALSE)</f>
        <v>AUSTIN THOMPSON</v>
      </c>
      <c r="M142" s="6">
        <f t="shared" si="75"/>
        <v>2.7986111112113576E-2</v>
      </c>
      <c r="N142" s="7">
        <f t="shared" si="56"/>
        <v>40.30000000144355</v>
      </c>
      <c r="O142" s="7"/>
      <c r="P142" s="7"/>
      <c r="Q142" s="22"/>
      <c r="R142" s="174" t="s">
        <v>1107</v>
      </c>
      <c r="S142" s="221">
        <f t="shared" si="62"/>
        <v>1</v>
      </c>
      <c r="T142" s="174" t="str">
        <f t="shared" si="76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77"/>
        <v>https://d0f6bd738d7f1b3e5a7ca70fe4ff75f0.us-east-1.aws.found.io/app/kibana#/discover/Steve-Slow-Train-Analysis-(2080s-and-2083s)?_g=(refreshInterval:(display:Off,pause:!f,section:0,value:0),time:(from:'2017-11-09T20:16:16-0700',mode:absolute,to:'2017-11-09T22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2" s="204" t="str">
        <f>IF(AA142&lt;VLOOKUP(AG142,Variables!$AC$3:$AD$8,2,FALSE),"Y","N")</f>
        <v>N</v>
      </c>
      <c r="X142" s="204">
        <f t="shared" si="73"/>
        <v>1</v>
      </c>
      <c r="Y142" s="204">
        <v>5.4199999999999998E-2</v>
      </c>
      <c r="Z142" s="204">
        <v>23.3188</v>
      </c>
      <c r="AA142" s="204">
        <f t="shared" si="78"/>
        <v>23.264599999999998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79"/>
        <v>229</v>
      </c>
      <c r="AE142" s="77" t="str">
        <f t="shared" si="80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142" s="74" t="str">
        <f t="shared" si="81"/>
        <v>"C:\Program Files (x86)\AstroGrep\AstroGrep.exe" /e /r /s /spath="%USERPROFILE%\AppData\Local\Temp\OnboardLogs" /stypes="app*4064*20171110*" /stext=" 04:.+((SYSTEM_STATE.+slice.+state.+changed )|(ment ac)|(multiple cpu faults)|(system.+state.+changed )|(\[timeout)|(PRM\|1\|D)|(kpr)|(kdp)|(train st.+moving)|(\|lc)|(penalty))"</v>
      </c>
      <c r="AG142" s="182" t="str">
        <f t="shared" si="82"/>
        <v>EC</v>
      </c>
      <c r="AH142" s="78" t="str">
        <f t="shared" ref="AH142" si="8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229-09 --locoid 4064 --swversion DE.1.0.9.0 --startMP 204:232863 --initTime 2017-11-09T21:16:16 --startdatetime 2017-11-09T21:00:16 --delay 107 --endMP 204:229 --enddatetime 2017-11-09T21:40:34 --enforcementcount 0 &gt;&gt;%USERPROFILE%\Documents\GitHub\eaglep3-reporting\EC\2017-11-09-refined-times.txt</v>
      </c>
      <c r="AI142" s="96" t="str">
        <f t="shared" si="83"/>
        <v>echo {"issue":{"subject":"Observed Wi-MAX data drop","project_id":79,"tracker_id":40,"status_id":1,"priority_id":2,"assigned_to_id":338,"start_date":"2017-11-09","description":"","custom_fields":[{"id":1,"name":"Subdivision","value":"EC"},{"id":4,"name":"Milepost","value":"23.3188"},{"id":17,"name":"Train ID","value":"229-09"},{"id":16,"name":"Locomotive ID","value":"4064"},{"id":130,"name":"Impact","value":""},{"id":150,"name":"Time of Event (Mountain Time)","value":"21:40:34"},{"id":151,"name":"Denver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" si="86">"start /low /b "&amp;dls3logs&amp;" --loco "&amp;B142&amp;" --day "&amp;TEXT(F142,"YYYY-MM-DD")</f>
        <v>start /low /b %USERPROFILE%\Documents\GitHub\eaglep3\Utilities\DownloadLogsFromS3.py --loco 4064 --day 2017-11-09</v>
      </c>
      <c r="AN142" s="151" t="str">
        <f t="shared" si="84"/>
        <v>echo {"issue":{"subject":"Observed Wi-MAX data drop","project_id":30,"tracker_id":4,"status_id":1,"priority_id":1,"assigned_to_id":10,"start_date":"2017-11-10","description":"","custom_fields":[{"id":30,"name":"Category","value":"Issue"},{"id":3,"name":"Functional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" si="8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-09T20:16:16-0700',mode:absolute,to:'2017-11-09T22:40:34-0700'))&amp;_a=(columns:!('Message%20ID',Summary),filters:!(),index:'emp_*',interval:auto,query:(query_string:(analyze_wildcard:!t,query:'%22rtdc.l.rtdc.4064%22')),sort:!(Time.ISO8601,asc))</v>
      </c>
    </row>
    <row r="143" spans="1:91" s="20" customFormat="1" x14ac:dyDescent="0.25">
      <c r="A143" s="32" t="s">
        <v>871</v>
      </c>
      <c r="B143" s="7">
        <v>4063</v>
      </c>
      <c r="C143" s="21" t="s">
        <v>192</v>
      </c>
      <c r="D143" s="21" t="s">
        <v>979</v>
      </c>
      <c r="E143" s="13">
        <v>43048.886296296296</v>
      </c>
      <c r="F143" s="13">
        <v>43048.915335648147</v>
      </c>
      <c r="G143" s="7">
        <v>107</v>
      </c>
      <c r="H143" s="21" t="s">
        <v>496</v>
      </c>
      <c r="I143" s="13">
        <v>43048.944120370368</v>
      </c>
      <c r="J143" s="7">
        <v>0</v>
      </c>
      <c r="K143" s="89" t="str">
        <f t="shared" si="74"/>
        <v>4063/4064</v>
      </c>
      <c r="L143" s="185" t="str">
        <f>VLOOKUP(A143,'Trips&amp;Operators'!$C$1:$G$99911,5,FALSE)</f>
        <v>AUSTIN THOMPSON</v>
      </c>
      <c r="M143" s="6">
        <f t="shared" si="75"/>
        <v>2.8784722220734693E-2</v>
      </c>
      <c r="N143" s="7">
        <f t="shared" si="56"/>
        <v>41.449999997857958</v>
      </c>
      <c r="O143" s="7"/>
      <c r="P143" s="7"/>
      <c r="Q143" s="22"/>
      <c r="R143" s="174"/>
      <c r="S143" s="221">
        <f t="shared" si="62"/>
        <v>1</v>
      </c>
      <c r="T143" s="174" t="str">
        <f t="shared" si="76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77"/>
        <v>https://d0f6bd738d7f1b3e5a7ca70fe4ff75f0.us-east-1.aws.found.io/app/kibana#/discover/Steve-Slow-Train-Analysis-(2080s-and-2083s)?_g=(refreshInterval:(display:Off,pause:!f,section:0,value:0),time:(from:'2017-11-09T20:16:16-0700',mode:absolute,to:'2017-11-09T23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3" s="204" t="str">
        <f>IF(AA143&lt;VLOOKUP(AG143,Variables!$AC$3:$AD$8,2,FALSE),"Y","N")</f>
        <v>N</v>
      </c>
      <c r="X143" s="204">
        <f t="shared" ref="X143:X145" si="88">VALUE(LEFT(AD143,4))-VALUE(LEFT(AD142,4))</f>
        <v>1</v>
      </c>
      <c r="Y143" s="204">
        <v>23.286300000000001</v>
      </c>
      <c r="Z143" s="204">
        <v>2.29E-2</v>
      </c>
      <c r="AA143" s="204">
        <f t="shared" si="78"/>
        <v>23.263400000000001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79"/>
        <v>230</v>
      </c>
      <c r="AE143" s="77" t="str">
        <f t="shared" si="80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143" s="74" t="str">
        <f t="shared" si="81"/>
        <v>"C:\Program Files (x86)\AstroGrep\AstroGrep.exe" /e /r /s /spath="%USERPROFILE%\AppData\Local\Temp\OnboardLogs" /stypes="app*4063*20171110*" /stext=" 05:.+((SYSTEM_STATE.+slice.+state.+changed )|(ment ac)|(multiple cpu faults)|(system.+state.+changed )|(\[timeout)|(PRM\|1\|D)|(kpr)|(kdp)|(train st.+moving)|(\|lc)|(penalty))"</v>
      </c>
      <c r="AG143" s="182" t="str">
        <f t="shared" si="82"/>
        <v>EC</v>
      </c>
      <c r="AH143" s="78" t="str">
        <f t="shared" ref="AH143" si="8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230-09 --locoid 4063 --swversion DE.1.0.9.0 --startMP 204:232863 --initTime 2017-11-09T21:16:16 --startdatetime 2017-11-09T21:58:05 --delay 107 --endMP 204:229 --enddatetime 2017-11-09T22:39:32 --enforcementcount 0 &gt;&gt;%USERPROFILE%\Documents\GitHub\eaglep3-reporting\EC\2017-11-09-refined-times.txt</v>
      </c>
      <c r="AI143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{"issue":{"subject":"","project_id":79,"tracker_id":40,"status_id":1,"priority_id":2,"assigned_to_id":338,"start_date":"2017-11-09","description":"","custom_fields":[{"id":1,"name":"Subdivision","value":"EC"},{"id":4,"name":"Milepost","value":"0.0229"},{"id":17,"name":"Train ID","value":"230-09"},{"id":16,"name":"Locomotive ID","value":"4063"},{"id":130,"name":"Impact","value":""},{"id":150,"name":"Time of Event (Mountain Time)","value":"22:39:32"},{"id":151,"name":"Denver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" si="90">"start /low /b "&amp;dls3logs&amp;" --loco "&amp;B143&amp;" --day "&amp;TEXT(F143,"YYYY-MM-DD")</f>
        <v>start /low /b %USERPROFILE%\Documents\GitHub\eaglep3\Utilities\DownloadLogsFromS3.py --loco 4063 --day 2017-11-09</v>
      </c>
      <c r="AN143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05:39:32"},{"id":29,"name":"Sharepoint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" si="91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-09T20:16:16-0700',mode:absolute,to:'2017-11-09T23:39:32-0700'))&amp;_a=(columns:!('Message%20ID',Summary),filters:!(),index:'emp_*',interval:auto,query:(query_string:(analyze_wildcard:!t,query:'%22rtdc.l.rtdc.4063%22')),sort:!(Time.ISO8601,asc))</v>
      </c>
    </row>
    <row r="144" spans="1:91" s="20" customFormat="1" x14ac:dyDescent="0.25">
      <c r="A144" s="32" t="s">
        <v>868</v>
      </c>
      <c r="B144" s="7">
        <v>4022</v>
      </c>
      <c r="C144" s="21" t="s">
        <v>192</v>
      </c>
      <c r="D144" s="21" t="s">
        <v>492</v>
      </c>
      <c r="E144" s="13">
        <v>43048.892256944448</v>
      </c>
      <c r="F144" s="13">
        <v>43048.987013888887</v>
      </c>
      <c r="G144" s="7">
        <v>74</v>
      </c>
      <c r="H144" s="21" t="s">
        <v>535</v>
      </c>
      <c r="I144" s="13">
        <v>43048.989502314813</v>
      </c>
      <c r="J144" s="7">
        <v>0</v>
      </c>
      <c r="K144" s="89" t="str">
        <f t="shared" si="74"/>
        <v>4021/4022</v>
      </c>
      <c r="L144" s="185" t="str">
        <f>VLOOKUP(A144,'Trips&amp;Operators'!$C$1:$G$99911,5,FALSE)</f>
        <v>LOZA FIDEL</v>
      </c>
      <c r="M144" s="6">
        <f t="shared" si="75"/>
        <v>2.488425925548654E-3</v>
      </c>
      <c r="N144" s="7"/>
      <c r="O144" s="7"/>
      <c r="P144" s="7">
        <f>24*60*SUM($M144:$M144)</f>
        <v>3.5833333327900618</v>
      </c>
      <c r="Q144" s="22"/>
      <c r="R144" s="174" t="s">
        <v>1108</v>
      </c>
      <c r="S144" s="221">
        <f t="shared" si="62"/>
        <v>0</v>
      </c>
      <c r="T144" s="174" t="str">
        <f t="shared" si="76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216" t="str">
        <f t="shared" si="77"/>
        <v>https://d0f6bd738d7f1b3e5a7ca70fe4ff75f0.us-east-1.aws.found.io/app/kibana#/discover/Steve-Slow-Train-Analysis-(2080s-and-2083s)?_g=(refreshInterval:(display:Off,pause:!f,section:0,value:0),time:(from:'2017-11-09T20:24:51-0700',mode:absolute,to:'2017-11-10T00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204" t="str">
        <f>IF(AA144&lt;VLOOKUP(AG144,Variables!$AC$3:$AD$8,2,FALSE),"Y","N")</f>
        <v>Y</v>
      </c>
      <c r="X144" s="204">
        <f t="shared" si="88"/>
        <v>1</v>
      </c>
      <c r="Y144" s="204">
        <f>RIGHT(D144,LEN(D144)-4)/10000</f>
        <v>5.4199999999999998E-2</v>
      </c>
      <c r="Z144" s="204">
        <f>RIGHT(H144,LEN(H144)-4)/10000</f>
        <v>9.9199999999999997E-2</v>
      </c>
      <c r="AA144" s="204">
        <f t="shared" si="78"/>
        <v>4.4999999999999998E-2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79"/>
        <v>231</v>
      </c>
      <c r="AE144" s="77" t="str">
        <f t="shared" si="8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44" s="74" t="str">
        <f t="shared" si="81"/>
        <v>"C:\Program Files (x86)\AstroGrep\AstroGrep.exe" /e /r /s /spath="%USERPROFILE%\AppData\Local\Temp\OnboardLogs" /stypes="app*4022*20171110*" /stext=" 06:.+((SYSTEM_STATE.+slice.+state.+changed )|(ment ac)|(multiple cpu faults)|(system.+state.+changed )|(\[timeout)|(PRM\|1\|D)|(kpr)|(kdp)|(train st.+moving)|(\|lc)|(penalty))"</v>
      </c>
      <c r="AG144" s="182" t="str">
        <f t="shared" si="82"/>
        <v>EC</v>
      </c>
      <c r="AH144" s="78" t="str">
        <f t="shared" si="40"/>
        <v>"%USERPROFILE%\Documents\GitHub\eaglep3\Utilities\RefineRTDCRunTimes.py" --tripid 231-09 --locoid 4022 --swversion DE.1.0.9.0 --startMP 204:542 --initTime 2017-11-09T21:24:51 --startdatetime 2017-11-09T23:41:18 --delay 74 --endMP 204:992 --enddatetime 2017-11-09T23:44:53 --enforcementcount 0 &gt;&gt;%USERPROFILE%\Documents\GitHub\eaglep3-reporting\EC\2017-11-09-refined-times.txt</v>
      </c>
      <c r="AI144" s="96" t="str">
        <f t="shared" si="83"/>
        <v>echo {"issue":{"subject":"Wheel tach sensor issue","project_id":79,"tracker_id":40,"status_id":1,"priority_id":2,"assigned_to_id":338,"start_date":"2017-11-09","description":"","custom_fields":[{"id":1,"name":"Subdivision","value":"EC"},{"id":4,"name":"Milepost","value":"0.0992"},{"id":17,"name":"Train ID","value":"231-09"},{"id":16,"name":"Locomotive ID","value":"4022"},{"id":130,"name":"Impact","value":""},{"id":150,"name":"Time of Event (Mountain Time)","value":"23:44:53"},{"id":151,"name":"Denver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42"/>
        <v>start /low /b %USERPROFILE%\Documents\GitHub\eaglep3\Utilities\DownloadLogsFromS3.py --loco 4022 --day 2017-11-09</v>
      </c>
      <c r="AN144" s="151" t="str">
        <f t="shared" si="84"/>
        <v>echo {"issue":{"subject":"Wheel tach sensor issue","project_id":30,"tracker_id":4,"status_id":1,"priority_id":1,"assigned_to_id":10,"start_date":"2017-11-10","description":"","custom_fields":[{"id":30,"name":"Category","value":"Issue"},{"id":3,"name":"Functional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44"/>
        <v>https://d0f6bd738d7f1b3e5a7ca70fe4ff75f0.us-east-1.aws.found.io/app/kibana#/discover/Steve-Slow-Train-Analysis-(2080s-and-2083s)?_g=(refreshInterval:(display:Off,pause:!f,section:0,value:0),time:(from:'2017-11-09T20:24:51-0700',mode:absolute,to:'2017-11-10T00:44:53-0700'))&amp;_a=(columns:!('Message%20ID',Summary),filters:!(),index:'emp_*',interval:auto,query:(query_string:(analyze_wildcard:!t,query:'%22rtdc.l.rtdc.4022%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868</v>
      </c>
      <c r="B145" s="7">
        <v>4022</v>
      </c>
      <c r="C145" s="21" t="s">
        <v>192</v>
      </c>
      <c r="D145" s="21" t="s">
        <v>980</v>
      </c>
      <c r="E145" s="13">
        <v>43048.90016203704</v>
      </c>
      <c r="F145" s="13">
        <v>43048.987013888887</v>
      </c>
      <c r="G145" s="7">
        <v>47</v>
      </c>
      <c r="H145" s="21" t="s">
        <v>980</v>
      </c>
      <c r="I145" s="13">
        <v>43048.989502314813</v>
      </c>
      <c r="J145" s="7">
        <v>0</v>
      </c>
      <c r="K145" s="89" t="str">
        <f t="shared" si="74"/>
        <v>4021/4022</v>
      </c>
      <c r="L145" s="185" t="str">
        <f>VLOOKUP(A145,'Trips&amp;Operators'!$C$1:$G$99911,5,FALSE)</f>
        <v>LOZA FIDEL</v>
      </c>
      <c r="M145" s="6">
        <f t="shared" si="75"/>
        <v>2.488425925548654E-3</v>
      </c>
      <c r="N145" s="7"/>
      <c r="O145" s="7"/>
      <c r="P145" s="7"/>
      <c r="Q145" s="22"/>
      <c r="R145" s="174"/>
      <c r="S145" s="221"/>
      <c r="T145" s="174" t="str">
        <f t="shared" si="76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216" t="str">
        <f t="shared" si="77"/>
        <v>https://d0f6bd738d7f1b3e5a7ca70fe4ff75f0.us-east-1.aws.found.io/app/kibana#/discover/Steve-Slow-Train-Analysis-(2080s-and-2083s)?_g=(refreshInterval:(display:Off,pause:!f,section:0,value:0),time:(from:'2017-11-09T20:36:14-0700',mode:absolute,to:'2017-11-10T00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204" t="str">
        <f>IF(AA145&lt;VLOOKUP(AG145,Variables!$AC$3:$AD$8,2,FALSE),"Y","N")</f>
        <v>Y</v>
      </c>
      <c r="X145" s="204">
        <f t="shared" si="88"/>
        <v>0</v>
      </c>
      <c r="Y145" s="204">
        <f>RIGHT(D145,LEN(D145)-4)/10000</f>
        <v>1.9120999999999999</v>
      </c>
      <c r="Z145" s="204">
        <f>RIGHT(H145,LEN(H145)-4)/10000</f>
        <v>1.9120999999999999</v>
      </c>
      <c r="AA145" s="204">
        <f t="shared" si="78"/>
        <v>0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79"/>
        <v>231</v>
      </c>
      <c r="AE145" s="77" t="str">
        <f t="shared" si="8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45" s="74" t="str">
        <f t="shared" si="81"/>
        <v>"C:\Program Files (x86)\AstroGrep\AstroGrep.exe" /e /r /s /spath="%USERPROFILE%\AppData\Local\Temp\OnboardLogs" /stypes="app*4022*20171110*" /stext=" 06:.+((SYSTEM_STATE.+slice.+state.+changed )|(ment ac)|(multiple cpu faults)|(system.+state.+changed )|(\[timeout)|(PRM\|1\|D)|(kpr)|(kdp)|(train st.+moving)|(\|lc)|(penalty))"</v>
      </c>
      <c r="AG145" s="182" t="str">
        <f t="shared" si="82"/>
        <v>EC</v>
      </c>
      <c r="AH145" s="78" t="str">
        <f t="shared" ref="AH145:AH215" si="9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231-09 --locoid 4022 --swversion DE.1.0.9.0 --startMP 204:19121 --initTime 2017-11-09T21:36:14 --startdatetime 2017-11-09T23:41:18 --delay 47 --endMP 204:19121 --enddatetime 2017-11-09T23:44:53 --enforcementcount 0 &gt;&gt;%USERPROFILE%\Documents\GitHub\eaglep3-reporting\EC\2017-11-09-refined-times.txt</v>
      </c>
      <c r="AI145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{"issue":{"subject":"","project_id":79,"tracker_id":40,"status_id":1,"priority_id":2,"assigned_to_id":338,"start_date":"2017-11-09","description":"","custom_fields":[{"id":1,"name":"Subdivision","value":"EC"},{"id":4,"name":"Milepost","value":"1.9121"},{"id":17,"name":"Train ID","value":"231-09"},{"id":16,"name":"Locomotive ID","value":"4022"},{"id":130,"name":"Impact","value":""},{"id":150,"name":"Time of Event (Mountain Time)","value":"23:44:53"},{"id":151,"name":"Denver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ref="AM145:AM215" si="93">"start /low /b "&amp;dls3logs&amp;" --loco "&amp;B145&amp;" --day "&amp;TEXT(F145,"YYYY-MM-DD")</f>
        <v>start /low /b %USERPROFILE%\Documents\GitHub\eaglep3\Utilities\DownloadLogsFromS3.py --loco 4022 --day 2017-11-09</v>
      </c>
      <c r="AN145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ref="AO145:AO215" si="94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-09T20:36:14-0700',mode:absolute,to:'2017-11-10T00:44:53-0700'))&amp;_a=(columns:!('Message%20ID',Summary),filters:!(),index:'emp_*',interval:auto,query:(query_string:(analyze_wildcard:!t,query:'%22rtdc.l.rtdc.4022%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874</v>
      </c>
      <c r="B146" s="7">
        <v>4021</v>
      </c>
      <c r="C146" s="21" t="s">
        <v>192</v>
      </c>
      <c r="D146" s="21" t="s">
        <v>489</v>
      </c>
      <c r="E146" s="13">
        <v>43048.932476851849</v>
      </c>
      <c r="F146" s="13">
        <v>43048.935636574075</v>
      </c>
      <c r="G146" s="7">
        <v>74</v>
      </c>
      <c r="H146" s="21" t="s">
        <v>603</v>
      </c>
      <c r="I146" s="13">
        <v>43048.963819444441</v>
      </c>
      <c r="J146" s="7">
        <v>0</v>
      </c>
      <c r="K146" s="89" t="str">
        <f t="shared" si="74"/>
        <v>4021/4022</v>
      </c>
      <c r="L146" s="185" t="str">
        <f>VLOOKUP(A146,'Trips&amp;Operators'!$C$1:$G$99911,5,FALSE)</f>
        <v>LOZA FIDEL</v>
      </c>
      <c r="M146" s="6">
        <f t="shared" si="75"/>
        <v>2.8182870366435964E-2</v>
      </c>
      <c r="N146" s="7">
        <f t="shared" ref="N146:N152" si="95">24*60*SUM($M146:$M146)</f>
        <v>40.583333327667788</v>
      </c>
      <c r="O146" s="7"/>
      <c r="P146" s="7"/>
      <c r="Q146" s="22"/>
      <c r="R146" s="174"/>
      <c r="S146" s="221">
        <f t="shared" ref="S146:S152" si="96">1/IF(AG146="EC",12,1)*SUM(U146:U146)</f>
        <v>1</v>
      </c>
      <c r="T146" s="174" t="str">
        <f t="shared" si="76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77"/>
        <v>https://d0f6bd738d7f1b3e5a7ca70fe4ff75f0.us-east-1.aws.found.io/app/kibana#/discover/Steve-Slow-Train-Analysis-(2080s-and-2083s)?_g=(refreshInterval:(display:Off,pause:!f,section:0,value:0),time:(from:'2017-11-09T21:22:46-0700',mode:absolute,to:'2017-11-10T00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23.2925</v>
      </c>
      <c r="Z146" s="204">
        <f>RIGHT(H146,LEN(H146)-4)/10000</f>
        <v>2.2499999999999999E-2</v>
      </c>
      <c r="AA146" s="204">
        <f t="shared" si="78"/>
        <v>23.27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79"/>
        <v>232</v>
      </c>
      <c r="AE146" s="77" t="str">
        <f t="shared" si="80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146" s="74" t="str">
        <f t="shared" si="81"/>
        <v>"C:\Program Files (x86)\AstroGrep\AstroGrep.exe" /e /r /s /spath="%USERPROFILE%\AppData\Local\Temp\OnboardLogs" /stypes="app*4021*20171110*" /stext=" 06:.+((SYSTEM_STATE.+slice.+state.+changed )|(ment ac)|(multiple cpu faults)|(system.+state.+changed )|(\[timeout)|(PRM\|1\|D)|(kpr)|(kdp)|(train st.+moving)|(\|lc)|(penalty))"</v>
      </c>
      <c r="AG146" s="182" t="str">
        <f t="shared" si="82"/>
        <v>EC</v>
      </c>
      <c r="AH146" s="78" t="str">
        <f t="shared" si="92"/>
        <v>"%USERPROFILE%\Documents\GitHub\eaglep3\Utilities\RefineRTDCRunTimes.py" --tripid 232-09 --locoid 4021 --swversion DE.1.0.9.0 --startMP 204:232925 --initTime 2017-11-09T22:22:46 --startdatetime 2017-11-09T22:27:19 --delay 74 --endMP 204:225 --enddatetime 2017-11-09T23:07:54 --enforcementcount 0 &gt;&gt;%USERPROFILE%\Documents\GitHub\eaglep3-reporting\EC\2017-11-09-refined-times.txt</v>
      </c>
      <c r="AI146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{"issue":{"subject":"","project_id":79,"tracker_id":40,"status_id":1,"priority_id":2,"assigned_to_id":338,"start_date":"2017-11-09","description":"","custom_fields":[{"id":1,"name":"Subdivision","value":"EC"},{"id":4,"name":"Milepost","value":"0.0225"},{"id":17,"name":"Train ID","value":"232-09"},{"id":16,"name":"Locomotive ID","value":"4021"},{"id":130,"name":"Impact","value":""},{"id":150,"name":"Time of Event (Mountain Time)","value":"23:07:54"},{"id":151,"name":"Denver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93"/>
        <v>start /low /b %USERPROFILE%\Documents\GitHub\eaglep3\Utilities\DownloadLogsFromS3.py --loco 4021 --day 2017-11-09</v>
      </c>
      <c r="AN146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4"/>
        <v>https://d0f6bd738d7f1b3e5a7ca70fe4ff75f0.us-east-1.aws.found.io/app/kibana#/discover/Steve-Slow-Train-Analysis-(2080s-and-2083s)?_g=(refreshInterval:(display:Off,pause:!f,section:0,value:0),time:(from:'2017-11-09T21:22:46-0700',mode:absolute,to:'2017-11-10T00:07:54-0700'))&amp;_a=(columns:!('Message%20ID',Summary),filters:!(),index:'emp_*',interval:auto,query:(query_string:(analyze_wildcard:!t,query:'%22rtdc.l.rtdc.4021%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870</v>
      </c>
      <c r="B147" s="7">
        <v>4014</v>
      </c>
      <c r="C147" s="21" t="s">
        <v>192</v>
      </c>
      <c r="D147" s="21" t="s">
        <v>489</v>
      </c>
      <c r="E147" s="13">
        <v>43048.932476851849</v>
      </c>
      <c r="F147" s="13">
        <v>43048.916817129626</v>
      </c>
      <c r="G147" s="7">
        <v>74</v>
      </c>
      <c r="H147" s="21" t="s">
        <v>603</v>
      </c>
      <c r="I147" s="13">
        <v>43048.944537037038</v>
      </c>
      <c r="J147" s="7">
        <v>0</v>
      </c>
      <c r="K147" s="89" t="str">
        <f t="shared" si="74"/>
        <v>4013/4014</v>
      </c>
      <c r="L147" s="185" t="str">
        <f>VLOOKUP(A147,'Trips&amp;Operators'!$C$1:$G$99911,5,FALSE)</f>
        <v>ELBAUM MIKE</v>
      </c>
      <c r="M147" s="6">
        <f t="shared" si="75"/>
        <v>2.771990741166519E-2</v>
      </c>
      <c r="N147" s="7">
        <f t="shared" si="95"/>
        <v>39.916666672797874</v>
      </c>
      <c r="O147" s="7"/>
      <c r="P147" s="7"/>
      <c r="Q147" s="22"/>
      <c r="R147" s="174"/>
      <c r="S147" s="221">
        <f t="shared" si="96"/>
        <v>1</v>
      </c>
      <c r="T147" s="174" t="str">
        <f t="shared" si="76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77"/>
        <v>https://d0f6bd738d7f1b3e5a7ca70fe4ff75f0.us-east-1.aws.found.io/app/kibana#/discover/Steve-Slow-Train-Analysis-(2080s-and-2083s)?_g=(refreshInterval:(display:Off,pause:!f,section:0,value:0),time:(from:'2017-11-09T21:22:46-0700',mode:absolute,to:'2017-11-09T23:40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v>5.4199999999999998E-2</v>
      </c>
      <c r="Z147" s="204">
        <v>23.3188</v>
      </c>
      <c r="AA147" s="204">
        <f t="shared" si="78"/>
        <v>23.264599999999998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79"/>
        <v>233</v>
      </c>
      <c r="AE147" s="77" t="str">
        <f t="shared" si="80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147" s="74" t="str">
        <f t="shared" si="81"/>
        <v>"C:\Program Files (x86)\AstroGrep\AstroGrep.exe" /e /r /s /spath="%USERPROFILE%\AppData\Local\Temp\OnboardLogs" /stypes="app*4014*20171110*" /stext=" 05:.+((SYSTEM_STATE.+slice.+state.+changed )|(ment ac)|(multiple cpu faults)|(system.+state.+changed )|(\[timeout)|(PRM\|1\|D)|(kpr)|(kdp)|(train st.+moving)|(\|lc)|(penalty))"</v>
      </c>
      <c r="AG147" s="182" t="str">
        <f t="shared" si="82"/>
        <v>EC</v>
      </c>
      <c r="AH147" s="78" t="str">
        <f t="shared" ref="AH147" si="97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233-09 --locoid 4014 --swversion DE.1.0.9.0 --startMP 204:232925 --initTime 2017-11-09T22:22:46 --startdatetime 2017-11-09T22:00:13 --delay 74 --endMP 204:225 --enddatetime 2017-11-09T22:40:08 --enforcementcount 0 &gt;&gt;%USERPROFILE%\Documents\GitHub\eaglep3-reporting\EC\2017-11-09-refined-times.txt</v>
      </c>
      <c r="AI147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{"issue":{"subject":"","project_id":79,"tracker_id":40,"status_id":1,"priority_id":2,"assigned_to_id":338,"start_date":"2017-11-09","description":"","custom_fields":[{"id":1,"name":"Subdivision","value":"EC"},{"id":4,"name":"Milepost","value":"23.3188"},{"id":17,"name":"Train ID","value":"233-09"},{"id":16,"name":"Locomotive ID","value":"4014"},{"id":130,"name":"Impact","value":""},{"id":150,"name":"Time of Event (Mountain Time)","value":"22:40:08"},{"id":151,"name":"Denver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" si="98">"start /low /b "&amp;dls3logs&amp;" --loco "&amp;B147&amp;" --day "&amp;TEXT(F147,"YYYY-MM-DD")</f>
        <v>start /low /b %USERPROFILE%\Documents\GitHub\eaglep3\Utilities\DownloadLogsFromS3.py --loco 4014 --day 2017-11-09</v>
      </c>
      <c r="AN147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05:40:08"},{"id":29,"name":"Sharepoint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" si="99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-09T21:22:46-0700',mode:absolute,to:'2017-11-09T23:40:08-0700'))&amp;_a=(columns:!('Message%20ID',Summary),filters:!(),index:'emp_*',interval:auto,query:(query_string:(analyze_wildcard:!t,query:'%22rtdc.l.rtdc.4014%22')),sort:!(Time.ISO8601,asc))</v>
      </c>
    </row>
    <row r="148" spans="1:91" s="20" customFormat="1" x14ac:dyDescent="0.25">
      <c r="A148" s="32" t="s">
        <v>658</v>
      </c>
      <c r="B148" s="7">
        <v>4013</v>
      </c>
      <c r="C148" s="21" t="s">
        <v>192</v>
      </c>
      <c r="D148" s="21" t="s">
        <v>941</v>
      </c>
      <c r="E148" s="13">
        <v>43048.952222222222</v>
      </c>
      <c r="F148" s="13">
        <v>43048.956678240742</v>
      </c>
      <c r="G148" s="7">
        <v>50</v>
      </c>
      <c r="H148" s="21" t="s">
        <v>981</v>
      </c>
      <c r="I148" s="13">
        <v>43048.986435185187</v>
      </c>
      <c r="J148" s="7">
        <v>0</v>
      </c>
      <c r="K148" s="89" t="str">
        <f t="shared" si="74"/>
        <v>4013/4014</v>
      </c>
      <c r="L148" s="185" t="str">
        <f>VLOOKUP(A148,'Trips&amp;Operators'!$C$1:$G$99911,5,FALSE)</f>
        <v>ELBAUM MIKE</v>
      </c>
      <c r="M148" s="6">
        <f t="shared" si="75"/>
        <v>2.9756944444670808E-2</v>
      </c>
      <c r="N148" s="7">
        <f t="shared" si="95"/>
        <v>42.850000000325963</v>
      </c>
      <c r="O148" s="7"/>
      <c r="P148" s="7"/>
      <c r="Q148" s="22"/>
      <c r="R148" s="174"/>
      <c r="S148" s="221">
        <f t="shared" si="96"/>
        <v>1</v>
      </c>
      <c r="T148" s="174" t="str">
        <f t="shared" si="76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77"/>
        <v>https://d0f6bd738d7f1b3e5a7ca70fe4ff75f0.us-east-1.aws.found.io/app/kibana#/discover/Steve-Slow-Train-Analysis-(2080s-and-2083s)?_g=(refreshInterval:(display:Off,pause:!f,section:0,value:0),time:(from:'2017-11-09T21:51:12-0700',mode:absolute,to:'2017-11-10T00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204" t="str">
        <f>IF(AA148&lt;VLOOKUP(AG148,Variables!$AC$3:$AD$8,2,FALSE),"Y","N")</f>
        <v>N</v>
      </c>
      <c r="X148" s="204">
        <f t="shared" ref="X148:X149" si="100">VALUE(LEFT(AD148,4))-VALUE(LEFT(AD147,4))</f>
        <v>1</v>
      </c>
      <c r="Y148" s="204">
        <f t="shared" ref="Y148:Y156" si="101">RIGHT(D148,LEN(D148)-4)/10000</f>
        <v>23.293600000000001</v>
      </c>
      <c r="Z148" s="204">
        <f t="shared" ref="Z148:Z156" si="102">RIGHT(H148,LEN(H148)-4)/10000</f>
        <v>2.76E-2</v>
      </c>
      <c r="AA148" s="204">
        <f t="shared" si="78"/>
        <v>23.266000000000002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79"/>
        <v>234</v>
      </c>
      <c r="AE148" s="77" t="str">
        <f t="shared" si="80"/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AF148" s="74" t="str">
        <f t="shared" si="81"/>
        <v>"C:\Program Files (x86)\AstroGrep\AstroGrep.exe" /e /r /s /spath="%USERPROFILE%\AppData\Local\Temp\OnboardLogs" /stypes="app*4013*20171110*" /stext=" 06:.+((SYSTEM_STATE.+slice.+state.+changed )|(ment ac)|(multiple cpu faults)|(system.+state.+changed )|(\[timeout)|(PRM\|1\|D)|(kpr)|(kdp)|(train st.+moving)|(\|lc)|(penalty))"</v>
      </c>
      <c r="AG148" s="182" t="str">
        <f t="shared" si="82"/>
        <v>EC</v>
      </c>
      <c r="AH148" s="78" t="str">
        <f t="shared" si="92"/>
        <v>"%USERPROFILE%\Documents\GitHub\eaglep3\Utilities\RefineRTDCRunTimes.py" --tripid 234-09 --locoid 4013 --swversion DE.1.0.9.0 --startMP 204:232936 --initTime 2017-11-09T22:51:12 --startdatetime 2017-11-09T22:57:37 --delay 50 --endMP 204:276 --enddatetime 2017-11-09T23:40:28 --enforcementcount 0 &gt;&gt;%USERPROFILE%\Documents\GitHub\eaglep3-reporting\EC\2017-11-09-refined-times.txt</v>
      </c>
      <c r="AI148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{"issue":{"subject":"","project_id":79,"tracker_id":40,"status_id":1,"priority_id":2,"assigned_to_id":338,"start_date":"2017-11-09","description":"","custom_fields":[{"id":1,"name":"Subdivision","value":"EC"},{"id":4,"name":"Milepost","value":"0.0276"},{"id":17,"name":"Train ID","value":"234-09"},{"id":16,"name":"Locomotive ID","value":"4013"},{"id":130,"name":"Impact","value":""},{"id":150,"name":"Time of Event (Mountain Time)","value":"23:40:28"},{"id":151,"name":"Denver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93"/>
        <v>start /low /b %USERPROFILE%\Documents\GitHub\eaglep3\Utilities\DownloadLogsFromS3.py --loco 4013 --day 2017-11-09</v>
      </c>
      <c r="AN148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4"/>
        <v>https://d0f6bd738d7f1b3e5a7ca70fe4ff75f0.us-east-1.aws.found.io/app/kibana#/discover/Steve-Slow-Train-Analysis-(2080s-and-2083s)?_g=(refreshInterval:(display:Off,pause:!f,section:0,value:0),time:(from:'2017-11-09T21:51:12-0700',mode:absolute,to:'2017-11-10T00:40:28-0700'))&amp;_a=(columns:!('Message%20ID',Summary),filters:!(),index:'emp_*',interval:auto,query:(query_string:(analyze_wildcard:!t,query:'%22rtdc.l.rtdc.4013%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873</v>
      </c>
      <c r="B149" s="7">
        <v>4024</v>
      </c>
      <c r="C149" s="21" t="s">
        <v>192</v>
      </c>
      <c r="D149" s="21" t="s">
        <v>520</v>
      </c>
      <c r="E149" s="13">
        <v>43048.931747685187</v>
      </c>
      <c r="F149" s="13">
        <v>43048.937835648147</v>
      </c>
      <c r="G149" s="7">
        <v>84</v>
      </c>
      <c r="H149" s="21" t="s">
        <v>982</v>
      </c>
      <c r="I149" s="13">
        <v>43048.96607638889</v>
      </c>
      <c r="J149" s="7">
        <v>0</v>
      </c>
      <c r="K149" s="89" t="str">
        <f t="shared" si="74"/>
        <v>4023/4024</v>
      </c>
      <c r="L149" s="185" t="str">
        <f>VLOOKUP(A149,'Trips&amp;Operators'!$C$1:$G$99911,5,FALSE)</f>
        <v>NICHOLSON WESLEY</v>
      </c>
      <c r="M149" s="6">
        <f t="shared" si="75"/>
        <v>2.8240740743058268E-2</v>
      </c>
      <c r="N149" s="7">
        <f t="shared" si="95"/>
        <v>40.666666670003906</v>
      </c>
      <c r="O149" s="7"/>
      <c r="P149" s="7"/>
      <c r="Q149" s="22"/>
      <c r="R149" s="174"/>
      <c r="S149" s="221">
        <f t="shared" si="96"/>
        <v>1</v>
      </c>
      <c r="T149" s="174" t="str">
        <f t="shared" si="76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77"/>
        <v>https://d0f6bd738d7f1b3e5a7ca70fe4ff75f0.us-east-1.aws.found.io/app/kibana#/discover/Steve-Slow-Train-Analysis-(2080s-and-2083s)?_g=(refreshInterval:(display:Off,pause:!f,section:0,value:0),time:(from:'2017-11-09T21:21:43-0700',mode:absolute,to:'2017-11-10T00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9" s="204" t="str">
        <f>IF(AA149&lt;VLOOKUP(AG149,Variables!$AC$3:$AD$8,2,FALSE),"Y","N")</f>
        <v>N</v>
      </c>
      <c r="X149" s="204">
        <f t="shared" si="100"/>
        <v>1</v>
      </c>
      <c r="Y149" s="204">
        <f t="shared" si="101"/>
        <v>5.3900000000000003E-2</v>
      </c>
      <c r="Z149" s="204">
        <f t="shared" si="102"/>
        <v>23.317799999999998</v>
      </c>
      <c r="AA149" s="204">
        <f t="shared" si="78"/>
        <v>23.2639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79"/>
        <v>235</v>
      </c>
      <c r="AE149" s="77" t="str">
        <f t="shared" si="80"/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AF149" s="74" t="str">
        <f t="shared" si="81"/>
        <v>"C:\Program Files (x86)\AstroGrep\AstroGrep.exe" /e /r /s /spath="%USERPROFILE%\AppData\Local\Temp\OnboardLogs" /stypes="app*4024*20171110*" /stext=" 06:.+((SYSTEM_STATE.+slice.+state.+changed )|(ment ac)|(multiple cpu faults)|(system.+state.+changed )|(\[timeout)|(PRM\|1\|D)|(kpr)|(kdp)|(train st.+moving)|(\|lc)|(penalty))"</v>
      </c>
      <c r="AG149" s="182" t="str">
        <f t="shared" si="82"/>
        <v>EC</v>
      </c>
      <c r="AH149" s="78" t="str">
        <f t="shared" si="92"/>
        <v>"%USERPROFILE%\Documents\GitHub\eaglep3\Utilities\RefineRTDCRunTimes.py" --tripid 235-09 --locoid 4024 --swversion DE.1.0.9.0 --startMP 204:539 --initTime 2017-11-09T22:21:43 --startdatetime 2017-11-09T22:30:29 --delay 84 --endMP 204:233178 --enddatetime 2017-11-09T23:11:09 --enforcementcount 0 &gt;&gt;%USERPROFILE%\Documents\GitHub\eaglep3-reporting\EC\2017-11-09-refined-times.txt</v>
      </c>
      <c r="AI149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{"issue":{"subject":"","project_id":79,"tracker_id":40,"status_id":1,"priority_id":2,"assigned_to_id":338,"start_date":"2017-11-09","description":"","custom_fields":[{"id":1,"name":"Subdivision","value":"EC"},{"id":4,"name":"Milepost","value":"23.3178"},{"id":17,"name":"Train ID","value":"235-09"},{"id":16,"name":"Locomotive ID","value":"4024"},{"id":130,"name":"Impact","value":""},{"id":150,"name":"Time of Event (Mountain Time)","value":"23:11:09"},{"id":151,"name":"Denver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93"/>
        <v>start /low /b %USERPROFILE%\Documents\GitHub\eaglep3\Utilities\DownloadLogsFromS3.py --loco 4024 --day 2017-11-09</v>
      </c>
      <c r="AN149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06:11:09"},{"id":29,"name":"Sharepoint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4"/>
        <v>https://d0f6bd738d7f1b3e5a7ca70fe4ff75f0.us-east-1.aws.found.io/app/kibana#/discover/Steve-Slow-Train-Analysis-(2080s-and-2083s)?_g=(refreshInterval:(display:Off,pause:!f,section:0,value:0),time:(from:'2017-11-09T21:21:43-0700',mode:absolute,to:'2017-11-10T00:11:09-0700'))&amp;_a=(columns:!('Message%20ID',Summary),filters:!(),index:'emp_*',interval:auto,query:(query_string:(analyze_wildcard:!t,query:'%22rtdc.l.rtdc.4024%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878</v>
      </c>
      <c r="B150" s="7">
        <v>4023</v>
      </c>
      <c r="C150" s="21" t="s">
        <v>192</v>
      </c>
      <c r="D150" s="21" t="s">
        <v>983</v>
      </c>
      <c r="E150" s="13">
        <v>43048.972280092596</v>
      </c>
      <c r="F150" s="13">
        <v>43048.977314814816</v>
      </c>
      <c r="G150" s="7">
        <v>75</v>
      </c>
      <c r="H150" s="21" t="s">
        <v>617</v>
      </c>
      <c r="I150" s="13">
        <v>43049.008356481485</v>
      </c>
      <c r="J150" s="7">
        <v>0</v>
      </c>
      <c r="K150" s="89" t="str">
        <f t="shared" si="74"/>
        <v>4023/4024</v>
      </c>
      <c r="L150" s="185" t="str">
        <f>VLOOKUP(A150,'Trips&amp;Operators'!$C$1:$G$99911,5,FALSE)</f>
        <v>NICHOLSON WESLEY</v>
      </c>
      <c r="M150" s="6">
        <f t="shared" si="75"/>
        <v>3.104166666889796E-2</v>
      </c>
      <c r="N150" s="7">
        <f t="shared" si="95"/>
        <v>44.700000003213063</v>
      </c>
      <c r="O150" s="7"/>
      <c r="P150" s="7"/>
      <c r="Q150" s="22"/>
      <c r="R150" s="174"/>
      <c r="S150" s="221">
        <f t="shared" si="96"/>
        <v>1</v>
      </c>
      <c r="T150" s="174" t="str">
        <f t="shared" si="76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77"/>
        <v>https://d0f6bd738d7f1b3e5a7ca70fe4ff75f0.us-east-1.aws.found.io/app/kibana#/discover/Steve-Slow-Train-Analysis-(2080s-and-2083s)?_g=(refreshInterval:(display:Off,pause:!f,section:0,value:0),time:(from:'2017-11-09T22:20:05-0700',mode:absolute,to:'2017-11-10T01:12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0" s="204" t="str">
        <f>IF(AA150&lt;VLOOKUP(AG150,Variables!$AC$3:$AD$8,2,FALSE),"Y","N")</f>
        <v>N</v>
      </c>
      <c r="X150" s="204">
        <f t="shared" ref="X150:X157" si="103">VALUE(LEFT(AD150,4))-VALUE(LEFT(AD149,4))</f>
        <v>1</v>
      </c>
      <c r="Y150" s="204">
        <f t="shared" si="101"/>
        <v>23.2865</v>
      </c>
      <c r="Z150" s="204">
        <f t="shared" si="102"/>
        <v>2.3099999999999999E-2</v>
      </c>
      <c r="AA150" s="204">
        <f t="shared" si="78"/>
        <v>23.263400000000001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79"/>
        <v>236</v>
      </c>
      <c r="AE150" s="77" t="str">
        <f t="shared" si="80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150" s="74" t="str">
        <f t="shared" si="81"/>
        <v>"C:\Program Files (x86)\AstroGrep\AstroGrep.exe" /e /r /s /spath="%USERPROFILE%\AppData\Local\Temp\OnboardLogs" /stypes="app*4023*20171110*" /stext=" 07:.+((SYSTEM_STATE.+slice.+state.+changed )|(ment ac)|(multiple cpu faults)|(system.+state.+changed )|(\[timeout)|(PRM\|1\|D)|(kpr)|(kdp)|(train st.+moving)|(\|lc)|(penalty))"</v>
      </c>
      <c r="AG150" s="182" t="str">
        <f t="shared" si="82"/>
        <v>EC</v>
      </c>
      <c r="AH150" s="78" t="str">
        <f t="shared" si="92"/>
        <v>"%USERPROFILE%\Documents\GitHub\eaglep3\Utilities\RefineRTDCRunTimes.py" --tripid 236-09 --locoid 4023 --swversion DE.1.0.9.0 --startMP 204:232865 --initTime 2017-11-09T23:20:05 --startdatetime 2017-11-09T23:27:20 --delay 75 --endMP 204:231 --enddatetime 2017-11-10T00:12:02 --enforcementcount 0 &gt;&gt;%USERPROFILE%\Documents\GitHub\eaglep3-reporting\EC\2017-11-09-refined-times.txt</v>
      </c>
      <c r="AI150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{"issue":{"subject":"","project_id":79,"tracker_id":40,"status_id":1,"priority_id":2,"assigned_to_id":338,"start_date":"2017-11-10","description":"","custom_fields":[{"id":1,"name":"Subdivision","value":"EC"},{"id":4,"name":"Milepost","value":"0.0231"},{"id":17,"name":"Train ID","value":"236-09"},{"id":16,"name":"Locomotive ID","value":"4023"},{"id":130,"name":"Impact","value":""},{"id":150,"name":"Time of Event (Mountain Time)","value":"00:12:02"},{"id":151,"name":"Denver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93"/>
        <v>start /low /b %USERPROFILE%\Documents\GitHub\eaglep3\Utilities\DownloadLogsFromS3.py --loco 4023 --day 2017-11-09</v>
      </c>
      <c r="AN150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07:12:02"},{"id":29,"name":"Sharepoint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4"/>
        <v>https://d0f6bd738d7f1b3e5a7ca70fe4ff75f0.us-east-1.aws.found.io/app/kibana#/discover/Steve-Slow-Train-Analysis-(2080s-and-2083s)?_g=(refreshInterval:(display:Off,pause:!f,section:0,value:0),time:(from:'2017-11-09T22:20:05-0700',mode:absolute,to:'2017-11-10T01:12:02-0700'))&amp;_a=(columns:!('Message%20ID',Summary),filters:!(),index:'emp_*',interval:auto,query:(query_string:(analyze_wildcard:!t,query:'%22rtdc.l.rtdc.4023%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876</v>
      </c>
      <c r="B151" s="7">
        <v>4064</v>
      </c>
      <c r="C151" s="21" t="s">
        <v>192</v>
      </c>
      <c r="D151" s="21" t="s">
        <v>984</v>
      </c>
      <c r="E151" s="13">
        <v>43048.950011574074</v>
      </c>
      <c r="F151" s="13">
        <v>43048.959004629629</v>
      </c>
      <c r="G151" s="7">
        <v>72</v>
      </c>
      <c r="H151" s="21" t="s">
        <v>475</v>
      </c>
      <c r="I151" s="13">
        <v>43048.9844212963</v>
      </c>
      <c r="J151" s="7">
        <v>0</v>
      </c>
      <c r="K151" s="89" t="str">
        <f t="shared" si="74"/>
        <v>4063/4064</v>
      </c>
      <c r="L151" s="185" t="str">
        <f>VLOOKUP(A151,'Trips&amp;Operators'!$C$1:$G$99911,5,FALSE)</f>
        <v>AUSTIN THOMPSON</v>
      </c>
      <c r="M151" s="6">
        <f t="shared" si="75"/>
        <v>2.5416666670935228E-2</v>
      </c>
      <c r="N151" s="7">
        <f t="shared" si="95"/>
        <v>36.600000006146729</v>
      </c>
      <c r="O151" s="7"/>
      <c r="P151" s="7"/>
      <c r="Q151" s="22"/>
      <c r="R151" s="174"/>
      <c r="S151" s="221">
        <f t="shared" si="96"/>
        <v>1</v>
      </c>
      <c r="T151" s="174" t="str">
        <f t="shared" si="76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77"/>
        <v>https://d0f6bd738d7f1b3e5a7ca70fe4ff75f0.us-east-1.aws.found.io/app/kibana#/discover/Steve-Slow-Train-Analysis-(2080s-and-2083s)?_g=(refreshInterval:(display:Off,pause:!f,section:0,value:0),time:(from:'2017-11-09T21:48:01-0700',mode:absolute,to:'2017-11-10T00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04" t="str">
        <f>IF(AA151&lt;VLOOKUP(AG151,Variables!$AC$3:$AD$8,2,FALSE),"Y","N")</f>
        <v>N</v>
      </c>
      <c r="X151" s="204">
        <f t="shared" si="103"/>
        <v>1</v>
      </c>
      <c r="Y151" s="204">
        <f t="shared" si="101"/>
        <v>5.7500000000000002E-2</v>
      </c>
      <c r="Z151" s="204">
        <f t="shared" si="102"/>
        <v>23.323799999999999</v>
      </c>
      <c r="AA151" s="204">
        <f t="shared" si="78"/>
        <v>23.266299999999998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79"/>
        <v>237</v>
      </c>
      <c r="AE151" s="77" t="str">
        <f t="shared" si="80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151" s="74" t="str">
        <f t="shared" si="81"/>
        <v>"C:\Program Files (x86)\AstroGrep\AstroGrep.exe" /e /r /s /spath="%USERPROFILE%\AppData\Local\Temp\OnboardLogs" /stypes="app*4064*20171110*" /stext=" 06:.+((SYSTEM_STATE.+slice.+state.+changed )|(ment ac)|(multiple cpu faults)|(system.+state.+changed )|(\[timeout)|(PRM\|1\|D)|(kpr)|(kdp)|(train st.+moving)|(\|lc)|(penalty))"</v>
      </c>
      <c r="AG151" s="182" t="str">
        <f t="shared" si="82"/>
        <v>EC</v>
      </c>
      <c r="AH151" s="78" t="str">
        <f t="shared" si="92"/>
        <v>"%USERPROFILE%\Documents\GitHub\eaglep3\Utilities\RefineRTDCRunTimes.py" --tripid 237-09 --locoid 4064 --swversion DE.1.0.9.0 --startMP 204:575 --initTime 2017-11-09T22:48:01 --startdatetime 2017-11-09T23:00:58 --delay 72 --endMP 204:233238 --enddatetime 2017-11-09T23:37:34 --enforcementcount 0 &gt;&gt;%USERPROFILE%\Documents\GitHub\eaglep3-reporting\EC\2017-11-09-refined-times.txt</v>
      </c>
      <c r="AI151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{"issue":{"subject":"","project_id":79,"tracker_id":40,"status_id":1,"priority_id":2,"assigned_to_id":338,"start_date":"2017-11-09","description":"","custom_fields":[{"id":1,"name":"Subdivision","value":"EC"},{"id":4,"name":"Milepost","value":"23.3238"},{"id":17,"name":"Train ID","value":"237-09"},{"id":16,"name":"Locomotive ID","value":"4064"},{"id":130,"name":"Impact","value":""},{"id":150,"name":"Time of Event (Mountain Time)","value":"23:37:34"},{"id":151,"name":"Denver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93"/>
        <v>start /low /b %USERPROFILE%\Documents\GitHub\eaglep3\Utilities\DownloadLogsFromS3.py --loco 4064 --day 2017-11-09</v>
      </c>
      <c r="AN151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4"/>
        <v>https://d0f6bd738d7f1b3e5a7ca70fe4ff75f0.us-east-1.aws.found.io/app/kibana#/discover/Steve-Slow-Train-Analysis-(2080s-and-2083s)?_g=(refreshInterval:(display:Off,pause:!f,section:0,value:0),time:(from:'2017-11-09T21:48:01-0700',mode:absolute,to:'2017-11-10T00:37:34-0700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881</v>
      </c>
      <c r="B152" s="7">
        <v>4063</v>
      </c>
      <c r="C152" s="21" t="s">
        <v>192</v>
      </c>
      <c r="D152" s="21" t="s">
        <v>489</v>
      </c>
      <c r="E152" s="13">
        <v>43048.993807870371</v>
      </c>
      <c r="F152" s="13">
        <v>43048.998101851852</v>
      </c>
      <c r="G152" s="7">
        <v>60</v>
      </c>
      <c r="H152" s="21" t="s">
        <v>607</v>
      </c>
      <c r="I152" s="13">
        <v>43049.02553240741</v>
      </c>
      <c r="J152" s="7">
        <v>0</v>
      </c>
      <c r="K152" s="89" t="str">
        <f t="shared" si="74"/>
        <v>4063/4064</v>
      </c>
      <c r="L152" s="185" t="str">
        <f>VLOOKUP(A152,'Trips&amp;Operators'!$C$1:$G$99911,5,FALSE)</f>
        <v>AUSTIN THOMPSON</v>
      </c>
      <c r="M152" s="6">
        <f t="shared" si="75"/>
        <v>2.7430555557657499E-2</v>
      </c>
      <c r="N152" s="7">
        <f t="shared" si="95"/>
        <v>39.500000003026798</v>
      </c>
      <c r="O152" s="7"/>
      <c r="P152" s="7"/>
      <c r="Q152" s="22"/>
      <c r="R152" s="174"/>
      <c r="S152" s="221">
        <f t="shared" si="96"/>
        <v>1</v>
      </c>
      <c r="T152" s="174" t="str">
        <f t="shared" si="76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77"/>
        <v>https://d0f6bd738d7f1b3e5a7ca70fe4ff75f0.us-east-1.aws.found.io/app/kibana#/discover/Steve-Slow-Train-Analysis-(2080s-and-2083s)?_g=(refreshInterval:(display:Off,pause:!f,section:0,value:0),time:(from:'2017-11-09T22:51:05-0700',mode:absolute,to:'2017-11-10T01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04" t="str">
        <f>IF(AA152&lt;VLOOKUP(AG152,Variables!$AC$3:$AD$8,2,FALSE),"Y","N")</f>
        <v>N</v>
      </c>
      <c r="X152" s="204">
        <f t="shared" si="103"/>
        <v>1</v>
      </c>
      <c r="Y152" s="204">
        <f t="shared" si="101"/>
        <v>23.2925</v>
      </c>
      <c r="Z152" s="204">
        <f t="shared" si="102"/>
        <v>2.69E-2</v>
      </c>
      <c r="AA152" s="204">
        <f t="shared" si="78"/>
        <v>23.265599999999999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79"/>
        <v>238</v>
      </c>
      <c r="AE152" s="77" t="str">
        <f t="shared" si="80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152" s="74" t="str">
        <f t="shared" si="81"/>
        <v>"C:\Program Files (x86)\AstroGrep\AstroGrep.exe" /e /r /s /spath="%USERPROFILE%\AppData\Local\Temp\OnboardLogs" /stypes="app*4063*20171110*" /stext=" 07:.+((SYSTEM_STATE.+slice.+state.+changed )|(ment ac)|(multiple cpu faults)|(system.+state.+changed )|(\[timeout)|(PRM\|1\|D)|(kpr)|(kdp)|(train st.+moving)|(\|lc)|(penalty))"</v>
      </c>
      <c r="AG152" s="182" t="str">
        <f t="shared" si="82"/>
        <v>EC</v>
      </c>
      <c r="AH152" s="78" t="str">
        <f t="shared" si="92"/>
        <v>"%USERPROFILE%\Documents\GitHub\eaglep3\Utilities\RefineRTDCRunTimes.py" --tripid 238-09 --locoid 4063 --swversion DE.1.0.9.0 --startMP 204:232925 --initTime 2017-11-09T23:51:05 --startdatetime 2017-11-09T23:57:16 --delay 60 --endMP 204:269 --enddatetime 2017-11-10T00:36:46 --enforcementcount 0 &gt;&gt;%USERPROFILE%\Documents\GitHub\eaglep3-reporting\EC\2017-11-09-refined-times.txt</v>
      </c>
      <c r="AI152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{"issue":{"subject":"","project_id":79,"tracker_id":40,"status_id":1,"priority_id":2,"assigned_to_id":338,"start_date":"2017-11-10","description":"","custom_fields":[{"id":1,"name":"Subdivision","value":"EC"},{"id":4,"name":"Milepost","value":"0.0269"},{"id":17,"name":"Train ID","value":"238-09"},{"id":16,"name":"Locomotive ID","value":"4063"},{"id":130,"name":"Impact","value":""},{"id":150,"name":"Time of Event (Mountain Time)","value":"00:36:46"},{"id":151,"name":"Denver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93"/>
        <v>start /low /b %USERPROFILE%\Documents\GitHub\eaglep3\Utilities\DownloadLogsFromS3.py --loco 4063 --day 2017-11-09</v>
      </c>
      <c r="AN152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4"/>
        <v>https://d0f6bd738d7f1b3e5a7ca70fe4ff75f0.us-east-1.aws.found.io/app/kibana#/discover/Steve-Slow-Train-Analysis-(2080s-and-2083s)?_g=(refreshInterval:(display:Off,pause:!f,section:0,value:0),time:(from:'2017-11-09T22:51:05-0700',mode:absolute,to:'2017-11-10T01:36:46-0700'))&amp;_a=(columns:!('Message%20ID',Summary),filters:!(),index:'emp_*',interval:auto,query:(query_string:(analyze_wildcard:!t,query:'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877</v>
      </c>
      <c r="B153" s="7">
        <v>4022</v>
      </c>
      <c r="C153" s="21" t="s">
        <v>192</v>
      </c>
      <c r="D153" s="21" t="s">
        <v>522</v>
      </c>
      <c r="E153" s="13">
        <v>43048.965810185182</v>
      </c>
      <c r="F153" s="13">
        <v>43048.987013888887</v>
      </c>
      <c r="G153" s="7">
        <v>75</v>
      </c>
      <c r="H153" s="21" t="s">
        <v>522</v>
      </c>
      <c r="I153" s="13">
        <v>43048.989502314813</v>
      </c>
      <c r="J153" s="7">
        <v>0</v>
      </c>
      <c r="K153" s="89" t="str">
        <f t="shared" si="74"/>
        <v>4021/4022</v>
      </c>
      <c r="L153" s="185" t="str">
        <f>VLOOKUP(A153,'Trips&amp;Operators'!$C$1:$G$99911,5,FALSE)</f>
        <v>LOZA FIDEL</v>
      </c>
      <c r="M153" s="6">
        <f t="shared" si="75"/>
        <v>2.488425925548654E-3</v>
      </c>
      <c r="N153" s="7"/>
      <c r="O153" s="7"/>
      <c r="P153" s="7">
        <f>24*60*SUM($M153:$M153)</f>
        <v>3.5833333327900618</v>
      </c>
      <c r="Q153" s="22"/>
      <c r="R153" s="174" t="s">
        <v>1108</v>
      </c>
      <c r="S153" s="221">
        <f>1/IF(AG153="EC",12,1)*SUM(U153:U154)</f>
        <v>8.3333333333333329E-2</v>
      </c>
      <c r="T153" s="174" t="str">
        <f t="shared" si="76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216" t="str">
        <f t="shared" si="77"/>
        <v>https://d0f6bd738d7f1b3e5a7ca70fe4ff75f0.us-east-1.aws.found.io/app/kibana#/discover/Steve-Slow-Train-Analysis-(2080s-and-2083s)?_g=(refreshInterval:(display:Off,pause:!f,section:0,value:0),time:(from:'2017-11-09T22:10:46-0700',mode:absolute,to:'2017-11-10T00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204" t="str">
        <f>IF(AA153&lt;VLOOKUP(AG153,Variables!$AC$3:$AD$8,2,FALSE),"Y","N")</f>
        <v>Y</v>
      </c>
      <c r="X153" s="204">
        <f t="shared" si="103"/>
        <v>1</v>
      </c>
      <c r="Y153" s="204">
        <f t="shared" si="101"/>
        <v>5.33E-2</v>
      </c>
      <c r="Z153" s="204">
        <f t="shared" si="102"/>
        <v>5.33E-2</v>
      </c>
      <c r="AA153" s="204">
        <f t="shared" si="78"/>
        <v>0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79"/>
        <v>239</v>
      </c>
      <c r="AE153" s="77" t="str">
        <f t="shared" si="8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53" s="74" t="str">
        <f t="shared" si="81"/>
        <v>"C:\Program Files (x86)\AstroGrep\AstroGrep.exe" /e /r /s /spath="%USERPROFILE%\AppData\Local\Temp\OnboardLogs" /stypes="app*4022*20171110*" /stext=" 06:.+((SYSTEM_STATE.+slice.+state.+changed )|(ment ac)|(multiple cpu faults)|(system.+state.+changed )|(\[timeout)|(PRM\|1\|D)|(kpr)|(kdp)|(train st.+moving)|(\|lc)|(penalty))"</v>
      </c>
      <c r="AG153" s="182" t="str">
        <f t="shared" si="82"/>
        <v>EC</v>
      </c>
      <c r="AH153" s="78" t="str">
        <f t="shared" si="92"/>
        <v>"%USERPROFILE%\Documents\GitHub\eaglep3\Utilities\RefineRTDCRunTimes.py" --tripid 239-09 --locoid 4022 --swversion DE.1.0.9.0 --startMP 204:533 --initTime 2017-11-09T23:10:46 --startdatetime 2017-11-09T23:41:18 --delay 75 --endMP 204:533 --enddatetime 2017-11-09T23:44:53 --enforcementcount 0 &gt;&gt;%USERPROFILE%\Documents\GitHub\eaglep3-reporting\EC\2017-11-09-refined-times.txt</v>
      </c>
      <c r="AI153" s="96" t="str">
        <f t="shared" si="83"/>
        <v>echo {"issue":{"subject":"Wheel tach sensor issue","project_id":79,"tracker_id":40,"status_id":1,"priority_id":2,"assigned_to_id":338,"start_date":"2017-11-09","description":"","custom_fields":[{"id":1,"name":"Subdivision","value":"EC"},{"id":4,"name":"Milepost","value":"0.0533"},{"id":17,"name":"Train ID","value":"239-09"},{"id":16,"name":"Locomotive ID","value":"4022"},{"id":130,"name":"Impact","value":""},{"id":150,"name":"Time of Event (Mountain Time)","value":"23:44:53"},{"id":151,"name":"Denver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93"/>
        <v>start /low /b %USERPROFILE%\Documents\GitHub\eaglep3\Utilities\DownloadLogsFromS3.py --loco 4022 --day 2017-11-09</v>
      </c>
      <c r="AN153" s="151" t="str">
        <f t="shared" si="84"/>
        <v>echo {"issue":{"subject":"Wheel tach sensor issue","project_id":30,"tracker_id":4,"status_id":1,"priority_id":1,"assigned_to_id":10,"start_date":"2017-11-10","description":"","custom_fields":[{"id":30,"name":"Category","value":"Issue"},{"id":3,"name":"Functional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4"/>
        <v>https://d0f6bd738d7f1b3e5a7ca70fe4ff75f0.us-east-1.aws.found.io/app/kibana#/discover/Steve-Slow-Train-Analysis-(2080s-and-2083s)?_g=(refreshInterval:(display:Off,pause:!f,section:0,value:0),time:(from:'2017-11-09T22:10:46-0700',mode:absolute,to:'2017-11-10T00:44:53-0700'))&amp;_a=(columns:!('Message%20ID',Summary),filters:!(),index:'emp_*',interval:auto,query:(query_string:(analyze_wildcard:!t,query:'%22rtdc.l.rtdc.4022%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877</v>
      </c>
      <c r="B154" s="7">
        <v>4022</v>
      </c>
      <c r="C154" s="21" t="s">
        <v>192</v>
      </c>
      <c r="D154" s="21" t="s">
        <v>985</v>
      </c>
      <c r="E154" s="13">
        <v>43048.985810185186</v>
      </c>
      <c r="F154" s="13">
        <v>43048.987013888887</v>
      </c>
      <c r="G154" s="7">
        <v>53</v>
      </c>
      <c r="H154" s="21" t="s">
        <v>986</v>
      </c>
      <c r="I154" s="13">
        <v>43048.989502314813</v>
      </c>
      <c r="J154" s="7">
        <v>0</v>
      </c>
      <c r="K154" s="89" t="str">
        <f t="shared" si="74"/>
        <v>4021/4022</v>
      </c>
      <c r="L154" s="185" t="str">
        <f>VLOOKUP(A154,'Trips&amp;Operators'!$C$1:$G$99911,5,FALSE)</f>
        <v>LOZA FIDEL</v>
      </c>
      <c r="M154" s="6">
        <f t="shared" si="75"/>
        <v>2.488425925548654E-3</v>
      </c>
      <c r="N154" s="7"/>
      <c r="O154" s="7"/>
      <c r="P154" s="7"/>
      <c r="Q154" s="22"/>
      <c r="R154" s="174"/>
      <c r="S154" s="221"/>
      <c r="T154" s="174" t="str">
        <f t="shared" si="76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216" t="str">
        <f t="shared" si="77"/>
        <v>https://d0f6bd738d7f1b3e5a7ca70fe4ff75f0.us-east-1.aws.found.io/app/kibana#/discover/Steve-Slow-Train-Analysis-(2080s-and-2083s)?_g=(refreshInterval:(display:Off,pause:!f,section:0,value:0),time:(from:'2017-11-09T22:39:34-0700',mode:absolute,to:'2017-11-10T00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204" t="str">
        <f>IF(AA154&lt;VLOOKUP(AG154,Variables!$AC$3:$AD$8,2,FALSE),"Y","N")</f>
        <v>Y</v>
      </c>
      <c r="X154" s="204">
        <f t="shared" si="103"/>
        <v>0</v>
      </c>
      <c r="Y154" s="204">
        <f t="shared" si="101"/>
        <v>1.9109</v>
      </c>
      <c r="Z154" s="204">
        <f t="shared" si="102"/>
        <v>3.0179</v>
      </c>
      <c r="AA154" s="204">
        <f t="shared" si="78"/>
        <v>1.107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79"/>
        <v>239</v>
      </c>
      <c r="AE154" s="77" t="str">
        <f t="shared" si="80"/>
        <v>aws s3 cp s3://rtdc.mdm.uploadarchive.raw/RTDC4022/ "%USERPROFILE%\AppData\Local\Temp\OnboardLogs"\RTDC4022\2017-11-09 --exclude "*" --recursive --include "*20171109*" &amp; "%USERPROFILE%\Documents\GitHub\mrs-test-scripts\Headless Mode &amp; Sideloading\WalkAndUnGZ.bat" "%USERPROFILE%\AppData\Local\Temp\OnboardLogs"\RTDC4022\2017-11-09 &amp; 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</v>
      </c>
      <c r="AF154" s="74" t="str">
        <f t="shared" si="81"/>
        <v>"C:\Program Files (x86)\AstroGrep\AstroGrep.exe" /e /r /s /spath="%USERPROFILE%\AppData\Local\Temp\OnboardLogs" /stypes="app*4022*20171110*" /stext=" 06:.+((SYSTEM_STATE.+slice.+state.+changed )|(ment ac)|(multiple cpu faults)|(system.+state.+changed )|(\[timeout)|(PRM\|1\|D)|(kpr)|(kdp)|(train st.+moving)|(\|lc)|(penalty))"</v>
      </c>
      <c r="AG154" s="182" t="str">
        <f t="shared" si="82"/>
        <v>EC</v>
      </c>
      <c r="AH154" s="78" t="str">
        <f t="shared" si="92"/>
        <v>"%USERPROFILE%\Documents\GitHub\eaglep3\Utilities\RefineRTDCRunTimes.py" --tripid 239-09 --locoid 4022 --swversion DE.1.0.9.0 --startMP 204:19109 --initTime 2017-11-09T23:39:34 --startdatetime 2017-11-09T23:41:18 --delay 53 --endMP 204:30179 --enddatetime 2017-11-09T23:44:53 --enforcementcount 0 &gt;&gt;%USERPROFILE%\Documents\GitHub\eaglep3-reporting\EC\2017-11-09-refined-times.txt</v>
      </c>
      <c r="AI154" s="96" t="str">
        <f t="shared" si="83"/>
        <v>echo {"issue":{"subject":"","project_id":79,"tracker_id":40,"status_id":1,"priority_id":2,"assigned_to_id":338,"start_date":"2017-11-09","description":"","custom_fields":[{"id":1,"name":"Subdivision","value":"EC"},{"id":4,"name":"Milepost","value":"3.0179"},{"id":17,"name":"Train ID","value":"239-09"},{"id":16,"name":"Locomotive ID","value":"4022"},{"id":130,"name":"Impact","value":""},{"id":150,"name":"Time of Event (Mountain Time)","value":"23:44:53"},{"id":151,"name":"Denver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93"/>
        <v>start /low /b %USERPROFILE%\Documents\GitHub\eaglep3\Utilities\DownloadLogsFromS3.py --loco 4022 --day 2017-11-09</v>
      </c>
      <c r="AN154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4"/>
        <v>https://d0f6bd738d7f1b3e5a7ca70fe4ff75f0.us-east-1.aws.found.io/app/kibana#/discover/Steve-Slow-Train-Analysis-(2080s-and-2083s)?_g=(refreshInterval:(display:Off,pause:!f,section:0,value:0),time:(from:'2017-11-09T22:39:34-0700',mode:absolute,to:'2017-11-10T00:44:53-0700'))&amp;_a=(columns:!('Message%20ID',Summary),filters:!(),index:'emp_*',interval:auto,query:(query_string:(analyze_wildcard:!t,query:'%22rtdc.l.rtdc.4022%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882</v>
      </c>
      <c r="B155" s="7">
        <v>4021</v>
      </c>
      <c r="C155" s="21" t="s">
        <v>192</v>
      </c>
      <c r="D155" s="21" t="s">
        <v>987</v>
      </c>
      <c r="E155" s="13">
        <v>43049.017743055556</v>
      </c>
      <c r="F155" s="13">
        <v>43049.019120370373</v>
      </c>
      <c r="G155" s="7">
        <v>48</v>
      </c>
      <c r="H155" s="21" t="s">
        <v>920</v>
      </c>
      <c r="I155" s="13">
        <v>43049.047662037039</v>
      </c>
      <c r="J155" s="7">
        <v>0</v>
      </c>
      <c r="K155" s="89" t="str">
        <f t="shared" si="74"/>
        <v>4021/4022</v>
      </c>
      <c r="L155" s="185" t="str">
        <f>VLOOKUP(A155,'Trips&amp;Operators'!$C$1:$G$99911,5,FALSE)</f>
        <v>LOZA FIDEL</v>
      </c>
      <c r="M155" s="6">
        <f t="shared" si="75"/>
        <v>2.8541666666569654E-2</v>
      </c>
      <c r="N155" s="7">
        <f t="shared" ref="N155:N185" si="104">24*60*SUM($M155:$M155)</f>
        <v>41.099999999860302</v>
      </c>
      <c r="O155" s="7"/>
      <c r="P155" s="7"/>
      <c r="Q155" s="22"/>
      <c r="R155" s="174"/>
      <c r="S155" s="221">
        <f t="shared" ref="S155:S185" si="105">1/IF(AG155="EC",12,1)*SUM(U155:U155)</f>
        <v>1</v>
      </c>
      <c r="T155" s="174" t="str">
        <f t="shared" si="76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77"/>
        <v>https://d0f6bd738d7f1b3e5a7ca70fe4ff75f0.us-east-1.aws.found.io/app/kibana#/discover/Steve-Slow-Train-Analysis-(2080s-and-2083s)?_g=(refreshInterval:(display:Off,pause:!f,section:0,value:0),time:(from:'2017-11-09T23:25:33-0700',mode:absolute,to:'2017-11-10T02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204" t="str">
        <f>IF(AA155&lt;VLOOKUP(AG155,Variables!$AC$3:$AD$8,2,FALSE),"Y","N")</f>
        <v>N</v>
      </c>
      <c r="X155" s="204">
        <f t="shared" si="103"/>
        <v>1</v>
      </c>
      <c r="Y155" s="204">
        <f t="shared" si="101"/>
        <v>23.295200000000001</v>
      </c>
      <c r="Z155" s="204">
        <f t="shared" si="102"/>
        <v>2.23E-2</v>
      </c>
      <c r="AA155" s="204">
        <f t="shared" si="78"/>
        <v>23.2729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79"/>
        <v>240</v>
      </c>
      <c r="AE155" s="77" t="str">
        <f t="shared" si="80"/>
        <v>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 &amp; aws s3 cp s3://rtdc.mdm.uploadarchive.raw/RTDC4021/ "%USERPROFILE%\AppData\Local\Temp\OnboardLogs"\RTDC4021\2017-11-11 --exclude "*" --recursive --include "*20171111*" &amp; "%USERPROFILE%\Documents\GitHub\mrs-test-scripts\Headless Mode &amp; Sideloading\WalkAndUnGZ.bat" "%USERPROFILE%\AppData\Local\Temp\OnboardLogs"\RTDC4021\2017-11-11</v>
      </c>
      <c r="AF155" s="74" t="str">
        <f t="shared" si="81"/>
        <v>"C:\Program Files (x86)\AstroGrep\AstroGrep.exe" /e /r /s /spath="%USERPROFILE%\AppData\Local\Temp\OnboardLogs" /stypes="app*4021*20171110*" /stext=" 08:.+((SYSTEM_STATE.+slice.+state.+changed )|(ment ac)|(multiple cpu faults)|(system.+state.+changed )|(\[timeout)|(PRM\|1\|D)|(kpr)|(kdp)|(train st.+moving)|(\|lc)|(penalty))"</v>
      </c>
      <c r="AG155" s="182" t="str">
        <f t="shared" si="82"/>
        <v>EC</v>
      </c>
      <c r="AH155" s="78" t="str">
        <f t="shared" si="92"/>
        <v>"%USERPROFILE%\Documents\GitHub\eaglep3\Utilities\RefineRTDCRunTimes.py" --tripid 240-09 --locoid 4021 --swversion DE.1.0.9.0 --startMP 204:232952 --initTime 2017-11-10T00:25:33 --startdatetime 2017-11-10T00:27:32 --delay 48 --endMP 204:223 --enddatetime 2017-11-10T01:08:38 --enforcementcount 0 &gt;&gt;%USERPROFILE%\Documents\GitHub\eaglep3-reporting\EC\2017-11-09-refined-times.txt</v>
      </c>
      <c r="AI155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{"issue":{"subject":"","project_id":79,"tracker_id":40,"status_id":1,"priority_id":2,"assigned_to_id":338,"start_date":"2017-11-10","description":"","custom_fields":[{"id":1,"name":"Subdivision","value":"EC"},{"id":4,"name":"Milepost","value":"0.0223"},{"id":17,"name":"Train ID","value":"240-09"},{"id":16,"name":"Locomotive ID","value":"4021"},{"id":130,"name":"Impact","value":""},{"id":150,"name":"Time of Event (Mountain Time)","value":"01:08:38"},{"id":151,"name":"Denver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93"/>
        <v>start /low /b %USERPROFILE%\Documents\GitHub\eaglep3\Utilities\DownloadLogsFromS3.py --loco 4021 --day 2017-11-10</v>
      </c>
      <c r="AN155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08:08:38"},{"id":29,"name":"Sharepoint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4"/>
        <v>https://d0f6bd738d7f1b3e5a7ca70fe4ff75f0.us-east-1.aws.found.io/app/kibana#/discover/Steve-Slow-Train-Analysis-(2080s-and-2083s)?_g=(refreshInterval:(display:Off,pause:!f,section:0,value:0),time:(from:'2017-11-09T23:25:33-0700',mode:absolute,to:'2017-11-10T02:08:38-0700'))&amp;_a=(columns:!('Message%20ID',Summary),filters:!(),index:'emp_*',interval:auto,query:(query_string:(analyze_wildcard:!t,query:'%22rtdc.l.rtdc.4021%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880</v>
      </c>
      <c r="B156" s="7">
        <v>4014</v>
      </c>
      <c r="C156" s="21" t="s">
        <v>192</v>
      </c>
      <c r="D156" s="21" t="s">
        <v>988</v>
      </c>
      <c r="E156" s="13">
        <v>43048.990798611114</v>
      </c>
      <c r="F156" s="13">
        <v>43049.000138888892</v>
      </c>
      <c r="G156" s="7">
        <v>58</v>
      </c>
      <c r="H156" s="21" t="s">
        <v>614</v>
      </c>
      <c r="I156" s="13">
        <v>43049.02820601852</v>
      </c>
      <c r="J156" s="7">
        <v>0</v>
      </c>
      <c r="K156" s="89" t="str">
        <f t="shared" si="74"/>
        <v>4013/4014</v>
      </c>
      <c r="L156" s="185" t="str">
        <f>VLOOKUP(A156,'Trips&amp;Operators'!$C$1:$G$99911,5,FALSE)</f>
        <v>ELBAUM MIKE</v>
      </c>
      <c r="M156" s="6">
        <f t="shared" si="75"/>
        <v>2.806712962774327E-2</v>
      </c>
      <c r="N156" s="7">
        <f t="shared" si="104"/>
        <v>40.416666663950309</v>
      </c>
      <c r="O156" s="7"/>
      <c r="P156" s="7"/>
      <c r="Q156" s="22"/>
      <c r="R156" s="174"/>
      <c r="S156" s="221">
        <f t="shared" si="105"/>
        <v>1</v>
      </c>
      <c r="T156" s="174" t="str">
        <f t="shared" si="76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77"/>
        <v>https://d0f6bd738d7f1b3e5a7ca70fe4ff75f0.us-east-1.aws.found.io/app/kibana#/discover/Steve-Slow-Train-Analysis-(2080s-and-2083s)?_g=(refreshInterval:(display:Off,pause:!f,section:0,value:0),time:(from:'2017-11-09T22:46:45-0700',mode:absolute,to:'2017-11-10T01:40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204" t="str">
        <f>IF(AA156&lt;VLOOKUP(AG156,Variables!$AC$3:$AD$8,2,FALSE),"Y","N")</f>
        <v>N</v>
      </c>
      <c r="X156" s="204">
        <f t="shared" si="103"/>
        <v>1</v>
      </c>
      <c r="Y156" s="204">
        <f t="shared" si="101"/>
        <v>5.7700000000000001E-2</v>
      </c>
      <c r="Z156" s="204">
        <f t="shared" si="102"/>
        <v>23.326599999999999</v>
      </c>
      <c r="AA156" s="204">
        <f t="shared" si="78"/>
        <v>23.268899999999999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79"/>
        <v>241</v>
      </c>
      <c r="AE156" s="77" t="str">
        <f t="shared" si="80"/>
        <v>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 &amp; aws s3 cp s3://rtdc.mdm.uploadarchive.raw/RTDC4014/ "%USERPROFILE%\AppData\Local\Temp\OnboardLogs"\RTDC4014\2017-11-11 --exclude "*" --recursive --include "*20171111*" &amp; "%USERPROFILE%\Documents\GitHub\mrs-test-scripts\Headless Mode &amp; Sideloading\WalkAndUnGZ.bat" "%USERPROFILE%\AppData\Local\Temp\OnboardLogs"\RTDC4014\2017-11-11</v>
      </c>
      <c r="AF156" s="74" t="str">
        <f t="shared" si="81"/>
        <v>"C:\Program Files (x86)\AstroGrep\AstroGrep.exe" /e /r /s /spath="%USERPROFILE%\AppData\Local\Temp\OnboardLogs" /stypes="app*4014*20171110*" /stext=" 07:.+((SYSTEM_STATE.+slice.+state.+changed )|(ment ac)|(multiple cpu faults)|(system.+state.+changed )|(\[timeout)|(PRM\|1\|D)|(kpr)|(kdp)|(train st.+moving)|(\|lc)|(penalty))"</v>
      </c>
      <c r="AG156" s="182" t="str">
        <f t="shared" si="82"/>
        <v>EC</v>
      </c>
      <c r="AH156" s="78" t="str">
        <f t="shared" si="92"/>
        <v>"%USERPROFILE%\Documents\GitHub\eaglep3\Utilities\RefineRTDCRunTimes.py" --tripid 241-09 --locoid 4014 --swversion DE.1.0.9.0 --startMP 204:577 --initTime 2017-11-09T23:46:45 --startdatetime 2017-11-10T00:00:12 --delay 58 --endMP 204:233266 --enddatetime 2017-11-10T00:40:37 --enforcementcount 0 &gt;&gt;%USERPROFILE%\Documents\GitHub\eaglep3-reporting\EC\2017-11-09-refined-times.txt</v>
      </c>
      <c r="AI156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{"issue":{"subject":"","project_id":79,"tracker_id":40,"status_id":1,"priority_id":2,"assigned_to_id":338,"start_date":"2017-11-10","description":"","custom_fields":[{"id":1,"name":"Subdivision","value":"EC"},{"id":4,"name":"Milepost","value":"23.3266"},{"id":17,"name":"Train ID","value":"241-09"},{"id":16,"name":"Locomotive ID","value":"4014"},{"id":130,"name":"Impact","value":""},{"id":150,"name":"Time of Event (Mountain Time)","value":"00:40:37"},{"id":151,"name":"Denver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93"/>
        <v>start /low /b %USERPROFILE%\Documents\GitHub\eaglep3\Utilities\DownloadLogsFromS3.py --loco 4014 --day 2017-11-10</v>
      </c>
      <c r="AN156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07:40:37"},{"id":29,"name":"Sharepoint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4"/>
        <v>https://d0f6bd738d7f1b3e5a7ca70fe4ff75f0.us-east-1.aws.found.io/app/kibana#/discover/Steve-Slow-Train-Analysis-(2080s-and-2083s)?_g=(refreshInterval:(display:Off,pause:!f,section:0,value:0),time:(from:'2017-11-09T22:46:45-0700',mode:absolute,to:'2017-11-10T01:40:37-0700'))&amp;_a=(columns:!('Message%20ID',Summary),filters:!(),index:'emp_*',interval:auto,query:(query_string:(analyze_wildcard:!t,query:'%22rtdc.l.rtdc.4014%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661</v>
      </c>
      <c r="B157" s="7">
        <v>4013</v>
      </c>
      <c r="C157" s="21" t="s">
        <v>192</v>
      </c>
      <c r="D157" s="21" t="s">
        <v>988</v>
      </c>
      <c r="E157" s="13">
        <v>43048.990798611114</v>
      </c>
      <c r="F157" s="13">
        <v>43049.039733796293</v>
      </c>
      <c r="G157" s="7">
        <v>58</v>
      </c>
      <c r="H157" s="21" t="s">
        <v>614</v>
      </c>
      <c r="I157" s="13">
        <v>43049.060833333337</v>
      </c>
      <c r="J157" s="7">
        <v>0</v>
      </c>
      <c r="K157" s="89" t="str">
        <f t="shared" si="74"/>
        <v>4013/4014</v>
      </c>
      <c r="L157" s="185" t="str">
        <f>VLOOKUP(A157,'Trips&amp;Operators'!$C$1:$G$99911,5,FALSE)</f>
        <v>ELBAUM MIKE</v>
      </c>
      <c r="M157" s="6">
        <f t="shared" si="75"/>
        <v>2.1099537043482997E-2</v>
      </c>
      <c r="N157" s="7">
        <f t="shared" si="104"/>
        <v>30.383333342615515</v>
      </c>
      <c r="O157" s="7"/>
      <c r="P157" s="7"/>
      <c r="Q157" s="22"/>
      <c r="R157" s="174"/>
      <c r="S157" s="221">
        <f t="shared" si="105"/>
        <v>1</v>
      </c>
      <c r="T157" s="174" t="str">
        <f t="shared" si="76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77"/>
        <v>https://d0f6bd738d7f1b3e5a7ca70fe4ff75f0.us-east-1.aws.found.io/app/kibana#/discover/Steve-Slow-Train-Analysis-(2080s-and-2083s)?_g=(refreshInterval:(display:Off,pause:!f,section:0,value:0),time:(from:'2017-11-09T22:46:45-0700',mode:absolute,to:'2017-11-10T02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204" t="str">
        <f>IF(AA157&lt;VLOOKUP(AG157,Variables!$AC$3:$AD$8,2,FALSE),"Y","N")</f>
        <v>N</v>
      </c>
      <c r="X157" s="204">
        <f t="shared" si="103"/>
        <v>1</v>
      </c>
      <c r="Y157" s="204">
        <v>23.295200000000001</v>
      </c>
      <c r="Z157" s="204">
        <v>2.23E-2</v>
      </c>
      <c r="AA157" s="204">
        <f t="shared" si="78"/>
        <v>23.2729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79"/>
        <v>242</v>
      </c>
      <c r="AE157" s="77" t="str">
        <f t="shared" si="80"/>
        <v>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 &amp; aws s3 cp s3://rtdc.mdm.uploadarchive.raw/RTDC4013/ "%USERPROFILE%\AppData\Local\Temp\OnboardLogs"\RTDC4013\2017-11-11 --exclude "*" --recursive --include "*20171111*" &amp; "%USERPROFILE%\Documents\GitHub\mrs-test-scripts\Headless Mode &amp; Sideloading\WalkAndUnGZ.bat" "%USERPROFILE%\AppData\Local\Temp\OnboardLogs"\RTDC4013\2017-11-11</v>
      </c>
      <c r="AF157" s="74" t="str">
        <f t="shared" si="81"/>
        <v>"C:\Program Files (x86)\AstroGrep\AstroGrep.exe" /e /r /s /spath="%USERPROFILE%\AppData\Local\Temp\OnboardLogs" /stypes="app*4013*20171110*" /stext=" 08:.+((SYSTEM_STATE.+slice.+state.+changed )|(ment ac)|(multiple cpu faults)|(system.+state.+changed )|(\[timeout)|(PRM\|1\|D)|(kpr)|(kdp)|(train st.+moving)|(\|lc)|(penalty))"</v>
      </c>
      <c r="AG157" s="182" t="str">
        <f t="shared" si="82"/>
        <v>EC</v>
      </c>
      <c r="AH157" s="78" t="str">
        <f t="shared" ref="AH157" si="106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242-09 --locoid 4013 --swversion DE.1.0.9.0 --startMP 204:577 --initTime 2017-11-09T23:46:45 --startdatetime 2017-11-10T00:57:13 --delay 58 --endMP 204:233266 --enddatetime 2017-11-10T01:27:36 --enforcementcount 0 &gt;&gt;%USERPROFILE%\Documents\GitHub\eaglep3-reporting\EC\2017-11-09-refined-times.txt</v>
      </c>
      <c r="AI157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{"issue":{"subject":"","project_id":79,"tracker_id":40,"status_id":1,"priority_id":2,"assigned_to_id":338,"start_date":"2017-11-10","description":"","custom_fields":[{"id":1,"name":"Subdivision","value":"EC"},{"id":4,"name":"Milepost","value":"0.0223"},{"id":17,"name":"Train ID","value":"242-09"},{"id":16,"name":"Locomotive ID","value":"4013"},{"id":130,"name":"Impact","value":""},{"id":150,"name":"Time of Event (Mountain Time)","value":"01:27:36"},{"id":151,"name":"Denver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ref="AM157" si="107">"start /low /b "&amp;dls3logs&amp;" --loco "&amp;B157&amp;" --day "&amp;TEXT(F157,"YYYY-MM-DD")</f>
        <v>start /low /b %USERPROFILE%\Documents\GitHub\eaglep3\Utilities\DownloadLogsFromS3.py --loco 4013 --day 2017-11-10</v>
      </c>
      <c r="AN157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08:27:36"},{"id":29,"name":"Sharepoint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108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-09T22:46:45-0700',mode:absolute,to:'2017-11-10T02:27:36-0700'))&amp;_a=(columns:!('Message%20ID',Summary),filters:!(),index:'emp_*',interval:auto,query:(query_string:(analyze_wildcard:!t,query:'%22rtdc.l.rtdc.4013%22')),sort:!(Time.ISO8601,asc))</v>
      </c>
    </row>
    <row r="158" spans="1:91" s="20" customFormat="1" x14ac:dyDescent="0.25">
      <c r="A158" s="32" t="s">
        <v>659</v>
      </c>
      <c r="B158" s="7">
        <v>4024</v>
      </c>
      <c r="C158" s="21" t="s">
        <v>192</v>
      </c>
      <c r="D158" s="21" t="s">
        <v>611</v>
      </c>
      <c r="E158" s="13">
        <v>43049.011365740742</v>
      </c>
      <c r="F158" s="13">
        <v>43049.021087962959</v>
      </c>
      <c r="G158" s="7">
        <v>73</v>
      </c>
      <c r="H158" s="21" t="s">
        <v>989</v>
      </c>
      <c r="I158" s="13">
        <v>43049.048171296294</v>
      </c>
      <c r="J158" s="7">
        <v>0</v>
      </c>
      <c r="K158" s="89" t="str">
        <f t="shared" si="74"/>
        <v>4023/4024</v>
      </c>
      <c r="L158" s="185" t="str">
        <f>VLOOKUP(A158,'Trips&amp;Operators'!$C$1:$G$99911,5,FALSE)</f>
        <v>NICHOLSON WESLEY</v>
      </c>
      <c r="M158" s="6">
        <f t="shared" si="75"/>
        <v>2.7083333334303461E-2</v>
      </c>
      <c r="N158" s="7">
        <f t="shared" si="104"/>
        <v>39.000000001396984</v>
      </c>
      <c r="O158" s="7"/>
      <c r="P158" s="7"/>
      <c r="Q158" s="22"/>
      <c r="R158" s="174"/>
      <c r="S158" s="221">
        <f t="shared" si="105"/>
        <v>1</v>
      </c>
      <c r="T158" s="174" t="str">
        <f t="shared" si="76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77"/>
        <v>https://d0f6bd738d7f1b3e5a7ca70fe4ff75f0.us-east-1.aws.found.io/app/kibana#/discover/Steve-Slow-Train-Analysis-(2080s-and-2083s)?_g=(refreshInterval:(display:Off,pause:!f,section:0,value:0),time:(from:'2017-11-09T23:16:22-0700',mode:absolute,to:'2017-11-10T02:09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8" s="204" t="str">
        <f>IF(AA158&lt;VLOOKUP(AG158,Variables!$AC$3:$AD$8,2,FALSE),"Y","N")</f>
        <v>N</v>
      </c>
      <c r="X158" s="204">
        <f t="shared" ref="X158:X162" si="109">VALUE(LEFT(AD158,4))-VALUE(LEFT(AD157,4))</f>
        <v>1</v>
      </c>
      <c r="Y158" s="204">
        <f t="shared" ref="Y158:Y188" si="110">RIGHT(D158,LEN(D158)-4)/10000</f>
        <v>5.2600000000000001E-2</v>
      </c>
      <c r="Z158" s="204">
        <f t="shared" ref="Z158:Z188" si="111">RIGHT(H158,LEN(H158)-4)/10000</f>
        <v>23.317399999999999</v>
      </c>
      <c r="AA158" s="204">
        <f t="shared" si="78"/>
        <v>23.264799999999997</v>
      </c>
      <c r="AB158" s="54" t="str">
        <f>VLOOKUP(A158,Enforcements!$C$7:$K$9,8,0)</f>
        <v>Bulletin (2)</v>
      </c>
      <c r="AC158" s="51" t="str">
        <f>VLOOKUP(A158,Enforcements!$C$7:$E$9,3,0)</f>
        <v>GRADE CROSSING</v>
      </c>
      <c r="AD158" s="179">
        <f t="shared" si="79"/>
        <v>243</v>
      </c>
      <c r="AE158" s="77" t="str">
        <f t="shared" si="80"/>
        <v>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 &amp; aws s3 cp s3://rtdc.mdm.uploadarchive.raw/RTDC4024/ "%USERPROFILE%\AppData\Local\Temp\OnboardLogs"\RTDC4024\2017-11-11 --exclude "*" --recursive --include "*20171111*" &amp; "%USERPROFILE%\Documents\GitHub\mrs-test-scripts\Headless Mode &amp; Sideloading\WalkAndUnGZ.bat" "%USERPROFILE%\AppData\Local\Temp\OnboardLogs"\RTDC4024\2017-11-11</v>
      </c>
      <c r="AF158" s="74" t="str">
        <f t="shared" si="81"/>
        <v>"C:\Program Files (x86)\AstroGrep\AstroGrep.exe" /e /r /s /spath="%USERPROFILE%\AppData\Local\Temp\OnboardLogs" /stypes="app*4024*20171110*" /stext=" 08:.+((SYSTEM_STATE.+slice.+state.+changed )|(ment ac)|(multiple cpu faults)|(system.+state.+changed )|(\[timeout)|(PRM\|1\|D)|(kpr)|(kdp)|(train st.+moving)|(\|lc)|(penalty))"</v>
      </c>
      <c r="AG158" s="182" t="str">
        <f t="shared" si="82"/>
        <v>EC</v>
      </c>
      <c r="AH158" s="78" t="str">
        <f t="shared" si="92"/>
        <v>"%USERPROFILE%\Documents\GitHub\eaglep3\Utilities\RefineRTDCRunTimes.py" --tripid 243-09 --locoid 4024 --swversion DE.1.0.9.0 --startMP 204:526 --initTime 2017-11-10T00:16:22 --startdatetime 2017-11-10T00:30:22 --delay 73 --endMP 204:233174 --enddatetime 2017-11-10T01:09:22 --enforcementcount 0 &gt;&gt;%USERPROFILE%\Documents\GitHub\eaglep3-reporting\EC\2017-11-09-refined-times.txt</v>
      </c>
      <c r="AI158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{"issue":{"subject":"","project_id":79,"tracker_id":40,"status_id":1,"priority_id":2,"assigned_to_id":338,"start_date":"2017-11-10","description":"","custom_fields":[{"id":1,"name":"Subdivision","value":"EC"},{"id":4,"name":"Milepost","value":"23.3174"},{"id":17,"name":"Train ID","value":"243-09"},{"id":16,"name":"Locomotive ID","value":"4024"},{"id":130,"name":"Impact","value":""},{"id":150,"name":"Time of Event (Mountain Time)","value":"01:09:22"},{"id":151,"name":"Denver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93"/>
        <v>start /low /b %USERPROFILE%\Documents\GitHub\eaglep3\Utilities\DownloadLogsFromS3.py --loco 4024 --day 2017-11-10</v>
      </c>
      <c r="AN158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08:09:22"},{"id":29,"name":"Sharepoint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4"/>
        <v>https://d0f6bd738d7f1b3e5a7ca70fe4ff75f0.us-east-1.aws.found.io/app/kibana#/discover/Steve-Slow-Train-Analysis-(2080s-and-2083s)?_g=(refreshInterval:(display:Off,pause:!f,section:0,value:0),time:(from:'2017-11-09T23:16:22-0700',mode:absolute,to:'2017-11-10T02:09:22-0700'))&amp;_a=(columns:!('Message%20ID',Summary),filters:!(),index:'emp_*',interval:auto,query:(query_string:(analyze_wildcard:!t,query:'%22rtdc.l.rtdc.4024%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884</v>
      </c>
      <c r="B159" s="7">
        <v>4023</v>
      </c>
      <c r="C159" s="21" t="s">
        <v>192</v>
      </c>
      <c r="D159" s="21" t="s">
        <v>611</v>
      </c>
      <c r="E159" s="13">
        <v>43049.011365740742</v>
      </c>
      <c r="F159" s="13">
        <v>43049.060810185183</v>
      </c>
      <c r="G159" s="7">
        <v>73</v>
      </c>
      <c r="H159" s="21" t="s">
        <v>989</v>
      </c>
      <c r="I159" s="13">
        <v>43049.089513888888</v>
      </c>
      <c r="J159" s="7">
        <v>0</v>
      </c>
      <c r="K159" s="89" t="str">
        <f t="shared" si="74"/>
        <v>4023/4024</v>
      </c>
      <c r="L159" s="185" t="str">
        <f>VLOOKUP(A159,'Trips&amp;Operators'!$C$1:$G$99911,5,FALSE)</f>
        <v>NICHOLSON WESLEY</v>
      </c>
      <c r="M159" s="6">
        <f t="shared" si="75"/>
        <v>2.8703703705104999E-2</v>
      </c>
      <c r="N159" s="7">
        <f t="shared" si="104"/>
        <v>41.333333335351199</v>
      </c>
      <c r="O159" s="7"/>
      <c r="P159" s="7"/>
      <c r="Q159" s="22"/>
      <c r="R159" s="174"/>
      <c r="S159" s="221">
        <f t="shared" si="105"/>
        <v>0</v>
      </c>
      <c r="T159" s="174" t="str">
        <f t="shared" si="76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16" t="str">
        <f t="shared" si="77"/>
        <v>https://d0f6bd738d7f1b3e5a7ca70fe4ff75f0.us-east-1.aws.found.io/app/kibana#/discover/Steve-Slow-Train-Analysis-(2080s-and-2083s)?_g=(refreshInterval:(display:Off,pause:!f,section:0,value:0),time:(from:'2017-11-09T23:16:22-0700',mode:absolute,to:'2017-11-10T03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204" t="str">
        <f>IF(AA159&lt;VLOOKUP(AG159,Variables!$AC$3:$AD$8,2,FALSE),"Y","N")</f>
        <v>N</v>
      </c>
      <c r="X159" s="204">
        <f t="shared" si="109"/>
        <v>1</v>
      </c>
      <c r="Y159" s="204">
        <f t="shared" si="110"/>
        <v>5.2600000000000001E-2</v>
      </c>
      <c r="Z159" s="204">
        <f t="shared" si="111"/>
        <v>23.317399999999999</v>
      </c>
      <c r="AA159" s="204">
        <f t="shared" si="78"/>
        <v>23.264799999999997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79"/>
        <v>244</v>
      </c>
      <c r="AE159" s="77" t="str">
        <f t="shared" si="80"/>
        <v>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 &amp; aws s3 cp s3://rtdc.mdm.uploadarchive.raw/RTDC4023/ "%USERPROFILE%\AppData\Local\Temp\OnboardLogs"\RTDC4023\2017-11-11 --exclude "*" --recursive --include "*20171111*" &amp; "%USERPROFILE%\Documents\GitHub\mrs-test-scripts\Headless Mode &amp; Sideloading\WalkAndUnGZ.bat" "%USERPROFILE%\AppData\Local\Temp\OnboardLogs"\RTDC4023\2017-11-11</v>
      </c>
      <c r="AF159" s="74" t="str">
        <f t="shared" si="81"/>
        <v>"C:\Program Files (x86)\AstroGrep\AstroGrep.exe" /e /r /s /spath="%USERPROFILE%\AppData\Local\Temp\OnboardLogs" /stypes="app*4023*20171110*" /stext=" 09:.+((SYSTEM_STATE.+slice.+state.+changed )|(ment ac)|(multiple cpu faults)|(system.+state.+changed )|(\[timeout)|(PRM\|1\|D)|(kpr)|(kdp)|(train st.+moving)|(\|lc)|(penalty))"</v>
      </c>
      <c r="AG159" s="182" t="str">
        <f t="shared" si="82"/>
        <v>EC</v>
      </c>
      <c r="AH159" s="78" t="str">
        <f t="shared" ref="AH159" si="112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244-09 --locoid 4023 --swversion DE.1.0.9.0 --startMP 204:526 --initTime 2017-11-10T00:16:22 --startdatetime 2017-11-10T01:27:34 --delay 73 --endMP 204:233174 --enddatetime 2017-11-10T02:08:54 --enforcementcount 0 &gt;&gt;%USERPROFILE%\Documents\GitHub\eaglep3-reporting\EC\2017-11-09-refined-times.txt</v>
      </c>
      <c r="AI159" s="96" t="str">
        <f t="shared" si="83"/>
        <v>echo {"issue":{"subject":"","project_id":79,"tracker_id":40,"status_id":1,"priority_id":2,"assigned_to_id":338,"start_date":"2017-11-10","description":"","custom_fields":[{"id":1,"name":"Subdivision","value":"EC"},{"id":4,"name":"Milepost","value":"23.3174"},{"id":17,"name":"Train ID","value":"244-09"},{"id":16,"name":"Locomotive ID","value":"4023"},{"id":130,"name":"Impact","value":""},{"id":150,"name":"Time of Event (Mountain Time)","value":"02:08:54"},{"id":151,"name":"Denver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113">"start /low /b "&amp;dls3logs&amp;" --loco "&amp;B159&amp;" --day "&amp;TEXT(F159,"YYYY-MM-DD")</f>
        <v>start /low /b %USERPROFILE%\Documents\GitHub\eaglep3\Utilities\DownloadLogsFromS3.py --loco 4023 --day 2017-11-10</v>
      </c>
      <c r="AN159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09:08:54"},{"id":29,"name":"Sharepoint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114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-09T23:16:22-0700',mode:absolute,to:'2017-11-10T03:08:54-0700'))&amp;_a=(columns:!('Message%20ID',Summary),filters:!(),index:'emp_*',interval:auto,query:(query_string:(analyze_wildcard:!t,query:'%22rtdc.l.rtdc.4023%22')),sort:!(Time.ISO8601,asc))</v>
      </c>
    </row>
    <row r="160" spans="1:91" s="20" customFormat="1" x14ac:dyDescent="0.25">
      <c r="A160" s="32" t="s">
        <v>688</v>
      </c>
      <c r="B160" s="7">
        <v>4053</v>
      </c>
      <c r="C160" s="21" t="s">
        <v>192</v>
      </c>
      <c r="D160" s="21" t="s">
        <v>1020</v>
      </c>
      <c r="E160" s="13">
        <v>43048.215555555558</v>
      </c>
      <c r="F160" s="13">
        <v>43048.217546296299</v>
      </c>
      <c r="G160" s="7">
        <v>69</v>
      </c>
      <c r="H160" s="21" t="s">
        <v>1021</v>
      </c>
      <c r="I160" s="13">
        <v>43048.227696759262</v>
      </c>
      <c r="J160" s="7">
        <v>0</v>
      </c>
      <c r="K160" s="89" t="str">
        <f t="shared" si="74"/>
        <v>4053/4054</v>
      </c>
      <c r="L160" s="185" t="str">
        <f>VLOOKUP(A160,'Trips&amp;Operators'!$C$1:$G$99911,5,FALSE)</f>
        <v>HUFFSMITH MONTY</v>
      </c>
      <c r="M160" s="6">
        <f t="shared" si="75"/>
        <v>1.0150462963792961E-2</v>
      </c>
      <c r="N160" s="7">
        <f t="shared" si="104"/>
        <v>14.616666667861864</v>
      </c>
      <c r="O160" s="7"/>
      <c r="P160" s="7"/>
      <c r="Q160" s="22"/>
      <c r="R160" s="174"/>
      <c r="S160" s="221">
        <f t="shared" si="105"/>
        <v>1</v>
      </c>
      <c r="T160" s="174" t="str">
        <f t="shared" si="76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77"/>
        <v>https://d0f6bd738d7f1b3e5a7ca70fe4ff75f0.us-east-1.aws.found.io/app/kibana#/discover/Steve-Slow-Train-Analysis-(2080s-and-2083s)?_g=(refreshInterval:(display:Off,pause:!f,section:0,value:0),time:(from:'2017-11-09T04:10:24-0700',mode:absolute,to:'2017-11-09T06:27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0" s="204" t="str">
        <f>IF(AA160&lt;VLOOKUP(AG160,Variables!$AC$3:$AD$8,2,FALSE),"Y","N")</f>
        <v>N</v>
      </c>
      <c r="X160" s="204">
        <f t="shared" si="109"/>
        <v>556</v>
      </c>
      <c r="Y160" s="204">
        <f t="shared" si="110"/>
        <v>5.8655999999999997</v>
      </c>
      <c r="Z160" s="204">
        <f t="shared" si="111"/>
        <v>6.8699999999999997E-2</v>
      </c>
      <c r="AA160" s="204">
        <f t="shared" si="78"/>
        <v>5.7968999999999999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79"/>
        <v>800</v>
      </c>
      <c r="AE160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60" s="74" t="str">
        <f t="shared" si="81"/>
        <v>"C:\Program Files (x86)\AstroGrep\AstroGrep.exe" /e /r /s /spath="%USERPROFILE%\AppData\Local\Temp\OnboardLogs" /stypes="app*4053*20171109*" /stext=" 12:.+((SYSTEM_STATE.+slice.+state.+changed )|(ment ac)|(multiple cpu faults)|(system.+state.+changed )|(\[timeout)|(PRM\|1\|D)|(kpr)|(kdp)|(train st.+moving)|(\|lc)|(penalty))"</v>
      </c>
      <c r="AG160" s="182" t="str">
        <f t="shared" si="82"/>
        <v>NW</v>
      </c>
      <c r="AH160" s="78" t="str">
        <f t="shared" si="92"/>
        <v>"%USERPROFILE%\Documents\GitHub\eaglep3\Utilities\RefineRTDCRunTimes.py" --tripid 800-09 --locoid 4053 --swversion DE.1.0.9.0 --startMP 300:58656 --initTime 2017-11-09T05:10:24 --startdatetime 2017-11-09T05:13:16 --delay 69 --endMP 204:687 --enddatetime 2017-11-09T05:27:53 --enforcementcount 0 &gt;&gt;%USERPROFILE%\Documents\GitHub\eaglep3-reporting\EC\2017-11-09-refined-times.txt</v>
      </c>
      <c r="AI160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{"issue":{"subject":"","project_id":79,"tracker_id":40,"status_id":1,"priority_id":2,"assigned_to_id":338,"start_date":"2017-11-09","description":"","custom_fields":[{"id":1,"name":"Subdivision","value":"NW"},{"id":4,"name":"Milepost","value":"0.0687"},{"id":17,"name":"Train ID","value":"800-09"},{"id":16,"name":"Locomotive ID","value":"4053"},{"id":130,"name":"Impact","value":""},{"id":150,"name":"Time of Event (Mountain Time)","value":"05:27:53"},{"id":151,"name":"Denver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93"/>
        <v>start /low /b %USERPROFILE%\Documents\GitHub\eaglep3\Utilities\DownloadLogsFromS3.py --loco 4053 --day 2017-11-09</v>
      </c>
      <c r="AN160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12:27:53"},{"id":29,"name":"Sharepoint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4"/>
        <v>https://d0f6bd738d7f1b3e5a7ca70fe4ff75f0.us-east-1.aws.found.io/app/kibana#/discover/Steve-Slow-Train-Analysis-(2080s-and-2083s)?_g=(refreshInterval:(display:Off,pause:!f,section:0,value:0),time:(from:'2017-11-09T04:10:24-0700',mode:absolute,to:'2017-11-09T06:27:53-0700'))&amp;_a=(columns:!('Message%20ID',Summary),filters:!(),index:'emp_*',interval:auto,query:(query_string:(analyze_wildcard:!t,query:'%22rtdc.l.rtdc.4053%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692</v>
      </c>
      <c r="B161" s="7">
        <v>4054</v>
      </c>
      <c r="C161" s="21" t="s">
        <v>192</v>
      </c>
      <c r="D161" s="21" t="s">
        <v>1022</v>
      </c>
      <c r="E161" s="13">
        <v>43048.229884259257</v>
      </c>
      <c r="F161" s="13">
        <v>43048.235972222225</v>
      </c>
      <c r="G161" s="7">
        <v>55</v>
      </c>
      <c r="H161" s="21" t="s">
        <v>1023</v>
      </c>
      <c r="I161" s="13">
        <v>43048.245891203704</v>
      </c>
      <c r="J161" s="7">
        <v>0</v>
      </c>
      <c r="K161" s="89" t="str">
        <f t="shared" si="74"/>
        <v>4053/4054</v>
      </c>
      <c r="L161" s="185" t="str">
        <f>VLOOKUP(A161,'Trips&amp;Operators'!$C$1:$G$99911,5,FALSE)</f>
        <v>HUFFSMITH MONTY</v>
      </c>
      <c r="M161" s="6">
        <f t="shared" si="75"/>
        <v>9.9189814791316167E-3</v>
      </c>
      <c r="N161" s="7">
        <f t="shared" si="104"/>
        <v>14.283333329949528</v>
      </c>
      <c r="O161" s="7"/>
      <c r="P161" s="7"/>
      <c r="Q161" s="22"/>
      <c r="R161" s="174"/>
      <c r="S161" s="221">
        <f t="shared" si="105"/>
        <v>1</v>
      </c>
      <c r="T161" s="174" t="str">
        <f t="shared" si="76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77"/>
        <v>https://d0f6bd738d7f1b3e5a7ca70fe4ff75f0.us-east-1.aws.found.io/app/kibana#/discover/Steve-Slow-Train-Analysis-(2080s-and-2083s)?_g=(refreshInterval:(display:Off,pause:!f,section:0,value:0),time:(from:'2017-11-09T04:31:02-0700',mode:absolute,to:'2017-11-09T06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204" t="str">
        <f>IF(AA161&lt;VLOOKUP(AG161,Variables!$AC$3:$AD$8,2,FALSE),"Y","N")</f>
        <v>N</v>
      </c>
      <c r="X161" s="204">
        <f t="shared" si="109"/>
        <v>1</v>
      </c>
      <c r="Y161" s="204">
        <f t="shared" si="110"/>
        <v>0.1399</v>
      </c>
      <c r="Z161" s="204">
        <f t="shared" si="111"/>
        <v>5.8978000000000002</v>
      </c>
      <c r="AA161" s="204">
        <f t="shared" si="78"/>
        <v>5.7579000000000002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79"/>
        <v>801</v>
      </c>
      <c r="AE161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61" s="74" t="str">
        <f t="shared" si="81"/>
        <v>"C:\Program Files (x86)\AstroGrep\AstroGrep.exe" /e /r /s /spath="%USERPROFILE%\AppData\Local\Temp\OnboardLogs" /stypes="app*4054*20171109*" /stext=" 12:.+((SYSTEM_STATE.+slice.+state.+changed )|(ment ac)|(multiple cpu faults)|(system.+state.+changed )|(\[timeout)|(PRM\|1\|D)|(kpr)|(kdp)|(train st.+moving)|(\|lc)|(penalty))"</v>
      </c>
      <c r="AG161" s="182" t="str">
        <f t="shared" si="82"/>
        <v>NW</v>
      </c>
      <c r="AH161" s="78" t="str">
        <f t="shared" si="92"/>
        <v>"%USERPROFILE%\Documents\GitHub\eaglep3\Utilities\RefineRTDCRunTimes.py" --tripid 801-09 --locoid 4054 --swversion DE.1.0.9.0 --startMP 204:1399 --initTime 2017-11-09T05:31:02 --startdatetime 2017-11-09T05:39:48 --delay 55 --endMP 300:58978 --enddatetime 2017-11-09T05:54:05 --enforcementcount 0 &gt;&gt;%USERPROFILE%\Documents\GitHub\eaglep3-reporting\EC\2017-11-09-refined-times.txt</v>
      </c>
      <c r="AI161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{"issue":{"subject":"","project_id":79,"tracker_id":40,"status_id":1,"priority_id":2,"assigned_to_id":338,"start_date":"2017-11-09","description":"","custom_fields":[{"id":1,"name":"Subdivision","value":"NW"},{"id":4,"name":"Milepost","value":"5.8978"},{"id":17,"name":"Train ID","value":"801-09"},{"id":16,"name":"Locomotive ID","value":"4054"},{"id":130,"name":"Impact","value":""},{"id":150,"name":"Time of Event (Mountain Time)","value":"05:54:05"},{"id":151,"name":"Denver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93"/>
        <v>start /low /b %USERPROFILE%\Documents\GitHub\eaglep3\Utilities\DownloadLogsFromS3.py --loco 4054 --day 2017-11-09</v>
      </c>
      <c r="AN161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4"/>
        <v>https://d0f6bd738d7f1b3e5a7ca70fe4ff75f0.us-east-1.aws.found.io/app/kibana#/discover/Steve-Slow-Train-Analysis-(2080s-and-2083s)?_g=(refreshInterval:(display:Off,pause:!f,section:0,value:0),time:(from:'2017-11-09T04:31:02-0700',mode:absolute,to:'2017-11-09T06:54:05-0700'))&amp;_a=(columns:!('Message%20ID',Summary),filters:!(),index:'emp_*',interval:auto,query:(query_string:(analyze_wildcard:!t,query:'%22rtdc.l.rtdc.4054%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700</v>
      </c>
      <c r="B162" s="7">
        <v>4053</v>
      </c>
      <c r="C162" s="21" t="s">
        <v>192</v>
      </c>
      <c r="D162" s="21" t="s">
        <v>536</v>
      </c>
      <c r="E162" s="13">
        <v>43048.247106481482</v>
      </c>
      <c r="F162" s="13">
        <v>43048.259097222224</v>
      </c>
      <c r="G162" s="7">
        <v>67</v>
      </c>
      <c r="H162" s="21" t="s">
        <v>1024</v>
      </c>
      <c r="I162" s="13">
        <v>43048.267442129632</v>
      </c>
      <c r="J162" s="7">
        <v>0</v>
      </c>
      <c r="K162" s="89" t="str">
        <f t="shared" si="74"/>
        <v>4053/4054</v>
      </c>
      <c r="L162" s="185" t="str">
        <f>VLOOKUP(A162,'Trips&amp;Operators'!$C$1:$G$99911,5,FALSE)</f>
        <v>HUFFSMITH MONTY</v>
      </c>
      <c r="M162" s="6">
        <f t="shared" si="75"/>
        <v>8.3449074081727304E-3</v>
      </c>
      <c r="N162" s="7">
        <f t="shared" si="104"/>
        <v>12.016666667768732</v>
      </c>
      <c r="O162" s="7"/>
      <c r="P162" s="7"/>
      <c r="Q162" s="22"/>
      <c r="R162" s="174"/>
      <c r="S162" s="221">
        <f t="shared" si="105"/>
        <v>1</v>
      </c>
      <c r="T162" s="174" t="str">
        <f t="shared" si="7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77"/>
        <v>https://d0f6bd738d7f1b3e5a7ca70fe4ff75f0.us-east-1.aws.found.io/app/kibana#/discover/Steve-Slow-Train-Analysis-(2080s-and-2083s)?_g=(refreshInterval:(display:Off,pause:!f,section:0,value:0),time:(from:'2017-11-09T04:55:50-0700',mode:absolute,to:'2017-11-09T07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204" t="str">
        <f>IF(AA162&lt;VLOOKUP(AG162,Variables!$AC$3:$AD$8,2,FALSE),"Y","N")</f>
        <v>N</v>
      </c>
      <c r="X162" s="204">
        <f t="shared" si="109"/>
        <v>1</v>
      </c>
      <c r="Y162" s="204">
        <f t="shared" si="110"/>
        <v>5.8666</v>
      </c>
      <c r="Z162" s="204">
        <f t="shared" si="111"/>
        <v>7.1900000000000006E-2</v>
      </c>
      <c r="AA162" s="204">
        <f t="shared" si="78"/>
        <v>5.7946999999999997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79"/>
        <v>802</v>
      </c>
      <c r="AE162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62" s="74" t="str">
        <f t="shared" si="81"/>
        <v>"C:\Program Files (x86)\AstroGrep\AstroGrep.exe" /e /r /s /spath="%USERPROFILE%\AppData\Local\Temp\OnboardLogs" /stypes="app*4053*20171109*" /stext=" 13:.+((SYSTEM_STATE.+slice.+state.+changed )|(ment ac)|(multiple cpu faults)|(system.+state.+changed )|(\[timeout)|(PRM\|1\|D)|(kpr)|(kdp)|(train st.+moving)|(\|lc)|(penalty))"</v>
      </c>
      <c r="AG162" s="182" t="str">
        <f t="shared" si="82"/>
        <v>NW</v>
      </c>
      <c r="AH162" s="78" t="str">
        <f t="shared" si="92"/>
        <v>"%USERPROFILE%\Documents\GitHub\eaglep3\Utilities\RefineRTDCRunTimes.py" --tripid 802-09 --locoid 4053 --swversion DE.1.0.9.0 --startMP 300:58666 --initTime 2017-11-09T05:55:50 --startdatetime 2017-11-09T06:13:06 --delay 67 --endMP 204:719 --enddatetime 2017-11-09T06:25:07 --enforcementcount 0 &gt;&gt;%USERPROFILE%\Documents\GitHub\eaglep3-reporting\EC\2017-11-09-refined-times.txt</v>
      </c>
      <c r="AI162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{"issue":{"subject":"","project_id":79,"tracker_id":40,"status_id":1,"priority_id":2,"assigned_to_id":338,"start_date":"2017-11-09","description":"","custom_fields":[{"id":1,"name":"Subdivision","value":"NW"},{"id":4,"name":"Milepost","value":"0.0719"},{"id":17,"name":"Train ID","value":"802-09"},{"id":16,"name":"Locomotive ID","value":"4053"},{"id":130,"name":"Impact","value":""},{"id":150,"name":"Time of Event (Mountain Time)","value":"06:25:07"},{"id":151,"name":"Denver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93"/>
        <v>start /low /b %USERPROFILE%\Documents\GitHub\eaglep3\Utilities\DownloadLogsFromS3.py --loco 4053 --day 2017-11-09</v>
      </c>
      <c r="AN162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4"/>
        <v>https://d0f6bd738d7f1b3e5a7ca70fe4ff75f0.us-east-1.aws.found.io/app/kibana#/discover/Steve-Slow-Train-Analysis-(2080s-and-2083s)?_g=(refreshInterval:(display:Off,pause:!f,section:0,value:0),time:(from:'2017-11-09T04:55:50-0700',mode:absolute,to:'2017-11-09T07:25:07-0700'))&amp;_a=(columns:!('Message%20ID',Summary),filters:!(),index:'emp_*',interval:auto,query:(query_string:(analyze_wildcard:!t,query:'%22rtdc.l.rtdc.4053%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699</v>
      </c>
      <c r="B163" s="7">
        <v>4016</v>
      </c>
      <c r="C163" s="21" t="s">
        <v>192</v>
      </c>
      <c r="D163" s="21" t="s">
        <v>1025</v>
      </c>
      <c r="E163" s="13">
        <v>43048.246793981481</v>
      </c>
      <c r="F163" s="13">
        <v>43048.256469907406</v>
      </c>
      <c r="G163" s="7">
        <v>64</v>
      </c>
      <c r="H163" s="21" t="s">
        <v>1026</v>
      </c>
      <c r="I163" s="13">
        <v>43048.267430555556</v>
      </c>
      <c r="J163" s="7">
        <v>0</v>
      </c>
      <c r="K163" s="89" t="str">
        <f t="shared" si="74"/>
        <v>4015/4016</v>
      </c>
      <c r="L163" s="185" t="str">
        <f>VLOOKUP(A163,'Trips&amp;Operators'!$C$1:$G$99911,5,FALSE)</f>
        <v>FORTUNATO FRANK</v>
      </c>
      <c r="M163" s="6">
        <f t="shared" si="75"/>
        <v>1.096064814919373E-2</v>
      </c>
      <c r="N163" s="7">
        <f t="shared" si="104"/>
        <v>15.783333334838971</v>
      </c>
      <c r="O163" s="7"/>
      <c r="P163" s="7"/>
      <c r="Q163" s="22"/>
      <c r="R163" s="174"/>
      <c r="S163" s="221">
        <f t="shared" si="105"/>
        <v>1</v>
      </c>
      <c r="T163" s="174" t="str">
        <f t="shared" si="7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77"/>
        <v>https://d0f6bd738d7f1b3e5a7ca70fe4ff75f0.us-east-1.aws.found.io/app/kibana#/discover/Steve-Slow-Train-Analysis-(2080s-and-2083s)?_g=(refreshInterval:(display:Off,pause:!f,section:0,value:0),time:(from:'2017-11-09T04:55:23-0700',mode:absolute,to:'2017-11-09T07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204" t="str">
        <f>IF(AA163&lt;VLOOKUP(AG163,Variables!$AC$3:$AD$8,2,FALSE),"Y","N")</f>
        <v>N</v>
      </c>
      <c r="X163" s="204">
        <f t="shared" ref="X163:X194" si="115">VALUE(LEFT(AD163,4))-VALUE(LEFT(AD162,4))</f>
        <v>1</v>
      </c>
      <c r="Y163" s="204">
        <f t="shared" si="110"/>
        <v>0.1133</v>
      </c>
      <c r="Z163" s="204">
        <f t="shared" si="111"/>
        <v>5.9008000000000003</v>
      </c>
      <c r="AA163" s="204">
        <f t="shared" si="78"/>
        <v>5.7875000000000005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79"/>
        <v>803</v>
      </c>
      <c r="AE163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63" s="74" t="str">
        <f t="shared" si="81"/>
        <v>"C:\Program Files (x86)\AstroGrep\AstroGrep.exe" /e /r /s /spath="%USERPROFILE%\AppData\Local\Temp\OnboardLogs" /stypes="app*4016*20171109*" /stext=" 13:.+((SYSTEM_STATE.+slice.+state.+changed )|(ment ac)|(multiple cpu faults)|(system.+state.+changed )|(\[timeout)|(PRM\|1\|D)|(kpr)|(kdp)|(train st.+moving)|(\|lc)|(penalty))"</v>
      </c>
      <c r="AG163" s="182" t="str">
        <f t="shared" si="82"/>
        <v>NW</v>
      </c>
      <c r="AH163" s="78" t="str">
        <f t="shared" si="92"/>
        <v>"%USERPROFILE%\Documents\GitHub\eaglep3\Utilities\RefineRTDCRunTimes.py" --tripid 803-09 --locoid 4016 --swversion DE.1.0.9.0 --startMP 204:1133 --initTime 2017-11-09T05:55:23 --startdatetime 2017-11-09T06:09:19 --delay 64 --endMP 300:59008 --enddatetime 2017-11-09T06:25:06 --enforcementcount 0 &gt;&gt;%USERPROFILE%\Documents\GitHub\eaglep3-reporting\EC\2017-11-09-refined-times.txt</v>
      </c>
      <c r="AI163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{"issue":{"subject":"","project_id":79,"tracker_id":40,"status_id":1,"priority_id":2,"assigned_to_id":338,"start_date":"2017-11-09","description":"","custom_fields":[{"id":1,"name":"Subdivision","value":"NW"},{"id":4,"name":"Milepost","value":"5.9008"},{"id":17,"name":"Train ID","value":"803-09"},{"id":16,"name":"Locomotive ID","value":"4016"},{"id":130,"name":"Impact","value":""},{"id":150,"name":"Time of Event (Mountain Time)","value":"06:25:06"},{"id":151,"name":"Denver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93"/>
        <v>start /low /b %USERPROFILE%\Documents\GitHub\eaglep3\Utilities\DownloadLogsFromS3.py --loco 4016 --day 2017-11-09</v>
      </c>
      <c r="AN163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4"/>
        <v>https://d0f6bd738d7f1b3e5a7ca70fe4ff75f0.us-east-1.aws.found.io/app/kibana#/discover/Steve-Slow-Train-Analysis-(2080s-and-2083s)?_g=(refreshInterval:(display:Off,pause:!f,section:0,value:0),time:(from:'2017-11-09T04:55:23-0700',mode:absolute,to:'2017-11-09T07:25:06-0700'))&amp;_a=(columns:!('Message%20ID',Summary),filters:!(),index:'emp_*',interval:auto,query:(query_string:(analyze_wildcard:!t,query:'%22rtdc.l.rtdc.4016%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704</v>
      </c>
      <c r="B164" s="7">
        <v>4015</v>
      </c>
      <c r="C164" s="21" t="s">
        <v>192</v>
      </c>
      <c r="D164" s="21" t="s">
        <v>1027</v>
      </c>
      <c r="E164" s="13">
        <v>43048.268622685187</v>
      </c>
      <c r="F164" s="13">
        <v>43048.279988425929</v>
      </c>
      <c r="G164" s="7">
        <v>67</v>
      </c>
      <c r="H164" s="21" t="s">
        <v>1028</v>
      </c>
      <c r="I164" s="13">
        <v>43048.288356481484</v>
      </c>
      <c r="J164" s="7">
        <v>0</v>
      </c>
      <c r="K164" s="89" t="str">
        <f t="shared" si="74"/>
        <v>4015/4016</v>
      </c>
      <c r="L164" s="185" t="str">
        <f>VLOOKUP(A164,'Trips&amp;Operators'!$C$1:$G$99911,5,FALSE)</f>
        <v>FORTUNATO FRANK</v>
      </c>
      <c r="M164" s="6">
        <f t="shared" si="75"/>
        <v>8.3680555544560775E-3</v>
      </c>
      <c r="N164" s="7">
        <f t="shared" si="104"/>
        <v>12.049999998416752</v>
      </c>
      <c r="O164" s="7"/>
      <c r="P164" s="7"/>
      <c r="Q164" s="22"/>
      <c r="R164" s="174"/>
      <c r="S164" s="221">
        <f t="shared" si="105"/>
        <v>1</v>
      </c>
      <c r="T164" s="174" t="str">
        <f t="shared" si="7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77"/>
        <v>https://d0f6bd738d7f1b3e5a7ca70fe4ff75f0.us-east-1.aws.found.io/app/kibana#/discover/Steve-Slow-Train-Analysis-(2080s-and-2083s)?_g=(refreshInterval:(display:Off,pause:!f,section:0,value:0),time:(from:'2017-11-09T05:26:49-0700',mode:absolute,to:'2017-11-09T07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204" t="str">
        <f>IF(AA164&lt;VLOOKUP(AG164,Variables!$AC$3:$AD$8,2,FALSE),"Y","N")</f>
        <v>N</v>
      </c>
      <c r="X164" s="204">
        <f t="shared" si="115"/>
        <v>1</v>
      </c>
      <c r="Y164" s="204">
        <f t="shared" si="110"/>
        <v>5.8677000000000001</v>
      </c>
      <c r="Z164" s="204">
        <f t="shared" si="111"/>
        <v>8.3199999999999996E-2</v>
      </c>
      <c r="AA164" s="204">
        <f t="shared" si="78"/>
        <v>5.7845000000000004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79"/>
        <v>804</v>
      </c>
      <c r="AE164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64" s="74" t="str">
        <f t="shared" si="81"/>
        <v>"C:\Program Files (x86)\AstroGrep\AstroGrep.exe" /e /r /s /spath="%USERPROFILE%\AppData\Local\Temp\OnboardLogs" /stypes="app*4015*20171109*" /stext=" 13:.+((SYSTEM_STATE.+slice.+state.+changed )|(ment ac)|(multiple cpu faults)|(system.+state.+changed )|(\[timeout)|(PRM\|1\|D)|(kpr)|(kdp)|(train st.+moving)|(\|lc)|(penalty))"</v>
      </c>
      <c r="AG164" s="182" t="str">
        <f t="shared" si="82"/>
        <v>NW</v>
      </c>
      <c r="AH164" s="78" t="str">
        <f t="shared" si="92"/>
        <v>"%USERPROFILE%\Documents\GitHub\eaglep3\Utilities\RefineRTDCRunTimes.py" --tripid 804-09 --locoid 4015 --swversion DE.1.0.9.0 --startMP 300:58677 --initTime 2017-11-09T06:26:49 --startdatetime 2017-11-09T06:43:11 --delay 67 --endMP 204:832 --enddatetime 2017-11-09T06:55:14 --enforcementcount 0 &gt;&gt;%USERPROFILE%\Documents\GitHub\eaglep3-reporting\EC\2017-11-09-refined-times.txt</v>
      </c>
      <c r="AI164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{"issue":{"subject":"","project_id":79,"tracker_id":40,"status_id":1,"priority_id":2,"assigned_to_id":338,"start_date":"2017-11-09","description":"","custom_fields":[{"id":1,"name":"Subdivision","value":"NW"},{"id":4,"name":"Milepost","value":"0.0832"},{"id":17,"name":"Train ID","value":"804-09"},{"id":16,"name":"Locomotive ID","value":"4015"},{"id":130,"name":"Impact","value":""},{"id":150,"name":"Time of Event (Mountain Time)","value":"06:55:14"},{"id":151,"name":"Denver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93"/>
        <v>start /low /b %USERPROFILE%\Documents\GitHub\eaglep3\Utilities\DownloadLogsFromS3.py --loco 4015 --day 2017-11-09</v>
      </c>
      <c r="AN164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4"/>
        <v>https://d0f6bd738d7f1b3e5a7ca70fe4ff75f0.us-east-1.aws.found.io/app/kibana#/discover/Steve-Slow-Train-Analysis-(2080s-and-2083s)?_g=(refreshInterval:(display:Off,pause:!f,section:0,value:0),time:(from:'2017-11-09T05:26:49-0700',mode:absolute,to:'2017-11-09T07:55:14-0700'))&amp;_a=(columns:!('Message%20ID',Summary),filters:!(),index:'emp_*',interval:auto,query:(query_string:(analyze_wildcard:!t,query:'%22rtdc.l.rtdc.4015%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642</v>
      </c>
      <c r="B165" s="7">
        <v>4054</v>
      </c>
      <c r="C165" s="21" t="s">
        <v>192</v>
      </c>
      <c r="D165" s="21" t="s">
        <v>1029</v>
      </c>
      <c r="E165" s="13">
        <v>43048.268750000003</v>
      </c>
      <c r="F165" s="13">
        <v>43048.277326388888</v>
      </c>
      <c r="G165" s="7">
        <v>52</v>
      </c>
      <c r="H165" s="21" t="s">
        <v>1023</v>
      </c>
      <c r="I165" s="13">
        <v>43048.288194444445</v>
      </c>
      <c r="J165" s="7">
        <v>0</v>
      </c>
      <c r="K165" s="89" t="str">
        <f t="shared" si="74"/>
        <v>4053/4054</v>
      </c>
      <c r="L165" s="185" t="str">
        <f>VLOOKUP(A165,'Trips&amp;Operators'!$C$1:$G$99911,5,FALSE)</f>
        <v>HUFFSMITH MONTY</v>
      </c>
      <c r="M165" s="6">
        <f t="shared" si="75"/>
        <v>1.0868055556784384E-2</v>
      </c>
      <c r="N165" s="7">
        <f t="shared" si="104"/>
        <v>15.650000001769513</v>
      </c>
      <c r="O165" s="7"/>
      <c r="P165" s="7"/>
      <c r="Q165" s="22"/>
      <c r="R165" s="174"/>
      <c r="S165" s="221">
        <f t="shared" si="105"/>
        <v>1</v>
      </c>
      <c r="T165" s="174" t="str">
        <f t="shared" si="7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77"/>
        <v>https://d0f6bd738d7f1b3e5a7ca70fe4ff75f0.us-east-1.aws.found.io/app/kibana#/discover/Steve-Slow-Train-Analysis-(2080s-and-2083s)?_g=(refreshInterval:(display:Off,pause:!f,section:0,value:0),time:(from:'2017-11-09T05:27:00-0700',mode:absolute,to:'2017-11-09T07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204" t="str">
        <f>IF(AA165&lt;VLOOKUP(AG165,Variables!$AC$3:$AD$8,2,FALSE),"Y","N")</f>
        <v>N</v>
      </c>
      <c r="X165" s="204">
        <f t="shared" si="115"/>
        <v>1</v>
      </c>
      <c r="Y165" s="204">
        <f t="shared" si="110"/>
        <v>0.10249999999999999</v>
      </c>
      <c r="Z165" s="204">
        <f t="shared" si="111"/>
        <v>5.8978000000000002</v>
      </c>
      <c r="AA165" s="204">
        <f t="shared" si="78"/>
        <v>5.7953000000000001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79"/>
        <v>805</v>
      </c>
      <c r="AE165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65" s="74" t="str">
        <f t="shared" si="81"/>
        <v>"C:\Program Files (x86)\AstroGrep\AstroGrep.exe" /e /r /s /spath="%USERPROFILE%\AppData\Local\Temp\OnboardLogs" /stypes="app*4054*20171109*" /stext=" 13:.+((SYSTEM_STATE.+slice.+state.+changed )|(ment ac)|(multiple cpu faults)|(system.+state.+changed )|(\[timeout)|(PRM\|1\|D)|(kpr)|(kdp)|(train st.+moving)|(\|lc)|(penalty))"</v>
      </c>
      <c r="AG165" s="182" t="str">
        <f t="shared" si="82"/>
        <v>NW</v>
      </c>
      <c r="AH165" s="78" t="str">
        <f t="shared" si="92"/>
        <v>"%USERPROFILE%\Documents\GitHub\eaglep3\Utilities\RefineRTDCRunTimes.py" --tripid 805-09 --locoid 4054 --swversion DE.1.0.9.0 --startMP 204:1025 --initTime 2017-11-09T06:27:00 --startdatetime 2017-11-09T06:39:21 --delay 52 --endMP 300:58978 --enddatetime 2017-11-09T06:55:00 --enforcementcount 0 &gt;&gt;%USERPROFILE%\Documents\GitHub\eaglep3-reporting\EC\2017-11-09-refined-times.txt</v>
      </c>
      <c r="AI165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{"issue":{"subject":"","project_id":79,"tracker_id":40,"status_id":1,"priority_id":2,"assigned_to_id":338,"start_date":"2017-11-09","description":"","custom_fields":[{"id":1,"name":"Subdivision","value":"NW"},{"id":4,"name":"Milepost","value":"5.8978"},{"id":17,"name":"Train ID","value":"805-09"},{"id":16,"name":"Locomotive ID","value":"4054"},{"id":130,"name":"Impact","value":""},{"id":150,"name":"Time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93"/>
        <v>start /low /b %USERPROFILE%\Documents\GitHub\eaglep3\Utilities\DownloadLogsFromS3.py --loco 4054 --day 2017-11-09</v>
      </c>
      <c r="AN165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13:55:00"},{"id":29,"name":"Sharepoint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4"/>
        <v>https://d0f6bd738d7f1b3e5a7ca70fe4ff75f0.us-east-1.aws.found.io/app/kibana#/discover/Steve-Slow-Train-Analysis-(2080s-and-2083s)?_g=(refreshInterval:(display:Off,pause:!f,section:0,value:0),time:(from:'2017-11-09T05:27:00-0700',mode:absolute,to:'2017-11-09T07:55:00-0700'))&amp;_a=(columns:!('Message%20ID',Summary),filters:!(),index:'emp_*',interval:auto,query:(query_string:(analyze_wildcard:!t,query:'%22rtdc.l.rtdc.4054%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710</v>
      </c>
      <c r="B166" s="7">
        <v>4053</v>
      </c>
      <c r="C166" s="21" t="s">
        <v>192</v>
      </c>
      <c r="D166" s="21" t="s">
        <v>536</v>
      </c>
      <c r="E166" s="13">
        <v>43048.289618055554</v>
      </c>
      <c r="F166" s="13">
        <v>43048.300613425927</v>
      </c>
      <c r="G166" s="7">
        <v>52</v>
      </c>
      <c r="H166" s="21" t="s">
        <v>628</v>
      </c>
      <c r="I166" s="13">
        <v>43048.308935185189</v>
      </c>
      <c r="J166" s="7">
        <v>0</v>
      </c>
      <c r="K166" s="89" t="str">
        <f t="shared" si="74"/>
        <v>4053/4054</v>
      </c>
      <c r="L166" s="185" t="str">
        <f>VLOOKUP(A166,'Trips&amp;Operators'!$C$1:$G$99911,5,FALSE)</f>
        <v>HUFFSMITH MONTY</v>
      </c>
      <c r="M166" s="6">
        <f t="shared" si="75"/>
        <v>8.3217592618893832E-3</v>
      </c>
      <c r="N166" s="7">
        <f t="shared" si="104"/>
        <v>11.983333337120712</v>
      </c>
      <c r="O166" s="7"/>
      <c r="P166" s="7"/>
      <c r="Q166" s="22"/>
      <c r="R166" s="174"/>
      <c r="S166" s="221">
        <f t="shared" si="105"/>
        <v>1</v>
      </c>
      <c r="T166" s="174" t="str">
        <f t="shared" si="7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77"/>
        <v>https://d0f6bd738d7f1b3e5a7ca70fe4ff75f0.us-east-1.aws.found.io/app/kibana#/discover/Steve-Slow-Train-Analysis-(2080s-and-2083s)?_g=(refreshInterval:(display:Off,pause:!f,section:0,value:0),time:(from:'2017-11-09T05:57:03-0700',mode:absolute,to:'2017-11-09T08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204" t="str">
        <f>IF(AA166&lt;VLOOKUP(AG166,Variables!$AC$3:$AD$8,2,FALSE),"Y","N")</f>
        <v>N</v>
      </c>
      <c r="X166" s="204">
        <f t="shared" si="115"/>
        <v>1</v>
      </c>
      <c r="Y166" s="204">
        <f t="shared" si="110"/>
        <v>5.8666</v>
      </c>
      <c r="Z166" s="204">
        <f t="shared" si="111"/>
        <v>7.2900000000000006E-2</v>
      </c>
      <c r="AA166" s="204">
        <f t="shared" si="78"/>
        <v>5.7937000000000003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79"/>
        <v>806</v>
      </c>
      <c r="AE166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66" s="74" t="str">
        <f t="shared" si="81"/>
        <v>"C:\Program Files (x86)\AstroGrep\AstroGrep.exe" /e /r /s /spath="%USERPROFILE%\AppData\Local\Temp\OnboardLogs" /stypes="app*4053*20171109*" /stext=" 14:.+((SYSTEM_STATE.+slice.+state.+changed )|(ment ac)|(multiple cpu faults)|(system.+state.+changed )|(\[timeout)|(PRM\|1\|D)|(kpr)|(kdp)|(train st.+moving)|(\|lc)|(penalty))"</v>
      </c>
      <c r="AG166" s="182" t="str">
        <f t="shared" si="82"/>
        <v>NW</v>
      </c>
      <c r="AH166" s="78" t="str">
        <f t="shared" si="92"/>
        <v>"%USERPROFILE%\Documents\GitHub\eaglep3\Utilities\RefineRTDCRunTimes.py" --tripid 806-09 --locoid 4053 --swversion DE.1.0.9.0 --startMP 300:58666 --initTime 2017-11-09T06:57:03 --startdatetime 2017-11-09T07:12:53 --delay 52 --endMP 204:729 --enddatetime 2017-11-09T07:24:52 --enforcementcount 0 &gt;&gt;%USERPROFILE%\Documents\GitHub\eaglep3-reporting\EC\2017-11-09-refined-times.txt</v>
      </c>
      <c r="AI166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{"issue":{"subject":"","project_id":79,"tracker_id":40,"status_id":1,"priority_id":2,"assigned_to_id":338,"start_date":"2017-11-09","description":"","custom_fields":[{"id":1,"name":"Subdivision","value":"NW"},{"id":4,"name":"Milepost","value":"0.0729"},{"id":17,"name":"Train ID","value":"806-09"},{"id":16,"name":"Locomotive ID","value":"4053"},{"id":130,"name":"Impact","value":""},{"id":150,"name":"Time of Event (Mountain Time)","value":"07:24:52"},{"id":151,"name":"Denver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93"/>
        <v>start /low /b %USERPROFILE%\Documents\GitHub\eaglep3\Utilities\DownloadLogsFromS3.py --loco 4053 --day 2017-11-09</v>
      </c>
      <c r="AN166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4"/>
        <v>https://d0f6bd738d7f1b3e5a7ca70fe4ff75f0.us-east-1.aws.found.io/app/kibana#/discover/Steve-Slow-Train-Analysis-(2080s-and-2083s)?_g=(refreshInterval:(display:Off,pause:!f,section:0,value:0),time:(from:'2017-11-09T05:57:03-0700',mode:absolute,to:'2017-11-09T08:24:52-0700'))&amp;_a=(columns:!('Message%20ID',Summary),filters:!(),index:'emp_*',interval:auto,query:(query_string:(analyze_wildcard:!t,query:'%22rtdc.l.rtdc.4053%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711</v>
      </c>
      <c r="B167" s="7">
        <v>4016</v>
      </c>
      <c r="C167" s="21" t="s">
        <v>192</v>
      </c>
      <c r="D167" s="21" t="s">
        <v>1030</v>
      </c>
      <c r="E167" s="13">
        <v>43048.290046296293</v>
      </c>
      <c r="F167" s="13">
        <v>43048.298078703701</v>
      </c>
      <c r="G167" s="7">
        <v>58</v>
      </c>
      <c r="H167" s="21" t="s">
        <v>632</v>
      </c>
      <c r="I167" s="13">
        <v>43048.308587962965</v>
      </c>
      <c r="J167" s="7">
        <v>0</v>
      </c>
      <c r="K167" s="89" t="str">
        <f t="shared" si="74"/>
        <v>4015/4016</v>
      </c>
      <c r="L167" s="185" t="str">
        <f>VLOOKUP(A167,'Trips&amp;Operators'!$C$1:$G$99911,5,FALSE)</f>
        <v>FORTUNATO FRANK</v>
      </c>
      <c r="M167" s="6">
        <f t="shared" si="75"/>
        <v>1.0509259263926651E-2</v>
      </c>
      <c r="N167" s="7">
        <f t="shared" si="104"/>
        <v>15.133333340054378</v>
      </c>
      <c r="O167" s="7"/>
      <c r="P167" s="7"/>
      <c r="Q167" s="22"/>
      <c r="R167" s="174"/>
      <c r="S167" s="221">
        <f t="shared" si="105"/>
        <v>1</v>
      </c>
      <c r="T167" s="174" t="str">
        <f t="shared" si="7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77"/>
        <v>https://d0f6bd738d7f1b3e5a7ca70fe4ff75f0.us-east-1.aws.found.io/app/kibana#/discover/Steve-Slow-Train-Analysis-(2080s-and-2083s)?_g=(refreshInterval:(display:Off,pause:!f,section:0,value:0),time:(from:'2017-11-09T05:57:40-0700',mode:absolute,to:'2017-11-09T08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204" t="str">
        <f>IF(AA167&lt;VLOOKUP(AG167,Variables!$AC$3:$AD$8,2,FALSE),"Y","N")</f>
        <v>N</v>
      </c>
      <c r="X167" s="204">
        <f t="shared" si="115"/>
        <v>1</v>
      </c>
      <c r="Y167" s="204">
        <f t="shared" si="110"/>
        <v>0.1118</v>
      </c>
      <c r="Z167" s="204">
        <f t="shared" si="111"/>
        <v>5.8971</v>
      </c>
      <c r="AA167" s="204">
        <f t="shared" si="78"/>
        <v>5.7853000000000003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79"/>
        <v>807</v>
      </c>
      <c r="AE167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67" s="74" t="str">
        <f t="shared" si="81"/>
        <v>"C:\Program Files (x86)\AstroGrep\AstroGrep.exe" /e /r /s /spath="%USERPROFILE%\AppData\Local\Temp\OnboardLogs" /stypes="app*4016*20171109*" /stext=" 14:.+((SYSTEM_STATE.+slice.+state.+changed )|(ment ac)|(multiple cpu faults)|(system.+state.+changed )|(\[timeout)|(PRM\|1\|D)|(kpr)|(kdp)|(train st.+moving)|(\|lc)|(penalty))"</v>
      </c>
      <c r="AG167" s="182" t="str">
        <f t="shared" si="82"/>
        <v>NW</v>
      </c>
      <c r="AH167" s="78" t="str">
        <f t="shared" si="92"/>
        <v>"%USERPROFILE%\Documents\GitHub\eaglep3\Utilities\RefineRTDCRunTimes.py" --tripid 807-09 --locoid 4016 --swversion DE.1.0.9.0 --startMP 204:1118 --initTime 2017-11-09T06:57:40 --startdatetime 2017-11-09T07:09:14 --delay 58 --endMP 300:58971 --enddatetime 2017-11-09T07:24:22 --enforcementcount 0 &gt;&gt;%USERPROFILE%\Documents\GitHub\eaglep3-reporting\EC\2017-11-09-refined-times.txt</v>
      </c>
      <c r="AI167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{"issue":{"subject":"","project_id":79,"tracker_id":40,"status_id":1,"priority_id":2,"assigned_to_id":338,"start_date":"2017-11-09","description":"","custom_fields":[{"id":1,"name":"Subdivision","value":"NW"},{"id":4,"name":"Milepost","value":"5.8971"},{"id":17,"name":"Train ID","value":"807-09"},{"id":16,"name":"Locomotive ID","value":"4016"},{"id":130,"name":"Impact","value":""},{"id":150,"name":"Time of Event (Mountain Time)","value":"07:24:22"},{"id":151,"name":"Denver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93"/>
        <v>start /low /b %USERPROFILE%\Documents\GitHub\eaglep3\Utilities\DownloadLogsFromS3.py --loco 4016 --day 2017-11-09</v>
      </c>
      <c r="AN167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4"/>
        <v>https://d0f6bd738d7f1b3e5a7ca70fe4ff75f0.us-east-1.aws.found.io/app/kibana#/discover/Steve-Slow-Train-Analysis-(2080s-and-2083s)?_g=(refreshInterval:(display:Off,pause:!f,section:0,value:0),time:(from:'2017-11-09T05:57:40-0700',mode:absolute,to:'2017-11-09T08:24:22-0700'))&amp;_a=(columns:!('Message%20ID',Summary),filters:!(),index:'emp_*',interval:auto,query:(query_string:(analyze_wildcard:!t,query:'%22rtdc.l.rtdc.4016%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716</v>
      </c>
      <c r="B168" s="7">
        <v>4015</v>
      </c>
      <c r="C168" s="21" t="s">
        <v>192</v>
      </c>
      <c r="D168" s="21" t="s">
        <v>1031</v>
      </c>
      <c r="E168" s="13">
        <v>43048.310034722221</v>
      </c>
      <c r="F168" s="13">
        <v>43048.321562500001</v>
      </c>
      <c r="G168" s="7">
        <v>52</v>
      </c>
      <c r="H168" s="21" t="s">
        <v>1032</v>
      </c>
      <c r="I168" s="13">
        <v>43048.330092592594</v>
      </c>
      <c r="J168" s="7">
        <v>0</v>
      </c>
      <c r="K168" s="89" t="str">
        <f t="shared" si="74"/>
        <v>4015/4016</v>
      </c>
      <c r="L168" s="185" t="str">
        <f>VLOOKUP(A168,'Trips&amp;Operators'!$C$1:$G$99911,5,FALSE)</f>
        <v>FORTUNATO FRANK</v>
      </c>
      <c r="M168" s="6">
        <f t="shared" si="75"/>
        <v>8.5300925929914229E-3</v>
      </c>
      <c r="N168" s="7">
        <f t="shared" si="104"/>
        <v>12.283333333907649</v>
      </c>
      <c r="O168" s="7"/>
      <c r="P168" s="7"/>
      <c r="Q168" s="22"/>
      <c r="R168" s="174"/>
      <c r="S168" s="221">
        <f t="shared" si="105"/>
        <v>1</v>
      </c>
      <c r="T168" s="174" t="str">
        <f t="shared" si="76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77"/>
        <v>https://d0f6bd738d7f1b3e5a7ca70fe4ff75f0.us-east-1.aws.found.io/app/kibana#/discover/Steve-Slow-Train-Analysis-(2080s-and-2083s)?_g=(refreshInterval:(display:Off,pause:!f,section:0,value:0),time:(from:'2017-11-09T06:26:27-0700',mode:absolute,to:'2017-11-09T08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204" t="str">
        <f>IF(AA168&lt;VLOOKUP(AG168,Variables!$AC$3:$AD$8,2,FALSE),"Y","N")</f>
        <v>N</v>
      </c>
      <c r="X168" s="204">
        <f t="shared" si="115"/>
        <v>1</v>
      </c>
      <c r="Y168" s="204">
        <f t="shared" si="110"/>
        <v>5.8653000000000004</v>
      </c>
      <c r="Z168" s="204">
        <f t="shared" si="111"/>
        <v>8.4099999999999994E-2</v>
      </c>
      <c r="AA168" s="204">
        <f t="shared" si="78"/>
        <v>5.7812000000000001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79"/>
        <v>808</v>
      </c>
      <c r="AE168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68" s="74" t="str">
        <f t="shared" si="81"/>
        <v>"C:\Program Files (x86)\AstroGrep\AstroGrep.exe" /e /r /s /spath="%USERPROFILE%\AppData\Local\Temp\OnboardLogs" /stypes="app*4015*20171109*" /stext=" 14:.+((SYSTEM_STATE.+slice.+state.+changed )|(ment ac)|(multiple cpu faults)|(system.+state.+changed )|(\[timeout)|(PRM\|1\|D)|(kpr)|(kdp)|(train st.+moving)|(\|lc)|(penalty))"</v>
      </c>
      <c r="AG168" s="182" t="str">
        <f t="shared" si="82"/>
        <v>NW</v>
      </c>
      <c r="AH168" s="78" t="str">
        <f t="shared" si="92"/>
        <v>"%USERPROFILE%\Documents\GitHub\eaglep3\Utilities\RefineRTDCRunTimes.py" --tripid 808-09 --locoid 4015 --swversion DE.1.0.9.0 --startMP 300:58653 --initTime 2017-11-09T07:26:27 --startdatetime 2017-11-09T07:43:03 --delay 52 --endMP 204:841 --enddatetime 2017-11-09T07:55:20 --enforcementcount 0 &gt;&gt;%USERPROFILE%\Documents\GitHub\eaglep3-reporting\EC\2017-11-09-refined-times.txt</v>
      </c>
      <c r="AI168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{"issue":{"subject":"","project_id":79,"tracker_id":40,"status_id":1,"priority_id":2,"assigned_to_id":338,"start_date":"2017-11-09","description":"","custom_fields":[{"id":1,"name":"Subdivision","value":"NW"},{"id":4,"name":"Milepost","value":"0.0841"},{"id":17,"name":"Train ID","value":"808-09"},{"id":16,"name":"Locomotive ID","value":"4015"},{"id":130,"name":"Impact","value":""},{"id":150,"name":"Time of Event (Mountain Time)","value":"07:55:20"},{"id":151,"name":"Denver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93"/>
        <v>start /low /b %USERPROFILE%\Documents\GitHub\eaglep3\Utilities\DownloadLogsFromS3.py --loco 4015 --day 2017-11-09</v>
      </c>
      <c r="AN168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4"/>
        <v>https://d0f6bd738d7f1b3e5a7ca70fe4ff75f0.us-east-1.aws.found.io/app/kibana#/discover/Steve-Slow-Train-Analysis-(2080s-and-2083s)?_g=(refreshInterval:(display:Off,pause:!f,section:0,value:0),time:(from:'2017-11-09T06:26:27-0700',mode:absolute,to:'2017-11-09T08:55:20-0700'))&amp;_a=(columns:!('Message%20ID',Summary),filters:!(),index:'emp_*',interval:auto,query:(query_string:(analyze_wildcard:!t,query:'%22rtdc.l.rtdc.4015%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717</v>
      </c>
      <c r="B169" s="7">
        <v>4054</v>
      </c>
      <c r="C169" s="21" t="s">
        <v>192</v>
      </c>
      <c r="D169" s="21" t="s">
        <v>1033</v>
      </c>
      <c r="E169" s="13">
        <v>43048.311331018522</v>
      </c>
      <c r="F169" s="13">
        <v>43048.31894675926</v>
      </c>
      <c r="G169" s="7">
        <v>49</v>
      </c>
      <c r="H169" s="21" t="s">
        <v>629</v>
      </c>
      <c r="I169" s="13">
        <v>43048.329282407409</v>
      </c>
      <c r="J169" s="7">
        <v>0</v>
      </c>
      <c r="K169" s="89" t="str">
        <f t="shared" si="74"/>
        <v>4053/4054</v>
      </c>
      <c r="L169" s="185" t="str">
        <f>VLOOKUP(A169,'Trips&amp;Operators'!$C$1:$G$99911,5,FALSE)</f>
        <v>HUFFSMITH MONTY</v>
      </c>
      <c r="M169" s="6">
        <f t="shared" si="75"/>
        <v>1.0335648148611654E-2</v>
      </c>
      <c r="N169" s="7">
        <f t="shared" si="104"/>
        <v>14.883333334000781</v>
      </c>
      <c r="O169" s="7"/>
      <c r="P169" s="7"/>
      <c r="Q169" s="22"/>
      <c r="R169" s="174"/>
      <c r="S169" s="221">
        <f t="shared" si="105"/>
        <v>1</v>
      </c>
      <c r="T169" s="174" t="str">
        <f t="shared" si="76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77"/>
        <v>https://d0f6bd738d7f1b3e5a7ca70fe4ff75f0.us-east-1.aws.found.io/app/kibana#/discover/Steve-Slow-Train-Analysis-(2080s-and-2083s)?_g=(refreshInterval:(display:Off,pause:!f,section:0,value:0),time:(from:'2017-11-09T06:28:19-0700',mode:absolute,to:'2017-11-09T08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204" t="str">
        <f>IF(AA169&lt;VLOOKUP(AG169,Variables!$AC$3:$AD$8,2,FALSE),"Y","N")</f>
        <v>N</v>
      </c>
      <c r="X169" s="204">
        <f t="shared" si="115"/>
        <v>1</v>
      </c>
      <c r="Y169" s="204">
        <f t="shared" si="110"/>
        <v>0.1018</v>
      </c>
      <c r="Z169" s="204">
        <f t="shared" si="111"/>
        <v>5.8982000000000001</v>
      </c>
      <c r="AA169" s="204">
        <f t="shared" si="78"/>
        <v>5.7964000000000002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79"/>
        <v>809</v>
      </c>
      <c r="AE169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69" s="74" t="str">
        <f t="shared" si="81"/>
        <v>"C:\Program Files (x86)\AstroGrep\AstroGrep.exe" /e /r /s /spath="%USERPROFILE%\AppData\Local\Temp\OnboardLogs" /stypes="app*4054*20171109*" /stext=" 14:.+((SYSTEM_STATE.+slice.+state.+changed )|(ment ac)|(multiple cpu faults)|(system.+state.+changed )|(\[timeout)|(PRM\|1\|D)|(kpr)|(kdp)|(train st.+moving)|(\|lc)|(penalty))"</v>
      </c>
      <c r="AG169" s="182" t="str">
        <f t="shared" si="82"/>
        <v>NW</v>
      </c>
      <c r="AH169" s="78" t="str">
        <f t="shared" si="92"/>
        <v>"%USERPROFILE%\Documents\GitHub\eaglep3\Utilities\RefineRTDCRunTimes.py" --tripid 809-09 --locoid 4054 --swversion DE.1.0.9.0 --startMP 204:1018 --initTime 2017-11-09T07:28:19 --startdatetime 2017-11-09T07:39:17 --delay 49 --endMP 300:58982 --enddatetime 2017-11-09T07:54:10 --enforcementcount 0 &gt;&gt;%USERPROFILE%\Documents\GitHub\eaglep3-reporting\EC\2017-11-09-refined-times.txt</v>
      </c>
      <c r="AI169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{"issue":{"subject":"","project_id":79,"tracker_id":40,"status_id":1,"priority_id":2,"assigned_to_id":338,"start_date":"2017-11-09","description":"","custom_fields":[{"id":1,"name":"Subdivision","value":"NW"},{"id":4,"name":"Milepost","value":"5.8982"},{"id":17,"name":"Train ID","value":"809-09"},{"id":16,"name":"Locomotive ID","value":"4054"},{"id":130,"name":"Impact","value":""},{"id":150,"name":"Time of Event (Mountain Time)","value":"07:54:10"},{"id":151,"name":"Denver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93"/>
        <v>start /low /b %USERPROFILE%\Documents\GitHub\eaglep3\Utilities\DownloadLogsFromS3.py --loco 4054 --day 2017-11-09</v>
      </c>
      <c r="AN169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4"/>
        <v>https://d0f6bd738d7f1b3e5a7ca70fe4ff75f0.us-east-1.aws.found.io/app/kibana#/discover/Steve-Slow-Train-Analysis-(2080s-and-2083s)?_g=(refreshInterval:(display:Off,pause:!f,section:0,value:0),time:(from:'2017-11-09T06:28:19-0700',mode:absolute,to:'2017-11-09T08:54:10-0700'))&amp;_a=(columns:!('Message%20ID',Summary),filters:!(),index:'emp_*',interval:auto,query:(query_string:(analyze_wildcard:!t,query:'%22rtdc.l.rtdc.4054%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723</v>
      </c>
      <c r="B170" s="7">
        <v>4053</v>
      </c>
      <c r="C170" s="21" t="s">
        <v>192</v>
      </c>
      <c r="D170" s="21" t="s">
        <v>1027</v>
      </c>
      <c r="E170" s="13">
        <v>43048.330763888887</v>
      </c>
      <c r="F170" s="13">
        <v>43048.342037037037</v>
      </c>
      <c r="G170" s="7">
        <v>50</v>
      </c>
      <c r="H170" s="21" t="s">
        <v>1034</v>
      </c>
      <c r="I170" s="13">
        <v>43048.351099537038</v>
      </c>
      <c r="J170" s="7">
        <v>0</v>
      </c>
      <c r="K170" s="89" t="str">
        <f t="shared" si="74"/>
        <v>4053/4054</v>
      </c>
      <c r="L170" s="185" t="str">
        <f>VLOOKUP(A170,'Trips&amp;Operators'!$C$1:$G$99911,5,FALSE)</f>
        <v>HUFFSMITH MONTY</v>
      </c>
      <c r="M170" s="6">
        <f t="shared" si="75"/>
        <v>9.0625000011641532E-3</v>
      </c>
      <c r="N170" s="7">
        <f t="shared" si="104"/>
        <v>13.050000001676381</v>
      </c>
      <c r="O170" s="7"/>
      <c r="P170" s="7"/>
      <c r="Q170" s="22"/>
      <c r="R170" s="174"/>
      <c r="S170" s="221">
        <f t="shared" si="105"/>
        <v>1</v>
      </c>
      <c r="T170" s="174" t="str">
        <f t="shared" si="76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77"/>
        <v>https://d0f6bd738d7f1b3e5a7ca70fe4ff75f0.us-east-1.aws.found.io/app/kibana#/discover/Steve-Slow-Train-Analysis-(2080s-and-2083s)?_g=(refreshInterval:(display:Off,pause:!f,section:0,value:0),time:(from:'2017-11-09T06:56:18-0700',mode:absolute,to:'2017-11-09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0" s="204" t="str">
        <f>IF(AA170&lt;VLOOKUP(AG170,Variables!$AC$3:$AD$8,2,FALSE),"Y","N")</f>
        <v>N</v>
      </c>
      <c r="X170" s="204">
        <f t="shared" si="115"/>
        <v>1</v>
      </c>
      <c r="Y170" s="204">
        <f t="shared" si="110"/>
        <v>5.8677000000000001</v>
      </c>
      <c r="Z170" s="204">
        <f t="shared" si="111"/>
        <v>1.1900000000000001E-2</v>
      </c>
      <c r="AA170" s="204">
        <f t="shared" si="78"/>
        <v>5.8558000000000003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79"/>
        <v>810</v>
      </c>
      <c r="AE170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70" s="74" t="str">
        <f t="shared" si="81"/>
        <v>"C:\Program Files (x86)\AstroGrep\AstroGrep.exe" /e /r /s /spath="%USERPROFILE%\AppData\Local\Temp\OnboardLogs" /stypes="app*4053*20171109*" /stext=" 15:.+((SYSTEM_STATE.+slice.+state.+changed )|(ment ac)|(multiple cpu faults)|(system.+state.+changed )|(\[timeout)|(PRM\|1\|D)|(kpr)|(kdp)|(train st.+moving)|(\|lc)|(penalty))"</v>
      </c>
      <c r="AG170" s="182" t="str">
        <f t="shared" si="82"/>
        <v>NW</v>
      </c>
      <c r="AH170" s="78" t="str">
        <f t="shared" si="92"/>
        <v>"%USERPROFILE%\Documents\GitHub\eaglep3\Utilities\RefineRTDCRunTimes.py" --tripid 810-09 --locoid 4053 --swversion DE.1.0.9.0 --startMP 300:58677 --initTime 2017-11-09T07:56:18 --startdatetime 2017-11-09T08:12:32 --delay 50 --endMP 204:119 --enddatetime 2017-11-09T08:25:35 --enforcementcount 0 &gt;&gt;%USERPROFILE%\Documents\GitHub\eaglep3-reporting\EC\2017-11-09-refined-times.txt</v>
      </c>
      <c r="AI170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{"issue":{"subject":"","project_id":79,"tracker_id":40,"status_id":1,"priority_id":2,"assigned_to_id":338,"start_date":"2017-11-09","description":"","custom_fields":[{"id":1,"name":"Subdivision","value":"NW"},{"id":4,"name":"Milepost","value":"0.0119"},{"id":17,"name":"Train ID","value":"810-09"},{"id":16,"name":"Locomotive ID","value":"4053"},{"id":130,"name":"Impact","value":""},{"id":150,"name":"Time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93"/>
        <v>start /low /b %USERPROFILE%\Documents\GitHub\eaglep3\Utilities\DownloadLogsFromS3.py --loco 4053 --day 2017-11-09</v>
      </c>
      <c r="AN170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4"/>
        <v>https://d0f6bd738d7f1b3e5a7ca70fe4ff75f0.us-east-1.aws.found.io/app/kibana#/discover/Steve-Slow-Train-Analysis-(2080s-and-2083s)?_g=(refreshInterval:(display:Off,pause:!f,section:0,value:0),time:(from:'2017-11-09T06:56:18-0700',mode:absolute,to:'2017-11-09T09:25:35-0700'))&amp;_a=(columns:!('Message%20ID',Summary),filters:!(),index:'emp_*',interval:auto,query:(query_string:(analyze_wildcard:!t,query:'%22rtdc.l.rtdc.4053%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724</v>
      </c>
      <c r="B171" s="7">
        <v>4016</v>
      </c>
      <c r="C171" s="21" t="s">
        <v>192</v>
      </c>
      <c r="D171" s="21" t="s">
        <v>1035</v>
      </c>
      <c r="E171" s="13">
        <v>43048.331817129627</v>
      </c>
      <c r="F171" s="13">
        <v>43048.339756944442</v>
      </c>
      <c r="G171" s="7">
        <v>49</v>
      </c>
      <c r="H171" s="21" t="s">
        <v>632</v>
      </c>
      <c r="I171" s="13">
        <v>43048.350104166668</v>
      </c>
      <c r="J171" s="7">
        <v>0</v>
      </c>
      <c r="K171" s="89" t="str">
        <f t="shared" si="74"/>
        <v>4015/4016</v>
      </c>
      <c r="L171" s="185" t="str">
        <f>VLOOKUP(A171,'Trips&amp;Operators'!$C$1:$G$99911,5,FALSE)</f>
        <v>FORTUNATO FRANK</v>
      </c>
      <c r="M171" s="6">
        <f t="shared" si="75"/>
        <v>1.0347222225391306E-2</v>
      </c>
      <c r="N171" s="7">
        <f t="shared" si="104"/>
        <v>14.900000004563481</v>
      </c>
      <c r="O171" s="7"/>
      <c r="P171" s="7"/>
      <c r="Q171" s="22"/>
      <c r="R171" s="174"/>
      <c r="S171" s="221">
        <f t="shared" si="105"/>
        <v>1</v>
      </c>
      <c r="T171" s="174" t="str">
        <f t="shared" si="76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77"/>
        <v>https://d0f6bd738d7f1b3e5a7ca70fe4ff75f0.us-east-1.aws.found.io/app/kibana#/discover/Steve-Slow-Train-Analysis-(2080s-and-2083s)?_g=(refreshInterval:(display:Off,pause:!f,section:0,value:0),time:(from:'2017-11-09T06:57:49-0700',mode:absolute,to:'2017-11-09T09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204" t="str">
        <f>IF(AA171&lt;VLOOKUP(AG171,Variables!$AC$3:$AD$8,2,FALSE),"Y","N")</f>
        <v>N</v>
      </c>
      <c r="X171" s="204">
        <f t="shared" si="115"/>
        <v>1</v>
      </c>
      <c r="Y171" s="204">
        <f t="shared" si="110"/>
        <v>0.1114</v>
      </c>
      <c r="Z171" s="204">
        <f t="shared" si="111"/>
        <v>5.8971</v>
      </c>
      <c r="AA171" s="204">
        <f t="shared" si="78"/>
        <v>5.7857000000000003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79"/>
        <v>811</v>
      </c>
      <c r="AE171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71" s="74" t="str">
        <f t="shared" si="81"/>
        <v>"C:\Program Files (x86)\AstroGrep\AstroGrep.exe" /e /r /s /spath="%USERPROFILE%\AppData\Local\Temp\OnboardLogs" /stypes="app*4016*20171109*" /stext=" 15:.+((SYSTEM_STATE.+slice.+state.+changed )|(ment ac)|(multiple cpu faults)|(system.+state.+changed )|(\[timeout)|(PRM\|1\|D)|(kpr)|(kdp)|(train st.+moving)|(\|lc)|(penalty))"</v>
      </c>
      <c r="AG171" s="182" t="str">
        <f t="shared" si="82"/>
        <v>NW</v>
      </c>
      <c r="AH171" s="78" t="str">
        <f t="shared" si="92"/>
        <v>"%USERPROFILE%\Documents\GitHub\eaglep3\Utilities\RefineRTDCRunTimes.py" --tripid 811-09 --locoid 4016 --swversion DE.1.0.9.0 --startMP 204:1114 --initTime 2017-11-09T07:57:49 --startdatetime 2017-11-09T08:09:15 --delay 49 --endMP 300:58971 --enddatetime 2017-11-09T08:24:09 --enforcementcount 0 &gt;&gt;%USERPROFILE%\Documents\GitHub\eaglep3-reporting\EC\2017-11-09-refined-times.txt</v>
      </c>
      <c r="AI171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{"issue":{"subject":"","project_id":79,"tracker_id":40,"status_id":1,"priority_id":2,"assigned_to_id":338,"start_date":"2017-11-09","description":"","custom_fields":[{"id":1,"name":"Subdivision","value":"NW"},{"id":4,"name":"Milepost","value":"5.8971"},{"id":17,"name":"Train ID","value":"811-09"},{"id":16,"name":"Locomotive ID","value":"4016"},{"id":130,"name":"Impact","value":""},{"id":150,"name":"Time of Event (Mountain Time)","value":"08:24:09"},{"id":151,"name":"Denver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93"/>
        <v>start /low /b %USERPROFILE%\Documents\GitHub\eaglep3\Utilities\DownloadLogsFromS3.py --loco 4016 --day 2017-11-09</v>
      </c>
      <c r="AN171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4"/>
        <v>https://d0f6bd738d7f1b3e5a7ca70fe4ff75f0.us-east-1.aws.found.io/app/kibana#/discover/Steve-Slow-Train-Analysis-(2080s-and-2083s)?_g=(refreshInterval:(display:Off,pause:!f,section:0,value:0),time:(from:'2017-11-09T06:57:49-0700',mode:absolute,to:'2017-11-09T09:24:09-0700'))&amp;_a=(columns:!('Message%20ID',Summary),filters:!(),index:'emp_*',interval:auto,query:(query_string:(analyze_wildcard:!t,query:'%22rtdc.l.rtdc.4016%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729</v>
      </c>
      <c r="B172" s="7">
        <v>4015</v>
      </c>
      <c r="C172" s="21" t="s">
        <v>192</v>
      </c>
      <c r="D172" s="21" t="s">
        <v>1036</v>
      </c>
      <c r="E172" s="13">
        <v>43048.351493055554</v>
      </c>
      <c r="F172" s="13">
        <v>43048.363252314812</v>
      </c>
      <c r="G172" s="7">
        <v>60</v>
      </c>
      <c r="H172" s="21" t="s">
        <v>1037</v>
      </c>
      <c r="I172" s="13">
        <v>43048.371504629627</v>
      </c>
      <c r="J172" s="7">
        <v>0</v>
      </c>
      <c r="K172" s="89" t="str">
        <f t="shared" si="74"/>
        <v>4015/4016</v>
      </c>
      <c r="L172" s="185" t="str">
        <f>VLOOKUP(A172,'Trips&amp;Operators'!$C$1:$G$99911,5,FALSE)</f>
        <v>FORTUNATO FRANK</v>
      </c>
      <c r="M172" s="6">
        <f t="shared" si="75"/>
        <v>8.2523148157633841E-3</v>
      </c>
      <c r="N172" s="7">
        <f t="shared" si="104"/>
        <v>11.883333334699273</v>
      </c>
      <c r="O172" s="7"/>
      <c r="P172" s="7"/>
      <c r="Q172" s="22"/>
      <c r="R172" s="174"/>
      <c r="S172" s="221">
        <f t="shared" si="105"/>
        <v>1</v>
      </c>
      <c r="T172" s="174" t="str">
        <f t="shared" si="76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77"/>
        <v>https://d0f6bd738d7f1b3e5a7ca70fe4ff75f0.us-east-1.aws.found.io/app/kibana#/discover/Steve-Slow-Train-Analysis-(2080s-and-2083s)?_g=(refreshInterval:(display:Off,pause:!f,section:0,value:0),time:(from:'2017-11-09T07:26:09-0700',mode:absolute,to:'2017-11-09T09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204" t="str">
        <f>IF(AA172&lt;VLOOKUP(AG172,Variables!$AC$3:$AD$8,2,FALSE),"Y","N")</f>
        <v>N</v>
      </c>
      <c r="X172" s="204">
        <f t="shared" si="115"/>
        <v>1</v>
      </c>
      <c r="Y172" s="204">
        <f t="shared" si="110"/>
        <v>5.8647</v>
      </c>
      <c r="Z172" s="204">
        <f t="shared" si="111"/>
        <v>8.1799999999999998E-2</v>
      </c>
      <c r="AA172" s="204">
        <f t="shared" si="78"/>
        <v>5.7828999999999997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79"/>
        <v>812</v>
      </c>
      <c r="AE172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72" s="74" t="str">
        <f t="shared" si="81"/>
        <v>"C:\Program Files (x86)\AstroGrep\AstroGrep.exe" /e /r /s /spath="%USERPROFILE%\AppData\Local\Temp\OnboardLogs" /stypes="app*4015*20171109*" /stext=" 15:.+((SYSTEM_STATE.+slice.+state.+changed )|(ment ac)|(multiple cpu faults)|(system.+state.+changed )|(\[timeout)|(PRM\|1\|D)|(kpr)|(kdp)|(train st.+moving)|(\|lc)|(penalty))"</v>
      </c>
      <c r="AG172" s="182" t="str">
        <f t="shared" si="82"/>
        <v>NW</v>
      </c>
      <c r="AH172" s="78" t="str">
        <f t="shared" si="92"/>
        <v>"%USERPROFILE%\Documents\GitHub\eaglep3\Utilities\RefineRTDCRunTimes.py" --tripid 812-09 --locoid 4015 --swversion DE.1.0.9.0 --startMP 300:58647 --initTime 2017-11-09T08:26:09 --startdatetime 2017-11-09T08:43:05 --delay 60 --endMP 204:818 --enddatetime 2017-11-09T08:54:58 --enforcementcount 0 &gt;&gt;%USERPROFILE%\Documents\GitHub\eaglep3-reporting\EC\2017-11-09-refined-times.txt</v>
      </c>
      <c r="AI172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{"issue":{"subject":"","project_id":79,"tracker_id":40,"status_id":1,"priority_id":2,"assigned_to_id":338,"start_date":"2017-11-09","description":"","custom_fields":[{"id":1,"name":"Subdivision","value":"NW"},{"id":4,"name":"Milepost","value":"0.0818"},{"id":17,"name":"Train ID","value":"812-09"},{"id":16,"name":"Locomotive ID","value":"4015"},{"id":130,"name":"Impact","value":""},{"id":150,"name":"Time of Event (Mountain Time)","value":"08:54:58"},{"id":151,"name":"Denver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93"/>
        <v>start /low /b %USERPROFILE%\Documents\GitHub\eaglep3\Utilities\DownloadLogsFromS3.py --loco 4015 --day 2017-11-09</v>
      </c>
      <c r="AN172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4"/>
        <v>https://d0f6bd738d7f1b3e5a7ca70fe4ff75f0.us-east-1.aws.found.io/app/kibana#/discover/Steve-Slow-Train-Analysis-(2080s-and-2083s)?_g=(refreshInterval:(display:Off,pause:!f,section:0,value:0),time:(from:'2017-11-09T07:26:09-0700',mode:absolute,to:'2017-11-09T09:54:58-0700'))&amp;_a=(columns:!('Message%20ID',Summary),filters:!(),index:'emp_*',interval:auto,query:(query_string:(analyze_wildcard:!t,query:'%22rtdc.l.rtdc.4015%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734</v>
      </c>
      <c r="B173" s="7">
        <v>4016</v>
      </c>
      <c r="C173" s="21" t="s">
        <v>192</v>
      </c>
      <c r="D173" s="21" t="s">
        <v>1038</v>
      </c>
      <c r="E173" s="13">
        <v>43048.37300925926</v>
      </c>
      <c r="F173" s="13">
        <v>43048.381435185183</v>
      </c>
      <c r="G173" s="7">
        <v>52</v>
      </c>
      <c r="H173" s="21" t="s">
        <v>1039</v>
      </c>
      <c r="I173" s="13">
        <v>43048.391643518517</v>
      </c>
      <c r="J173" s="7">
        <v>0</v>
      </c>
      <c r="K173" s="89" t="str">
        <f t="shared" si="74"/>
        <v>4015/4016</v>
      </c>
      <c r="L173" s="185" t="str">
        <f>VLOOKUP(A173,'Trips&amp;Operators'!$C$1:$G$99911,5,FALSE)</f>
        <v>FORTUNATO FRANK</v>
      </c>
      <c r="M173" s="6">
        <f t="shared" si="75"/>
        <v>1.0208333333139308E-2</v>
      </c>
      <c r="N173" s="7">
        <f t="shared" si="104"/>
        <v>14.699999999720603</v>
      </c>
      <c r="O173" s="7"/>
      <c r="P173" s="7"/>
      <c r="Q173" s="22"/>
      <c r="R173" s="174"/>
      <c r="S173" s="221">
        <f t="shared" si="105"/>
        <v>1</v>
      </c>
      <c r="T173" s="174" t="str">
        <f t="shared" si="76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77"/>
        <v>https://d0f6bd738d7f1b3e5a7ca70fe4ff75f0.us-east-1.aws.found.io/app/kibana#/discover/Steve-Slow-Train-Analysis-(2080s-and-2083s)?_g=(refreshInterval:(display:Off,pause:!f,section:0,value:0),time:(from:'2017-11-09T07:57:08-0700',mode:absolute,to:'2017-11-09T10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204" t="str">
        <f>IF(AA173&lt;VLOOKUP(AG173,Variables!$AC$3:$AD$8,2,FALSE),"Y","N")</f>
        <v>N</v>
      </c>
      <c r="X173" s="204">
        <f t="shared" si="115"/>
        <v>1</v>
      </c>
      <c r="Y173" s="204">
        <f t="shared" si="110"/>
        <v>0.1123</v>
      </c>
      <c r="Z173" s="204">
        <f t="shared" si="111"/>
        <v>5.8994999999999997</v>
      </c>
      <c r="AA173" s="204">
        <f t="shared" si="78"/>
        <v>5.7871999999999995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79"/>
        <v>813</v>
      </c>
      <c r="AE173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73" s="74" t="str">
        <f t="shared" si="81"/>
        <v>"C:\Program Files (x86)\AstroGrep\AstroGrep.exe" /e /r /s /spath="%USERPROFILE%\AppData\Local\Temp\OnboardLogs" /stypes="app*4016*20171109*" /stext=" 16:.+((SYSTEM_STATE.+slice.+state.+changed )|(ment ac)|(multiple cpu faults)|(system.+state.+changed )|(\[timeout)|(PRM\|1\|D)|(kpr)|(kdp)|(train st.+moving)|(\|lc)|(penalty))"</v>
      </c>
      <c r="AG173" s="182" t="str">
        <f t="shared" si="82"/>
        <v>NW</v>
      </c>
      <c r="AH173" s="78" t="str">
        <f t="shared" si="92"/>
        <v>"%USERPROFILE%\Documents\GitHub\eaglep3\Utilities\RefineRTDCRunTimes.py" --tripid 813-09 --locoid 4016 --swversion DE.1.0.9.0 --startMP 204:1123 --initTime 2017-11-09T08:57:08 --startdatetime 2017-11-09T09:09:16 --delay 52 --endMP 300:58995 --enddatetime 2017-11-09T09:23:58 --enforcementcount 0 &gt;&gt;%USERPROFILE%\Documents\GitHub\eaglep3-reporting\EC\2017-11-09-refined-times.txt</v>
      </c>
      <c r="AI173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{"issue":{"subject":"","project_id":79,"tracker_id":40,"status_id":1,"priority_id":2,"assigned_to_id":338,"start_date":"2017-11-09","description":"","custom_fields":[{"id":1,"name":"Subdivision","value":"NW"},{"id":4,"name":"Milepost","value":"5.8995"},{"id":17,"name":"Train ID","value":"813-09"},{"id":16,"name":"Locomotive ID","value":"4016"},{"id":130,"name":"Impact","value":""},{"id":150,"name":"Time of Event (Mountain Time)","value":"09:23:58"},{"id":151,"name":"Denver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93"/>
        <v>start /low /b %USERPROFILE%\Documents\GitHub\eaglep3\Utilities\DownloadLogsFromS3.py --loco 4016 --day 2017-11-09</v>
      </c>
      <c r="AN173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4"/>
        <v>https://d0f6bd738d7f1b3e5a7ca70fe4ff75f0.us-east-1.aws.found.io/app/kibana#/discover/Steve-Slow-Train-Analysis-(2080s-and-2083s)?_g=(refreshInterval:(display:Off,pause:!f,section:0,value:0),time:(from:'2017-11-09T07:57:08-0700',mode:absolute,to:'2017-11-09T10:23:58-0700'))&amp;_a=(columns:!('Message%20ID',Summary),filters:!(),index:'emp_*',interval:auto,query:(query_string:(analyze_wildcard:!t,query:'%22rtdc.l.rtdc.4016%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739</v>
      </c>
      <c r="B174" s="7">
        <v>4015</v>
      </c>
      <c r="C174" s="21" t="s">
        <v>192</v>
      </c>
      <c r="D174" s="21" t="s">
        <v>1040</v>
      </c>
      <c r="E174" s="13">
        <v>43048.393067129633</v>
      </c>
      <c r="F174" s="13">
        <v>43048.404618055552</v>
      </c>
      <c r="G174" s="7">
        <v>56</v>
      </c>
      <c r="H174" s="21" t="s">
        <v>1041</v>
      </c>
      <c r="I174" s="13">
        <v>43048.413182870368</v>
      </c>
      <c r="J174" s="7">
        <v>0</v>
      </c>
      <c r="K174" s="89" t="str">
        <f t="shared" si="74"/>
        <v>4015/4016</v>
      </c>
      <c r="L174" s="185" t="str">
        <f>VLOOKUP(A174,'Trips&amp;Operators'!$C$1:$G$99911,5,FALSE)</f>
        <v>FORTUNATO FRANK</v>
      </c>
      <c r="M174" s="6">
        <f t="shared" si="75"/>
        <v>8.5648148160544224E-3</v>
      </c>
      <c r="N174" s="7">
        <f t="shared" si="104"/>
        <v>12.333333335118368</v>
      </c>
      <c r="O174" s="7"/>
      <c r="P174" s="7"/>
      <c r="Q174" s="22"/>
      <c r="R174" s="174"/>
      <c r="S174" s="221">
        <f t="shared" si="105"/>
        <v>1</v>
      </c>
      <c r="T174" s="174" t="str">
        <f t="shared" si="76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77"/>
        <v>https://d0f6bd738d7f1b3e5a7ca70fe4ff75f0.us-east-1.aws.found.io/app/kibana#/discover/Steve-Slow-Train-Analysis-(2080s-and-2083s)?_g=(refreshInterval:(display:Off,pause:!f,section:0,value:0),time:(from:'2017-11-09T08:26:01-0700',mode:absolute,to:'2017-11-09T10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204" t="str">
        <f>IF(AA174&lt;VLOOKUP(AG174,Variables!$AC$3:$AD$8,2,FALSE),"Y","N")</f>
        <v>N</v>
      </c>
      <c r="X174" s="204">
        <f t="shared" si="115"/>
        <v>1</v>
      </c>
      <c r="Y174" s="204">
        <f t="shared" si="110"/>
        <v>5.8682999999999996</v>
      </c>
      <c r="Z174" s="204">
        <f t="shared" si="111"/>
        <v>8.3599999999999994E-2</v>
      </c>
      <c r="AA174" s="204">
        <f t="shared" si="78"/>
        <v>5.7847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79"/>
        <v>814</v>
      </c>
      <c r="AE174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74" s="74" t="str">
        <f t="shared" si="81"/>
        <v>"C:\Program Files (x86)\AstroGrep\AstroGrep.exe" /e /r /s /spath="%USERPROFILE%\AppData\Local\Temp\OnboardLogs" /stypes="app*4015*20171109*" /stext=" 16:.+((SYSTEM_STATE.+slice.+state.+changed )|(ment ac)|(multiple cpu faults)|(system.+state.+changed )|(\[timeout)|(PRM\|1\|D)|(kpr)|(kdp)|(train st.+moving)|(\|lc)|(penalty))"</v>
      </c>
      <c r="AG174" s="182" t="str">
        <f t="shared" si="82"/>
        <v>NW</v>
      </c>
      <c r="AH174" s="78" t="str">
        <f t="shared" si="92"/>
        <v>"%USERPROFILE%\Documents\GitHub\eaglep3\Utilities\RefineRTDCRunTimes.py" --tripid 814-09 --locoid 4015 --swversion DE.1.0.9.0 --startMP 300:58683 --initTime 2017-11-09T09:26:01 --startdatetime 2017-11-09T09:42:39 --delay 56 --endMP 204:836 --enddatetime 2017-11-09T09:54:59 --enforcementcount 0 &gt;&gt;%USERPROFILE%\Documents\GitHub\eaglep3-reporting\EC\2017-11-09-refined-times.txt</v>
      </c>
      <c r="AI174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{"issue":{"subject":"","project_id":79,"tracker_id":40,"status_id":1,"priority_id":2,"assigned_to_id":338,"start_date":"2017-11-09","description":"","custom_fields":[{"id":1,"name":"Subdivision","value":"NW"},{"id":4,"name":"Milepost","value":"0.0836"},{"id":17,"name":"Train ID","value":"814-09"},{"id":16,"name":"Locomotive ID","value":"4015"},{"id":130,"name":"Impact","value":""},{"id":150,"name":"Time of Event (Mountain Time)","value":"09:54:59"},{"id":151,"name":"Denver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93"/>
        <v>start /low /b %USERPROFILE%\Documents\GitHub\eaglep3\Utilities\DownloadLogsFromS3.py --loco 4015 --day 2017-11-09</v>
      </c>
      <c r="AN174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16:54:59"},{"id":29,"name":"Sharepoint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4"/>
        <v>https://d0f6bd738d7f1b3e5a7ca70fe4ff75f0.us-east-1.aws.found.io/app/kibana#/discover/Steve-Slow-Train-Analysis-(2080s-and-2083s)?_g=(refreshInterval:(display:Off,pause:!f,section:0,value:0),time:(from:'2017-11-09T08:26:01-0700',mode:absolute,to:'2017-11-09T10:54:59-0700'))&amp;_a=(columns:!('Message%20ID',Summary),filters:!(),index:'emp_*',interval:auto,query:(query_string:(analyze_wildcard:!t,query:'%22rtdc.l.rtdc.4015%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744</v>
      </c>
      <c r="B175" s="7">
        <v>4016</v>
      </c>
      <c r="C175" s="21" t="s">
        <v>192</v>
      </c>
      <c r="D175" s="21" t="s">
        <v>1042</v>
      </c>
      <c r="E175" s="13">
        <v>43048.415081018517</v>
      </c>
      <c r="F175" s="13">
        <v>43048.423113425924</v>
      </c>
      <c r="G175" s="7">
        <v>75</v>
      </c>
      <c r="H175" s="21" t="s">
        <v>1043</v>
      </c>
      <c r="I175" s="13">
        <v>43048.434224537035</v>
      </c>
      <c r="J175" s="7">
        <v>0</v>
      </c>
      <c r="K175" s="89" t="str">
        <f t="shared" si="74"/>
        <v>4015/4016</v>
      </c>
      <c r="L175" s="185" t="str">
        <f>VLOOKUP(A175,'Trips&amp;Operators'!$C$1:$G$99911,5,FALSE)</f>
        <v>FORTUNATO FRANK</v>
      </c>
      <c r="M175" s="6">
        <f t="shared" si="75"/>
        <v>1.1111111110949423E-2</v>
      </c>
      <c r="N175" s="7">
        <f t="shared" si="104"/>
        <v>15.999999999767169</v>
      </c>
      <c r="O175" s="7"/>
      <c r="P175" s="7"/>
      <c r="Q175" s="22"/>
      <c r="R175" s="174"/>
      <c r="S175" s="221">
        <f t="shared" si="105"/>
        <v>1</v>
      </c>
      <c r="T175" s="174" t="str">
        <f t="shared" si="76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77"/>
        <v>https://d0f6bd738d7f1b3e5a7ca70fe4ff75f0.us-east-1.aws.found.io/app/kibana#/discover/Steve-Slow-Train-Analysis-(2080s-and-2083s)?_g=(refreshInterval:(display:Off,pause:!f,section:0,value:0),time:(from:'2017-11-09T08:57:43-0700',mode:absolute,to:'2017-11-09T11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204" t="str">
        <f>IF(AA175&lt;VLOOKUP(AG175,Variables!$AC$3:$AD$8,2,FALSE),"Y","N")</f>
        <v>N</v>
      </c>
      <c r="X175" s="204">
        <f t="shared" si="115"/>
        <v>1</v>
      </c>
      <c r="Y175" s="204">
        <f t="shared" si="110"/>
        <v>0.1132</v>
      </c>
      <c r="Z175" s="204">
        <f t="shared" si="111"/>
        <v>5.8983999999999996</v>
      </c>
      <c r="AA175" s="204">
        <f t="shared" si="78"/>
        <v>5.7851999999999997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79"/>
        <v>815</v>
      </c>
      <c r="AE175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75" s="74" t="str">
        <f t="shared" si="81"/>
        <v>"C:\Program Files (x86)\AstroGrep\AstroGrep.exe" /e /r /s /spath="%USERPROFILE%\AppData\Local\Temp\OnboardLogs" /stypes="app*4016*20171109*" /stext=" 17:.+((SYSTEM_STATE.+slice.+state.+changed )|(ment ac)|(multiple cpu faults)|(system.+state.+changed )|(\[timeout)|(PRM\|1\|D)|(kpr)|(kdp)|(train st.+moving)|(\|lc)|(penalty))"</v>
      </c>
      <c r="AG175" s="182" t="str">
        <f t="shared" si="82"/>
        <v>NW</v>
      </c>
      <c r="AH175" s="78" t="str">
        <f t="shared" si="92"/>
        <v>"%USERPROFILE%\Documents\GitHub\eaglep3\Utilities\RefineRTDCRunTimes.py" --tripid 815-09 --locoid 4016 --swversion DE.1.0.9.0 --startMP 204:1132 --initTime 2017-11-09T09:57:43 --startdatetime 2017-11-09T10:09:17 --delay 75 --endMP 300:58984 --enddatetime 2017-11-09T10:25:17 --enforcementcount 0 &gt;&gt;%USERPROFILE%\Documents\GitHub\eaglep3-reporting\EC\2017-11-09-refined-times.txt</v>
      </c>
      <c r="AI175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{"issue":{"subject":"","project_id":79,"tracker_id":40,"status_id":1,"priority_id":2,"assigned_to_id":338,"start_date":"2017-11-09","description":"","custom_fields":[{"id":1,"name":"Subdivision","value":"NW"},{"id":4,"name":"Milepost","value":"5.8984"},{"id":17,"name":"Train ID","value":"815-09"},{"id":16,"name":"Locomotive ID","value":"4016"},{"id":130,"name":"Impact","value":""},{"id":150,"name":"Time of Event (Mountain Time)","value":"10:25:17"},{"id":151,"name":"Denver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93"/>
        <v>start /low /b %USERPROFILE%\Documents\GitHub\eaglep3\Utilities\DownloadLogsFromS3.py --loco 4016 --day 2017-11-09</v>
      </c>
      <c r="AN175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4"/>
        <v>https://d0f6bd738d7f1b3e5a7ca70fe4ff75f0.us-east-1.aws.found.io/app/kibana#/discover/Steve-Slow-Train-Analysis-(2080s-and-2083s)?_g=(refreshInterval:(display:Off,pause:!f,section:0,value:0),time:(from:'2017-11-09T08:57:43-0700',mode:absolute,to:'2017-11-09T11:25:17-0700'))&amp;_a=(columns:!('Message%20ID',Summary),filters:!(),index:'emp_*',interval:auto,query:(query_string:(analyze_wildcard:!t,query:'%22rtdc.l.rtdc.4016%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750</v>
      </c>
      <c r="B176" s="7">
        <v>4015</v>
      </c>
      <c r="C176" s="21" t="s">
        <v>192</v>
      </c>
      <c r="D176" s="21" t="s">
        <v>633</v>
      </c>
      <c r="E176" s="13">
        <v>43048.435567129629</v>
      </c>
      <c r="F176" s="13">
        <v>43048.446655092594</v>
      </c>
      <c r="G176" s="7">
        <v>50</v>
      </c>
      <c r="H176" s="21" t="s">
        <v>1044</v>
      </c>
      <c r="I176" s="13">
        <v>43048.459907407407</v>
      </c>
      <c r="J176" s="7">
        <v>0</v>
      </c>
      <c r="K176" s="89" t="str">
        <f t="shared" si="74"/>
        <v>4015/4016</v>
      </c>
      <c r="L176" s="185" t="str">
        <f>VLOOKUP(A176,'Trips&amp;Operators'!$C$1:$G$99911,5,FALSE)</f>
        <v>FORTUNATO FRANK</v>
      </c>
      <c r="M176" s="6">
        <f t="shared" si="75"/>
        <v>1.3252314813144039E-2</v>
      </c>
      <c r="N176" s="7">
        <f t="shared" si="104"/>
        <v>19.083333330927417</v>
      </c>
      <c r="O176" s="7"/>
      <c r="P176" s="7"/>
      <c r="Q176" s="22"/>
      <c r="R176" s="174"/>
      <c r="S176" s="221">
        <f t="shared" si="105"/>
        <v>1</v>
      </c>
      <c r="T176" s="174" t="str">
        <f t="shared" si="76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77"/>
        <v>https://d0f6bd738d7f1b3e5a7ca70fe4ff75f0.us-east-1.aws.found.io/app/kibana#/discover/Steve-Slow-Train-Analysis-(2080s-and-2083s)?_g=(refreshInterval:(display:Off,pause:!f,section:0,value:0),time:(from:'2017-11-09T09:27:13-0700',mode:absolute,to:'2017-11-09T12:02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204" t="str">
        <f>IF(AA176&lt;VLOOKUP(AG176,Variables!$AC$3:$AD$8,2,FALSE),"Y","N")</f>
        <v>N</v>
      </c>
      <c r="X176" s="204">
        <f t="shared" si="115"/>
        <v>1</v>
      </c>
      <c r="Y176" s="204">
        <f t="shared" si="110"/>
        <v>5.867</v>
      </c>
      <c r="Z176" s="204">
        <f t="shared" si="111"/>
        <v>8.9200000000000002E-2</v>
      </c>
      <c r="AA176" s="204">
        <f t="shared" si="78"/>
        <v>5.7778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79"/>
        <v>816</v>
      </c>
      <c r="AE176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76" s="74" t="str">
        <f t="shared" si="81"/>
        <v>"C:\Program Files (x86)\AstroGrep\AstroGrep.exe" /e /r /s /spath="%USERPROFILE%\AppData\Local\Temp\OnboardLogs" /stypes="app*4015*20171109*" /stext=" 18:.+((SYSTEM_STATE.+slice.+state.+changed )|(ment ac)|(multiple cpu faults)|(system.+state.+changed )|(\[timeout)|(PRM\|1\|D)|(kpr)|(kdp)|(train st.+moving)|(\|lc)|(penalty))"</v>
      </c>
      <c r="AG176" s="182" t="str">
        <f t="shared" si="82"/>
        <v>NW</v>
      </c>
      <c r="AH176" s="78" t="str">
        <f t="shared" si="92"/>
        <v>"%USERPROFILE%\Documents\GitHub\eaglep3\Utilities\RefineRTDCRunTimes.py" --tripid 816-09 --locoid 4015 --swversion DE.1.0.9.0 --startMP 300:58670 --initTime 2017-11-09T10:27:13 --startdatetime 2017-11-09T10:43:11 --delay 50 --endMP 204:892 --enddatetime 2017-11-09T11:02:16 --enforcementcount 0 &gt;&gt;%USERPROFILE%\Documents\GitHub\eaglep3-reporting\EC\2017-11-09-refined-times.txt</v>
      </c>
      <c r="AI176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{"issue":{"subject":"","project_id":79,"tracker_id":40,"status_id":1,"priority_id":2,"assigned_to_id":338,"start_date":"2017-11-09","description":"","custom_fields":[{"id":1,"name":"Subdivision","value":"NW"},{"id":4,"name":"Milepost","value":"0.0892"},{"id":17,"name":"Train ID","value":"816-09"},{"id":16,"name":"Locomotive ID","value":"4015"},{"id":130,"name":"Impact","value":""},{"id":150,"name":"Time of Event (Mountain Time)","value":"11:02:16"},{"id":151,"name":"Denver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93"/>
        <v>start /low /b %USERPROFILE%\Documents\GitHub\eaglep3\Utilities\DownloadLogsFromS3.py --loco 4015 --day 2017-11-09</v>
      </c>
      <c r="AN176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4"/>
        <v>https://d0f6bd738d7f1b3e5a7ca70fe4ff75f0.us-east-1.aws.found.io/app/kibana#/discover/Steve-Slow-Train-Analysis-(2080s-and-2083s)?_g=(refreshInterval:(display:Off,pause:!f,section:0,value:0),time:(from:'2017-11-09T09:27:13-0700',mode:absolute,to:'2017-11-09T12:02:16-0700'))&amp;_a=(columns:!('Message%20ID',Summary),filters:!(),index:'emp_*',interval:auto,query:(query_string:(analyze_wildcard:!t,query:'%22rtdc.l.rtdc.4015%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759</v>
      </c>
      <c r="B177" s="7">
        <v>4016</v>
      </c>
      <c r="C177" s="21" t="s">
        <v>192</v>
      </c>
      <c r="D177" s="21" t="s">
        <v>1045</v>
      </c>
      <c r="E177" s="13">
        <v>43048.46193287037</v>
      </c>
      <c r="F177" s="13">
        <v>43048.464837962965</v>
      </c>
      <c r="G177" s="7">
        <v>61</v>
      </c>
      <c r="H177" s="21" t="s">
        <v>629</v>
      </c>
      <c r="I177" s="13">
        <v>43048.47483796296</v>
      </c>
      <c r="J177" s="7">
        <v>0</v>
      </c>
      <c r="K177" s="89" t="str">
        <f t="shared" si="74"/>
        <v>4015/4016</v>
      </c>
      <c r="L177" s="185" t="str">
        <f>VLOOKUP(A177,'Trips&amp;Operators'!$C$1:$G$99911,5,FALSE)</f>
        <v>FORTUNATO FRANK</v>
      </c>
      <c r="M177" s="6">
        <f t="shared" si="75"/>
        <v>9.9999999947613105E-3</v>
      </c>
      <c r="N177" s="7">
        <f t="shared" si="104"/>
        <v>14.399999992456287</v>
      </c>
      <c r="O177" s="7"/>
      <c r="P177" s="7"/>
      <c r="Q177" s="22"/>
      <c r="R177" s="174"/>
      <c r="S177" s="221">
        <f t="shared" si="105"/>
        <v>1</v>
      </c>
      <c r="T177" s="174" t="str">
        <f t="shared" si="76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77"/>
        <v>https://d0f6bd738d7f1b3e5a7ca70fe4ff75f0.us-east-1.aws.found.io/app/kibana#/discover/Steve-Slow-Train-Analysis-(2080s-and-2083s)?_g=(refreshInterval:(display:Off,pause:!f,section:0,value:0),time:(from:'2017-11-09T10:05:11-0700',mode:absolute,to:'2017-11-09T12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204" t="str">
        <f>IF(AA177&lt;VLOOKUP(AG177,Variables!$AC$3:$AD$8,2,FALSE),"Y","N")</f>
        <v>N</v>
      </c>
      <c r="X177" s="204">
        <f t="shared" si="115"/>
        <v>1</v>
      </c>
      <c r="Y177" s="204">
        <f t="shared" si="110"/>
        <v>0.10929999999999999</v>
      </c>
      <c r="Z177" s="204">
        <f t="shared" si="111"/>
        <v>5.8982000000000001</v>
      </c>
      <c r="AA177" s="204">
        <f t="shared" si="78"/>
        <v>5.7888999999999999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79"/>
        <v>817</v>
      </c>
      <c r="AE177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77" s="74" t="str">
        <f t="shared" si="81"/>
        <v>"C:\Program Files (x86)\AstroGrep\AstroGrep.exe" /e /r /s /spath="%USERPROFILE%\AppData\Local\Temp\OnboardLogs" /stypes="app*4016*20171109*" /stext=" 18:.+((SYSTEM_STATE.+slice.+state.+changed )|(ment ac)|(multiple cpu faults)|(system.+state.+changed )|(\[timeout)|(PRM\|1\|D)|(kpr)|(kdp)|(train st.+moving)|(\|lc)|(penalty))"</v>
      </c>
      <c r="AG177" s="182" t="str">
        <f t="shared" si="82"/>
        <v>NW</v>
      </c>
      <c r="AH177" s="78" t="str">
        <f t="shared" si="92"/>
        <v>"%USERPROFILE%\Documents\GitHub\eaglep3\Utilities\RefineRTDCRunTimes.py" --tripid 817-09 --locoid 4016 --swversion DE.1.0.9.0 --startMP 204:1093 --initTime 2017-11-09T11:05:11 --startdatetime 2017-11-09T11:09:22 --delay 61 --endMP 300:58982 --enddatetime 2017-11-09T11:23:46 --enforcementcount 0 &gt;&gt;%USERPROFILE%\Documents\GitHub\eaglep3-reporting\EC\2017-11-09-refined-times.txt</v>
      </c>
      <c r="AI177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{"issue":{"subject":"","project_id":79,"tracker_id":40,"status_id":1,"priority_id":2,"assigned_to_id":338,"start_date":"2017-11-09","description":"","custom_fields":[{"id":1,"name":"Subdivision","value":"NW"},{"id":4,"name":"Milepost","value":"5.8982"},{"id":17,"name":"Train ID","value":"817-09"},{"id":16,"name":"Locomotive ID","value":"4016"},{"id":130,"name":"Impact","value":""},{"id":150,"name":"Time of Event (Mountain Time)","value":"11:23:46"},{"id":151,"name":"Denver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93"/>
        <v>start /low /b %USERPROFILE%\Documents\GitHub\eaglep3\Utilities\DownloadLogsFromS3.py --loco 4016 --day 2017-11-09</v>
      </c>
      <c r="AN177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4"/>
        <v>https://d0f6bd738d7f1b3e5a7ca70fe4ff75f0.us-east-1.aws.found.io/app/kibana#/discover/Steve-Slow-Train-Analysis-(2080s-and-2083s)?_g=(refreshInterval:(display:Off,pause:!f,section:0,value:0),time:(from:'2017-11-09T10:05:11-0700',mode:absolute,to:'2017-11-09T12:23:46-0700'))&amp;_a=(columns:!('Message%20ID',Summary),filters:!(),index:'emp_*',interval:auto,query:(query_string:(analyze_wildcard:!t,query:'%22rtdc.l.rtdc.4016%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764</v>
      </c>
      <c r="B178" s="7">
        <v>4015</v>
      </c>
      <c r="C178" s="21" t="s">
        <v>192</v>
      </c>
      <c r="D178" s="21" t="s">
        <v>627</v>
      </c>
      <c r="E178" s="13">
        <v>43048.476041666669</v>
      </c>
      <c r="F178" s="13">
        <v>43048.487581018519</v>
      </c>
      <c r="G178" s="7">
        <v>50</v>
      </c>
      <c r="H178" s="21" t="s">
        <v>1046</v>
      </c>
      <c r="I178" s="13">
        <v>43048.496666666666</v>
      </c>
      <c r="J178" s="7">
        <v>0</v>
      </c>
      <c r="K178" s="89" t="str">
        <f t="shared" si="74"/>
        <v>4015/4016</v>
      </c>
      <c r="L178" s="185" t="str">
        <f>VLOOKUP(A178,'Trips&amp;Operators'!$C$1:$G$99911,5,FALSE)</f>
        <v>FORTUNATO FRANK</v>
      </c>
      <c r="M178" s="6">
        <f t="shared" si="75"/>
        <v>9.0856481474475004E-3</v>
      </c>
      <c r="N178" s="7">
        <f t="shared" si="104"/>
        <v>13.083333332324401</v>
      </c>
      <c r="O178" s="7"/>
      <c r="P178" s="7"/>
      <c r="Q178" s="22"/>
      <c r="R178" s="174"/>
      <c r="S178" s="221">
        <f t="shared" si="105"/>
        <v>1</v>
      </c>
      <c r="T178" s="174" t="str">
        <f t="shared" si="76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77"/>
        <v>https://d0f6bd738d7f1b3e5a7ca70fe4ff75f0.us-east-1.aws.found.io/app/kibana#/discover/Steve-Slow-Train-Analysis-(2080s-and-2083s)?_g=(refreshInterval:(display:Off,pause:!f,section:0,value:0),time:(from:'2017-11-09T10:25:30-0700',mode:absolute,to:'2017-11-09T12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204" t="str">
        <f>IF(AA178&lt;VLOOKUP(AG178,Variables!$AC$3:$AD$8,2,FALSE),"Y","N")</f>
        <v>N</v>
      </c>
      <c r="X178" s="204">
        <f t="shared" si="115"/>
        <v>1</v>
      </c>
      <c r="Y178" s="204">
        <f t="shared" si="110"/>
        <v>5.8672000000000004</v>
      </c>
      <c r="Z178" s="204">
        <f t="shared" si="111"/>
        <v>8.43E-2</v>
      </c>
      <c r="AA178" s="204">
        <f t="shared" si="78"/>
        <v>5.7829000000000006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79"/>
        <v>818</v>
      </c>
      <c r="AE178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78" s="74" t="str">
        <f t="shared" si="81"/>
        <v>"C:\Program Files (x86)\AstroGrep\AstroGrep.exe" /e /r /s /spath="%USERPROFILE%\AppData\Local\Temp\OnboardLogs" /stypes="app*4015*20171109*" /stext=" 18:.+((SYSTEM_STATE.+slice.+state.+changed )|(ment ac)|(multiple cpu faults)|(system.+state.+changed )|(\[timeout)|(PRM\|1\|D)|(kpr)|(kdp)|(train st.+moving)|(\|lc)|(penalty))"</v>
      </c>
      <c r="AG178" s="182" t="str">
        <f t="shared" si="82"/>
        <v>NW</v>
      </c>
      <c r="AH178" s="78" t="str">
        <f t="shared" si="92"/>
        <v>"%USERPROFILE%\Documents\GitHub\eaglep3\Utilities\RefineRTDCRunTimes.py" --tripid 818-09 --locoid 4015 --swversion DE.1.0.9.0 --startMP 300:58672 --initTime 2017-11-09T11:25:30 --startdatetime 2017-11-09T11:42:07 --delay 50 --endMP 204:843 --enddatetime 2017-11-09T11:55:12 --enforcementcount 0 &gt;&gt;%USERPROFILE%\Documents\GitHub\eaglep3-reporting\EC\2017-11-09-refined-times.txt</v>
      </c>
      <c r="AI178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{"issue":{"subject":"","project_id":79,"tracker_id":40,"status_id":1,"priority_id":2,"assigned_to_id":338,"start_date":"2017-11-09","description":"","custom_fields":[{"id":1,"name":"Subdivision","value":"NW"},{"id":4,"name":"Milepost","value":"0.0843"},{"id":17,"name":"Train ID","value":"818-09"},{"id":16,"name":"Locomotive ID","value":"4015"},{"id":130,"name":"Impact","value":""},{"id":150,"name":"Time of Event (Mountain Time)","value":"11:55:12"},{"id":151,"name":"Denver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93"/>
        <v>start /low /b %USERPROFILE%\Documents\GitHub\eaglep3\Utilities\DownloadLogsFromS3.py --loco 4015 --day 2017-11-09</v>
      </c>
      <c r="AN178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4"/>
        <v>https://d0f6bd738d7f1b3e5a7ca70fe4ff75f0.us-east-1.aws.found.io/app/kibana#/discover/Steve-Slow-Train-Analysis-(2080s-and-2083s)?_g=(refreshInterval:(display:Off,pause:!f,section:0,value:0),time:(from:'2017-11-09T10:25:30-0700',mode:absolute,to:'2017-11-09T12:55:12-0700'))&amp;_a=(columns:!('Message%20ID',Summary),filters:!(),index:'emp_*',interval:auto,query:(query_string:(analyze_wildcard:!t,query:'%22rtdc.l.rtdc.4015%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768</v>
      </c>
      <c r="B179" s="7">
        <v>4016</v>
      </c>
      <c r="C179" s="21" t="s">
        <v>192</v>
      </c>
      <c r="D179" s="21" t="s">
        <v>1047</v>
      </c>
      <c r="E179" s="13">
        <v>43048.500138888892</v>
      </c>
      <c r="F179" s="13">
        <v>43048.506412037037</v>
      </c>
      <c r="G179" s="7">
        <v>47</v>
      </c>
      <c r="H179" s="21" t="s">
        <v>533</v>
      </c>
      <c r="I179" s="13">
        <v>43048.516342592593</v>
      </c>
      <c r="J179" s="7">
        <v>0</v>
      </c>
      <c r="K179" s="89" t="str">
        <f t="shared" si="74"/>
        <v>4015/4016</v>
      </c>
      <c r="L179" s="185" t="str">
        <f>VLOOKUP(A179,'Trips&amp;Operators'!$C$1:$G$99911,5,FALSE)</f>
        <v>FORTUNATO FRANK</v>
      </c>
      <c r="M179" s="6">
        <f t="shared" si="75"/>
        <v>9.930555555911269E-3</v>
      </c>
      <c r="N179" s="7">
        <f t="shared" si="104"/>
        <v>14.300000000512227</v>
      </c>
      <c r="O179" s="7"/>
      <c r="P179" s="7"/>
      <c r="Q179" s="22"/>
      <c r="R179" s="174"/>
      <c r="S179" s="221">
        <f t="shared" si="105"/>
        <v>1</v>
      </c>
      <c r="T179" s="174" t="str">
        <f t="shared" si="76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77"/>
        <v>https://d0f6bd738d7f1b3e5a7ca70fe4ff75f0.us-east-1.aws.found.io/app/kibana#/discover/Steve-Slow-Train-Analysis-(2080s-and-2083s)?_g=(refreshInterval:(display:Off,pause:!f,section:0,value:0),time:(from:'2017-11-09T11:00:12-0700',mode:absolute,to:'2017-11-09T13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204" t="str">
        <f>IF(AA179&lt;VLOOKUP(AG179,Variables!$AC$3:$AD$8,2,FALSE),"Y","N")</f>
        <v>N</v>
      </c>
      <c r="X179" s="204">
        <f t="shared" si="115"/>
        <v>1</v>
      </c>
      <c r="Y179" s="204">
        <f t="shared" si="110"/>
        <v>0.1119</v>
      </c>
      <c r="Z179" s="204">
        <f t="shared" si="111"/>
        <v>5.8968999999999996</v>
      </c>
      <c r="AA179" s="204">
        <f t="shared" si="78"/>
        <v>5.7849999999999993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79"/>
        <v>819</v>
      </c>
      <c r="AE179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79" s="74" t="str">
        <f t="shared" si="81"/>
        <v>"C:\Program Files (x86)\AstroGrep\AstroGrep.exe" /e /r /s /spath="%USERPROFILE%\AppData\Local\Temp\OnboardLogs" /stypes="app*4016*20171109*" /stext=" 19:.+((SYSTEM_STATE.+slice.+state.+changed )|(ment ac)|(multiple cpu faults)|(system.+state.+changed )|(\[timeout)|(PRM\|1\|D)|(kpr)|(kdp)|(train st.+moving)|(\|lc)|(penalty))"</v>
      </c>
      <c r="AG179" s="182" t="str">
        <f t="shared" si="82"/>
        <v>NW</v>
      </c>
      <c r="AH179" s="78" t="str">
        <f t="shared" si="92"/>
        <v>"%USERPROFILE%\Documents\GitHub\eaglep3\Utilities\RefineRTDCRunTimes.py" --tripid 819-09 --locoid 4016 --swversion DE.1.0.9.0 --startMP 204:1119 --initTime 2017-11-09T12:00:12 --startdatetime 2017-11-09T12:09:14 --delay 47 --endMP 300:58969 --enddatetime 2017-11-09T12:23:32 --enforcementcount 0 &gt;&gt;%USERPROFILE%\Documents\GitHub\eaglep3-reporting\EC\2017-11-09-refined-times.txt</v>
      </c>
      <c r="AI179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{"issue":{"subject":"","project_id":79,"tracker_id":40,"status_id":1,"priority_id":2,"assigned_to_id":338,"start_date":"2017-11-09","description":"","custom_fields":[{"id":1,"name":"Subdivision","value":"NW"},{"id":4,"name":"Milepost","value":"5.8969"},{"id":17,"name":"Train ID","value":"819-09"},{"id":16,"name":"Locomotive ID","value":"4016"},{"id":130,"name":"Impact","value":""},{"id":150,"name":"Time of Event (Mountain Time)","value":"12:23:32"},{"id":151,"name":"Denver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93"/>
        <v>start /low /b %USERPROFILE%\Documents\GitHub\eaglep3\Utilities\DownloadLogsFromS3.py --loco 4016 --day 2017-11-09</v>
      </c>
      <c r="AN179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4"/>
        <v>https://d0f6bd738d7f1b3e5a7ca70fe4ff75f0.us-east-1.aws.found.io/app/kibana#/discover/Steve-Slow-Train-Analysis-(2080s-and-2083s)?_g=(refreshInterval:(display:Off,pause:!f,section:0,value:0),time:(from:'2017-11-09T11:00:12-0700',mode:absolute,to:'2017-11-09T13:23:32-0700'))&amp;_a=(columns:!('Message%20ID',Summary),filters:!(),index:'emp_*',interval:auto,query:(query_string:(analyze_wildcard:!t,query:'%22rtdc.l.rtdc.4016%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775</v>
      </c>
      <c r="B180" s="7">
        <v>4015</v>
      </c>
      <c r="C180" s="21" t="s">
        <v>192</v>
      </c>
      <c r="D180" s="21" t="s">
        <v>1020</v>
      </c>
      <c r="E180" s="13">
        <v>43048.51761574074</v>
      </c>
      <c r="F180" s="13">
        <v>43048.529918981483</v>
      </c>
      <c r="G180" s="7">
        <v>51</v>
      </c>
      <c r="H180" s="21" t="s">
        <v>1032</v>
      </c>
      <c r="I180" s="13">
        <v>43048.538368055553</v>
      </c>
      <c r="J180" s="7">
        <v>0</v>
      </c>
      <c r="K180" s="89" t="str">
        <f t="shared" si="74"/>
        <v>4015/4016</v>
      </c>
      <c r="L180" s="185" t="str">
        <f>VLOOKUP(A180,'Trips&amp;Operators'!$C$1:$G$99911,5,FALSE)</f>
        <v>FORTUNATO FRANK</v>
      </c>
      <c r="M180" s="6">
        <f t="shared" si="75"/>
        <v>8.4490740700857714E-3</v>
      </c>
      <c r="N180" s="7">
        <f t="shared" si="104"/>
        <v>12.166666660923511</v>
      </c>
      <c r="O180" s="7"/>
      <c r="P180" s="7"/>
      <c r="Q180" s="22"/>
      <c r="R180" s="174"/>
      <c r="S180" s="221">
        <f t="shared" si="105"/>
        <v>1</v>
      </c>
      <c r="T180" s="174" t="str">
        <f t="shared" si="76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77"/>
        <v>https://d0f6bd738d7f1b3e5a7ca70fe4ff75f0.us-east-1.aws.found.io/app/kibana#/discover/Steve-Slow-Train-Analysis-(2080s-and-2083s)?_g=(refreshInterval:(display:Off,pause:!f,section:0,value:0),time:(from:'2017-11-09T11:25:22-0700',mode:absolute,to:'2017-11-09T13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204" t="str">
        <f>IF(AA180&lt;VLOOKUP(AG180,Variables!$AC$3:$AD$8,2,FALSE),"Y","N")</f>
        <v>N</v>
      </c>
      <c r="X180" s="204">
        <f t="shared" si="115"/>
        <v>1</v>
      </c>
      <c r="Y180" s="204">
        <f t="shared" si="110"/>
        <v>5.8655999999999997</v>
      </c>
      <c r="Z180" s="204">
        <f t="shared" si="111"/>
        <v>8.4099999999999994E-2</v>
      </c>
      <c r="AA180" s="204">
        <f t="shared" si="78"/>
        <v>5.7814999999999994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79"/>
        <v>820</v>
      </c>
      <c r="AE180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80" s="74" t="str">
        <f t="shared" si="81"/>
        <v>"C:\Program Files (x86)\AstroGrep\AstroGrep.exe" /e /r /s /spath="%USERPROFILE%\AppData\Local\Temp\OnboardLogs" /stypes="app*4015*20171109*" /stext=" 19:.+((SYSTEM_STATE.+slice.+state.+changed )|(ment ac)|(multiple cpu faults)|(system.+state.+changed )|(\[timeout)|(PRM\|1\|D)|(kpr)|(kdp)|(train st.+moving)|(\|lc)|(penalty))"</v>
      </c>
      <c r="AG180" s="182" t="str">
        <f t="shared" si="82"/>
        <v>NW</v>
      </c>
      <c r="AH180" s="78" t="str">
        <f t="shared" si="92"/>
        <v>"%USERPROFILE%\Documents\GitHub\eaglep3\Utilities\RefineRTDCRunTimes.py" --tripid 820-09 --locoid 4015 --swversion DE.1.0.9.0 --startMP 300:58656 --initTime 2017-11-09T12:25:22 --startdatetime 2017-11-09T12:43:05 --delay 51 --endMP 204:841 --enddatetime 2017-11-09T12:55:15 --enforcementcount 0 &gt;&gt;%USERPROFILE%\Documents\GitHub\eaglep3-reporting\EC\2017-11-09-refined-times.txt</v>
      </c>
      <c r="AI180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{"issue":{"subject":"","project_id":79,"tracker_id":40,"status_id":1,"priority_id":2,"assigned_to_id":338,"start_date":"2017-11-09","description":"","custom_fields":[{"id":1,"name":"Subdivision","value":"NW"},{"id":4,"name":"Milepost","value":"0.0841"},{"id":17,"name":"Train ID","value":"820-09"},{"id":16,"name":"Locomotive ID","value":"4015"},{"id":130,"name":"Impact","value":""},{"id":150,"name":"Time of Event (Mountain Time)","value":"12:55:15"},{"id":151,"name":"Denver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93"/>
        <v>start /low /b %USERPROFILE%\Documents\GitHub\eaglep3\Utilities\DownloadLogsFromS3.py --loco 4015 --day 2017-11-09</v>
      </c>
      <c r="AN180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19:55:15"},{"id":29,"name":"Sharepoint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4"/>
        <v>https://d0f6bd738d7f1b3e5a7ca70fe4ff75f0.us-east-1.aws.found.io/app/kibana#/discover/Steve-Slow-Train-Analysis-(2080s-and-2083s)?_g=(refreshInterval:(display:Off,pause:!f,section:0,value:0),time:(from:'2017-11-09T11:25:22-0700',mode:absolute,to:'2017-11-09T13:55:15-0700'))&amp;_a=(columns:!('Message%20ID',Summary),filters:!(),index:'emp_*',interval:auto,query:(query_string:(analyze_wildcard:!t,query:'%22rtdc.l.rtdc.4015%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780</v>
      </c>
      <c r="B181" s="7">
        <v>4016</v>
      </c>
      <c r="C181" s="21" t="s">
        <v>192</v>
      </c>
      <c r="D181" s="21" t="s">
        <v>1042</v>
      </c>
      <c r="E181" s="13">
        <v>43048.542696759258</v>
      </c>
      <c r="F181" s="13">
        <v>43048.548321759263</v>
      </c>
      <c r="G181" s="7">
        <v>61</v>
      </c>
      <c r="H181" s="21" t="s">
        <v>1048</v>
      </c>
      <c r="I181" s="13">
        <v>43048.557303240741</v>
      </c>
      <c r="J181" s="7">
        <v>0</v>
      </c>
      <c r="K181" s="89" t="str">
        <f t="shared" si="74"/>
        <v>4015/4016</v>
      </c>
      <c r="L181" s="185" t="str">
        <f>VLOOKUP(A181,'Trips&amp;Operators'!$C$1:$G$99911,5,FALSE)</f>
        <v>STAMBAUGH JAMES</v>
      </c>
      <c r="M181" s="6">
        <f t="shared" si="75"/>
        <v>8.9814814782585017E-3</v>
      </c>
      <c r="N181" s="7">
        <f t="shared" si="104"/>
        <v>12.933333328692243</v>
      </c>
      <c r="O181" s="7"/>
      <c r="P181" s="7"/>
      <c r="Q181" s="22"/>
      <c r="R181" s="174"/>
      <c r="S181" s="221">
        <f t="shared" si="105"/>
        <v>1</v>
      </c>
      <c r="T181" s="174" t="str">
        <f t="shared" si="7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77"/>
        <v>https://d0f6bd738d7f1b3e5a7ca70fe4ff75f0.us-east-1.aws.found.io/app/kibana#/discover/Steve-Slow-Train-Analysis-(2080s-and-2083s)?_g=(refreshInterval:(display:Off,pause:!f,section:0,value:0),time:(from:'2017-11-09T12:01:29-0700',mode:absolute,to:'2017-11-09T14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204" t="str">
        <f>IF(AA181&lt;VLOOKUP(AG181,Variables!$AC$3:$AD$8,2,FALSE),"Y","N")</f>
        <v>N</v>
      </c>
      <c r="X181" s="204">
        <f t="shared" si="115"/>
        <v>1</v>
      </c>
      <c r="Y181" s="204">
        <f t="shared" si="110"/>
        <v>0.1132</v>
      </c>
      <c r="Z181" s="204">
        <f t="shared" si="111"/>
        <v>5.8936999999999999</v>
      </c>
      <c r="AA181" s="204">
        <f t="shared" si="78"/>
        <v>5.7805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79"/>
        <v>821</v>
      </c>
      <c r="AE181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81" s="74" t="str">
        <f t="shared" si="81"/>
        <v>"C:\Program Files (x86)\AstroGrep\AstroGrep.exe" /e /r /s /spath="%USERPROFILE%\AppData\Local\Temp\OnboardLogs" /stypes="app*4016*20171109*" /stext=" 20:.+((SYSTEM_STATE.+slice.+state.+changed )|(ment ac)|(multiple cpu faults)|(system.+state.+changed )|(\[timeout)|(PRM\|1\|D)|(kpr)|(kdp)|(train st.+moving)|(\|lc)|(penalty))"</v>
      </c>
      <c r="AG181" s="182" t="str">
        <f t="shared" si="82"/>
        <v>NW</v>
      </c>
      <c r="AH181" s="78" t="str">
        <f t="shared" si="92"/>
        <v>"%USERPROFILE%\Documents\GitHub\eaglep3\Utilities\RefineRTDCRunTimes.py" --tripid 821-09 --locoid 4016 --swversion DE.1.0.9.0 --startMP 204:1132 --initTime 2017-11-09T13:01:29 --startdatetime 2017-11-09T13:09:35 --delay 61 --endMP 300:58937 --enddatetime 2017-11-09T13:22:31 --enforcementcount 0 &gt;&gt;%USERPROFILE%\Documents\GitHub\eaglep3-reporting\EC\2017-11-09-refined-times.txt</v>
      </c>
      <c r="AI181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{"issue":{"subject":"","project_id":79,"tracker_id":40,"status_id":1,"priority_id":2,"assigned_to_id":338,"start_date":"2017-11-09","description":"","custom_fields":[{"id":1,"name":"Subdivision","value":"NW"},{"id":4,"name":"Milepost","value":"5.8937"},{"id":17,"name":"Train ID","value":"821-09"},{"id":16,"name":"Locomotive ID","value":"4016"},{"id":130,"name":"Impact","value":""},{"id":150,"name":"Time of Event (Mountain Time)","value":"13:22:31"},{"id":151,"name":"Denver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93"/>
        <v>start /low /b %USERPROFILE%\Documents\GitHub\eaglep3\Utilities\DownloadLogsFromS3.py --loco 4016 --day 2017-11-09</v>
      </c>
      <c r="AN181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4"/>
        <v>https://d0f6bd738d7f1b3e5a7ca70fe4ff75f0.us-east-1.aws.found.io/app/kibana#/discover/Steve-Slow-Train-Analysis-(2080s-and-2083s)?_g=(refreshInterval:(display:Off,pause:!f,section:0,value:0),time:(from:'2017-11-09T12:01:29-0700',mode:absolute,to:'2017-11-09T14:22:31-0700'))&amp;_a=(columns:!('Message%20ID',Summary),filters:!(),index:'emp_*',interval:auto,query:(query_string:(analyze_wildcard:!t,query:'%22rtdc.l.rtdc.4016%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784</v>
      </c>
      <c r="B182" s="7">
        <v>4015</v>
      </c>
      <c r="C182" s="21" t="s">
        <v>192</v>
      </c>
      <c r="D182" s="21" t="s">
        <v>1049</v>
      </c>
      <c r="E182" s="13">
        <v>43048.559907407405</v>
      </c>
      <c r="F182" s="13">
        <v>43048.572118055556</v>
      </c>
      <c r="G182" s="7">
        <v>77</v>
      </c>
      <c r="H182" s="21" t="s">
        <v>1050</v>
      </c>
      <c r="I182" s="13">
        <v>43048.579745370371</v>
      </c>
      <c r="J182" s="7">
        <v>0</v>
      </c>
      <c r="K182" s="89" t="str">
        <f t="shared" si="74"/>
        <v>4015/4016</v>
      </c>
      <c r="L182" s="185" t="str">
        <f>VLOOKUP(A182,'Trips&amp;Operators'!$C$1:$G$99911,5,FALSE)</f>
        <v>STAMBAUGH JAMES</v>
      </c>
      <c r="M182" s="6">
        <f t="shared" si="75"/>
        <v>7.6273148151813075E-3</v>
      </c>
      <c r="N182" s="7">
        <f t="shared" si="104"/>
        <v>10.983333333861083</v>
      </c>
      <c r="O182" s="7"/>
      <c r="P182" s="7"/>
      <c r="Q182" s="22"/>
      <c r="R182" s="174"/>
      <c r="S182" s="221">
        <f t="shared" si="105"/>
        <v>1</v>
      </c>
      <c r="T182" s="174" t="str">
        <f t="shared" si="7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77"/>
        <v>https://d0f6bd738d7f1b3e5a7ca70fe4ff75f0.us-east-1.aws.found.io/app/kibana#/discover/Steve-Slow-Train-Analysis-(2080s-and-2083s)?_g=(refreshInterval:(display:Off,pause:!f,section:0,value:0),time:(from:'2017-11-09T12:26:16-0700',mode:absolute,to:'2017-11-09T14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204" t="str">
        <f>IF(AA182&lt;VLOOKUP(AG182,Variables!$AC$3:$AD$8,2,FALSE),"Y","N")</f>
        <v>N</v>
      </c>
      <c r="X182" s="204">
        <f t="shared" si="115"/>
        <v>1</v>
      </c>
      <c r="Y182" s="204">
        <f t="shared" si="110"/>
        <v>5.8619000000000003</v>
      </c>
      <c r="Z182" s="204">
        <f t="shared" si="111"/>
        <v>6.8500000000000005E-2</v>
      </c>
      <c r="AA182" s="204">
        <f t="shared" si="78"/>
        <v>5.7934000000000001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79"/>
        <v>822</v>
      </c>
      <c r="AE182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82" s="74" t="str">
        <f t="shared" si="81"/>
        <v>"C:\Program Files (x86)\AstroGrep\AstroGrep.exe" /e /r /s /spath="%USERPROFILE%\AppData\Local\Temp\OnboardLogs" /stypes="app*4015*20171109*" /stext=" 20:.+((SYSTEM_STATE.+slice.+state.+changed )|(ment ac)|(multiple cpu faults)|(system.+state.+changed )|(\[timeout)|(PRM\|1\|D)|(kpr)|(kdp)|(train st.+moving)|(\|lc)|(penalty))"</v>
      </c>
      <c r="AG182" s="182" t="str">
        <f t="shared" si="82"/>
        <v>NW</v>
      </c>
      <c r="AH182" s="78" t="str">
        <f t="shared" si="92"/>
        <v>"%USERPROFILE%\Documents\GitHub\eaglep3\Utilities\RefineRTDCRunTimes.py" --tripid 822-09 --locoid 4015 --swversion DE.1.0.9.0 --startMP 300:58619 --initTime 2017-11-09T13:26:16 --startdatetime 2017-11-09T13:43:51 --delay 77 --endMP 204:685 --enddatetime 2017-11-09T13:54:50 --enforcementcount 0 &gt;&gt;%USERPROFILE%\Documents\GitHub\eaglep3-reporting\EC\2017-11-09-refined-times.txt</v>
      </c>
      <c r="AI182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{"issue":{"subject":"","project_id":79,"tracker_id":40,"status_id":1,"priority_id":2,"assigned_to_id":338,"start_date":"2017-11-09","description":"","custom_fields":[{"id":1,"name":"Subdivision","value":"NW"},{"id":4,"name":"Milepost","value":"0.0685"},{"id":17,"name":"Train ID","value":"822-09"},{"id":16,"name":"Locomotive ID","value":"4015"},{"id":130,"name":"Impact","value":""},{"id":150,"name":"Time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93"/>
        <v>start /low /b %USERPROFILE%\Documents\GitHub\eaglep3\Utilities\DownloadLogsFromS3.py --loco 4015 --day 2017-11-09</v>
      </c>
      <c r="AN182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4"/>
        <v>https://d0f6bd738d7f1b3e5a7ca70fe4ff75f0.us-east-1.aws.found.io/app/kibana#/discover/Steve-Slow-Train-Analysis-(2080s-and-2083s)?_g=(refreshInterval:(display:Off,pause:!f,section:0,value:0),time:(from:'2017-11-09T12:26:16-0700',mode:absolute,to:'2017-11-09T14:54:50-0700'))&amp;_a=(columns:!('Message%20ID',Summary),filters:!(),index:'emp_*',interval:auto,query:(query_string:(analyze_wildcard:!t,query:'%22rtdc.l.rtdc.4015%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787</v>
      </c>
      <c r="B183" s="7">
        <v>4016</v>
      </c>
      <c r="C183" s="21" t="s">
        <v>192</v>
      </c>
      <c r="D183" s="21" t="s">
        <v>449</v>
      </c>
      <c r="E183" s="13">
        <v>43048.587083333332</v>
      </c>
      <c r="F183" s="13">
        <v>43048.58997685185</v>
      </c>
      <c r="G183" s="7">
        <v>71</v>
      </c>
      <c r="H183" s="21" t="s">
        <v>534</v>
      </c>
      <c r="I183" s="13">
        <v>43048.599606481483</v>
      </c>
      <c r="J183" s="7">
        <v>0</v>
      </c>
      <c r="K183" s="89" t="str">
        <f t="shared" si="74"/>
        <v>4015/4016</v>
      </c>
      <c r="L183" s="185" t="str">
        <f>VLOOKUP(A183,'Trips&amp;Operators'!$C$1:$G$99911,5,FALSE)</f>
        <v>STAMBAUGH JAMES</v>
      </c>
      <c r="M183" s="6">
        <f t="shared" si="75"/>
        <v>9.6296296323998831E-3</v>
      </c>
      <c r="N183" s="7">
        <f t="shared" si="104"/>
        <v>13.866666670655832</v>
      </c>
      <c r="O183" s="7"/>
      <c r="P183" s="7"/>
      <c r="Q183" s="22"/>
      <c r="R183" s="174"/>
      <c r="S183" s="221">
        <f t="shared" si="105"/>
        <v>1</v>
      </c>
      <c r="T183" s="174" t="str">
        <f t="shared" si="7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77"/>
        <v>https://d0f6bd738d7f1b3e5a7ca70fe4ff75f0.us-east-1.aws.found.io/app/kibana#/discover/Steve-Slow-Train-Analysis-(2080s-and-2083s)?_g=(refreshInterval:(display:Off,pause:!f,section:0,value:0),time:(from:'2017-11-09T13:05:24-0700',mode:absolute,to:'2017-11-09T15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204" t="str">
        <f>IF(AA183&lt;VLOOKUP(AG183,Variables!$AC$3:$AD$8,2,FALSE),"Y","N")</f>
        <v>N</v>
      </c>
      <c r="X183" s="204">
        <f t="shared" si="115"/>
        <v>1</v>
      </c>
      <c r="Y183" s="204">
        <f t="shared" si="110"/>
        <v>9.7600000000000006E-2</v>
      </c>
      <c r="Z183" s="204">
        <f t="shared" si="111"/>
        <v>5.8939000000000004</v>
      </c>
      <c r="AA183" s="204">
        <f t="shared" si="78"/>
        <v>5.7963000000000005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79"/>
        <v>823</v>
      </c>
      <c r="AE183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83" s="74" t="str">
        <f t="shared" si="81"/>
        <v>"C:\Program Files (x86)\AstroGrep\AstroGrep.exe" /e /r /s /spath="%USERPROFILE%\AppData\Local\Temp\OnboardLogs" /stypes="app*4016*20171109*" /stext=" 21:.+((SYSTEM_STATE.+slice.+state.+changed )|(ment ac)|(multiple cpu faults)|(system.+state.+changed )|(\[timeout)|(PRM\|1\|D)|(kpr)|(kdp)|(train st.+moving)|(\|lc)|(penalty))"</v>
      </c>
      <c r="AG183" s="182" t="str">
        <f t="shared" si="82"/>
        <v>NW</v>
      </c>
      <c r="AH183" s="78" t="str">
        <f t="shared" si="92"/>
        <v>"%USERPROFILE%\Documents\GitHub\eaglep3\Utilities\RefineRTDCRunTimes.py" --tripid 823-09 --locoid 4016 --swversion DE.1.0.9.0 --startMP 204:976 --initTime 2017-11-09T14:05:24 --startdatetime 2017-11-09T14:09:34 --delay 71 --endMP 300:58939 --enddatetime 2017-11-09T14:23:26 --enforcementcount 0 &gt;&gt;%USERPROFILE%\Documents\GitHub\eaglep3-reporting\EC\2017-11-09-refined-times.txt</v>
      </c>
      <c r="AI183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{"issue":{"subject":"","project_id":79,"tracker_id":40,"status_id":1,"priority_id":2,"assigned_to_id":338,"start_date":"2017-11-09","description":"","custom_fields":[{"id":1,"name":"Subdivision","value":"NW"},{"id":4,"name":"Milepost","value":"5.8939"},{"id":17,"name":"Train ID","value":"823-09"},{"id":16,"name":"Locomotive ID","value":"4016"},{"id":130,"name":"Impact","value":""},{"id":150,"name":"Time of Event (Mountain Time)","value":"14:23:26"},{"id":151,"name":"Denver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93"/>
        <v>start /low /b %USERPROFILE%\Documents\GitHub\eaglep3\Utilities\DownloadLogsFromS3.py --loco 4016 --day 2017-11-09</v>
      </c>
      <c r="AN183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4"/>
        <v>https://d0f6bd738d7f1b3e5a7ca70fe4ff75f0.us-east-1.aws.found.io/app/kibana#/discover/Steve-Slow-Train-Analysis-(2080s-and-2083s)?_g=(refreshInterval:(display:Off,pause:!f,section:0,value:0),time:(from:'2017-11-09T13:05:24-0700',mode:absolute,to:'2017-11-09T15:23:26-0700'))&amp;_a=(columns:!('Message%20ID',Summary),filters:!(),index:'emp_*',interval:auto,query:(query_string:(analyze_wildcard:!t,query:'%22rtdc.l.rtdc.4016%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791</v>
      </c>
      <c r="B184" s="7">
        <v>4015</v>
      </c>
      <c r="C184" s="21" t="s">
        <v>192</v>
      </c>
      <c r="D184" s="21" t="s">
        <v>1051</v>
      </c>
      <c r="E184" s="13">
        <v>43048.600474537037</v>
      </c>
      <c r="F184" s="13">
        <v>43048.613275462965</v>
      </c>
      <c r="G184" s="7">
        <v>61</v>
      </c>
      <c r="H184" s="21" t="s">
        <v>1052</v>
      </c>
      <c r="I184" s="13">
        <v>43048.621458333335</v>
      </c>
      <c r="J184" s="7">
        <v>0</v>
      </c>
      <c r="K184" s="89" t="str">
        <f t="shared" si="74"/>
        <v>4015/4016</v>
      </c>
      <c r="L184" s="185" t="str">
        <f>VLOOKUP(A184,'Trips&amp;Operators'!$C$1:$G$99911,5,FALSE)</f>
        <v>STAMBAUGH JAMES</v>
      </c>
      <c r="M184" s="6">
        <f t="shared" si="75"/>
        <v>8.182870369637385E-3</v>
      </c>
      <c r="N184" s="7">
        <f t="shared" si="104"/>
        <v>11.783333332277834</v>
      </c>
      <c r="O184" s="7"/>
      <c r="P184" s="7"/>
      <c r="Q184" s="22"/>
      <c r="R184" s="174"/>
      <c r="S184" s="221">
        <f t="shared" si="105"/>
        <v>1</v>
      </c>
      <c r="T184" s="174" t="str">
        <f t="shared" si="7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77"/>
        <v>https://d0f6bd738d7f1b3e5a7ca70fe4ff75f0.us-east-1.aws.found.io/app/kibana#/discover/Steve-Slow-Train-Analysis-(2080s-and-2083s)?_g=(refreshInterval:(display:Off,pause:!f,section:0,value:0),time:(from:'2017-11-09T13:24:41-0700',mode:absolute,to:'2017-11-09T15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204" t="str">
        <f>IF(AA184&lt;VLOOKUP(AG184,Variables!$AC$3:$AD$8,2,FALSE),"Y","N")</f>
        <v>N</v>
      </c>
      <c r="X184" s="204">
        <f t="shared" si="115"/>
        <v>1</v>
      </c>
      <c r="Y184" s="204">
        <f t="shared" si="110"/>
        <v>5.8613</v>
      </c>
      <c r="Z184" s="204">
        <f t="shared" si="111"/>
        <v>6.9099999999999995E-2</v>
      </c>
      <c r="AA184" s="204">
        <f t="shared" si="78"/>
        <v>5.7922000000000002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79"/>
        <v>824</v>
      </c>
      <c r="AE184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84" s="74" t="str">
        <f t="shared" si="81"/>
        <v>"C:\Program Files (x86)\AstroGrep\AstroGrep.exe" /e /r /s /spath="%USERPROFILE%\AppData\Local\Temp\OnboardLogs" /stypes="app*4015*20171109*" /stext=" 21:.+((SYSTEM_STATE.+slice.+state.+changed )|(ment ac)|(multiple cpu faults)|(system.+state.+changed )|(\[timeout)|(PRM\|1\|D)|(kpr)|(kdp)|(train st.+moving)|(\|lc)|(penalty))"</v>
      </c>
      <c r="AG184" s="182" t="str">
        <f t="shared" si="82"/>
        <v>NW</v>
      </c>
      <c r="AH184" s="78" t="str">
        <f t="shared" si="92"/>
        <v>"%USERPROFILE%\Documents\GitHub\eaglep3\Utilities\RefineRTDCRunTimes.py" --tripid 824-09 --locoid 4015 --swversion DE.1.0.9.0 --startMP 300:58613 --initTime 2017-11-09T14:24:41 --startdatetime 2017-11-09T14:43:07 --delay 61 --endMP 204:691 --enddatetime 2017-11-09T14:54:54 --enforcementcount 0 &gt;&gt;%USERPROFILE%\Documents\GitHub\eaglep3-reporting\EC\2017-11-09-refined-times.txt</v>
      </c>
      <c r="AI184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{"issue":{"subject":"","project_id":79,"tracker_id":40,"status_id":1,"priority_id":2,"assigned_to_id":338,"start_date":"2017-11-09","description":"","custom_fields":[{"id":1,"name":"Subdivision","value":"NW"},{"id":4,"name":"Milepost","value":"0.0691"},{"id":17,"name":"Train ID","value":"824-09"},{"id":16,"name":"Locomotive ID","value":"4015"},{"id":130,"name":"Impact","value":""},{"id":150,"name":"Time of Event (Mountain Time)","value":"14:54:54"},{"id":151,"name":"Denver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93"/>
        <v>start /low /b %USERPROFILE%\Documents\GitHub\eaglep3\Utilities\DownloadLogsFromS3.py --loco 4015 --day 2017-11-09</v>
      </c>
      <c r="AN184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4"/>
        <v>https://d0f6bd738d7f1b3e5a7ca70fe4ff75f0.us-east-1.aws.found.io/app/kibana#/discover/Steve-Slow-Train-Analysis-(2080s-and-2083s)?_g=(refreshInterval:(display:Off,pause:!f,section:0,value:0),time:(from:'2017-11-09T13:24:41-0700',mode:absolute,to:'2017-11-09T15:54:54-0700'))&amp;_a=(columns:!('Message%20ID',Summary),filters:!(),index:'emp_*',interval:auto,query:(query_string:(analyze_wildcard:!t,query:'%22rtdc.l.rtdc.4015%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654</v>
      </c>
      <c r="B185" s="7">
        <v>4016</v>
      </c>
      <c r="C185" s="21" t="s">
        <v>192</v>
      </c>
      <c r="D185" s="21" t="s">
        <v>636</v>
      </c>
      <c r="E185" s="13">
        <v>43048.630509259259</v>
      </c>
      <c r="F185" s="13">
        <v>43048.631597222222</v>
      </c>
      <c r="G185" s="7">
        <v>47</v>
      </c>
      <c r="H185" s="21" t="s">
        <v>1048</v>
      </c>
      <c r="I185" s="13">
        <v>43048.640590277777</v>
      </c>
      <c r="J185" s="7">
        <v>0</v>
      </c>
      <c r="K185" s="89" t="str">
        <f t="shared" si="74"/>
        <v>4015/4016</v>
      </c>
      <c r="L185" s="185" t="str">
        <f>VLOOKUP(A185,'Trips&amp;Operators'!$C$1:$G$99911,5,FALSE)</f>
        <v>STAMBAUGH JAMES</v>
      </c>
      <c r="M185" s="6">
        <f t="shared" si="75"/>
        <v>8.9930555550381541E-3</v>
      </c>
      <c r="N185" s="7">
        <f t="shared" si="104"/>
        <v>12.949999999254942</v>
      </c>
      <c r="O185" s="7"/>
      <c r="P185" s="7"/>
      <c r="Q185" s="22"/>
      <c r="R185" s="174"/>
      <c r="S185" s="221">
        <f t="shared" si="105"/>
        <v>1</v>
      </c>
      <c r="T185" s="174" t="str">
        <f t="shared" si="7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77"/>
        <v>https://d0f6bd738d7f1b3e5a7ca70fe4ff75f0.us-east-1.aws.found.io/app/kibana#/discover/Steve-Slow-Train-Analysis-(2080s-and-2083s)?_g=(refreshInterval:(display:Off,pause:!f,section:0,value:0),time:(from:'2017-11-09T14:07:56-0700',mode:absolute,to:'2017-11-09T16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204" t="str">
        <f>IF(AA185&lt;VLOOKUP(AG185,Variables!$AC$3:$AD$8,2,FALSE),"Y","N")</f>
        <v>N</v>
      </c>
      <c r="X185" s="204">
        <f t="shared" si="115"/>
        <v>1</v>
      </c>
      <c r="Y185" s="204">
        <f t="shared" si="110"/>
        <v>9.6199999999999994E-2</v>
      </c>
      <c r="Z185" s="204">
        <f t="shared" si="111"/>
        <v>5.8936999999999999</v>
      </c>
      <c r="AA185" s="204">
        <f t="shared" si="78"/>
        <v>5.7975000000000003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79"/>
        <v>825</v>
      </c>
      <c r="AE185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85" s="74" t="str">
        <f t="shared" si="81"/>
        <v>"C:\Program Files (x86)\AstroGrep\AstroGrep.exe" /e /r /s /spath="%USERPROFILE%\AppData\Local\Temp\OnboardLogs" /stypes="app*4016*20171109*" /stext=" 22:.+((SYSTEM_STATE.+slice.+state.+changed )|(ment ac)|(multiple cpu faults)|(system.+state.+changed )|(\[timeout)|(PRM\|1\|D)|(kpr)|(kdp)|(train st.+moving)|(\|lc)|(penalty))"</v>
      </c>
      <c r="AG185" s="182" t="str">
        <f t="shared" si="82"/>
        <v>NW</v>
      </c>
      <c r="AH185" s="78" t="str">
        <f t="shared" si="92"/>
        <v>"%USERPROFILE%\Documents\GitHub\eaglep3\Utilities\RefineRTDCRunTimes.py" --tripid 825-09 --locoid 4016 --swversion DE.1.0.9.0 --startMP 204:962 --initTime 2017-11-09T15:07:56 --startdatetime 2017-11-09T15:09:30 --delay 47 --endMP 300:58937 --enddatetime 2017-11-09T15:22:27 --enforcementcount 0 &gt;&gt;%USERPROFILE%\Documents\GitHub\eaglep3-reporting\EC\2017-11-09-refined-times.txt</v>
      </c>
      <c r="AI185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{"issue":{"subject":"","project_id":79,"tracker_id":40,"status_id":1,"priority_id":2,"assigned_to_id":338,"start_date":"2017-11-09","description":"","custom_fields":[{"id":1,"name":"Subdivision","value":"NW"},{"id":4,"name":"Milepost","value":"5.8937"},{"id":17,"name":"Train ID","value":"825-09"},{"id":16,"name":"Locomotive ID","value":"4016"},{"id":130,"name":"Impact","value":""},{"id":150,"name":"Time of Event (Mountain Time)","value":"15:22:27"},{"id":151,"name":"Denver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93"/>
        <v>start /low /b %USERPROFILE%\Documents\GitHub\eaglep3\Utilities\DownloadLogsFromS3.py --loco 4016 --day 2017-11-09</v>
      </c>
      <c r="AN185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4"/>
        <v>https://d0f6bd738d7f1b3e5a7ca70fe4ff75f0.us-east-1.aws.found.io/app/kibana#/discover/Steve-Slow-Train-Analysis-(2080s-and-2083s)?_g=(refreshInterval:(display:Off,pause:!f,section:0,value:0),time:(from:'2017-11-09T14:07:56-0700',mode:absolute,to:'2017-11-09T16:22:27-0700'))&amp;_a=(columns:!('Message%20ID',Summary),filters:!(),index:'emp_*',interval:auto,query:(query_string:(analyze_wildcard:!t,query:'%22rtdc.l.rtdc.4016%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802</v>
      </c>
      <c r="B186" s="7">
        <v>4015</v>
      </c>
      <c r="C186" s="21" t="s">
        <v>192</v>
      </c>
      <c r="D186" s="21" t="s">
        <v>635</v>
      </c>
      <c r="E186" s="13">
        <v>43048.642280092594</v>
      </c>
      <c r="F186" s="13">
        <v>43048.655011574076</v>
      </c>
      <c r="G186" s="7">
        <v>60</v>
      </c>
      <c r="H186" s="21" t="s">
        <v>1053</v>
      </c>
      <c r="I186" s="13">
        <v>43048.662604166668</v>
      </c>
      <c r="J186" s="7">
        <v>0</v>
      </c>
      <c r="K186" s="89" t="str">
        <f t="shared" si="74"/>
        <v>4015/4016</v>
      </c>
      <c r="L186" s="185" t="str">
        <f>VLOOKUP(A186,'Trips&amp;Operators'!$C$1:$G$99911,5,FALSE)</f>
        <v>STAMBAUGH JAMES</v>
      </c>
      <c r="M186" s="6">
        <f t="shared" si="75"/>
        <v>7.5925925921183079E-3</v>
      </c>
      <c r="N186" s="7">
        <f t="shared" ref="N186:N222" si="116">24*60*SUM($M186:$M186)</f>
        <v>10.933333332650363</v>
      </c>
      <c r="O186" s="7"/>
      <c r="P186" s="7"/>
      <c r="Q186" s="22"/>
      <c r="R186" s="174"/>
      <c r="S186" s="221">
        <f t="shared" ref="S186:S222" si="117">1/IF(AG186="EC",12,1)*SUM(U186:U186)</f>
        <v>1</v>
      </c>
      <c r="T186" s="174" t="str">
        <f t="shared" si="7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77"/>
        <v>https://d0f6bd738d7f1b3e5a7ca70fe4ff75f0.us-east-1.aws.found.io/app/kibana#/discover/Steve-Slow-Train-Analysis-(2080s-and-2083s)?_g=(refreshInterval:(display:Off,pause:!f,section:0,value:0),time:(from:'2017-11-09T14:24:53-0700',mode:absolute,to:'2017-11-09T16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204" t="str">
        <f>IF(AA186&lt;VLOOKUP(AG186,Variables!$AC$3:$AD$8,2,FALSE),"Y","N")</f>
        <v>N</v>
      </c>
      <c r="X186" s="204">
        <f t="shared" si="115"/>
        <v>1</v>
      </c>
      <c r="Y186" s="204">
        <f t="shared" si="110"/>
        <v>5.8628</v>
      </c>
      <c r="Z186" s="204">
        <f t="shared" si="111"/>
        <v>6.7799999999999999E-2</v>
      </c>
      <c r="AA186" s="204">
        <f t="shared" si="78"/>
        <v>5.7949999999999999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79"/>
        <v>826</v>
      </c>
      <c r="AE186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86" s="74" t="str">
        <f t="shared" si="81"/>
        <v>"C:\Program Files (x86)\AstroGrep\AstroGrep.exe" /e /r /s /spath="%USERPROFILE%\AppData\Local\Temp\OnboardLogs" /stypes="app*4015*20171109*" /stext=" 22:.+((SYSTEM_STATE.+slice.+state.+changed )|(ment ac)|(multiple cpu faults)|(system.+state.+changed )|(\[timeout)|(PRM\|1\|D)|(kpr)|(kdp)|(train st.+moving)|(\|lc)|(penalty))"</v>
      </c>
      <c r="AG186" s="182" t="str">
        <f t="shared" si="82"/>
        <v>NW</v>
      </c>
      <c r="AH186" s="78" t="str">
        <f t="shared" si="92"/>
        <v>"%USERPROFILE%\Documents\GitHub\eaglep3\Utilities\RefineRTDCRunTimes.py" --tripid 826-09 --locoid 4015 --swversion DE.1.0.9.0 --startMP 300:58628 --initTime 2017-11-09T15:24:53 --startdatetime 2017-11-09T15:43:13 --delay 60 --endMP 204:678 --enddatetime 2017-11-09T15:54:09 --enforcementcount 0 &gt;&gt;%USERPROFILE%\Documents\GitHub\eaglep3-reporting\EC\2017-11-09-refined-times.txt</v>
      </c>
      <c r="AI186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{"issue":{"subject":"","project_id":79,"tracker_id":40,"status_id":1,"priority_id":2,"assigned_to_id":338,"start_date":"2017-11-09","description":"","custom_fields":[{"id":1,"name":"Subdivision","value":"NW"},{"id":4,"name":"Milepost","value":"0.0678"},{"id":17,"name":"Train ID","value":"826-09"},{"id":16,"name":"Locomotive ID","value":"4015"},{"id":130,"name":"Impact","value":""},{"id":150,"name":"Time of Event (Mountain Time)","value":"15:54:09"},{"id":151,"name":"Denver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93"/>
        <v>start /low /b %USERPROFILE%\Documents\GitHub\eaglep3\Utilities\DownloadLogsFromS3.py --loco 4015 --day 2017-11-09</v>
      </c>
      <c r="AN186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4"/>
        <v>https://d0f6bd738d7f1b3e5a7ca70fe4ff75f0.us-east-1.aws.found.io/app/kibana#/discover/Steve-Slow-Train-Analysis-(2080s-and-2083s)?_g=(refreshInterval:(display:Off,pause:!f,section:0,value:0),time:(from:'2017-11-09T14:24:53-0700',mode:absolute,to:'2017-11-09T16:54:09-0700'))&amp;_a=(columns:!('Message%20ID',Summary),filters:!(),index:'emp_*',interval:auto,query:(query_string:(analyze_wildcard:!t,query:'%22rtdc.l.rtdc.4015%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804</v>
      </c>
      <c r="B187" s="7">
        <v>4054</v>
      </c>
      <c r="C187" s="21" t="s">
        <v>192</v>
      </c>
      <c r="D187" s="21" t="s">
        <v>1054</v>
      </c>
      <c r="E187" s="13">
        <v>43048.64466435185</v>
      </c>
      <c r="F187" s="13">
        <v>43048.652280092596</v>
      </c>
      <c r="G187" s="7">
        <v>84</v>
      </c>
      <c r="H187" s="21" t="s">
        <v>1055</v>
      </c>
      <c r="I187" s="13">
        <v>43048.663576388892</v>
      </c>
      <c r="J187" s="7">
        <v>0</v>
      </c>
      <c r="K187" s="89" t="str">
        <f t="shared" si="74"/>
        <v>4053/4054</v>
      </c>
      <c r="L187" s="185" t="str">
        <f>VLOOKUP(A187,'Trips&amp;Operators'!$C$1:$G$99911,5,FALSE)</f>
        <v>ZEWDU DEREJE</v>
      </c>
      <c r="M187" s="6">
        <f t="shared" si="75"/>
        <v>1.1296296295768116E-2</v>
      </c>
      <c r="N187" s="7">
        <f t="shared" si="116"/>
        <v>16.266666665906087</v>
      </c>
      <c r="O187" s="7"/>
      <c r="P187" s="7"/>
      <c r="Q187" s="22"/>
      <c r="R187" s="174"/>
      <c r="S187" s="221">
        <f t="shared" si="117"/>
        <v>1</v>
      </c>
      <c r="T187" s="174" t="str">
        <f t="shared" si="76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77"/>
        <v>https://d0f6bd738d7f1b3e5a7ca70fe4ff75f0.us-east-1.aws.found.io/app/kibana#/discover/Steve-Slow-Train-Analysis-(2080s-and-2083s)?_g=(refreshInterval:(display:Off,pause:!f,section:0,value:0),time:(from:'2017-11-09T14:28:19-0700',mode:absolute,to:'2017-11-09T16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204" t="str">
        <f>IF(AA187&lt;VLOOKUP(AG187,Variables!$AC$3:$AD$8,2,FALSE),"Y","N")</f>
        <v>N</v>
      </c>
      <c r="X187" s="204">
        <f t="shared" si="115"/>
        <v>1</v>
      </c>
      <c r="Y187" s="204">
        <f t="shared" si="110"/>
        <v>0.1027</v>
      </c>
      <c r="Z187" s="204">
        <f t="shared" si="111"/>
        <v>5.8998999999999997</v>
      </c>
      <c r="AA187" s="204">
        <f t="shared" si="78"/>
        <v>5.7972000000000001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79"/>
        <v>827</v>
      </c>
      <c r="AE187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87" s="74" t="str">
        <f t="shared" si="81"/>
        <v>"C:\Program Files (x86)\AstroGrep\AstroGrep.exe" /e /r /s /spath="%USERPROFILE%\AppData\Local\Temp\OnboardLogs" /stypes="app*4054*20171109*" /stext=" 22:.+((SYSTEM_STATE.+slice.+state.+changed )|(ment ac)|(multiple cpu faults)|(system.+state.+changed )|(\[timeout)|(PRM\|1\|D)|(kpr)|(kdp)|(train st.+moving)|(\|lc)|(penalty))"</v>
      </c>
      <c r="AG187" s="182" t="str">
        <f t="shared" si="82"/>
        <v>NW</v>
      </c>
      <c r="AH187" s="78" t="str">
        <f t="shared" si="92"/>
        <v>"%USERPROFILE%\Documents\GitHub\eaglep3\Utilities\RefineRTDCRunTimes.py" --tripid 827-09 --locoid 4054 --swversion DE.1.0.9.0 --startMP 204:1027 --initTime 2017-11-09T15:28:19 --startdatetime 2017-11-09T15:39:17 --delay 84 --endMP 300:58999 --enddatetime 2017-11-09T15:55:33 --enforcementcount 0 &gt;&gt;%USERPROFILE%\Documents\GitHub\eaglep3-reporting\EC\2017-11-09-refined-times.txt</v>
      </c>
      <c r="AI187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{"issue":{"subject":"","project_id":79,"tracker_id":40,"status_id":1,"priority_id":2,"assigned_to_id":338,"start_date":"2017-11-09","description":"","custom_fields":[{"id":1,"name":"Subdivision","value":"NW"},{"id":4,"name":"Milepost","value":"5.8999"},{"id":17,"name":"Train ID","value":"827-09"},{"id":16,"name":"Locomotive ID","value":"4054"},{"id":130,"name":"Impact","value":""},{"id":150,"name":"Time of Event (Mountain Time)","value":"15:55:33"},{"id":151,"name":"Denver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93"/>
        <v>start /low /b %USERPROFILE%\Documents\GitHub\eaglep3\Utilities\DownloadLogsFromS3.py --loco 4054 --day 2017-11-09</v>
      </c>
      <c r="AN187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4"/>
        <v>https://d0f6bd738d7f1b3e5a7ca70fe4ff75f0.us-east-1.aws.found.io/app/kibana#/discover/Steve-Slow-Train-Analysis-(2080s-and-2083s)?_g=(refreshInterval:(display:Off,pause:!f,section:0,value:0),time:(from:'2017-11-09T14:28:19-0700',mode:absolute,to:'2017-11-09T16:55:33-0700'))&amp;_a=(columns:!('Message%20ID',Summary),filters:!(),index:'emp_*',interval:auto,query:(query_string:(analyze_wildcard:!t,query:'%22rtdc.l.rtdc.4054%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807</v>
      </c>
      <c r="B188" s="7">
        <v>4053</v>
      </c>
      <c r="C188" s="21" t="s">
        <v>192</v>
      </c>
      <c r="D188" s="21" t="s">
        <v>1056</v>
      </c>
      <c r="E188" s="13">
        <v>43048.664641203701</v>
      </c>
      <c r="F188" s="13">
        <v>43048.675682870373</v>
      </c>
      <c r="G188" s="7">
        <v>55</v>
      </c>
      <c r="H188" s="21" t="s">
        <v>1057</v>
      </c>
      <c r="I188" s="13">
        <v>43048.684363425928</v>
      </c>
      <c r="J188" s="7">
        <v>0</v>
      </c>
      <c r="K188" s="89" t="str">
        <f t="shared" si="74"/>
        <v>4053/4054</v>
      </c>
      <c r="L188" s="185" t="str">
        <f>VLOOKUP(A188,'Trips&amp;Operators'!$C$1:$G$99911,5,FALSE)</f>
        <v>ZEWDU DEREJE</v>
      </c>
      <c r="M188" s="6">
        <f t="shared" si="75"/>
        <v>8.6805555547471158E-3</v>
      </c>
      <c r="N188" s="7">
        <f t="shared" si="116"/>
        <v>12.499999998835847</v>
      </c>
      <c r="O188" s="7"/>
      <c r="P188" s="7"/>
      <c r="Q188" s="22"/>
      <c r="R188" s="174"/>
      <c r="S188" s="221">
        <f t="shared" si="117"/>
        <v>1</v>
      </c>
      <c r="T188" s="174" t="str">
        <f t="shared" si="76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77"/>
        <v>https://d0f6bd738d7f1b3e5a7ca70fe4ff75f0.us-east-1.aws.found.io/app/kibana#/discover/Steve-Slow-Train-Analysis-(2080s-and-2083s)?_g=(refreshInterval:(display:Off,pause:!f,section:0,value:0),time:(from:'2017-11-09T14:57:05-0700',mode:absolute,to:'2017-11-09T17:25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204" t="str">
        <f>IF(AA188&lt;VLOOKUP(AG188,Variables!$AC$3:$AD$8,2,FALSE),"Y","N")</f>
        <v>N</v>
      </c>
      <c r="X188" s="204">
        <f t="shared" si="115"/>
        <v>1</v>
      </c>
      <c r="Y188" s="204">
        <f t="shared" si="110"/>
        <v>5.8689</v>
      </c>
      <c r="Z188" s="204">
        <f t="shared" si="111"/>
        <v>7.4999999999999997E-2</v>
      </c>
      <c r="AA188" s="204">
        <f t="shared" si="78"/>
        <v>5.7938999999999998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79"/>
        <v>828</v>
      </c>
      <c r="AE188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88" s="74" t="str">
        <f t="shared" si="81"/>
        <v>"C:\Program Files (x86)\AstroGrep\AstroGrep.exe" /e /r /s /spath="%USERPROFILE%\AppData\Local\Temp\OnboardLogs" /stypes="app*4053*20171109*" /stext=" 23:.+((SYSTEM_STATE.+slice.+state.+changed )|(ment ac)|(multiple cpu faults)|(system.+state.+changed )|(\[timeout)|(PRM\|1\|D)|(kpr)|(kdp)|(train st.+moving)|(\|lc)|(penalty))"</v>
      </c>
      <c r="AG188" s="182" t="str">
        <f t="shared" si="82"/>
        <v>NW</v>
      </c>
      <c r="AH188" s="78" t="str">
        <f t="shared" si="92"/>
        <v>"%USERPROFILE%\Documents\GitHub\eaglep3\Utilities\RefineRTDCRunTimes.py" --tripid 828-09 --locoid 4053 --swversion DE.1.0.9.0 --startMP 300:58689 --initTime 2017-11-09T15:57:05 --startdatetime 2017-11-09T16:12:59 --delay 55 --endMP 204:750 --enddatetime 2017-11-09T16:25:29 --enforcementcount 0 &gt;&gt;%USERPROFILE%\Documents\GitHub\eaglep3-reporting\EC\2017-11-09-refined-times.txt</v>
      </c>
      <c r="AI188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{"issue":{"subject":"","project_id":79,"tracker_id":40,"status_id":1,"priority_id":2,"assigned_to_id":338,"start_date":"2017-11-09","description":"","custom_fields":[{"id":1,"name":"Subdivision","value":"NW"},{"id":4,"name":"Milepost","value":"0.075"},{"id":17,"name":"Train ID","value":"828-09"},{"id":16,"name":"Locomotive ID","value":"4053"},{"id":130,"name":"Impact","value":""},{"id":150,"name":"Time of Event (Mountain Time)","value":"16:25:29"},{"id":151,"name":"Denver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93"/>
        <v>start /low /b %USERPROFILE%\Documents\GitHub\eaglep3\Utilities\DownloadLogsFromS3.py --loco 4053 --day 2017-11-09</v>
      </c>
      <c r="AN188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4"/>
        <v>https://d0f6bd738d7f1b3e5a7ca70fe4ff75f0.us-east-1.aws.found.io/app/kibana#/discover/Steve-Slow-Train-Analysis-(2080s-and-2083s)?_g=(refreshInterval:(display:Off,pause:!f,section:0,value:0),time:(from:'2017-11-09T14:57:05-0700',mode:absolute,to:'2017-11-09T17:25:29-0700'))&amp;_a=(columns:!('Message%20ID',Summary),filters:!(),index:'emp_*',interval:auto,query:(query_string:(analyze_wildcard:!t,query:'%22rtdc.l.rtdc.4053%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809</v>
      </c>
      <c r="B189" s="7">
        <v>4016</v>
      </c>
      <c r="C189" s="21" t="s">
        <v>192</v>
      </c>
      <c r="D189" s="21" t="s">
        <v>631</v>
      </c>
      <c r="E189" s="13">
        <v>43048.670925925922</v>
      </c>
      <c r="F189" s="13">
        <v>43048.673414351855</v>
      </c>
      <c r="G189" s="7">
        <v>77</v>
      </c>
      <c r="H189" s="21" t="s">
        <v>1058</v>
      </c>
      <c r="I189" s="13">
        <v>43048.683321759258</v>
      </c>
      <c r="J189" s="7">
        <v>0</v>
      </c>
      <c r="K189" s="89" t="str">
        <f t="shared" si="74"/>
        <v>4015/4016</v>
      </c>
      <c r="L189" s="185" t="str">
        <f>VLOOKUP(A189,'Trips&amp;Operators'!$C$1:$G$99911,5,FALSE)</f>
        <v>STAMBAUGH JAMES</v>
      </c>
      <c r="M189" s="6">
        <f t="shared" si="75"/>
        <v>9.9074074023519643E-3</v>
      </c>
      <c r="N189" s="7">
        <f t="shared" si="116"/>
        <v>14.266666659386829</v>
      </c>
      <c r="O189" s="7"/>
      <c r="P189" s="7"/>
      <c r="Q189" s="22"/>
      <c r="R189" s="174"/>
      <c r="S189" s="221">
        <f t="shared" si="117"/>
        <v>1</v>
      </c>
      <c r="T189" s="174" t="str">
        <f t="shared" si="76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77"/>
        <v>https://d0f6bd738d7f1b3e5a7ca70fe4ff75f0.us-east-1.aws.found.io/app/kibana#/discover/Steve-Slow-Train-Analysis-(2080s-and-2083s)?_g=(refreshInterval:(display:Off,pause:!f,section:0,value:0),time:(from:'2017-11-09T15:06:08-0700',mode:absolute,to:'2017-11-09T17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204" t="str">
        <f>IF(AA189&lt;VLOOKUP(AG189,Variables!$AC$3:$AD$8,2,FALSE),"Y","N")</f>
        <v>N</v>
      </c>
      <c r="X189" s="204">
        <f t="shared" si="115"/>
        <v>1</v>
      </c>
      <c r="Y189" s="204">
        <f t="shared" ref="Y189:Y225" si="118">RIGHT(D189,LEN(D189)-4)/10000</f>
        <v>9.8100000000000007E-2</v>
      </c>
      <c r="Z189" s="204">
        <f t="shared" ref="Z189:Z225" si="119">RIGHT(H189,LEN(H189)-4)/10000</f>
        <v>5.8917999999999999</v>
      </c>
      <c r="AA189" s="204">
        <f t="shared" si="78"/>
        <v>5.7937000000000003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79"/>
        <v>829</v>
      </c>
      <c r="AE189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89" s="74" t="str">
        <f t="shared" si="81"/>
        <v>"C:\Program Files (x86)\AstroGrep\AstroGrep.exe" /e /r /s /spath="%USERPROFILE%\AppData\Local\Temp\OnboardLogs" /stypes="app*4016*20171109*" /stext=" 23:.+((SYSTEM_STATE.+slice.+state.+changed )|(ment ac)|(multiple cpu faults)|(system.+state.+changed )|(\[timeout)|(PRM\|1\|D)|(kpr)|(kdp)|(train st.+moving)|(\|lc)|(penalty))"</v>
      </c>
      <c r="AG189" s="182" t="str">
        <f t="shared" si="82"/>
        <v>NW</v>
      </c>
      <c r="AH189" s="78" t="str">
        <f t="shared" si="92"/>
        <v>"%USERPROFILE%\Documents\GitHub\eaglep3\Utilities\RefineRTDCRunTimes.py" --tripid 829-09 --locoid 4016 --swversion DE.1.0.9.0 --startMP 204:981 --initTime 2017-11-09T16:06:08 --startdatetime 2017-11-09T16:09:43 --delay 77 --endMP 300:58918 --enddatetime 2017-11-09T16:23:59 --enforcementcount 0 &gt;&gt;%USERPROFILE%\Documents\GitHub\eaglep3-reporting\EC\2017-11-09-refined-times.txt</v>
      </c>
      <c r="AI189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{"issue":{"subject":"","project_id":79,"tracker_id":40,"status_id":1,"priority_id":2,"assigned_to_id":338,"start_date":"2017-11-09","description":"","custom_fields":[{"id":1,"name":"Subdivision","value":"NW"},{"id":4,"name":"Milepost","value":"5.8918"},{"id":17,"name":"Train ID","value":"829-09"},{"id":16,"name":"Locomotive ID","value":"4016"},{"id":130,"name":"Impact","value":""},{"id":150,"name":"Time of Event (Mountain Time)","value":"16:23:59"},{"id":151,"name":"Denver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93"/>
        <v>start /low /b %USERPROFILE%\Documents\GitHub\eaglep3\Utilities\DownloadLogsFromS3.py --loco 4016 --day 2017-11-09</v>
      </c>
      <c r="AN189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4"/>
        <v>https://d0f6bd738d7f1b3e5a7ca70fe4ff75f0.us-east-1.aws.found.io/app/kibana#/discover/Steve-Slow-Train-Analysis-(2080s-and-2083s)?_g=(refreshInterval:(display:Off,pause:!f,section:0,value:0),time:(from:'2017-11-09T15:06:08-0700',mode:absolute,to:'2017-11-09T17:23:59-0700'))&amp;_a=(columns:!('Message%20ID',Summary),filters:!(),index:'emp_*',interval:auto,query:(query_string:(analyze_wildcard:!t,query:'%22rtdc.l.rtdc.4016%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815</v>
      </c>
      <c r="B190" s="7">
        <v>4015</v>
      </c>
      <c r="C190" s="21" t="s">
        <v>192</v>
      </c>
      <c r="D190" s="21" t="s">
        <v>631</v>
      </c>
      <c r="E190" s="13">
        <v>43048.670925925922</v>
      </c>
      <c r="F190" s="13">
        <v>43048.696585648147</v>
      </c>
      <c r="G190" s="7">
        <v>77</v>
      </c>
      <c r="H190" s="21" t="s">
        <v>1058</v>
      </c>
      <c r="I190" s="13">
        <v>43048.704467592594</v>
      </c>
      <c r="J190" s="7">
        <v>0</v>
      </c>
      <c r="K190" s="89" t="str">
        <f t="shared" ref="K190" si="120">IF(ISEVEN(B190),(B190-1)&amp;"/"&amp;B190,B190&amp;"/"&amp;(B190+1))</f>
        <v>4015/4016</v>
      </c>
      <c r="L190" s="185" t="str">
        <f>VLOOKUP(A190,'Trips&amp;Operators'!$C$1:$G$99911,5,FALSE)</f>
        <v>STAMBAUGH JAMES</v>
      </c>
      <c r="M190" s="6">
        <f t="shared" ref="M190" si="121">I190-F190</f>
        <v>7.8819444461259991E-3</v>
      </c>
      <c r="N190" s="7">
        <f t="shared" si="116"/>
        <v>11.350000002421439</v>
      </c>
      <c r="O190" s="7"/>
      <c r="P190" s="7"/>
      <c r="Q190" s="22"/>
      <c r="R190" s="174"/>
      <c r="S190" s="221">
        <f t="shared" ref="S190" si="122">1/IF(AG190="EC",12,1)*SUM(U190:U190)</f>
        <v>1</v>
      </c>
      <c r="T190" s="174" t="str">
        <f t="shared" ref="T190" si="123"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ref="V190" si="124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-09T15:06:08-0700',mode:absolute,to:'2017-11-09T17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204" t="str">
        <f>IF(AA190&lt;VLOOKUP(AG190,Variables!$AC$3:$AD$8,2,FALSE),"Y","N")</f>
        <v>N</v>
      </c>
      <c r="X190" s="204">
        <f t="shared" ref="X190:X193" si="125">VALUE(LEFT(AD190,4))-VALUE(LEFT(AD189,4))</f>
        <v>1</v>
      </c>
      <c r="Y190" s="204">
        <v>5.8689</v>
      </c>
      <c r="Z190" s="204">
        <v>7.4999999999999997E-2</v>
      </c>
      <c r="AA190" s="204">
        <f t="shared" ref="AA190" si="126">ABS(Z190-Y190)</f>
        <v>5.7938999999999998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ref="AD190" si="127">VALUE(LEFT(A190,LEN(A190)-3))</f>
        <v>830</v>
      </c>
      <c r="AE190" s="77" t="str">
        <f t="shared" ref="AE190" si="128"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90" s="74" t="str">
        <f t="shared" ref="AF190" si="129"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/stypes="app*4015*20171109*" /stext=" 23:.+((SYSTEM_STATE.+slice.+state.+changed )|(ment ac)|(multiple cpu faults)|(system.+state.+changed )|(\[timeout)|(PRM\|1\|D)|(kpr)|(kdp)|(train st.+moving)|(\|lc)|(penalty))"</v>
      </c>
      <c r="AG190" s="182" t="str">
        <f t="shared" ref="AG190" si="130">DetSubdiv(A190)</f>
        <v>NW</v>
      </c>
      <c r="AH190" s="78" t="str">
        <f t="shared" ref="AH190" si="131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830-09 --locoid 4015 --swversion DE.1.0.9.0 --startMP 204:981 --initTime 2017-11-09T16:06:08 --startdatetime 2017-11-09T16:43:05 --delay 77 --endMP 300:58918 --enddatetime 2017-11-09T16:54:26 --enforcementcount 0 &gt;&gt;%USERPROFILE%\Documents\GitHub\eaglep3-reporting\EC\2017-11-09-refined-times.txt</v>
      </c>
      <c r="AI190" s="96" t="str">
        <f t="shared" ref="AI190" si="132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{"issue":{"subject":"","project_id":79,"tracker_id":40,"status_id":1,"priority_id":2,"assigned_to_id":338,"start_date":"2017-11-09","description":"","custom_fields":[{"id":1,"name":"Subdivision","value":"NW"},{"id":4,"name":"Milepost","value":"0.075"},{"id":17,"name":"Train ID","value":"830-09"},{"id":16,"name":"Locomotive ID","value":"4015"},{"id":130,"name":"Impact","value":""},{"id":150,"name":"Time of Event (Mountain Time)","value":"16:54:26"},{"id":151,"name":"Denver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ref="AM190" si="133">"start /low /b "&amp;dls3logs&amp;" --loco "&amp;B190&amp;" --day "&amp;TEXT(F190,"YYYY-MM-DD")</f>
        <v>start /low /b %USERPROFILE%\Documents\GitHub\eaglep3\Utilities\DownloadLogsFromS3.py --loco 4015 --day 2017-11-09</v>
      </c>
      <c r="AN190" s="151" t="str">
        <f t="shared" ref="AN190" si="134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ref="AO190" si="135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-09T15:06:08-0700',mode:absolute,to:'2017-11-09T17:54:26-0700'))&amp;_a=(columns:!('Message%20ID',Summary),filters:!(),index:'emp_*',interval:auto,query:(query_string:(analyze_wildcard:!t,query:'%22rtdc.l.rtdc.4015%22')),sort:!(Time.ISO8601,asc))</v>
      </c>
    </row>
    <row r="191" spans="1:91" s="20" customFormat="1" x14ac:dyDescent="0.25">
      <c r="A191" s="32" t="s">
        <v>816</v>
      </c>
      <c r="B191" s="7">
        <v>4054</v>
      </c>
      <c r="C191" s="21" t="s">
        <v>192</v>
      </c>
      <c r="D191" s="21" t="s">
        <v>1059</v>
      </c>
      <c r="E191" s="13">
        <v>43048.68644675926</v>
      </c>
      <c r="F191" s="13">
        <v>43048.694456018522</v>
      </c>
      <c r="G191" s="7">
        <v>95</v>
      </c>
      <c r="H191" s="21" t="s">
        <v>1060</v>
      </c>
      <c r="I191" s="13">
        <v>43048.704652777778</v>
      </c>
      <c r="J191" s="7">
        <v>0</v>
      </c>
      <c r="K191" s="89" t="str">
        <f t="shared" si="74"/>
        <v>4053/4054</v>
      </c>
      <c r="L191" s="185" t="str">
        <f>VLOOKUP(A191,'Trips&amp;Operators'!$C$1:$G$99911,5,FALSE)</f>
        <v>ZEWDU DEREJE</v>
      </c>
      <c r="M191" s="6">
        <f t="shared" si="75"/>
        <v>1.0196759256359655E-2</v>
      </c>
      <c r="N191" s="7">
        <f t="shared" si="116"/>
        <v>14.683333329157904</v>
      </c>
      <c r="O191" s="7"/>
      <c r="P191" s="7"/>
      <c r="Q191" s="22"/>
      <c r="R191" s="174"/>
      <c r="S191" s="221">
        <f t="shared" si="117"/>
        <v>1</v>
      </c>
      <c r="T191" s="174" t="str">
        <f t="shared" si="76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77"/>
        <v>https://d0f6bd738d7f1b3e5a7ca70fe4ff75f0.us-east-1.aws.found.io/app/kibana#/discover/Steve-Slow-Train-Analysis-(2080s-and-2083s)?_g=(refreshInterval:(display:Off,pause:!f,section:0,value:0),time:(from:'2017-11-09T15:28:29-0700',mode:absolute,to:'2017-11-09T17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1" s="204" t="str">
        <f>IF(AA191&lt;VLOOKUP(AG191,Variables!$AC$3:$AD$8,2,FALSE),"Y","N")</f>
        <v>N</v>
      </c>
      <c r="X191" s="204">
        <f t="shared" si="125"/>
        <v>1</v>
      </c>
      <c r="Y191" s="204">
        <f t="shared" si="118"/>
        <v>0.1067</v>
      </c>
      <c r="Z191" s="204">
        <f t="shared" si="119"/>
        <v>5.9005000000000001</v>
      </c>
      <c r="AA191" s="204">
        <f t="shared" si="78"/>
        <v>5.7938000000000001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79"/>
        <v>831</v>
      </c>
      <c r="AE191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91" s="74" t="str">
        <f t="shared" si="81"/>
        <v>"C:\Program Files (x86)\AstroGrep\AstroGrep.exe" /e /r /s /spath="%USERPROFILE%\AppData\Local\Temp\OnboardLogs" /stypes="app*4054*20171109*" /stext=" 23:.+((SYSTEM_STATE.+slice.+state.+changed )|(ment ac)|(multiple cpu faults)|(system.+state.+changed )|(\[timeout)|(PRM\|1\|D)|(kpr)|(kdp)|(train st.+moving)|(\|lc)|(penalty))"</v>
      </c>
      <c r="AG191" s="182" t="str">
        <f t="shared" si="82"/>
        <v>NW</v>
      </c>
      <c r="AH191" s="78" t="str">
        <f t="shared" si="92"/>
        <v>"%USERPROFILE%\Documents\GitHub\eaglep3\Utilities\RefineRTDCRunTimes.py" --tripid 831-09 --locoid 4054 --swversion DE.1.0.9.0 --startMP 204:1067 --initTime 2017-11-09T16:28:29 --startdatetime 2017-11-09T16:40:01 --delay 95 --endMP 300:59005 --enddatetime 2017-11-09T16:54:42 --enforcementcount 0 &gt;&gt;%USERPROFILE%\Documents\GitHub\eaglep3-reporting\EC\2017-11-09-refined-times.txt</v>
      </c>
      <c r="AI191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{"issue":{"subject":"","project_id":79,"tracker_id":40,"status_id":1,"priority_id":2,"assigned_to_id":338,"start_date":"2017-11-09","description":"","custom_fields":[{"id":1,"name":"Subdivision","value":"NW"},{"id":4,"name":"Milepost","value":"5.9005"},{"id":17,"name":"Train ID","value":"831-09"},{"id":16,"name":"Locomotive ID","value":"4054"},{"id":130,"name":"Impact","value":""},{"id":150,"name":"Time of Event (Mountain Time)","value":"16:54:42"},{"id":151,"name":"Denver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93"/>
        <v>start /low /b %USERPROFILE%\Documents\GitHub\eaglep3\Utilities\DownloadLogsFromS3.py --loco 4054 --day 2017-11-09</v>
      </c>
      <c r="AN191" s="151" t="str">
        <f t="shared" si="84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4"/>
        <v>https://d0f6bd738d7f1b3e5a7ca70fe4ff75f0.us-east-1.aws.found.io/app/kibana#/discover/Steve-Slow-Train-Analysis-(2080s-and-2083s)?_g=(refreshInterval:(display:Off,pause:!f,section:0,value:0),time:(from:'2017-11-09T15:28:29-0700',mode:absolute,to:'2017-11-09T17:54:42-0700'))&amp;_a=(columns:!('Message%20ID',Summary),filters:!(),index:'emp_*',interval:auto,query:(query_string:(analyze_wildcard:!t,query:'%22rtdc.l.rtdc.4054%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822</v>
      </c>
      <c r="B192" s="7">
        <v>4053</v>
      </c>
      <c r="C192" s="21" t="s">
        <v>192</v>
      </c>
      <c r="D192" s="21" t="s">
        <v>1056</v>
      </c>
      <c r="E192" s="13">
        <v>43048.706099537034</v>
      </c>
      <c r="F192" s="13">
        <v>43048.717430555553</v>
      </c>
      <c r="G192" s="7">
        <v>80</v>
      </c>
      <c r="H192" s="21" t="s">
        <v>1061</v>
      </c>
      <c r="I192" s="13">
        <v>43048.726631944446</v>
      </c>
      <c r="J192" s="7">
        <v>0</v>
      </c>
      <c r="K192" s="89" t="str">
        <f t="shared" si="74"/>
        <v>4053/4054</v>
      </c>
      <c r="L192" s="185" t="str">
        <f>VLOOKUP(A192,'Trips&amp;Operators'!$C$1:$G$99911,5,FALSE)</f>
        <v>ZEWDU DEREJE</v>
      </c>
      <c r="M192" s="6">
        <f t="shared" si="75"/>
        <v>9.2013888934161514E-3</v>
      </c>
      <c r="N192" s="7">
        <f t="shared" si="116"/>
        <v>13.250000006519258</v>
      </c>
      <c r="O192" s="7"/>
      <c r="P192" s="7"/>
      <c r="Q192" s="22"/>
      <c r="R192" s="174"/>
      <c r="S192" s="221">
        <f t="shared" si="117"/>
        <v>1</v>
      </c>
      <c r="T192" s="174" t="str">
        <f t="shared" si="76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77"/>
        <v>https://d0f6bd738d7f1b3e5a7ca70fe4ff75f0.us-east-1.aws.found.io/app/kibana#/discover/Steve-Slow-Train-Analysis-(2080s-and-2083s)?_g=(refreshInterval:(display:Off,pause:!f,section:0,value:0),time:(from:'2017-11-09T15:56:47-0700',mode:absolute,to:'2017-11-09T18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2" s="204" t="str">
        <f>IF(AA192&lt;VLOOKUP(AG192,Variables!$AC$3:$AD$8,2,FALSE),"Y","N")</f>
        <v>N</v>
      </c>
      <c r="X192" s="204">
        <f t="shared" si="125"/>
        <v>1</v>
      </c>
      <c r="Y192" s="204">
        <f t="shared" si="118"/>
        <v>5.8689</v>
      </c>
      <c r="Z192" s="204">
        <f t="shared" si="119"/>
        <v>7.9399999999999998E-2</v>
      </c>
      <c r="AA192" s="204">
        <f t="shared" si="78"/>
        <v>5.7895000000000003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79"/>
        <v>832</v>
      </c>
      <c r="AE192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92" s="74" t="str">
        <f t="shared" si="81"/>
        <v>"C:\Program Files (x86)\AstroGrep\AstroGrep.exe" /e /r /s /spath="%USERPROFILE%\AppData\Local\Temp\OnboardLogs" /stypes="app*4053*20171110*" /stext=" 00:.+((SYSTEM_STATE.+slice.+state.+changed )|(ment ac)|(multiple cpu faults)|(system.+state.+changed )|(\[timeout)|(PRM\|1\|D)|(kpr)|(kdp)|(train st.+moving)|(\|lc)|(penalty))"</v>
      </c>
      <c r="AG192" s="182" t="str">
        <f t="shared" si="82"/>
        <v>NW</v>
      </c>
      <c r="AH192" s="78" t="str">
        <f t="shared" si="92"/>
        <v>"%USERPROFILE%\Documents\GitHub\eaglep3\Utilities\RefineRTDCRunTimes.py" --tripid 832-09 --locoid 4053 --swversion DE.1.0.9.0 --startMP 300:58689 --initTime 2017-11-09T16:56:47 --startdatetime 2017-11-09T17:13:06 --delay 80 --endMP 204:794 --enddatetime 2017-11-09T17:26:21 --enforcementcount 0 &gt;&gt;%USERPROFILE%\Documents\GitHub\eaglep3-reporting\EC\2017-11-09-refined-times.txt</v>
      </c>
      <c r="AI192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{"issue":{"subject":"","project_id":79,"tracker_id":40,"status_id":1,"priority_id":2,"assigned_to_id":338,"start_date":"2017-11-09","description":"","custom_fields":[{"id":1,"name":"Subdivision","value":"NW"},{"id":4,"name":"Milepost","value":"0.0794"},{"id":17,"name":"Train ID","value":"832-09"},{"id":16,"name":"Locomotive ID","value":"4053"},{"id":130,"name":"Impact","value":""},{"id":150,"name":"Time of Event (Mountain Time)","value":"17:26:21"},{"id":151,"name":"Denver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93"/>
        <v>start /low /b %USERPROFILE%\Documents\GitHub\eaglep3\Utilities\DownloadLogsFromS3.py --loco 4053 --day 2017-11-09</v>
      </c>
      <c r="AN192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4"/>
        <v>https://d0f6bd738d7f1b3e5a7ca70fe4ff75f0.us-east-1.aws.found.io/app/kibana#/discover/Steve-Slow-Train-Analysis-(2080s-and-2083s)?_g=(refreshInterval:(display:Off,pause:!f,section:0,value:0),time:(from:'2017-11-09T15:56:47-0700',mode:absolute,to:'2017-11-09T18:26:21-0700'))&amp;_a=(columns:!('Message%20ID',Summary),filters:!(),index:'emp_*',interval:auto,query:(query_string:(analyze_wildcard:!t,query:'%22rtdc.l.rtdc.4053%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823</v>
      </c>
      <c r="B193" s="7">
        <v>4016</v>
      </c>
      <c r="C193" s="21" t="s">
        <v>192</v>
      </c>
      <c r="D193" s="21" t="s">
        <v>1062</v>
      </c>
      <c r="E193" s="13">
        <v>43048.712627314817</v>
      </c>
      <c r="F193" s="13">
        <v>43048.715150462966</v>
      </c>
      <c r="G193" s="7">
        <v>58</v>
      </c>
      <c r="H193" s="21" t="s">
        <v>1063</v>
      </c>
      <c r="I193" s="13">
        <v>43048.725081018521</v>
      </c>
      <c r="J193" s="7">
        <v>0</v>
      </c>
      <c r="K193" s="89" t="str">
        <f t="shared" si="74"/>
        <v>4015/4016</v>
      </c>
      <c r="L193" s="185" t="str">
        <f>VLOOKUP(A193,'Trips&amp;Operators'!$C$1:$G$99911,5,FALSE)</f>
        <v>STAMBAUGH JAMES</v>
      </c>
      <c r="M193" s="6">
        <f t="shared" si="75"/>
        <v>9.930555555911269E-3</v>
      </c>
      <c r="N193" s="7">
        <f t="shared" si="116"/>
        <v>14.300000000512227</v>
      </c>
      <c r="O193" s="7"/>
      <c r="P193" s="7"/>
      <c r="Q193" s="22"/>
      <c r="R193" s="174"/>
      <c r="S193" s="221">
        <f t="shared" si="117"/>
        <v>1</v>
      </c>
      <c r="T193" s="174" t="str">
        <f t="shared" si="76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77"/>
        <v>https://d0f6bd738d7f1b3e5a7ca70fe4ff75f0.us-east-1.aws.found.io/app/kibana#/discover/Steve-Slow-Train-Analysis-(2080s-and-2083s)?_g=(refreshInterval:(display:Off,pause:!f,section:0,value:0),time:(from:'2017-11-09T16:06:11-0700',mode:absolute,to:'2017-11-09T18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204" t="str">
        <f>IF(AA193&lt;VLOOKUP(AG193,Variables!$AC$3:$AD$8,2,FALSE),"Y","N")</f>
        <v>N</v>
      </c>
      <c r="X193" s="204">
        <f t="shared" si="125"/>
        <v>1</v>
      </c>
      <c r="Y193" s="204">
        <f t="shared" si="118"/>
        <v>9.5500000000000002E-2</v>
      </c>
      <c r="Z193" s="204">
        <f t="shared" si="119"/>
        <v>5.8924000000000003</v>
      </c>
      <c r="AA193" s="204">
        <f t="shared" si="78"/>
        <v>5.7968999999999999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79"/>
        <v>833</v>
      </c>
      <c r="AE193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93" s="74" t="str">
        <f t="shared" si="81"/>
        <v>"C:\Program Files (x86)\AstroGrep\AstroGrep.exe" /e /r /s /spath="%USERPROFILE%\AppData\Local\Temp\OnboardLogs" /stypes="app*4016*20171110*" /stext=" 00:.+((SYSTEM_STATE.+slice.+state.+changed )|(ment ac)|(multiple cpu faults)|(system.+state.+changed )|(\[timeout)|(PRM\|1\|D)|(kpr)|(kdp)|(train st.+moving)|(\|lc)|(penalty))"</v>
      </c>
      <c r="AG193" s="182" t="str">
        <f t="shared" si="82"/>
        <v>NW</v>
      </c>
      <c r="AH193" s="78" t="str">
        <f t="shared" si="92"/>
        <v>"%USERPROFILE%\Documents\GitHub\eaglep3\Utilities\RefineRTDCRunTimes.py" --tripid 833-09 --locoid 4016 --swversion DE.1.0.9.0 --startMP 204:955 --initTime 2017-11-09T17:06:11 --startdatetime 2017-11-09T17:09:49 --delay 58 --endMP 300:58924 --enddatetime 2017-11-09T17:24:07 --enforcementcount 0 &gt;&gt;%USERPROFILE%\Documents\GitHub\eaglep3-reporting\EC\2017-11-09-refined-times.txt</v>
      </c>
      <c r="AI193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{"issue":{"subject":"","project_id":79,"tracker_id":40,"status_id":1,"priority_id":2,"assigned_to_id":338,"start_date":"2017-11-09","description":"","custom_fields":[{"id":1,"name":"Subdivision","value":"NW"},{"id":4,"name":"Milepost","value":"5.8924"},{"id":17,"name":"Train ID","value":"833-09"},{"id":16,"name":"Locomotive ID","value":"4016"},{"id":130,"name":"Impact","value":""},{"id":150,"name":"Time of Event (Mountain Time)","value":"17:24:07"},{"id":151,"name":"Denver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93"/>
        <v>start /low /b %USERPROFILE%\Documents\GitHub\eaglep3\Utilities\DownloadLogsFromS3.py --loco 4016 --day 2017-11-09</v>
      </c>
      <c r="AN193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4"/>
        <v>https://d0f6bd738d7f1b3e5a7ca70fe4ff75f0.us-east-1.aws.found.io/app/kibana#/discover/Steve-Slow-Train-Analysis-(2080s-and-2083s)?_g=(refreshInterval:(display:Off,pause:!f,section:0,value:0),time:(from:'2017-11-09T16:06:11-0700',mode:absolute,to:'2017-11-09T18:24:07-0700'))&amp;_a=(columns:!('Message%20ID',Summary),filters:!(),index:'emp_*',interval:auto,query:(query_string:(analyze_wildcard:!t,query:'%22rtdc.l.rtdc.4016%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829</v>
      </c>
      <c r="B194" s="7">
        <v>4015</v>
      </c>
      <c r="C194" s="21" t="s">
        <v>192</v>
      </c>
      <c r="D194" s="21" t="s">
        <v>1064</v>
      </c>
      <c r="E194" s="13">
        <v>43048.726423611108</v>
      </c>
      <c r="F194" s="13">
        <v>43048.738263888888</v>
      </c>
      <c r="G194" s="7">
        <v>48</v>
      </c>
      <c r="H194" s="21" t="s">
        <v>630</v>
      </c>
      <c r="I194" s="13">
        <v>43048.746423611112</v>
      </c>
      <c r="J194" s="7">
        <v>0</v>
      </c>
      <c r="K194" s="89" t="str">
        <f t="shared" si="74"/>
        <v>4015/4016</v>
      </c>
      <c r="L194" s="185" t="str">
        <f>VLOOKUP(A194,'Trips&amp;Operators'!$C$1:$G$99911,5,FALSE)</f>
        <v>STAMBAUGH JAMES</v>
      </c>
      <c r="M194" s="6">
        <f t="shared" si="75"/>
        <v>8.1597222233540379E-3</v>
      </c>
      <c r="N194" s="7">
        <f t="shared" si="116"/>
        <v>11.750000001629815</v>
      </c>
      <c r="O194" s="7"/>
      <c r="P194" s="7"/>
      <c r="Q194" s="22"/>
      <c r="R194" s="174"/>
      <c r="S194" s="221">
        <f t="shared" si="117"/>
        <v>1</v>
      </c>
      <c r="T194" s="174" t="str">
        <f t="shared" si="76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77"/>
        <v>https://d0f6bd738d7f1b3e5a7ca70fe4ff75f0.us-east-1.aws.found.io/app/kibana#/discover/Steve-Slow-Train-Analysis-(2080s-and-2083s)?_g=(refreshInterval:(display:Off,pause:!f,section:0,value:0),time:(from:'2017-11-09T16:26:03-0700',mode:absolute,to:'2017-11-09T18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204" t="str">
        <f>IF(AA194&lt;VLOOKUP(AG194,Variables!$AC$3:$AD$8,2,FALSE),"Y","N")</f>
        <v>N</v>
      </c>
      <c r="X194" s="204">
        <f t="shared" si="115"/>
        <v>1</v>
      </c>
      <c r="Y194" s="204">
        <f t="shared" si="118"/>
        <v>5.8611000000000004</v>
      </c>
      <c r="Z194" s="204">
        <f t="shared" si="119"/>
        <v>6.9400000000000003E-2</v>
      </c>
      <c r="AA194" s="204">
        <f t="shared" si="78"/>
        <v>5.7917000000000005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79"/>
        <v>834</v>
      </c>
      <c r="AE194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94" s="74" t="str">
        <f t="shared" si="81"/>
        <v>"C:\Program Files (x86)\AstroGrep\AstroGrep.exe" /e /r /s /spath="%USERPROFILE%\AppData\Local\Temp\OnboardLogs" /stypes="app*4015*20171110*" /stext=" 00:.+((SYSTEM_STATE.+slice.+state.+changed )|(ment ac)|(multiple cpu faults)|(system.+state.+changed )|(\[timeout)|(PRM\|1\|D)|(kpr)|(kdp)|(train st.+moving)|(\|lc)|(penalty))"</v>
      </c>
      <c r="AG194" s="182" t="str">
        <f t="shared" si="82"/>
        <v>NW</v>
      </c>
      <c r="AH194" s="78" t="str">
        <f t="shared" si="92"/>
        <v>"%USERPROFILE%\Documents\GitHub\eaglep3\Utilities\RefineRTDCRunTimes.py" --tripid 834-09 --locoid 4015 --swversion DE.1.0.9.0 --startMP 300:58611 --initTime 2017-11-09T17:26:03 --startdatetime 2017-11-09T17:43:06 --delay 48 --endMP 204:694 --enddatetime 2017-11-09T17:54:51 --enforcementcount 0 &gt;&gt;%USERPROFILE%\Documents\GitHub\eaglep3-reporting\EC\2017-11-09-refined-times.txt</v>
      </c>
      <c r="AI194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{"issue":{"subject":"","project_id":79,"tracker_id":40,"status_id":1,"priority_id":2,"assigned_to_id":338,"start_date":"2017-11-09","description":"","custom_fields":[{"id":1,"name":"Subdivision","value":"NW"},{"id":4,"name":"Milepost","value":"0.0694"},{"id":17,"name":"Train ID","value":"834-09"},{"id":16,"name":"Locomotive ID","value":"4015"},{"id":130,"name":"Impact","value":""},{"id":150,"name":"Time of Event (Mountain Time)","value":"17:54:51"},{"id":151,"name":"Denver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93"/>
        <v>start /low /b %USERPROFILE%\Documents\GitHub\eaglep3\Utilities\DownloadLogsFromS3.py --loco 4015 --day 2017-11-09</v>
      </c>
      <c r="AN194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4"/>
        <v>https://d0f6bd738d7f1b3e5a7ca70fe4ff75f0.us-east-1.aws.found.io/app/kibana#/discover/Steve-Slow-Train-Analysis-(2080s-and-2083s)?_g=(refreshInterval:(display:Off,pause:!f,section:0,value:0),time:(from:'2017-11-09T16:26:03-0700',mode:absolute,to:'2017-11-09T18:54:51-0700'))&amp;_a=(columns:!('Message%20ID',Summary),filters:!(),index:'emp_*',interval:auto,query:(query_string:(analyze_wildcard:!t,query:'%22rtdc.l.rtdc.4015%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832</v>
      </c>
      <c r="B195" s="7">
        <v>4054</v>
      </c>
      <c r="C195" s="21" t="s">
        <v>192</v>
      </c>
      <c r="D195" s="21" t="s">
        <v>1065</v>
      </c>
      <c r="E195" s="13">
        <v>43048.733981481484</v>
      </c>
      <c r="F195" s="13">
        <v>43048.735972222225</v>
      </c>
      <c r="G195" s="7">
        <v>56</v>
      </c>
      <c r="H195" s="21" t="s">
        <v>1066</v>
      </c>
      <c r="I195" s="13">
        <v>43048.747777777775</v>
      </c>
      <c r="J195" s="7">
        <v>0</v>
      </c>
      <c r="K195" s="89" t="str">
        <f t="shared" si="74"/>
        <v>4053/4054</v>
      </c>
      <c r="L195" s="185" t="str">
        <f>VLOOKUP(A195,'Trips&amp;Operators'!$C$1:$G$99911,5,FALSE)</f>
        <v>ZEWDU DEREJE</v>
      </c>
      <c r="M195" s="6">
        <f t="shared" si="75"/>
        <v>1.1805555550381541E-2</v>
      </c>
      <c r="N195" s="7">
        <f t="shared" si="116"/>
        <v>16.999999992549419</v>
      </c>
      <c r="O195" s="7"/>
      <c r="P195" s="7"/>
      <c r="Q195" s="22"/>
      <c r="R195" s="174"/>
      <c r="S195" s="221">
        <f t="shared" si="117"/>
        <v>1</v>
      </c>
      <c r="T195" s="174" t="str">
        <f t="shared" si="76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77"/>
        <v>https://d0f6bd738d7f1b3e5a7ca70fe4ff75f0.us-east-1.aws.found.io/app/kibana#/discover/Steve-Slow-Train-Analysis-(2080s-and-2083s)?_g=(refreshInterval:(display:Off,pause:!f,section:0,value:0),time:(from:'2017-11-09T16:36:56-0700',mode:absolute,to:'2017-11-09T18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5" s="204" t="str">
        <f>IF(AA195&lt;VLOOKUP(AG195,Variables!$AC$3:$AD$8,2,FALSE),"Y","N")</f>
        <v>N</v>
      </c>
      <c r="X195" s="204">
        <f t="shared" ref="X195:X230" si="136">VALUE(LEFT(AD195,4))-VALUE(LEFT(AD194,4))</f>
        <v>1</v>
      </c>
      <c r="Y195" s="204">
        <f t="shared" si="118"/>
        <v>0.10489999999999999</v>
      </c>
      <c r="Z195" s="204">
        <f t="shared" si="119"/>
        <v>5.899</v>
      </c>
      <c r="AA195" s="204">
        <f t="shared" si="78"/>
        <v>5.7941000000000003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79"/>
        <v>835</v>
      </c>
      <c r="AE195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95" s="74" t="str">
        <f t="shared" si="81"/>
        <v>"C:\Program Files (x86)\AstroGrep\AstroGrep.exe" /e /r /s /spath="%USERPROFILE%\AppData\Local\Temp\OnboardLogs" /stypes="app*4054*20171110*" /stext=" 00:.+((SYSTEM_STATE.+slice.+state.+changed )|(ment ac)|(multiple cpu faults)|(system.+state.+changed )|(\[timeout)|(PRM\|1\|D)|(kpr)|(kdp)|(train st.+moving)|(\|lc)|(penalty))"</v>
      </c>
      <c r="AG195" s="182" t="str">
        <f t="shared" si="82"/>
        <v>NW</v>
      </c>
      <c r="AH195" s="78" t="str">
        <f t="shared" si="92"/>
        <v>"%USERPROFILE%\Documents\GitHub\eaglep3\Utilities\RefineRTDCRunTimes.py" --tripid 835-09 --locoid 4054 --swversion DE.1.0.9.0 --startMP 204:1049 --initTime 2017-11-09T17:36:56 --startdatetime 2017-11-09T17:39:48 --delay 56 --endMP 300:58990 --enddatetime 2017-11-09T17:56:48 --enforcementcount 0 &gt;&gt;%USERPROFILE%\Documents\GitHub\eaglep3-reporting\EC\2017-11-09-refined-times.txt</v>
      </c>
      <c r="AI195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{"issue":{"subject":"","project_id":79,"tracker_id":40,"status_id":1,"priority_id":2,"assigned_to_id":338,"start_date":"2017-11-09","description":"","custom_fields":[{"id":1,"name":"Subdivision","value":"NW"},{"id":4,"name":"Milepost","value":"5.899"},{"id":17,"name":"Train ID","value":"835-09"},{"id":16,"name":"Locomotive ID","value":"4054"},{"id":130,"name":"Impact","value":""},{"id":150,"name":"Time of Event (Mountain Time)","value":"17:56:48"},{"id":151,"name":"Denver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93"/>
        <v>start /low /b %USERPROFILE%\Documents\GitHub\eaglep3\Utilities\DownloadLogsFromS3.py --loco 4054 --day 2017-11-09</v>
      </c>
      <c r="AN195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4"/>
        <v>https://d0f6bd738d7f1b3e5a7ca70fe4ff75f0.us-east-1.aws.found.io/app/kibana#/discover/Steve-Slow-Train-Analysis-(2080s-and-2083s)?_g=(refreshInterval:(display:Off,pause:!f,section:0,value:0),time:(from:'2017-11-09T16:36:56-0700',mode:absolute,to:'2017-11-09T18:56:48-0700'))&amp;_a=(columns:!('Message%20ID',Summary),filters:!(),index:'emp_*',interval:auto,query:(query_string:(analyze_wildcard:!t,query:'%22rtdc.l.rtdc.4054%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838</v>
      </c>
      <c r="B196" s="7">
        <v>4053</v>
      </c>
      <c r="C196" s="21" t="s">
        <v>192</v>
      </c>
      <c r="D196" s="21" t="s">
        <v>627</v>
      </c>
      <c r="E196" s="13">
        <v>43048.749039351853</v>
      </c>
      <c r="F196" s="13">
        <v>43048.75854166667</v>
      </c>
      <c r="G196" s="7">
        <v>64</v>
      </c>
      <c r="H196" s="21" t="s">
        <v>1067</v>
      </c>
      <c r="I196" s="13">
        <v>43048.767581018517</v>
      </c>
      <c r="J196" s="7">
        <v>0</v>
      </c>
      <c r="K196" s="89" t="str">
        <f t="shared" si="74"/>
        <v>4053/4054</v>
      </c>
      <c r="L196" s="185" t="str">
        <f>VLOOKUP(A196,'Trips&amp;Operators'!$C$1:$G$99911,5,FALSE)</f>
        <v>ZEWDU DEREJE</v>
      </c>
      <c r="M196" s="6">
        <f t="shared" si="75"/>
        <v>9.0393518476048484E-3</v>
      </c>
      <c r="N196" s="7">
        <f t="shared" si="116"/>
        <v>13.016666660550982</v>
      </c>
      <c r="O196" s="7"/>
      <c r="P196" s="7"/>
      <c r="Q196" s="22"/>
      <c r="R196" s="174"/>
      <c r="S196" s="221">
        <f t="shared" si="117"/>
        <v>1</v>
      </c>
      <c r="T196" s="174" t="str">
        <f t="shared" si="76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77"/>
        <v>https://d0f6bd738d7f1b3e5a7ca70fe4ff75f0.us-east-1.aws.found.io/app/kibana#/discover/Steve-Slow-Train-Analysis-(2080s-and-2083s)?_g=(refreshInterval:(display:Off,pause:!f,section:0,value:0),time:(from:'2017-11-09T16:58:37-0700',mode:absolute,to:'2017-11-09T19:25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204" t="str">
        <f>IF(AA196&lt;VLOOKUP(AG196,Variables!$AC$3:$AD$8,2,FALSE),"Y","N")</f>
        <v>N</v>
      </c>
      <c r="X196" s="204">
        <f t="shared" si="136"/>
        <v>1</v>
      </c>
      <c r="Y196" s="204">
        <f t="shared" si="118"/>
        <v>5.8672000000000004</v>
      </c>
      <c r="Z196" s="204">
        <f t="shared" si="119"/>
        <v>7.3400000000000007E-2</v>
      </c>
      <c r="AA196" s="204">
        <f t="shared" si="78"/>
        <v>5.7938000000000001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79"/>
        <v>836</v>
      </c>
      <c r="AE196" s="77" t="str">
        <f t="shared" si="80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196" s="74" t="str">
        <f t="shared" si="81"/>
        <v>"C:\Program Files (x86)\AstroGrep\AstroGrep.exe" /e /r /s /spath="%USERPROFILE%\AppData\Local\Temp\OnboardLogs" /stypes="app*4053*20171110*" /stext=" 01:.+((SYSTEM_STATE.+slice.+state.+changed )|(ment ac)|(multiple cpu faults)|(system.+state.+changed )|(\[timeout)|(PRM\|1\|D)|(kpr)|(kdp)|(train st.+moving)|(\|lc)|(penalty))"</v>
      </c>
      <c r="AG196" s="182" t="str">
        <f t="shared" si="82"/>
        <v>NW</v>
      </c>
      <c r="AH196" s="78" t="str">
        <f t="shared" si="92"/>
        <v>"%USERPROFILE%\Documents\GitHub\eaglep3\Utilities\RefineRTDCRunTimes.py" --tripid 836-09 --locoid 4053 --swversion DE.1.0.9.0 --startMP 300:58672 --initTime 2017-11-09T17:58:37 --startdatetime 2017-11-09T18:12:18 --delay 64 --endMP 204:734 --enddatetime 2017-11-09T18:25:19 --enforcementcount 0 &gt;&gt;%USERPROFILE%\Documents\GitHub\eaglep3-reporting\EC\2017-11-09-refined-times.txt</v>
      </c>
      <c r="AI196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{"issue":{"subject":"","project_id":79,"tracker_id":40,"status_id":1,"priority_id":2,"assigned_to_id":338,"start_date":"2017-11-09","description":"","custom_fields":[{"id":1,"name":"Subdivision","value":"NW"},{"id":4,"name":"Milepost","value":"0.0734"},{"id":17,"name":"Train ID","value":"836-09"},{"id":16,"name":"Locomotive ID","value":"4053"},{"id":130,"name":"Impact","value":""},{"id":150,"name":"Time of Event (Mountain Time)","value":"18:25:19"},{"id":151,"name":"Denver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93"/>
        <v>start /low /b %USERPROFILE%\Documents\GitHub\eaglep3\Utilities\DownloadLogsFromS3.py --loco 4053 --day 2017-11-09</v>
      </c>
      <c r="AN196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4"/>
        <v>https://d0f6bd738d7f1b3e5a7ca70fe4ff75f0.us-east-1.aws.found.io/app/kibana#/discover/Steve-Slow-Train-Analysis-(2080s-and-2083s)?_g=(refreshInterval:(display:Off,pause:!f,section:0,value:0),time:(from:'2017-11-09T16:58:37-0700',mode:absolute,to:'2017-11-09T19:25:19-0700'))&amp;_a=(columns:!('Message%20ID',Summary),filters:!(),index:'emp_*',interval:auto,query:(query_string:(analyze_wildcard:!t,query:'%22rtdc.l.rtdc.4053%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840</v>
      </c>
      <c r="B197" s="7">
        <v>4016</v>
      </c>
      <c r="C197" s="21" t="s">
        <v>192</v>
      </c>
      <c r="D197" s="21" t="s">
        <v>637</v>
      </c>
      <c r="E197" s="13">
        <v>43048.753981481481</v>
      </c>
      <c r="F197" s="13">
        <v>43048.756944444445</v>
      </c>
      <c r="G197" s="7">
        <v>69</v>
      </c>
      <c r="H197" s="21" t="s">
        <v>1068</v>
      </c>
      <c r="I197" s="13">
        <v>43048.766273148147</v>
      </c>
      <c r="J197" s="7">
        <v>0</v>
      </c>
      <c r="K197" s="89" t="str">
        <f t="shared" si="74"/>
        <v>4015/4016</v>
      </c>
      <c r="L197" s="185" t="str">
        <f>VLOOKUP(A197,'Trips&amp;Operators'!$C$1:$G$99911,5,FALSE)</f>
        <v>STAMBAUGH JAMES</v>
      </c>
      <c r="M197" s="6">
        <f t="shared" si="75"/>
        <v>9.3287037016125396E-3</v>
      </c>
      <c r="N197" s="7">
        <f t="shared" si="116"/>
        <v>13.433333330322057</v>
      </c>
      <c r="O197" s="7"/>
      <c r="P197" s="7"/>
      <c r="Q197" s="22"/>
      <c r="R197" s="174"/>
      <c r="S197" s="221">
        <f t="shared" si="117"/>
        <v>1</v>
      </c>
      <c r="T197" s="174" t="str">
        <f t="shared" si="76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77"/>
        <v>https://d0f6bd738d7f1b3e5a7ca70fe4ff75f0.us-east-1.aws.found.io/app/kibana#/discover/Steve-Slow-Train-Analysis-(2080s-and-2083s)?_g=(refreshInterval:(display:Off,pause:!f,section:0,value:0),time:(from:'2017-11-09T17:05:44-0700',mode:absolute,to:'2017-11-09T19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204" t="str">
        <f>IF(AA197&lt;VLOOKUP(AG197,Variables!$AC$3:$AD$8,2,FALSE),"Y","N")</f>
        <v>N</v>
      </c>
      <c r="X197" s="204">
        <f t="shared" si="136"/>
        <v>1</v>
      </c>
      <c r="Y197" s="204">
        <f t="shared" si="118"/>
        <v>9.6500000000000002E-2</v>
      </c>
      <c r="Z197" s="204">
        <f t="shared" si="119"/>
        <v>5.8935000000000004</v>
      </c>
      <c r="AA197" s="204">
        <f t="shared" si="78"/>
        <v>5.7970000000000006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79"/>
        <v>837</v>
      </c>
      <c r="AE197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197" s="74" t="str">
        <f t="shared" si="81"/>
        <v>"C:\Program Files (x86)\AstroGrep\AstroGrep.exe" /e /r /s /spath="%USERPROFILE%\AppData\Local\Temp\OnboardLogs" /stypes="app*4016*20171110*" /stext=" 01:.+((SYSTEM_STATE.+slice.+state.+changed )|(ment ac)|(multiple cpu faults)|(system.+state.+changed )|(\[timeout)|(PRM\|1\|D)|(kpr)|(kdp)|(train st.+moving)|(\|lc)|(penalty))"</v>
      </c>
      <c r="AG197" s="182" t="str">
        <f t="shared" si="82"/>
        <v>NW</v>
      </c>
      <c r="AH197" s="78" t="str">
        <f t="shared" si="92"/>
        <v>"%USERPROFILE%\Documents\GitHub\eaglep3\Utilities\RefineRTDCRunTimes.py" --tripid 837-09 --locoid 4016 --swversion DE.1.0.9.0 --startMP 204:965 --initTime 2017-11-09T18:05:44 --startdatetime 2017-11-09T18:10:00 --delay 69 --endMP 300:58935 --enddatetime 2017-11-09T18:23:26 --enforcementcount 0 &gt;&gt;%USERPROFILE%\Documents\GitHub\eaglep3-reporting\EC\2017-11-09-refined-times.txt</v>
      </c>
      <c r="AI197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{"issue":{"subject":"","project_id":79,"tracker_id":40,"status_id":1,"priority_id":2,"assigned_to_id":338,"start_date":"2017-11-09","description":"","custom_fields":[{"id":1,"name":"Subdivision","value":"NW"},{"id":4,"name":"Milepost","value":"5.8935"},{"id":17,"name":"Train ID","value":"837-09"},{"id":16,"name":"Locomotive ID","value":"4016"},{"id":130,"name":"Impact","value":""},{"id":150,"name":"Time of Event (Mountain Time)","value":"18:23:26"},{"id":151,"name":"Denver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93"/>
        <v>start /low /b %USERPROFILE%\Documents\GitHub\eaglep3\Utilities\DownloadLogsFromS3.py --loco 4016 --day 2017-11-09</v>
      </c>
      <c r="AN197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4"/>
        <v>https://d0f6bd738d7f1b3e5a7ca70fe4ff75f0.us-east-1.aws.found.io/app/kibana#/discover/Steve-Slow-Train-Analysis-(2080s-and-2083s)?_g=(refreshInterval:(display:Off,pause:!f,section:0,value:0),time:(from:'2017-11-09T17:05:44-0700',mode:absolute,to:'2017-11-09T19:23:26-0700'))&amp;_a=(columns:!('Message%20ID',Summary),filters:!(),index:'emp_*',interval:auto,query:(query_string:(analyze_wildcard:!t,query:'%22rtdc.l.rtdc.4016%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844</v>
      </c>
      <c r="B198" s="7">
        <v>4015</v>
      </c>
      <c r="C198" s="21" t="s">
        <v>192</v>
      </c>
      <c r="D198" s="21" t="s">
        <v>637</v>
      </c>
      <c r="E198" s="13">
        <v>43048.753981481481</v>
      </c>
      <c r="F198" s="13">
        <v>43048.779918981483</v>
      </c>
      <c r="G198" s="7">
        <v>69</v>
      </c>
      <c r="H198" s="21" t="s">
        <v>1068</v>
      </c>
      <c r="I198" s="13">
        <v>43048.788124999999</v>
      </c>
      <c r="J198" s="7">
        <v>0</v>
      </c>
      <c r="K198" s="89" t="str">
        <f t="shared" ref="K198" si="137">IF(ISEVEN(B198),(B198-1)&amp;"/"&amp;B198,B198&amp;"/"&amp;(B198+1))</f>
        <v>4015/4016</v>
      </c>
      <c r="L198" s="185" t="str">
        <f>VLOOKUP(A198,'Trips&amp;Operators'!$C$1:$G$99911,5,FALSE)</f>
        <v>STAMBAUGH JAMES</v>
      </c>
      <c r="M198" s="6">
        <f t="shared" ref="M198" si="138">I198-F198</f>
        <v>8.2060185159207322E-3</v>
      </c>
      <c r="N198" s="7">
        <f t="shared" si="116"/>
        <v>11.816666662925854</v>
      </c>
      <c r="O198" s="7"/>
      <c r="P198" s="7"/>
      <c r="Q198" s="22"/>
      <c r="R198" s="174"/>
      <c r="S198" s="221">
        <f t="shared" ref="S198" si="139">1/IF(AG198="EC",12,1)*SUM(U198:U198)</f>
        <v>1</v>
      </c>
      <c r="T198" s="174" t="str">
        <f t="shared" ref="T198" si="140"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ref="V198" si="141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-09T17:05:44-0700',mode:absolute,to:'2017-11-09T19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204" t="str">
        <f>IF(AA198&lt;VLOOKUP(AG198,Variables!$AC$3:$AD$8,2,FALSE),"Y","N")</f>
        <v>N</v>
      </c>
      <c r="X198" s="204">
        <f t="shared" ref="X198:X199" si="142">VALUE(LEFT(AD198,4))-VALUE(LEFT(AD197,4))</f>
        <v>1</v>
      </c>
      <c r="Y198" s="204">
        <v>5.8672000000000004</v>
      </c>
      <c r="Z198" s="204">
        <v>7.3400000000000007E-2</v>
      </c>
      <c r="AA198" s="204">
        <f t="shared" ref="AA198" si="143">ABS(Z198-Y198)</f>
        <v>5.7938000000000001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ref="AD198" si="144">VALUE(LEFT(A198,LEN(A198)-3))</f>
        <v>838</v>
      </c>
      <c r="AE198" s="77" t="str">
        <f t="shared" ref="AE198" si="145"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198" s="74" t="str">
        <f t="shared" ref="AF198" si="146"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/stypes="app*4015*20171110*" /stext=" 01:.+((SYSTEM_STATE.+slice.+state.+changed )|(ment ac)|(multiple cpu faults)|(system.+state.+changed )|(\[timeout)|(PRM\|1\|D)|(kpr)|(kdp)|(train st.+moving)|(\|lc)|(penalty))"</v>
      </c>
      <c r="AG198" s="182" t="str">
        <f t="shared" ref="AG198" si="147">DetSubdiv(A198)</f>
        <v>NW</v>
      </c>
      <c r="AH198" s="78" t="str">
        <f t="shared" ref="AH198" si="148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838-09 --locoid 4015 --swversion DE.1.0.9.0 --startMP 204:965 --initTime 2017-11-09T18:05:44 --startdatetime 2017-11-09T18:43:05 --delay 69 --endMP 300:58935 --enddatetime 2017-11-09T18:54:54 --enforcementcount 0 &gt;&gt;%USERPROFILE%\Documents\GitHub\eaglep3-reporting\EC\2017-11-09-refined-times.txt</v>
      </c>
      <c r="AI198" s="96" t="str">
        <f t="shared" ref="AI198" si="149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{"issue":{"subject":"","project_id":79,"tracker_id":40,"status_id":1,"priority_id":2,"assigned_to_id":338,"start_date":"2017-11-09","description":"","custom_fields":[{"id":1,"name":"Subdivision","value":"NW"},{"id":4,"name":"Milepost","value":"0.0734"},{"id":17,"name":"Train ID","value":"838-09"},{"id":16,"name":"Locomotive ID","value":"4015"},{"id":130,"name":"Impact","value":""},{"id":150,"name":"Time of Event (Mountain Time)","value":"18:54:54"},{"id":151,"name":"Denver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ref="AM198" si="150">"start /low /b "&amp;dls3logs&amp;" --loco "&amp;B198&amp;" --day "&amp;TEXT(F198,"YYYY-MM-DD")</f>
        <v>start /low /b %USERPROFILE%\Documents\GitHub\eaglep3\Utilities\DownloadLogsFromS3.py --loco 4015 --day 2017-11-09</v>
      </c>
      <c r="AN198" s="151" t="str">
        <f t="shared" ref="AN198" si="151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ref="AO198" si="152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-09T17:05:44-0700',mode:absolute,to:'2017-11-09T19:54:54-0700'))&amp;_a=(columns:!('Message%20ID',Summary),filters:!(),index:'emp_*',interval:auto,query:(query_string:(analyze_wildcard:!t,query:'%22rtdc.l.rtdc.4015%22')),sort:!(Time.ISO8601,asc))</v>
      </c>
    </row>
    <row r="199" spans="1:91" s="20" customFormat="1" x14ac:dyDescent="0.25">
      <c r="A199" s="32" t="s">
        <v>847</v>
      </c>
      <c r="B199" s="7">
        <v>4054</v>
      </c>
      <c r="C199" s="21" t="s">
        <v>192</v>
      </c>
      <c r="D199" s="21" t="s">
        <v>535</v>
      </c>
      <c r="E199" s="13">
        <v>43048.769884259258</v>
      </c>
      <c r="F199" s="13">
        <v>43048.777361111112</v>
      </c>
      <c r="G199" s="7">
        <v>427</v>
      </c>
      <c r="H199" s="21" t="s">
        <v>1069</v>
      </c>
      <c r="I199" s="13">
        <v>43048.787916666668</v>
      </c>
      <c r="J199" s="7">
        <v>0</v>
      </c>
      <c r="K199" s="89" t="str">
        <f t="shared" si="74"/>
        <v>4053/4054</v>
      </c>
      <c r="L199" s="185" t="str">
        <f>VLOOKUP(A199,'Trips&amp;Operators'!$C$1:$G$99911,5,FALSE)</f>
        <v>ZEWDU DEREJE</v>
      </c>
      <c r="M199" s="6">
        <f t="shared" si="75"/>
        <v>1.0555555556493346E-2</v>
      </c>
      <c r="N199" s="7">
        <f t="shared" si="116"/>
        <v>15.200000001350418</v>
      </c>
      <c r="O199" s="7"/>
      <c r="P199" s="7"/>
      <c r="Q199" s="22"/>
      <c r="R199" s="174"/>
      <c r="S199" s="221">
        <f t="shared" si="117"/>
        <v>1</v>
      </c>
      <c r="T199" s="174" t="str">
        <f t="shared" si="76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77"/>
        <v>https://d0f6bd738d7f1b3e5a7ca70fe4ff75f0.us-east-1.aws.found.io/app/kibana#/discover/Steve-Slow-Train-Analysis-(2080s-and-2083s)?_g=(refreshInterval:(display:Off,pause:!f,section:0,value:0),time:(from:'2017-11-09T17:28:38-0700',mode:absolute,to:'2017-11-09T19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204" t="str">
        <f>IF(AA199&lt;VLOOKUP(AG199,Variables!$AC$3:$AD$8,2,FALSE),"Y","N")</f>
        <v>N</v>
      </c>
      <c r="X199" s="204">
        <f t="shared" si="142"/>
        <v>1</v>
      </c>
      <c r="Y199" s="204">
        <f t="shared" si="118"/>
        <v>9.9199999999999997E-2</v>
      </c>
      <c r="Z199" s="204">
        <f t="shared" si="119"/>
        <v>5.9013</v>
      </c>
      <c r="AA199" s="204">
        <f t="shared" si="78"/>
        <v>5.8021000000000003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79"/>
        <v>839</v>
      </c>
      <c r="AE199" s="77" t="str">
        <f t="shared" si="80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199" s="74" t="str">
        <f t="shared" si="81"/>
        <v>"C:\Program Files (x86)\AstroGrep\AstroGrep.exe" /e /r /s /spath="%USERPROFILE%\AppData\Local\Temp\OnboardLogs" /stypes="app*4054*20171110*" /stext=" 01:.+((SYSTEM_STATE.+slice.+state.+changed )|(ment ac)|(multiple cpu faults)|(system.+state.+changed )|(\[timeout)|(PRM\|1\|D)|(kpr)|(kdp)|(train st.+moving)|(\|lc)|(penalty))"</v>
      </c>
      <c r="AG199" s="182" t="str">
        <f t="shared" si="82"/>
        <v>NW</v>
      </c>
      <c r="AH199" s="78" t="str">
        <f t="shared" si="92"/>
        <v>"%USERPROFILE%\Documents\GitHub\eaglep3\Utilities\RefineRTDCRunTimes.py" --tripid 839-09 --locoid 4054 --swversion DE.1.0.9.0 --startMP 204:992 --initTime 2017-11-09T18:28:38 --startdatetime 2017-11-09T18:39:24 --delay 427 --endMP 300:59013 --enddatetime 2017-11-09T18:54:36 --enforcementcount 0 &gt;&gt;%USERPROFILE%\Documents\GitHub\eaglep3-reporting\EC\2017-11-09-refined-times.txt</v>
      </c>
      <c r="AI199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{"issue":{"subject":"","project_id":79,"tracker_id":40,"status_id":1,"priority_id":2,"assigned_to_id":338,"start_date":"2017-11-09","description":"","custom_fields":[{"id":1,"name":"Subdivision","value":"NW"},{"id":4,"name":"Milepost","value":"5.9013"},{"id":17,"name":"Train ID","value":"839-09"},{"id":16,"name":"Locomotive ID","value":"4054"},{"id":130,"name":"Impact","value":""},{"id":150,"name":"Time of Event (Mountain Time)","value":"18:54:36"},{"id":151,"name":"Denver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93"/>
        <v>start /low /b %USERPROFILE%\Documents\GitHub\eaglep3\Utilities\DownloadLogsFromS3.py --loco 4054 --day 2017-11-09</v>
      </c>
      <c r="AN199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4"/>
        <v>https://d0f6bd738d7f1b3e5a7ca70fe4ff75f0.us-east-1.aws.found.io/app/kibana#/discover/Steve-Slow-Train-Analysis-(2080s-and-2083s)?_g=(refreshInterval:(display:Off,pause:!f,section:0,value:0),time:(from:'2017-11-09T17:28:38-0700',mode:absolute,to:'2017-11-09T19:54:36-0700'))&amp;_a=(columns:!('Message%20ID',Summary),filters:!(),index:'emp_*',interval:auto,query:(query_string:(analyze_wildcard:!t,query:'%22rtdc.l.rtdc.4054%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855</v>
      </c>
      <c r="B200" s="7">
        <v>4015</v>
      </c>
      <c r="C200" s="21" t="s">
        <v>192</v>
      </c>
      <c r="D200" s="21" t="s">
        <v>1049</v>
      </c>
      <c r="E200" s="13">
        <v>43048.80840277778</v>
      </c>
      <c r="F200" s="13">
        <v>43048.821597222224</v>
      </c>
      <c r="G200" s="7">
        <v>103</v>
      </c>
      <c r="H200" s="21" t="s">
        <v>1021</v>
      </c>
      <c r="I200" s="13">
        <v>43048.829409722224</v>
      </c>
      <c r="J200" s="7">
        <v>0</v>
      </c>
      <c r="K200" s="89" t="str">
        <f t="shared" si="74"/>
        <v>4015/4016</v>
      </c>
      <c r="L200" s="185" t="str">
        <f>VLOOKUP(A200,'Trips&amp;Operators'!$C$1:$G$99911,5,FALSE)</f>
        <v>STAMBAUGH JAMES</v>
      </c>
      <c r="M200" s="6">
        <f t="shared" si="75"/>
        <v>7.8125E-3</v>
      </c>
      <c r="N200" s="7">
        <f t="shared" si="116"/>
        <v>11.25</v>
      </c>
      <c r="O200" s="7"/>
      <c r="P200" s="7"/>
      <c r="Q200" s="22"/>
      <c r="R200" s="174"/>
      <c r="S200" s="221">
        <f t="shared" si="117"/>
        <v>1</v>
      </c>
      <c r="T200" s="174" t="str">
        <f t="shared" si="76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77"/>
        <v>https://d0f6bd738d7f1b3e5a7ca70fe4ff75f0.us-east-1.aws.found.io/app/kibana#/discover/Steve-Slow-Train-Analysis-(2080s-and-2083s)?_g=(refreshInterval:(display:Off,pause:!f,section:0,value:0),time:(from:'2017-11-09T18:24:06-0700',mode:absolute,to:'2017-11-09T20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04" t="str">
        <f>IF(AA200&lt;VLOOKUP(AG200,Variables!$AC$3:$AD$8,2,FALSE),"Y","N")</f>
        <v>N</v>
      </c>
      <c r="X200" s="204">
        <f t="shared" si="136"/>
        <v>1</v>
      </c>
      <c r="Y200" s="204">
        <f t="shared" si="118"/>
        <v>5.8619000000000003</v>
      </c>
      <c r="Z200" s="204">
        <f t="shared" si="119"/>
        <v>6.8699999999999997E-2</v>
      </c>
      <c r="AA200" s="204">
        <f t="shared" si="78"/>
        <v>5.7932000000000006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79"/>
        <v>840</v>
      </c>
      <c r="AE200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00" s="74" t="str">
        <f t="shared" si="81"/>
        <v>"C:\Program Files (x86)\AstroGrep\AstroGrep.exe" /e /r /s /spath="%USERPROFILE%\AppData\Local\Temp\OnboardLogs" /stypes="app*4015*20171110*" /stext=" 02:.+((SYSTEM_STATE.+slice.+state.+changed )|(ment ac)|(multiple cpu faults)|(system.+state.+changed )|(\[timeout)|(PRM\|1\|D)|(kpr)|(kdp)|(train st.+moving)|(\|lc)|(penalty))"</v>
      </c>
      <c r="AG200" s="182" t="str">
        <f t="shared" si="82"/>
        <v>NW</v>
      </c>
      <c r="AH200" s="78" t="str">
        <f t="shared" si="92"/>
        <v>"%USERPROFILE%\Documents\GitHub\eaglep3\Utilities\RefineRTDCRunTimes.py" --tripid 840-09 --locoid 4015 --swversion DE.1.0.9.0 --startMP 300:58619 --initTime 2017-11-09T19:24:06 --startdatetime 2017-11-09T19:43:06 --delay 103 --endMP 204:687 --enddatetime 2017-11-09T19:54:21 --enforcementcount 0 &gt;&gt;%USERPROFILE%\Documents\GitHub\eaglep3-reporting\EC\2017-11-09-refined-times.txt</v>
      </c>
      <c r="AI200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{"issue":{"subject":"","project_id":79,"tracker_id":40,"status_id":1,"priority_id":2,"assigned_to_id":338,"start_date":"2017-11-09","description":"","custom_fields":[{"id":1,"name":"Subdivision","value":"NW"},{"id":4,"name":"Milepost","value":"0.0687"},{"id":17,"name":"Train ID","value":"840-09"},{"id":16,"name":"Locomotive ID","value":"4015"},{"id":130,"name":"Impact","value":""},{"id":150,"name":"Time of Event (Mountain Time)","value":"19:54:21"},{"id":151,"name":"Denver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93"/>
        <v>start /low /b %USERPROFILE%\Documents\GitHub\eaglep3\Utilities\DownloadLogsFromS3.py --loco 4015 --day 2017-11-09</v>
      </c>
      <c r="AN200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4"/>
        <v>https://d0f6bd738d7f1b3e5a7ca70fe4ff75f0.us-east-1.aws.found.io/app/kibana#/discover/Steve-Slow-Train-Analysis-(2080s-and-2083s)?_g=(refreshInterval:(display:Off,pause:!f,section:0,value:0),time:(from:'2017-11-09T18:24:06-0700',mode:absolute,to:'2017-11-09T20:54:21-0700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656</v>
      </c>
      <c r="B201" s="7">
        <v>4016</v>
      </c>
      <c r="C201" s="21" t="s">
        <v>192</v>
      </c>
      <c r="D201" s="21" t="s">
        <v>1049</v>
      </c>
      <c r="E201" s="13">
        <v>43048.80840277778</v>
      </c>
      <c r="F201" s="13">
        <v>43048.798576388886</v>
      </c>
      <c r="G201" s="7">
        <v>103</v>
      </c>
      <c r="H201" s="21" t="s">
        <v>1021</v>
      </c>
      <c r="I201" s="13">
        <v>43048.807557870372</v>
      </c>
      <c r="J201" s="7">
        <v>0</v>
      </c>
      <c r="K201" s="89" t="str">
        <f t="shared" ref="K201" si="153">IF(ISEVEN(B201),(B201-1)&amp;"/"&amp;B201,B201&amp;"/"&amp;(B201+1))</f>
        <v>4015/4016</v>
      </c>
      <c r="L201" s="185" t="str">
        <f>VLOOKUP(A201,'Trips&amp;Operators'!$C$1:$G$99911,5,FALSE)</f>
        <v>STAMBAUGH JAMES</v>
      </c>
      <c r="M201" s="6">
        <f t="shared" ref="M201" si="154">I201-F201</f>
        <v>8.9814814855344594E-3</v>
      </c>
      <c r="N201" s="7">
        <f t="shared" si="116"/>
        <v>12.933333339169621</v>
      </c>
      <c r="O201" s="7"/>
      <c r="P201" s="7"/>
      <c r="Q201" s="22"/>
      <c r="R201" s="174"/>
      <c r="S201" s="221">
        <f t="shared" ref="S201" si="155">1/IF(AG201="EC",12,1)*SUM(U201:U201)</f>
        <v>1</v>
      </c>
      <c r="T201" s="174" t="str">
        <f t="shared" ref="T201" si="156"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ref="V201" si="157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-09T18:24:06-0700',mode:absolute,to:'2017-11-09T20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204" t="str">
        <f>IF(AA201&lt;VLOOKUP(AG201,Variables!$AC$3:$AD$8,2,FALSE),"Y","N")</f>
        <v>N</v>
      </c>
      <c r="X201" s="204">
        <f t="shared" ref="X201" si="158">VALUE(LEFT(AD201,4))-VALUE(LEFT(AD200,4))</f>
        <v>1</v>
      </c>
      <c r="Y201" s="204">
        <v>9.9199999999999997E-2</v>
      </c>
      <c r="Z201" s="204">
        <v>5.9013</v>
      </c>
      <c r="AA201" s="204">
        <f t="shared" ref="AA201" si="159">ABS(Z201-Y201)</f>
        <v>5.8021000000000003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ref="AD201" si="160">VALUE(LEFT(A201,LEN(A201)-3))</f>
        <v>841</v>
      </c>
      <c r="AE201" s="77" t="str">
        <f t="shared" ref="AE201" si="161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201" s="74" t="str">
        <f t="shared" ref="AF201" si="162"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/stypes="app*4016*20171110*" /stext=" 02:.+((SYSTEM_STATE.+slice.+state.+changed )|(ment ac)|(multiple cpu faults)|(system.+state.+changed )|(\[timeout)|(PRM\|1\|D)|(kpr)|(kdp)|(train st.+moving)|(\|lc)|(penalty))"</v>
      </c>
      <c r="AG201" s="182" t="str">
        <f t="shared" ref="AG201" si="163">DetSubdiv(A201)</f>
        <v>NW</v>
      </c>
      <c r="AH201" s="78" t="str">
        <f t="shared" ref="AH201" si="164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841-09 --locoid 4016 --swversion DE.1.0.9.0 --startMP 300:58619 --initTime 2017-11-09T19:24:06 --startdatetime 2017-11-09T19:09:57 --delay 103 --endMP 204:687 --enddatetime 2017-11-09T19:22:53 --enforcementcount 0 &gt;&gt;%USERPROFILE%\Documents\GitHub\eaglep3-reporting\EC\2017-11-09-refined-times.txt</v>
      </c>
      <c r="AI201" s="96" t="str">
        <f t="shared" ref="AI201" si="165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{"issue":{"subject":"","project_id":79,"tracker_id":40,"status_id":1,"priority_id":2,"assigned_to_id":338,"start_date":"2017-11-09","description":"","custom_fields":[{"id":1,"name":"Subdivision","value":"NW"},{"id":4,"name":"Milepost","value":"5.9013"},{"id":17,"name":"Train ID","value":"841-09"},{"id":16,"name":"Locomotive ID","value":"4016"},{"id":130,"name":"Impact","value":""},{"id":150,"name":"Time of Event (Mountain Time)","value":"19:22:53"},{"id":151,"name":"Denver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166">"start /low /b "&amp;dls3logs&amp;" --loco "&amp;B201&amp;" --day "&amp;TEXT(F201,"YYYY-MM-DD")</f>
        <v>start /low /b %USERPROFILE%\Documents\GitHub\eaglep3\Utilities\DownloadLogsFromS3.py --loco 4016 --day 2017-11-09</v>
      </c>
      <c r="AN201" s="151" t="str">
        <f t="shared" ref="AN201" si="167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168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-09T18:24:06-0700',mode:absolute,to:'2017-11-09T20:22:53-0700'))&amp;_a=(columns:!('Message%20ID',Summary),filters:!(),index:'emp_*',interval:auto,query:(query_string:(analyze_wildcard:!t,query:'%22rtdc.l.rtdc.4016%22')),sort:!(Time.ISO8601,asc))</v>
      </c>
    </row>
    <row r="202" spans="1:91" s="20" customFormat="1" x14ac:dyDescent="0.25">
      <c r="A202" s="32" t="s">
        <v>862</v>
      </c>
      <c r="B202" s="7">
        <v>4015</v>
      </c>
      <c r="C202" s="21" t="s">
        <v>192</v>
      </c>
      <c r="D202" s="21" t="s">
        <v>1049</v>
      </c>
      <c r="E202" s="13">
        <v>43048.80840277778</v>
      </c>
      <c r="F202" s="13">
        <v>43048.863263888888</v>
      </c>
      <c r="G202" s="7">
        <v>103</v>
      </c>
      <c r="H202" s="21" t="s">
        <v>1021</v>
      </c>
      <c r="I202" s="13">
        <v>43048.871099537035</v>
      </c>
      <c r="J202" s="7">
        <v>0</v>
      </c>
      <c r="K202" s="89" t="str">
        <f t="shared" ref="K202" si="169">IF(ISEVEN(B202),(B202-1)&amp;"/"&amp;B202,B202&amp;"/"&amp;(B202+1))</f>
        <v>4015/4016</v>
      </c>
      <c r="L202" s="185" t="str">
        <f>VLOOKUP(A202,'Trips&amp;Operators'!$C$1:$G$99911,5,FALSE)</f>
        <v>STAMBAUGH JAMES</v>
      </c>
      <c r="M202" s="6">
        <f t="shared" ref="M202" si="170">I202-F202</f>
        <v>7.8356481462833472E-3</v>
      </c>
      <c r="N202" s="7">
        <f t="shared" si="116"/>
        <v>11.28333333064802</v>
      </c>
      <c r="O202" s="7"/>
      <c r="P202" s="7"/>
      <c r="Q202" s="22"/>
      <c r="R202" s="174"/>
      <c r="S202" s="221">
        <f t="shared" ref="S202" si="171">1/IF(AG202="EC",12,1)*SUM(U202:U202)</f>
        <v>1</v>
      </c>
      <c r="T202" s="174" t="str">
        <f t="shared" ref="T202" si="172"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ref="V202" si="173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-09T18:24:06-0700',mode:absolute,to:'2017-11-09T21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204" t="str">
        <f>IF(AA202&lt;VLOOKUP(AG202,Variables!$AC$3:$AD$8,2,FALSE),"Y","N")</f>
        <v>N</v>
      </c>
      <c r="X202" s="204">
        <f t="shared" ref="X202:X203" si="174">VALUE(LEFT(AD202,4))-VALUE(LEFT(AD201,4))</f>
        <v>1</v>
      </c>
      <c r="Y202" s="204">
        <v>5.8619000000000003</v>
      </c>
      <c r="Z202" s="204">
        <v>6.8699999999999997E-2</v>
      </c>
      <c r="AA202" s="204">
        <f t="shared" ref="AA202" si="175">ABS(Z202-Y202)</f>
        <v>5.7932000000000006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ref="AD202" si="176">VALUE(LEFT(A202,LEN(A202)-3))</f>
        <v>842</v>
      </c>
      <c r="AE202" s="77" t="str">
        <f t="shared" ref="AE202" si="177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02" s="74" t="str">
        <f t="shared" ref="AF202" si="178"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/stypes="app*4015*20171110*" /stext=" 03:.+((SYSTEM_STATE.+slice.+state.+changed )|(ment ac)|(multiple cpu faults)|(system.+state.+changed )|(\[timeout)|(PRM\|1\|D)|(kpr)|(kdp)|(train st.+moving)|(\|lc)|(penalty))"</v>
      </c>
      <c r="AG202" s="182" t="str">
        <f t="shared" ref="AG202" si="179">DetSubdiv(A202)</f>
        <v>NW</v>
      </c>
      <c r="AH202" s="78" t="str">
        <f t="shared" ref="AH202" si="18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842-09 --locoid 4015 --swversion DE.1.0.9.0 --startMP 300:58619 --initTime 2017-11-09T19:24:06 --startdatetime 2017-11-09T20:43:06 --delay 103 --endMP 204:687 --enddatetime 2017-11-09T20:54:23 --enforcementcount 0 &gt;&gt;%USERPROFILE%\Documents\GitHub\eaglep3-reporting\EC\2017-11-09-refined-times.txt</v>
      </c>
      <c r="AI202" s="96" t="str">
        <f t="shared" ref="AI202" si="181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{"issue":{"subject":"","project_id":79,"tracker_id":40,"status_id":1,"priority_id":2,"assigned_to_id":338,"start_date":"2017-11-09","description":"","custom_fields":[{"id":1,"name":"Subdivision","value":"NW"},{"id":4,"name":"Milepost","value":"0.0687"},{"id":17,"name":"Train ID","value":"842-09"},{"id":16,"name":"Locomotive ID","value":"4015"},{"id":130,"name":"Impact","value":""},{"id":150,"name":"Time of Event (Mountain Time)","value":"20:54:23"},{"id":151,"name":"Denver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ref="AM202" si="182">"start /low /b "&amp;dls3logs&amp;" --loco "&amp;B202&amp;" --day "&amp;TEXT(F202,"YYYY-MM-DD")</f>
        <v>start /low /b %USERPROFILE%\Documents\GitHub\eaglep3\Utilities\DownloadLogsFromS3.py --loco 4015 --day 2017-11-09</v>
      </c>
      <c r="AN202" s="151" t="str">
        <f t="shared" ref="AN202" si="183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ref="AO202" si="184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-09T18:24:06-0700',mode:absolute,to:'2017-11-09T21:54:23-0700'))&amp;_a=(columns:!('Message%20ID',Summary),filters:!(),index:'emp_*',interval:auto,query:(query_string:(analyze_wildcard:!t,query:'%22rtdc.l.rtdc.4015%22')),sort:!(Time.ISO8601,asc))</v>
      </c>
    </row>
    <row r="203" spans="1:91" s="20" customFormat="1" x14ac:dyDescent="0.25">
      <c r="A203" s="32" t="s">
        <v>860</v>
      </c>
      <c r="B203" s="7">
        <v>4016</v>
      </c>
      <c r="C203" s="21" t="s">
        <v>192</v>
      </c>
      <c r="D203" s="21" t="s">
        <v>1070</v>
      </c>
      <c r="E203" s="13">
        <v>43048.837673611109</v>
      </c>
      <c r="F203" s="13">
        <v>43048.840069444443</v>
      </c>
      <c r="G203" s="7">
        <v>56</v>
      </c>
      <c r="H203" s="21" t="s">
        <v>472</v>
      </c>
      <c r="I203" s="13">
        <v>43048.849039351851</v>
      </c>
      <c r="J203" s="7">
        <v>0</v>
      </c>
      <c r="K203" s="89" t="str">
        <f t="shared" si="74"/>
        <v>4015/4016</v>
      </c>
      <c r="L203" s="185" t="str">
        <f>VLOOKUP(A203,'Trips&amp;Operators'!$C$1:$G$99911,5,FALSE)</f>
        <v>STAMBAUGH JAMES</v>
      </c>
      <c r="M203" s="6">
        <f t="shared" si="75"/>
        <v>8.969907408754807E-3</v>
      </c>
      <c r="N203" s="7">
        <f t="shared" si="116"/>
        <v>12.916666668606922</v>
      </c>
      <c r="O203" s="7"/>
      <c r="P203" s="7"/>
      <c r="Q203" s="22"/>
      <c r="R203" s="174"/>
      <c r="S203" s="221">
        <f t="shared" si="117"/>
        <v>1</v>
      </c>
      <c r="T203" s="174" t="str">
        <f t="shared" si="76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77"/>
        <v>https://d0f6bd738d7f1b3e5a7ca70fe4ff75f0.us-east-1.aws.found.io/app/kibana#/discover/Steve-Slow-Train-Analysis-(2080s-and-2083s)?_g=(refreshInterval:(display:Off,pause:!f,section:0,value:0),time:(from:'2017-11-09T19:06:15-0700',mode:absolute,to:'2017-11-09T21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204" t="str">
        <f>IF(AA203&lt;VLOOKUP(AG203,Variables!$AC$3:$AD$8,2,FALSE),"Y","N")</f>
        <v>N</v>
      </c>
      <c r="X203" s="204">
        <f t="shared" si="174"/>
        <v>1</v>
      </c>
      <c r="Y203" s="204">
        <f t="shared" si="118"/>
        <v>9.6699999999999994E-2</v>
      </c>
      <c r="Z203" s="204">
        <f t="shared" si="119"/>
        <v>5.8933</v>
      </c>
      <c r="AA203" s="204">
        <f t="shared" si="78"/>
        <v>5.7965999999999998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79"/>
        <v>843</v>
      </c>
      <c r="AE203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203" s="74" t="str">
        <f t="shared" si="81"/>
        <v>"C:\Program Files (x86)\AstroGrep\AstroGrep.exe" /e /r /s /spath="%USERPROFILE%\AppData\Local\Temp\OnboardLogs" /stypes="app*4016*20171110*" /stext=" 03:.+((SYSTEM_STATE.+slice.+state.+changed )|(ment ac)|(multiple cpu faults)|(system.+state.+changed )|(\[timeout)|(PRM\|1\|D)|(kpr)|(kdp)|(train st.+moving)|(\|lc)|(penalty))"</v>
      </c>
      <c r="AG203" s="182" t="str">
        <f t="shared" si="82"/>
        <v>NW</v>
      </c>
      <c r="AH203" s="78" t="str">
        <f t="shared" si="92"/>
        <v>"%USERPROFILE%\Documents\GitHub\eaglep3\Utilities\RefineRTDCRunTimes.py" --tripid 843-09 --locoid 4016 --swversion DE.1.0.9.0 --startMP 204:967 --initTime 2017-11-09T20:06:15 --startdatetime 2017-11-09T20:09:42 --delay 56 --endMP 300:58933 --enddatetime 2017-11-09T20:22:37 --enforcementcount 0 &gt;&gt;%USERPROFILE%\Documents\GitHub\eaglep3-reporting\EC\2017-11-09-refined-times.txt</v>
      </c>
      <c r="AI203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{"issue":{"subject":"","project_id":79,"tracker_id":40,"status_id":1,"priority_id":2,"assigned_to_id":338,"start_date":"2017-11-09","description":"","custom_fields":[{"id":1,"name":"Subdivision","value":"NW"},{"id":4,"name":"Milepost","value":"5.8933"},{"id":17,"name":"Train ID","value":"843-09"},{"id":16,"name":"Locomotive ID","value":"4016"},{"id":130,"name":"Impact","value":""},{"id":150,"name":"Time of Event (Mountain Time)","value":"20:22:37"},{"id":151,"name":"Denver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93"/>
        <v>start /low /b %USERPROFILE%\Documents\GitHub\eaglep3\Utilities\DownloadLogsFromS3.py --loco 4016 --day 2017-11-09</v>
      </c>
      <c r="AN203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4"/>
        <v>https://d0f6bd738d7f1b3e5a7ca70fe4ff75f0.us-east-1.aws.found.io/app/kibana#/discover/Steve-Slow-Train-Analysis-(2080s-and-2083s)?_g=(refreshInterval:(display:Off,pause:!f,section:0,value:0),time:(from:'2017-11-09T19:06:15-0700',mode:absolute,to:'2017-11-09T21:22:37-0700'))&amp;_a=(columns:!('Message%20ID',Summary),filters:!(),index:'emp_*',interval:auto,query:(query_string:(analyze_wildcard:!t,query:'%22rtdc.l.rtdc.4016%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869</v>
      </c>
      <c r="B204" s="7">
        <v>4015</v>
      </c>
      <c r="C204" s="21" t="s">
        <v>192</v>
      </c>
      <c r="D204" s="21" t="s">
        <v>1071</v>
      </c>
      <c r="E204" s="13">
        <v>43048.893564814818</v>
      </c>
      <c r="F204" s="13">
        <v>43048.904907407406</v>
      </c>
      <c r="G204" s="7">
        <v>81</v>
      </c>
      <c r="H204" s="21" t="s">
        <v>1072</v>
      </c>
      <c r="I204" s="13">
        <v>43048.913449074076</v>
      </c>
      <c r="J204" s="7">
        <v>0</v>
      </c>
      <c r="K204" s="89" t="str">
        <f t="shared" si="74"/>
        <v>4015/4016</v>
      </c>
      <c r="L204" s="185" t="str">
        <f>VLOOKUP(A204,'Trips&amp;Operators'!$C$1:$G$99911,5,FALSE)</f>
        <v>ZEWDU DEREJE</v>
      </c>
      <c r="M204" s="6">
        <f t="shared" si="75"/>
        <v>8.5416666697710752E-3</v>
      </c>
      <c r="N204" s="7">
        <f t="shared" si="116"/>
        <v>12.300000004470348</v>
      </c>
      <c r="O204" s="7"/>
      <c r="P204" s="7"/>
      <c r="Q204" s="22"/>
      <c r="R204" s="174"/>
      <c r="S204" s="221">
        <f t="shared" si="117"/>
        <v>1</v>
      </c>
      <c r="T204" s="174" t="str">
        <f t="shared" si="76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77"/>
        <v>https://d0f6bd738d7f1b3e5a7ca70fe4ff75f0.us-east-1.aws.found.io/app/kibana#/discover/Steve-Slow-Train-Analysis-(2080s-and-2083s)?_g=(refreshInterval:(display:Off,pause:!f,section:0,value:0),time:(from:'2017-11-09T20:26:44-0700',mode:absolute,to:'2017-11-09T22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204" t="str">
        <f>IF(AA204&lt;VLOOKUP(AG204,Variables!$AC$3:$AD$8,2,FALSE),"Y","N")</f>
        <v>N</v>
      </c>
      <c r="X204" s="204">
        <f t="shared" si="136"/>
        <v>1</v>
      </c>
      <c r="Y204" s="204">
        <f t="shared" si="118"/>
        <v>5.8685</v>
      </c>
      <c r="Z204" s="204">
        <f t="shared" si="119"/>
        <v>7.5499999999999998E-2</v>
      </c>
      <c r="AA204" s="204">
        <f t="shared" si="78"/>
        <v>5.7930000000000001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79"/>
        <v>844</v>
      </c>
      <c r="AE204" s="77" t="str">
        <f t="shared" si="80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04" s="74" t="str">
        <f t="shared" si="81"/>
        <v>"C:\Program Files (x86)\AstroGrep\AstroGrep.exe" /e /r /s /spath="%USERPROFILE%\AppData\Local\Temp\OnboardLogs" /stypes="app*4015*20171110*" /stext=" 04:.+((SYSTEM_STATE.+slice.+state.+changed )|(ment ac)|(multiple cpu faults)|(system.+state.+changed )|(\[timeout)|(PRM\|1\|D)|(kpr)|(kdp)|(train st.+moving)|(\|lc)|(penalty))"</v>
      </c>
      <c r="AG204" s="182" t="str">
        <f t="shared" si="82"/>
        <v>NW</v>
      </c>
      <c r="AH204" s="78" t="str">
        <f t="shared" si="92"/>
        <v>"%USERPROFILE%\Documents\GitHub\eaglep3\Utilities\RefineRTDCRunTimes.py" --tripid 844-09 --locoid 4015 --swversion DE.1.0.9.0 --startMP 300:58685 --initTime 2017-11-09T21:26:44 --startdatetime 2017-11-09T21:43:04 --delay 81 --endMP 204:755 --enddatetime 2017-11-09T21:55:22 --enforcementcount 0 &gt;&gt;%USERPROFILE%\Documents\GitHub\eaglep3-reporting\EC\2017-11-09-refined-times.txt</v>
      </c>
      <c r="AI204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{"issue":{"subject":"","project_id":79,"tracker_id":40,"status_id":1,"priority_id":2,"assigned_to_id":338,"start_date":"2017-11-09","description":"","custom_fields":[{"id":1,"name":"Subdivision","value":"NW"},{"id":4,"name":"Milepost","value":"0.0755"},{"id":17,"name":"Train ID","value":"844-09"},{"id":16,"name":"Locomotive ID","value":"4015"},{"id":130,"name":"Impact","value":""},{"id":150,"name":"Time of Event (Mountain Time)","value":"21:55:22"},{"id":151,"name":"Denver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93"/>
        <v>start /low /b %USERPROFILE%\Documents\GitHub\eaglep3\Utilities\DownloadLogsFromS3.py --loco 4015 --day 2017-11-09</v>
      </c>
      <c r="AN204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4"/>
        <v>https://d0f6bd738d7f1b3e5a7ca70fe4ff75f0.us-east-1.aws.found.io/app/kibana#/discover/Steve-Slow-Train-Analysis-(2080s-and-2083s)?_g=(refreshInterval:(display:Off,pause:!f,section:0,value:0),time:(from:'2017-11-09T20:26:44-0700',mode:absolute,to:'2017-11-09T22:55:22-0700'))&amp;_a=(columns:!('Message%20ID',Summary),filters:!(),index:'emp_*',interval:auto,query:(query_string:(analyze_wildcard:!t,query:'%22rtdc.l.rtdc.4015%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866</v>
      </c>
      <c r="B205" s="7">
        <v>4016</v>
      </c>
      <c r="C205" s="21" t="s">
        <v>192</v>
      </c>
      <c r="D205" s="21" t="s">
        <v>1073</v>
      </c>
      <c r="E205" s="13">
        <v>43048.876736111109</v>
      </c>
      <c r="F205" s="13">
        <v>43048.881736111114</v>
      </c>
      <c r="G205" s="7">
        <v>81</v>
      </c>
      <c r="H205" s="21" t="s">
        <v>1074</v>
      </c>
      <c r="I205" s="13">
        <v>43048.891689814816</v>
      </c>
      <c r="J205" s="7">
        <v>0</v>
      </c>
      <c r="K205" s="89" t="str">
        <f t="shared" si="74"/>
        <v>4015/4016</v>
      </c>
      <c r="L205" s="185" t="str">
        <f>VLOOKUP(A205,'Trips&amp;Operators'!$C$1:$G$99911,5,FALSE)</f>
        <v>ZEWDU DEREJE</v>
      </c>
      <c r="M205" s="6">
        <f t="shared" si="75"/>
        <v>9.9537037021946162E-3</v>
      </c>
      <c r="N205" s="7">
        <f t="shared" si="116"/>
        <v>14.333333331160247</v>
      </c>
      <c r="O205" s="7"/>
      <c r="P205" s="7"/>
      <c r="Q205" s="22"/>
      <c r="R205" s="174"/>
      <c r="S205" s="221">
        <f t="shared" si="117"/>
        <v>1</v>
      </c>
      <c r="T205" s="174" t="str">
        <f t="shared" si="76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77"/>
        <v>https://d0f6bd738d7f1b3e5a7ca70fe4ff75f0.us-east-1.aws.found.io/app/kibana#/discover/Steve-Slow-Train-Analysis-(2080s-and-2083s)?_g=(refreshInterval:(display:Off,pause:!f,section:0,value:0),time:(from:'2017-11-09T20:02:30-0700',mode:absolute,to:'2017-11-09T22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204" t="str">
        <f>IF(AA205&lt;VLOOKUP(AG205,Variables!$AC$3:$AD$8,2,FALSE),"Y","N")</f>
        <v>N</v>
      </c>
      <c r="X205" s="204">
        <f t="shared" si="136"/>
        <v>1</v>
      </c>
      <c r="Y205" s="204">
        <f t="shared" si="118"/>
        <v>0.1016</v>
      </c>
      <c r="Z205" s="204">
        <f t="shared" si="119"/>
        <v>5.9001000000000001</v>
      </c>
      <c r="AA205" s="204">
        <f t="shared" si="78"/>
        <v>5.7984999999999998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si="79"/>
        <v>845</v>
      </c>
      <c r="AE205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205" s="74" t="str">
        <f t="shared" si="81"/>
        <v>"C:\Program Files (x86)\AstroGrep\AstroGrep.exe" /e /r /s /spath="%USERPROFILE%\AppData\Local\Temp\OnboardLogs" /stypes="app*4016*20171110*" /stext=" 04:.+((SYSTEM_STATE.+slice.+state.+changed )|(ment ac)|(multiple cpu faults)|(system.+state.+changed )|(\[timeout)|(PRM\|1\|D)|(kpr)|(kdp)|(train st.+moving)|(\|lc)|(penalty))"</v>
      </c>
      <c r="AG205" s="182" t="str">
        <f t="shared" si="82"/>
        <v>NW</v>
      </c>
      <c r="AH205" s="78" t="str">
        <f t="shared" si="92"/>
        <v>"%USERPROFILE%\Documents\GitHub\eaglep3\Utilities\RefineRTDCRunTimes.py" --tripid 845-09 --locoid 4016 --swversion DE.1.0.9.0 --startMP 204:1016 --initTime 2017-11-09T21:02:30 --startdatetime 2017-11-09T21:09:42 --delay 81 --endMP 300:59001 --enddatetime 2017-11-09T21:24:02 --enforcementcount 0 &gt;&gt;%USERPROFILE%\Documents\GitHub\eaglep3-reporting\EC\2017-11-09-refined-times.txt</v>
      </c>
      <c r="AI205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{"issue":{"subject":"","project_id":79,"tracker_id":40,"status_id":1,"priority_id":2,"assigned_to_id":338,"start_date":"2017-11-09","description":"","custom_fields":[{"id":1,"name":"Subdivision","value":"NW"},{"id":4,"name":"Milepost","value":"5.9001"},{"id":17,"name":"Train ID","value":"845-09"},{"id":16,"name":"Locomotive ID","value":"4016"},{"id":130,"name":"Impact","value":""},{"id":150,"name":"Time of Event (Mountain Time)","value":"21:24:02"},{"id":151,"name":"Denver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3"/>
        <v>start /low /b %USERPROFILE%\Documents\GitHub\eaglep3\Utilities\DownloadLogsFromS3.py --loco 4016 --day 2017-11-09</v>
      </c>
      <c r="AN205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04:24:02"},{"id":29,"name":"Sharepoint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4"/>
        <v>https://d0f6bd738d7f1b3e5a7ca70fe4ff75f0.us-east-1.aws.found.io/app/kibana#/discover/Steve-Slow-Train-Analysis-(2080s-and-2083s)?_g=(refreshInterval:(display:Off,pause:!f,section:0,value:0),time:(from:'2017-11-09T20:02:30-0700',mode:absolute,to:'2017-11-09T22:24:02-0700'))&amp;_a=(columns:!('Message%20ID',Summary),filters:!(),index:'emp_*',interval:auto,query:(query_string:(analyze_wildcard:!t,query:'%22rtdc.l.rtdc.4016%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875</v>
      </c>
      <c r="B206" s="7">
        <v>4015</v>
      </c>
      <c r="C206" s="21" t="s">
        <v>192</v>
      </c>
      <c r="D206" s="21" t="s">
        <v>1073</v>
      </c>
      <c r="E206" s="13">
        <v>43048.876736111109</v>
      </c>
      <c r="F206" s="13">
        <v>43048.946122685185</v>
      </c>
      <c r="G206" s="7">
        <v>81</v>
      </c>
      <c r="H206" s="21" t="s">
        <v>1074</v>
      </c>
      <c r="I206" s="13">
        <v>43048.954872685186</v>
      </c>
      <c r="J206" s="7">
        <v>0</v>
      </c>
      <c r="K206" s="89" t="str">
        <f t="shared" ref="K206" si="185">IF(ISEVEN(B206),(B206-1)&amp;"/"&amp;B206,B206&amp;"/"&amp;(B206+1))</f>
        <v>4015/4016</v>
      </c>
      <c r="L206" s="185" t="str">
        <f>VLOOKUP(A206,'Trips&amp;Operators'!$C$1:$G$99911,5,FALSE)</f>
        <v>ZEWDU DEREJE</v>
      </c>
      <c r="M206" s="6">
        <f t="shared" ref="M206" si="186">I206-F206</f>
        <v>8.7500000008731149E-3</v>
      </c>
      <c r="N206" s="7">
        <f t="shared" si="116"/>
        <v>12.600000001257285</v>
      </c>
      <c r="O206" s="7"/>
      <c r="P206" s="7"/>
      <c r="Q206" s="22"/>
      <c r="R206" s="174"/>
      <c r="S206" s="221">
        <f t="shared" ref="S206" si="187">1/IF(AG206="EC",12,1)*SUM(U206:U206)</f>
        <v>1</v>
      </c>
      <c r="T206" s="174" t="str">
        <f t="shared" ref="T206" si="188"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ref="V206" si="189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-09T20:02:30-0700',mode:absolute,to:'2017-11-09T23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204" t="str">
        <f>IF(AA206&lt;VLOOKUP(AG206,Variables!$AC$3:$AD$8,2,FALSE),"Y","N")</f>
        <v>N</v>
      </c>
      <c r="X206" s="204">
        <f t="shared" si="136"/>
        <v>1</v>
      </c>
      <c r="Y206" s="204">
        <v>5.8685</v>
      </c>
      <c r="Z206" s="204">
        <v>7.5499999999999998E-2</v>
      </c>
      <c r="AA206" s="204">
        <f t="shared" ref="AA206" si="190">ABS(Z206-Y206)</f>
        <v>5.7930000000000001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ref="AD206" si="191">VALUE(LEFT(A206,LEN(A206)-3))</f>
        <v>846</v>
      </c>
      <c r="AE206" s="77" t="str">
        <f t="shared" ref="AE206" si="192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06" s="74" t="str">
        <f t="shared" ref="AF206" si="193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/stypes="app*4015*20171110*" /stext=" 05:.+((SYSTEM_STATE.+slice.+state.+changed )|(ment ac)|(multiple cpu faults)|(system.+state.+changed )|(\[timeout)|(PRM\|1\|D)|(kpr)|(kdp)|(train st.+moving)|(\|lc)|(penalty))"</v>
      </c>
      <c r="AG206" s="182" t="str">
        <f t="shared" ref="AG206" si="194">DetSubdiv(A206)</f>
        <v>NW</v>
      </c>
      <c r="AH206" s="78" t="str">
        <f t="shared" ref="AH206" si="19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846-09 --locoid 4015 --swversion DE.1.0.9.0 --startMP 204:1016 --initTime 2017-11-09T21:02:30 --startdatetime 2017-11-09T22:42:25 --delay 81 --endMP 300:59001 --enddatetime 2017-11-09T22:55:01 --enforcementcount 0 &gt;&gt;%USERPROFILE%\Documents\GitHub\eaglep3-reporting\EC\2017-11-09-refined-times.txt</v>
      </c>
      <c r="AI206" s="96" t="str">
        <f t="shared" ref="AI206" si="19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{"issue":{"subject":"","project_id":79,"tracker_id":40,"status_id":1,"priority_id":2,"assigned_to_id":338,"start_date":"2017-11-09","description":"","custom_fields":[{"id":1,"name":"Subdivision","value":"NW"},{"id":4,"name":"Milepost","value":"0.0755"},{"id":17,"name":"Train ID","value":"846-09"},{"id":16,"name":"Locomotive ID","value":"4015"},{"id":130,"name":"Impact","value":""},{"id":150,"name":"Time of Event (Mountain Time)","value":"22:55:01"},{"id":151,"name":"Denver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ref="AM206" si="197">"start /low /b "&amp;dls3logs&amp;" --loco "&amp;B206&amp;" --day "&amp;TEXT(F206,"YYYY-MM-DD")</f>
        <v>start /low /b %USERPROFILE%\Documents\GitHub\eaglep3\Utilities\DownloadLogsFromS3.py --loco 4015 --day 2017-11-09</v>
      </c>
      <c r="AN206" s="151" t="str">
        <f t="shared" ref="AN206" si="198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05:55:01"},{"id":29,"name":"Sharepoint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ref="AO206" si="199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-09T20:02:30-0700',mode:absolute,to:'2017-11-09T23:55:01-0700'))&amp;_a=(columns:!('Message%20ID',Summary),filters:!(),index:'emp_*',interval:auto,query:(query_string:(analyze_wildcard:!t,query:'%22rtdc.l.rtdc.4015%22')),sort:!(Time.ISO8601,asc))</v>
      </c>
    </row>
    <row r="207" spans="1:91" s="20" customFormat="1" x14ac:dyDescent="0.25">
      <c r="A207" s="32" t="s">
        <v>872</v>
      </c>
      <c r="B207" s="7">
        <v>4016</v>
      </c>
      <c r="C207" s="21" t="s">
        <v>192</v>
      </c>
      <c r="D207" s="21" t="s">
        <v>634</v>
      </c>
      <c r="E207" s="13">
        <v>43048.920104166667</v>
      </c>
      <c r="F207" s="13">
        <v>43048.923217592594</v>
      </c>
      <c r="G207" s="7">
        <v>93</v>
      </c>
      <c r="H207" s="21" t="s">
        <v>1060</v>
      </c>
      <c r="I207" s="13">
        <v>43048.933078703703</v>
      </c>
      <c r="J207" s="7">
        <v>0</v>
      </c>
      <c r="K207" s="89" t="str">
        <f t="shared" si="74"/>
        <v>4015/4016</v>
      </c>
      <c r="L207" s="185" t="str">
        <f>VLOOKUP(A207,'Trips&amp;Operators'!$C$1:$G$99911,5,FALSE)</f>
        <v>ZEWDU DEREJE</v>
      </c>
      <c r="M207" s="6">
        <f t="shared" si="75"/>
        <v>9.8611111097852699E-3</v>
      </c>
      <c r="N207" s="7">
        <f t="shared" si="116"/>
        <v>14.199999998090789</v>
      </c>
      <c r="O207" s="7"/>
      <c r="P207" s="7"/>
      <c r="Q207" s="22"/>
      <c r="R207" s="174"/>
      <c r="S207" s="221">
        <f t="shared" si="117"/>
        <v>1</v>
      </c>
      <c r="T207" s="174" t="str">
        <f t="shared" si="76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77"/>
        <v>https://d0f6bd738d7f1b3e5a7ca70fe4ff75f0.us-east-1.aws.found.io/app/kibana#/discover/Steve-Slow-Train-Analysis-(2080s-and-2083s)?_g=(refreshInterval:(display:Off,pause:!f,section:0,value:0),time:(from:'2017-11-09T21:04:57-0700',mode:absolute,to:'2017-11-09T23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04" t="str">
        <f>IF(AA207&lt;VLOOKUP(AG207,Variables!$AC$3:$AD$8,2,FALSE),"Y","N")</f>
        <v>N</v>
      </c>
      <c r="X207" s="204">
        <f t="shared" si="136"/>
        <v>1</v>
      </c>
      <c r="Y207" s="204">
        <f t="shared" si="118"/>
        <v>0.1011</v>
      </c>
      <c r="Z207" s="204">
        <f t="shared" si="119"/>
        <v>5.9005000000000001</v>
      </c>
      <c r="AA207" s="204">
        <f t="shared" si="78"/>
        <v>5.7994000000000003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79"/>
        <v>847</v>
      </c>
      <c r="AE207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207" s="74" t="str">
        <f t="shared" si="81"/>
        <v>"C:\Program Files (x86)\AstroGrep\AstroGrep.exe" /e /r /s /spath="%USERPROFILE%\AppData\Local\Temp\OnboardLogs" /stypes="app*4016*20171110*" /stext=" 05:.+((SYSTEM_STATE.+slice.+state.+changed )|(ment ac)|(multiple cpu faults)|(system.+state.+changed )|(\[timeout)|(PRM\|1\|D)|(kpr)|(kdp)|(train st.+moving)|(\|lc)|(penalty))"</v>
      </c>
      <c r="AG207" s="182" t="str">
        <f t="shared" si="82"/>
        <v>NW</v>
      </c>
      <c r="AH207" s="78" t="str">
        <f t="shared" si="92"/>
        <v>"%USERPROFILE%\Documents\GitHub\eaglep3\Utilities\RefineRTDCRunTimes.py" --tripid 847-09 --locoid 4016 --swversion DE.1.0.9.0 --startMP 204:1011 --initTime 2017-11-09T22:04:57 --startdatetime 2017-11-09T22:09:26 --delay 93 --endMP 300:59005 --enddatetime 2017-11-09T22:23:38 --enforcementcount 0 &gt;&gt;%USERPROFILE%\Documents\GitHub\eaglep3-reporting\EC\2017-11-09-refined-times.txt</v>
      </c>
      <c r="AI207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{"issue":{"subject":"","project_id":79,"tracker_id":40,"status_id":1,"priority_id":2,"assigned_to_id":338,"start_date":"2017-11-09","description":"","custom_fields":[{"id":1,"name":"Subdivision","value":"NW"},{"id":4,"name":"Milepost","value":"5.9005"},{"id":17,"name":"Train ID","value":"847-09"},{"id":16,"name":"Locomotive ID","value":"4016"},{"id":130,"name":"Impact","value":""},{"id":150,"name":"Time of Event (Mountain Time)","value":"22:23:38"},{"id":151,"name":"Denver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3"/>
        <v>start /low /b %USERPROFILE%\Documents\GitHub\eaglep3\Utilities\DownloadLogsFromS3.py --loco 4016 --day 2017-11-09</v>
      </c>
      <c r="AN207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4"/>
        <v>https://d0f6bd738d7f1b3e5a7ca70fe4ff75f0.us-east-1.aws.found.io/app/kibana#/discover/Steve-Slow-Train-Analysis-(2080s-and-2083s)?_g=(refreshInterval:(display:Off,pause:!f,section:0,value:0),time:(from:'2017-11-09T21:04:57-0700',mode:absolute,to:'2017-11-09T23:23:38-0700'))&amp;_a=(columns:!('Message%20ID',Summary),filters:!(),index:'emp_*',interval:auto,query:(query_string:(analyze_wildcard:!t,query:'%22rtdc.l.rtdc.4016%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657</v>
      </c>
      <c r="B208" s="7">
        <v>4016</v>
      </c>
      <c r="C208" s="21" t="s">
        <v>192</v>
      </c>
      <c r="D208" s="21" t="s">
        <v>1065</v>
      </c>
      <c r="E208" s="13">
        <v>43048.962638888886</v>
      </c>
      <c r="F208" s="13">
        <v>43048.965439814812</v>
      </c>
      <c r="G208" s="7">
        <v>55</v>
      </c>
      <c r="H208" s="21" t="s">
        <v>1060</v>
      </c>
      <c r="I208" s="13">
        <v>43048.975405092591</v>
      </c>
      <c r="J208" s="7">
        <v>0</v>
      </c>
      <c r="K208" s="89" t="str">
        <f t="shared" si="74"/>
        <v>4015/4016</v>
      </c>
      <c r="L208" s="185" t="str">
        <f>VLOOKUP(A208,'Trips&amp;Operators'!$C$1:$G$99911,5,FALSE)</f>
        <v>ZEWDU DEREJE</v>
      </c>
      <c r="M208" s="6">
        <f t="shared" si="75"/>
        <v>9.9652777789742686E-3</v>
      </c>
      <c r="N208" s="7">
        <f t="shared" si="116"/>
        <v>14.350000001722947</v>
      </c>
      <c r="O208" s="7"/>
      <c r="P208" s="7"/>
      <c r="Q208" s="22"/>
      <c r="R208" s="174"/>
      <c r="S208" s="221">
        <f t="shared" si="117"/>
        <v>1</v>
      </c>
      <c r="T208" s="174" t="str">
        <f t="shared" si="76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77"/>
        <v>https://d0f6bd738d7f1b3e5a7ca70fe4ff75f0.us-east-1.aws.found.io/app/kibana#/discover/Steve-Slow-Train-Analysis-(2080s-and-2083s)?_g=(refreshInterval:(display:Off,pause:!f,section:0,value:0),time:(from:'2017-11-09T22:06:12-0700',mode:absolute,to:'2017-11-10T00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204" t="str">
        <f>IF(AA208&lt;VLOOKUP(AG208,Variables!$AC$3:$AD$8,2,FALSE),"Y","N")</f>
        <v>N</v>
      </c>
      <c r="X208" s="204">
        <f t="shared" si="136"/>
        <v>2</v>
      </c>
      <c r="Y208" s="204">
        <f t="shared" si="118"/>
        <v>0.10489999999999999</v>
      </c>
      <c r="Z208" s="204">
        <f t="shared" si="119"/>
        <v>5.9005000000000001</v>
      </c>
      <c r="AA208" s="204">
        <f t="shared" si="78"/>
        <v>5.7956000000000003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79"/>
        <v>849</v>
      </c>
      <c r="AE208" s="77" t="str">
        <f t="shared" si="80"/>
        <v>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 &amp; aws s3 cp s3://rtdc.mdm.uploadarchive.raw/RTDC4016/ "%USERPROFILE%\AppData\Local\Temp\OnboardLogs"\RTDC4016\2017-11-10 --exclude "*" --recursive --include "*20171110*" &amp; "%USERPROFILE%\Documents\GitHub\mrs-test-scripts\Headless Mode &amp; Sideloading\WalkAndUnGZ.bat" "%USERPROFILE%\AppData\Local\Temp\OnboardLogs"\RTDC4016\2017-11-10</v>
      </c>
      <c r="AF208" s="74" t="str">
        <f t="shared" si="81"/>
        <v>"C:\Program Files (x86)\AstroGrep\AstroGrep.exe" /e /r /s /spath="%USERPROFILE%\AppData\Local\Temp\OnboardLogs" /stypes="app*4016*20171110*" /stext=" 06:.+((SYSTEM_STATE.+slice.+state.+changed )|(ment ac)|(multiple cpu faults)|(system.+state.+changed )|(\[timeout)|(PRM\|1\|D)|(kpr)|(kdp)|(train st.+moving)|(\|lc)|(penalty))"</v>
      </c>
      <c r="AG208" s="182" t="str">
        <f t="shared" si="82"/>
        <v>NW</v>
      </c>
      <c r="AH208" s="78" t="str">
        <f t="shared" si="92"/>
        <v>"%USERPROFILE%\Documents\GitHub\eaglep3\Utilities\RefineRTDCRunTimes.py" --tripid 849-09 --locoid 4016 --swversion DE.1.0.9.0 --startMP 204:1049 --initTime 2017-11-09T23:06:12 --startdatetime 2017-11-09T23:10:14 --delay 55 --endMP 300:59005 --enddatetime 2017-11-09T23:24:35 --enforcementcount 0 &gt;&gt;%USERPROFILE%\Documents\GitHub\eaglep3-reporting\EC\2017-11-09-refined-times.txt</v>
      </c>
      <c r="AI208" s="96" t="str">
        <f t="shared" si="83"/>
        <v>echo {"issue":{"subject":"","project_id":79,"tracker_id":40,"status_id":1,"priority_id":2,"assigned_to_id":338,"start_date":"2017-11-09","description":"","custom_fields":[{"id":1,"name":"Subdivision","value":"NW"},{"id":4,"name":"Milepost","value":"5.9005"},{"id":17,"name":"Train ID","value":"849-09"},{"id":16,"name":"Locomotive ID","value":"4016"},{"id":130,"name":"Impact","value":""},{"id":150,"name":"Time of Event (Mountain Time)","value":"23:24:35"},{"id":151,"name":"Denver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3"/>
        <v>start /low /b %USERPROFILE%\Documents\GitHub\eaglep3\Utilities\DownloadLogsFromS3.py --loco 4016 --day 2017-11-09</v>
      </c>
      <c r="AN208" s="151" t="str">
        <f t="shared" si="84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4"/>
        <v>https://d0f6bd738d7f1b3e5a7ca70fe4ff75f0.us-east-1.aws.found.io/app/kibana#/discover/Steve-Slow-Train-Analysis-(2080s-and-2083s)?_g=(refreshInterval:(display:Off,pause:!f,section:0,value:0),time:(from:'2017-11-09T22:06:12-0700',mode:absolute,to:'2017-11-10T00:24:35-0700'))&amp;_a=(columns:!('Message%20ID',Summary),filters:!(),index:'emp_*',interval:auto,query:(query_string:(analyze_wildcard:!t,query:'%22rtdc.l.rtdc.4016%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663</v>
      </c>
      <c r="B209" s="7">
        <v>4063</v>
      </c>
      <c r="C209" s="21" t="s">
        <v>192</v>
      </c>
      <c r="D209" s="21" t="s">
        <v>990</v>
      </c>
      <c r="E209" s="13">
        <v>43048.115081018521</v>
      </c>
      <c r="F209" s="13">
        <v>43048.118391203701</v>
      </c>
      <c r="G209" s="7">
        <v>67</v>
      </c>
      <c r="H209" s="21" t="s">
        <v>991</v>
      </c>
      <c r="I209" s="13">
        <v>43048.128379629627</v>
      </c>
      <c r="J209" s="7">
        <v>0</v>
      </c>
      <c r="K209" s="89" t="str">
        <f t="shared" ref="K209:K237" si="200">IF(ISEVEN(B209),(B209-1)&amp;"/"&amp;B209,B209&amp;"/"&amp;(B209+1))</f>
        <v>4063/4064</v>
      </c>
      <c r="L209" s="185" t="str">
        <f>VLOOKUP(A209,'Trips&amp;Operators'!$C$1:$G$99911,5,FALSE)</f>
        <v>YORK EDGAR</v>
      </c>
      <c r="M209" s="6">
        <f t="shared" ref="M209:M237" si="201">I209-F209</f>
        <v>9.9884259252576157E-3</v>
      </c>
      <c r="N209" s="7">
        <f t="shared" si="116"/>
        <v>14.383333332370967</v>
      </c>
      <c r="O209" s="7"/>
      <c r="P209" s="7"/>
      <c r="Q209" s="22"/>
      <c r="R209" s="174"/>
      <c r="S209" s="221">
        <f t="shared" si="117"/>
        <v>1</v>
      </c>
      <c r="T209" s="174" t="str">
        <f t="shared" ref="T209:T237" si="202"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ref="V209:V237" si="203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-09T01:45:43-0700',mode:absolute,to:'2017-11-09T04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04" t="str">
        <f>IF(AA209&lt;VLOOKUP(AG209,Variables!$AC$3:$AD$8,2,FALSE),"Y","N")</f>
        <v>Y</v>
      </c>
      <c r="X209" s="204">
        <f t="shared" si="136"/>
        <v>-549</v>
      </c>
      <c r="Y209" s="204">
        <f t="shared" si="118"/>
        <v>2.1697000000000002</v>
      </c>
      <c r="Z209" s="204">
        <f t="shared" si="119"/>
        <v>1.6500000000000001E-2</v>
      </c>
      <c r="AA209" s="204">
        <f t="shared" ref="AA209:AA237" si="204">ABS(Z209-Y209)</f>
        <v>2.1532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ref="AD209:AD237" si="205">VALUE(LEFT(A209,LEN(A209)-3))</f>
        <v>300</v>
      </c>
      <c r="AE209" s="77" t="str">
        <f t="shared" ref="AE209:AE237" si="206"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209" s="74" t="str">
        <f t="shared" ref="AF209:AF237" si="207"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/stypes="app*4063*20171109*" /stext=" 10:.+((SYSTEM_STATE.+slice.+state.+changed )|(ment ac)|(multiple cpu faults)|(system.+state.+changed )|(\[timeout)|(PRM\|1\|D)|(kpr)|(kdp)|(train st.+moving)|(\|lc)|(penalty))"</v>
      </c>
      <c r="AG209" s="182" t="str">
        <f t="shared" ref="AG209:AG237" si="208">DetSubdiv(A209)</f>
        <v>Other</v>
      </c>
      <c r="AH209" s="78" t="str">
        <f t="shared" si="92"/>
        <v>"%USERPROFILE%\Documents\GitHub\eaglep3\Utilities\RefineRTDCRunTimes.py" --tripid 300-09 --locoid 4063 --swversion DE.1.0.9.0 --startMP 300:21697 --initTime 2017-11-09T02:45:43 --startdatetime 2017-11-09T02:50:29 --delay 67 --endMP 204:165 --enddatetime 2017-11-09T03:04:52 --enforcementcount 0 &gt;&gt;%USERPROFILE%\Documents\GitHub\eaglep3-reporting\EC\2017-11-09-refined-times.txt</v>
      </c>
      <c r="AI209" s="96" t="str">
        <f t="shared" ref="AI209:AI237" si="209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{"issue":{"subject":"","project_id":79,"tracker_id":40,"status_id":1,"priority_id":2,"assigned_to_id":338,"start_date":"2017-11-09","description":"","custom_fields":[{"id":1,"name":"Subdivision","value":"Other"},{"id":4,"name":"Milepost","value":"0.0165"},{"id":17,"name":"Train ID","value":"300-09"},{"id":16,"name":"Locomotive ID","value":"4063"},{"id":130,"name":"Impact","value":""},{"id":150,"name":"Time of Event (Mountain Time)","value":"03:04:52"},{"id":151,"name":"Denver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3"/>
        <v>start /low /b %USERPROFILE%\Documents\GitHub\eaglep3\Utilities\DownloadLogsFromS3.py --loco 4063 --day 2017-11-09</v>
      </c>
      <c r="AN209" s="151" t="str">
        <f t="shared" ref="AN209:AN237" si="210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4"/>
        <v>https://d0f6bd738d7f1b3e5a7ca70fe4ff75f0.us-east-1.aws.found.io/app/kibana#/discover/Steve-Slow-Train-Analysis-(2080s-and-2083s)?_g=(refreshInterval:(display:Off,pause:!f,section:0,value:0),time:(from:'2017-11-09T01:45:43-0700',mode:absolute,to:'2017-11-09T04:04:52-0700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849</v>
      </c>
      <c r="B210" s="7">
        <v>4026</v>
      </c>
      <c r="C210" s="21" t="s">
        <v>192</v>
      </c>
      <c r="D210" s="21" t="s">
        <v>992</v>
      </c>
      <c r="E210" s="13">
        <v>43048.777187500003</v>
      </c>
      <c r="F210" s="13">
        <v>43048.778414351851</v>
      </c>
      <c r="G210" s="7">
        <v>53</v>
      </c>
      <c r="H210" s="21" t="s">
        <v>993</v>
      </c>
      <c r="I210" s="13">
        <v>43048.784814814811</v>
      </c>
      <c r="J210" s="7">
        <v>0</v>
      </c>
      <c r="K210" s="89" t="str">
        <f t="shared" si="200"/>
        <v>4025/4026</v>
      </c>
      <c r="L210" s="185" t="str">
        <f>VLOOKUP(A210,'Trips&amp;Operators'!$C$1:$G$99911,5,FALSE)</f>
        <v>LEVIN SCOTT</v>
      </c>
      <c r="M210" s="6">
        <f t="shared" si="201"/>
        <v>6.4004629603005014E-3</v>
      </c>
      <c r="N210" s="7">
        <f t="shared" si="116"/>
        <v>9.2166666628327221</v>
      </c>
      <c r="O210" s="7"/>
      <c r="P210" s="7"/>
      <c r="Q210" s="22"/>
      <c r="R210" s="174"/>
      <c r="S210" s="221">
        <f t="shared" si="117"/>
        <v>1</v>
      </c>
      <c r="T210" s="174" t="str">
        <f t="shared" si="202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203"/>
        <v>https://d0f6bd738d7f1b3e5a7ca70fe4ff75f0.us-east-1.aws.found.io/app/kibana#/discover/Steve-Slow-Train-Analysis-(2080s-and-2083s)?_g=(refreshInterval:(display:Off,pause:!f,section:0,value:0),time:(from:'2017-11-09T17:39:09-0700',mode:absolute,to:'2017-11-09T19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>IF(AA210&lt;VLOOKUP(AG210,Variables!$AC$3:$AD$8,2,FALSE),"Y","N")</f>
        <v>Y</v>
      </c>
      <c r="X210" s="204">
        <f t="shared" si="136"/>
        <v>1</v>
      </c>
      <c r="Y210" s="204">
        <f t="shared" si="118"/>
        <v>4.6699999999999998E-2</v>
      </c>
      <c r="Z210" s="204">
        <f t="shared" si="119"/>
        <v>2.3294999999999999</v>
      </c>
      <c r="AA210" s="204">
        <f t="shared" si="204"/>
        <v>2.2827999999999999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205"/>
        <v>301</v>
      </c>
      <c r="AE210" s="77" t="str">
        <f t="shared" si="206"/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AF210" s="74" t="str">
        <f t="shared" si="207"/>
        <v>"C:\Program Files (x86)\AstroGrep\AstroGrep.exe" /e /r /s /spath="%USERPROFILE%\AppData\Local\Temp\OnboardLogs" /stypes="app*4026*20171110*" /stext=" 01:.+((SYSTEM_STATE.+slice.+state.+changed )|(ment ac)|(multiple cpu faults)|(system.+state.+changed )|(\[timeout)|(PRM\|1\|D)|(kpr)|(kdp)|(train st.+moving)|(\|lc)|(penalty))"</v>
      </c>
      <c r="AG210" s="182" t="str">
        <f t="shared" si="208"/>
        <v>Other</v>
      </c>
      <c r="AH210" s="78" t="str">
        <f t="shared" si="92"/>
        <v>"%USERPROFILE%\Documents\GitHub\eaglep3\Utilities\RefineRTDCRunTimes.py" --tripid 301-09 --locoid 4026 --swversion DE.1.0.9.0 --startMP 204:467 --initTime 2017-11-09T18:39:09 --startdatetime 2017-11-09T18:40:55 --delay 53 --endMP 300:23295 --enddatetime 2017-11-09T18:50:08 --enforcementcount 0 &gt;&gt;%USERPROFILE%\Documents\GitHub\eaglep3-reporting\EC\2017-11-09-refined-times.txt</v>
      </c>
      <c r="AI210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{"issue":{"subject":"","project_id":79,"tracker_id":40,"status_id":1,"priority_id":2,"assigned_to_id":338,"start_date":"2017-11-09","description":"","custom_fields":[{"id":1,"name":"Subdivision","value":"Other"},{"id":4,"name":"Milepost","value":"2.3295"},{"id":17,"name":"Train ID","value":"301-09"},{"id":16,"name":"Locomotive ID","value":"4026"},{"id":130,"name":"Impact","value":""},{"id":150,"name":"Time of Event (Mountain Time)","value":"18:50:08"},{"id":151,"name":"Denver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93"/>
        <v>start /low /b %USERPROFILE%\Documents\GitHub\eaglep3\Utilities\DownloadLogsFromS3.py --loco 4026 --day 2017-11-09</v>
      </c>
      <c r="AN210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01:50:08"},{"id":29,"name":"Sharepoint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4"/>
        <v>https://d0f6bd738d7f1b3e5a7ca70fe4ff75f0.us-east-1.aws.found.io/app/kibana#/discover/Steve-Slow-Train-Analysis-(2080s-and-2083s)?_g=(refreshInterval:(display:Off,pause:!f,section:0,value:0),time:(from:'2017-11-09T17:39:09-0700',mode:absolute,to:'2017-11-09T19:50:08-0700'))&amp;_a=(columns:!('Message%20ID',Summary),filters:!(),index:'emp_*',interval:auto,query:(query_string:(analyze_wildcard:!t,query:'%22rtdc.l.rtdc.4026%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667</v>
      </c>
      <c r="B211" s="7">
        <v>4021</v>
      </c>
      <c r="C211" s="21" t="s">
        <v>192</v>
      </c>
      <c r="D211" s="21" t="s">
        <v>994</v>
      </c>
      <c r="E211" s="13">
        <v>43048.140798611108</v>
      </c>
      <c r="F211" s="13">
        <v>43048.14502314815</v>
      </c>
      <c r="G211" s="7">
        <v>65</v>
      </c>
      <c r="H211" s="21" t="s">
        <v>903</v>
      </c>
      <c r="I211" s="13">
        <v>43048.149768518517</v>
      </c>
      <c r="J211" s="7">
        <v>0</v>
      </c>
      <c r="K211" s="89" t="str">
        <f t="shared" si="200"/>
        <v>4021/4022</v>
      </c>
      <c r="L211" s="185" t="str">
        <f>VLOOKUP(A211,'Trips&amp;Operators'!$C$1:$G$99911,5,FALSE)</f>
        <v>MAELZER KURT</v>
      </c>
      <c r="M211" s="6">
        <f t="shared" si="201"/>
        <v>4.7453703664359637E-3</v>
      </c>
      <c r="N211" s="7">
        <f t="shared" si="116"/>
        <v>6.8333333276677877</v>
      </c>
      <c r="O211" s="7"/>
      <c r="P211" s="7"/>
      <c r="Q211" s="22"/>
      <c r="R211" s="174"/>
      <c r="S211" s="221">
        <f t="shared" si="117"/>
        <v>1</v>
      </c>
      <c r="T211" s="174" t="str">
        <f t="shared" si="202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203"/>
        <v>https://d0f6bd738d7f1b3e5a7ca70fe4ff75f0.us-east-1.aws.found.io/app/kibana#/discover/Steve-Slow-Train-Analysis-(2080s-and-2083s)?_g=(refreshInterval:(display:Off,pause:!f,section:0,value:0),time:(from:'2017-11-09T02:22:45-0700',mode:absolute,to:'2017-11-09T04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1" s="204" t="str">
        <f>IF(AA211&lt;VLOOKUP(AG211,Variables!$AC$3:$AD$8,2,FALSE),"Y","N")</f>
        <v>Y</v>
      </c>
      <c r="X211" s="204">
        <f t="shared" si="136"/>
        <v>1</v>
      </c>
      <c r="Y211" s="204">
        <f t="shared" si="118"/>
        <v>1.9654</v>
      </c>
      <c r="Z211" s="204">
        <f t="shared" si="119"/>
        <v>1.6E-2</v>
      </c>
      <c r="AA211" s="204">
        <f t="shared" si="204"/>
        <v>1.9494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205"/>
        <v>302</v>
      </c>
      <c r="AE211" s="77" t="str">
        <f t="shared" si="206"/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AF211" s="74" t="str">
        <f t="shared" si="207"/>
        <v>"C:\Program Files (x86)\AstroGrep\AstroGrep.exe" /e /r /s /spath="%USERPROFILE%\AppData\Local\Temp\OnboardLogs" /stypes="app*4021*20171109*" /stext=" 10:.+((SYSTEM_STATE.+slice.+state.+changed )|(ment ac)|(multiple cpu faults)|(system.+state.+changed )|(\[timeout)|(PRM\|1\|D)|(kpr)|(kdp)|(train st.+moving)|(\|lc)|(penalty))"</v>
      </c>
      <c r="AG211" s="182" t="str">
        <f t="shared" si="208"/>
        <v>Other</v>
      </c>
      <c r="AH211" s="78" t="str">
        <f t="shared" si="92"/>
        <v>"%USERPROFILE%\Documents\GitHub\eaglep3\Utilities\RefineRTDCRunTimes.py" --tripid 302-09 --locoid 4021 --swversion DE.1.0.9.0 --startMP 300:19654 --initTime 2017-11-09T03:22:45 --startdatetime 2017-11-09T03:28:50 --delay 65 --endMP 204:160 --enddatetime 2017-11-09T03:35:40 --enforcementcount 0 &gt;&gt;%USERPROFILE%\Documents\GitHub\eaglep3-reporting\EC\2017-11-09-refined-times.txt</v>
      </c>
      <c r="AI211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{"issue":{"subject":"","project_id":79,"tracker_id":40,"status_id":1,"priority_id":2,"assigned_to_id":338,"start_date":"2017-11-09","description":"","custom_fields":[{"id":1,"name":"Subdivision","value":"Other"},{"id":4,"name":"Milepost","value":"0.016"},{"id":17,"name":"Train ID","value":"302-09"},{"id":16,"name":"Locomotive ID","value":"4021"},{"id":130,"name":"Impact","value":""},{"id":150,"name":"Time of Event (Mountain Time)","value":"03:35:40"},{"id":151,"name":"Denver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93"/>
        <v>start /low /b %USERPROFILE%\Documents\GitHub\eaglep3\Utilities\DownloadLogsFromS3.py --loco 4021 --day 2017-11-09</v>
      </c>
      <c r="AN211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4"/>
        <v>https://d0f6bd738d7f1b3e5a7ca70fe4ff75f0.us-east-1.aws.found.io/app/kibana#/discover/Steve-Slow-Train-Analysis-(2080s-and-2083s)?_g=(refreshInterval:(display:Off,pause:!f,section:0,value:0),time:(from:'2017-11-09T02:22:45-0700',mode:absolute,to:'2017-11-09T04:35:40-0700'))&amp;_a=(columns:!('Message%20ID',Summary),filters:!(),index:'emp_*',interval:auto,query:(query_string:(analyze_wildcard:!t,query:'%22rtdc.l.rtdc.4021%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853</v>
      </c>
      <c r="B212" s="7">
        <v>4020</v>
      </c>
      <c r="C212" s="21" t="s">
        <v>192</v>
      </c>
      <c r="D212" s="21" t="s">
        <v>461</v>
      </c>
      <c r="E212" s="13">
        <v>43048.799895833334</v>
      </c>
      <c r="F212" s="13">
        <v>43048.802546296298</v>
      </c>
      <c r="G212" s="7">
        <v>161</v>
      </c>
      <c r="H212" s="21" t="s">
        <v>624</v>
      </c>
      <c r="I212" s="13">
        <v>43048.809884259259</v>
      </c>
      <c r="J212" s="7">
        <v>0</v>
      </c>
      <c r="K212" s="89" t="str">
        <f t="shared" si="200"/>
        <v>4019/4020</v>
      </c>
      <c r="L212" s="185" t="str">
        <f>VLOOKUP(A212,'Trips&amp;Operators'!$C$1:$G$99911,5,FALSE)</f>
        <v>ROBINSON KADDIBA</v>
      </c>
      <c r="M212" s="6">
        <f t="shared" si="201"/>
        <v>7.3379629611736163E-3</v>
      </c>
      <c r="N212" s="7">
        <f t="shared" si="116"/>
        <v>10.566666664090008</v>
      </c>
      <c r="O212" s="7"/>
      <c r="P212" s="7"/>
      <c r="Q212" s="22"/>
      <c r="R212" s="174"/>
      <c r="S212" s="221">
        <f t="shared" si="117"/>
        <v>1</v>
      </c>
      <c r="T212" s="174" t="str">
        <f t="shared" si="202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203"/>
        <v>https://d0f6bd738d7f1b3e5a7ca70fe4ff75f0.us-east-1.aws.found.io/app/kibana#/discover/Steve-Slow-Train-Analysis-(2080s-and-2083s)?_g=(refreshInterval:(display:Off,pause:!f,section:0,value:0),time:(from:'2017-11-09T18:11:51-0700',mode:absolute,to:'2017-11-09T20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204" t="str">
        <f>IF(AA212&lt;VLOOKUP(AG212,Variables!$AC$3:$AD$8,2,FALSE),"Y","N")</f>
        <v>Y</v>
      </c>
      <c r="X212" s="204">
        <f t="shared" si="136"/>
        <v>1</v>
      </c>
      <c r="Y212" s="204">
        <f t="shared" si="118"/>
        <v>5.1499999999999997E-2</v>
      </c>
      <c r="Z212" s="204">
        <f t="shared" si="119"/>
        <v>2.3304</v>
      </c>
      <c r="AA212" s="204">
        <f t="shared" si="204"/>
        <v>2.2789000000000001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205"/>
        <v>303</v>
      </c>
      <c r="AE212" s="77" t="str">
        <f t="shared" si="206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212" s="74" t="str">
        <f t="shared" si="207"/>
        <v>"C:\Program Files (x86)\AstroGrep\AstroGrep.exe" /e /r /s /spath="%USERPROFILE%\AppData\Local\Temp\OnboardLogs" /stypes="app*4020*20171110*" /stext=" 02:.+((SYSTEM_STATE.+slice.+state.+changed )|(ment ac)|(multiple cpu faults)|(system.+state.+changed )|(\[timeout)|(PRM\|1\|D)|(kpr)|(kdp)|(train st.+moving)|(\|lc)|(penalty))"</v>
      </c>
      <c r="AG212" s="182" t="str">
        <f t="shared" si="208"/>
        <v>Other</v>
      </c>
      <c r="AH212" s="78" t="str">
        <f t="shared" si="92"/>
        <v>"%USERPROFILE%\Documents\GitHub\eaglep3\Utilities\RefineRTDCRunTimes.py" --tripid 303-09 --locoid 4020 --swversion DE.1.0.9.0 --startMP 204:515 --initTime 2017-11-09T19:11:51 --startdatetime 2017-11-09T19:15:40 --delay 161 --endMP 300:23304 --enddatetime 2017-11-09T19:26:14 --enforcementcount 0 &gt;&gt;%USERPROFILE%\Documents\GitHub\eaglep3-reporting\EC\2017-11-09-refined-times.txt</v>
      </c>
      <c r="AI212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{"issue":{"subject":"","project_id":79,"tracker_id":40,"status_id":1,"priority_id":2,"assigned_to_id":338,"start_date":"2017-11-09","description":"","custom_fields":[{"id":1,"name":"Subdivision","value":"Other"},{"id":4,"name":"Milepost","value":"2.3304"},{"id":17,"name":"Train ID","value":"303-09"},{"id":16,"name":"Locomotive ID","value":"4020"},{"id":130,"name":"Impact","value":""},{"id":150,"name":"Time of Event (Mountain Time)","value":"19:26:14"},{"id":151,"name":"Denver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93"/>
        <v>start /low /b %USERPROFILE%\Documents\GitHub\eaglep3\Utilities\DownloadLogsFromS3.py --loco 4020 --day 2017-11-09</v>
      </c>
      <c r="AN212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4"/>
        <v>https://d0f6bd738d7f1b3e5a7ca70fe4ff75f0.us-east-1.aws.found.io/app/kibana#/discover/Steve-Slow-Train-Analysis-(2080s-and-2083s)?_g=(refreshInterval:(display:Off,pause:!f,section:0,value:0),time:(from:'2017-11-09T18:11:51-0700',mode:absolute,to:'2017-11-09T20:26:14-0700'))&amp;_a=(columns:!('Message%20ID',Summary),filters:!(),index:'emp_*',interval:auto,query:(query_string:(analyze_wildcard:!t,query:'%22rtdc.l.rtdc.4020%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671</v>
      </c>
      <c r="B213" s="7">
        <v>4019</v>
      </c>
      <c r="C213" s="21" t="s">
        <v>192</v>
      </c>
      <c r="D213" s="21" t="s">
        <v>995</v>
      </c>
      <c r="E213" s="13">
        <v>43048.159907407404</v>
      </c>
      <c r="F213" s="13">
        <v>43048.163449074076</v>
      </c>
      <c r="G213" s="7">
        <v>67</v>
      </c>
      <c r="H213" s="21" t="s">
        <v>510</v>
      </c>
      <c r="I213" s="13">
        <v>43048.168900462966</v>
      </c>
      <c r="J213" s="7">
        <v>0</v>
      </c>
      <c r="K213" s="89" t="str">
        <f t="shared" si="200"/>
        <v>4019/4020</v>
      </c>
      <c r="L213" s="185" t="str">
        <f>VLOOKUP(A213,'Trips&amp;Operators'!$C$1:$G$99911,5,FALSE)</f>
        <v>BONDS REYNALDO</v>
      </c>
      <c r="M213" s="6">
        <f t="shared" si="201"/>
        <v>5.4513888899236917E-3</v>
      </c>
      <c r="N213" s="7">
        <f t="shared" si="116"/>
        <v>7.8500000014901161</v>
      </c>
      <c r="O213" s="7"/>
      <c r="P213" s="7"/>
      <c r="Q213" s="22"/>
      <c r="R213" s="174"/>
      <c r="S213" s="221">
        <f t="shared" si="117"/>
        <v>1</v>
      </c>
      <c r="T213" s="174" t="str">
        <f t="shared" si="202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203"/>
        <v>https://d0f6bd738d7f1b3e5a7ca70fe4ff75f0.us-east-1.aws.found.io/app/kibana#/discover/Steve-Slow-Train-Analysis-(2080s-and-2083s)?_g=(refreshInterval:(display:Off,pause:!f,section:0,value:0),time:(from:'2017-11-09T02:50:16-0700',mode:absolute,to:'2017-11-09T05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204" t="str">
        <f>IF(AA213&lt;VLOOKUP(AG213,Variables!$AC$3:$AD$8,2,FALSE),"Y","N")</f>
        <v>Y</v>
      </c>
      <c r="X213" s="204">
        <f t="shared" si="136"/>
        <v>1</v>
      </c>
      <c r="Y213" s="204">
        <f t="shared" si="118"/>
        <v>2.3553000000000002</v>
      </c>
      <c r="Z213" s="204">
        <f t="shared" si="119"/>
        <v>2.0899999999999998E-2</v>
      </c>
      <c r="AA213" s="204">
        <f t="shared" si="204"/>
        <v>2.3344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205"/>
        <v>304</v>
      </c>
      <c r="AE213" s="77" t="str">
        <f t="shared" si="206"/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AF213" s="74" t="str">
        <f t="shared" si="207"/>
        <v>"C:\Program Files (x86)\AstroGrep\AstroGrep.exe" /e /r /s /spath="%USERPROFILE%\AppData\Local\Temp\OnboardLogs" /stypes="app*4019*20171109*" /stext=" 11:.+((SYSTEM_STATE.+slice.+state.+changed )|(ment ac)|(multiple cpu faults)|(system.+state.+changed )|(\[timeout)|(PRM\|1\|D)|(kpr)|(kdp)|(train st.+moving)|(\|lc)|(penalty))"</v>
      </c>
      <c r="AG213" s="182" t="str">
        <f t="shared" si="208"/>
        <v>Other</v>
      </c>
      <c r="AH213" s="78" t="str">
        <f t="shared" si="92"/>
        <v>"%USERPROFILE%\Documents\GitHub\eaglep3\Utilities\RefineRTDCRunTimes.py" --tripid 304-09 --locoid 4019 --swversion DE.1.0.9.0 --startMP 300:23553 --initTime 2017-11-09T03:50:16 --startdatetime 2017-11-09T03:55:22 --delay 67 --endMP 204:209 --enddatetime 2017-11-09T04:03:13 --enforcementcount 0 &gt;&gt;%USERPROFILE%\Documents\GitHub\eaglep3-reporting\EC\2017-11-09-refined-times.txt</v>
      </c>
      <c r="AI213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{"issue":{"subject":"","project_id":79,"tracker_id":40,"status_id":1,"priority_id":2,"assigned_to_id":338,"start_date":"2017-11-09","description":"","custom_fields":[{"id":1,"name":"Subdivision","value":"Other"},{"id":4,"name":"Milepost","value":"0.0209"},{"id":17,"name":"Train ID","value":"304-09"},{"id":16,"name":"Locomotive ID","value":"4019"},{"id":130,"name":"Impact","value":""},{"id":150,"name":"Time of Event (Mountain Time)","value":"04:03:13"},{"id":151,"name":"Denver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93"/>
        <v>start /low /b %USERPROFILE%\Documents\GitHub\eaglep3\Utilities\DownloadLogsFromS3.py --loco 4019 --day 2017-11-09</v>
      </c>
      <c r="AN213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4"/>
        <v>https://d0f6bd738d7f1b3e5a7ca70fe4ff75f0.us-east-1.aws.found.io/app/kibana#/discover/Steve-Slow-Train-Analysis-(2080s-and-2083s)?_g=(refreshInterval:(display:Off,pause:!f,section:0,value:0),time:(from:'2017-11-09T02:50:16-0700',mode:absolute,to:'2017-11-09T05:03:13-0700'))&amp;_a=(columns:!('Message%20ID',Summary),filters:!(),index:'emp_*',interval:auto,query:(query_string:(analyze_wildcard:!t,query:'%22rtdc.l.rtdc.4019%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857</v>
      </c>
      <c r="B214" s="7">
        <v>4066</v>
      </c>
      <c r="C214" s="21" t="s">
        <v>192</v>
      </c>
      <c r="D214" s="21" t="s">
        <v>464</v>
      </c>
      <c r="E214" s="13">
        <v>43048.819374999999</v>
      </c>
      <c r="F214" s="13">
        <v>43048.822002314817</v>
      </c>
      <c r="G214" s="7">
        <v>91</v>
      </c>
      <c r="H214" s="21" t="s">
        <v>494</v>
      </c>
      <c r="I214" s="13">
        <v>43048.829930555556</v>
      </c>
      <c r="J214" s="7">
        <v>0</v>
      </c>
      <c r="K214" s="89" t="str">
        <f t="shared" si="200"/>
        <v>4065/4066</v>
      </c>
      <c r="L214" s="185" t="str">
        <f>VLOOKUP(A214,'Trips&amp;Operators'!$C$1:$G$99911,5,FALSE)</f>
        <v>ANDREA WILLIAMS</v>
      </c>
      <c r="M214" s="6">
        <f t="shared" si="201"/>
        <v>7.9282407386926934E-3</v>
      </c>
      <c r="N214" s="7">
        <f t="shared" si="116"/>
        <v>11.416666663717479</v>
      </c>
      <c r="O214" s="7"/>
      <c r="P214" s="7"/>
      <c r="Q214" s="22"/>
      <c r="R214" s="174"/>
      <c r="S214" s="221">
        <f t="shared" si="117"/>
        <v>1</v>
      </c>
      <c r="T214" s="174" t="str">
        <f t="shared" si="202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203"/>
        <v>https://d0f6bd738d7f1b3e5a7ca70fe4ff75f0.us-east-1.aws.found.io/app/kibana#/discover/Steve-Slow-Train-Analysis-(2080s-and-2083s)?_g=(refreshInterval:(display:Off,pause:!f,section:0,value:0),time:(from:'2017-11-09T18:39:54-0700',mode:absolute,to:'2017-11-09T20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4" s="204" t="str">
        <f>IF(AA214&lt;VLOOKUP(AG214,Variables!$AC$3:$AD$8,2,FALSE),"Y","N")</f>
        <v>Y</v>
      </c>
      <c r="X214" s="204">
        <f t="shared" si="136"/>
        <v>1</v>
      </c>
      <c r="Y214" s="204">
        <f t="shared" si="118"/>
        <v>5.6599999999999998E-2</v>
      </c>
      <c r="Z214" s="204">
        <f t="shared" si="119"/>
        <v>2.3306</v>
      </c>
      <c r="AA214" s="204">
        <f t="shared" si="204"/>
        <v>2.274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205"/>
        <v>305</v>
      </c>
      <c r="AE214" s="77" t="str">
        <f t="shared" si="206"/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AF214" s="74" t="str">
        <f t="shared" si="207"/>
        <v>"C:\Program Files (x86)\AstroGrep\AstroGrep.exe" /e /r /s /spath="%USERPROFILE%\AppData\Local\Temp\OnboardLogs" /stypes="app*4066*20171110*" /stext=" 02:.+((SYSTEM_STATE.+slice.+state.+changed )|(ment ac)|(multiple cpu faults)|(system.+state.+changed )|(\[timeout)|(PRM\|1\|D)|(kpr)|(kdp)|(train st.+moving)|(\|lc)|(penalty))"</v>
      </c>
      <c r="AG214" s="182" t="str">
        <f t="shared" si="208"/>
        <v>Other</v>
      </c>
      <c r="AH214" s="78" t="str">
        <f t="shared" si="92"/>
        <v>"%USERPROFILE%\Documents\GitHub\eaglep3\Utilities\RefineRTDCRunTimes.py" --tripid 305-09 --locoid 4066 --swversion DE.1.0.9.0 --startMP 204:566 --initTime 2017-11-09T19:39:54 --startdatetime 2017-11-09T19:43:41 --delay 91 --endMP 300:23306 --enddatetime 2017-11-09T19:55:06 --enforcementcount 0 &gt;&gt;%USERPROFILE%\Documents\GitHub\eaglep3-reporting\EC\2017-11-09-refined-times.txt</v>
      </c>
      <c r="AI214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{"issue":{"subject":"","project_id":79,"tracker_id":40,"status_id":1,"priority_id":2,"assigned_to_id":338,"start_date":"2017-11-09","description":"","custom_fields":[{"id":1,"name":"Subdivision","value":"Other"},{"id":4,"name":"Milepost","value":"2.3306"},{"id":17,"name":"Train ID","value":"305-09"},{"id":16,"name":"Locomotive ID","value":"4066"},{"id":130,"name":"Impact","value":""},{"id":150,"name":"Time of Event (Mountain Time)","value":"19:55:06"},{"id":151,"name":"Denver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93"/>
        <v>start /low /b %USERPROFILE%\Documents\GitHub\eaglep3\Utilities\DownloadLogsFromS3.py --loco 4066 --day 2017-11-09</v>
      </c>
      <c r="AN214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4"/>
        <v>https://d0f6bd738d7f1b3e5a7ca70fe4ff75f0.us-east-1.aws.found.io/app/kibana#/discover/Steve-Slow-Train-Analysis-(2080s-and-2083s)?_g=(refreshInterval:(display:Off,pause:!f,section:0,value:0),time:(from:'2017-11-09T18:39:54-0700',mode:absolute,to:'2017-11-09T20:55:06-0700'))&amp;_a=(columns:!('Message%20ID',Summary),filters:!(),index:'emp_*',interval:auto,query:(query_string:(analyze_wildcard:!t,query:'%22rtdc.l.rtdc.4066%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672</v>
      </c>
      <c r="B215" s="7">
        <v>4023</v>
      </c>
      <c r="C215" s="21" t="s">
        <v>192</v>
      </c>
      <c r="D215" s="21" t="s">
        <v>996</v>
      </c>
      <c r="E215" s="13">
        <v>43048.171238425923</v>
      </c>
      <c r="F215" s="13">
        <v>43048.174930555557</v>
      </c>
      <c r="G215" s="7">
        <v>67</v>
      </c>
      <c r="H215" s="21" t="s">
        <v>997</v>
      </c>
      <c r="I215" s="13">
        <v>43048.179583333331</v>
      </c>
      <c r="J215" s="7">
        <v>0</v>
      </c>
      <c r="K215" s="89" t="str">
        <f t="shared" si="200"/>
        <v>4023/4024</v>
      </c>
      <c r="L215" s="185" t="str">
        <f>VLOOKUP(A215,'Trips&amp;Operators'!$C$1:$G$99911,5,FALSE)</f>
        <v>BEAM ROSS</v>
      </c>
      <c r="M215" s="6">
        <f t="shared" si="201"/>
        <v>4.6527777740266174E-3</v>
      </c>
      <c r="N215" s="7">
        <f t="shared" si="116"/>
        <v>6.6999999945983291</v>
      </c>
      <c r="O215" s="7"/>
      <c r="P215" s="7"/>
      <c r="Q215" s="22"/>
      <c r="R215" s="174"/>
      <c r="S215" s="221">
        <f t="shared" si="117"/>
        <v>1</v>
      </c>
      <c r="T215" s="174" t="str">
        <f t="shared" si="202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203"/>
        <v>https://d0f6bd738d7f1b3e5a7ca70fe4ff75f0.us-east-1.aws.found.io/app/kibana#/discover/Steve-Slow-Train-Analysis-(2080s-and-2083s)?_g=(refreshInterval:(display:Off,pause:!f,section:0,value:0),time:(from:'2017-11-09T03:06:35-0700',mode:absolute,to:'2017-11-09T05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204" t="str">
        <f>IF(AA215&lt;VLOOKUP(AG215,Variables!$AC$3:$AD$8,2,FALSE),"Y","N")</f>
        <v>Y</v>
      </c>
      <c r="X215" s="204">
        <f t="shared" si="136"/>
        <v>1</v>
      </c>
      <c r="Y215" s="204">
        <f t="shared" si="118"/>
        <v>2.0156999999999998</v>
      </c>
      <c r="Z215" s="204">
        <f t="shared" si="119"/>
        <v>1.6899999999999998E-2</v>
      </c>
      <c r="AA215" s="204">
        <f t="shared" si="204"/>
        <v>1.9987999999999999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205"/>
        <v>306</v>
      </c>
      <c r="AE215" s="77" t="str">
        <f t="shared" si="206"/>
        <v>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 &amp; aws s3 cp s3://rtdc.mdm.uploadarchive.raw/RTDC4023/ "%USERPROFILE%\AppData\Local\Temp\OnboardLogs"\RTDC4023\2017-11-10 --exclude "*" --recursive --include "*20171110*" &amp; "%USERPROFILE%\Documents\GitHub\mrs-test-scripts\Headless Mode &amp; Sideloading\WalkAndUnGZ.bat" "%USERPROFILE%\AppData\Local\Temp\OnboardLogs"\RTDC4023\2017-11-10</v>
      </c>
      <c r="AF215" s="74" t="str">
        <f t="shared" si="207"/>
        <v>"C:\Program Files (x86)\AstroGrep\AstroGrep.exe" /e /r /s /spath="%USERPROFILE%\AppData\Local\Temp\OnboardLogs" /stypes="app*4023*20171109*" /stext=" 11:.+((SYSTEM_STATE.+slice.+state.+changed )|(ment ac)|(multiple cpu faults)|(system.+state.+changed )|(\[timeout)|(PRM\|1\|D)|(kpr)|(kdp)|(train st.+moving)|(\|lc)|(penalty))"</v>
      </c>
      <c r="AG215" s="182" t="str">
        <f t="shared" si="208"/>
        <v>Other</v>
      </c>
      <c r="AH215" s="78" t="str">
        <f t="shared" si="92"/>
        <v>"%USERPROFILE%\Documents\GitHub\eaglep3\Utilities\RefineRTDCRunTimes.py" --tripid 306-09 --locoid 4023 --swversion DE.1.0.9.0 --startMP 300:20157 --initTime 2017-11-09T04:06:35 --startdatetime 2017-11-09T04:11:54 --delay 67 --endMP 204:169 --enddatetime 2017-11-09T04:18:36 --enforcementcount 0 &gt;&gt;%USERPROFILE%\Documents\GitHub\eaglep3-reporting\EC\2017-11-09-refined-times.txt</v>
      </c>
      <c r="AI215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{"issue":{"subject":"","project_id":79,"tracker_id":40,"status_id":1,"priority_id":2,"assigned_to_id":338,"start_date":"2017-11-09","description":"","custom_fields":[{"id":1,"name":"Subdivision","value":"Other"},{"id":4,"name":"Milepost","value":"0.0169"},{"id":17,"name":"Train ID","value":"306-09"},{"id":16,"name":"Locomotive ID","value":"4023"},{"id":130,"name":"Impact","value":""},{"id":150,"name":"Time of Event (Mountain Time)","value":"04:18:36"},{"id":151,"name":"Denver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93"/>
        <v>start /low /b %USERPROFILE%\Documents\GitHub\eaglep3\Utilities\DownloadLogsFromS3.py --loco 4023 --day 2017-11-09</v>
      </c>
      <c r="AN215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4"/>
        <v>https://d0f6bd738d7f1b3e5a7ca70fe4ff75f0.us-east-1.aws.found.io/app/kibana#/discover/Steve-Slow-Train-Analysis-(2080s-and-2083s)?_g=(refreshInterval:(display:Off,pause:!f,section:0,value:0),time:(from:'2017-11-09T03:06:35-0700',mode:absolute,to:'2017-11-09T05:18:36-0700'))&amp;_a=(columns:!('Message%20ID',Summary),filters:!(),index:'emp_*',interval:auto,query:(query_string:(analyze_wildcard:!t,query:'%22rtdc.l.rtdc.4023%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883</v>
      </c>
      <c r="B216" s="7">
        <v>4022</v>
      </c>
      <c r="C216" s="21" t="s">
        <v>192</v>
      </c>
      <c r="D216" s="21" t="s">
        <v>620</v>
      </c>
      <c r="E216" s="13">
        <v>43049.051180555558</v>
      </c>
      <c r="F216" s="13">
        <v>43049.05263888889</v>
      </c>
      <c r="G216" s="7">
        <v>51</v>
      </c>
      <c r="H216" s="21" t="s">
        <v>621</v>
      </c>
      <c r="I216" s="13">
        <v>43049.059571759259</v>
      </c>
      <c r="J216" s="7">
        <v>0</v>
      </c>
      <c r="K216" s="89" t="str">
        <f t="shared" si="200"/>
        <v>4021/4022</v>
      </c>
      <c r="L216" s="185" t="str">
        <f>VLOOKUP(A216,'Trips&amp;Operators'!$C$1:$G$99911,5,FALSE)</f>
        <v>LOZA FIDEL</v>
      </c>
      <c r="M216" s="6">
        <f t="shared" si="201"/>
        <v>6.9328703684732318E-3</v>
      </c>
      <c r="N216" s="7">
        <f t="shared" si="116"/>
        <v>9.9833333306014538</v>
      </c>
      <c r="O216" s="7"/>
      <c r="P216" s="7"/>
      <c r="Q216" s="22"/>
      <c r="R216" s="174"/>
      <c r="S216" s="221">
        <f t="shared" si="117"/>
        <v>1</v>
      </c>
      <c r="T216" s="174" t="str">
        <f t="shared" si="202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203"/>
        <v>https://d0f6bd738d7f1b3e5a7ca70fe4ff75f0.us-east-1.aws.found.io/app/kibana#/discover/Steve-Slow-Train-Analysis-(2080s-and-2083s)?_g=(refreshInterval:(display:Off,pause:!f,section:0,value:0),time:(from:'2017-11-10T00:13:42-0700',mode:absolute,to:'2017-11-10T02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204" t="str">
        <f>IF(AA216&lt;VLOOKUP(AG216,Variables!$AC$3:$AD$8,2,FALSE),"Y","N")</f>
        <v>Y</v>
      </c>
      <c r="X216" s="204">
        <f t="shared" si="136"/>
        <v>1</v>
      </c>
      <c r="Y216" s="204">
        <f t="shared" si="118"/>
        <v>5.2900000000000003E-2</v>
      </c>
      <c r="Z216" s="204">
        <f t="shared" si="119"/>
        <v>2.3302</v>
      </c>
      <c r="AA216" s="204">
        <f t="shared" si="204"/>
        <v>2.2772999999999999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205"/>
        <v>307</v>
      </c>
      <c r="AE216" s="77" t="str">
        <f t="shared" si="206"/>
        <v>aws s3 cp s3://rtdc.mdm.uploadarchive.raw/RTDC4022/ "%USERPROFILE%\AppData\Local\Temp\OnboardLogs"\RTDC4022\2017-11-10 --exclude "*" --recursive --include "*20171110*" &amp; "%USERPROFILE%\Documents\GitHub\mrs-test-scripts\Headless Mode &amp; Sideloading\WalkAndUnGZ.bat" "%USERPROFILE%\AppData\Local\Temp\OnboardLogs"\RTDC4022\2017-11-10 &amp; aws s3 cp s3://rtdc.mdm.uploadarchive.raw/RTDC4022/ "%USERPROFILE%\AppData\Local\Temp\OnboardLogs"\RTDC4022\2017-11-11 --exclude "*" --recursive --include "*20171111*" &amp; "%USERPROFILE%\Documents\GitHub\mrs-test-scripts\Headless Mode &amp; Sideloading\WalkAndUnGZ.bat" "%USERPROFILE%\AppData\Local\Temp\OnboardLogs"\RTDC4022\2017-11-11</v>
      </c>
      <c r="AF216" s="74" t="str">
        <f t="shared" si="207"/>
        <v>"C:\Program Files (x86)\AstroGrep\AstroGrep.exe" /e /r /s /spath="%USERPROFILE%\AppData\Local\Temp\OnboardLogs" /stypes="app*4022*20171110*" /stext=" 08:.+((SYSTEM_STATE.+slice.+state.+changed )|(ment ac)|(multiple cpu faults)|(system.+state.+changed )|(\[timeout)|(PRM\|1\|D)|(kpr)|(kdp)|(train st.+moving)|(\|lc)|(penalty))"</v>
      </c>
      <c r="AG216" s="182" t="str">
        <f t="shared" si="208"/>
        <v>Other</v>
      </c>
      <c r="AH216" s="78" t="str">
        <f t="shared" ref="AH216:AH237" si="211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307-09 --locoid 4022 --swversion DE.1.0.9.0 --startMP 204:529 --initTime 2017-11-10T01:13:42 --startdatetime 2017-11-10T01:15:48 --delay 51 --endMP 300:23302 --enddatetime 2017-11-10T01:25:47 --enforcementcount 0 &gt;&gt;%USERPROFILE%\Documents\GitHub\eaglep3-reporting\EC\2017-11-09-refined-times.txt</v>
      </c>
      <c r="AI216" s="96" t="str">
        <f t="shared" si="209"/>
        <v>echo {"issue":{"subject":"","project_id":79,"tracker_id":40,"status_id":1,"priority_id":2,"assigned_to_id":338,"start_date":"2017-11-10","description":"","custom_fields":[{"id":1,"name":"Subdivision","value":"Other"},{"id":4,"name":"Milepost","value":"2.3302"},{"id":17,"name":"Train ID","value":"307-09"},{"id":16,"name":"Locomotive ID","value":"4022"},{"id":130,"name":"Impact","value":""},{"id":150,"name":"Time of Event (Mountain Time)","value":"01:25:47"},{"id":151,"name":"Denver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ref="AM216:AM237" si="212">"start /low /b "&amp;dls3logs&amp;" --loco "&amp;B216&amp;" --day "&amp;TEXT(F216,"YYYY-MM-DD")</f>
        <v>start /low /b %USERPROFILE%\Documents\GitHub\eaglep3\Utilities\DownloadLogsFromS3.py --loco 4022 --day 2017-11-10</v>
      </c>
      <c r="AN216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08:25:47"},{"id":29,"name":"Sharepoint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ref="AO216:AO237" si="213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-10T00:13:42-0700',mode:absolute,to:'2017-11-10T02:25:47-0700'))&amp;_a=(columns:!('Message%20ID',Summary),filters:!(),index:'emp_*',interval:auto,query:(query_string:(analyze_wildcard:!t,query:'%22rtdc.l.rtdc.4022%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678</v>
      </c>
      <c r="B217" s="7">
        <v>4025</v>
      </c>
      <c r="C217" s="21" t="s">
        <v>192</v>
      </c>
      <c r="D217" s="21" t="s">
        <v>998</v>
      </c>
      <c r="E217" s="13">
        <v>43048.180231481485</v>
      </c>
      <c r="F217" s="13">
        <v>43048.184328703705</v>
      </c>
      <c r="G217" s="7">
        <v>116</v>
      </c>
      <c r="H217" s="21" t="s">
        <v>895</v>
      </c>
      <c r="I217" s="13">
        <v>43048.190787037034</v>
      </c>
      <c r="J217" s="7">
        <v>0</v>
      </c>
      <c r="K217" s="89" t="str">
        <f t="shared" si="200"/>
        <v>4025/4026</v>
      </c>
      <c r="L217" s="185" t="str">
        <f>VLOOKUP(A217,'Trips&amp;Operators'!$C$1:$G$99911,5,FALSE)</f>
        <v>WILLIAMS DONTE</v>
      </c>
      <c r="M217" s="6">
        <f t="shared" si="201"/>
        <v>6.4583333296468481E-3</v>
      </c>
      <c r="N217" s="7">
        <f t="shared" si="116"/>
        <v>9.2999999946914613</v>
      </c>
      <c r="O217" s="7"/>
      <c r="P217" s="7"/>
      <c r="Q217" s="22"/>
      <c r="R217" s="174"/>
      <c r="S217" s="221">
        <f t="shared" si="117"/>
        <v>1</v>
      </c>
      <c r="T217" s="174" t="str">
        <f t="shared" si="202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203"/>
        <v>https://d0f6bd738d7f1b3e5a7ca70fe4ff75f0.us-east-1.aws.found.io/app/kibana#/discover/Steve-Slow-Train-Analysis-(2080s-and-2083s)?_g=(refreshInterval:(display:Off,pause:!f,section:0,value:0),time:(from:'2017-11-09T03:19:32-0700',mode:absolute,to:'2017-11-09T05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204" t="str">
        <f>IF(AA217&lt;VLOOKUP(AG217,Variables!$AC$3:$AD$8,2,FALSE),"Y","N")</f>
        <v>Y</v>
      </c>
      <c r="X217" s="204">
        <f t="shared" si="136"/>
        <v>1</v>
      </c>
      <c r="Y217" s="204">
        <f t="shared" si="118"/>
        <v>2.2888999999999999</v>
      </c>
      <c r="Z217" s="204">
        <f t="shared" si="119"/>
        <v>0.02</v>
      </c>
      <c r="AA217" s="204">
        <f t="shared" si="204"/>
        <v>2.2688999999999999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205"/>
        <v>308</v>
      </c>
      <c r="AE217" s="77" t="str">
        <f t="shared" si="206"/>
        <v>aws s3 cp s3://rtdc.mdm.uploadarchive.raw/RTDC4025/ "%USERPROFILE%\AppData\Local\Temp\OnboardLogs"\RTDC4025\2017-11-09 --exclude "*" --recursive --include "*20171109*" &amp; "%USERPROFILE%\Documents\GitHub\mrs-test-scripts\Headless Mode &amp; Sideloading\WalkAndUnGZ.bat" "%USERPROFILE%\AppData\Local\Temp\OnboardLogs"\RTDC4025\2017-11-09 &amp; aws s3 cp s3://rtdc.mdm.uploadarchive.raw/RTDC4025/ "%USERPROFILE%\AppData\Local\Temp\OnboardLogs"\RTDC4025\2017-11-10 --exclude "*" --recursive --include "*20171110*" &amp; "%USERPROFILE%\Documents\GitHub\mrs-test-scripts\Headless Mode &amp; Sideloading\WalkAndUnGZ.bat" "%USERPROFILE%\AppData\Local\Temp\OnboardLogs"\RTDC4025\2017-11-10</v>
      </c>
      <c r="AF217" s="74" t="str">
        <f t="shared" si="207"/>
        <v>"C:\Program Files (x86)\AstroGrep\AstroGrep.exe" /e /r /s /spath="%USERPROFILE%\AppData\Local\Temp\OnboardLogs" /stypes="app*4025*20171109*" /stext=" 11:.+((SYSTEM_STATE.+slice.+state.+changed )|(ment ac)|(multiple cpu faults)|(system.+state.+changed )|(\[timeout)|(PRM\|1\|D)|(kpr)|(kdp)|(train st.+moving)|(\|lc)|(penalty))"</v>
      </c>
      <c r="AG217" s="182" t="str">
        <f t="shared" si="208"/>
        <v>Other</v>
      </c>
      <c r="AH217" s="78" t="str">
        <f t="shared" si="211"/>
        <v>"%USERPROFILE%\Documents\GitHub\eaglep3\Utilities\RefineRTDCRunTimes.py" --tripid 308-09 --locoid 4025 --swversion DE.1.0.9.0 --startMP 300:22889 --initTime 2017-11-09T04:19:32 --startdatetime 2017-11-09T04:25:26 --delay 116 --endMP 204:200 --enddatetime 2017-11-09T04:34:44 --enforcementcount 0 &gt;&gt;%USERPROFILE%\Documents\GitHub\eaglep3-reporting\EC\2017-11-09-refined-times.txt</v>
      </c>
      <c r="AI217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{"issue":{"subject":"","project_id":79,"tracker_id":40,"status_id":1,"priority_id":2,"assigned_to_id":338,"start_date":"2017-11-09","description":"","custom_fields":[{"id":1,"name":"Subdivision","value":"Other"},{"id":4,"name":"Milepost","value":"0.02"},{"id":17,"name":"Train ID","value":"308-09"},{"id":16,"name":"Locomotive ID","value":"4025"},{"id":130,"name":"Impact","value":""},{"id":150,"name":"Time of Event (Mountain Time)","value":"04:34:44"},{"id":151,"name":"Denver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212"/>
        <v>start /low /b %USERPROFILE%\Documents\GitHub\eaglep3\Utilities\DownloadLogsFromS3.py --loco 4025 --day 2017-11-09</v>
      </c>
      <c r="AN217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213"/>
        <v>https://d0f6bd738d7f1b3e5a7ca70fe4ff75f0.us-east-1.aws.found.io/app/kibana#/discover/Steve-Slow-Train-Analysis-(2080s-and-2083s)?_g=(refreshInterval:(display:Off,pause:!f,section:0,value:0),time:(from:'2017-11-09T03:19:32-0700',mode:absolute,to:'2017-11-09T05:34:44-0700'))&amp;_a=(columns:!('Message%20ID',Summary),filters:!(),index:'emp_*',interval:auto,query:(query_string:(analyze_wildcard:!t,query:'%22rtdc.l.rtdc.4025%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682</v>
      </c>
      <c r="B218" s="7">
        <v>4005</v>
      </c>
      <c r="C218" s="21" t="s">
        <v>192</v>
      </c>
      <c r="D218" s="21" t="s">
        <v>999</v>
      </c>
      <c r="E218" s="13">
        <v>43048.195092592592</v>
      </c>
      <c r="F218" s="13">
        <v>43048.198206018518</v>
      </c>
      <c r="G218" s="7">
        <v>144</v>
      </c>
      <c r="H218" s="21" t="s">
        <v>903</v>
      </c>
      <c r="I218" s="13">
        <v>43048.20349537037</v>
      </c>
      <c r="J218" s="7">
        <v>0</v>
      </c>
      <c r="K218" s="89" t="str">
        <f t="shared" si="200"/>
        <v>4005/4006</v>
      </c>
      <c r="L218" s="185" t="str">
        <f>VLOOKUP(A218,'Trips&amp;Operators'!$C$1:$G$99911,5,FALSE)</f>
        <v>YANAI IAN</v>
      </c>
      <c r="M218" s="6">
        <f t="shared" si="201"/>
        <v>5.2893518513883464E-3</v>
      </c>
      <c r="N218" s="7">
        <f t="shared" si="116"/>
        <v>7.6166666659992188</v>
      </c>
      <c r="O218" s="7"/>
      <c r="P218" s="7"/>
      <c r="Q218" s="22"/>
      <c r="R218" s="174"/>
      <c r="S218" s="221">
        <f t="shared" si="117"/>
        <v>1</v>
      </c>
      <c r="T218" s="174" t="str">
        <f t="shared" si="202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203"/>
        <v>https://d0f6bd738d7f1b3e5a7ca70fe4ff75f0.us-east-1.aws.found.io/app/kibana#/discover/Steve-Slow-Train-Analysis-(2080s-and-2083s)?_g=(refreshInterval:(display:Off,pause:!f,section:0,value:0),time:(from:'2017-11-09T03:40:56-0700',mode:absolute,to:'2017-11-09T05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204" t="str">
        <f>IF(AA218&lt;VLOOKUP(AG218,Variables!$AC$3:$AD$8,2,FALSE),"Y","N")</f>
        <v>Y</v>
      </c>
      <c r="X218" s="204">
        <f t="shared" si="136"/>
        <v>2</v>
      </c>
      <c r="Y218" s="204">
        <f t="shared" si="118"/>
        <v>2.3746999999999998</v>
      </c>
      <c r="Z218" s="204">
        <f t="shared" si="119"/>
        <v>1.6E-2</v>
      </c>
      <c r="AA218" s="204">
        <f t="shared" si="204"/>
        <v>2.3586999999999998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205"/>
        <v>310</v>
      </c>
      <c r="AE218" s="77" t="str">
        <f t="shared" si="206"/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AF218" s="74" t="str">
        <f t="shared" si="207"/>
        <v>"C:\Program Files (x86)\AstroGrep\AstroGrep.exe" /e /r /s /spath="%USERPROFILE%\AppData\Local\Temp\OnboardLogs" /stypes="app*4005*20171109*" /stext=" 11:.+((SYSTEM_STATE.+slice.+state.+changed )|(ment ac)|(multiple cpu faults)|(system.+state.+changed )|(\[timeout)|(PRM\|1\|D)|(kpr)|(kdp)|(train st.+moving)|(\|lc)|(penalty))"</v>
      </c>
      <c r="AG218" s="182" t="str">
        <f t="shared" si="208"/>
        <v>Other</v>
      </c>
      <c r="AH218" s="78" t="str">
        <f t="shared" si="211"/>
        <v>"%USERPROFILE%\Documents\GitHub\eaglep3\Utilities\RefineRTDCRunTimes.py" --tripid 310-09 --locoid 4005 --swversion DE.1.0.9.0 --startMP 300:23747 --initTime 2017-11-09T04:40:56 --startdatetime 2017-11-09T04:45:25 --delay 144 --endMP 204:160 --enddatetime 2017-11-09T04:53:02 --enforcementcount 0 &gt;&gt;%USERPROFILE%\Documents\GitHub\eaglep3-reporting\EC\2017-11-09-refined-times.txt</v>
      </c>
      <c r="AI218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{"issue":{"subject":"","project_id":79,"tracker_id":40,"status_id":1,"priority_id":2,"assigned_to_id":338,"start_date":"2017-11-09","description":"","custom_fields":[{"id":1,"name":"Subdivision","value":"Other"},{"id":4,"name":"Milepost","value":"0.016"},{"id":17,"name":"Train ID","value":"310-09"},{"id":16,"name":"Locomotive ID","value":"4005"},{"id":130,"name":"Impact","value":""},{"id":150,"name":"Time of Event (Mountain Time)","value":"04:53:02"},{"id":151,"name":"Denver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212"/>
        <v>start /low /b %USERPROFILE%\Documents\GitHub\eaglep3\Utilities\DownloadLogsFromS3.py --loco 4005 --day 2017-11-09</v>
      </c>
      <c r="AN218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213"/>
        <v>https://d0f6bd738d7f1b3e5a7ca70fe4ff75f0.us-east-1.aws.found.io/app/kibana#/discover/Steve-Slow-Train-Analysis-(2080s-and-2083s)?_g=(refreshInterval:(display:Off,pause:!f,section:0,value:0),time:(from:'2017-11-09T03:40:56-0700',mode:absolute,to:'2017-11-09T05:53:02-0700'))&amp;_a=(columns:!('Message%20ID',Summary),filters:!(),index:'emp_*',interval:auto,query:(query_string:(analyze_wildcard:!t,query:'%22rtdc.l.rtdc.4005%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886</v>
      </c>
      <c r="B219" s="7">
        <v>4024</v>
      </c>
      <c r="C219" s="21" t="s">
        <v>192</v>
      </c>
      <c r="D219" s="21" t="s">
        <v>611</v>
      </c>
      <c r="E219" s="13">
        <v>43049.091400462959</v>
      </c>
      <c r="F219" s="13">
        <v>43049.093101851853</v>
      </c>
      <c r="G219" s="7">
        <v>65</v>
      </c>
      <c r="H219" s="21" t="s">
        <v>1000</v>
      </c>
      <c r="I219" s="13">
        <v>43049.10732638889</v>
      </c>
      <c r="J219" s="7">
        <v>0</v>
      </c>
      <c r="K219" s="89" t="str">
        <f t="shared" si="200"/>
        <v>4023/4024</v>
      </c>
      <c r="L219" s="185" t="str">
        <f>VLOOKUP(A219,'Trips&amp;Operators'!$C$1:$G$99911,5,FALSE)</f>
        <v>NICHOLSON WESLEY</v>
      </c>
      <c r="M219" s="6">
        <f t="shared" si="201"/>
        <v>1.4224537037080154E-2</v>
      </c>
      <c r="N219" s="7">
        <f t="shared" si="116"/>
        <v>20.483333333395422</v>
      </c>
      <c r="O219" s="7"/>
      <c r="P219" s="7"/>
      <c r="Q219" s="22"/>
      <c r="R219" s="174"/>
      <c r="S219" s="221">
        <f t="shared" si="117"/>
        <v>1</v>
      </c>
      <c r="T219" s="174" t="str">
        <f t="shared" si="202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203"/>
        <v>https://d0f6bd738d7f1b3e5a7ca70fe4ff75f0.us-east-1.aws.found.io/app/kibana#/discover/Steve-Slow-Train-Analysis-(2080s-and-2083s)?_g=(refreshInterval:(display:Off,pause:!f,section:0,value:0),time:(from:'2017-11-10T01:11:37-0700',mode:absolute,to:'2017-11-10T03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9" s="204" t="str">
        <f>IF(AA219&lt;VLOOKUP(AG219,Variables!$AC$3:$AD$8,2,FALSE),"Y","N")</f>
        <v>Y</v>
      </c>
      <c r="X219" s="204">
        <f t="shared" si="136"/>
        <v>1</v>
      </c>
      <c r="Y219" s="204">
        <f t="shared" si="118"/>
        <v>5.2600000000000001E-2</v>
      </c>
      <c r="Z219" s="204">
        <f t="shared" si="119"/>
        <v>2.6884999999999999</v>
      </c>
      <c r="AA219" s="204">
        <f t="shared" si="204"/>
        <v>2.6358999999999999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205"/>
        <v>311</v>
      </c>
      <c r="AE219" s="77" t="str">
        <f t="shared" si="206"/>
        <v>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 &amp; aws s3 cp s3://rtdc.mdm.uploadarchive.raw/RTDC4024/ "%USERPROFILE%\AppData\Local\Temp\OnboardLogs"\RTDC4024\2017-11-11 --exclude "*" --recursive --include "*20171111*" &amp; "%USERPROFILE%\Documents\GitHub\mrs-test-scripts\Headless Mode &amp; Sideloading\WalkAndUnGZ.bat" "%USERPROFILE%\AppData\Local\Temp\OnboardLogs"\RTDC4024\2017-11-11</v>
      </c>
      <c r="AF219" s="74" t="str">
        <f t="shared" si="207"/>
        <v>"C:\Program Files (x86)\AstroGrep\AstroGrep.exe" /e /r /s /spath="%USERPROFILE%\AppData\Local\Temp\OnboardLogs" /stypes="app*4024*20171110*" /stext=" 09:.+((SYSTEM_STATE.+slice.+state.+changed )|(ment ac)|(multiple cpu faults)|(system.+state.+changed )|(\[timeout)|(PRM\|1\|D)|(kpr)|(kdp)|(train st.+moving)|(\|lc)|(penalty))"</v>
      </c>
      <c r="AG219" s="182" t="str">
        <f t="shared" si="208"/>
        <v>Other</v>
      </c>
      <c r="AH219" s="78" t="str">
        <f t="shared" si="211"/>
        <v>"%USERPROFILE%\Documents\GitHub\eaglep3\Utilities\RefineRTDCRunTimes.py" --tripid 311-09 --locoid 4024 --swversion DE.1.0.9.0 --startMP 204:526 --initTime 2017-11-10T02:11:37 --startdatetime 2017-11-10T02:14:04 --delay 65 --endMP 300:26885 --enddatetime 2017-11-10T02:34:33 --enforcementcount 0 &gt;&gt;%USERPROFILE%\Documents\GitHub\eaglep3-reporting\EC\2017-11-09-refined-times.txt</v>
      </c>
      <c r="AI219" s="96" t="str">
        <f t="shared" si="209"/>
        <v>echo {"issue":{"subject":"","project_id":79,"tracker_id":40,"status_id":1,"priority_id":2,"assigned_to_id":338,"start_date":"2017-11-10","description":"","custom_fields":[{"id":1,"name":"Subdivision","value":"Other"},{"id":4,"name":"Milepost","value":"2.6885"},{"id":17,"name":"Train ID","value":"311-09"},{"id":16,"name":"Locomotive ID","value":"4024"},{"id":130,"name":"Impact","value":""},{"id":150,"name":"Time of Event (Mountain Time)","value":"02:34:33"},{"id":151,"name":"Denver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212"/>
        <v>start /low /b %USERPROFILE%\Documents\GitHub\eaglep3\Utilities\DownloadLogsFromS3.py --loco 4024 --day 2017-11-10</v>
      </c>
      <c r="AN219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213"/>
        <v>https://d0f6bd738d7f1b3e5a7ca70fe4ff75f0.us-east-1.aws.found.io/app/kibana#/discover/Steve-Slow-Train-Analysis-(2080s-and-2083s)?_g=(refreshInterval:(display:Off,pause:!f,section:0,value:0),time:(from:'2017-11-10T01:11:37-0700',mode:absolute,to:'2017-11-10T03:34:33-0700'))&amp;_a=(columns:!('Message%20ID',Summary),filters:!(),index:'emp_*',interval:auto,query:(query_string:(analyze_wildcard:!t,query:'%22rtdc.l.rtdc.4024%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690</v>
      </c>
      <c r="B220" s="7">
        <v>4065</v>
      </c>
      <c r="C220" s="21" t="s">
        <v>192</v>
      </c>
      <c r="D220" s="21" t="s">
        <v>1001</v>
      </c>
      <c r="E220" s="13">
        <v>43048.221712962964</v>
      </c>
      <c r="F220" s="13">
        <v>43048.225358796299</v>
      </c>
      <c r="G220" s="7">
        <v>66</v>
      </c>
      <c r="H220" s="21" t="s">
        <v>599</v>
      </c>
      <c r="I220" s="13">
        <v>43048.231203703705</v>
      </c>
      <c r="J220" s="7">
        <v>0</v>
      </c>
      <c r="K220" s="89" t="str">
        <f t="shared" si="200"/>
        <v>4065/4066</v>
      </c>
      <c r="L220" s="185" t="str">
        <f>VLOOKUP(A220,'Trips&amp;Operators'!$C$1:$G$99911,5,FALSE)</f>
        <v>MOSES BRADLEY</v>
      </c>
      <c r="M220" s="6">
        <f t="shared" si="201"/>
        <v>5.8449074058444239E-3</v>
      </c>
      <c r="N220" s="7">
        <f t="shared" si="116"/>
        <v>8.4166666644159704</v>
      </c>
      <c r="O220" s="7"/>
      <c r="P220" s="7"/>
      <c r="Q220" s="22"/>
      <c r="R220" s="174"/>
      <c r="S220" s="221">
        <f t="shared" si="117"/>
        <v>1</v>
      </c>
      <c r="T220" s="174" t="str">
        <f t="shared" si="202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203"/>
        <v>https://d0f6bd738d7f1b3e5a7ca70fe4ff75f0.us-east-1.aws.found.io/app/kibana#/discover/Steve-Slow-Train-Analysis-(2080s-and-2083s)?_g=(refreshInterval:(display:Off,pause:!f,section:0,value:0),time:(from:'2017-11-09T04:19:16-0700',mode:absolute,to:'2017-11-09T06:32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0" s="204" t="str">
        <f>IF(AA220&lt;VLOOKUP(AG220,Variables!$AC$3:$AD$8,2,FALSE),"Y","N")</f>
        <v>Y</v>
      </c>
      <c r="X220" s="204">
        <f t="shared" si="136"/>
        <v>1</v>
      </c>
      <c r="Y220" s="204">
        <f t="shared" si="118"/>
        <v>2.2227000000000001</v>
      </c>
      <c r="Z220" s="204">
        <f t="shared" si="119"/>
        <v>2.1999999999999999E-2</v>
      </c>
      <c r="AA220" s="204">
        <f t="shared" si="204"/>
        <v>2.2007000000000003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205"/>
        <v>312</v>
      </c>
      <c r="AE220" s="77" t="str">
        <f t="shared" si="206"/>
        <v>aws s3 cp s3://rtdc.mdm.uploadarchive.raw/RTDC4065/ "%USERPROFILE%\AppData\Local\Temp\OnboardLogs"\RTDC4065\2017-11-09 --exclude "*" --recursive --include "*20171109*" &amp; "%USERPROFILE%\Documents\GitHub\mrs-test-scripts\Headless Mode &amp; Sideloading\WalkAndUnGZ.bat" "%USERPROFILE%\AppData\Local\Temp\OnboardLogs"\RTDC4065\2017-11-09 &amp; aws s3 cp s3://rtdc.mdm.uploadarchive.raw/RTDC4065/ "%USERPROFILE%\AppData\Local\Temp\OnboardLogs"\RTDC4065\2017-11-10 --exclude "*" --recursive --include "*20171110*" &amp; "%USERPROFILE%\Documents\GitHub\mrs-test-scripts\Headless Mode &amp; Sideloading\WalkAndUnGZ.bat" "%USERPROFILE%\AppData\Local\Temp\OnboardLogs"\RTDC4065\2017-11-10</v>
      </c>
      <c r="AF220" s="74" t="str">
        <f t="shared" si="207"/>
        <v>"C:\Program Files (x86)\AstroGrep\AstroGrep.exe" /e /r /s /spath="%USERPROFILE%\AppData\Local\Temp\OnboardLogs" /stypes="app*4065*20171109*" /stext=" 12:.+((SYSTEM_STATE.+slice.+state.+changed )|(ment ac)|(multiple cpu faults)|(system.+state.+changed )|(\[timeout)|(PRM\|1\|D)|(kpr)|(kdp)|(train st.+moving)|(\|lc)|(penalty))"</v>
      </c>
      <c r="AG220" s="182" t="str">
        <f t="shared" si="208"/>
        <v>Other</v>
      </c>
      <c r="AH220" s="78" t="str">
        <f t="shared" si="211"/>
        <v>"%USERPROFILE%\Documents\GitHub\eaglep3\Utilities\RefineRTDCRunTimes.py" --tripid 312-09 --locoid 4065 --swversion DE.1.0.9.0 --startMP 300:22227 --initTime 2017-11-09T05:19:16 --startdatetime 2017-11-09T05:24:31 --delay 66 --endMP 204:220 --enddatetime 2017-11-09T05:32:56 --enforcementcount 0 &gt;&gt;%USERPROFILE%\Documents\GitHub\eaglep3-reporting\EC\2017-11-09-refined-times.txt</v>
      </c>
      <c r="AI220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{"issue":{"subject":"","project_id":79,"tracker_id":40,"status_id":1,"priority_id":2,"assigned_to_id":338,"start_date":"2017-11-09","description":"","custom_fields":[{"id":1,"name":"Subdivision","value":"Other"},{"id":4,"name":"Milepost","value":"0.022"},{"id":17,"name":"Train ID","value":"312-09"},{"id":16,"name":"Locomotive ID","value":"4065"},{"id":130,"name":"Impact","value":""},{"id":150,"name":"Time of Event (Mountain Time)","value":"05:32:56"},{"id":151,"name":"Denver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212"/>
        <v>start /low /b %USERPROFILE%\Documents\GitHub\eaglep3\Utilities\DownloadLogsFromS3.py --loco 4065 --day 2017-11-09</v>
      </c>
      <c r="AN220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12:32:56"},{"id":29,"name":"Sharepoint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213"/>
        <v>https://d0f6bd738d7f1b3e5a7ca70fe4ff75f0.us-east-1.aws.found.io/app/kibana#/discover/Steve-Slow-Train-Analysis-(2080s-and-2083s)?_g=(refreshInterval:(display:Off,pause:!f,section:0,value:0),time:(from:'2017-11-09T04:19:16-0700',mode:absolute,to:'2017-11-09T06:32:56-0700'))&amp;_a=(columns:!('Message%20ID',Summary),filters:!(),index:'emp_*',interval:auto,query:(query_string:(analyze_wildcard:!t,query:'%22rtdc.l.rtdc.4065%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683</v>
      </c>
      <c r="B221" s="7">
        <v>4054</v>
      </c>
      <c r="C221" s="21" t="s">
        <v>192</v>
      </c>
      <c r="D221" s="21" t="s">
        <v>1075</v>
      </c>
      <c r="E221" s="13">
        <v>43048.200983796298</v>
      </c>
      <c r="F221" s="13">
        <v>43048.209328703706</v>
      </c>
      <c r="G221" s="7">
        <v>71</v>
      </c>
      <c r="H221" s="21" t="s">
        <v>1076</v>
      </c>
      <c r="I221" s="13">
        <v>43048.214768518519</v>
      </c>
      <c r="J221" s="7">
        <v>0</v>
      </c>
      <c r="K221" s="89" t="str">
        <f t="shared" si="200"/>
        <v>4053/4054</v>
      </c>
      <c r="L221" s="185" t="str">
        <f>VLOOKUP(A221,'Trips&amp;Operators'!$C$1:$G$99911,5,FALSE)</f>
        <v>HUFFSMITH MONTY</v>
      </c>
      <c r="M221" s="6">
        <f t="shared" si="201"/>
        <v>5.4398148131440394E-3</v>
      </c>
      <c r="N221" s="7">
        <f t="shared" si="116"/>
        <v>7.8333333309274167</v>
      </c>
      <c r="O221" s="7"/>
      <c r="P221" s="7"/>
      <c r="Q221" s="22"/>
      <c r="R221" s="174"/>
      <c r="S221" s="221">
        <f t="shared" si="117"/>
        <v>0</v>
      </c>
      <c r="T221" s="174" t="str">
        <f t="shared" si="202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203"/>
        <v>https://d0f6bd738d7f1b3e5a7ca70fe4ff75f0.us-east-1.aws.found.io/app/kibana#/discover/Steve-Slow-Train-Analysis-(2080s-and-2083s)?_g=(refreshInterval:(display:Off,pause:!f,section:0,value:0),time:(from:'2017-11-09T03:49:25-0700',mode:absolute,to:'2017-11-09T06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1" s="204" t="str">
        <f>IF(AA221&lt;VLOOKUP(AG221,Variables!$AC$3:$AD$8,2,FALSE),"Y","N")</f>
        <v>Y</v>
      </c>
      <c r="X221" s="204">
        <f t="shared" si="136"/>
        <v>589</v>
      </c>
      <c r="Y221" s="204">
        <f t="shared" si="118"/>
        <v>2.9986999999999999</v>
      </c>
      <c r="Z221" s="204">
        <f t="shared" si="119"/>
        <v>5.8973000000000004</v>
      </c>
      <c r="AA221" s="204">
        <f t="shared" si="204"/>
        <v>2.8986000000000005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205"/>
        <v>901</v>
      </c>
      <c r="AE221" s="77" t="str">
        <f t="shared" si="206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221" s="74" t="str">
        <f t="shared" si="207"/>
        <v>"C:\Program Files (x86)\AstroGrep\AstroGrep.exe" /e /r /s /spath="%USERPROFILE%\AppData\Local\Temp\OnboardLogs" /stypes="app*4054*20171109*" /stext=" 12:.+((SYSTEM_STATE.+slice.+state.+changed )|(ment ac)|(multiple cpu faults)|(system.+state.+changed )|(\[timeout)|(PRM\|1\|D)|(kpr)|(kdp)|(train st.+moving)|(\|lc)|(penalty))"</v>
      </c>
      <c r="AG221" s="182" t="str">
        <f t="shared" si="208"/>
        <v>Other</v>
      </c>
      <c r="AH221" s="78" t="str">
        <f t="shared" si="211"/>
        <v>"%USERPROFILE%\Documents\GitHub\eaglep3\Utilities\RefineRTDCRunTimes.py" --tripid 901-09 --locoid 4054 --swversion DE.1.0.9.0 --startMP 300:29987 --initTime 2017-11-09T04:49:25 --startdatetime 2017-11-09T05:01:26 --delay 71 --endMP 300:58973 --enddatetime 2017-11-09T05:09:16 --enforcementcount 0 &gt;&gt;%USERPROFILE%\Documents\GitHub\eaglep3-reporting\EC\2017-11-09-refined-times.txt</v>
      </c>
      <c r="AI221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{"issue":{"subject":"","project_id":79,"tracker_id":40,"status_id":1,"priority_id":2,"assigned_to_id":338,"start_date":"2017-11-09","description":"","custom_fields":[{"id":1,"name":"Subdivision","value":"Other"},{"id":4,"name":"Milepost","value":"5.8973"},{"id":17,"name":"Train ID","value":"901-09"},{"id":16,"name":"Locomotive ID","value":"4054"},{"id":130,"name":"Impact","value":""},{"id":150,"name":"Time of Event (Mountain Time)","value":"05:09:16"},{"id":151,"name":"Denver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212"/>
        <v>start /low /b %USERPROFILE%\Documents\GitHub\eaglep3\Utilities\DownloadLogsFromS3.py --loco 4054 --day 2017-11-09</v>
      </c>
      <c r="AN221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213"/>
        <v>https://d0f6bd738d7f1b3e5a7ca70fe4ff75f0.us-east-1.aws.found.io/app/kibana#/discover/Steve-Slow-Train-Analysis-(2080s-and-2083s)?_g=(refreshInterval:(display:Off,pause:!f,section:0,value:0),time:(from:'2017-11-09T03:49:25-0700',mode:absolute,to:'2017-11-09T06:09:16-0700'))&amp;_a=(columns:!('Message%20ID',Summary),filters:!(),index:'emp_*',interval:auto,query:(query_string:(analyze_wildcard:!t,query:'%22rtdc.l.rtdc.4054%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697</v>
      </c>
      <c r="B222" s="7">
        <v>4015</v>
      </c>
      <c r="C222" s="21" t="s">
        <v>192</v>
      </c>
      <c r="D222" s="21" t="s">
        <v>1077</v>
      </c>
      <c r="E222" s="13">
        <v>43048.236932870372</v>
      </c>
      <c r="F222" s="13">
        <v>43048.239745370367</v>
      </c>
      <c r="G222" s="7">
        <v>83</v>
      </c>
      <c r="H222" s="21" t="s">
        <v>1078</v>
      </c>
      <c r="I222" s="13">
        <v>43048.245393518519</v>
      </c>
      <c r="J222" s="7">
        <v>0</v>
      </c>
      <c r="K222" s="89" t="str">
        <f t="shared" si="200"/>
        <v>4015/4016</v>
      </c>
      <c r="L222" s="185" t="str">
        <f>VLOOKUP(A222,'Trips&amp;Operators'!$C$1:$G$99911,5,FALSE)</f>
        <v>FORTUNATO FRANK</v>
      </c>
      <c r="M222" s="6">
        <f t="shared" si="201"/>
        <v>5.6481481515220366E-3</v>
      </c>
      <c r="N222" s="7">
        <f t="shared" si="116"/>
        <v>8.1333333381917328</v>
      </c>
      <c r="O222" s="7"/>
      <c r="P222" s="7"/>
      <c r="Q222" s="22"/>
      <c r="R222" s="174"/>
      <c r="S222" s="221">
        <f t="shared" si="117"/>
        <v>1</v>
      </c>
      <c r="T222" s="174" t="str">
        <f t="shared" si="202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203"/>
        <v>https://d0f6bd738d7f1b3e5a7ca70fe4ff75f0.us-east-1.aws.found.io/app/kibana#/discover/Steve-Slow-Train-Analysis-(2080s-and-2083s)?_g=(refreshInterval:(display:Off,pause:!f,section:0,value:0),time:(from:'2017-11-09T04:41:11-0700',mode:absolute,to:'2017-11-09T06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04" t="str">
        <f>IF(AA222&lt;VLOOKUP(AG222,Variables!$AC$3:$AD$8,2,FALSE),"Y","N")</f>
        <v>Y</v>
      </c>
      <c r="X222" s="204">
        <f t="shared" si="136"/>
        <v>1</v>
      </c>
      <c r="Y222" s="204">
        <f t="shared" si="118"/>
        <v>2.3708999999999998</v>
      </c>
      <c r="Z222" s="204">
        <f t="shared" si="119"/>
        <v>8.3799999999999999E-2</v>
      </c>
      <c r="AA222" s="204">
        <f t="shared" si="204"/>
        <v>2.2870999999999997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205"/>
        <v>902</v>
      </c>
      <c r="AE222" s="77" t="str">
        <f t="shared" si="206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22" s="74" t="str">
        <f t="shared" si="207"/>
        <v>"C:\Program Files (x86)\AstroGrep\AstroGrep.exe" /e /r /s /spath="%USERPROFILE%\AppData\Local\Temp\OnboardLogs" /stypes="app*4015*20171109*" /stext=" 12:.+((SYSTEM_STATE.+slice.+state.+changed )|(ment ac)|(multiple cpu faults)|(system.+state.+changed )|(\[timeout)|(PRM\|1\|D)|(kpr)|(kdp)|(train st.+moving)|(\|lc)|(penalty))"</v>
      </c>
      <c r="AG222" s="182" t="str">
        <f t="shared" si="208"/>
        <v>Other</v>
      </c>
      <c r="AH222" s="78" t="str">
        <f t="shared" si="211"/>
        <v>"%USERPROFILE%\Documents\GitHub\eaglep3\Utilities\RefineRTDCRunTimes.py" --tripid 902-09 --locoid 4015 --swversion DE.1.0.9.0 --startMP 300:23709 --initTime 2017-11-09T05:41:11 --startdatetime 2017-11-09T05:45:14 --delay 83 --endMP 204:838 --enddatetime 2017-11-09T05:53:22 --enforcementcount 0 &gt;&gt;%USERPROFILE%\Documents\GitHub\eaglep3-reporting\EC\2017-11-09-refined-times.txt</v>
      </c>
      <c r="AI222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{"issue":{"subject":"","project_id":79,"tracker_id":40,"status_id":1,"priority_id":2,"assigned_to_id":338,"start_date":"2017-11-09","description":"","custom_fields":[{"id":1,"name":"Subdivision","value":"Other"},{"id":4,"name":"Milepost","value":"0.0838"},{"id":17,"name":"Train ID","value":"902-09"},{"id":16,"name":"Locomotive ID","value":"4015"},{"id":130,"name":"Impact","value":""},{"id":150,"name":"Time of Event (Mountain Time)","value":"05:53:22"},{"id":151,"name":"Denver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212"/>
        <v>start /low /b %USERPROFILE%\Documents\GitHub\eaglep3\Utilities\DownloadLogsFromS3.py --loco 4015 --day 2017-11-09</v>
      </c>
      <c r="AN222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12:53:22"},{"id":29,"name":"Sharepoint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213"/>
        <v>https://d0f6bd738d7f1b3e5a7ca70fe4ff75f0.us-east-1.aws.found.io/app/kibana#/discover/Steve-Slow-Train-Analysis-(2080s-and-2083s)?_g=(refreshInterval:(display:Off,pause:!f,section:0,value:0),time:(from:'2017-11-09T04:41:11-0700',mode:absolute,to:'2017-11-09T06:53:22-0700'))&amp;_a=(columns:!('Message%20ID',Summary),filters:!(),index:'emp_*',interval:auto,query:(query_string:(analyze_wildcard:!t,query:'%22rtdc.l.rtdc.4015%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730</v>
      </c>
      <c r="B223" s="7">
        <v>4054</v>
      </c>
      <c r="C223" s="21" t="s">
        <v>192</v>
      </c>
      <c r="D223" s="21" t="s">
        <v>1079</v>
      </c>
      <c r="E223" s="13">
        <v>43048.353263888886</v>
      </c>
      <c r="F223" s="13">
        <v>43048.356458333335</v>
      </c>
      <c r="G223" s="7">
        <v>47</v>
      </c>
      <c r="H223" s="21" t="s">
        <v>1080</v>
      </c>
      <c r="I223" s="13">
        <v>43048.364201388889</v>
      </c>
      <c r="J223" s="7">
        <v>0</v>
      </c>
      <c r="K223" s="89" t="str">
        <f t="shared" si="200"/>
        <v>4053/4054</v>
      </c>
      <c r="L223" s="185" t="str">
        <f>VLOOKUP(A223,'Trips&amp;Operators'!$C$1:$G$99911,5,FALSE)</f>
        <v>HUFFSMITH MONTY</v>
      </c>
      <c r="M223" s="6">
        <f t="shared" si="201"/>
        <v>7.7430555538740009E-3</v>
      </c>
      <c r="N223" s="7">
        <f t="shared" ref="N223:N237" si="214">24*60*SUM($M223:$M223)</f>
        <v>11.149999997578561</v>
      </c>
      <c r="O223" s="7"/>
      <c r="P223" s="7"/>
      <c r="Q223" s="22"/>
      <c r="R223" s="174"/>
      <c r="S223" s="221">
        <f t="shared" ref="S223:S237" si="215">1/IF(AG223="EC",12,1)*SUM(U223:U223)</f>
        <v>1</v>
      </c>
      <c r="T223" s="174" t="str">
        <f t="shared" si="202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203"/>
        <v>https://d0f6bd738d7f1b3e5a7ca70fe4ff75f0.us-east-1.aws.found.io/app/kibana#/discover/Steve-Slow-Train-Analysis-(2080s-and-2083s)?_g=(refreshInterval:(display:Off,pause:!f,section:0,value:0),time:(from:'2017-11-09T07:28:42-0700',mode:absolute,to:'2017-11-09T09:44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204" t="str">
        <f>IF(AA223&lt;VLOOKUP(AG223,Variables!$AC$3:$AD$8,2,FALSE),"Y","N")</f>
        <v>Y</v>
      </c>
      <c r="X223" s="204">
        <f t="shared" si="136"/>
        <v>1</v>
      </c>
      <c r="Y223" s="204">
        <f t="shared" si="118"/>
        <v>4.2099999999999999E-2</v>
      </c>
      <c r="Z223" s="204">
        <f t="shared" si="119"/>
        <v>2.4232999999999998</v>
      </c>
      <c r="AA223" s="204">
        <f t="shared" si="204"/>
        <v>2.3811999999999998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205"/>
        <v>903</v>
      </c>
      <c r="AE223" s="77" t="str">
        <f t="shared" si="206"/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AF223" s="74" t="str">
        <f t="shared" si="207"/>
        <v>"C:\Program Files (x86)\AstroGrep\AstroGrep.exe" /e /r /s /spath="%USERPROFILE%\AppData\Local\Temp\OnboardLogs" /stypes="app*4054*20171109*" /stext=" 15:.+((SYSTEM_STATE.+slice.+state.+changed )|(ment ac)|(multiple cpu faults)|(system.+state.+changed )|(\[timeout)|(PRM\|1\|D)|(kpr)|(kdp)|(train st.+moving)|(\|lc)|(penalty))"</v>
      </c>
      <c r="AG223" s="182" t="str">
        <f t="shared" si="208"/>
        <v>Other</v>
      </c>
      <c r="AH223" s="78" t="str">
        <f t="shared" si="211"/>
        <v>"%USERPROFILE%\Documents\GitHub\eaglep3\Utilities\RefineRTDCRunTimes.py" --tripid 903-09 --locoid 4054 --swversion DE.1.0.9.0 --startMP 204:421 --initTime 2017-11-09T08:28:42 --startdatetime 2017-11-09T08:33:18 --delay 47 --endMP 300:24233 --enddatetime 2017-11-09T08:44:27 --enforcementcount 0 &gt;&gt;%USERPROFILE%\Documents\GitHub\eaglep3-reporting\EC\2017-11-09-refined-times.txt</v>
      </c>
      <c r="AI223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{"issue":{"subject":"","project_id":79,"tracker_id":40,"status_id":1,"priority_id":2,"assigned_to_id":338,"start_date":"2017-11-09","description":"","custom_fields":[{"id":1,"name":"Subdivision","value":"Other"},{"id":4,"name":"Milepost","value":"2.4233"},{"id":17,"name":"Train ID","value":"903-09"},{"id":16,"name":"Locomotive ID","value":"4054"},{"id":130,"name":"Impact","value":""},{"id":150,"name":"Time of Event (Mountain Time)","value":"08:44:27"},{"id":151,"name":"Denver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212"/>
        <v>start /low /b %USERPROFILE%\Documents\GitHub\eaglep3\Utilities\DownloadLogsFromS3.py --loco 4054 --day 2017-11-09</v>
      </c>
      <c r="AN223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15:44:27"},{"id":29,"name":"Sharepoint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213"/>
        <v>https://d0f6bd738d7f1b3e5a7ca70fe4ff75f0.us-east-1.aws.found.io/app/kibana#/discover/Steve-Slow-Train-Analysis-(2080s-and-2083s)?_g=(refreshInterval:(display:Off,pause:!f,section:0,value:0),time:(from:'2017-11-09T07:28:42-0700',mode:absolute,to:'2017-11-09T09:44:27-0700'))&amp;_a=(columns:!('Message%20ID',Summary),filters:!(),index:'emp_*',interval:auto,query:(query_string:(analyze_wildcard:!t,query:'%22rtdc.l.rtdc.4054%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799</v>
      </c>
      <c r="B224" s="7">
        <v>4053</v>
      </c>
      <c r="C224" s="21" t="s">
        <v>192</v>
      </c>
      <c r="D224" s="21" t="s">
        <v>1081</v>
      </c>
      <c r="E224" s="13">
        <v>43048.632962962962</v>
      </c>
      <c r="F224" s="13">
        <v>43048.636689814812</v>
      </c>
      <c r="G224" s="7">
        <v>157</v>
      </c>
      <c r="H224" s="21" t="s">
        <v>1082</v>
      </c>
      <c r="I224" s="13">
        <v>43048.642233796294</v>
      </c>
      <c r="J224" s="7">
        <v>0</v>
      </c>
      <c r="K224" s="89" t="str">
        <f t="shared" si="200"/>
        <v>4053/4054</v>
      </c>
      <c r="L224" s="185" t="str">
        <f>VLOOKUP(A224,'Trips&amp;Operators'!$C$1:$G$99911,5,FALSE)</f>
        <v>ZEWDU DEREJE</v>
      </c>
      <c r="M224" s="6">
        <f t="shared" si="201"/>
        <v>5.543981482333038E-3</v>
      </c>
      <c r="N224" s="7">
        <f t="shared" si="214"/>
        <v>7.9833333345595747</v>
      </c>
      <c r="O224" s="7"/>
      <c r="P224" s="7"/>
      <c r="Q224" s="22"/>
      <c r="R224" s="174"/>
      <c r="S224" s="221">
        <f t="shared" si="215"/>
        <v>1</v>
      </c>
      <c r="T224" s="174" t="str">
        <f t="shared" si="202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203"/>
        <v>https://d0f6bd738d7f1b3e5a7ca70fe4ff75f0.us-east-1.aws.found.io/app/kibana#/discover/Steve-Slow-Train-Analysis-(2080s-and-2083s)?_g=(refreshInterval:(display:Off,pause:!f,section:0,value:0),time:(from:'2017-11-09T14:11:28-0700',mode:absolute,to:'2017-11-09T16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204" t="str">
        <f>IF(AA224&lt;VLOOKUP(AG224,Variables!$AC$3:$AD$8,2,FALSE),"Y","N")</f>
        <v>Y</v>
      </c>
      <c r="X224" s="204">
        <f t="shared" si="136"/>
        <v>1</v>
      </c>
      <c r="Y224" s="204">
        <f t="shared" si="118"/>
        <v>2.3654000000000002</v>
      </c>
      <c r="Z224" s="204">
        <f t="shared" si="119"/>
        <v>7.7499999999999999E-2</v>
      </c>
      <c r="AA224" s="204">
        <f t="shared" si="204"/>
        <v>2.2879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205"/>
        <v>904</v>
      </c>
      <c r="AE224" s="77" t="str">
        <f t="shared" si="206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224" s="74" t="str">
        <f t="shared" si="207"/>
        <v>"C:\Program Files (x86)\AstroGrep\AstroGrep.exe" /e /r /s /spath="%USERPROFILE%\AppData\Local\Temp\OnboardLogs" /stypes="app*4053*20171109*" /stext=" 22:.+((SYSTEM_STATE.+slice.+state.+changed )|(ment ac)|(multiple cpu faults)|(system.+state.+changed )|(\[timeout)|(PRM\|1\|D)|(kpr)|(kdp)|(train st.+moving)|(\|lc)|(penalty))"</v>
      </c>
      <c r="AG224" s="182" t="str">
        <f t="shared" si="208"/>
        <v>Other</v>
      </c>
      <c r="AH224" s="78" t="str">
        <f t="shared" si="211"/>
        <v>"%USERPROFILE%\Documents\GitHub\eaglep3\Utilities\RefineRTDCRunTimes.py" --tripid 904-09 --locoid 4053 --swversion DE.1.0.9.0 --startMP 300:23654 --initTime 2017-11-09T15:11:28 --startdatetime 2017-11-09T15:16:50 --delay 157 --endMP 204:775 --enddatetime 2017-11-09T15:24:49 --enforcementcount 0 &gt;&gt;%USERPROFILE%\Documents\GitHub\eaglep3-reporting\EC\2017-11-09-refined-times.txt</v>
      </c>
      <c r="AI224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{"issue":{"subject":"","project_id":79,"tracker_id":40,"status_id":1,"priority_id":2,"assigned_to_id":338,"start_date":"2017-11-09","description":"","custom_fields":[{"id":1,"name":"Subdivision","value":"Other"},{"id":4,"name":"Milepost","value":"0.0775"},{"id":17,"name":"Train ID","value":"904-09"},{"id":16,"name":"Locomotive ID","value":"4053"},{"id":130,"name":"Impact","value":""},{"id":150,"name":"Time of Event (Mountain Time)","value":"15:24:49"},{"id":151,"name":"Denver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212"/>
        <v>start /low /b %USERPROFILE%\Documents\GitHub\eaglep3\Utilities\DownloadLogsFromS3.py --loco 4053 --day 2017-11-09</v>
      </c>
      <c r="AN224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213"/>
        <v>https://d0f6bd738d7f1b3e5a7ca70fe4ff75f0.us-east-1.aws.found.io/app/kibana#/discover/Steve-Slow-Train-Analysis-(2080s-and-2083s)?_g=(refreshInterval:(display:Off,pause:!f,section:0,value:0),time:(from:'2017-11-09T14:11:28-0700',mode:absolute,to:'2017-11-09T16:24:49-0700'))&amp;_a=(columns:!('Message%20ID',Summary),filters:!(),index:'emp_*',interval:auto,query:(query_string:(analyze_wildcard:!t,query:'%22rtdc.l.rtdc.4053%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851</v>
      </c>
      <c r="B225" s="7">
        <v>4053</v>
      </c>
      <c r="C225" s="21" t="s">
        <v>192</v>
      </c>
      <c r="D225" s="21" t="s">
        <v>1083</v>
      </c>
      <c r="E225" s="13">
        <v>43048.789652777778</v>
      </c>
      <c r="F225" s="13">
        <v>43048.791296296295</v>
      </c>
      <c r="G225" s="7">
        <v>63</v>
      </c>
      <c r="H225" s="21" t="s">
        <v>1084</v>
      </c>
      <c r="I225" s="13">
        <v>43048.799826388888</v>
      </c>
      <c r="J225" s="7">
        <v>0</v>
      </c>
      <c r="K225" s="89" t="str">
        <f t="shared" si="200"/>
        <v>4053/4054</v>
      </c>
      <c r="L225" s="185" t="str">
        <f>VLOOKUP(A225,'Trips&amp;Operators'!$C$1:$G$99911,5,FALSE)</f>
        <v>ZEWDU DEREJE</v>
      </c>
      <c r="M225" s="6">
        <f t="shared" si="201"/>
        <v>8.5300925929914229E-3</v>
      </c>
      <c r="N225" s="7">
        <f t="shared" si="214"/>
        <v>12.283333333907649</v>
      </c>
      <c r="O225" s="7"/>
      <c r="P225" s="7"/>
      <c r="Q225" s="22"/>
      <c r="R225" s="174"/>
      <c r="S225" s="221">
        <f t="shared" si="215"/>
        <v>0</v>
      </c>
      <c r="T225" s="174" t="str">
        <f t="shared" si="202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203"/>
        <v>https://d0f6bd738d7f1b3e5a7ca70fe4ff75f0.us-east-1.aws.found.io/app/kibana#/discover/Steve-Slow-Train-Analysis-(2080s-and-2083s)?_g=(refreshInterval:(display:Off,pause:!f,section:0,value:0),time:(from:'2017-11-09T17:57:06-0700',mode:absolute,to:'2017-11-09T20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204" t="str">
        <f>IF(AA225&lt;VLOOKUP(AG225,Variables!$AC$3:$AD$8,2,FALSE),"Y","N")</f>
        <v>Y</v>
      </c>
      <c r="X225" s="204">
        <f t="shared" si="136"/>
        <v>2</v>
      </c>
      <c r="Y225" s="204">
        <f t="shared" si="118"/>
        <v>5.87</v>
      </c>
      <c r="Z225" s="204">
        <f t="shared" si="119"/>
        <v>2.8788999999999998</v>
      </c>
      <c r="AA225" s="204">
        <f t="shared" si="204"/>
        <v>2.9911000000000003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205"/>
        <v>906</v>
      </c>
      <c r="AE225" s="77" t="str">
        <f t="shared" si="206"/>
        <v>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 &amp; aws s3 cp s3://rtdc.mdm.uploadarchive.raw/RTDC4053/ "%USERPROFILE%\AppData\Local\Temp\OnboardLogs"\RTDC4053\2017-11-10 --exclude "*" --recursive --include "*20171110*" &amp; "%USERPROFILE%\Documents\GitHub\mrs-test-scripts\Headless Mode &amp; Sideloading\WalkAndUnGZ.bat" "%USERPROFILE%\AppData\Local\Temp\OnboardLogs"\RTDC4053\2017-11-10</v>
      </c>
      <c r="AF225" s="74" t="str">
        <f t="shared" si="207"/>
        <v>"C:\Program Files (x86)\AstroGrep\AstroGrep.exe" /e /r /s /spath="%USERPROFILE%\AppData\Local\Temp\OnboardLogs" /stypes="app*4053*20171110*" /stext=" 02:.+((SYSTEM_STATE.+slice.+state.+changed )|(ment ac)|(multiple cpu faults)|(system.+state.+changed )|(\[timeout)|(PRM\|1\|D)|(kpr)|(kdp)|(train st.+moving)|(\|lc)|(penalty))"</v>
      </c>
      <c r="AG225" s="182" t="str">
        <f t="shared" si="208"/>
        <v>Other</v>
      </c>
      <c r="AH225" s="78" t="str">
        <f t="shared" si="211"/>
        <v>"%USERPROFILE%\Documents\GitHub\eaglep3\Utilities\RefineRTDCRunTimes.py" --tripid 906-09 --locoid 4053 --swversion DE.1.0.9.0 --startMP 300:58700 --initTime 2017-11-09T18:57:06 --startdatetime 2017-11-09T18:59:28 --delay 63 --endMP 300:28789 --enddatetime 2017-11-09T19:11:45 --enforcementcount 0 &gt;&gt;%USERPROFILE%\Documents\GitHub\eaglep3-reporting\EC\2017-11-09-refined-times.txt</v>
      </c>
      <c r="AI225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{"issue":{"subject":"","project_id":79,"tracker_id":40,"status_id":1,"priority_id":2,"assigned_to_id":338,"start_date":"2017-11-09","description":"","custom_fields":[{"id":1,"name":"Subdivision","value":"Other"},{"id":4,"name":"Milepost","value":"2.8789"},{"id":17,"name":"Train ID","value":"906-09"},{"id":16,"name":"Locomotive ID","value":"4053"},{"id":130,"name":"Impact","value":""},{"id":150,"name":"Time of Event (Mountain Time)","value":"19:11:45"},{"id":151,"name":"Denver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212"/>
        <v>start /low /b %USERPROFILE%\Documents\GitHub\eaglep3\Utilities\DownloadLogsFromS3.py --loco 4053 --day 2017-11-09</v>
      </c>
      <c r="AN225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02:11:45"},{"id":29,"name":"Sharepoint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213"/>
        <v>https://d0f6bd738d7f1b3e5a7ca70fe4ff75f0.us-east-1.aws.found.io/app/kibana#/discover/Steve-Slow-Train-Analysis-(2080s-and-2083s)?_g=(refreshInterval:(display:Off,pause:!f,section:0,value:0),time:(from:'2017-11-09T17:57:06-0700',mode:absolute,to:'2017-11-09T20:11:45-0700'))&amp;_a=(columns:!('Message%20ID',Summary),filters:!(),index:'emp_*',interval:auto,query:(query_string:(analyze_wildcard:!t,query:'%22rtdc.l.rtdc.4053%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879</v>
      </c>
      <c r="B226" s="7">
        <v>4015</v>
      </c>
      <c r="C226" s="21" t="s">
        <v>192</v>
      </c>
      <c r="D226" s="21" t="s">
        <v>1085</v>
      </c>
      <c r="E226" s="13">
        <v>43048.976782407408</v>
      </c>
      <c r="F226" s="13">
        <v>43048.978460648148</v>
      </c>
      <c r="G226" s="7">
        <v>71</v>
      </c>
      <c r="H226" s="21" t="s">
        <v>1086</v>
      </c>
      <c r="I226" s="13">
        <v>43048.989641203705</v>
      </c>
      <c r="J226" s="7">
        <v>0</v>
      </c>
      <c r="K226" s="89" t="str">
        <f t="shared" si="200"/>
        <v>4015/4016</v>
      </c>
      <c r="L226" s="185" t="str">
        <f>VLOOKUP(A226,'Trips&amp;Operators'!$C$1:$G$99911,5,FALSE)</f>
        <v>ZEWDU DEREJE</v>
      </c>
      <c r="M226" s="6">
        <f t="shared" si="201"/>
        <v>1.1180555557075422E-2</v>
      </c>
      <c r="N226" s="7">
        <f t="shared" si="214"/>
        <v>16.100000002188608</v>
      </c>
      <c r="O226" s="7"/>
      <c r="P226" s="7"/>
      <c r="Q226" s="22"/>
      <c r="R226" s="174"/>
      <c r="S226" s="221">
        <f t="shared" si="215"/>
        <v>0</v>
      </c>
      <c r="T226" s="174" t="str">
        <f t="shared" si="202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203"/>
        <v>https://d0f6bd738d7f1b3e5a7ca70fe4ff75f0.us-east-1.aws.found.io/app/kibana#/discover/Steve-Slow-Train-Analysis-(2080s-and-2083s)?_g=(refreshInterval:(display:Off,pause:!f,section:0,value:0),time:(from:'2017-11-09T22:26:34-0700',mode:absolute,to:'2017-11-10T00:45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04" t="str">
        <f>IF(AA226&lt;VLOOKUP(AG226,Variables!$AC$3:$AD$8,2,FALSE),"Y","N")</f>
        <v>Y</v>
      </c>
      <c r="X226" s="204">
        <f t="shared" si="136"/>
        <v>2</v>
      </c>
      <c r="Y226" s="204">
        <f t="shared" ref="Y226:Y237" si="216">RIGHT(D226,LEN(D226)-4)/10000</f>
        <v>5.8686999999999996</v>
      </c>
      <c r="Z226" s="204">
        <f t="shared" ref="Z226:Z237" si="217">RIGHT(H226,LEN(H226)-4)/10000</f>
        <v>2.8772000000000002</v>
      </c>
      <c r="AA226" s="204">
        <f t="shared" si="204"/>
        <v>2.9914999999999994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205"/>
        <v>908</v>
      </c>
      <c r="AE226" s="77" t="str">
        <f t="shared" si="206"/>
        <v>aws s3 cp s3://rtdc.mdm.uploadarchive.raw/RTDC4015/ "%USERPROFILE%\AppData\Local\Temp\OnboardLogs"\RTDC4015\2017-11-09 --exclude "*" --recursive --include "*20171109*" &amp; "%USERPROFILE%\Documents\GitHub\mrs-test-scripts\Headless Mode &amp; Sideloading\WalkAndUnGZ.bat" "%USERPROFILE%\AppData\Local\Temp\OnboardLogs"\RTDC4015\2017-11-09 &amp; aws s3 cp s3://rtdc.mdm.uploadarchive.raw/RTDC4015/ "%USERPROFILE%\AppData\Local\Temp\OnboardLogs"\RTDC4015\2017-11-10 --exclude "*" --recursive --include "*20171110*" &amp; "%USERPROFILE%\Documents\GitHub\mrs-test-scripts\Headless Mode &amp; Sideloading\WalkAndUnGZ.bat" "%USERPROFILE%\AppData\Local\Temp\OnboardLogs"\RTDC4015\2017-11-10</v>
      </c>
      <c r="AF226" s="74" t="str">
        <f t="shared" si="207"/>
        <v>"C:\Program Files (x86)\AstroGrep\AstroGrep.exe" /e /r /s /spath="%USERPROFILE%\AppData\Local\Temp\OnboardLogs" /stypes="app*4015*20171110*" /stext=" 06:.+((SYSTEM_STATE.+slice.+state.+changed )|(ment ac)|(multiple cpu faults)|(system.+state.+changed )|(\[timeout)|(PRM\|1\|D)|(kpr)|(kdp)|(train st.+moving)|(\|lc)|(penalty))"</v>
      </c>
      <c r="AG226" s="182" t="str">
        <f t="shared" si="208"/>
        <v>Other</v>
      </c>
      <c r="AH226" s="78" t="str">
        <f t="shared" si="211"/>
        <v>"%USERPROFILE%\Documents\GitHub\eaglep3\Utilities\RefineRTDCRunTimes.py" --tripid 908-09 --locoid 4015 --swversion DE.1.0.9.0 --startMP 300:58687 --initTime 2017-11-09T23:26:34 --startdatetime 2017-11-09T23:28:59 --delay 71 --endMP 300:28772 --enddatetime 2017-11-09T23:45:05 --enforcementcount 0 &gt;&gt;%USERPROFILE%\Documents\GitHub\eaglep3-reporting\EC\2017-11-09-refined-times.txt</v>
      </c>
      <c r="AI226" s="96" t="str">
        <f t="shared" si="209"/>
        <v>echo {"issue":{"subject":"","project_id":79,"tracker_id":40,"status_id":1,"priority_id":2,"assigned_to_id":338,"start_date":"2017-11-09","description":"","custom_fields":[{"id":1,"name":"Subdivision","value":"Other"},{"id":4,"name":"Milepost","value":"2.8772"},{"id":17,"name":"Train ID","value":"908-09"},{"id":16,"name":"Locomotive ID","value":"4015"},{"id":130,"name":"Impact","value":""},{"id":150,"name":"Time of Event (Mountain Time)","value":"23:45:05"},{"id":151,"name":"Denver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212"/>
        <v>start /low /b %USERPROFILE%\Documents\GitHub\eaglep3\Utilities\DownloadLogsFromS3.py --loco 4015 --day 2017-11-09</v>
      </c>
      <c r="AN226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06:45:05"},{"id":29,"name":"Sharepoint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213"/>
        <v>https://d0f6bd738d7f1b3e5a7ca70fe4ff75f0.us-east-1.aws.found.io/app/kibana#/discover/Steve-Slow-Train-Analysis-(2080s-and-2083s)?_g=(refreshInterval:(display:Off,pause:!f,section:0,value:0),time:(from:'2017-11-09T22:26:34-0700',mode:absolute,to:'2017-11-10T00:45:05-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664</v>
      </c>
      <c r="B227" s="7">
        <v>4064</v>
      </c>
      <c r="C227" s="21" t="s">
        <v>192</v>
      </c>
      <c r="D227" s="21" t="s">
        <v>1002</v>
      </c>
      <c r="E227" s="13">
        <v>43048.128611111111</v>
      </c>
      <c r="F227" s="13">
        <v>43048.137708333335</v>
      </c>
      <c r="G227" s="7">
        <v>340</v>
      </c>
      <c r="H227" s="21" t="s">
        <v>1003</v>
      </c>
      <c r="I227" s="13">
        <v>43048.139270833337</v>
      </c>
      <c r="J227" s="7">
        <v>0</v>
      </c>
      <c r="K227" s="89" t="str">
        <f t="shared" si="200"/>
        <v>4063/4064</v>
      </c>
      <c r="L227" s="185" t="str">
        <f>VLOOKUP(A227,'Trips&amp;Operators'!$C$1:$G$99911,5,FALSE)</f>
        <v>DE LA ROSA ALEX</v>
      </c>
      <c r="M227" s="6">
        <f t="shared" si="201"/>
        <v>1.5625000014551915E-3</v>
      </c>
      <c r="N227" s="7">
        <f t="shared" si="214"/>
        <v>2.2500000020954758</v>
      </c>
      <c r="O227" s="7"/>
      <c r="P227" s="7"/>
      <c r="Q227" s="22"/>
      <c r="R227" s="174"/>
      <c r="S227" s="221">
        <f t="shared" si="215"/>
        <v>0</v>
      </c>
      <c r="T227" s="174" t="str">
        <f t="shared" si="202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203"/>
        <v>https://d0f6bd738d7f1b3e5a7ca70fe4ff75f0.us-east-1.aws.found.io/app/kibana#/discover/Steve-Slow-Train-Analysis-(2080s-and-2083s)?_g=(refreshInterval:(display:Off,pause:!f,section:0,value:0),time:(from:'2017-11-09T02:05:12-0700',mode:absolute,to:'2017-11-09T04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7" s="204" t="str">
        <f>IF(AA227&lt;VLOOKUP(AG227,Variables!$AC$3:$AD$8,2,FALSE),"Y","N")</f>
        <v>Y</v>
      </c>
      <c r="X227" s="204">
        <f t="shared" si="136"/>
        <v>-857</v>
      </c>
      <c r="Y227" s="204">
        <f t="shared" si="216"/>
        <v>0.04</v>
      </c>
      <c r="Z227" s="204">
        <f t="shared" si="217"/>
        <v>0.34910000000000002</v>
      </c>
      <c r="AA227" s="204">
        <f t="shared" si="204"/>
        <v>0.30910000000000004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205"/>
        <v>51</v>
      </c>
      <c r="AE227" s="77" t="str">
        <f t="shared" si="206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227" s="74" t="str">
        <f t="shared" si="207"/>
        <v>"C:\Program Files (x86)\AstroGrep\AstroGrep.exe" /e /r /s /spath="%USERPROFILE%\AppData\Local\Temp\OnboardLogs" /stypes="app*4064*20171109*" /stext=" 10:.+((SYSTEM_STATE.+slice.+state.+changed )|(ment ac)|(multiple cpu faults)|(system.+state.+changed )|(\[timeout)|(PRM\|1\|D)|(kpr)|(kdp)|(train st.+moving)|(\|lc)|(penalty))"</v>
      </c>
      <c r="AG227" s="182" t="str">
        <f t="shared" si="208"/>
        <v>Shuttle/Test</v>
      </c>
      <c r="AH227" s="78" t="str">
        <f t="shared" si="211"/>
        <v>"%USERPROFILE%\Documents\GitHub\eaglep3\Utilities\RefineRTDCRunTimes.py" --tripid 51-09 --locoid 4064 --swversion DE.1.0.9.0 --startMP 204:400 --initTime 2017-11-09T03:05:12 --startdatetime 2017-11-09T03:18:18 --delay 340 --endMP 204:3491 --enddatetime 2017-11-09T03:20:33 --enforcementcount 0 &gt;&gt;%USERPROFILE%\Documents\GitHub\eaglep3-reporting\EC\2017-11-09-refined-times.txt</v>
      </c>
      <c r="AI227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0.3491"},{"id":17,"name":"Train ID","value":"51-09"},{"id":16,"name":"Locomotive ID","value":"4064"},{"id":130,"name":"Impact","value":""},{"id":150,"name":"Time of Event (Mountain Time)","value":"03:20:33"},{"id":151,"name":"Denver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212"/>
        <v>start /low /b %USERPROFILE%\Documents\GitHub\eaglep3\Utilities\DownloadLogsFromS3.py --loco 4064 --day 2017-11-09</v>
      </c>
      <c r="AN227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213"/>
        <v>https://d0f6bd738d7f1b3e5a7ca70fe4ff75f0.us-east-1.aws.found.io/app/kibana#/discover/Steve-Slow-Train-Analysis-(2080s-and-2083s)?_g=(refreshInterval:(display:Off,pause:!f,section:0,value:0),time:(from:'2017-11-09T02:05:12-0700',mode:absolute,to:'2017-11-09T04:20:33-0700'))&amp;_a=(columns:!('Message%20ID',Summary),filters:!(),index:'emp_*',interval:auto,query:(query_string:(analyze_wildcard:!t,query:'%22rtdc.l.rtdc.4064%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664</v>
      </c>
      <c r="B228" s="7">
        <v>4011</v>
      </c>
      <c r="C228" s="21" t="s">
        <v>192</v>
      </c>
      <c r="D228" s="21" t="s">
        <v>1004</v>
      </c>
      <c r="E228" s="13">
        <v>43048.443055555559</v>
      </c>
      <c r="F228" s="13">
        <v>43048.448379629626</v>
      </c>
      <c r="G228" s="7">
        <v>222</v>
      </c>
      <c r="H228" s="21" t="s">
        <v>1005</v>
      </c>
      <c r="I228" s="13">
        <v>43048.453750000001</v>
      </c>
      <c r="J228" s="7">
        <v>0</v>
      </c>
      <c r="K228" s="89" t="str">
        <f t="shared" si="200"/>
        <v>4011/4012</v>
      </c>
      <c r="L228" s="185" t="str">
        <f>VLOOKUP(A228,'Trips&amp;Operators'!$C$1:$G$99911,5,FALSE)</f>
        <v>DE LA ROSA ALEX</v>
      </c>
      <c r="M228" s="6">
        <f t="shared" si="201"/>
        <v>5.3703703742939979E-3</v>
      </c>
      <c r="N228" s="7">
        <f t="shared" si="214"/>
        <v>7.733333338983357</v>
      </c>
      <c r="O228" s="7"/>
      <c r="P228" s="7"/>
      <c r="Q228" s="22"/>
      <c r="R228" s="174"/>
      <c r="S228" s="221">
        <f t="shared" si="215"/>
        <v>0</v>
      </c>
      <c r="T228" s="174" t="str">
        <f t="shared" si="202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203"/>
        <v>https://d0f6bd738d7f1b3e5a7ca70fe4ff75f0.us-east-1.aws.found.io/app/kibana#/discover/Steve-Slow-Train-Analysis-(2080s-and-2083s)?_g=(refreshInterval:(display:Off,pause:!f,section:0,value:0),time:(from:'2017-11-09T09:38:00-0700',mode:absolute,to:'2017-11-09T11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204" t="str">
        <f>IF(AA228&lt;VLOOKUP(AG228,Variables!$AC$3:$AD$8,2,FALSE),"Y","N")</f>
        <v>Y</v>
      </c>
      <c r="X228" s="204">
        <f t="shared" si="136"/>
        <v>0</v>
      </c>
      <c r="Y228" s="204">
        <f t="shared" si="216"/>
        <v>2.1991999999999998</v>
      </c>
      <c r="Z228" s="204">
        <f t="shared" si="217"/>
        <v>8.0999999999999996E-3</v>
      </c>
      <c r="AA228" s="204">
        <f t="shared" si="204"/>
        <v>2.1910999999999996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205"/>
        <v>51</v>
      </c>
      <c r="AE228" s="77" t="str">
        <f t="shared" si="206"/>
        <v>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 &amp; aws s3 cp s3://rtdc.mdm.uploadarchive.raw/RTDC4011/ "%USERPROFILE%\AppData\Local\Temp\OnboardLogs"\RTDC4011\2017-11-10 --exclude "*" --recursive --include "*20171110*" &amp; "%USERPROFILE%\Documents\GitHub\mrs-test-scripts\Headless Mode &amp; Sideloading\WalkAndUnGZ.bat" "%USERPROFILE%\AppData\Local\Temp\OnboardLogs"\RTDC4011\2017-11-10</v>
      </c>
      <c r="AF228" s="74" t="str">
        <f t="shared" si="207"/>
        <v>"C:\Program Files (x86)\AstroGrep\AstroGrep.exe" /e /r /s /spath="%USERPROFILE%\AppData\Local\Temp\OnboardLogs" /stypes="app*4011*20171109*" /stext=" 17:.+((SYSTEM_STATE.+slice.+state.+changed )|(ment ac)|(multiple cpu faults)|(system.+state.+changed )|(\[timeout)|(PRM\|1\|D)|(kpr)|(kdp)|(train st.+moving)|(\|lc)|(penalty))"</v>
      </c>
      <c r="AG228" s="182" t="str">
        <f t="shared" si="208"/>
        <v>Shuttle/Test</v>
      </c>
      <c r="AH228" s="78" t="str">
        <f t="shared" si="211"/>
        <v>"%USERPROFILE%\Documents\GitHub\eaglep3\Utilities\RefineRTDCRunTimes.py" --tripid 51-09 --locoid 4011 --swversion DE.1.0.9.0 --startMP 300:21992 --initTime 2017-11-09T10:38:00 --startdatetime 2017-11-09T10:45:40 --delay 222 --endMP 204:81 --enddatetime 2017-11-09T10:53:24 --enforcementcount 0 &gt;&gt;%USERPROFILE%\Documents\GitHub\eaglep3-reporting\EC\2017-11-09-refined-times.txt</v>
      </c>
      <c r="AI228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0.0081"},{"id":17,"name":"Train ID","value":"51-09"},{"id":16,"name":"Locomotive ID","value":"4011"},{"id":130,"name":"Impact","value":""},{"id":150,"name":"Time of Event (Mountain Time)","value":"10:53:24"},{"id":151,"name":"Denver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212"/>
        <v>start /low /b %USERPROFILE%\Documents\GitHub\eaglep3\Utilities\DownloadLogsFromS3.py --loco 4011 --day 2017-11-09</v>
      </c>
      <c r="AN228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17:53:24"},{"id":29,"name":"Sharepoint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213"/>
        <v>https://d0f6bd738d7f1b3e5a7ca70fe4ff75f0.us-east-1.aws.found.io/app/kibana#/discover/Steve-Slow-Train-Analysis-(2080s-and-2083s)?_g=(refreshInterval:(display:Off,pause:!f,section:0,value:0),time:(from:'2017-11-09T09:38:00-0700',mode:absolute,to:'2017-11-09T11:53:24-0700'))&amp;_a=(columns:!('Message%20ID',Summary),filters:!(),index:'emp_*',interval:auto,query:(query_string:(analyze_wildcard:!t,query:'%22rtdc.l.rtdc.4011%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666</v>
      </c>
      <c r="B229" s="7">
        <v>4063</v>
      </c>
      <c r="C229" s="21" t="s">
        <v>192</v>
      </c>
      <c r="D229" s="21" t="s">
        <v>1006</v>
      </c>
      <c r="E229" s="13">
        <v>43048.139988425923</v>
      </c>
      <c r="F229" s="13">
        <v>43048.144837962966</v>
      </c>
      <c r="G229" s="7">
        <v>61</v>
      </c>
      <c r="H229" s="21" t="s">
        <v>625</v>
      </c>
      <c r="I229" s="13">
        <v>43048.146273148152</v>
      </c>
      <c r="J229" s="7">
        <v>0</v>
      </c>
      <c r="K229" s="89" t="str">
        <f t="shared" si="200"/>
        <v>4063/4064</v>
      </c>
      <c r="L229" s="185" t="str">
        <f>VLOOKUP(A229,'Trips&amp;Operators'!$C$1:$G$99911,5,FALSE)</f>
        <v>DE LA ROSA ALEX</v>
      </c>
      <c r="M229" s="6">
        <f t="shared" si="201"/>
        <v>1.4351851859828457E-3</v>
      </c>
      <c r="N229" s="7">
        <f t="shared" si="214"/>
        <v>2.0666666678152978</v>
      </c>
      <c r="O229" s="7"/>
      <c r="P229" s="7"/>
      <c r="Q229" s="22"/>
      <c r="R229" s="174"/>
      <c r="S229" s="221">
        <f t="shared" si="215"/>
        <v>0</v>
      </c>
      <c r="T229" s="174" t="str">
        <f t="shared" si="202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203"/>
        <v>https://d0f6bd738d7f1b3e5a7ca70fe4ff75f0.us-east-1.aws.found.io/app/kibana#/discover/Steve-Slow-Train-Analysis-(2080s-and-2083s)?_g=(refreshInterval:(display:Off,pause:!f,section:0,value:0),time:(from:'2017-11-09T02:21:35-0700',mode:absolute,to:'2017-11-09T04:30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204" t="str">
        <f>IF(AA229&lt;VLOOKUP(AG229,Variables!$AC$3:$AD$8,2,FALSE),"Y","N")</f>
        <v>Y</v>
      </c>
      <c r="X229" s="204">
        <f t="shared" si="136"/>
        <v>1</v>
      </c>
      <c r="Y229" s="204">
        <f t="shared" si="216"/>
        <v>0.31630000000000003</v>
      </c>
      <c r="Z229" s="204">
        <f t="shared" si="217"/>
        <v>0.1171</v>
      </c>
      <c r="AA229" s="204">
        <f t="shared" si="204"/>
        <v>0.19920000000000004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205"/>
        <v>52</v>
      </c>
      <c r="AE229" s="77" t="str">
        <f t="shared" si="206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229" s="74" t="str">
        <f t="shared" si="207"/>
        <v>"C:\Program Files (x86)\AstroGrep\AstroGrep.exe" /e /r /s /spath="%USERPROFILE%\AppData\Local\Temp\OnboardLogs" /stypes="app*4063*20171109*" /stext=" 10:.+((SYSTEM_STATE.+slice.+state.+changed )|(ment ac)|(multiple cpu faults)|(system.+state.+changed )|(\[timeout)|(PRM\|1\|D)|(kpr)|(kdp)|(train st.+moving)|(\|lc)|(penalty))"</v>
      </c>
      <c r="AG229" s="182" t="str">
        <f t="shared" si="208"/>
        <v>Shuttle/Test</v>
      </c>
      <c r="AH229" s="78" t="str">
        <f t="shared" si="211"/>
        <v>"%USERPROFILE%\Documents\GitHub\eaglep3\Utilities\RefineRTDCRunTimes.py" --tripid 52-09 --locoid 4063 --swversion DE.1.0.9.0 --startMP 204:3163 --initTime 2017-11-09T03:21:35 --startdatetime 2017-11-09T03:28:34 --delay 61 --endMP 204:1171 --enddatetime 2017-11-09T03:30:38 --enforcementcount 0 &gt;&gt;%USERPROFILE%\Documents\GitHub\eaglep3-reporting\EC\2017-11-09-refined-times.txt</v>
      </c>
      <c r="AI229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0.1171"},{"id":17,"name":"Train ID","value":"52-09"},{"id":16,"name":"Locomotive ID","value":"4063"},{"id":130,"name":"Impact","value":""},{"id":150,"name":"Time of Event (Mountain Time)","value":"03:30:38"},{"id":151,"name":"Denver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212"/>
        <v>start /low /b %USERPROFILE%\Documents\GitHub\eaglep3\Utilities\DownloadLogsFromS3.py --loco 4063 --day 2017-11-09</v>
      </c>
      <c r="AN229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10:30:38"},{"id":29,"name":"Sharepoint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213"/>
        <v>https://d0f6bd738d7f1b3e5a7ca70fe4ff75f0.us-east-1.aws.found.io/app/kibana#/discover/Steve-Slow-Train-Analysis-(2080s-and-2083s)?_g=(refreshInterval:(display:Off,pause:!f,section:0,value:0),time:(from:'2017-11-09T02:21:35-0700',mode:absolute,to:'2017-11-09T04:30:38-0700'))&amp;_a=(columns:!('Message%20ID',Summary),filters:!(),index:'emp_*',interval:auto,query:(query_string:(analyze_wildcard:!t,query:'%22rtdc.l.rtdc.4063%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762</v>
      </c>
      <c r="B230" s="7">
        <v>4012</v>
      </c>
      <c r="C230" s="21" t="s">
        <v>192</v>
      </c>
      <c r="D230" s="21" t="s">
        <v>1007</v>
      </c>
      <c r="E230" s="13">
        <v>43048.474687499998</v>
      </c>
      <c r="F230" s="13">
        <v>43048.476122685184</v>
      </c>
      <c r="G230" s="7">
        <v>68</v>
      </c>
      <c r="H230" s="21" t="s">
        <v>1008</v>
      </c>
      <c r="I230" s="13">
        <v>43048.482893518521</v>
      </c>
      <c r="J230" s="7">
        <v>0</v>
      </c>
      <c r="K230" s="89" t="str">
        <f t="shared" si="200"/>
        <v>4011/4012</v>
      </c>
      <c r="L230" s="185" t="str">
        <f>VLOOKUP(A230,'Trips&amp;Operators'!$C$1:$G$99911,5,FALSE)</f>
        <v>BONDS REYNALDO</v>
      </c>
      <c r="M230" s="6">
        <f t="shared" si="201"/>
        <v>6.7708333372138441E-3</v>
      </c>
      <c r="N230" s="7">
        <f t="shared" si="214"/>
        <v>9.7500000055879354</v>
      </c>
      <c r="O230" s="7"/>
      <c r="P230" s="7"/>
      <c r="Q230" s="22"/>
      <c r="R230" s="174"/>
      <c r="S230" s="221">
        <f t="shared" si="215"/>
        <v>1</v>
      </c>
      <c r="T230" s="174" t="str">
        <f t="shared" si="202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203"/>
        <v>https://d0f6bd738d7f1b3e5a7ca70fe4ff75f0.us-east-1.aws.found.io/app/kibana#/discover/Steve-Slow-Train-Analysis-(2080s-and-2083s)?_g=(refreshInterval:(display:Off,pause:!f,section:0,value:0),time:(from:'2017-11-09T10:23:33-0700',mode:absolute,to:'2017-11-09T12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204" t="str">
        <f>IF(AA230&lt;VLOOKUP(AG230,Variables!$AC$3:$AD$8,2,FALSE),"Y","N")</f>
        <v>Y</v>
      </c>
      <c r="X230" s="204">
        <f t="shared" si="136"/>
        <v>1</v>
      </c>
      <c r="Y230" s="204">
        <f t="shared" si="216"/>
        <v>4.1000000000000002E-2</v>
      </c>
      <c r="Z230" s="204">
        <f t="shared" si="217"/>
        <v>2.4199000000000002</v>
      </c>
      <c r="AA230" s="204">
        <f t="shared" si="204"/>
        <v>2.3789000000000002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205"/>
        <v>53</v>
      </c>
      <c r="AE230" s="77" t="str">
        <f t="shared" si="206"/>
        <v>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 &amp; aws s3 cp s3://rtdc.mdm.uploadarchive.raw/RTDC4012/ "%USERPROFILE%\AppData\Local\Temp\OnboardLogs"\RTDC4012\2017-11-10 --exclude "*" --recursive --include "*20171110*" &amp; "%USERPROFILE%\Documents\GitHub\mrs-test-scripts\Headless Mode &amp; Sideloading\WalkAndUnGZ.bat" "%USERPROFILE%\AppData\Local\Temp\OnboardLogs"\RTDC4012\2017-11-10</v>
      </c>
      <c r="AF230" s="74" t="str">
        <f t="shared" si="207"/>
        <v>"C:\Program Files (x86)\AstroGrep\AstroGrep.exe" /e /r /s /spath="%USERPROFILE%\AppData\Local\Temp\OnboardLogs" /stypes="app*4012*20171109*" /stext=" 18:.+((SYSTEM_STATE.+slice.+state.+changed )|(ment ac)|(multiple cpu faults)|(system.+state.+changed )|(\[timeout)|(PRM\|1\|D)|(kpr)|(kdp)|(train st.+moving)|(\|lc)|(penalty))"</v>
      </c>
      <c r="AG230" s="182" t="str">
        <f t="shared" si="208"/>
        <v>Shuttle/Test</v>
      </c>
      <c r="AH230" s="78" t="str">
        <f t="shared" si="211"/>
        <v>"%USERPROFILE%\Documents\GitHub\eaglep3\Utilities\RefineRTDCRunTimes.py" --tripid 53-09 --locoid 4012 --swversion DE.1.0.9.0 --startMP 204:410 --initTime 2017-11-09T11:23:33 --startdatetime 2017-11-09T11:25:37 --delay 68 --endMP 300:24199 --enddatetime 2017-11-09T11:35:22 --enforcementcount 0 &gt;&gt;%USERPROFILE%\Documents\GitHub\eaglep3-reporting\EC\2017-11-09-refined-times.txt</v>
      </c>
      <c r="AI230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2.4199"},{"id":17,"name":"Train ID","value":"53-09"},{"id":16,"name":"Locomotive ID","value":"4012"},{"id":130,"name":"Impact","value":""},{"id":150,"name":"Time of Event (Mountain Time)","value":"11:35:22"},{"id":151,"name":"Denver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212"/>
        <v>start /low /b %USERPROFILE%\Documents\GitHub\eaglep3\Utilities\DownloadLogsFromS3.py --loco 4012 --day 2017-11-09</v>
      </c>
      <c r="AN230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213"/>
        <v>https://d0f6bd738d7f1b3e5a7ca70fe4ff75f0.us-east-1.aws.found.io/app/kibana#/discover/Steve-Slow-Train-Analysis-(2080s-and-2083s)?_g=(refreshInterval:(display:Off,pause:!f,section:0,value:0),time:(from:'2017-11-09T10:23:33-0700',mode:absolute,to:'2017-11-09T12:35:22-0700'))&amp;_a=(columns:!('Message%20ID',Summary),filters:!(),index:'emp_*',interval:auto,query:(query_string:(analyze_wildcard:!t,query:'%22rtdc.l.rtdc.4012%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812</v>
      </c>
      <c r="B231" s="7">
        <v>4008</v>
      </c>
      <c r="C231" s="21" t="s">
        <v>192</v>
      </c>
      <c r="D231" s="21" t="s">
        <v>1009</v>
      </c>
      <c r="E231" s="13">
        <v>43048.67759259259</v>
      </c>
      <c r="F231" s="13">
        <v>43048.679259259261</v>
      </c>
      <c r="G231" s="7">
        <v>62</v>
      </c>
      <c r="H231" s="21" t="s">
        <v>622</v>
      </c>
      <c r="I231" s="13">
        <v>43048.687349537038</v>
      </c>
      <c r="J231" s="7">
        <v>0</v>
      </c>
      <c r="K231" s="89" t="str">
        <f t="shared" si="200"/>
        <v>4007/4008</v>
      </c>
      <c r="L231" s="185" t="str">
        <f>VLOOKUP(A231,'Trips&amp;Operators'!$C$1:$G$99911,5,FALSE)</f>
        <v>DELGADO DIANAH</v>
      </c>
      <c r="M231" s="6">
        <f t="shared" si="201"/>
        <v>8.0902777772280388E-3</v>
      </c>
      <c r="N231" s="7">
        <f t="shared" si="214"/>
        <v>11.649999999208376</v>
      </c>
      <c r="O231" s="7"/>
      <c r="P231" s="7"/>
      <c r="Q231" s="22"/>
      <c r="R231" s="174"/>
      <c r="S231" s="221">
        <f t="shared" si="215"/>
        <v>0</v>
      </c>
      <c r="T231" s="174" t="str">
        <f t="shared" si="202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203"/>
        <v>https://d0f6bd738d7f1b3e5a7ca70fe4ff75f0.us-east-1.aws.found.io/app/kibana#/discover/Steve-Slow-Train-Analysis-(2080s-and-2083s)?_g=(refreshInterval:(display:Off,pause:!f,section:0,value:0),time:(from:'2017-11-09T15:15:44-0700',mode:absolute,to:'2017-11-09T17:29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1" s="204" t="str">
        <f>IF(AA231&lt;VLOOKUP(AG231,Variables!$AC$3:$AD$8,2,FALSE),"Y","N")</f>
        <v>Y</v>
      </c>
      <c r="X231" s="204">
        <f t="shared" ref="X231:X237" si="218">VALUE(LEFT(AD231,4))-VALUE(LEFT(AD230,4))</f>
        <v>15</v>
      </c>
      <c r="Y231" s="204">
        <f t="shared" si="216"/>
        <v>0.15079999999999999</v>
      </c>
      <c r="Z231" s="204">
        <f t="shared" si="217"/>
        <v>2.3308</v>
      </c>
      <c r="AA231" s="204">
        <f t="shared" si="204"/>
        <v>2.1800000000000002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205"/>
        <v>68</v>
      </c>
      <c r="AE231" s="77" t="str">
        <f t="shared" si="206"/>
        <v>aws s3 cp s3://rtdc.mdm.uploadarchive.raw/RTDC4008/ "%USERPROFILE%\AppData\Local\Temp\OnboardLogs"\RTDC4008\2017-11-09 --exclude "*" --recursive --include "*20171109*" &amp; "%USERPROFILE%\Documents\GitHub\mrs-test-scripts\Headless Mode &amp; Sideloading\WalkAndUnGZ.bat" "%USERPROFILE%\AppData\Local\Temp\OnboardLogs"\RTDC4008\2017-11-09 &amp; aws s3 cp s3://rtdc.mdm.uploadarchive.raw/RTDC4008/ "%USERPROFILE%\AppData\Local\Temp\OnboardLogs"\RTDC4008\2017-11-10 --exclude "*" --recursive --include "*20171110*" &amp; "%USERPROFILE%\Documents\GitHub\mrs-test-scripts\Headless Mode &amp; Sideloading\WalkAndUnGZ.bat" "%USERPROFILE%\AppData\Local\Temp\OnboardLogs"\RTDC4008\2017-11-10</v>
      </c>
      <c r="AF231" s="74" t="str">
        <f t="shared" si="207"/>
        <v>"C:\Program Files (x86)\AstroGrep\AstroGrep.exe" /e /r /s /spath="%USERPROFILE%\AppData\Local\Temp\OnboardLogs" /stypes="app*4008*20171109*" /stext=" 23:.+((SYSTEM_STATE.+slice.+state.+changed )|(ment ac)|(multiple cpu faults)|(system.+state.+changed )|(\[timeout)|(PRM\|1\|D)|(kpr)|(kdp)|(train st.+moving)|(\|lc)|(penalty))"</v>
      </c>
      <c r="AG231" s="182" t="str">
        <f t="shared" si="208"/>
        <v>Shuttle/Test</v>
      </c>
      <c r="AH231" s="78" t="str">
        <f t="shared" si="211"/>
        <v>"%USERPROFILE%\Documents\GitHub\eaglep3\Utilities\RefineRTDCRunTimes.py" --tripid 68-09 --locoid 4008 --swversion DE.1.0.9.0 --startMP 204:1508 --initTime 2017-11-09T16:15:44 --startdatetime 2017-11-09T16:18:08 --delay 62 --endMP 300:23308 --enddatetime 2017-11-09T16:29:47 --enforcementcount 0 &gt;&gt;%USERPROFILE%\Documents\GitHub\eaglep3-reporting\EC\2017-11-09-refined-times.txt</v>
      </c>
      <c r="AI231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2.3308"},{"id":17,"name":"Train ID","value":"68-09"},{"id":16,"name":"Locomotive ID","value":"4008"},{"id":130,"name":"Impact","value":""},{"id":150,"name":"Time of Event (Mountain Time)","value":"16:29:47"},{"id":151,"name":"Denver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212"/>
        <v>start /low /b %USERPROFILE%\Documents\GitHub\eaglep3\Utilities\DownloadLogsFromS3.py --loco 4008 --day 2017-11-09</v>
      </c>
      <c r="AN231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213"/>
        <v>https://d0f6bd738d7f1b3e5a7ca70fe4ff75f0.us-east-1.aws.found.io/app/kibana#/discover/Steve-Slow-Train-Analysis-(2080s-and-2083s)?_g=(refreshInterval:(display:Off,pause:!f,section:0,value:0),time:(from:'2017-11-09T15:15:44-0700',mode:absolute,to:'2017-11-09T17:29:47-0700'))&amp;_a=(columns:!('Message%20ID',Summary),filters:!(),index:'emp_*',interval:auto,query:(query_string:(analyze_wildcard:!t,query:'%22rtdc.l.rtdc.4008%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782</v>
      </c>
      <c r="B232" s="7">
        <v>4014</v>
      </c>
      <c r="C232" s="21" t="s">
        <v>192</v>
      </c>
      <c r="D232" s="21" t="s">
        <v>1010</v>
      </c>
      <c r="E232" s="13">
        <v>43048.601898148147</v>
      </c>
      <c r="F232" s="13">
        <v>43048.654490740744</v>
      </c>
      <c r="G232" s="7">
        <v>82</v>
      </c>
      <c r="H232" s="21" t="s">
        <v>1011</v>
      </c>
      <c r="I232" s="13">
        <v>43048.681342592594</v>
      </c>
      <c r="J232" s="7">
        <v>0</v>
      </c>
      <c r="K232" s="89" t="str">
        <f t="shared" si="200"/>
        <v>4013/4014</v>
      </c>
      <c r="L232" s="185" t="str">
        <f>VLOOKUP(A232,'Trips&amp;Operators'!$C$1:$G$99911,5,FALSE)</f>
        <v>LOPES KIMBERLY</v>
      </c>
      <c r="M232" s="6">
        <f t="shared" si="201"/>
        <v>2.6851851849642117E-2</v>
      </c>
      <c r="N232" s="7">
        <f t="shared" si="214"/>
        <v>38.666666663484648</v>
      </c>
      <c r="O232" s="7"/>
      <c r="P232" s="7"/>
      <c r="Q232" s="22"/>
      <c r="R232" s="174"/>
      <c r="S232" s="221">
        <f t="shared" si="215"/>
        <v>0</v>
      </c>
      <c r="T232" s="174" t="str">
        <f t="shared" si="202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203"/>
        <v>https://d0f6bd738d7f1b3e5a7ca70fe4ff75f0.us-east-1.aws.found.io/app/kibana#/discover/Steve-Slow-Train-Analysis-(2080s-and-2083s)?_g=(refreshInterval:(display:Off,pause:!f,section:0,value:0),time:(from:'2017-11-09T13:26:44-0700',mode:absolute,to:'2017-11-09T17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2" s="204" t="str">
        <f>IF(AA232&lt;VLOOKUP(AG232,Variables!$AC$3:$AD$8,2,FALSE),"Y","N")</f>
        <v>Y</v>
      </c>
      <c r="X232" s="204">
        <f t="shared" si="218"/>
        <v>3</v>
      </c>
      <c r="Y232" s="204">
        <f t="shared" si="216"/>
        <v>0.11559999999999999</v>
      </c>
      <c r="Z232" s="204">
        <f t="shared" si="217"/>
        <v>0.34949999999999998</v>
      </c>
      <c r="AA232" s="204">
        <f t="shared" si="204"/>
        <v>0.2339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205"/>
        <v>71</v>
      </c>
      <c r="AE232" s="77" t="str">
        <f t="shared" si="206"/>
        <v>aws s3 cp s3://rtdc.mdm.uploadarchive.raw/RTDC4014/ "%USERPROFILE%\AppData\Local\Temp\OnboardLogs"\RTDC4014\2017-11-09 --exclude "*" --recursive --include "*20171109*" &amp; "%USERPROFILE%\Documents\GitHub\mrs-test-scripts\Headless Mode &amp; Sideloading\WalkAndUnGZ.bat" "%USERPROFILE%\AppData\Local\Temp\OnboardLogs"\RTDC4014\2017-11-09 &amp; aws s3 cp s3://rtdc.mdm.uploadarchive.raw/RTDC4014/ "%USERPROFILE%\AppData\Local\Temp\OnboardLogs"\RTDC4014\2017-11-10 --exclude "*" --recursive --include "*20171110*" &amp; "%USERPROFILE%\Documents\GitHub\mrs-test-scripts\Headless Mode &amp; Sideloading\WalkAndUnGZ.bat" "%USERPROFILE%\AppData\Local\Temp\OnboardLogs"\RTDC4014\2017-11-10</v>
      </c>
      <c r="AF232" s="74" t="str">
        <f t="shared" si="207"/>
        <v>"C:\Program Files (x86)\AstroGrep\AstroGrep.exe" /e /r /s /spath="%USERPROFILE%\AppData\Local\Temp\OnboardLogs" /stypes="app*4014*20171109*" /stext=" 23:.+((SYSTEM_STATE.+slice.+state.+changed )|(ment ac)|(multiple cpu faults)|(system.+state.+changed )|(\[timeout)|(PRM\|1\|D)|(kpr)|(kdp)|(train st.+moving)|(\|lc)|(penalty))"</v>
      </c>
      <c r="AG232" s="182" t="str">
        <f t="shared" si="208"/>
        <v>Shuttle/Test</v>
      </c>
      <c r="AH232" s="78" t="str">
        <f t="shared" si="211"/>
        <v>"%USERPROFILE%\Documents\GitHub\eaglep3\Utilities\RefineRTDCRunTimes.py" --tripid 71-09 --locoid 4014 --swversion DE.1.0.9.0 --startMP 204:1156 --initTime 2017-11-09T14:26:44 --startdatetime 2017-11-09T15:42:28 --delay 82 --endMP 204:3495 --enddatetime 2017-11-09T16:21:08 --enforcementcount 0 &gt;&gt;%USERPROFILE%\Documents\GitHub\eaglep3-reporting\EC\2017-11-09-refined-times.txt</v>
      </c>
      <c r="AI232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0.3495"},{"id":17,"name":"Train ID","value":"71-09"},{"id":16,"name":"Locomotive ID","value":"4014"},{"id":130,"name":"Impact","value":""},{"id":150,"name":"Time of Event (Mountain Time)","value":"16:21:08"},{"id":151,"name":"Denver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212"/>
        <v>start /low /b %USERPROFILE%\Documents\GitHub\eaglep3\Utilities\DownloadLogsFromS3.py --loco 4014 --day 2017-11-09</v>
      </c>
      <c r="AN232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213"/>
        <v>https://d0f6bd738d7f1b3e5a7ca70fe4ff75f0.us-east-1.aws.found.io/app/kibana#/discover/Steve-Slow-Train-Analysis-(2080s-and-2083s)?_g=(refreshInterval:(display:Off,pause:!f,section:0,value:0),time:(from:'2017-11-09T13:26:44-0700',mode:absolute,to:'2017-11-09T17:21:08-0700'))&amp;_a=(columns:!('Message%20ID',Summary),filters:!(),index:'emp_*',interval:auto,query:(query_string:(analyze_wildcard:!t,query:'%22rtdc.l.rtdc.4014%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782</v>
      </c>
      <c r="B233" s="7">
        <v>4064</v>
      </c>
      <c r="C233" s="21" t="s">
        <v>192</v>
      </c>
      <c r="D233" s="21" t="s">
        <v>1012</v>
      </c>
      <c r="E233" s="13">
        <v>43048.550798611112</v>
      </c>
      <c r="F233" s="13">
        <v>43048.557962962965</v>
      </c>
      <c r="G233" s="7">
        <v>85</v>
      </c>
      <c r="H233" s="21" t="s">
        <v>1013</v>
      </c>
      <c r="I233" s="13">
        <v>43048.559027777781</v>
      </c>
      <c r="J233" s="7">
        <v>0</v>
      </c>
      <c r="K233" s="89" t="str">
        <f t="shared" si="200"/>
        <v>4063/4064</v>
      </c>
      <c r="L233" s="185" t="str">
        <f>VLOOKUP(A233,'Trips&amp;Operators'!$C$1:$G$99911,5,FALSE)</f>
        <v>LOPES KIMBERLY</v>
      </c>
      <c r="M233" s="6">
        <f t="shared" si="201"/>
        <v>1.0648148163454607E-3</v>
      </c>
      <c r="N233" s="7">
        <f t="shared" si="214"/>
        <v>1.5333333355374634</v>
      </c>
      <c r="O233" s="7"/>
      <c r="P233" s="7"/>
      <c r="Q233" s="22"/>
      <c r="R233" s="174"/>
      <c r="S233" s="221">
        <f t="shared" si="215"/>
        <v>0</v>
      </c>
      <c r="T233" s="174" t="str">
        <f t="shared" si="202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203"/>
        <v>https://d0f6bd738d7f1b3e5a7ca70fe4ff75f0.us-east-1.aws.found.io/app/kibana#/discover/Steve-Slow-Train-Analysis-(2080s-and-2083s)?_g=(refreshInterval:(display:Off,pause:!f,section:0,value:0),time:(from:'2017-11-09T12:13:09-0700',mode:absolute,to:'2017-11-09T14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3" s="204" t="str">
        <f>IF(AA233&lt;VLOOKUP(AG233,Variables!$AC$3:$AD$8,2,FALSE),"Y","N")</f>
        <v>Y</v>
      </c>
      <c r="X233" s="204">
        <f t="shared" si="218"/>
        <v>0</v>
      </c>
      <c r="Y233" s="204">
        <f t="shared" si="216"/>
        <v>0.1479</v>
      </c>
      <c r="Z233" s="204">
        <f t="shared" si="217"/>
        <v>0.34620000000000001</v>
      </c>
      <c r="AA233" s="204">
        <f t="shared" si="204"/>
        <v>0.1983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205"/>
        <v>71</v>
      </c>
      <c r="AE233" s="77" t="str">
        <f t="shared" si="206"/>
        <v>aws s3 cp s3://rtdc.mdm.uploadarchive.raw/RTDC4064/ "%USERPROFILE%\AppData\Local\Temp\OnboardLogs"\RTDC4064\2017-11-09 --exclude "*" --recursive --include "*20171109*" &amp; "%USERPROFILE%\Documents\GitHub\mrs-test-scripts\Headless Mode &amp; Sideloading\WalkAndUnGZ.bat" "%USERPROFILE%\AppData\Local\Temp\OnboardLogs"\RTDC4064\2017-11-09 &amp; aws s3 cp s3://rtdc.mdm.uploadarchive.raw/RTDC4064/ "%USERPROFILE%\AppData\Local\Temp\OnboardLogs"\RTDC4064\2017-11-10 --exclude "*" --recursive --include "*20171110*" &amp; "%USERPROFILE%\Documents\GitHub\mrs-test-scripts\Headless Mode &amp; Sideloading\WalkAndUnGZ.bat" "%USERPROFILE%\AppData\Local\Temp\OnboardLogs"\RTDC4064\2017-11-10</v>
      </c>
      <c r="AF233" s="74" t="str">
        <f t="shared" si="207"/>
        <v>"C:\Program Files (x86)\AstroGrep\AstroGrep.exe" /e /r /s /spath="%USERPROFILE%\AppData\Local\Temp\OnboardLogs" /stypes="app*4064*20171109*" /stext=" 20:.+((SYSTEM_STATE.+slice.+state.+changed )|(ment ac)|(multiple cpu faults)|(system.+state.+changed )|(\[timeout)|(PRM\|1\|D)|(kpr)|(kdp)|(train st.+moving)|(\|lc)|(penalty))"</v>
      </c>
      <c r="AG233" s="182" t="str">
        <f t="shared" si="208"/>
        <v>Shuttle/Test</v>
      </c>
      <c r="AH233" s="78" t="str">
        <f t="shared" si="211"/>
        <v>"%USERPROFILE%\Documents\GitHub\eaglep3\Utilities\RefineRTDCRunTimes.py" --tripid 71-09 --locoid 4064 --swversion DE.1.0.9.0 --startMP 204:1479 --initTime 2017-11-09T13:13:09 --startdatetime 2017-11-09T13:23:28 --delay 85 --endMP 204:3462 --enddatetime 2017-11-09T13:25:00 --enforcementcount 0 &gt;&gt;%USERPROFILE%\Documents\GitHub\eaglep3-reporting\EC\2017-11-09-refined-times.txt</v>
      </c>
      <c r="AI233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0.3462"},{"id":17,"name":"Train ID","value":"71-09"},{"id":16,"name":"Locomotive ID","value":"4064"},{"id":130,"name":"Impact","value":""},{"id":150,"name":"Time of Event (Mountain Time)","value":"13:25:00"},{"id":151,"name":"Denver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212"/>
        <v>start /low /b %USERPROFILE%\Documents\GitHub\eaglep3\Utilities\DownloadLogsFromS3.py --loco 4064 --day 2017-11-09</v>
      </c>
      <c r="AN233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213"/>
        <v>https://d0f6bd738d7f1b3e5a7ca70fe4ff75f0.us-east-1.aws.found.io/app/kibana#/discover/Steve-Slow-Train-Analysis-(2080s-and-2083s)?_g=(refreshInterval:(display:Off,pause:!f,section:0,value:0),time:(from:'2017-11-09T12:13:09-0700',mode:absolute,to:'2017-11-09T14:25:00-0700'))&amp;_a=(columns:!('Message%20ID',Summary),filters:!(),index:'emp_*',interval:auto,query:(query_string:(analyze_wildcard:!t,query:'%22rtdc.l.rtdc.4064%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782</v>
      </c>
      <c r="B234" s="7">
        <v>4063</v>
      </c>
      <c r="C234" s="21" t="s">
        <v>192</v>
      </c>
      <c r="D234" s="21" t="s">
        <v>1014</v>
      </c>
      <c r="E234" s="13">
        <v>43048.556354166663</v>
      </c>
      <c r="F234" s="13">
        <v>43048.557962962965</v>
      </c>
      <c r="G234" s="7">
        <v>65</v>
      </c>
      <c r="H234" s="21" t="s">
        <v>603</v>
      </c>
      <c r="I234" s="13">
        <v>43048.559027777781</v>
      </c>
      <c r="J234" s="7">
        <v>0</v>
      </c>
      <c r="K234" s="89" t="str">
        <f t="shared" si="200"/>
        <v>4063/4064</v>
      </c>
      <c r="L234" s="185" t="str">
        <f>VLOOKUP(A234,'Trips&amp;Operators'!$C$1:$G$99911,5,FALSE)</f>
        <v>LOPES KIMBERLY</v>
      </c>
      <c r="M234" s="6">
        <f t="shared" si="201"/>
        <v>1.0648148163454607E-3</v>
      </c>
      <c r="N234" s="7">
        <f t="shared" si="214"/>
        <v>1.5333333355374634</v>
      </c>
      <c r="O234" s="7"/>
      <c r="P234" s="7"/>
      <c r="Q234" s="22"/>
      <c r="R234" s="174"/>
      <c r="S234" s="221">
        <f t="shared" si="215"/>
        <v>0</v>
      </c>
      <c r="T234" s="174" t="str">
        <f t="shared" si="202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203"/>
        <v>https://d0f6bd738d7f1b3e5a7ca70fe4ff75f0.us-east-1.aws.found.io/app/kibana#/discover/Steve-Slow-Train-Analysis-(2080s-and-2083s)?_g=(refreshInterval:(display:Off,pause:!f,section:0,value:0),time:(from:'2017-11-09T12:21:09-0700',mode:absolute,to:'2017-11-09T14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4" s="204" t="str">
        <f>IF(AA234&lt;VLOOKUP(AG234,Variables!$AC$3:$AD$8,2,FALSE),"Y","N")</f>
        <v>Y</v>
      </c>
      <c r="X234" s="204">
        <f t="shared" si="218"/>
        <v>0</v>
      </c>
      <c r="Y234" s="204">
        <f t="shared" si="216"/>
        <v>0.31380000000000002</v>
      </c>
      <c r="Z234" s="204">
        <f t="shared" si="217"/>
        <v>2.2499999999999999E-2</v>
      </c>
      <c r="AA234" s="204">
        <f t="shared" si="204"/>
        <v>0.2913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 t="shared" si="205"/>
        <v>71</v>
      </c>
      <c r="AE234" s="77" t="str">
        <f t="shared" si="206"/>
        <v>aws s3 cp s3://rtdc.mdm.uploadarchive.raw/RTDC4063/ "%USERPROFILE%\AppData\Local\Temp\OnboardLogs"\RTDC4063\2017-11-09 --exclude "*" --recursive --include "*20171109*" &amp; "%USERPROFILE%\Documents\GitHub\mrs-test-scripts\Headless Mode &amp; Sideloading\WalkAndUnGZ.bat" "%USERPROFILE%\AppData\Local\Temp\OnboardLogs"\RTDC4063\2017-11-09 &amp; aws s3 cp s3://rtdc.mdm.uploadarchive.raw/RTDC4063/ "%USERPROFILE%\AppData\Local\Temp\OnboardLogs"\RTDC4063\2017-11-10 --exclude "*" --recursive --include "*20171110*" &amp; "%USERPROFILE%\Documents\GitHub\mrs-test-scripts\Headless Mode &amp; Sideloading\WalkAndUnGZ.bat" "%USERPROFILE%\AppData\Local\Temp\OnboardLogs"\RTDC4063\2017-11-10</v>
      </c>
      <c r="AF234" s="74" t="str">
        <f t="shared" si="207"/>
        <v>"C:\Program Files (x86)\AstroGrep\AstroGrep.exe" /e /r /s /spath="%USERPROFILE%\AppData\Local\Temp\OnboardLogs" /stypes="app*4063*20171109*" /stext=" 20:.+((SYSTEM_STATE.+slice.+state.+changed )|(ment ac)|(multiple cpu faults)|(system.+state.+changed )|(\[timeout)|(PRM\|1\|D)|(kpr)|(kdp)|(train st.+moving)|(\|lc)|(penalty))"</v>
      </c>
      <c r="AG234" s="182" t="str">
        <f t="shared" si="208"/>
        <v>Shuttle/Test</v>
      </c>
      <c r="AH234" s="78" t="str">
        <f t="shared" si="211"/>
        <v>"%USERPROFILE%\Documents\GitHub\eaglep3\Utilities\RefineRTDCRunTimes.py" --tripid 71-09 --locoid 4063 --swversion DE.1.0.9.0 --startMP 204:3138 --initTime 2017-11-09T13:21:09 --startdatetime 2017-11-09T13:23:28 --delay 65 --endMP 204:225 --enddatetime 2017-11-09T13:25:00 --enforcementcount 0 &gt;&gt;%USERPROFILE%\Documents\GitHub\eaglep3-reporting\EC\2017-11-09-refined-times.txt</v>
      </c>
      <c r="AI234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0.0225"},{"id":17,"name":"Train ID","value":"71-09"},{"id":16,"name":"Locomotive ID","value":"4063"},{"id":130,"name":"Impact","value":""},{"id":150,"name":"Time of Event (Mountain Time)","value":"13:25:00"},{"id":151,"name":"Denver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212"/>
        <v>start /low /b %USERPROFILE%\Documents\GitHub\eaglep3\Utilities\DownloadLogsFromS3.py --loco 4063 --day 2017-11-09</v>
      </c>
      <c r="AN234" s="151" t="str">
        <f t="shared" si="210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20:25:00"},{"id":29,"name":"Sharepoint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213"/>
        <v>https://d0f6bd738d7f1b3e5a7ca70fe4ff75f0.us-east-1.aws.found.io/app/kibana#/discover/Steve-Slow-Train-Analysis-(2080s-and-2083s)?_g=(refreshInterval:(display:Off,pause:!f,section:0,value:0),time:(from:'2017-11-09T12:21:09-0700',mode:absolute,to:'2017-11-09T14:25:00-0700'))&amp;_a=(columns:!('Message%20ID',Summary),filters:!(),index:'emp_*',interval:auto,query:(query_string:(analyze_wildcard:!t,query:'%22rtdc.l.rtdc.4063%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834</v>
      </c>
      <c r="B235" s="7">
        <v>4001</v>
      </c>
      <c r="C235" s="21" t="s">
        <v>192</v>
      </c>
      <c r="D235" s="21" t="s">
        <v>1015</v>
      </c>
      <c r="E235" s="13">
        <v>43048.73574074074</v>
      </c>
      <c r="F235" s="13">
        <v>43048.743067129632</v>
      </c>
      <c r="G235" s="7">
        <v>69</v>
      </c>
      <c r="H235" s="21" t="s">
        <v>1016</v>
      </c>
      <c r="I235" s="13">
        <v>43048.748055555552</v>
      </c>
      <c r="J235" s="7">
        <v>0</v>
      </c>
      <c r="K235" s="89" t="str">
        <f t="shared" si="200"/>
        <v>4001/4002</v>
      </c>
      <c r="L235" s="185" t="str">
        <f>VLOOKUP(A235,'Trips&amp;Operators'!$C$1:$G$99911,5,FALSE)</f>
        <v>MCREYNOLDS KYLE</v>
      </c>
      <c r="M235" s="6">
        <f t="shared" si="201"/>
        <v>4.9884259206010029E-3</v>
      </c>
      <c r="N235" s="7">
        <f t="shared" si="214"/>
        <v>7.1833333256654441</v>
      </c>
      <c r="O235" s="7"/>
      <c r="P235" s="7"/>
      <c r="Q235" s="22"/>
      <c r="R235" s="174"/>
      <c r="S235" s="221">
        <f t="shared" si="215"/>
        <v>1</v>
      </c>
      <c r="T235" s="174" t="str">
        <f t="shared" si="202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203"/>
        <v>https://d0f6bd738d7f1b3e5a7ca70fe4ff75f0.us-east-1.aws.found.io/app/kibana#/discover/Steve-Slow-Train-Analysis-(2080s-and-2083s)?_g=(refreshInterval:(display:Off,pause:!f,section:0,value:0),time:(from:'2017-11-09T16:39:28-0700',mode:absolute,to:'2017-11-09T18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5" s="204" t="str">
        <f>IF(AA235&lt;VLOOKUP(AG235,Variables!$AC$3:$AD$8,2,FALSE),"Y","N")</f>
        <v>Y</v>
      </c>
      <c r="X235" s="204">
        <f t="shared" si="218"/>
        <v>1</v>
      </c>
      <c r="Y235" s="204">
        <f t="shared" si="216"/>
        <v>2.3875000000000002</v>
      </c>
      <c r="Z235" s="204">
        <f t="shared" si="217"/>
        <v>0.18970000000000001</v>
      </c>
      <c r="AA235" s="204">
        <f t="shared" si="204"/>
        <v>2.1978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9">
        <f t="shared" si="205"/>
        <v>72</v>
      </c>
      <c r="AE235" s="77" t="str">
        <f t="shared" si="206"/>
        <v>aws s3 cp s3://rtdc.mdm.uploadarchive.raw/RTDC4001/ "%USERPROFILE%\AppData\Local\Temp\OnboardLogs"\RTDC4001\2017-11-09 --exclude "*" --recursive --include "*20171109*" &amp; "%USERPROFILE%\Documents\GitHub\mrs-test-scripts\Headless Mode &amp; Sideloading\WalkAndUnGZ.bat" "%USERPROFILE%\AppData\Local\Temp\OnboardLogs"\RTDC4001\2017-11-09 &amp; aws s3 cp s3://rtdc.mdm.uploadarchive.raw/RTDC4001/ "%USERPROFILE%\AppData\Local\Temp\OnboardLogs"\RTDC4001\2017-11-10 --exclude "*" --recursive --include "*20171110*" &amp; "%USERPROFILE%\Documents\GitHub\mrs-test-scripts\Headless Mode &amp; Sideloading\WalkAndUnGZ.bat" "%USERPROFILE%\AppData\Local\Temp\OnboardLogs"\RTDC4001\2017-11-10</v>
      </c>
      <c r="AF235" s="74" t="str">
        <f t="shared" si="207"/>
        <v>"C:\Program Files (x86)\AstroGrep\AstroGrep.exe" /e /r /s /spath="%USERPROFILE%\AppData\Local\Temp\OnboardLogs" /stypes="app*4001*20171110*" /stext=" 00:.+((SYSTEM_STATE.+slice.+state.+changed )|(ment ac)|(multiple cpu faults)|(system.+state.+changed )|(\[timeout)|(PRM\|1\|D)|(kpr)|(kdp)|(train st.+moving)|(\|lc)|(penalty))"</v>
      </c>
      <c r="AG235" s="182" t="str">
        <f t="shared" si="208"/>
        <v>Shuttle/Test</v>
      </c>
      <c r="AH235" s="78" t="str">
        <f t="shared" si="211"/>
        <v>"%USERPROFILE%\Documents\GitHub\eaglep3\Utilities\RefineRTDCRunTimes.py" --tripid 72-09 --locoid 4001 --swversion DE.1.0.9.0 --startMP 300:23875 --initTime 2017-11-09T17:39:28 --startdatetime 2017-11-09T17:50:01 --delay 69 --endMP 204:1897 --enddatetime 2017-11-09T17:57:12 --enforcementcount 0 &gt;&gt;%USERPROFILE%\Documents\GitHub\eaglep3-reporting\EC\2017-11-09-refined-times.txt</v>
      </c>
      <c r="AI235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0.1897"},{"id":17,"name":"Train ID","value":"72-09"},{"id":16,"name":"Locomotive ID","value":"4001"},{"id":130,"name":"Impact","value":""},{"id":150,"name":"Time of Event (Mountain Time)","value":"17:57:12"},{"id":151,"name":"Denver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212"/>
        <v>start /low /b %USERPROFILE%\Documents\GitHub\eaglep3\Utilities\DownloadLogsFromS3.py --loco 4001 --day 2017-11-09</v>
      </c>
      <c r="AN235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213"/>
        <v>https://d0f6bd738d7f1b3e5a7ca70fe4ff75f0.us-east-1.aws.found.io/app/kibana#/discover/Steve-Slow-Train-Analysis-(2080s-and-2083s)?_g=(refreshInterval:(display:Off,pause:!f,section:0,value:0),time:(from:'2017-11-09T16:39:28-0700',mode:absolute,to:'2017-11-09T18:57:12-0700'))&amp;_a=(columns:!('Message%20ID',Summary),filters:!(),index:'emp_*',interval:auto,query:(query_string:(analyze_wildcard:!t,query:'%22rtdc.l.rtdc.4001%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825</v>
      </c>
      <c r="B236" s="7">
        <v>4020</v>
      </c>
      <c r="C236" s="21" t="s">
        <v>192</v>
      </c>
      <c r="D236" s="21" t="s">
        <v>1017</v>
      </c>
      <c r="E236" s="13">
        <v>43048.688634259262</v>
      </c>
      <c r="F236" s="13">
        <v>43048.723935185182</v>
      </c>
      <c r="G236" s="7">
        <v>2407</v>
      </c>
      <c r="H236" s="21" t="s">
        <v>1018</v>
      </c>
      <c r="I236" s="13">
        <v>43048.726354166669</v>
      </c>
      <c r="J236" s="7">
        <v>0</v>
      </c>
      <c r="K236" s="89" t="str">
        <f t="shared" si="200"/>
        <v>4019/4020</v>
      </c>
      <c r="L236" s="185" t="str">
        <f>VLOOKUP(A236,'Trips&amp;Operators'!$C$1:$G$99911,5,FALSE)</f>
        <v>ROBINSON KADDIBA</v>
      </c>
      <c r="M236" s="6">
        <f t="shared" si="201"/>
        <v>2.4189814866986126E-3</v>
      </c>
      <c r="N236" s="7">
        <f t="shared" si="214"/>
        <v>3.4833333408460021</v>
      </c>
      <c r="O236" s="7"/>
      <c r="P236" s="7"/>
      <c r="Q236" s="22"/>
      <c r="R236" s="174"/>
      <c r="S236" s="221">
        <f t="shared" si="215"/>
        <v>0</v>
      </c>
      <c r="T236" s="174" t="str">
        <f t="shared" si="202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203"/>
        <v>https://d0f6bd738d7f1b3e5a7ca70fe4ff75f0.us-east-1.aws.found.io/app/kibana#/discover/Steve-Slow-Train-Analysis-(2080s-and-2083s)?_g=(refreshInterval:(display:Off,pause:!f,section:0,value:0),time:(from:'2017-11-09T15:31:38-0700',mode:absolute,to:'2017-11-09T18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6" s="204" t="str">
        <f>IF(AA236&lt;VLOOKUP(AG236,Variables!$AC$3:$AD$8,2,FALSE),"Y","N")</f>
        <v>Y</v>
      </c>
      <c r="X236" s="204">
        <f t="shared" si="218"/>
        <v>1</v>
      </c>
      <c r="Y236" s="204">
        <f t="shared" si="216"/>
        <v>0.1188</v>
      </c>
      <c r="Z236" s="204">
        <f t="shared" si="217"/>
        <v>0.55520000000000003</v>
      </c>
      <c r="AA236" s="204">
        <f t="shared" si="204"/>
        <v>0.43640000000000001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9">
        <f t="shared" si="205"/>
        <v>73</v>
      </c>
      <c r="AE236" s="77" t="str">
        <f t="shared" si="206"/>
        <v>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 &amp; aws s3 cp s3://rtdc.mdm.uploadarchive.raw/RTDC4020/ "%USERPROFILE%\AppData\Local\Temp\OnboardLogs"\RTDC4020\2017-11-10 --exclude "*" --recursive --include "*20171110*" &amp; "%USERPROFILE%\Documents\GitHub\mrs-test-scripts\Headless Mode &amp; Sideloading\WalkAndUnGZ.bat" "%USERPROFILE%\AppData\Local\Temp\OnboardLogs"\RTDC4020\2017-11-10</v>
      </c>
      <c r="AF236" s="74" t="str">
        <f t="shared" si="207"/>
        <v>"C:\Program Files (x86)\AstroGrep\AstroGrep.exe" /e /r /s /spath="%USERPROFILE%\AppData\Local\Temp\OnboardLogs" /stypes="app*4020*20171110*" /stext=" 00:.+((SYSTEM_STATE.+slice.+state.+changed )|(ment ac)|(multiple cpu faults)|(system.+state.+changed )|(\[timeout)|(PRM\|1\|D)|(kpr)|(kdp)|(train st.+moving)|(\|lc)|(penalty))"</v>
      </c>
      <c r="AG236" s="182" t="str">
        <f t="shared" si="208"/>
        <v>Shuttle/Test</v>
      </c>
      <c r="AH236" s="78" t="str">
        <f t="shared" si="211"/>
        <v>"%USERPROFILE%\Documents\GitHub\eaglep3\Utilities\RefineRTDCRunTimes.py" --tripid 73-09 --locoid 4020 --swversion DE.1.0.9.0 --startMP 204:1188 --initTime 2017-11-09T16:31:38 --startdatetime 2017-11-09T17:22:28 --delay 2407 --endMP 300:5552 --enddatetime 2017-11-09T17:25:57 --enforcementcount 0 &gt;&gt;%USERPROFILE%\Documents\GitHub\eaglep3-reporting\EC\2017-11-09-refined-times.txt</v>
      </c>
      <c r="AI236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0.5552"},{"id":17,"name":"Train ID","value":"73-09"},{"id":16,"name":"Locomotive ID","value":"4020"},{"id":130,"name":"Impact","value":""},{"id":150,"name":"Time of Event (Mountain Time)","value":"17:25:57"},{"id":151,"name":"Denver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212"/>
        <v>start /low /b %USERPROFILE%\Documents\GitHub\eaglep3\Utilities\DownloadLogsFromS3.py --loco 4020 --day 2017-11-09</v>
      </c>
      <c r="AN236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213"/>
        <v>https://d0f6bd738d7f1b3e5a7ca70fe4ff75f0.us-east-1.aws.found.io/app/kibana#/discover/Steve-Slow-Train-Analysis-(2080s-and-2083s)?_g=(refreshInterval:(display:Off,pause:!f,section:0,value:0),time:(from:'2017-11-09T15:31:38-0700',mode:absolute,to:'2017-11-09T18:25:57-0700'))&amp;_a=(columns:!('Message%20ID',Summary),filters:!(),index:'emp_*',interval:auto,query:(query_string:(analyze_wildcard:!t,query:'%22rtdc.l.rtdc.4020%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833</v>
      </c>
      <c r="B237" s="7">
        <v>4006</v>
      </c>
      <c r="C237" s="21" t="s">
        <v>192</v>
      </c>
      <c r="D237" s="21" t="s">
        <v>1019</v>
      </c>
      <c r="E237" s="13">
        <v>43048.734525462962</v>
      </c>
      <c r="F237" s="13">
        <v>43048.736597222225</v>
      </c>
      <c r="G237" s="7">
        <v>70</v>
      </c>
      <c r="H237" s="21" t="s">
        <v>626</v>
      </c>
      <c r="I237" s="13">
        <v>43048.743310185186</v>
      </c>
      <c r="J237" s="7">
        <v>0</v>
      </c>
      <c r="K237" s="89" t="str">
        <f t="shared" si="200"/>
        <v>4005/4006</v>
      </c>
      <c r="L237" s="185" t="str">
        <f>VLOOKUP(A237,'Trips&amp;Operators'!$C$1:$G$99911,5,FALSE)</f>
        <v>KILLION DAVID</v>
      </c>
      <c r="M237" s="6">
        <f t="shared" si="201"/>
        <v>6.7129629605915397E-3</v>
      </c>
      <c r="N237" s="7">
        <f t="shared" si="214"/>
        <v>9.6666666632518172</v>
      </c>
      <c r="O237" s="7"/>
      <c r="P237" s="7"/>
      <c r="Q237" s="22"/>
      <c r="R237" s="174"/>
      <c r="S237" s="221">
        <f t="shared" si="215"/>
        <v>1</v>
      </c>
      <c r="T237" s="174" t="str">
        <f t="shared" si="202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203"/>
        <v>https://d0f6bd738d7f1b3e5a7ca70fe4ff75f0.us-east-1.aws.found.io/app/kibana#/discover/Steve-Slow-Train-Analysis-(2080s-and-2083s)?_g=(refreshInterval:(display:Off,pause:!f,section:0,value:0),time:(from:'2017-11-09T16:37:43-0700',mode:absolute,to:'2017-11-09T18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7" s="204" t="str">
        <f>IF(AA237&lt;VLOOKUP(AG237,Variables!$AC$3:$AD$8,2,FALSE),"Y","N")</f>
        <v>Y</v>
      </c>
      <c r="X237" s="204">
        <f t="shared" si="218"/>
        <v>2</v>
      </c>
      <c r="Y237" s="204">
        <f t="shared" si="216"/>
        <v>3.1399999999999997E-2</v>
      </c>
      <c r="Z237" s="204">
        <f t="shared" si="217"/>
        <v>2.3346</v>
      </c>
      <c r="AA237" s="204">
        <f t="shared" si="204"/>
        <v>2.3031999999999999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9">
        <f t="shared" si="205"/>
        <v>75</v>
      </c>
      <c r="AE237" s="77" t="str">
        <f t="shared" si="206"/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AF237" s="74" t="str">
        <f t="shared" si="207"/>
        <v>"C:\Program Files (x86)\AstroGrep\AstroGrep.exe" /e /r /s /spath="%USERPROFILE%\AppData\Local\Temp\OnboardLogs" /stypes="app*4006*20171110*" /stext=" 00:.+((SYSTEM_STATE.+slice.+state.+changed )|(ment ac)|(multiple cpu faults)|(system.+state.+changed )|(\[timeout)|(PRM\|1\|D)|(kpr)|(kdp)|(train st.+moving)|(\|lc)|(penalty))"</v>
      </c>
      <c r="AG237" s="182" t="str">
        <f t="shared" si="208"/>
        <v>Shuttle/Test</v>
      </c>
      <c r="AH237" s="78" t="str">
        <f t="shared" si="211"/>
        <v>"%USERPROFILE%\Documents\GitHub\eaglep3\Utilities\RefineRTDCRunTimes.py" --tripid 75-09 --locoid 4006 --swversion DE.1.0.9.0 --startMP 204:314 --initTime 2017-11-09T17:37:43 --startdatetime 2017-11-09T17:40:42 --delay 70 --endMP 300:23346 --enddatetime 2017-11-09T17:50:22 --enforcementcount 0 &gt;&gt;%USERPROFILE%\Documents\GitHub\eaglep3-reporting\EC\2017-11-09-refined-times.txt</v>
      </c>
      <c r="AI237" s="96" t="str">
        <f t="shared" si="209"/>
        <v>echo {"issue":{"subject":"","project_id":79,"tracker_id":40,"status_id":1,"priority_id":2,"assigned_to_id":338,"start_date":"2017-11-09","description":"","custom_fields":[{"id":1,"name":"Subdivision","value":"Shuttle/Test"},{"id":4,"name":"Milepost","value":"2.3346"},{"id":17,"name":"Train ID","value":"75-09"},{"id":16,"name":"Locomotive ID","value":"4006"},{"id":130,"name":"Impact","value":""},{"id":150,"name":"Time of Event (Mountain Time)","value":"17:50:22"},{"id":151,"name":"Denver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212"/>
        <v>start /low /b %USERPROFILE%\Documents\GitHub\eaglep3\Utilities\DownloadLogsFromS3.py --loco 4006 --day 2017-11-09</v>
      </c>
      <c r="AN237" s="151" t="str">
        <f t="shared" si="210"/>
        <v>echo {"issue":{"subject":"","project_id":30,"tracker_id":4,"status_id":1,"priority_id":1,"assigned_to_id":10,"start_date":"2017-11-10","description":"","custom_fields":[{"id":30,"name":"Category","value":"Issue"},{"id":3,"name":"Functional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UTC","value":"2017-11-10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213"/>
        <v>https://d0f6bd738d7f1b3e5a7ca70fe4ff75f0.us-east-1.aws.found.io/app/kibana#/discover/Steve-Slow-Train-Analysis-(2080s-and-2083s)?_g=(refreshInterval:(display:Off,pause:!f,section:0,value:0),time:(from:'2017-11-09T16:37:43-0700',mode:absolute,to:'2017-11-09T18:50:22-0700'))&amp;_a=(columns:!('Message%20ID',Summary),filters:!(),index:'emp_*',interval:auto,query:(query_string:(analyze_wildcard:!t,query:'%22rtdc.l.rtdc.4006%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4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4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4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4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4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4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4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4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4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4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4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</sheetData>
  <autoFilter ref="A12:AG485">
    <sortState ref="A13:AG485">
      <sortCondition ref="AG13:AG237"/>
      <sortCondition ref="AD13:AD237"/>
    </sortState>
  </autoFilter>
  <sortState ref="A13:AN390">
    <sortCondition ref="AG13:AG390"/>
    <sortCondition ref="AD13:AD390"/>
  </sortState>
  <mergeCells count="1">
    <mergeCell ref="A11:P11"/>
  </mergeCells>
  <conditionalFormatting sqref="W11:W12 W491:X1048576 W13:X237">
    <cfRule type="cellIs" dxfId="10" priority="465" operator="equal">
      <formula>"Y"</formula>
    </cfRule>
  </conditionalFormatting>
  <conditionalFormatting sqref="X491:X1048576 X13:X237">
    <cfRule type="cellIs" dxfId="9" priority="448" operator="greaterThan">
      <formula>1</formula>
    </cfRule>
  </conditionalFormatting>
  <conditionalFormatting sqref="X491:X1048576 X12:X237">
    <cfRule type="cellIs" dxfId="8" priority="445" operator="equal">
      <formula>0</formula>
    </cfRule>
  </conditionalFormatting>
  <conditionalFormatting sqref="A13:S237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COUNTIF($O$7:$O$210,"=Y")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COUNTA($O$7:$O$210)-O2</f>
        <v>12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- 2017-11-09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25">
      <c r="A7" s="31">
        <v>43049.027800925927</v>
      </c>
      <c r="B7" s="30" t="s">
        <v>538</v>
      </c>
      <c r="C7" s="30" t="s">
        <v>659</v>
      </c>
      <c r="D7" s="30" t="s">
        <v>49</v>
      </c>
      <c r="E7" s="30" t="s">
        <v>183</v>
      </c>
      <c r="F7" s="42">
        <v>0</v>
      </c>
      <c r="G7" s="42">
        <v>199</v>
      </c>
      <c r="H7" s="42">
        <v>30794</v>
      </c>
      <c r="I7" s="42">
        <v>30959</v>
      </c>
      <c r="J7" s="30" t="s">
        <v>184</v>
      </c>
      <c r="K7" s="42">
        <v>30830</v>
      </c>
      <c r="L7" s="131" t="s">
        <v>50</v>
      </c>
      <c r="M7" s="132">
        <f t="shared" ref="M7:M22" si="0">CONVERT((I7-K7)/10000,"mi","ft")*IF(L7="Increasing Mileposts (1)",-1,1)</f>
        <v>-68.111999999999995</v>
      </c>
      <c r="N7" s="133" t="str">
        <f>VLOOKUP(C7,'Trips&amp;Operators'!$C$1:$G$99911,5,FALSE)</f>
        <v>NICHOLSON WESLEY</v>
      </c>
      <c r="O7" s="176" t="s">
        <v>178</v>
      </c>
      <c r="P7" s="134" t="s">
        <v>344</v>
      </c>
      <c r="Q7" s="30"/>
      <c r="R7" s="81" t="str">
        <f>VLOOKUP(C7,'Train Runs'!$A$13:$AE$10144,31,0)</f>
        <v>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 &amp; aws s3 cp s3://rtdc.mdm.uploadarchive.raw/RTDC4024/ "%USERPROFILE%\AppData\Local\Temp\OnboardLogs"\RTDC4024\2017-11-11 --exclude "*" --recursive --include "*20171111*" &amp; "%USERPROFILE%\Documents\GitHub\mrs-test-scripts\Headless Mode &amp; Sideloading\WalkAndUnGZ.bat" "%USERPROFILE%\AppData\Local\Temp\OnboardLogs"\RTDC4024\2017-11-11</v>
      </c>
      <c r="S7" s="84" t="str">
        <f>VLOOKUP(C7,'Train Runs'!$A$13:$AE$10144,22,0)</f>
        <v>https://d0f6bd738d7f1b3e5a7ca70fe4ff75f0.us-east-1.aws.found.io/app/kibana#/discover/Steve-Slow-Train-Analysis-(2080s-and-2083s)?_g=(refreshInterval:(display:Off,pause:!f,section:0,value:0),time:(from:'2017-11-09T23:16:22-0700',mode:absolute,to:'2017-11-10T02:09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/stypes="*4024*201711100*" /stext=" 07:.+((SYSTEM_STATE.+slice.+state.+changed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4024</v>
      </c>
      <c r="V7" s="31">
        <f t="shared" ref="V7:V22" si="3">A7-utc_offset/24</f>
        <v>43049.319467592592</v>
      </c>
      <c r="W7" s="45" t="str">
        <f t="shared" ref="W7:W22" si="4">DetSubdiv(C7)</f>
        <v>EC</v>
      </c>
      <c r="X7" s="22">
        <f t="shared" ref="X7:X22" si="5">VALUE(LEFT(C7,LEN(C7)-3))</f>
        <v>243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Arrival","project_id":79,"tracker_id":40,"status_id":1,"priority_id":2,"assigned_to_id":338,"start_date":"2017-11-10","description":"","custom_fields":[{"id":1,"name":"Subdivision","value":"EC"},{"id":4,"name":"Milepost","value":"3.083"},{"id":17,"name":"Train ID","value":"243-09"},{"id":16,"name":"Locomotive ID","value":"4024"},{"id":130,"name":"Impact","value":""},{"id":150,"name":"Time of Event (Mountain Time)","value":"00:40:02"},{"id":151,"name":"Denver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/c/Users/stu/AppData/Local/Temp/OnboardLogs/RTDC4024 --include="*4024*201711100*"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"%USERPROFILE%\AppData\Local\Temp\OnboardLogs"\RTDC4024\*4024*201711100* &gt;&gt; 2017-11-09-SliceDisagreementCheck.txt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4024 --day 2017-11-10</v>
      </c>
    </row>
    <row r="8" spans="1:32" s="1" customFormat="1" x14ac:dyDescent="0.25">
      <c r="A8" s="31">
        <v>43048.382673611108</v>
      </c>
      <c r="B8" s="30" t="s">
        <v>497</v>
      </c>
      <c r="C8" s="30" t="s">
        <v>643</v>
      </c>
      <c r="D8" s="30" t="s">
        <v>49</v>
      </c>
      <c r="E8" s="30" t="s">
        <v>183</v>
      </c>
      <c r="F8" s="42">
        <v>0</v>
      </c>
      <c r="G8" s="42">
        <v>227</v>
      </c>
      <c r="H8" s="42">
        <v>33393</v>
      </c>
      <c r="I8" s="42">
        <v>33165</v>
      </c>
      <c r="J8" s="30" t="s">
        <v>184</v>
      </c>
      <c r="K8" s="42">
        <v>33257</v>
      </c>
      <c r="L8" s="131" t="s">
        <v>51</v>
      </c>
      <c r="M8" s="132">
        <f t="shared" si="0"/>
        <v>-48.576000000000001</v>
      </c>
      <c r="N8" s="133" t="str">
        <f>VLOOKUP(C8,'Trips&amp;Operators'!$C$1:$G$99911,5,FALSE)</f>
        <v>BONDS REYNALDO</v>
      </c>
      <c r="O8" s="176" t="s">
        <v>178</v>
      </c>
      <c r="P8" s="134" t="s">
        <v>344</v>
      </c>
      <c r="Q8" s="30"/>
      <c r="R8" s="81" t="str">
        <f>VLOOKUP(C8,'Train Runs'!$A$13:$AE$10144,31,0)</f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S8" s="84" t="str">
        <f>VLOOKUP(C8,'Train Runs'!$A$13:$AE$10144,22,0)</f>
        <v>https://d0f6bd738d7f1b3e5a7ca70fe4ff75f0.us-east-1.aws.found.io/app/kibana#/discover/Steve-Slow-Train-Analysis-(2080s-and-2083s)?_g=(refreshInterval:(display:Off,pause:!f,section:0,value:0),time:(from:'2017-11-09T07:37:39-0700',mode:absolute,to:'2017-11-09T10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86" t="str">
        <f t="shared" si="1"/>
        <v>"C:\Program Files (x86)\AstroGrep\AstroGrep.exe" /e /r /s /spath="%USERPROFILE%\AppData\Local\Temp\OnboardLogs" /stypes="*4019*201711091*"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4019</v>
      </c>
      <c r="V8" s="31">
        <f t="shared" si="3"/>
        <v>43048.674340277772</v>
      </c>
      <c r="W8" s="45" t="str">
        <f t="shared" si="4"/>
        <v>EC</v>
      </c>
      <c r="X8" s="22">
        <f t="shared" si="5"/>
        <v>134</v>
      </c>
      <c r="Y8" s="96" t="str">
        <f t="shared" si="6"/>
        <v>echo {"issue":{"subject":"Early Arrival","project_id":79,"tracker_id":40,"status_id":1,"priority_id":2,"assigned_to_id":338,"start_date":"2017-11-09","description":"","custom_fields":[{"id":1,"name":"Subdivision","value":"EC"},{"id":4,"name":"Milepost","value":"3.3257"},{"id":17,"name":"Train ID","value":"134-09"},{"id":16,"name":"Locomotive ID","value":"4019"},{"id":130,"name":"Impact","value":""},{"id":150,"name":"Time of Event (Mountain Time)","value":"09:11:03"},{"id":151,"name":"Denver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/c/Users/stu/AppData/Local/Temp/OnboardLogs/RTDC4019 --include="*4019*201711091*"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"%USERPROFILE%\AppData\Local\Temp\OnboardLogs"\RTDC4019\*4019*201711091* &gt;&gt; 2017-11-09-SliceDisagreementCheck.txt</v>
      </c>
      <c r="AE8" s="145" t="str">
        <f t="shared" ref="AE8:AE22" si="9">"start /low /b "&amp;dls3logs&amp;" --loco "&amp;U8&amp;" --day "&amp;TEXT(V8,"YYYY-MM-DD")</f>
        <v>start /low /b %USERPROFILE%\Documents\GitHub\eaglep3\Utilities\DownloadLogsFromS3.py --loco 4019 --day 2017-11-09</v>
      </c>
    </row>
    <row r="9" spans="1:32" s="1" customFormat="1" x14ac:dyDescent="0.25">
      <c r="A9" s="31">
        <v>43048.277997685182</v>
      </c>
      <c r="B9" s="30" t="s">
        <v>640</v>
      </c>
      <c r="C9" s="30" t="s">
        <v>641</v>
      </c>
      <c r="D9" s="30" t="s">
        <v>49</v>
      </c>
      <c r="E9" s="30" t="s">
        <v>183</v>
      </c>
      <c r="F9" s="42">
        <v>250</v>
      </c>
      <c r="G9" s="42">
        <v>368</v>
      </c>
      <c r="H9" s="42">
        <v>35807</v>
      </c>
      <c r="I9" s="42">
        <v>34468</v>
      </c>
      <c r="J9" s="30" t="s">
        <v>184</v>
      </c>
      <c r="K9" s="42">
        <v>33257</v>
      </c>
      <c r="L9" s="131" t="s">
        <v>51</v>
      </c>
      <c r="M9" s="132">
        <f t="shared" si="0"/>
        <v>639.40800000000002</v>
      </c>
      <c r="N9" s="133" t="str">
        <f>VLOOKUP(C9,'Trips&amp;Operators'!$C$1:$G$99911,5,FALSE)</f>
        <v>YANAI IAN</v>
      </c>
      <c r="O9" s="176" t="s">
        <v>178</v>
      </c>
      <c r="P9" s="134" t="s">
        <v>344</v>
      </c>
      <c r="Q9" s="30"/>
      <c r="R9" s="81" t="str">
        <f>VLOOKUP(C9,'Train Runs'!$A$13:$AE$10144,31,0)</f>
        <v>aws s3 cp s3://rtdc.mdm.uploadarchive.raw/RTDC4005/ "%USERPROFILE%\AppData\Local\Temp\OnboardLogs"\RTDC4005\2017-11-09 --exclude "*" --recursive --include "*20171109*" &amp; "%USERPROFILE%\Documents\GitHub\mrs-test-scripts\Headless Mode &amp; Sideloading\WalkAndUnGZ.bat" "%USERPROFILE%\AppData\Local\Temp\OnboardLogs"\RTDC4005\2017-11-09 &amp; aws s3 cp s3://rtdc.mdm.uploadarchive.raw/RTDC4005/ "%USERPROFILE%\AppData\Local\Temp\OnboardLogs"\RTDC4005\2017-11-10 --exclude "*" --recursive --include "*20171110*" &amp; "%USERPROFILE%\Documents\GitHub\mrs-test-scripts\Headless Mode &amp; Sideloading\WalkAndUnGZ.bat" "%USERPROFILE%\AppData\Local\Temp\OnboardLogs"\RTDC4005\2017-11-10</v>
      </c>
      <c r="S9" s="84" t="str">
        <f>VLOOKUP(C9,'Train Runs'!$A$13:$AE$10144,22,0)</f>
        <v>https://d0f6bd738d7f1b3e5a7ca70fe4ff75f0.us-east-1.aws.found.io/app/kibana#/discover/Steve-Slow-Train-Analysis-(2080s-and-2083s)?_g=(refreshInterval:(display:Off,pause:!f,section:0,value:0),time:(from:'2017-11-09T04:52:41-0700',mode:absolute,to:'2017-11-09T07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86" t="str">
        <f t="shared" si="1"/>
        <v>"C:\Program Files (x86)\AstroGrep\AstroGrep.exe" /e /r /s /spath="%USERPROFILE%\AppData\Local\Temp\OnboardLogs" /stypes="*4005*201711091*"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4005</v>
      </c>
      <c r="V9" s="31">
        <f t="shared" si="3"/>
        <v>43048.569664351846</v>
      </c>
      <c r="W9" s="45" t="str">
        <f t="shared" si="4"/>
        <v>EC</v>
      </c>
      <c r="X9" s="22">
        <f t="shared" si="5"/>
        <v>114</v>
      </c>
      <c r="Y9" s="96" t="str">
        <f t="shared" si="6"/>
        <v>echo {"issue":{"subject":"Early Arrival","project_id":79,"tracker_id":40,"status_id":1,"priority_id":2,"assigned_to_id":338,"start_date":"2017-11-09","description":"","custom_fields":[{"id":1,"name":"Subdivision","value":"EC"},{"id":4,"name":"Milepost","value":"3.3257"},{"id":17,"name":"Train ID","value":"114-09"},{"id":16,"name":"Locomotive ID","value":"4005"},{"id":130,"name":"Impact","value":""},{"id":150,"name":"Time of Event (Mountain Time)","value":"06:40:19"},{"id":151,"name":"Denver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/c/Users/stu/AppData/Local/Temp/OnboardLogs/RTDC4005 --include="*4005*201711091*"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"%USERPROFILE%\AppData\Local\Temp\OnboardLogs"\RTDC4005\*4005*201711091* &gt;&gt; 2017-11-09-SliceDisagreementCheck.txt</v>
      </c>
      <c r="AE9" s="145" t="str">
        <f t="shared" si="9"/>
        <v>start /low /b %USERPROFILE%\Documents\GitHub\eaglep3\Utilities\DownloadLogsFromS3.py --loco 4005 --day 2017-11-09</v>
      </c>
    </row>
    <row r="10" spans="1:32" x14ac:dyDescent="0.25">
      <c r="A10" s="31">
        <v>43048.196701388886</v>
      </c>
      <c r="B10" s="30" t="s">
        <v>538</v>
      </c>
      <c r="C10" s="30" t="s">
        <v>639</v>
      </c>
      <c r="D10" s="30" t="s">
        <v>49</v>
      </c>
      <c r="E10" s="30" t="s">
        <v>183</v>
      </c>
      <c r="F10" s="42">
        <v>0</v>
      </c>
      <c r="G10" s="42">
        <v>221</v>
      </c>
      <c r="H10" s="42">
        <v>62630</v>
      </c>
      <c r="I10" s="42">
        <v>63088</v>
      </c>
      <c r="J10" s="30" t="s">
        <v>184</v>
      </c>
      <c r="K10" s="42">
        <v>63069</v>
      </c>
      <c r="L10" s="131" t="s">
        <v>50</v>
      </c>
      <c r="M10" s="132">
        <f t="shared" si="0"/>
        <v>-10.032</v>
      </c>
      <c r="N10" s="133" t="str">
        <f>VLOOKUP(C10,'Trips&amp;Operators'!$C$1:$G$99911,5,FALSE)</f>
        <v>BEAM ROSS</v>
      </c>
      <c r="O10" s="176" t="s">
        <v>178</v>
      </c>
      <c r="P10" s="134" t="s">
        <v>344</v>
      </c>
      <c r="Q10" s="30"/>
      <c r="R10" s="81" t="str">
        <f>VLOOKUP(C10,'Train Runs'!$A$13:$AE$10144,31,0)</f>
        <v>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 &amp; aws s3 cp s3://rtdc.mdm.uploadarchive.raw/RTDC4024/ "%USERPROFILE%\AppData\Local\Temp\OnboardLogs"\RTDC4024\2017-11-10 --exclude "*" --recursive --include "*20171110*" &amp; "%USERPROFILE%\Documents\GitHub\mrs-test-scripts\Headless Mode &amp; Sideloading\WalkAndUnGZ.bat" "%USERPROFILE%\AppData\Local\Temp\OnboardLogs"\RTDC4024\2017-11-10</v>
      </c>
      <c r="S10" s="84" t="str">
        <f>VLOOKUP(C10,'Train Runs'!$A$13:$AE$10144,22,0)</f>
        <v>https://d0f6bd738d7f1b3e5a7ca70fe4ff75f0.us-east-1.aws.found.io/app/kibana#/discover/Steve-Slow-Train-Analysis-(2080s-and-2083s)?_g=(refreshInterval:(display:Off,pause:!f,section:0,value:0),time:(from:'2017-11-09T03:20:57-0700',mode:absolute,to:'2017-11-09T06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 t="shared" si="1"/>
        <v>"C:\Program Files (x86)\AstroGrep\AstroGrep.exe" /e /r /s /spath="%USERPROFILE%\AppData\Local\Temp\OnboardLogs" /stypes="*4024*201711091*"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43048.48836805555</v>
      </c>
      <c r="W10" s="45" t="str">
        <f t="shared" si="4"/>
        <v>EC</v>
      </c>
      <c r="X10" s="22">
        <f t="shared" si="5"/>
        <v>107</v>
      </c>
      <c r="Y10" s="96" t="str">
        <f t="shared" si="6"/>
        <v>echo {"issue":{"subject":"Early Arrival","project_id":79,"tracker_id":40,"status_id":1,"priority_id":2,"assigned_to_id":338,"start_date":"2017-11-09","description":"","custom_fields":[{"id":1,"name":"Subdivision","value":"EC"},{"id":4,"name":"Milepost","value":"6.3069"},{"id":17,"name":"Train ID","value":"107-09"},{"id":16,"name":"Locomotive ID","value":"4024"},{"id":130,"name":"Impact","value":""},{"id":150,"name":"Time of Event (Mountain Time)","value":"04:43:15"},{"id":151,"name":"Denver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/c/Users/stu/AppData/Local/Temp/OnboardLogs/RTDC4024 --include="*4024*201711091*"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"%USERPROFILE%\AppData\Local\Temp\OnboardLogs"\RTDC4024\*4024*201711091* &gt;&gt; 2017-11-09-SliceDisagreementCheck.txt</v>
      </c>
      <c r="AE10" s="145" t="str">
        <f t="shared" si="9"/>
        <v>start /low /b %USERPROFILE%\Documents\GitHub\eaglep3\Utilities\DownloadLogsFromS3.py --loco 4024 --day 2017-11-09</v>
      </c>
      <c r="AF10" s="1"/>
    </row>
    <row r="11" spans="1:32" x14ac:dyDescent="0.25">
      <c r="A11" s="31">
        <v>43048.540370370371</v>
      </c>
      <c r="B11" s="30" t="s">
        <v>646</v>
      </c>
      <c r="C11" s="30" t="s">
        <v>647</v>
      </c>
      <c r="D11" s="30" t="s">
        <v>49</v>
      </c>
      <c r="E11" s="30" t="s">
        <v>183</v>
      </c>
      <c r="F11" s="42">
        <v>0</v>
      </c>
      <c r="G11" s="42">
        <v>480</v>
      </c>
      <c r="H11" s="42">
        <v>61895</v>
      </c>
      <c r="I11" s="42">
        <v>63007</v>
      </c>
      <c r="J11" s="30" t="s">
        <v>184</v>
      </c>
      <c r="K11" s="42">
        <v>63069</v>
      </c>
      <c r="L11" s="131" t="s">
        <v>50</v>
      </c>
      <c r="M11" s="132">
        <f t="shared" si="0"/>
        <v>32.735999999999997</v>
      </c>
      <c r="N11" s="133" t="str">
        <f>VLOOKUP(C11,'Trips&amp;Operators'!$C$1:$G$99911,5,FALSE)</f>
        <v>ANDREA WILLIAMS</v>
      </c>
      <c r="O11" s="176" t="s">
        <v>178</v>
      </c>
      <c r="P11" s="134" t="s">
        <v>344</v>
      </c>
      <c r="Q11" s="30"/>
      <c r="R11" s="81" t="str">
        <f>VLOOKUP(C11,'Train Runs'!$A$13:$AE$10144,31,0)</f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S11" s="84" t="str">
        <f>VLOOKUP(C11,'Train Runs'!$A$13:$AE$10144,22,0)</f>
        <v>https://d0f6bd738d7f1b3e5a7ca70fe4ff75f0.us-east-1.aws.found.io/app/kibana#/discover/Steve-Slow-Train-Analysis-(2080s-and-2083s)?_g=(refreshInterval:(display:Off,pause:!f,section:0,value:0),time:(from:'2017-11-09T11:40:08-0700',mode:absolute,to:'2017-11-09T14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1" s="86" t="str">
        <f t="shared" si="1"/>
        <v>"C:\Program Files (x86)\AstroGrep\AstroGrep.exe" /e /r /s /spath="%USERPROFILE%\AppData\Local\Temp\OnboardLogs" /stypes="*4066*201711091*"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4066</v>
      </c>
      <c r="V11" s="31">
        <f t="shared" si="3"/>
        <v>43048.832037037035</v>
      </c>
      <c r="W11" s="45" t="str">
        <f t="shared" si="4"/>
        <v>EC</v>
      </c>
      <c r="X11" s="22">
        <f t="shared" si="5"/>
        <v>173</v>
      </c>
      <c r="Y11" s="96" t="str">
        <f t="shared" si="6"/>
        <v>echo {"issue":{"subject":"Early Arrival","project_id":79,"tracker_id":40,"status_id":1,"priority_id":2,"assigned_to_id":338,"start_date":"2017-11-09","description":"","custom_fields":[{"id":1,"name":"Subdivision","value":"EC"},{"id":4,"name":"Milepost","value":"6.3069"},{"id":17,"name":"Train ID","value":"173-09"},{"id":16,"name":"Locomotive ID","value":"4066"},{"id":130,"name":"Impact","value":""},{"id":150,"name":"Time of Event (Mountain Time)","value":"12:58:08"},{"id":151,"name":"Denver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/c/Users/stu/AppData/Local/Temp/OnboardLogs/RTDC4066 --include="*4066*201711091*"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"%USERPROFILE%\AppData\Local\Temp\OnboardLogs"\RTDC4066\*4066*201711091* &gt;&gt; 2017-11-09-SliceDisagreementCheck.txt</v>
      </c>
      <c r="AE11" s="145" t="str">
        <f t="shared" si="9"/>
        <v>start /low /b %USERPROFILE%\Documents\GitHub\eaglep3\Utilities\DownloadLogsFromS3.py --loco 4066 --day 2017-11-09</v>
      </c>
      <c r="AF11" s="1"/>
    </row>
    <row r="12" spans="1:32" x14ac:dyDescent="0.25">
      <c r="A12" s="31">
        <v>43048.573009259257</v>
      </c>
      <c r="B12" s="30" t="s">
        <v>648</v>
      </c>
      <c r="C12" s="30" t="s">
        <v>649</v>
      </c>
      <c r="D12" s="30" t="s">
        <v>49</v>
      </c>
      <c r="E12" s="30" t="s">
        <v>183</v>
      </c>
      <c r="F12" s="42">
        <v>360</v>
      </c>
      <c r="G12" s="42">
        <v>422</v>
      </c>
      <c r="H12" s="42">
        <v>110130</v>
      </c>
      <c r="I12" s="42">
        <v>109017</v>
      </c>
      <c r="J12" s="30" t="s">
        <v>184</v>
      </c>
      <c r="K12" s="42">
        <v>109135</v>
      </c>
      <c r="L12" s="131" t="s">
        <v>51</v>
      </c>
      <c r="M12" s="132">
        <f t="shared" si="0"/>
        <v>-62.304000000000002</v>
      </c>
      <c r="N12" s="133" t="str">
        <f>VLOOKUP(C12,'Trips&amp;Operators'!$C$1:$G$99911,5,FALSE)</f>
        <v>BADERTSCHER DIANE</v>
      </c>
      <c r="O12" s="176" t="s">
        <v>178</v>
      </c>
      <c r="P12" s="134" t="s">
        <v>344</v>
      </c>
      <c r="Q12" s="30"/>
      <c r="R12" s="81" t="str">
        <f>VLOOKUP(C12,'Train Runs'!$A$13:$AE$10144,31,0)</f>
        <v>aws s3 cp s3://rtdc.mdm.uploadarchive.raw/RTDC4021/ "%USERPROFILE%\AppData\Local\Temp\OnboardLogs"\RTDC4021\2017-11-09 --exclude "*" --recursive --include "*20171109*" &amp; "%USERPROFILE%\Documents\GitHub\mrs-test-scripts\Headless Mode &amp; Sideloading\WalkAndUnGZ.bat" "%USERPROFILE%\AppData\Local\Temp\OnboardLogs"\RTDC4021\2017-11-09 &amp; aws s3 cp s3://rtdc.mdm.uploadarchive.raw/RTDC4021/ "%USERPROFILE%\AppData\Local\Temp\OnboardLogs"\RTDC4021\2017-11-10 --exclude "*" --recursive --include "*20171110*" &amp; "%USERPROFILE%\Documents\GitHub\mrs-test-scripts\Headless Mode &amp; Sideloading\WalkAndUnGZ.bat" "%USERPROFILE%\AppData\Local\Temp\OnboardLogs"\RTDC4021\2017-11-10</v>
      </c>
      <c r="S12" s="84" t="str">
        <f>VLOOKUP(C12,'Train Runs'!$A$13:$AE$10144,22,0)</f>
        <v>https://d0f6bd738d7f1b3e5a7ca70fe4ff75f0.us-east-1.aws.found.io/app/kibana#/discover/Steve-Slow-Train-Analysis-(2080s-and-2083s)?_g=(refreshInterval:(display:Off,pause:!f,section:0,value:0),time:(from:'2017-11-09T12:18:56-0700',mode:absolute,to:'2017-11-09T15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2" s="86" t="str">
        <f t="shared" si="1"/>
        <v>"C:\Program Files (x86)\AstroGrep\AstroGrep.exe" /e /r /s /spath="%USERPROFILE%\AppData\Local\Temp\OnboardLogs" /stypes="*4021*201711092*"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4021</v>
      </c>
      <c r="V12" s="31">
        <f t="shared" si="3"/>
        <v>43048.864675925921</v>
      </c>
      <c r="W12" s="45" t="str">
        <f t="shared" si="4"/>
        <v>EC</v>
      </c>
      <c r="X12" s="22">
        <f t="shared" si="5"/>
        <v>172</v>
      </c>
      <c r="Y12" s="96" t="str">
        <f t="shared" si="6"/>
        <v>echo {"issue":{"subject":"Early Arrival","project_id":79,"tracker_id":40,"status_id":1,"priority_id":2,"assigned_to_id":338,"start_date":"2017-11-09","description":"","custom_fields":[{"id":1,"name":"Subdivision","value":"EC"},{"id":4,"name":"Milepost","value":"10.9135"},{"id":17,"name":"Train ID","value":"172-09"},{"id":16,"name":"Locomotive ID","value":"4021"},{"id":130,"name":"Impact","value":""},{"id":150,"name":"Time of Event (Mountain Time)","value":"13:45:08"},{"id":151,"name":"Denver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/c/Users/stu/AppData/Local/Temp/OnboardLogs/RTDC4021 --include="*4021*201711092*"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"%USERPROFILE%\AppData\Local\Temp\OnboardLogs"\RTDC4021\*4021*201711092* &gt;&gt; 2017-11-09-SliceDisagreementCheck.txt</v>
      </c>
      <c r="AE12" s="145" t="str">
        <f t="shared" si="9"/>
        <v>start /low /b %USERPROFILE%\Documents\GitHub\eaglep3\Utilities\DownloadLogsFromS3.py --loco 4021 --day 2017-11-09</v>
      </c>
      <c r="AF12" s="1"/>
    </row>
    <row r="13" spans="1:32" x14ac:dyDescent="0.25">
      <c r="A13" s="31">
        <v>43048.606932870367</v>
      </c>
      <c r="B13" s="30" t="s">
        <v>646</v>
      </c>
      <c r="C13" s="30" t="s">
        <v>652</v>
      </c>
      <c r="D13" s="30" t="s">
        <v>49</v>
      </c>
      <c r="E13" s="30" t="s">
        <v>190</v>
      </c>
      <c r="F13" s="42">
        <v>400</v>
      </c>
      <c r="G13" s="42">
        <v>515</v>
      </c>
      <c r="H13" s="42">
        <v>16576</v>
      </c>
      <c r="I13" s="42">
        <v>17863</v>
      </c>
      <c r="J13" s="30" t="s">
        <v>191</v>
      </c>
      <c r="K13" s="42">
        <v>17867</v>
      </c>
      <c r="L13" s="131" t="s">
        <v>50</v>
      </c>
      <c r="M13" s="132">
        <f t="shared" si="0"/>
        <v>2.1120000000000001</v>
      </c>
      <c r="N13" s="133" t="str">
        <f>VLOOKUP(C13,'Trips&amp;Operators'!$C$1:$G$99911,5,FALSE)</f>
        <v>ANDREA WILLIAMS</v>
      </c>
      <c r="O13" s="176" t="s">
        <v>178</v>
      </c>
      <c r="P13" s="134"/>
      <c r="Q13" s="30"/>
      <c r="R13" s="81" t="str">
        <f>VLOOKUP(C13,'Train Runs'!$A$13:$AE$10144,31,0)</f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S13" s="84" t="str">
        <f>VLOOKUP(C13,'Train Runs'!$A$13:$AE$10144,22,0)</f>
        <v>https://d0f6bd738d7f1b3e5a7ca70fe4ff75f0.us-east-1.aws.found.io/app/kibana#/discover/Steve-Slow-Train-Analysis-(2080s-and-2083s)?_g=(refreshInterval:(display:Off,pause:!f,section:0,value:0),time:(from:'2017-11-09T13:24:16-0700',mode:absolute,to:'2017-11-09T16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3" s="86" t="str">
        <f t="shared" si="1"/>
        <v>"C:\Program Files (x86)\AstroGrep\AstroGrep.exe" /e /r /s /spath="%USERPROFILE%\AppData\Local\Temp\OnboardLogs" /stypes="*4066*201711092*"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4066</v>
      </c>
      <c r="V13" s="31">
        <f t="shared" si="3"/>
        <v>43048.898599537031</v>
      </c>
      <c r="W13" s="45" t="str">
        <f t="shared" si="4"/>
        <v>EC</v>
      </c>
      <c r="X13" s="22">
        <f t="shared" si="5"/>
        <v>187</v>
      </c>
      <c r="Y13" s="96" t="str">
        <f t="shared" si="6"/>
        <v>echo {"issue":{"subject":"","project_id":79,"tracker_id":40,"status_id":1,"priority_id":2,"assigned_to_id":338,"start_date":"2017-11-09","description":"","custom_fields":[{"id":1,"name":"Subdivision","value":"EC"},{"id":4,"name":"Milepost","value":"1.7867"},{"id":17,"name":"Train ID","value":"187-09"},{"id":16,"name":"Locomotive ID","value":"4066"},{"id":130,"name":"Impact","value":""},{"id":150,"name":"Time of Event (Mountain Time)","value":"14:33:59"},{"id":151,"name":"Denver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/c/Users/stu/AppData/Local/Temp/OnboardLogs/RTDC4066 --include="*4066*201711092*"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"%USERPROFILE%\AppData\Local\Temp\OnboardLogs"\RTDC4066\*4066*201711092* &gt;&gt; 2017-11-09-SliceDisagreementCheck.txt</v>
      </c>
      <c r="AE13" s="145" t="str">
        <f t="shared" si="9"/>
        <v>start /low /b %USERPROFILE%\Documents\GitHub\eaglep3\Utilities\DownloadLogsFromS3.py --loco 4066 --day 2017-11-09</v>
      </c>
      <c r="AF13" s="1"/>
    </row>
    <row r="14" spans="1:32" x14ac:dyDescent="0.25">
      <c r="A14" s="31">
        <v>43048.981909722221</v>
      </c>
      <c r="B14" s="30" t="s">
        <v>553</v>
      </c>
      <c r="C14" s="30" t="s">
        <v>658</v>
      </c>
      <c r="D14" s="30" t="s">
        <v>49</v>
      </c>
      <c r="E14" s="30" t="s">
        <v>190</v>
      </c>
      <c r="F14" s="42">
        <v>300</v>
      </c>
      <c r="G14" s="42">
        <v>426</v>
      </c>
      <c r="H14" s="42">
        <v>23548</v>
      </c>
      <c r="I14" s="42">
        <v>22140</v>
      </c>
      <c r="J14" s="30" t="s">
        <v>191</v>
      </c>
      <c r="K14" s="42">
        <v>21871</v>
      </c>
      <c r="L14" s="131" t="s">
        <v>51</v>
      </c>
      <c r="M14" s="132">
        <f t="shared" si="0"/>
        <v>142.03200000000001</v>
      </c>
      <c r="N14" s="133" t="str">
        <f>VLOOKUP(C14,'Trips&amp;Operators'!$C$1:$G$99911,5,FALSE)</f>
        <v>ELBAUM MIKE</v>
      </c>
      <c r="O14" s="176" t="s">
        <v>178</v>
      </c>
      <c r="P14" s="134"/>
      <c r="Q14" s="30"/>
      <c r="R14" s="81" t="str">
        <f>VLOOKUP(C14,'Train Runs'!$A$13:$AE$10144,31,0)</f>
        <v>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 &amp; 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</v>
      </c>
      <c r="S14" s="84" t="str">
        <f>VLOOKUP(C14,'Train Runs'!$A$13:$AE$10144,22,0)</f>
        <v>https://d0f6bd738d7f1b3e5a7ca70fe4ff75f0.us-east-1.aws.found.io/app/kibana#/discover/Steve-Slow-Train-Analysis-(2080s-and-2083s)?_g=(refreshInterval:(display:Off,pause:!f,section:0,value:0),time:(from:'2017-11-09T21:51:12-0700',mode:absolute,to:'2017-11-10T00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86" t="str">
        <f t="shared" si="1"/>
        <v>"C:\Program Files (x86)\AstroGrep\AstroGrep.exe" /e /r /s /spath="%USERPROFILE%\AppData\Local\Temp\OnboardLogs" /stypes="*4013*201711100*" /stext=" 06:.+((SYSTEM_STATE.+slice.+state.+changed )|(ment ac)|(multiple cpu faults)|(system.+state.+changed )|(\[timeout)|(PRM\|1\|D)|(kpr)|(kdp)|(train st.+moving)|(\|lc)|(penalty))"</v>
      </c>
      <c r="U14" s="9" t="str">
        <f t="shared" si="2"/>
        <v>4013</v>
      </c>
      <c r="V14" s="31">
        <f t="shared" si="3"/>
        <v>43049.273576388885</v>
      </c>
      <c r="W14" s="45" t="str">
        <f t="shared" si="4"/>
        <v>EC</v>
      </c>
      <c r="X14" s="22">
        <f t="shared" si="5"/>
        <v>234</v>
      </c>
      <c r="Y14" s="96" t="str">
        <f t="shared" si="6"/>
        <v>echo {"issue":{"subject":"","project_id":79,"tracker_id":40,"status_id":1,"priority_id":2,"assigned_to_id":338,"start_date":"2017-11-09","description":"","custom_fields":[{"id":1,"name":"Subdivision","value":"EC"},{"id":4,"name":"Milepost","value":"2.1871"},{"id":17,"name":"Train ID","value":"234-09"},{"id":16,"name":"Locomotive ID","value":"4013"},{"id":130,"name":"Impact","value":""},{"id":150,"name":"Time of Event (Mountain Time)","value":"23:33:57"},{"id":151,"name":"Denver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/c/Users/stu/AppData/Local/Temp/OnboardLogs/RTDC4013 --include="*4013*201711100*"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"%USERPROFILE%\AppData\Local\Temp\OnboardLogs"\RTDC4013\*4013*201711100* &gt;&gt; 2017-11-09-SliceDisagreementCheck.txt</v>
      </c>
      <c r="AE14" s="145" t="str">
        <f t="shared" si="9"/>
        <v>start /low /b %USERPROFILE%\Documents\GitHub\eaglep3\Utilities\DownloadLogsFromS3.py --loco 4013 --day 2017-11-10</v>
      </c>
      <c r="AF14" s="1"/>
    </row>
    <row r="15" spans="1:32" x14ac:dyDescent="0.25">
      <c r="A15" s="31">
        <v>43048.628587962965</v>
      </c>
      <c r="B15" s="30" t="s">
        <v>646</v>
      </c>
      <c r="C15" s="30" t="s">
        <v>652</v>
      </c>
      <c r="D15" s="30" t="s">
        <v>49</v>
      </c>
      <c r="E15" s="30" t="s">
        <v>190</v>
      </c>
      <c r="F15" s="42">
        <v>550</v>
      </c>
      <c r="G15" s="42">
        <v>799</v>
      </c>
      <c r="H15" s="42">
        <v>217830</v>
      </c>
      <c r="I15" s="42">
        <v>221768</v>
      </c>
      <c r="J15" s="30" t="s">
        <v>191</v>
      </c>
      <c r="K15" s="42">
        <v>222090</v>
      </c>
      <c r="L15" s="131" t="s">
        <v>50</v>
      </c>
      <c r="M15" s="132">
        <f t="shared" si="0"/>
        <v>170.01599999999999</v>
      </c>
      <c r="N15" s="133" t="str">
        <f>VLOOKUP(C15,'Trips&amp;Operators'!$C$1:$G$99911,5,FALSE)</f>
        <v>ANDREA WILLIAMS</v>
      </c>
      <c r="O15" s="176" t="s">
        <v>178</v>
      </c>
      <c r="P15" s="134"/>
      <c r="Q15" s="30"/>
      <c r="R15" s="81" t="str">
        <f>VLOOKUP(C15,'Train Runs'!$A$13:$AE$10144,31,0)</f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S15" s="84" t="str">
        <f>VLOOKUP(C15,'Train Runs'!$A$13:$AE$10144,22,0)</f>
        <v>https://d0f6bd738d7f1b3e5a7ca70fe4ff75f0.us-east-1.aws.found.io/app/kibana#/discover/Steve-Slow-Train-Analysis-(2080s-and-2083s)?_g=(refreshInterval:(display:Off,pause:!f,section:0,value:0),time:(from:'2017-11-09T13:24:16-0700',mode:absolute,to:'2017-11-09T16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5" s="86" t="str">
        <f t="shared" si="1"/>
        <v>"C:\Program Files (x86)\AstroGrep\AstroGrep.exe" /e /r /s /spath="%USERPROFILE%\AppData\Local\Temp\OnboardLogs" /stypes="*4066*201711092*"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4066</v>
      </c>
      <c r="V15" s="31">
        <f t="shared" si="3"/>
        <v>43048.920254629629</v>
      </c>
      <c r="W15" s="45" t="str">
        <f t="shared" si="4"/>
        <v>EC</v>
      </c>
      <c r="X15" s="22">
        <f t="shared" si="5"/>
        <v>187</v>
      </c>
      <c r="Y15" s="96" t="str">
        <f t="shared" si="6"/>
        <v>echo {"issue":{"subject":"","project_id":79,"tracker_id":40,"status_id":1,"priority_id":2,"assigned_to_id":338,"start_date":"2017-11-09","description":"","custom_fields":[{"id":1,"name":"Subdivision","value":"EC"},{"id":4,"name":"Milepost","value":"22.209"},{"id":17,"name":"Train ID","value":"187-09"},{"id":16,"name":"Locomotive ID","value":"4066"},{"id":130,"name":"Impact","value":""},{"id":150,"name":"Time of Event (Mountain Time)","value":"15:05:10"},{"id":151,"name":"Denver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/c/Users/stu/AppData/Local/Temp/OnboardLogs/RTDC4066 --include="*4066*201711092*"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"%USERPROFILE%\AppData\Local\Temp\OnboardLogs"\RTDC4066\*4066*201711092* &gt;&gt; 2017-11-09-SliceDisagreementCheck.txt</v>
      </c>
      <c r="AE15" s="145" t="str">
        <f t="shared" si="9"/>
        <v>start /low /b %USERPROFILE%\Documents\GitHub\eaglep3\Utilities\DownloadLogsFromS3.py --loco 4066 --day 2017-11-09</v>
      </c>
      <c r="AF15" s="1"/>
    </row>
    <row r="16" spans="1:32" x14ac:dyDescent="0.25">
      <c r="A16" s="31">
        <v>43048.584733796299</v>
      </c>
      <c r="B16" s="30" t="s">
        <v>650</v>
      </c>
      <c r="C16" s="30" t="s">
        <v>651</v>
      </c>
      <c r="D16" s="30" t="s">
        <v>49</v>
      </c>
      <c r="E16" s="30" t="s">
        <v>356</v>
      </c>
      <c r="F16" s="42">
        <v>0</v>
      </c>
      <c r="G16" s="42">
        <v>39</v>
      </c>
      <c r="H16" s="42">
        <v>1495</v>
      </c>
      <c r="I16" s="42">
        <v>1513</v>
      </c>
      <c r="J16" s="30" t="s">
        <v>357</v>
      </c>
      <c r="K16" s="42">
        <v>1692</v>
      </c>
      <c r="L16" s="131" t="s">
        <v>50</v>
      </c>
      <c r="M16" s="132">
        <f t="shared" si="0"/>
        <v>94.512</v>
      </c>
      <c r="N16" s="133" t="str">
        <f>VLOOKUP(C16,'Trips&amp;Operators'!$C$1:$G$99911,5,FALSE)</f>
        <v>KILLION DAVID</v>
      </c>
      <c r="O16" s="176" t="s">
        <v>350</v>
      </c>
      <c r="P16" s="134" t="s">
        <v>638</v>
      </c>
      <c r="Q16" s="30"/>
      <c r="R16" s="81" t="str">
        <f>VLOOKUP(C16,'Train Runs'!$A$13:$AE$10144,31,0)</f>
        <v>aws s3 cp s3://rtdc.mdm.uploadarchive.raw/RTDC4006/ "%USERPROFILE%\AppData\Local\Temp\OnboardLogs"\RTDC4006\2017-11-09 --exclude "*" --recursive --include "*20171109*" &amp; "%USERPROFILE%\Documents\GitHub\mrs-test-scripts\Headless Mode &amp; Sideloading\WalkAndUnGZ.bat" "%USERPROFILE%\AppData\Local\Temp\OnboardLogs"\RTDC4006\2017-11-09 &amp; aws s3 cp s3://rtdc.mdm.uploadarchive.raw/RTDC4006/ "%USERPROFILE%\AppData\Local\Temp\OnboardLogs"\RTDC4006\2017-11-10 --exclude "*" --recursive --include "*20171110*" &amp; "%USERPROFILE%\Documents\GitHub\mrs-test-scripts\Headless Mode &amp; Sideloading\WalkAndUnGZ.bat" "%USERPROFILE%\AppData\Local\Temp\OnboardLogs"\RTDC4006\2017-11-10</v>
      </c>
      <c r="S16" s="84" t="str">
        <f>VLOOKUP(C16,'Train Runs'!$A$13:$AE$10144,22,0)</f>
        <v>https://d0f6bd738d7f1b3e5a7ca70fe4ff75f0.us-east-1.aws.found.io/app/kibana#/discover/Steve-Slow-Train-Analysis-(2080s-and-2083s)?_g=(refreshInterval:(display:Off,pause:!f,section:0,value:0),time:(from:'2017-11-09T12:53:14-0700',mode:absolute,to:'2017-11-09T15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86" t="str">
        <f t="shared" si="1"/>
        <v>"C:\Program Files (x86)\AstroGrep\AstroGrep.exe" /e /r /s /spath="%USERPROFILE%\AppData\Local\Temp\OnboardLogs" /stypes="*4006*201711092*"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4006</v>
      </c>
      <c r="V16" s="31">
        <f t="shared" si="3"/>
        <v>43048.876400462963</v>
      </c>
      <c r="W16" s="45" t="str">
        <f t="shared" si="4"/>
        <v>EC</v>
      </c>
      <c r="X16" s="22">
        <f t="shared" si="5"/>
        <v>183</v>
      </c>
      <c r="Y16" s="96" t="str">
        <f t="shared" si="6"/>
        <v>echo {"issue":{"subject":"Operator selected wrong track","project_id":79,"tracker_id":40,"status_id":1,"priority_id":2,"assigned_to_id":338,"start_date":"2017-11-09","description":"","custom_fields":[{"id":1,"name":"Subdivision","value":"EC"},{"id":4,"name":"Milepost","value":"0.1692"},{"id":17,"name":"Train ID","value":"183-09"},{"id":16,"name":"Locomotive ID","value":"4006"},{"id":130,"name":"Impact","value":""},{"id":150,"name":"Time of Event (Mountain Time)","value":"14:02:01"},{"id":151,"name":"Denver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/c/Users/stu/AppData/Local/Temp/OnboardLogs/RTDC4006 --include="*4006*201711092*"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"%USERPROFILE%\AppData\Local\Temp\OnboardLogs"\RTDC4006\*4006*201711092* &gt;&gt; 2017-11-09-SliceDisagreementCheck.txt</v>
      </c>
      <c r="AE16" s="145" t="str">
        <f t="shared" si="9"/>
        <v>start /low /b %USERPROFILE%\Documents\GitHub\eaglep3\Utilities\DownloadLogsFromS3.py --loco 4006 --day 2017-11-09</v>
      </c>
      <c r="AF16" s="1"/>
    </row>
    <row r="17" spans="1:32" x14ac:dyDescent="0.25">
      <c r="A17" s="31">
        <v>43049.060231481482</v>
      </c>
      <c r="B17" s="30" t="s">
        <v>553</v>
      </c>
      <c r="C17" s="30" t="s">
        <v>661</v>
      </c>
      <c r="D17" s="30" t="s">
        <v>49</v>
      </c>
      <c r="E17" s="30" t="s">
        <v>356</v>
      </c>
      <c r="F17" s="42">
        <v>0</v>
      </c>
      <c r="G17" s="42">
        <v>80</v>
      </c>
      <c r="H17" s="42">
        <v>36726</v>
      </c>
      <c r="I17" s="42">
        <v>36544</v>
      </c>
      <c r="J17" s="30" t="s">
        <v>357</v>
      </c>
      <c r="K17" s="42">
        <v>36657</v>
      </c>
      <c r="L17" s="131" t="s">
        <v>51</v>
      </c>
      <c r="M17" s="132">
        <f t="shared" si="0"/>
        <v>-59.664000000000001</v>
      </c>
      <c r="N17" s="133" t="str">
        <f>VLOOKUP(C17,'Trips&amp;Operators'!$C$1:$G$99911,5,FALSE)</f>
        <v>ELBAUM MIKE</v>
      </c>
      <c r="O17" s="176" t="s">
        <v>350</v>
      </c>
      <c r="P17" s="134" t="s">
        <v>1103</v>
      </c>
      <c r="Q17" s="30"/>
      <c r="R17" s="81" t="str">
        <f>VLOOKUP(C17,'Train Runs'!$A$13:$AE$10144,31,0)</f>
        <v>aws s3 cp s3://rtdc.mdm.uploadarchive.raw/RTDC4013/ "%USERPROFILE%\AppData\Local\Temp\OnboardLogs"\RTDC4013\2017-11-10 --exclude "*" --recursive --include "*20171110*" &amp; "%USERPROFILE%\Documents\GitHub\mrs-test-scripts\Headless Mode &amp; Sideloading\WalkAndUnGZ.bat" "%USERPROFILE%\AppData\Local\Temp\OnboardLogs"\RTDC4013\2017-11-10 &amp; aws s3 cp s3://rtdc.mdm.uploadarchive.raw/RTDC4013/ "%USERPROFILE%\AppData\Local\Temp\OnboardLogs"\RTDC4013\2017-11-11 --exclude "*" --recursive --include "*20171111*" &amp; "%USERPROFILE%\Documents\GitHub\mrs-test-scripts\Headless Mode &amp; Sideloading\WalkAndUnGZ.bat" "%USERPROFILE%\AppData\Local\Temp\OnboardLogs"\RTDC4013\2017-11-11</v>
      </c>
      <c r="S17" s="84" t="str">
        <f>VLOOKUP(C17,'Train Runs'!$A$13:$AE$10144,22,0)</f>
        <v>https://d0f6bd738d7f1b3e5a7ca70fe4ff75f0.us-east-1.aws.found.io/app/kibana#/discover/Steve-Slow-Train-Analysis-(2080s-and-2083s)?_g=(refreshInterval:(display:Off,pause:!f,section:0,value:0),time:(from:'2017-11-09T22:46:45-0700',mode:absolute,to:'2017-11-10T02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 t="shared" si="1"/>
        <v>"C:\Program Files (x86)\AstroGrep\AstroGrep.exe" /e /r /s /spath="%USERPROFILE%\AppData\Local\Temp\OnboardLogs" /stypes="*4013*201711100*" /stext=" 08:.+((SYSTEM_STATE.+slice.+state.+changed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43049.351898148147</v>
      </c>
      <c r="W17" s="45" t="str">
        <f t="shared" si="4"/>
        <v>EC</v>
      </c>
      <c r="X17" s="22">
        <f t="shared" si="5"/>
        <v>242</v>
      </c>
      <c r="Y17" s="96" t="str">
        <f t="shared" si="6"/>
        <v>echo {"issue":{"subject":"Signal downgrade to stop and proceed","project_id":79,"tracker_id":40,"status_id":1,"priority_id":2,"assigned_to_id":338,"start_date":"2017-11-10","description":"We noticed that the EC0365RH 37-1T 1S dropped from SG-5 to stop and proceed in front of a train at around 1:26:44 on 11/10.  Was there anything unusual going on with this signal at this time?","custom_fields":[{"id":1,"name":"Subdivision","value":"EC"},{"id":4,"name":"Milepost","value":"3.6657"},{"id":17,"name":"Train ID","value":"242-09"},{"id":16,"name":"Locomotive ID","value":"4013"},{"id":130,"name":"Impact","value":"Enforcement"},{"id":150,"name":"Time of Event (Mountain Time)","value":"01:26:44"},{"id":151,"name":"Denver Issue ID","value":""},{"id":178,"name":"Operational Impact","value":"Yes"},{"id":179,"name":"Denver Segment Assigned","value":"Signal"}]}} | curl --insecure -X POST -H "Content-Type: application/json" -H "X-Redmine-API-Key: %REDMINEAPIKEY%" https://secure.xorail.net/redmine/issues.json --data @-</v>
      </c>
      <c r="Z17" s="159" t="s">
        <v>1109</v>
      </c>
      <c r="AA17" s="47" t="s">
        <v>118</v>
      </c>
      <c r="AB17" s="47" t="s">
        <v>123</v>
      </c>
      <c r="AC17" s="115" t="str">
        <f t="shared" si="7"/>
        <v>grep -hrE -A400 "Enforcement Action" /c/Users/stu/AppData/Local/Temp/OnboardLogs/RTDC4013 --include="*4013*201711100*"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"%USERPROFILE%\AppData\Local\Temp\OnboardLogs"\RTDC4013\*4013*201711100* &gt;&gt; 2017-11-09-SliceDisagreementCheck.txt</v>
      </c>
      <c r="AE17" s="145" t="str">
        <f t="shared" si="9"/>
        <v>start /low /b %USERPROFILE%\Documents\GitHub\eaglep3\Utilities\DownloadLogsFromS3.py --loco 4013 --day 2017-11-10</v>
      </c>
      <c r="AF17" s="1"/>
    </row>
    <row r="18" spans="1:32" x14ac:dyDescent="0.25">
      <c r="A18" s="31">
        <v>43048.784282407411</v>
      </c>
      <c r="B18" s="30" t="s">
        <v>497</v>
      </c>
      <c r="C18" s="30" t="s">
        <v>655</v>
      </c>
      <c r="D18" s="30" t="s">
        <v>49</v>
      </c>
      <c r="E18" s="30" t="s">
        <v>356</v>
      </c>
      <c r="F18" s="42">
        <v>0</v>
      </c>
      <c r="G18" s="42">
        <v>730</v>
      </c>
      <c r="H18" s="42">
        <v>78891</v>
      </c>
      <c r="I18" s="42">
        <v>75794</v>
      </c>
      <c r="J18" s="30" t="s">
        <v>357</v>
      </c>
      <c r="K18" s="42">
        <v>75579</v>
      </c>
      <c r="L18" s="131" t="s">
        <v>51</v>
      </c>
      <c r="M18" s="132">
        <f t="shared" si="0"/>
        <v>113.52</v>
      </c>
      <c r="N18" s="133" t="str">
        <f>VLOOKUP(C18,'Trips&amp;Operators'!$C$1:$G$99911,5,FALSE)</f>
        <v>ROBINSON KADDIBA</v>
      </c>
      <c r="O18" s="176" t="s">
        <v>350</v>
      </c>
      <c r="P18" s="134" t="s">
        <v>1104</v>
      </c>
      <c r="Q18" s="30"/>
      <c r="R18" s="81" t="str">
        <f>VLOOKUP(C18,'Train Runs'!$A$13:$AE$10144,31,0)</f>
        <v>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 &amp; aws s3 cp s3://rtdc.mdm.uploadarchive.raw/RTDC4019/ "%USERPROFILE%\AppData\Local\Temp\OnboardLogs"\RTDC4019\2017-11-10 --exclude "*" --recursive --include "*20171110*" &amp; "%USERPROFILE%\Documents\GitHub\mrs-test-scripts\Headless Mode &amp; Sideloading\WalkAndUnGZ.bat" "%USERPROFILE%\AppData\Local\Temp\OnboardLogs"\RTDC4019\2017-11-10</v>
      </c>
      <c r="S18" s="84" t="str">
        <f>VLOOKUP(C18,'Train Runs'!$A$13:$AE$10144,22,0)</f>
        <v>https://d0f6bd738d7f1b3e5a7ca70fe4ff75f0.us-east-1.aws.found.io/app/kibana#/discover/Steve-Slow-Train-Analysis-(2080s-and-2083s)?_g=(refreshInterval:(display:Off,pause:!f,section:0,value:0),time:(from:'2017-11-09T17:16:02-0700',mode:absolute,to:'2017-11-09T20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6" t="str">
        <f t="shared" si="1"/>
        <v>"C:\Program Files (x86)\AstroGrep\AstroGrep.exe" /e /r /s /spath="%USERPROFILE%\AppData\Local\Temp\OnboardLogs" /stypes="*4019*201711100*"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4019</v>
      </c>
      <c r="V18" s="31">
        <f t="shared" si="3"/>
        <v>43049.075949074075</v>
      </c>
      <c r="W18" s="45" t="str">
        <f t="shared" si="4"/>
        <v>EC</v>
      </c>
      <c r="X18" s="22">
        <f t="shared" si="5"/>
        <v>212</v>
      </c>
      <c r="Y18" s="96" t="str">
        <f t="shared" si="6"/>
        <v>echo {"issue":{"subject":"Wi-MAX data drop","project_id":79,"tracker_id":40,"status_id":1,"priority_id":2,"assigned_to_id":338,"start_date":"2017-11-09","description":"","custom_fields":[{"id":1,"name":"Subdivision","value":"EC"},{"id":4,"name":"Milepost","value":"7.5579"},{"id":17,"name":"Train ID","value":"212-09"},{"id":16,"name":"Locomotive ID","value":"4019"},{"id":130,"name":"Impact","value":""},{"id":150,"name":"Time of Event (Mountain Time)","value":"18:49:22"},{"id":151,"name":"Denver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/c/Users/stu/AppData/Local/Temp/OnboardLogs/RTDC4019 --include="*4019*201711100*"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"%USERPROFILE%\AppData\Local\Temp\OnboardLogs"\RTDC4019\*4019*201711100* &gt;&gt; 2017-11-09-SliceDisagreementCheck.txt</v>
      </c>
      <c r="AE18" s="145" t="str">
        <f t="shared" si="9"/>
        <v>start /low /b %USERPROFILE%\Documents\GitHub\eaglep3\Utilities\DownloadLogsFromS3.py --loco 4019 --day 2017-11-10</v>
      </c>
      <c r="AF18" s="1"/>
    </row>
    <row r="19" spans="1:32" x14ac:dyDescent="0.25">
      <c r="A19" s="31">
        <v>43048.501481481479</v>
      </c>
      <c r="B19" s="30" t="s">
        <v>644</v>
      </c>
      <c r="C19" s="30" t="s">
        <v>645</v>
      </c>
      <c r="D19" s="30" t="s">
        <v>49</v>
      </c>
      <c r="E19" s="30" t="s">
        <v>356</v>
      </c>
      <c r="F19" s="42">
        <v>0</v>
      </c>
      <c r="G19" s="42">
        <v>117</v>
      </c>
      <c r="H19" s="42">
        <v>86385</v>
      </c>
      <c r="I19" s="42">
        <v>86815</v>
      </c>
      <c r="J19" s="30" t="s">
        <v>357</v>
      </c>
      <c r="K19" s="42">
        <v>87889</v>
      </c>
      <c r="L19" s="131" t="s">
        <v>50</v>
      </c>
      <c r="M19" s="132">
        <f t="shared" si="0"/>
        <v>567.072</v>
      </c>
      <c r="N19" s="133" t="str">
        <f>VLOOKUP(C19,'Trips&amp;Operators'!$C$1:$G$99911,5,FALSE)</f>
        <v>LEVIN SCOTT</v>
      </c>
      <c r="O19" s="176" t="s">
        <v>350</v>
      </c>
      <c r="P19" s="134" t="s">
        <v>1104</v>
      </c>
      <c r="Q19" s="30"/>
      <c r="R19" s="81" t="str">
        <f>VLOOKUP(C19,'Train Runs'!$A$13:$AE$10144,31,0)</f>
        <v>aws s3 cp s3://rtdc.mdm.uploadarchive.raw/RTDC4026/ "%USERPROFILE%\AppData\Local\Temp\OnboardLogs"\RTDC4026\2017-11-09 --exclude "*" --recursive --include "*20171109*" &amp; "%USERPROFILE%\Documents\GitHub\mrs-test-scripts\Headless Mode &amp; Sideloading\WalkAndUnGZ.bat" "%USERPROFILE%\AppData\Local\Temp\OnboardLogs"\RTDC4026\2017-11-09 &amp; aws s3 cp s3://rtdc.mdm.uploadarchive.raw/RTDC4026/ "%USERPROFILE%\AppData\Local\Temp\OnboardLogs"\RTDC4026\2017-11-10 --exclude "*" --recursive --include "*20171110*" &amp; "%USERPROFILE%\Documents\GitHub\mrs-test-scripts\Headless Mode &amp; Sideloading\WalkAndUnGZ.bat" "%USERPROFILE%\AppData\Local\Temp\OnboardLogs"\RTDC4026\2017-11-10</v>
      </c>
      <c r="S19" s="84" t="str">
        <f>VLOOKUP(C19,'Train Runs'!$A$13:$AE$10144,22,0)</f>
        <v>https://d0f6bd738d7f1b3e5a7ca70fe4ff75f0.us-east-1.aws.found.io/app/kibana#/discover/Steve-Slow-Train-Analysis-(2080s-and-2083s)?_g=(refreshInterval:(display:Off,pause:!f,section:0,value:0),time:(from:'2017-11-09T10:40:24-0700',mode:absolute,to:'2017-11-09T13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6" t="str">
        <f t="shared" si="1"/>
        <v>"C:\Program Files (x86)\AstroGrep\AstroGrep.exe" /e /r /s /spath="%USERPROFILE%\AppData\Local\Temp\OnboardLogs" /stypes="*4026*201711091*"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4026</v>
      </c>
      <c r="V19" s="31">
        <f t="shared" si="3"/>
        <v>43048.793148148143</v>
      </c>
      <c r="W19" s="45" t="str">
        <f t="shared" si="4"/>
        <v>EC</v>
      </c>
      <c r="X19" s="22">
        <f t="shared" si="5"/>
        <v>165</v>
      </c>
      <c r="Y19" s="96" t="str">
        <f t="shared" si="6"/>
        <v>echo {"issue":{"subject":"Wi-MAX data drop","project_id":79,"tracker_id":40,"status_id":1,"priority_id":2,"assigned_to_id":338,"start_date":"2017-11-09","description":"","custom_fields":[{"id":1,"name":"Subdivision","value":"EC"},{"id":4,"name":"Milepost","value":"8.7889"},{"id":17,"name":"Train ID","value":"165-09"},{"id":16,"name":"Locomotive ID","value":"4026"},{"id":130,"name":"Impact","value":""},{"id":150,"name":"Time of Event (Mountain Time)","value":"12:02:08"},{"id":151,"name":"Denver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/c/Users/stu/AppData/Local/Temp/OnboardLogs/RTDC4026 --include="*4026*201711091*"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"%USERPROFILE%\AppData\Local\Temp\OnboardLogs"\RTDC4026\*4026*201711091* &gt;&gt; 2017-11-09-SliceDisagreementCheck.txt</v>
      </c>
      <c r="AE19" s="145" t="str">
        <f t="shared" si="9"/>
        <v>start /low /b %USERPROFILE%\Documents\GitHub\eaglep3\Utilities\DownloadLogsFromS3.py --loco 4026 --day 2017-11-09</v>
      </c>
      <c r="AF19" s="1"/>
    </row>
    <row r="20" spans="1:32" x14ac:dyDescent="0.25">
      <c r="A20" s="31">
        <v>43048.558182870373</v>
      </c>
      <c r="B20" s="30" t="s">
        <v>646</v>
      </c>
      <c r="C20" s="30" t="s">
        <v>647</v>
      </c>
      <c r="D20" s="30" t="s">
        <v>49</v>
      </c>
      <c r="E20" s="30" t="s">
        <v>498</v>
      </c>
      <c r="F20" s="42">
        <v>0</v>
      </c>
      <c r="G20" s="42">
        <v>100</v>
      </c>
      <c r="H20" s="42">
        <v>233045</v>
      </c>
      <c r="I20" s="42">
        <v>233144</v>
      </c>
      <c r="J20" s="30" t="s">
        <v>499</v>
      </c>
      <c r="K20" s="42">
        <v>233491</v>
      </c>
      <c r="L20" s="131" t="s">
        <v>50</v>
      </c>
      <c r="M20" s="132">
        <f t="shared" si="0"/>
        <v>183.21600000000001</v>
      </c>
      <c r="N20" s="133" t="str">
        <f>VLOOKUP(C20,'Trips&amp;Operators'!$C$1:$G$99911,5,FALSE)</f>
        <v>ANDREA WILLIAMS</v>
      </c>
      <c r="O20" s="176" t="s">
        <v>178</v>
      </c>
      <c r="P20" s="134"/>
      <c r="Q20" s="30"/>
      <c r="R20" s="81" t="str">
        <f>VLOOKUP(C20,'Train Runs'!$A$13:$AE$10144,31,0)</f>
        <v>aws s3 cp s3://rtdc.mdm.uploadarchive.raw/RTDC4066/ "%USERPROFILE%\AppData\Local\Temp\OnboardLogs"\RTDC4066\2017-11-09 --exclude "*" --recursive --include "*20171109*" &amp; "%USERPROFILE%\Documents\GitHub\mrs-test-scripts\Headless Mode &amp; Sideloading\WalkAndUnGZ.bat" "%USERPROFILE%\AppData\Local\Temp\OnboardLogs"\RTDC4066\2017-11-09 &amp; aws s3 cp s3://rtdc.mdm.uploadarchive.raw/RTDC4066/ "%USERPROFILE%\AppData\Local\Temp\OnboardLogs"\RTDC4066\2017-11-10 --exclude "*" --recursive --include "*20171110*" &amp; "%USERPROFILE%\Documents\GitHub\mrs-test-scripts\Headless Mode &amp; Sideloading\WalkAndUnGZ.bat" "%USERPROFILE%\AppData\Local\Temp\OnboardLogs"\RTDC4066\2017-11-10</v>
      </c>
      <c r="S20" s="84" t="str">
        <f>VLOOKUP(C20,'Train Runs'!$A$13:$AE$10144,22,0)</f>
        <v>https://d0f6bd738d7f1b3e5a7ca70fe4ff75f0.us-east-1.aws.found.io/app/kibana#/discover/Steve-Slow-Train-Analysis-(2080s-and-2083s)?_g=(refreshInterval:(display:Off,pause:!f,section:0,value:0),time:(from:'2017-11-09T11:40:08-0700',mode:absolute,to:'2017-11-09T14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0" s="86" t="str">
        <f t="shared" si="1"/>
        <v>"C:\Program Files (x86)\AstroGrep\AstroGrep.exe" /e /r /s /spath="%USERPROFILE%\AppData\Local\Temp\OnboardLogs" /stypes="*4066*201711092*"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4066</v>
      </c>
      <c r="V20" s="31">
        <f t="shared" si="3"/>
        <v>43048.849849537037</v>
      </c>
      <c r="W20" s="45" t="str">
        <f t="shared" si="4"/>
        <v>EC</v>
      </c>
      <c r="X20" s="22">
        <f t="shared" si="5"/>
        <v>173</v>
      </c>
      <c r="Y20" s="96" t="str">
        <f t="shared" si="6"/>
        <v>echo {"issue":{"subject":"","project_id":79,"tracker_id":40,"status_id":1,"priority_id":2,"assigned_to_id":338,"start_date":"2017-11-09","description":"","custom_fields":[{"id":1,"name":"Subdivision","value":"EC"},{"id":4,"name":"Milepost","value":"23.3491"},{"id":17,"name":"Train ID","value":"173-09"},{"id":16,"name":"Locomotive ID","value":"4066"},{"id":130,"name":"Impact","value":""},{"id":150,"name":"Time of Event (Mountain Time)","value":"13:23:47"},{"id":151,"name":"Denver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/c/Users/stu/AppData/Local/Temp/OnboardLogs/RTDC4066 --include="*4066*201711092*"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"%USERPROFILE%\AppData\Local\Temp\OnboardLogs"\RTDC4066\*4066*201711092* &gt;&gt; 2017-11-09-SliceDisagreementCheck.txt</v>
      </c>
      <c r="AE20" s="145" t="str">
        <f t="shared" si="9"/>
        <v>start /low /b %USERPROFILE%\Documents\GitHub\eaglep3\Utilities\DownloadLogsFromS3.py --loco 4066 --day 2017-11-09</v>
      </c>
      <c r="AF20" s="1"/>
    </row>
    <row r="21" spans="1:32" x14ac:dyDescent="0.25">
      <c r="A21" s="31">
        <v>43048.282731481479</v>
      </c>
      <c r="B21" s="30" t="s">
        <v>543</v>
      </c>
      <c r="C21" s="30" t="s">
        <v>642</v>
      </c>
      <c r="D21" s="30" t="s">
        <v>49</v>
      </c>
      <c r="E21" s="30" t="s">
        <v>356</v>
      </c>
      <c r="F21" s="42">
        <v>0</v>
      </c>
      <c r="G21" s="42">
        <v>274</v>
      </c>
      <c r="H21" s="42">
        <v>32795</v>
      </c>
      <c r="I21" s="42">
        <v>33544</v>
      </c>
      <c r="J21" s="30" t="s">
        <v>357</v>
      </c>
      <c r="K21" s="42">
        <v>34583</v>
      </c>
      <c r="L21" s="131" t="s">
        <v>50</v>
      </c>
      <c r="M21" s="132">
        <f t="shared" si="0"/>
        <v>548.59199999999998</v>
      </c>
      <c r="N21" s="133" t="str">
        <f>VLOOKUP(C21,'Trips&amp;Operators'!$C$1:$G$99911,5,FALSE)</f>
        <v>HUFFSMITH MONTY</v>
      </c>
      <c r="O21" s="176" t="s">
        <v>178</v>
      </c>
      <c r="P21" s="134" t="s">
        <v>1105</v>
      </c>
      <c r="Q21" s="30"/>
      <c r="R21" s="81" t="str">
        <f>VLOOKUP(C21,'Train Runs'!$A$13:$AE$10144,31,0)</f>
        <v>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 &amp; aws s3 cp s3://rtdc.mdm.uploadarchive.raw/RTDC4054/ "%USERPROFILE%\AppData\Local\Temp\OnboardLogs"\RTDC4054\2017-11-10 --exclude "*" --recursive --include "*20171110*" &amp; "%USERPROFILE%\Documents\GitHub\mrs-test-scripts\Headless Mode &amp; Sideloading\WalkAndUnGZ.bat" "%USERPROFILE%\AppData\Local\Temp\OnboardLogs"\RTDC4054\2017-11-10</v>
      </c>
      <c r="S21" s="84" t="str">
        <f>VLOOKUP(C21,'Train Runs'!$A$13:$AE$10144,22,0)</f>
        <v>https://d0f6bd738d7f1b3e5a7ca70fe4ff75f0.us-east-1.aws.found.io/app/kibana#/discover/Steve-Slow-Train-Analysis-(2080s-and-2083s)?_g=(refreshInterval:(display:Off,pause:!f,section:0,value:0),time:(from:'2017-11-09T05:27:00-0700',mode:absolute,to:'2017-11-09T07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1" s="86" t="str">
        <f t="shared" si="1"/>
        <v>"C:\Program Files (x86)\AstroGrep\AstroGrep.exe" /e /r /s /spath="%USERPROFILE%\AppData\Local\Temp\OnboardLogs" /stypes="*4054*201711091*"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4054</v>
      </c>
      <c r="V21" s="31">
        <f t="shared" si="3"/>
        <v>43048.574398148143</v>
      </c>
      <c r="W21" s="45" t="str">
        <f t="shared" si="4"/>
        <v>NW</v>
      </c>
      <c r="X21" s="22">
        <f t="shared" si="5"/>
        <v>805</v>
      </c>
      <c r="Y21" s="96" t="str">
        <f t="shared" si="6"/>
        <v>echo {"issue":{"subject":"Restricting aspect (Pecos 4N)","project_id":79,"tracker_id":40,"status_id":1,"priority_id":2,"assigned_to_id":338,"start_date":"2017-11-09","description":"","custom_fields":[{"id":1,"name":"Subdivision","value":"NW"},{"id":4,"name":"Milepost","value":"3.4583"},{"id":17,"name":"Train ID","value":"805-09"},{"id":16,"name":"Locomotive ID","value":"4054"},{"id":130,"name":"Impact","value":""},{"id":150,"name":"Time of Event (Mountain Time)","value":"06:47:08"},{"id":151,"name":"Denver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/c/Users/stu/AppData/Local/Temp/OnboardLogs/RTDC4054 --include="*4054*201711091*"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"%USERPROFILE%\AppData\Local\Temp\OnboardLogs"\RTDC4054\*4054*201711091* &gt;&gt; 2017-11-09-SliceDisagreementCheck.txt</v>
      </c>
      <c r="AE21" s="145" t="str">
        <f t="shared" si="9"/>
        <v>start /low /b %USERPROFILE%\Documents\GitHub\eaglep3\Utilities\DownloadLogsFromS3.py --loco 4054 --day 2017-11-09</v>
      </c>
      <c r="AF21" s="1"/>
    </row>
    <row r="22" spans="1:32" x14ac:dyDescent="0.25">
      <c r="A22" s="31">
        <v>43049.031539351854</v>
      </c>
      <c r="B22" s="30" t="s">
        <v>450</v>
      </c>
      <c r="C22" s="30" t="s">
        <v>660</v>
      </c>
      <c r="D22" s="30" t="s">
        <v>95</v>
      </c>
      <c r="E22" s="30" t="s">
        <v>190</v>
      </c>
      <c r="F22" s="42">
        <v>200</v>
      </c>
      <c r="G22" s="42">
        <v>260</v>
      </c>
      <c r="H22" s="42">
        <v>6031</v>
      </c>
      <c r="I22" s="42">
        <v>6636</v>
      </c>
      <c r="J22" s="30" t="s">
        <v>191</v>
      </c>
      <c r="K22" s="42">
        <v>4790</v>
      </c>
      <c r="L22" s="131" t="s">
        <v>50</v>
      </c>
      <c r="M22" s="132">
        <f t="shared" si="0"/>
        <v>-974.68799999999999</v>
      </c>
      <c r="N22" s="133" t="str">
        <f>VLOOKUP(C22,'Trips&amp;Operators'!$C$1:$G$99911,5,FALSE)</f>
        <v>AUSTIN THOMPSON</v>
      </c>
      <c r="O22" s="176" t="s">
        <v>178</v>
      </c>
      <c r="P22" s="134"/>
      <c r="Q22" s="30"/>
      <c r="R22" s="81" t="e">
        <f>VLOOKUP(C22,'Train Runs'!$A$13:$AE$10144,31,0)</f>
        <v>#N/A</v>
      </c>
      <c r="S22" s="84" t="e">
        <f>VLOOKUP(C22,'Train Runs'!$A$13:$AE$10144,22,0)</f>
        <v>#N/A</v>
      </c>
      <c r="T22" s="86" t="str">
        <f t="shared" si="1"/>
        <v>"C:\Program Files (x86)\AstroGrep\AstroGrep.exe" /e /r /s /spath="%USERPROFILE%\AppData\Local\Temp\OnboardLogs" /stypes="*4064*201711100*" /stext=" 07:.+((SYSTEM_STATE.+slice.+state.+changed )|(ment ac)|(multiple cpu faults)|(system.+state.+changed )|(\[timeout)|(PRM\|1\|D)|(kpr)|(kdp)|(train st.+moving)|(\|lc)|(penalty))"</v>
      </c>
      <c r="U22" s="9" t="str">
        <f t="shared" si="2"/>
        <v>4064</v>
      </c>
      <c r="V22" s="31">
        <f t="shared" si="3"/>
        <v>43049.323206018518</v>
      </c>
      <c r="W22" s="45" t="str">
        <f t="shared" si="4"/>
        <v>Other</v>
      </c>
      <c r="X22" s="22">
        <f t="shared" si="5"/>
        <v>313</v>
      </c>
      <c r="Y22" s="96" t="str">
        <f t="shared" si="6"/>
        <v>echo {"issue":{"subject":"","project_id":79,"tracker_id":40,"status_id":1,"priority_id":2,"assigned_to_id":338,"start_date":"2017-11-10","description":"","custom_fields":[{"id":1,"name":"Subdivision","value":"Other"},{"id":4,"name":"Milepost","value":"0.479"},{"id":17,"name":"Train ID","value":"313-09"},{"id":16,"name":"Locomotive ID","value":"4064"},{"id":130,"name":"Impact","value":""},{"id":150,"name":"Time of Event (Mountain Time)","value":"00:45:25"},{"id":151,"name":"Denver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/c/Users/stu/AppData/Local/Temp/OnboardLogs/RTDC4064 --include="*4064*201711100*"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"%USERPROFILE%\AppData\Local\Temp\OnboardLogs"\RTDC4064\*4064*201711100* &gt;&gt; 2017-11-09-SliceDisagreementCheck.txt</v>
      </c>
      <c r="AE22" s="145" t="str">
        <f t="shared" si="9"/>
        <v>start /low /b %USERPROFILE%\Documents\GitHub\eaglep3\Utilities\DownloadLogsFromS3.py --loco 4064 --day 2017-11-10</v>
      </c>
      <c r="AF22" s="1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</sheetData>
  <autoFilter ref="A6:AC21">
    <sortState ref="A7:AC22">
      <sortCondition ref="W7:W22"/>
      <sortCondition ref="E7:E22"/>
      <sortCondition ref="K7:K22"/>
      <sortCondition ref="F7:F22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35:O1048576 O7:O2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2017-11-09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168</v>
      </c>
      <c r="B3" s="42" t="str">
        <f>A3&amp;"-"&amp;IF(DAY(Variables!$A$2)&lt;10,0,"")&amp;DAY(Variables!$A$2)</f>
        <v>168-09</v>
      </c>
      <c r="C3" s="135"/>
      <c r="D3" s="225" t="str">
        <f>VLOOKUP(B3,'Trips&amp;Operators'!$C$1:$H$1072,6,FALSE)</f>
        <v>4007</v>
      </c>
      <c r="E3" s="30" t="s">
        <v>1101</v>
      </c>
      <c r="F3" s="21" t="str">
        <f>VLOOKUP(B3,'Trips&amp;Operators'!$C$2:$E$9912,3,FALSE)</f>
        <v>BERLING</v>
      </c>
      <c r="G3" s="21" t="str">
        <f>VLOOKUP(B3,'Trips&amp;Operators'!$C$1:$F$9912,4,FALSE)</f>
        <v>GARY</v>
      </c>
      <c r="H3" s="29" t="str">
        <f>VLOOKUP(B3,'Trips&amp;Operators'!$C$1:$H$9912,5,FALSE)</f>
        <v>BERLING GARY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22168-09%22)),sort:!(Time.ISO8601,asc))</v>
      </c>
      <c r="J3" s="30" t="e">
        <f>VLOOKUP(B3,'Train Runs'!$A$13:$A$100141,1,FALSE)</f>
        <v>#N/A</v>
      </c>
    </row>
    <row r="4" spans="1:10" x14ac:dyDescent="0.25">
      <c r="A4" s="198"/>
      <c r="B4" s="42" t="str">
        <f>A4&amp;"-"&amp;IF(DAY(Variables!$A$2)&lt;10,0,"")&amp;DAY(Variables!$A$2)</f>
        <v>-09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Runs'!$A$13:$A$100141,1,FALSE)</f>
        <v>#N/A</v>
      </c>
    </row>
    <row r="5" spans="1:10" x14ac:dyDescent="0.25">
      <c r="A5" s="198"/>
      <c r="B5" s="42" t="str">
        <f>A5&amp;"-"&amp;IF(DAY(Variables!$A$2)&lt;10,0,"")&amp;DAY(Variables!$A$2)</f>
        <v>-09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Runs'!$A$13:$A$100141,1,FALSE)</f>
        <v>#N/A</v>
      </c>
    </row>
    <row r="6" spans="1:10" x14ac:dyDescent="0.25">
      <c r="A6" s="198"/>
      <c r="B6" s="42" t="str">
        <f>A6&amp;"-"&amp;IF(DAY(Variables!$A$2)&lt;10,0,"")&amp;DAY(Variables!$A$2)</f>
        <v>-09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Runs'!$A$13:$A$100141,1,FALSE)</f>
        <v>#N/A</v>
      </c>
    </row>
    <row r="7" spans="1:10" x14ac:dyDescent="0.25">
      <c r="A7" s="198"/>
      <c r="B7" s="42" t="str">
        <f>A7&amp;"-"&amp;IF(DAY(Variables!$A$2)&lt;10,0,"")&amp;DAY(Variables!$A$2)</f>
        <v>-09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Runs'!$A$13:$A$100141,1,FALSE)</f>
        <v>#N/A</v>
      </c>
    </row>
    <row r="8" spans="1:10" x14ac:dyDescent="0.25">
      <c r="A8" s="198"/>
      <c r="B8" s="42" t="str">
        <f>A8&amp;"-"&amp;IF(DAY(Variables!$A$2)&lt;10,0,"")&amp;DAY(Variables!$A$2)</f>
        <v>-09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Runs'!$A$13:$A$100141,1,FALSE)</f>
        <v>#N/A</v>
      </c>
    </row>
    <row r="9" spans="1:10" x14ac:dyDescent="0.25">
      <c r="A9" s="198"/>
      <c r="B9" s="42" t="str">
        <f>A9&amp;"-"&amp;IF(DAY(Variables!$A$2)&lt;10,0,"")&amp;DAY(Variables!$A$2)</f>
        <v>-09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Runs'!$A$13:$A$100141,1,FALSE)</f>
        <v>#N/A</v>
      </c>
    </row>
    <row r="10" spans="1:10" x14ac:dyDescent="0.25">
      <c r="A10" s="198"/>
      <c r="B10" s="42" t="str">
        <f>A10&amp;"-"&amp;IF(DAY(Variables!$A$2)&lt;10,0,"")&amp;DAY(Variables!$A$2)</f>
        <v>-09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Runs'!$A$13:$A$100141,1,FALSE)</f>
        <v>#N/A</v>
      </c>
    </row>
    <row r="11" spans="1:10" x14ac:dyDescent="0.25">
      <c r="A11" s="198"/>
      <c r="B11" s="42" t="str">
        <f>A11&amp;"-"&amp;IF(DAY(Variables!$A$2)&lt;10,0,"")&amp;DAY(Variables!$A$2)</f>
        <v>-09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Runs'!$A$13:$A$100141,1,FALSE)</f>
        <v>#N/A</v>
      </c>
    </row>
    <row r="12" spans="1:10" x14ac:dyDescent="0.25">
      <c r="A12" s="198"/>
      <c r="B12" s="42" t="str">
        <f>A12&amp;"-"&amp;IF(DAY(Variables!$A$2)&lt;10,0,"")&amp;DAY(Variables!$A$2)</f>
        <v>-09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Runs'!$A$13:$A$100141,1,FALSE)</f>
        <v>#N/A</v>
      </c>
    </row>
    <row r="13" spans="1:10" x14ac:dyDescent="0.25">
      <c r="A13" s="198"/>
      <c r="B13" s="42" t="str">
        <f>A13&amp;"-"&amp;IF(DAY(Variables!$A$2)&lt;10,0,"")&amp;DAY(Variables!$A$2)</f>
        <v>-09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Runs'!$A$13:$A$100141,1,FALSE)</f>
        <v>#N/A</v>
      </c>
    </row>
    <row r="14" spans="1:10" x14ac:dyDescent="0.25">
      <c r="A14" s="198"/>
      <c r="B14" s="42" t="str">
        <f>A14&amp;"-"&amp;IF(DAY(Variables!$A$2)&lt;10,0,"")&amp;DAY(Variables!$A$2)</f>
        <v>-09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Runs'!$A$13:$A$100141,1,FALSE)</f>
        <v>#N/A</v>
      </c>
    </row>
    <row r="15" spans="1:10" x14ac:dyDescent="0.25">
      <c r="A15" s="198"/>
      <c r="B15" s="42" t="str">
        <f>A15&amp;"-"&amp;IF(DAY(Variables!$A$2)&lt;10,0,"")&amp;DAY(Variables!$A$2)</f>
        <v>-09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Runs'!$A$13:$A$100141,1,FALSE)</f>
        <v>#N/A</v>
      </c>
    </row>
    <row r="16" spans="1:10" x14ac:dyDescent="0.25">
      <c r="A16" s="198"/>
      <c r="B16" s="42" t="str">
        <f>A16&amp;"-"&amp;IF(DAY(Variables!$A$2)&lt;10,0,"")&amp;DAY(Variables!$A$2)</f>
        <v>-09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Runs'!$A$13:$A$100141,1,FALSE)</f>
        <v>#N/A</v>
      </c>
    </row>
    <row r="17" spans="1:10" x14ac:dyDescent="0.25">
      <c r="A17" s="198"/>
      <c r="B17" s="42" t="str">
        <f>A17&amp;"-"&amp;IF(DAY(Variables!$A$2)&lt;10,0,"")&amp;DAY(Variables!$A$2)</f>
        <v>-09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Runs'!$A$13:$A$100141,1,FALSE)</f>
        <v>#N/A</v>
      </c>
    </row>
    <row r="18" spans="1:10" x14ac:dyDescent="0.25">
      <c r="A18" s="198"/>
      <c r="B18" s="42" t="str">
        <f>A18&amp;"-"&amp;IF(DAY(Variables!$A$2)&lt;10,0,"")&amp;DAY(Variables!$A$2)</f>
        <v>-09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Runs'!$A$13:$A$100141,1,FALSE)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43048.033553240741</v>
      </c>
      <c r="B2" s="20" t="s">
        <v>467</v>
      </c>
      <c r="C2" s="20" t="s">
        <v>572</v>
      </c>
      <c r="D2" s="138">
        <v>3320000</v>
      </c>
      <c r="E2" s="20" t="s">
        <v>365</v>
      </c>
      <c r="F2" s="20" t="s">
        <v>366</v>
      </c>
      <c r="G2" s="8" t="str">
        <f>E2&amp;" "&amp;F2</f>
        <v>NICHOLSON WESLEY</v>
      </c>
      <c r="H2" t="str">
        <f>MID(B2,13,4)</f>
        <v>4010</v>
      </c>
    </row>
    <row r="3" spans="1:8" x14ac:dyDescent="0.25">
      <c r="A3" s="8">
        <v>43048.038171296299</v>
      </c>
      <c r="B3" s="20" t="s">
        <v>542</v>
      </c>
      <c r="C3" s="20" t="s">
        <v>573</v>
      </c>
      <c r="D3" s="138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4051</v>
      </c>
    </row>
    <row r="4" spans="1:8" x14ac:dyDescent="0.25">
      <c r="A4" s="8">
        <v>43048.048414351855</v>
      </c>
      <c r="B4" s="20" t="s">
        <v>477</v>
      </c>
      <c r="C4" s="20" t="s">
        <v>574</v>
      </c>
      <c r="D4" s="138">
        <v>2440000</v>
      </c>
      <c r="E4" s="20" t="s">
        <v>551</v>
      </c>
      <c r="F4" s="20" t="s">
        <v>552</v>
      </c>
      <c r="G4" s="8" t="str">
        <f t="shared" si="0"/>
        <v>LOPES KIMBERLY</v>
      </c>
      <c r="H4" s="20" t="str">
        <f t="shared" si="1"/>
        <v>4050</v>
      </c>
    </row>
    <row r="5" spans="1:8" x14ac:dyDescent="0.25">
      <c r="A5" s="8">
        <v>43048.057881944442</v>
      </c>
      <c r="B5" s="20" t="s">
        <v>396</v>
      </c>
      <c r="C5" s="20" t="s">
        <v>575</v>
      </c>
      <c r="D5" s="138">
        <v>3700000</v>
      </c>
      <c r="E5" s="20" t="s">
        <v>482</v>
      </c>
      <c r="F5" s="20" t="s">
        <v>373</v>
      </c>
      <c r="G5" s="8" t="str">
        <f t="shared" si="0"/>
        <v>AUSTIN THOMPSON</v>
      </c>
      <c r="H5" s="20" t="str">
        <f t="shared" si="1"/>
        <v>4059</v>
      </c>
    </row>
    <row r="6" spans="1:8" x14ac:dyDescent="0.25">
      <c r="A6" s="8">
        <v>43048.067511574074</v>
      </c>
      <c r="B6" s="20" t="s">
        <v>537</v>
      </c>
      <c r="C6" s="20" t="s">
        <v>576</v>
      </c>
      <c r="D6" s="138">
        <v>890000</v>
      </c>
      <c r="E6" s="20" t="s">
        <v>345</v>
      </c>
      <c r="F6" s="20" t="s">
        <v>346</v>
      </c>
      <c r="G6" s="8" t="str">
        <f t="shared" si="0"/>
        <v>LOZA FIDEL</v>
      </c>
      <c r="H6" s="20" t="str">
        <f t="shared" si="1"/>
        <v>4052</v>
      </c>
    </row>
    <row r="7" spans="1:8" x14ac:dyDescent="0.25">
      <c r="A7" s="8">
        <v>43048.089965277781</v>
      </c>
      <c r="B7" s="20" t="s">
        <v>359</v>
      </c>
      <c r="C7" s="20" t="s">
        <v>577</v>
      </c>
      <c r="D7" s="138">
        <v>3700000</v>
      </c>
      <c r="E7" s="20" t="s">
        <v>482</v>
      </c>
      <c r="F7" s="20" t="s">
        <v>373</v>
      </c>
      <c r="G7" s="8" t="str">
        <f t="shared" si="0"/>
        <v>AUSTIN THOMPSON</v>
      </c>
      <c r="H7" s="20" t="str">
        <f t="shared" si="1"/>
        <v>4060</v>
      </c>
    </row>
    <row r="8" spans="1:8" x14ac:dyDescent="0.25">
      <c r="A8" s="8">
        <v>43048.115648148145</v>
      </c>
      <c r="B8" s="20" t="s">
        <v>662</v>
      </c>
      <c r="C8" s="20" t="s">
        <v>663</v>
      </c>
      <c r="D8" s="138">
        <v>1830000</v>
      </c>
      <c r="E8" s="20" t="s">
        <v>348</v>
      </c>
      <c r="F8" s="20" t="s">
        <v>349</v>
      </c>
      <c r="G8" s="8" t="str">
        <f t="shared" si="0"/>
        <v>YORK EDGAR</v>
      </c>
      <c r="H8" s="20" t="str">
        <f t="shared" si="1"/>
        <v>4063</v>
      </c>
    </row>
    <row r="9" spans="1:8" ht="15.75" thickBot="1" x14ac:dyDescent="0.3">
      <c r="A9" s="24">
        <v>43048.132268518515</v>
      </c>
      <c r="B9" s="20" t="s">
        <v>450</v>
      </c>
      <c r="C9" s="20" t="s">
        <v>664</v>
      </c>
      <c r="D9" s="138">
        <v>1780000</v>
      </c>
      <c r="E9" s="20" t="s">
        <v>506</v>
      </c>
      <c r="F9" s="20" t="s">
        <v>507</v>
      </c>
      <c r="G9" s="8" t="str">
        <f t="shared" si="0"/>
        <v>DE LA ROSA ALEX</v>
      </c>
      <c r="H9" s="20" t="str">
        <f t="shared" si="1"/>
        <v>4064</v>
      </c>
    </row>
    <row r="10" spans="1:8" x14ac:dyDescent="0.25">
      <c r="A10" s="8">
        <v>43048.132534722223</v>
      </c>
      <c r="B10" s="20" t="s">
        <v>358</v>
      </c>
      <c r="C10" s="20" t="s">
        <v>665</v>
      </c>
      <c r="D10" s="138">
        <v>1830000</v>
      </c>
      <c r="E10" s="20" t="s">
        <v>348</v>
      </c>
      <c r="F10" s="20" t="s">
        <v>349</v>
      </c>
      <c r="G10" s="8" t="str">
        <f t="shared" si="0"/>
        <v>YORK EDGAR</v>
      </c>
      <c r="H10" s="20" t="str">
        <f t="shared" si="1"/>
        <v>4008</v>
      </c>
    </row>
    <row r="11" spans="1:8" x14ac:dyDescent="0.25">
      <c r="A11" s="8">
        <v>43048.140462962961</v>
      </c>
      <c r="B11" s="20" t="s">
        <v>662</v>
      </c>
      <c r="C11" s="20" t="s">
        <v>666</v>
      </c>
      <c r="D11" s="138">
        <v>1780000</v>
      </c>
      <c r="E11" s="20" t="s">
        <v>506</v>
      </c>
      <c r="F11" s="20" t="s">
        <v>507</v>
      </c>
      <c r="G11" s="8" t="str">
        <f t="shared" si="0"/>
        <v>DE LA ROSA ALEX</v>
      </c>
      <c r="H11" s="20" t="str">
        <f t="shared" si="1"/>
        <v>4063</v>
      </c>
    </row>
    <row r="12" spans="1:8" x14ac:dyDescent="0.25">
      <c r="A12" s="8">
        <v>43048.141342592593</v>
      </c>
      <c r="B12" s="20" t="s">
        <v>648</v>
      </c>
      <c r="C12" s="20" t="s">
        <v>667</v>
      </c>
      <c r="D12" s="138">
        <v>2010000</v>
      </c>
      <c r="E12" s="20" t="s">
        <v>668</v>
      </c>
      <c r="F12" s="20" t="s">
        <v>669</v>
      </c>
      <c r="G12" s="8" t="str">
        <f t="shared" si="0"/>
        <v>MAELZER KURT</v>
      </c>
      <c r="H12" s="20" t="str">
        <f t="shared" si="1"/>
        <v>4021</v>
      </c>
    </row>
    <row r="13" spans="1:8" x14ac:dyDescent="0.25">
      <c r="A13" s="8">
        <v>43048.151585648149</v>
      </c>
      <c r="B13" s="20" t="s">
        <v>390</v>
      </c>
      <c r="C13" s="20" t="s">
        <v>670</v>
      </c>
      <c r="D13" s="138">
        <v>2010000</v>
      </c>
      <c r="E13" s="20" t="s">
        <v>668</v>
      </c>
      <c r="F13" s="20" t="s">
        <v>669</v>
      </c>
      <c r="G13" s="8" t="str">
        <f t="shared" si="0"/>
        <v>MAELZER KURT</v>
      </c>
      <c r="H13" s="20" t="str">
        <f t="shared" si="1"/>
        <v>4022</v>
      </c>
    </row>
    <row r="14" spans="1:8" x14ac:dyDescent="0.25">
      <c r="A14" s="8">
        <v>43048.160439814812</v>
      </c>
      <c r="B14" s="20" t="s">
        <v>497</v>
      </c>
      <c r="C14" s="20" t="s">
        <v>671</v>
      </c>
      <c r="D14" s="138">
        <v>940000</v>
      </c>
      <c r="E14" s="20" t="s">
        <v>478</v>
      </c>
      <c r="F14" s="20" t="s">
        <v>479</v>
      </c>
      <c r="G14" s="8" t="str">
        <f t="shared" si="0"/>
        <v>BONDS REYNALDO</v>
      </c>
      <c r="H14" s="20" t="str">
        <f t="shared" si="1"/>
        <v>4019</v>
      </c>
    </row>
    <row r="15" spans="1:8" x14ac:dyDescent="0.25">
      <c r="A15" s="8">
        <v>43048.161145833335</v>
      </c>
      <c r="B15" s="20" t="s">
        <v>390</v>
      </c>
      <c r="C15" s="20" t="s">
        <v>670</v>
      </c>
      <c r="D15" s="138">
        <v>2010000</v>
      </c>
      <c r="E15" s="20" t="s">
        <v>668</v>
      </c>
      <c r="F15" s="20" t="s">
        <v>669</v>
      </c>
      <c r="G15" s="8" t="str">
        <f t="shared" si="0"/>
        <v>MAELZER KURT</v>
      </c>
      <c r="H15" s="20" t="str">
        <f t="shared" si="1"/>
        <v>4022</v>
      </c>
    </row>
    <row r="16" spans="1:8" x14ac:dyDescent="0.25">
      <c r="A16" s="8">
        <v>43048.171793981484</v>
      </c>
      <c r="B16" s="20" t="s">
        <v>539</v>
      </c>
      <c r="C16" s="20" t="s">
        <v>672</v>
      </c>
      <c r="D16" s="138">
        <v>1340000</v>
      </c>
      <c r="E16" s="20" t="s">
        <v>673</v>
      </c>
      <c r="F16" s="20" t="s">
        <v>674</v>
      </c>
      <c r="G16" s="8" t="str">
        <f t="shared" si="0"/>
        <v>BEAM ROSS</v>
      </c>
      <c r="H16" s="20" t="str">
        <f t="shared" si="1"/>
        <v>4023</v>
      </c>
    </row>
    <row r="17" spans="1:8" x14ac:dyDescent="0.25">
      <c r="A17" s="8">
        <v>43048.171817129631</v>
      </c>
      <c r="B17" s="20" t="s">
        <v>363</v>
      </c>
      <c r="C17" s="20" t="s">
        <v>675</v>
      </c>
      <c r="D17" s="138">
        <v>1830000</v>
      </c>
      <c r="E17" s="20" t="s">
        <v>348</v>
      </c>
      <c r="F17" s="20" t="s">
        <v>349</v>
      </c>
      <c r="G17" s="8" t="str">
        <f t="shared" si="0"/>
        <v>YORK EDGAR</v>
      </c>
      <c r="H17" s="20" t="str">
        <f t="shared" si="1"/>
        <v>4007</v>
      </c>
    </row>
    <row r="18" spans="1:8" x14ac:dyDescent="0.25">
      <c r="A18" s="8">
        <v>43048.171898148146</v>
      </c>
      <c r="B18" s="20" t="s">
        <v>500</v>
      </c>
      <c r="C18" s="20" t="s">
        <v>676</v>
      </c>
      <c r="D18" s="138">
        <v>940000</v>
      </c>
      <c r="E18" s="20" t="s">
        <v>478</v>
      </c>
      <c r="F18" s="20" t="s">
        <v>479</v>
      </c>
      <c r="G18" s="8" t="str">
        <f t="shared" si="0"/>
        <v>BONDS REYNALDO</v>
      </c>
      <c r="H18" s="20" t="str">
        <f t="shared" si="1"/>
        <v>4020</v>
      </c>
    </row>
    <row r="19" spans="1:8" x14ac:dyDescent="0.25">
      <c r="A19" s="8">
        <v>43048.181354166663</v>
      </c>
      <c r="B19" s="20" t="s">
        <v>677</v>
      </c>
      <c r="C19" s="20" t="s">
        <v>678</v>
      </c>
      <c r="D19" s="138">
        <v>3040000</v>
      </c>
      <c r="E19" s="20" t="s">
        <v>371</v>
      </c>
      <c r="F19" s="20" t="s">
        <v>679</v>
      </c>
      <c r="G19" s="8" t="str">
        <f t="shared" si="0"/>
        <v>WILLIAMS DONTE</v>
      </c>
      <c r="H19" s="20" t="str">
        <f t="shared" si="1"/>
        <v>4025</v>
      </c>
    </row>
    <row r="20" spans="1:8" x14ac:dyDescent="0.25">
      <c r="A20" s="8">
        <v>43048.181886574072</v>
      </c>
      <c r="B20" s="20" t="s">
        <v>538</v>
      </c>
      <c r="C20" s="20" t="s">
        <v>639</v>
      </c>
      <c r="D20" s="138">
        <v>1340000</v>
      </c>
      <c r="E20" s="20" t="s">
        <v>673</v>
      </c>
      <c r="F20" s="20" t="s">
        <v>674</v>
      </c>
      <c r="G20" s="8" t="str">
        <f t="shared" si="0"/>
        <v>BEAM ROSS</v>
      </c>
      <c r="H20" s="20" t="str">
        <f t="shared" si="1"/>
        <v>4024</v>
      </c>
    </row>
    <row r="21" spans="1:8" x14ac:dyDescent="0.25">
      <c r="A21" s="8">
        <v>43048.191481481481</v>
      </c>
      <c r="B21" s="20" t="s">
        <v>648</v>
      </c>
      <c r="C21" s="20" t="s">
        <v>680</v>
      </c>
      <c r="D21" s="138">
        <v>2010000</v>
      </c>
      <c r="E21" s="20" t="s">
        <v>668</v>
      </c>
      <c r="F21" s="20" t="s">
        <v>669</v>
      </c>
      <c r="G21" s="8" t="str">
        <f t="shared" si="0"/>
        <v>MAELZER KURT</v>
      </c>
      <c r="H21" s="20" t="str">
        <f t="shared" si="1"/>
        <v>4021</v>
      </c>
    </row>
    <row r="22" spans="1:8" x14ac:dyDescent="0.25">
      <c r="A22" s="26">
        <v>43048.195706018516</v>
      </c>
      <c r="B22" s="20" t="s">
        <v>644</v>
      </c>
      <c r="C22" s="20" t="s">
        <v>681</v>
      </c>
      <c r="D22" s="138">
        <v>3040000</v>
      </c>
      <c r="E22" s="20" t="s">
        <v>371</v>
      </c>
      <c r="F22" s="20" t="s">
        <v>679</v>
      </c>
      <c r="G22" s="8" t="str">
        <f t="shared" si="0"/>
        <v>WILLIAMS DONTE</v>
      </c>
      <c r="H22" s="20" t="str">
        <f t="shared" si="1"/>
        <v>4026</v>
      </c>
    </row>
    <row r="23" spans="1:8" x14ac:dyDescent="0.25">
      <c r="A23" s="8">
        <v>43048.196516203701</v>
      </c>
      <c r="B23" s="20" t="s">
        <v>640</v>
      </c>
      <c r="C23" s="20" t="s">
        <v>682</v>
      </c>
      <c r="D23" s="138">
        <v>1230000</v>
      </c>
      <c r="E23" s="20" t="s">
        <v>480</v>
      </c>
      <c r="F23" s="20" t="s">
        <v>481</v>
      </c>
      <c r="G23" s="8" t="str">
        <f t="shared" si="0"/>
        <v>YANAI IAN</v>
      </c>
      <c r="H23" s="20" t="str">
        <f t="shared" si="1"/>
        <v>4005</v>
      </c>
    </row>
    <row r="24" spans="1:8" x14ac:dyDescent="0.25">
      <c r="A24" s="8">
        <v>43048.201597222222</v>
      </c>
      <c r="B24" s="20" t="s">
        <v>543</v>
      </c>
      <c r="C24" s="20" t="s">
        <v>683</v>
      </c>
      <c r="D24" s="138">
        <v>3180000</v>
      </c>
      <c r="E24" s="20" t="s">
        <v>544</v>
      </c>
      <c r="F24" s="20" t="s">
        <v>545</v>
      </c>
      <c r="G24" s="8" t="str">
        <f t="shared" si="0"/>
        <v>HUFFSMITH MONTY</v>
      </c>
      <c r="H24" s="20" t="str">
        <f t="shared" si="1"/>
        <v>4054</v>
      </c>
    </row>
    <row r="25" spans="1:8" x14ac:dyDescent="0.25">
      <c r="A25" s="8">
        <v>43048.204247685186</v>
      </c>
      <c r="B25" s="20" t="s">
        <v>358</v>
      </c>
      <c r="C25" s="20" t="s">
        <v>684</v>
      </c>
      <c r="D25" s="138">
        <v>1830000</v>
      </c>
      <c r="E25" s="20" t="s">
        <v>348</v>
      </c>
      <c r="F25" s="20" t="s">
        <v>349</v>
      </c>
      <c r="G25" s="8" t="str">
        <f t="shared" si="0"/>
        <v>YORK EDGAR</v>
      </c>
      <c r="H25" s="20" t="str">
        <f t="shared" si="1"/>
        <v>4008</v>
      </c>
    </row>
    <row r="26" spans="1:8" x14ac:dyDescent="0.25">
      <c r="A26" s="8">
        <v>43048.205787037034</v>
      </c>
      <c r="B26" s="20" t="s">
        <v>650</v>
      </c>
      <c r="C26" s="20" t="s">
        <v>685</v>
      </c>
      <c r="D26" s="138">
        <v>1230000</v>
      </c>
      <c r="E26" s="20" t="s">
        <v>480</v>
      </c>
      <c r="F26" s="20" t="s">
        <v>481</v>
      </c>
      <c r="G26" s="8" t="str">
        <f t="shared" si="0"/>
        <v>YANAI IAN</v>
      </c>
      <c r="H26" s="20" t="str">
        <f t="shared" si="1"/>
        <v>4006</v>
      </c>
    </row>
    <row r="27" spans="1:8" x14ac:dyDescent="0.25">
      <c r="A27" s="8">
        <v>43048.209664351853</v>
      </c>
      <c r="B27" s="20" t="s">
        <v>497</v>
      </c>
      <c r="C27" s="20" t="s">
        <v>686</v>
      </c>
      <c r="D27" s="138">
        <v>940000</v>
      </c>
      <c r="E27" s="20" t="s">
        <v>478</v>
      </c>
      <c r="F27" s="20" t="s">
        <v>479</v>
      </c>
      <c r="G27" s="8" t="str">
        <f t="shared" si="0"/>
        <v>BONDS REYNALDO</v>
      </c>
      <c r="H27" s="20" t="str">
        <f t="shared" si="1"/>
        <v>4019</v>
      </c>
    </row>
    <row r="28" spans="1:8" x14ac:dyDescent="0.25">
      <c r="A28" s="8">
        <v>43048.213680555556</v>
      </c>
      <c r="B28" s="20" t="s">
        <v>539</v>
      </c>
      <c r="C28" s="20" t="s">
        <v>687</v>
      </c>
      <c r="D28" s="138">
        <v>1340000</v>
      </c>
      <c r="E28" s="20" t="s">
        <v>673</v>
      </c>
      <c r="F28" s="20" t="s">
        <v>674</v>
      </c>
      <c r="G28" s="8" t="str">
        <f t="shared" si="0"/>
        <v>BEAM ROSS</v>
      </c>
      <c r="H28" s="20" t="str">
        <f t="shared" si="1"/>
        <v>4023</v>
      </c>
    </row>
    <row r="29" spans="1:8" x14ac:dyDescent="0.25">
      <c r="A29" s="8">
        <v>43048.216122685182</v>
      </c>
      <c r="B29" s="20" t="s">
        <v>370</v>
      </c>
      <c r="C29" s="20" t="s">
        <v>688</v>
      </c>
      <c r="D29" s="138">
        <v>3180000</v>
      </c>
      <c r="E29" s="20" t="s">
        <v>544</v>
      </c>
      <c r="F29" s="20" t="s">
        <v>545</v>
      </c>
      <c r="G29" s="8" t="str">
        <f t="shared" si="0"/>
        <v>HUFFSMITH MONTY</v>
      </c>
      <c r="H29" s="20" t="str">
        <f t="shared" si="1"/>
        <v>4053</v>
      </c>
    </row>
    <row r="30" spans="1:8" x14ac:dyDescent="0.25">
      <c r="A30" s="8">
        <v>43048.222268518519</v>
      </c>
      <c r="B30" s="20" t="s">
        <v>689</v>
      </c>
      <c r="C30" s="20" t="s">
        <v>690</v>
      </c>
      <c r="D30" s="138">
        <v>2040000</v>
      </c>
      <c r="E30" s="20" t="s">
        <v>402</v>
      </c>
      <c r="F30" s="20" t="s">
        <v>403</v>
      </c>
      <c r="G30" s="8" t="str">
        <f t="shared" si="0"/>
        <v>MOSES BRADLEY</v>
      </c>
      <c r="H30" s="20" t="str">
        <f t="shared" si="1"/>
        <v>4065</v>
      </c>
    </row>
    <row r="31" spans="1:8" x14ac:dyDescent="0.25">
      <c r="A31" s="8">
        <v>43048.226898148147</v>
      </c>
      <c r="B31" s="20" t="s">
        <v>390</v>
      </c>
      <c r="C31" s="20" t="s">
        <v>691</v>
      </c>
      <c r="D31" s="138">
        <v>2010000</v>
      </c>
      <c r="E31" s="20" t="s">
        <v>668</v>
      </c>
      <c r="F31" s="20" t="s">
        <v>669</v>
      </c>
      <c r="G31" s="8" t="str">
        <f t="shared" si="0"/>
        <v>MAELZER KURT</v>
      </c>
      <c r="H31" s="20" t="str">
        <f t="shared" si="1"/>
        <v>4022</v>
      </c>
    </row>
    <row r="32" spans="1:8" x14ac:dyDescent="0.25">
      <c r="A32" s="8">
        <v>43048.230312500003</v>
      </c>
      <c r="B32" s="20" t="s">
        <v>543</v>
      </c>
      <c r="C32" s="20" t="s">
        <v>692</v>
      </c>
      <c r="D32" s="138">
        <v>3180000</v>
      </c>
      <c r="E32" s="20" t="s">
        <v>544</v>
      </c>
      <c r="F32" s="20" t="s">
        <v>545</v>
      </c>
      <c r="G32" s="8" t="str">
        <f t="shared" si="0"/>
        <v>HUFFSMITH MONTY</v>
      </c>
      <c r="H32" s="20" t="str">
        <f t="shared" si="1"/>
        <v>4054</v>
      </c>
    </row>
    <row r="33" spans="1:8" x14ac:dyDescent="0.25">
      <c r="A33" s="8">
        <v>43048.233460648145</v>
      </c>
      <c r="B33" s="20" t="s">
        <v>677</v>
      </c>
      <c r="C33" s="20" t="s">
        <v>693</v>
      </c>
      <c r="D33" s="138">
        <v>3040000</v>
      </c>
      <c r="E33" s="20" t="s">
        <v>371</v>
      </c>
      <c r="F33" s="20" t="s">
        <v>679</v>
      </c>
      <c r="G33" s="8" t="str">
        <f t="shared" si="0"/>
        <v>WILLIAMS DONTE</v>
      </c>
      <c r="H33" s="20" t="str">
        <f t="shared" si="1"/>
        <v>4025</v>
      </c>
    </row>
    <row r="34" spans="1:8" x14ac:dyDescent="0.25">
      <c r="A34" s="8">
        <v>43048.233993055554</v>
      </c>
      <c r="B34" s="20" t="s">
        <v>363</v>
      </c>
      <c r="C34" s="20" t="s">
        <v>694</v>
      </c>
      <c r="D34" s="138">
        <v>1830000</v>
      </c>
      <c r="E34" s="20" t="s">
        <v>348</v>
      </c>
      <c r="F34" s="20" t="s">
        <v>349</v>
      </c>
      <c r="G34" s="8" t="str">
        <f t="shared" si="0"/>
        <v>YORK EDGAR</v>
      </c>
      <c r="H34" s="20" t="str">
        <f t="shared" si="1"/>
        <v>4007</v>
      </c>
    </row>
    <row r="35" spans="1:8" x14ac:dyDescent="0.25">
      <c r="A35" s="8">
        <v>43048.2340625</v>
      </c>
      <c r="B35" s="20" t="s">
        <v>646</v>
      </c>
      <c r="C35" s="20" t="s">
        <v>695</v>
      </c>
      <c r="D35" s="138">
        <v>2040000</v>
      </c>
      <c r="E35" s="20" t="s">
        <v>402</v>
      </c>
      <c r="F35" s="20" t="s">
        <v>403</v>
      </c>
      <c r="G35" s="8" t="str">
        <f t="shared" si="0"/>
        <v>MOSES BRADLEY</v>
      </c>
      <c r="H35" s="20" t="str">
        <f t="shared" si="1"/>
        <v>4066</v>
      </c>
    </row>
    <row r="36" spans="1:8" x14ac:dyDescent="0.25">
      <c r="A36" s="8">
        <v>43048.237557870372</v>
      </c>
      <c r="B36" s="20" t="s">
        <v>696</v>
      </c>
      <c r="C36" s="20" t="s">
        <v>697</v>
      </c>
      <c r="D36" s="138">
        <v>3000000</v>
      </c>
      <c r="E36" s="20" t="s">
        <v>502</v>
      </c>
      <c r="F36" s="20" t="s">
        <v>503</v>
      </c>
      <c r="G36" s="8" t="str">
        <f t="shared" si="0"/>
        <v>FORTUNATO FRANK</v>
      </c>
      <c r="H36" s="20" t="str">
        <f t="shared" si="1"/>
        <v>4015</v>
      </c>
    </row>
    <row r="37" spans="1:8" x14ac:dyDescent="0.25">
      <c r="A37" s="8">
        <v>43048.245300925926</v>
      </c>
      <c r="B37" s="20" t="s">
        <v>640</v>
      </c>
      <c r="C37" s="20" t="s">
        <v>641</v>
      </c>
      <c r="D37" s="138">
        <v>1230000</v>
      </c>
      <c r="E37" s="20" t="s">
        <v>480</v>
      </c>
      <c r="F37" s="20" t="s">
        <v>481</v>
      </c>
      <c r="G37" s="8" t="str">
        <f t="shared" si="0"/>
        <v>YANAI IAN</v>
      </c>
      <c r="H37" s="20" t="str">
        <f t="shared" si="1"/>
        <v>4005</v>
      </c>
    </row>
    <row r="38" spans="1:8" x14ac:dyDescent="0.25">
      <c r="A38" s="8">
        <v>43048.245717592596</v>
      </c>
      <c r="B38" s="20" t="s">
        <v>500</v>
      </c>
      <c r="C38" s="20" t="s">
        <v>698</v>
      </c>
      <c r="D38" s="138">
        <v>940000</v>
      </c>
      <c r="E38" s="20" t="s">
        <v>478</v>
      </c>
      <c r="F38" s="20" t="s">
        <v>479</v>
      </c>
      <c r="G38" s="8" t="str">
        <f t="shared" si="0"/>
        <v>BONDS REYNALDO</v>
      </c>
      <c r="H38" s="20" t="str">
        <f t="shared" si="1"/>
        <v>4020</v>
      </c>
    </row>
    <row r="39" spans="1:8" x14ac:dyDescent="0.25">
      <c r="A39" s="8">
        <v>43048.247314814813</v>
      </c>
      <c r="B39" s="20" t="s">
        <v>550</v>
      </c>
      <c r="C39" s="20" t="s">
        <v>699</v>
      </c>
      <c r="D39" s="138">
        <v>3000000</v>
      </c>
      <c r="E39" s="20" t="s">
        <v>502</v>
      </c>
      <c r="F39" s="20" t="s">
        <v>503</v>
      </c>
      <c r="G39" s="8" t="str">
        <f t="shared" si="0"/>
        <v>FORTUNATO FRANK</v>
      </c>
      <c r="H39" s="20" t="str">
        <f t="shared" si="1"/>
        <v>4016</v>
      </c>
    </row>
    <row r="40" spans="1:8" x14ac:dyDescent="0.25">
      <c r="A40" s="8">
        <v>43048.247604166667</v>
      </c>
      <c r="B40" s="25" t="s">
        <v>370</v>
      </c>
      <c r="C40" s="20" t="s">
        <v>700</v>
      </c>
      <c r="D40" s="138">
        <v>3180000</v>
      </c>
      <c r="E40" s="20" t="s">
        <v>544</v>
      </c>
      <c r="F40" s="20" t="s">
        <v>545</v>
      </c>
      <c r="G40" s="8" t="str">
        <f t="shared" si="0"/>
        <v>HUFFSMITH MONTY</v>
      </c>
      <c r="H40" s="20" t="str">
        <f t="shared" si="1"/>
        <v>4053</v>
      </c>
    </row>
    <row r="41" spans="1:8" x14ac:dyDescent="0.25">
      <c r="A41" s="8">
        <v>43048.257685185185</v>
      </c>
      <c r="B41" s="20" t="s">
        <v>538</v>
      </c>
      <c r="C41" s="20" t="s">
        <v>701</v>
      </c>
      <c r="D41" s="138">
        <v>1340000</v>
      </c>
      <c r="E41" s="20" t="s">
        <v>673</v>
      </c>
      <c r="F41" s="20" t="s">
        <v>674</v>
      </c>
      <c r="G41" s="8" t="str">
        <f t="shared" si="0"/>
        <v>BEAM ROSS</v>
      </c>
      <c r="H41" s="20" t="str">
        <f t="shared" si="1"/>
        <v>4024</v>
      </c>
    </row>
    <row r="42" spans="1:8" x14ac:dyDescent="0.25">
      <c r="A42" s="8">
        <v>43048.26358796296</v>
      </c>
      <c r="B42" s="20" t="s">
        <v>648</v>
      </c>
      <c r="C42" s="20" t="s">
        <v>702</v>
      </c>
      <c r="D42" s="138">
        <v>2010000</v>
      </c>
      <c r="E42" s="20" t="s">
        <v>668</v>
      </c>
      <c r="F42" s="20" t="s">
        <v>669</v>
      </c>
      <c r="G42" s="8" t="str">
        <f t="shared" si="0"/>
        <v>MAELZER KURT</v>
      </c>
      <c r="H42" s="20" t="str">
        <f t="shared" si="1"/>
        <v>4021</v>
      </c>
    </row>
    <row r="43" spans="1:8" x14ac:dyDescent="0.25">
      <c r="A43" s="8">
        <v>43048.267152777778</v>
      </c>
      <c r="B43" s="20" t="s">
        <v>644</v>
      </c>
      <c r="C43" s="20" t="s">
        <v>703</v>
      </c>
      <c r="D43" s="138">
        <v>3040000</v>
      </c>
      <c r="E43" s="20" t="s">
        <v>371</v>
      </c>
      <c r="F43" s="20" t="s">
        <v>679</v>
      </c>
      <c r="G43" s="8" t="str">
        <f t="shared" si="0"/>
        <v>WILLIAMS DONTE</v>
      </c>
      <c r="H43" s="20" t="str">
        <f t="shared" si="1"/>
        <v>4026</v>
      </c>
    </row>
    <row r="44" spans="1:8" x14ac:dyDescent="0.25">
      <c r="A44" s="8">
        <v>43048.269143518519</v>
      </c>
      <c r="B44" s="20" t="s">
        <v>543</v>
      </c>
      <c r="C44" s="20" t="s">
        <v>642</v>
      </c>
      <c r="D44" s="138">
        <v>3180000</v>
      </c>
      <c r="E44" s="20" t="s">
        <v>544</v>
      </c>
      <c r="F44" s="20" t="s">
        <v>545</v>
      </c>
      <c r="G44" s="8" t="str">
        <f t="shared" si="0"/>
        <v>HUFFSMITH MONTY</v>
      </c>
      <c r="H44" s="20" t="str">
        <f t="shared" si="1"/>
        <v>4054</v>
      </c>
    </row>
    <row r="45" spans="1:8" x14ac:dyDescent="0.25">
      <c r="A45" s="8">
        <v>43048.269143518519</v>
      </c>
      <c r="B45" s="20" t="s">
        <v>696</v>
      </c>
      <c r="C45" s="20" t="s">
        <v>704</v>
      </c>
      <c r="D45" s="138">
        <v>3000000</v>
      </c>
      <c r="E45" s="20" t="s">
        <v>502</v>
      </c>
      <c r="F45" s="20" t="s">
        <v>503</v>
      </c>
      <c r="G45" s="8" t="str">
        <f t="shared" si="0"/>
        <v>FORTUNATO FRANK</v>
      </c>
      <c r="H45" s="20" t="str">
        <f t="shared" si="1"/>
        <v>4015</v>
      </c>
    </row>
    <row r="46" spans="1:8" x14ac:dyDescent="0.25">
      <c r="A46" s="8">
        <v>43048.275347222225</v>
      </c>
      <c r="B46" s="20" t="s">
        <v>358</v>
      </c>
      <c r="C46" s="20" t="s">
        <v>705</v>
      </c>
      <c r="D46" s="138">
        <v>1830000</v>
      </c>
      <c r="E46" s="20" t="s">
        <v>348</v>
      </c>
      <c r="F46" s="20" t="s">
        <v>349</v>
      </c>
      <c r="G46" s="8" t="str">
        <f t="shared" si="0"/>
        <v>YORK EDGAR</v>
      </c>
      <c r="H46" s="20" t="str">
        <f t="shared" si="1"/>
        <v>4008</v>
      </c>
    </row>
    <row r="47" spans="1:8" x14ac:dyDescent="0.25">
      <c r="A47" s="8">
        <v>43048.276342592595</v>
      </c>
      <c r="B47" s="20" t="s">
        <v>689</v>
      </c>
      <c r="C47" s="20" t="s">
        <v>706</v>
      </c>
      <c r="D47" s="138">
        <v>2040000</v>
      </c>
      <c r="E47" s="20" t="s">
        <v>402</v>
      </c>
      <c r="F47" s="20" t="s">
        <v>403</v>
      </c>
      <c r="G47" s="8" t="str">
        <f t="shared" si="0"/>
        <v>MOSES BRADLEY</v>
      </c>
      <c r="H47" s="20" t="str">
        <f t="shared" si="1"/>
        <v>4065</v>
      </c>
    </row>
    <row r="48" spans="1:8" x14ac:dyDescent="0.25">
      <c r="A48" s="8">
        <v>43048.283217592594</v>
      </c>
      <c r="B48" s="20" t="s">
        <v>497</v>
      </c>
      <c r="C48" s="20" t="s">
        <v>707</v>
      </c>
      <c r="D48" s="138">
        <v>940000</v>
      </c>
      <c r="E48" s="20" t="s">
        <v>478</v>
      </c>
      <c r="F48" s="20" t="s">
        <v>479</v>
      </c>
      <c r="G48" s="8" t="str">
        <f t="shared" si="0"/>
        <v>BONDS REYNALDO</v>
      </c>
      <c r="H48" s="20" t="str">
        <f t="shared" si="1"/>
        <v>4019</v>
      </c>
    </row>
    <row r="49" spans="1:8" x14ac:dyDescent="0.25">
      <c r="A49" s="8">
        <v>43048.286990740744</v>
      </c>
      <c r="B49" s="20" t="s">
        <v>539</v>
      </c>
      <c r="C49" s="20" t="s">
        <v>708</v>
      </c>
      <c r="D49" s="138">
        <v>1340000</v>
      </c>
      <c r="E49" s="20" t="s">
        <v>673</v>
      </c>
      <c r="F49" s="20" t="s">
        <v>674</v>
      </c>
      <c r="G49" s="8" t="str">
        <f t="shared" si="0"/>
        <v>BEAM ROSS</v>
      </c>
      <c r="H49" s="20" t="str">
        <f t="shared" si="1"/>
        <v>4023</v>
      </c>
    </row>
    <row r="50" spans="1:8" x14ac:dyDescent="0.25">
      <c r="A50" s="8">
        <v>43048.287129629629</v>
      </c>
      <c r="B50" s="20" t="s">
        <v>650</v>
      </c>
      <c r="C50" s="20" t="s">
        <v>709</v>
      </c>
      <c r="D50" s="138">
        <v>1230000</v>
      </c>
      <c r="E50" s="20" t="s">
        <v>480</v>
      </c>
      <c r="F50" s="20" t="s">
        <v>481</v>
      </c>
      <c r="G50" s="8" t="str">
        <f t="shared" si="0"/>
        <v>YANAI IAN</v>
      </c>
      <c r="H50" s="20" t="str">
        <f t="shared" si="1"/>
        <v>4006</v>
      </c>
    </row>
    <row r="51" spans="1:8" x14ac:dyDescent="0.25">
      <c r="A51" s="8">
        <v>43048.29</v>
      </c>
      <c r="B51" s="20" t="s">
        <v>370</v>
      </c>
      <c r="C51" s="20" t="s">
        <v>710</v>
      </c>
      <c r="D51" s="138">
        <v>3180000</v>
      </c>
      <c r="E51" s="20" t="s">
        <v>544</v>
      </c>
      <c r="F51" s="20" t="s">
        <v>545</v>
      </c>
      <c r="G51" s="8" t="str">
        <f t="shared" si="0"/>
        <v>HUFFSMITH MONTY</v>
      </c>
      <c r="H51" s="20" t="str">
        <f t="shared" si="1"/>
        <v>4053</v>
      </c>
    </row>
    <row r="52" spans="1:8" x14ac:dyDescent="0.25">
      <c r="A52" s="8">
        <v>43048.290439814817</v>
      </c>
      <c r="B52" s="20" t="s">
        <v>550</v>
      </c>
      <c r="C52" s="20" t="s">
        <v>711</v>
      </c>
      <c r="D52" s="138">
        <v>3000000</v>
      </c>
      <c r="E52" s="20" t="s">
        <v>502</v>
      </c>
      <c r="F52" s="20" t="s">
        <v>503</v>
      </c>
      <c r="G52" s="8" t="str">
        <f t="shared" si="0"/>
        <v>FORTUNATO FRANK</v>
      </c>
      <c r="H52" s="20" t="str">
        <f t="shared" si="1"/>
        <v>4016</v>
      </c>
    </row>
    <row r="53" spans="1:8" x14ac:dyDescent="0.25">
      <c r="A53" s="8">
        <v>43048.298356481479</v>
      </c>
      <c r="B53" s="20" t="s">
        <v>390</v>
      </c>
      <c r="C53" s="20" t="s">
        <v>712</v>
      </c>
      <c r="D53" s="138">
        <v>2010000</v>
      </c>
      <c r="E53" s="20" t="s">
        <v>668</v>
      </c>
      <c r="F53" s="20" t="s">
        <v>669</v>
      </c>
      <c r="G53" s="8" t="str">
        <f t="shared" si="0"/>
        <v>MAELZER KURT</v>
      </c>
      <c r="H53" s="20" t="str">
        <f t="shared" si="1"/>
        <v>4022</v>
      </c>
    </row>
    <row r="54" spans="1:8" x14ac:dyDescent="0.25">
      <c r="A54" s="8">
        <v>43048.301099537035</v>
      </c>
      <c r="B54" s="20" t="s">
        <v>650</v>
      </c>
      <c r="C54" s="20" t="s">
        <v>709</v>
      </c>
      <c r="D54" s="138">
        <v>1230000</v>
      </c>
      <c r="E54" s="20" t="s">
        <v>480</v>
      </c>
      <c r="F54" s="20" t="s">
        <v>481</v>
      </c>
      <c r="G54" s="8" t="str">
        <f t="shared" si="0"/>
        <v>YANAI IAN</v>
      </c>
      <c r="H54" s="20" t="str">
        <f t="shared" si="1"/>
        <v>4006</v>
      </c>
    </row>
    <row r="55" spans="1:8" x14ac:dyDescent="0.25">
      <c r="A55" s="8">
        <v>43048.30641203704</v>
      </c>
      <c r="B55" s="20" t="s">
        <v>677</v>
      </c>
      <c r="C55" s="20" t="s">
        <v>713</v>
      </c>
      <c r="D55" s="138">
        <v>3040000</v>
      </c>
      <c r="E55" s="20" t="s">
        <v>371</v>
      </c>
      <c r="F55" s="20" t="s">
        <v>679</v>
      </c>
      <c r="G55" s="8" t="str">
        <f t="shared" si="0"/>
        <v>WILLIAMS DONTE</v>
      </c>
      <c r="H55" s="20" t="str">
        <f t="shared" si="1"/>
        <v>4025</v>
      </c>
    </row>
    <row r="56" spans="1:8" x14ac:dyDescent="0.25">
      <c r="A56" s="8">
        <v>43048.307002314818</v>
      </c>
      <c r="B56" s="20" t="s">
        <v>363</v>
      </c>
      <c r="C56" s="20" t="s">
        <v>714</v>
      </c>
      <c r="D56" s="138">
        <v>1830000</v>
      </c>
      <c r="E56" s="20" t="s">
        <v>348</v>
      </c>
      <c r="F56" s="20" t="s">
        <v>349</v>
      </c>
      <c r="G56" s="8" t="str">
        <f t="shared" si="0"/>
        <v>YORK EDGAR</v>
      </c>
      <c r="H56" s="20" t="str">
        <f t="shared" si="1"/>
        <v>4007</v>
      </c>
    </row>
    <row r="57" spans="1:8" x14ac:dyDescent="0.25">
      <c r="A57" s="8">
        <v>43048.308668981481</v>
      </c>
      <c r="B57" s="20" t="s">
        <v>646</v>
      </c>
      <c r="C57" s="20" t="s">
        <v>715</v>
      </c>
      <c r="D57" s="138">
        <v>2040000</v>
      </c>
      <c r="E57" s="20" t="s">
        <v>402</v>
      </c>
      <c r="F57" s="20" t="s">
        <v>403</v>
      </c>
      <c r="G57" s="8" t="str">
        <f t="shared" si="0"/>
        <v>MOSES BRADLEY</v>
      </c>
      <c r="H57" s="20" t="str">
        <f t="shared" si="1"/>
        <v>4066</v>
      </c>
    </row>
    <row r="58" spans="1:8" x14ac:dyDescent="0.25">
      <c r="A58" s="8">
        <v>43048.31040509259</v>
      </c>
      <c r="B58" s="20" t="s">
        <v>696</v>
      </c>
      <c r="C58" s="20" t="s">
        <v>716</v>
      </c>
      <c r="D58" s="138">
        <v>3000000</v>
      </c>
      <c r="E58" s="20" t="s">
        <v>502</v>
      </c>
      <c r="F58" s="20" t="s">
        <v>503</v>
      </c>
      <c r="G58" s="8" t="str">
        <f t="shared" si="0"/>
        <v>FORTUNATO FRANK</v>
      </c>
      <c r="H58" s="20" t="str">
        <f t="shared" si="1"/>
        <v>4015</v>
      </c>
    </row>
    <row r="59" spans="1:8" x14ac:dyDescent="0.25">
      <c r="A59" s="8">
        <v>43048.311678240738</v>
      </c>
      <c r="B59" s="20" t="s">
        <v>543</v>
      </c>
      <c r="C59" s="20" t="s">
        <v>717</v>
      </c>
      <c r="D59" s="138">
        <v>3180000</v>
      </c>
      <c r="E59" s="20" t="s">
        <v>544</v>
      </c>
      <c r="F59" s="20" t="s">
        <v>545</v>
      </c>
      <c r="G59" s="8" t="str">
        <f t="shared" si="0"/>
        <v>HUFFSMITH MONTY</v>
      </c>
      <c r="H59" s="20" t="str">
        <f t="shared" si="1"/>
        <v>4054</v>
      </c>
    </row>
    <row r="60" spans="1:8" x14ac:dyDescent="0.25">
      <c r="A60" s="8">
        <v>43048.318518518521</v>
      </c>
      <c r="B60" s="20" t="s">
        <v>640</v>
      </c>
      <c r="C60" s="20" t="s">
        <v>718</v>
      </c>
      <c r="D60" s="138">
        <v>1230000</v>
      </c>
      <c r="E60" s="20" t="s">
        <v>480</v>
      </c>
      <c r="F60" s="20" t="s">
        <v>481</v>
      </c>
      <c r="G60" s="8" t="str">
        <f t="shared" si="0"/>
        <v>YANAI IAN</v>
      </c>
      <c r="H60" s="20" t="str">
        <f t="shared" si="1"/>
        <v>4005</v>
      </c>
    </row>
    <row r="61" spans="1:8" x14ac:dyDescent="0.25">
      <c r="A61" s="8">
        <v>43048.319374999999</v>
      </c>
      <c r="B61" s="20" t="s">
        <v>500</v>
      </c>
      <c r="C61" s="20" t="s">
        <v>719</v>
      </c>
      <c r="D61" s="138">
        <v>940000</v>
      </c>
      <c r="E61" s="20" t="s">
        <v>478</v>
      </c>
      <c r="F61" s="20" t="s">
        <v>479</v>
      </c>
      <c r="G61" s="8" t="str">
        <f t="shared" si="0"/>
        <v>BONDS REYNALDO</v>
      </c>
      <c r="H61" s="20" t="str">
        <f t="shared" si="1"/>
        <v>4020</v>
      </c>
    </row>
    <row r="62" spans="1:8" x14ac:dyDescent="0.25">
      <c r="A62" s="8">
        <v>43048.328842592593</v>
      </c>
      <c r="B62" s="20" t="s">
        <v>538</v>
      </c>
      <c r="C62" s="20" t="s">
        <v>720</v>
      </c>
      <c r="D62" s="138">
        <v>3260000</v>
      </c>
      <c r="E62" s="20" t="s">
        <v>721</v>
      </c>
      <c r="F62" s="20" t="s">
        <v>722</v>
      </c>
      <c r="G62" s="8" t="str">
        <f t="shared" si="0"/>
        <v>PAGE MARCUS</v>
      </c>
      <c r="H62" s="20" t="str">
        <f t="shared" si="1"/>
        <v>4024</v>
      </c>
    </row>
    <row r="63" spans="1:8" x14ac:dyDescent="0.25">
      <c r="A63" s="8">
        <v>43048.331111111111</v>
      </c>
      <c r="B63" s="20" t="s">
        <v>370</v>
      </c>
      <c r="C63" s="20" t="s">
        <v>723</v>
      </c>
      <c r="D63" s="138">
        <v>3180000</v>
      </c>
      <c r="E63" s="20" t="s">
        <v>544</v>
      </c>
      <c r="F63" s="20" t="s">
        <v>545</v>
      </c>
      <c r="G63" s="8" t="str">
        <f t="shared" si="0"/>
        <v>HUFFSMITH MONTY</v>
      </c>
      <c r="H63" s="20" t="str">
        <f t="shared" si="1"/>
        <v>4053</v>
      </c>
    </row>
    <row r="64" spans="1:8" x14ac:dyDescent="0.25">
      <c r="A64" s="26">
        <v>43048.332175925927</v>
      </c>
      <c r="B64" s="20" t="s">
        <v>550</v>
      </c>
      <c r="C64" s="20" t="s">
        <v>724</v>
      </c>
      <c r="D64" s="138">
        <v>3000000</v>
      </c>
      <c r="E64" s="20" t="s">
        <v>502</v>
      </c>
      <c r="F64" s="20" t="s">
        <v>503</v>
      </c>
      <c r="G64" s="8" t="str">
        <f t="shared" si="0"/>
        <v>FORTUNATO FRANK</v>
      </c>
      <c r="H64" s="20" t="str">
        <f t="shared" si="1"/>
        <v>4016</v>
      </c>
    </row>
    <row r="65" spans="1:8" x14ac:dyDescent="0.25">
      <c r="A65" s="8">
        <v>43048.335277777776</v>
      </c>
      <c r="B65" s="20" t="s">
        <v>648</v>
      </c>
      <c r="C65" s="20" t="s">
        <v>725</v>
      </c>
      <c r="D65" s="138">
        <v>2010000</v>
      </c>
      <c r="E65" s="20" t="s">
        <v>668</v>
      </c>
      <c r="F65" s="20" t="s">
        <v>669</v>
      </c>
      <c r="G65" s="8" t="str">
        <f t="shared" si="0"/>
        <v>MAELZER KURT</v>
      </c>
      <c r="H65" s="20" t="str">
        <f t="shared" si="1"/>
        <v>4021</v>
      </c>
    </row>
    <row r="66" spans="1:8" x14ac:dyDescent="0.25">
      <c r="A66" s="8">
        <v>43048.34070601852</v>
      </c>
      <c r="B66" s="20" t="s">
        <v>644</v>
      </c>
      <c r="C66" s="20" t="s">
        <v>726</v>
      </c>
      <c r="D66" s="138">
        <v>3040000</v>
      </c>
      <c r="E66" s="20" t="s">
        <v>371</v>
      </c>
      <c r="F66" s="20" t="s">
        <v>679</v>
      </c>
      <c r="G66" s="8" t="str">
        <f t="shared" si="0"/>
        <v>WILLIAMS DONTE</v>
      </c>
      <c r="H66" s="20" t="str">
        <f t="shared" si="1"/>
        <v>4026</v>
      </c>
    </row>
    <row r="67" spans="1:8" x14ac:dyDescent="0.25">
      <c r="A67" s="8">
        <v>43048.346134259256</v>
      </c>
      <c r="B67" s="20" t="s">
        <v>689</v>
      </c>
      <c r="C67" s="20" t="s">
        <v>727</v>
      </c>
      <c r="D67" s="138">
        <v>2040000</v>
      </c>
      <c r="E67" s="20" t="s">
        <v>402</v>
      </c>
      <c r="F67" s="20" t="s">
        <v>403</v>
      </c>
      <c r="G67" s="8" t="str">
        <f t="shared" ref="G67:G130" si="2">E67&amp;" "&amp;F67</f>
        <v>MOSES BRADLEY</v>
      </c>
      <c r="H67" s="20" t="str">
        <f t="shared" ref="H67:H130" si="3">MID(B67,13,4)</f>
        <v>4065</v>
      </c>
    </row>
    <row r="68" spans="1:8" x14ac:dyDescent="0.25">
      <c r="A68" s="8">
        <v>43048.349444444444</v>
      </c>
      <c r="B68" s="20" t="s">
        <v>358</v>
      </c>
      <c r="C68" s="20" t="s">
        <v>728</v>
      </c>
      <c r="D68" s="138">
        <v>1830000</v>
      </c>
      <c r="E68" s="20" t="s">
        <v>348</v>
      </c>
      <c r="F68" s="20" t="s">
        <v>349</v>
      </c>
      <c r="G68" s="8" t="str">
        <f t="shared" si="2"/>
        <v>YORK EDGAR</v>
      </c>
      <c r="H68" s="20" t="str">
        <f t="shared" si="3"/>
        <v>4008</v>
      </c>
    </row>
    <row r="69" spans="1:8" x14ac:dyDescent="0.25">
      <c r="A69" s="8">
        <v>43048.351956018516</v>
      </c>
      <c r="B69" s="20" t="s">
        <v>696</v>
      </c>
      <c r="C69" s="20" t="s">
        <v>729</v>
      </c>
      <c r="D69" s="138">
        <v>3000000</v>
      </c>
      <c r="E69" s="20" t="s">
        <v>502</v>
      </c>
      <c r="F69" s="20" t="s">
        <v>503</v>
      </c>
      <c r="G69" s="8" t="str">
        <f t="shared" si="2"/>
        <v>FORTUNATO FRANK</v>
      </c>
      <c r="H69" s="20" t="str">
        <f t="shared" si="3"/>
        <v>4015</v>
      </c>
    </row>
    <row r="70" spans="1:8" x14ac:dyDescent="0.25">
      <c r="A70" s="8">
        <v>43048.35359953704</v>
      </c>
      <c r="B70" s="20" t="s">
        <v>543</v>
      </c>
      <c r="C70" s="20" t="s">
        <v>730</v>
      </c>
      <c r="D70" s="138">
        <v>3180000</v>
      </c>
      <c r="E70" s="20" t="s">
        <v>544</v>
      </c>
      <c r="F70" s="20" t="s">
        <v>545</v>
      </c>
      <c r="G70" s="8" t="str">
        <f t="shared" si="2"/>
        <v>HUFFSMITH MONTY</v>
      </c>
      <c r="H70" s="20" t="str">
        <f t="shared" si="3"/>
        <v>4054</v>
      </c>
    </row>
    <row r="71" spans="1:8" x14ac:dyDescent="0.25">
      <c r="A71" s="8">
        <v>43048.359895833331</v>
      </c>
      <c r="B71" s="20" t="s">
        <v>497</v>
      </c>
      <c r="C71" s="20" t="s">
        <v>643</v>
      </c>
      <c r="D71" s="138">
        <v>940000</v>
      </c>
      <c r="E71" s="20" t="s">
        <v>478</v>
      </c>
      <c r="F71" s="20" t="s">
        <v>479</v>
      </c>
      <c r="G71" s="8" t="str">
        <f t="shared" si="2"/>
        <v>BONDS REYNALDO</v>
      </c>
      <c r="H71" s="20" t="str">
        <f t="shared" si="3"/>
        <v>4019</v>
      </c>
    </row>
    <row r="72" spans="1:8" x14ac:dyDescent="0.25">
      <c r="A72" s="8">
        <v>43048.362604166665</v>
      </c>
      <c r="B72" s="20" t="s">
        <v>650</v>
      </c>
      <c r="C72" s="20" t="s">
        <v>731</v>
      </c>
      <c r="D72" s="138">
        <v>1230000</v>
      </c>
      <c r="E72" s="20" t="s">
        <v>480</v>
      </c>
      <c r="F72" s="20" t="s">
        <v>481</v>
      </c>
      <c r="G72" s="8" t="str">
        <f t="shared" si="2"/>
        <v>YANAI IAN</v>
      </c>
      <c r="H72" s="20" t="str">
        <f t="shared" si="3"/>
        <v>4006</v>
      </c>
    </row>
    <row r="73" spans="1:8" x14ac:dyDescent="0.25">
      <c r="A73" s="8">
        <v>43048.367129629631</v>
      </c>
      <c r="B73" s="20" t="s">
        <v>539</v>
      </c>
      <c r="C73" s="20" t="s">
        <v>732</v>
      </c>
      <c r="D73" s="138">
        <v>3260000</v>
      </c>
      <c r="E73" s="20" t="s">
        <v>721</v>
      </c>
      <c r="F73" s="20" t="s">
        <v>722</v>
      </c>
      <c r="G73" s="8" t="str">
        <f t="shared" si="2"/>
        <v>PAGE MARCUS</v>
      </c>
      <c r="H73" s="20" t="str">
        <f t="shared" si="3"/>
        <v>4023</v>
      </c>
    </row>
    <row r="74" spans="1:8" x14ac:dyDescent="0.25">
      <c r="A74" s="8">
        <v>43048.371192129627</v>
      </c>
      <c r="B74" s="20" t="s">
        <v>390</v>
      </c>
      <c r="C74" s="20" t="s">
        <v>733</v>
      </c>
      <c r="D74" s="138">
        <v>2010000</v>
      </c>
      <c r="E74" s="20" t="s">
        <v>668</v>
      </c>
      <c r="F74" s="20" t="s">
        <v>669</v>
      </c>
      <c r="G74" s="8" t="str">
        <f t="shared" si="2"/>
        <v>MAELZER KURT</v>
      </c>
      <c r="H74" s="20" t="str">
        <f t="shared" si="3"/>
        <v>4022</v>
      </c>
    </row>
    <row r="75" spans="1:8" x14ac:dyDescent="0.25">
      <c r="A75" s="8">
        <v>43048.373391203706</v>
      </c>
      <c r="B75" s="20" t="s">
        <v>550</v>
      </c>
      <c r="C75" s="20" t="s">
        <v>734</v>
      </c>
      <c r="D75" s="138">
        <v>3000000</v>
      </c>
      <c r="E75" s="20" t="s">
        <v>502</v>
      </c>
      <c r="F75" s="20" t="s">
        <v>503</v>
      </c>
      <c r="G75" s="8" t="str">
        <f t="shared" si="2"/>
        <v>FORTUNATO FRANK</v>
      </c>
      <c r="H75" s="20" t="str">
        <f t="shared" si="3"/>
        <v>4016</v>
      </c>
    </row>
    <row r="76" spans="1:8" x14ac:dyDescent="0.25">
      <c r="A76" s="8">
        <v>43048.378645833334</v>
      </c>
      <c r="B76" s="20" t="s">
        <v>677</v>
      </c>
      <c r="C76" s="20" t="s">
        <v>735</v>
      </c>
      <c r="D76" s="138">
        <v>3040000</v>
      </c>
      <c r="E76" s="20" t="s">
        <v>371</v>
      </c>
      <c r="F76" s="20" t="s">
        <v>679</v>
      </c>
      <c r="G76" s="8" t="str">
        <f t="shared" si="2"/>
        <v>WILLIAMS DONTE</v>
      </c>
      <c r="H76" s="20" t="str">
        <f t="shared" si="3"/>
        <v>4025</v>
      </c>
    </row>
    <row r="77" spans="1:8" x14ac:dyDescent="0.25">
      <c r="A77" s="8">
        <v>43048.379976851851</v>
      </c>
      <c r="B77" s="20" t="s">
        <v>363</v>
      </c>
      <c r="C77" s="20" t="s">
        <v>736</v>
      </c>
      <c r="D77" s="138">
        <v>1830000</v>
      </c>
      <c r="E77" s="20" t="s">
        <v>348</v>
      </c>
      <c r="F77" s="20" t="s">
        <v>349</v>
      </c>
      <c r="G77" s="8" t="str">
        <f t="shared" si="2"/>
        <v>YORK EDGAR</v>
      </c>
      <c r="H77" s="20" t="str">
        <f t="shared" si="3"/>
        <v>4007</v>
      </c>
    </row>
    <row r="78" spans="1:8" x14ac:dyDescent="0.25">
      <c r="A78" s="8">
        <v>43048.383668981478</v>
      </c>
      <c r="B78" s="20" t="s">
        <v>646</v>
      </c>
      <c r="C78" s="20" t="s">
        <v>737</v>
      </c>
      <c r="D78" s="138">
        <v>2040000</v>
      </c>
      <c r="E78" s="20" t="s">
        <v>402</v>
      </c>
      <c r="F78" s="20" t="s">
        <v>403</v>
      </c>
      <c r="G78" s="8" t="str">
        <f t="shared" si="2"/>
        <v>MOSES BRADLEY</v>
      </c>
      <c r="H78" s="20" t="str">
        <f t="shared" si="3"/>
        <v>4066</v>
      </c>
    </row>
    <row r="79" spans="1:8" x14ac:dyDescent="0.25">
      <c r="A79" s="8">
        <v>43048.391192129631</v>
      </c>
      <c r="B79" s="20" t="s">
        <v>500</v>
      </c>
      <c r="C79" s="20" t="s">
        <v>738</v>
      </c>
      <c r="D79" s="138">
        <v>940000</v>
      </c>
      <c r="E79" s="20" t="s">
        <v>478</v>
      </c>
      <c r="F79" s="20" t="s">
        <v>479</v>
      </c>
      <c r="G79" s="8" t="str">
        <f t="shared" si="2"/>
        <v>BONDS REYNALDO</v>
      </c>
      <c r="H79" s="20" t="str">
        <f t="shared" si="3"/>
        <v>4020</v>
      </c>
    </row>
    <row r="80" spans="1:8" x14ac:dyDescent="0.25">
      <c r="A80" s="8">
        <v>43048.393506944441</v>
      </c>
      <c r="B80" s="20" t="s">
        <v>696</v>
      </c>
      <c r="C80" s="20" t="s">
        <v>739</v>
      </c>
      <c r="D80" s="138">
        <v>3000000</v>
      </c>
      <c r="E80" s="20" t="s">
        <v>502</v>
      </c>
      <c r="F80" s="20" t="s">
        <v>503</v>
      </c>
      <c r="G80" s="8" t="str">
        <f t="shared" si="2"/>
        <v>FORTUNATO FRANK</v>
      </c>
      <c r="H80" s="20" t="str">
        <f t="shared" si="3"/>
        <v>4015</v>
      </c>
    </row>
    <row r="81" spans="1:8" x14ac:dyDescent="0.25">
      <c r="A81" s="8">
        <v>43048.393738425926</v>
      </c>
      <c r="B81" s="20" t="s">
        <v>640</v>
      </c>
      <c r="C81" s="20" t="s">
        <v>740</v>
      </c>
      <c r="D81" s="138">
        <v>1230000</v>
      </c>
      <c r="E81" s="20" t="s">
        <v>480</v>
      </c>
      <c r="F81" s="20" t="s">
        <v>481</v>
      </c>
      <c r="G81" s="8" t="str">
        <f t="shared" si="2"/>
        <v>YANAI IAN</v>
      </c>
      <c r="H81" s="20" t="str">
        <f t="shared" si="3"/>
        <v>4005</v>
      </c>
    </row>
    <row r="82" spans="1:8" x14ac:dyDescent="0.25">
      <c r="A82" s="8">
        <v>43048.402905092589</v>
      </c>
      <c r="B82" s="20" t="s">
        <v>538</v>
      </c>
      <c r="C82" s="20" t="s">
        <v>741</v>
      </c>
      <c r="D82" s="138">
        <v>1340000</v>
      </c>
      <c r="E82" s="20" t="s">
        <v>673</v>
      </c>
      <c r="F82" s="20" t="s">
        <v>674</v>
      </c>
      <c r="G82" s="8" t="str">
        <f t="shared" si="2"/>
        <v>BEAM ROSS</v>
      </c>
      <c r="H82" s="20" t="str">
        <f t="shared" si="3"/>
        <v>4024</v>
      </c>
    </row>
    <row r="83" spans="1:8" x14ac:dyDescent="0.25">
      <c r="A83" s="8">
        <v>43048.41064814815</v>
      </c>
      <c r="B83" s="20" t="s">
        <v>648</v>
      </c>
      <c r="C83" s="20" t="s">
        <v>742</v>
      </c>
      <c r="D83" s="138">
        <v>2010000</v>
      </c>
      <c r="E83" s="20" t="s">
        <v>668</v>
      </c>
      <c r="F83" s="20" t="s">
        <v>669</v>
      </c>
      <c r="G83" s="8" t="str">
        <f t="shared" si="2"/>
        <v>MAELZER KURT</v>
      </c>
      <c r="H83" s="20" t="str">
        <f t="shared" si="3"/>
        <v>4021</v>
      </c>
    </row>
    <row r="84" spans="1:8" x14ac:dyDescent="0.25">
      <c r="A84" s="8">
        <v>43048.412581018521</v>
      </c>
      <c r="B84" s="20" t="s">
        <v>644</v>
      </c>
      <c r="C84" s="20" t="s">
        <v>743</v>
      </c>
      <c r="D84" s="138">
        <v>3040000</v>
      </c>
      <c r="E84" s="20" t="s">
        <v>371</v>
      </c>
      <c r="F84" s="20" t="s">
        <v>679</v>
      </c>
      <c r="G84" s="8" t="str">
        <f t="shared" si="2"/>
        <v>WILLIAMS DONTE</v>
      </c>
      <c r="H84" s="20" t="str">
        <f t="shared" si="3"/>
        <v>4026</v>
      </c>
    </row>
    <row r="85" spans="1:8" x14ac:dyDescent="0.25">
      <c r="A85" s="8">
        <v>43048.415706018517</v>
      </c>
      <c r="B85" s="20" t="s">
        <v>550</v>
      </c>
      <c r="C85" s="20" t="s">
        <v>744</v>
      </c>
      <c r="D85" s="138">
        <v>3000000</v>
      </c>
      <c r="E85" s="20" t="s">
        <v>502</v>
      </c>
      <c r="F85" s="20" t="s">
        <v>503</v>
      </c>
      <c r="G85" s="8" t="str">
        <f t="shared" si="2"/>
        <v>FORTUNATO FRANK</v>
      </c>
      <c r="H85" s="20" t="str">
        <f t="shared" si="3"/>
        <v>4016</v>
      </c>
    </row>
    <row r="86" spans="1:8" x14ac:dyDescent="0.25">
      <c r="A86" s="8">
        <v>43048.421319444446</v>
      </c>
      <c r="B86" s="20" t="s">
        <v>358</v>
      </c>
      <c r="C86" s="20" t="s">
        <v>745</v>
      </c>
      <c r="D86" s="138">
        <v>3180000</v>
      </c>
      <c r="E86" s="20" t="s">
        <v>544</v>
      </c>
      <c r="F86" s="20" t="s">
        <v>545</v>
      </c>
      <c r="G86" s="8" t="str">
        <f t="shared" si="2"/>
        <v>HUFFSMITH MONTY</v>
      </c>
      <c r="H86" s="20" t="str">
        <f t="shared" si="3"/>
        <v>4008</v>
      </c>
    </row>
    <row r="87" spans="1:8" x14ac:dyDescent="0.25">
      <c r="A87" s="8">
        <v>43048.423159722224</v>
      </c>
      <c r="B87" s="20" t="s">
        <v>689</v>
      </c>
      <c r="C87" s="20" t="s">
        <v>746</v>
      </c>
      <c r="D87" s="138">
        <v>2040000</v>
      </c>
      <c r="E87" s="20" t="s">
        <v>402</v>
      </c>
      <c r="F87" s="20" t="s">
        <v>403</v>
      </c>
      <c r="G87" s="8" t="str">
        <f t="shared" si="2"/>
        <v>MOSES BRADLEY</v>
      </c>
      <c r="H87" s="20" t="str">
        <f t="shared" si="3"/>
        <v>4065</v>
      </c>
    </row>
    <row r="88" spans="1:8" x14ac:dyDescent="0.25">
      <c r="A88" s="8">
        <v>43048.430312500001</v>
      </c>
      <c r="B88" s="20" t="s">
        <v>497</v>
      </c>
      <c r="C88" s="20" t="s">
        <v>747</v>
      </c>
      <c r="D88" s="138">
        <v>940000</v>
      </c>
      <c r="E88" s="20" t="s">
        <v>478</v>
      </c>
      <c r="F88" s="20" t="s">
        <v>479</v>
      </c>
      <c r="G88" s="8" t="str">
        <f t="shared" si="2"/>
        <v>BONDS REYNALDO</v>
      </c>
      <c r="H88" s="20" t="str">
        <f t="shared" si="3"/>
        <v>4019</v>
      </c>
    </row>
    <row r="89" spans="1:8" x14ac:dyDescent="0.25">
      <c r="A89" s="8">
        <v>43048.432800925926</v>
      </c>
      <c r="B89" s="20" t="s">
        <v>539</v>
      </c>
      <c r="C89" s="20" t="s">
        <v>748</v>
      </c>
      <c r="D89" s="138">
        <v>1340000</v>
      </c>
      <c r="E89" s="20" t="s">
        <v>673</v>
      </c>
      <c r="F89" s="20" t="s">
        <v>674</v>
      </c>
      <c r="G89" s="8" t="str">
        <f t="shared" si="2"/>
        <v>BEAM ROSS</v>
      </c>
      <c r="H89" s="20" t="str">
        <f t="shared" si="3"/>
        <v>4023</v>
      </c>
    </row>
    <row r="90" spans="1:8" x14ac:dyDescent="0.25">
      <c r="A90" s="8">
        <v>43048.434560185182</v>
      </c>
      <c r="B90" s="20" t="s">
        <v>650</v>
      </c>
      <c r="C90" s="20" t="s">
        <v>749</v>
      </c>
      <c r="D90" s="138">
        <v>1230000</v>
      </c>
      <c r="E90" s="20" t="s">
        <v>480</v>
      </c>
      <c r="F90" s="20" t="s">
        <v>481</v>
      </c>
      <c r="G90" s="8" t="str">
        <f t="shared" si="2"/>
        <v>YANAI IAN</v>
      </c>
      <c r="H90" s="20" t="str">
        <f t="shared" si="3"/>
        <v>4006</v>
      </c>
    </row>
    <row r="91" spans="1:8" x14ac:dyDescent="0.25">
      <c r="A91" s="8">
        <v>43048.435925925929</v>
      </c>
      <c r="B91" s="20" t="s">
        <v>696</v>
      </c>
      <c r="C91" s="20" t="s">
        <v>750</v>
      </c>
      <c r="D91" s="138">
        <v>3000000</v>
      </c>
      <c r="E91" s="20" t="s">
        <v>502</v>
      </c>
      <c r="F91" s="20" t="s">
        <v>503</v>
      </c>
      <c r="G91" s="8" t="str">
        <f t="shared" si="2"/>
        <v>FORTUNATO FRANK</v>
      </c>
      <c r="H91" s="20" t="str">
        <f t="shared" si="3"/>
        <v>4015</v>
      </c>
    </row>
    <row r="92" spans="1:8" x14ac:dyDescent="0.25">
      <c r="A92" s="8">
        <v>43048.444675925923</v>
      </c>
      <c r="B92" s="20" t="s">
        <v>390</v>
      </c>
      <c r="C92" s="20" t="s">
        <v>751</v>
      </c>
      <c r="D92" s="138">
        <v>2550000</v>
      </c>
      <c r="E92" s="20" t="s">
        <v>752</v>
      </c>
      <c r="F92" s="20" t="s">
        <v>753</v>
      </c>
      <c r="G92" s="8" t="str">
        <f t="shared" si="2"/>
        <v>BADERTSCHER DIANE</v>
      </c>
      <c r="H92" s="20" t="str">
        <f t="shared" si="3"/>
        <v>4022</v>
      </c>
    </row>
    <row r="93" spans="1:8" x14ac:dyDescent="0.25">
      <c r="A93" s="8">
        <v>43048.445405092592</v>
      </c>
      <c r="B93" s="20" t="s">
        <v>375</v>
      </c>
      <c r="C93" s="20" t="s">
        <v>664</v>
      </c>
      <c r="D93" s="138">
        <v>1760000</v>
      </c>
      <c r="E93" s="20" t="s">
        <v>754</v>
      </c>
      <c r="F93" s="20" t="s">
        <v>755</v>
      </c>
      <c r="G93" s="8" t="str">
        <f t="shared" si="2"/>
        <v>STRICKLAND EVAN</v>
      </c>
      <c r="H93" s="20" t="str">
        <f t="shared" si="3"/>
        <v>4011</v>
      </c>
    </row>
    <row r="94" spans="1:8" x14ac:dyDescent="0.25">
      <c r="A94" s="8">
        <v>43048.451643518521</v>
      </c>
      <c r="B94" s="20" t="s">
        <v>677</v>
      </c>
      <c r="C94" s="20" t="s">
        <v>756</v>
      </c>
      <c r="D94" s="138">
        <v>3040000</v>
      </c>
      <c r="E94" s="20" t="s">
        <v>371</v>
      </c>
      <c r="F94" s="20" t="s">
        <v>679</v>
      </c>
      <c r="G94" s="8" t="str">
        <f t="shared" si="2"/>
        <v>WILLIAMS DONTE</v>
      </c>
      <c r="H94" s="20" t="str">
        <f t="shared" si="3"/>
        <v>4025</v>
      </c>
    </row>
    <row r="95" spans="1:8" x14ac:dyDescent="0.25">
      <c r="A95" s="8">
        <v>43048.454699074071</v>
      </c>
      <c r="B95" s="20" t="s">
        <v>646</v>
      </c>
      <c r="C95" s="20" t="s">
        <v>757</v>
      </c>
      <c r="D95" s="138">
        <v>2040000</v>
      </c>
      <c r="E95" s="20" t="s">
        <v>402</v>
      </c>
      <c r="F95" s="20" t="s">
        <v>403</v>
      </c>
      <c r="G95" s="8" t="str">
        <f t="shared" si="2"/>
        <v>MOSES BRADLEY</v>
      </c>
      <c r="H95" s="20" t="str">
        <f t="shared" si="3"/>
        <v>4066</v>
      </c>
    </row>
    <row r="96" spans="1:8" x14ac:dyDescent="0.25">
      <c r="A96" s="8">
        <v>43048.46</v>
      </c>
      <c r="B96" s="20" t="s">
        <v>363</v>
      </c>
      <c r="C96" s="20" t="s">
        <v>758</v>
      </c>
      <c r="D96" s="138">
        <v>3180000</v>
      </c>
      <c r="E96" s="20" t="s">
        <v>544</v>
      </c>
      <c r="F96" s="20" t="s">
        <v>545</v>
      </c>
      <c r="G96" s="8" t="str">
        <f t="shared" si="2"/>
        <v>HUFFSMITH MONTY</v>
      </c>
      <c r="H96" s="20" t="str">
        <f t="shared" si="3"/>
        <v>4007</v>
      </c>
    </row>
    <row r="97" spans="1:8" x14ac:dyDescent="0.25">
      <c r="A97" s="8">
        <v>43048.462337962963</v>
      </c>
      <c r="B97" s="20" t="s">
        <v>550</v>
      </c>
      <c r="C97" s="20" t="s">
        <v>759</v>
      </c>
      <c r="D97" s="138">
        <v>3000000</v>
      </c>
      <c r="E97" s="20" t="s">
        <v>502</v>
      </c>
      <c r="F97" s="20" t="s">
        <v>503</v>
      </c>
      <c r="G97" s="8" t="str">
        <f t="shared" si="2"/>
        <v>FORTUNATO FRANK</v>
      </c>
      <c r="H97" s="20" t="str">
        <f t="shared" si="3"/>
        <v>4016</v>
      </c>
    </row>
    <row r="98" spans="1:8" x14ac:dyDescent="0.25">
      <c r="A98" s="8">
        <v>43048.463148148148</v>
      </c>
      <c r="B98" s="20" t="s">
        <v>640</v>
      </c>
      <c r="C98" s="20" t="s">
        <v>760</v>
      </c>
      <c r="D98" s="138">
        <v>1230000</v>
      </c>
      <c r="E98" s="20" t="s">
        <v>480</v>
      </c>
      <c r="F98" s="20" t="s">
        <v>481</v>
      </c>
      <c r="G98" s="8" t="str">
        <f t="shared" si="2"/>
        <v>YANAI IAN</v>
      </c>
      <c r="H98" s="20" t="str">
        <f t="shared" si="3"/>
        <v>4005</v>
      </c>
    </row>
    <row r="99" spans="1:8" x14ac:dyDescent="0.25">
      <c r="A99" s="8">
        <v>43048.46601851852</v>
      </c>
      <c r="B99" s="20" t="s">
        <v>500</v>
      </c>
      <c r="C99" s="20" t="s">
        <v>761</v>
      </c>
      <c r="D99" s="138">
        <v>1770000</v>
      </c>
      <c r="E99" s="20" t="s">
        <v>504</v>
      </c>
      <c r="F99" s="20" t="s">
        <v>505</v>
      </c>
      <c r="G99" s="8" t="str">
        <f t="shared" si="2"/>
        <v>BRUDER RICHARD</v>
      </c>
      <c r="H99" s="20" t="str">
        <f t="shared" si="3"/>
        <v>4020</v>
      </c>
    </row>
    <row r="100" spans="1:8" x14ac:dyDescent="0.25">
      <c r="A100" s="8">
        <v>43048.475266203706</v>
      </c>
      <c r="B100" s="20" t="s">
        <v>374</v>
      </c>
      <c r="C100" s="20" t="s">
        <v>762</v>
      </c>
      <c r="D100" s="138">
        <v>940000</v>
      </c>
      <c r="E100" s="20" t="s">
        <v>478</v>
      </c>
      <c r="F100" s="20" t="s">
        <v>479</v>
      </c>
      <c r="G100" s="8" t="str">
        <f t="shared" si="2"/>
        <v>BONDS REYNALDO</v>
      </c>
      <c r="H100" s="20" t="str">
        <f t="shared" si="3"/>
        <v>4012</v>
      </c>
    </row>
    <row r="101" spans="1:8" x14ac:dyDescent="0.25">
      <c r="A101" s="8">
        <v>43048.475277777776</v>
      </c>
      <c r="B101" s="20" t="s">
        <v>538</v>
      </c>
      <c r="C101" s="20" t="s">
        <v>763</v>
      </c>
      <c r="D101" s="138">
        <v>880000</v>
      </c>
      <c r="E101" s="20" t="s">
        <v>385</v>
      </c>
      <c r="F101" s="20" t="s">
        <v>354</v>
      </c>
      <c r="G101" s="8" t="str">
        <f t="shared" si="2"/>
        <v>STEWART MICHAEL</v>
      </c>
      <c r="H101" s="20" t="str">
        <f t="shared" si="3"/>
        <v>4024</v>
      </c>
    </row>
    <row r="102" spans="1:8" x14ac:dyDescent="0.25">
      <c r="A102" s="8">
        <v>43048.476400462961</v>
      </c>
      <c r="B102" s="20" t="s">
        <v>696</v>
      </c>
      <c r="C102" s="20" t="s">
        <v>764</v>
      </c>
      <c r="D102" s="138">
        <v>3000000</v>
      </c>
      <c r="E102" s="20" t="s">
        <v>502</v>
      </c>
      <c r="F102" s="20" t="s">
        <v>503</v>
      </c>
      <c r="G102" s="8" t="str">
        <f t="shared" si="2"/>
        <v>FORTUNATO FRANK</v>
      </c>
      <c r="H102" s="20" t="str">
        <f t="shared" si="3"/>
        <v>4015</v>
      </c>
    </row>
    <row r="103" spans="1:8" x14ac:dyDescent="0.25">
      <c r="A103" s="8">
        <v>43048.483912037038</v>
      </c>
      <c r="B103" s="20" t="s">
        <v>648</v>
      </c>
      <c r="C103" s="20" t="s">
        <v>765</v>
      </c>
      <c r="D103" s="138">
        <v>2550000</v>
      </c>
      <c r="E103" s="20" t="s">
        <v>752</v>
      </c>
      <c r="F103" s="20" t="s">
        <v>753</v>
      </c>
      <c r="G103" s="8" t="str">
        <f t="shared" si="2"/>
        <v>BADERTSCHER DIANE</v>
      </c>
      <c r="H103" s="20" t="str">
        <f t="shared" si="3"/>
        <v>4021</v>
      </c>
    </row>
    <row r="104" spans="1:8" x14ac:dyDescent="0.25">
      <c r="A104" s="8">
        <v>43048.487372685187</v>
      </c>
      <c r="B104" s="20" t="s">
        <v>644</v>
      </c>
      <c r="C104" s="20" t="s">
        <v>645</v>
      </c>
      <c r="D104" s="138">
        <v>1300000</v>
      </c>
      <c r="E104" s="20" t="s">
        <v>360</v>
      </c>
      <c r="F104" s="20" t="s">
        <v>361</v>
      </c>
      <c r="G104" s="8" t="str">
        <f t="shared" si="2"/>
        <v>LEVIN SCOTT</v>
      </c>
      <c r="H104" s="20" t="str">
        <f t="shared" si="3"/>
        <v>4026</v>
      </c>
    </row>
    <row r="105" spans="1:8" x14ac:dyDescent="0.25">
      <c r="A105" s="8">
        <v>43048.495578703703</v>
      </c>
      <c r="B105" s="20" t="s">
        <v>689</v>
      </c>
      <c r="C105" s="20" t="s">
        <v>766</v>
      </c>
      <c r="D105" s="138">
        <v>2040000</v>
      </c>
      <c r="E105" s="20" t="s">
        <v>402</v>
      </c>
      <c r="F105" s="20" t="s">
        <v>403</v>
      </c>
      <c r="G105" s="8" t="str">
        <f t="shared" si="2"/>
        <v>MOSES BRADLEY</v>
      </c>
      <c r="H105" s="20" t="str">
        <f t="shared" si="3"/>
        <v>4065</v>
      </c>
    </row>
    <row r="106" spans="1:8" x14ac:dyDescent="0.25">
      <c r="A106" s="8">
        <v>43048.497349537036</v>
      </c>
      <c r="B106" s="20" t="s">
        <v>358</v>
      </c>
      <c r="C106" s="20" t="s">
        <v>767</v>
      </c>
      <c r="D106" s="138">
        <v>2350000</v>
      </c>
      <c r="E106" s="20" t="s">
        <v>548</v>
      </c>
      <c r="F106" s="20" t="s">
        <v>549</v>
      </c>
      <c r="G106" s="8" t="str">
        <f t="shared" si="2"/>
        <v>BERLING GARY</v>
      </c>
      <c r="H106" s="20" t="str">
        <f t="shared" si="3"/>
        <v>4008</v>
      </c>
    </row>
    <row r="107" spans="1:8" x14ac:dyDescent="0.25">
      <c r="A107" s="8">
        <v>43048.500474537039</v>
      </c>
      <c r="B107" s="20" t="s">
        <v>550</v>
      </c>
      <c r="C107" s="20" t="s">
        <v>768</v>
      </c>
      <c r="D107" s="138">
        <v>3000000</v>
      </c>
      <c r="E107" s="20" t="s">
        <v>502</v>
      </c>
      <c r="F107" s="20" t="s">
        <v>503</v>
      </c>
      <c r="G107" s="8" t="str">
        <f t="shared" si="2"/>
        <v>FORTUNATO FRANK</v>
      </c>
      <c r="H107" s="20" t="str">
        <f t="shared" si="3"/>
        <v>4016</v>
      </c>
    </row>
    <row r="108" spans="1:8" x14ac:dyDescent="0.25">
      <c r="A108" s="8">
        <v>43048.506516203706</v>
      </c>
      <c r="B108" s="20" t="s">
        <v>650</v>
      </c>
      <c r="C108" s="20" t="s">
        <v>769</v>
      </c>
      <c r="D108" s="138">
        <v>2030000</v>
      </c>
      <c r="E108" s="20" t="s">
        <v>770</v>
      </c>
      <c r="F108" s="20" t="s">
        <v>771</v>
      </c>
      <c r="G108" s="8" t="str">
        <f t="shared" si="2"/>
        <v>KILLION DAVID</v>
      </c>
      <c r="H108" s="20" t="str">
        <f t="shared" si="3"/>
        <v>4006</v>
      </c>
    </row>
    <row r="109" spans="1:8" x14ac:dyDescent="0.25">
      <c r="A109" s="8">
        <v>43048.506527777776</v>
      </c>
      <c r="B109" s="20" t="s">
        <v>497</v>
      </c>
      <c r="C109" s="20" t="s">
        <v>772</v>
      </c>
      <c r="D109" s="138">
        <v>1770000</v>
      </c>
      <c r="E109" s="20" t="s">
        <v>504</v>
      </c>
      <c r="F109" s="20" t="s">
        <v>505</v>
      </c>
      <c r="G109" s="8" t="str">
        <f t="shared" si="2"/>
        <v>BRUDER RICHARD</v>
      </c>
      <c r="H109" s="20" t="str">
        <f t="shared" si="3"/>
        <v>4019</v>
      </c>
    </row>
    <row r="110" spans="1:8" x14ac:dyDescent="0.25">
      <c r="A110" s="8">
        <v>43048.515972222223</v>
      </c>
      <c r="B110" s="20" t="s">
        <v>539</v>
      </c>
      <c r="C110" s="20" t="s">
        <v>773</v>
      </c>
      <c r="D110" s="138">
        <v>880000</v>
      </c>
      <c r="E110" s="20" t="s">
        <v>385</v>
      </c>
      <c r="F110" s="20" t="s">
        <v>354</v>
      </c>
      <c r="G110" s="8" t="str">
        <f t="shared" si="2"/>
        <v>STEWART MICHAEL</v>
      </c>
      <c r="H110" s="20" t="str">
        <f t="shared" si="3"/>
        <v>4023</v>
      </c>
    </row>
    <row r="111" spans="1:8" x14ac:dyDescent="0.25">
      <c r="A111" s="8">
        <v>43048.517152777778</v>
      </c>
      <c r="B111" s="20" t="s">
        <v>390</v>
      </c>
      <c r="C111" s="20" t="s">
        <v>774</v>
      </c>
      <c r="D111" s="138">
        <v>2550000</v>
      </c>
      <c r="E111" s="20" t="s">
        <v>752</v>
      </c>
      <c r="F111" s="20" t="s">
        <v>753</v>
      </c>
      <c r="G111" s="8" t="str">
        <f t="shared" si="2"/>
        <v>BADERTSCHER DIANE</v>
      </c>
      <c r="H111" s="20" t="str">
        <f t="shared" si="3"/>
        <v>4022</v>
      </c>
    </row>
    <row r="112" spans="1:8" x14ac:dyDescent="0.25">
      <c r="A112" s="8">
        <v>43048.51798611111</v>
      </c>
      <c r="B112" s="20" t="s">
        <v>696</v>
      </c>
      <c r="C112" s="20" t="s">
        <v>775</v>
      </c>
      <c r="D112" s="138">
        <v>3000000</v>
      </c>
      <c r="E112" s="20" t="s">
        <v>502</v>
      </c>
      <c r="F112" s="20" t="s">
        <v>503</v>
      </c>
      <c r="G112" s="8" t="str">
        <f t="shared" si="2"/>
        <v>FORTUNATO FRANK</v>
      </c>
      <c r="H112" s="20" t="str">
        <f t="shared" si="3"/>
        <v>4015</v>
      </c>
    </row>
    <row r="113" spans="1:8" x14ac:dyDescent="0.25">
      <c r="A113" s="8">
        <v>43048.522870370369</v>
      </c>
      <c r="B113" s="20" t="s">
        <v>677</v>
      </c>
      <c r="C113" s="20" t="s">
        <v>776</v>
      </c>
      <c r="D113" s="138">
        <v>1300000</v>
      </c>
      <c r="E113" s="20" t="s">
        <v>360</v>
      </c>
      <c r="F113" s="20" t="s">
        <v>361</v>
      </c>
      <c r="G113" s="8" t="str">
        <f t="shared" si="2"/>
        <v>LEVIN SCOTT</v>
      </c>
      <c r="H113" s="20" t="str">
        <f t="shared" si="3"/>
        <v>4025</v>
      </c>
    </row>
    <row r="114" spans="1:8" x14ac:dyDescent="0.25">
      <c r="A114" s="8">
        <v>43048.529027777775</v>
      </c>
      <c r="B114" s="20" t="s">
        <v>646</v>
      </c>
      <c r="C114" s="20" t="s">
        <v>647</v>
      </c>
      <c r="D114" s="138">
        <v>3670000</v>
      </c>
      <c r="E114" s="20" t="s">
        <v>388</v>
      </c>
      <c r="F114" s="20" t="s">
        <v>371</v>
      </c>
      <c r="G114" s="8" t="str">
        <f t="shared" si="2"/>
        <v>ANDREA WILLIAMS</v>
      </c>
      <c r="H114" s="20" t="str">
        <f t="shared" si="3"/>
        <v>4066</v>
      </c>
    </row>
    <row r="115" spans="1:8" x14ac:dyDescent="0.25">
      <c r="A115" s="8">
        <v>43048.535983796297</v>
      </c>
      <c r="B115" s="20" t="s">
        <v>363</v>
      </c>
      <c r="C115" s="20" t="s">
        <v>777</v>
      </c>
      <c r="D115" s="138">
        <v>2350000</v>
      </c>
      <c r="E115" s="20" t="s">
        <v>548</v>
      </c>
      <c r="F115" s="20" t="s">
        <v>549</v>
      </c>
      <c r="G115" s="8" t="str">
        <f t="shared" si="2"/>
        <v>BERLING GARY</v>
      </c>
      <c r="H115" s="20" t="str">
        <f t="shared" si="3"/>
        <v>4007</v>
      </c>
    </row>
    <row r="116" spans="1:8" x14ac:dyDescent="0.25">
      <c r="A116" s="8">
        <v>43048.538148148145</v>
      </c>
      <c r="B116" s="20" t="s">
        <v>500</v>
      </c>
      <c r="C116" s="20" t="s">
        <v>778</v>
      </c>
      <c r="D116" s="138">
        <v>1770000</v>
      </c>
      <c r="E116" s="20" t="s">
        <v>504</v>
      </c>
      <c r="F116" s="20" t="s">
        <v>505</v>
      </c>
      <c r="G116" s="8" t="str">
        <f t="shared" si="2"/>
        <v>BRUDER RICHARD</v>
      </c>
      <c r="H116" s="20" t="str">
        <f t="shared" si="3"/>
        <v>4020</v>
      </c>
    </row>
    <row r="117" spans="1:8" x14ac:dyDescent="0.25">
      <c r="A117" s="8">
        <v>43048.540925925925</v>
      </c>
      <c r="B117" s="20" t="s">
        <v>640</v>
      </c>
      <c r="C117" s="20" t="s">
        <v>779</v>
      </c>
      <c r="D117" s="138">
        <v>2030000</v>
      </c>
      <c r="E117" s="20" t="s">
        <v>770</v>
      </c>
      <c r="F117" s="20" t="s">
        <v>771</v>
      </c>
      <c r="G117" s="8" t="str">
        <f t="shared" si="2"/>
        <v>KILLION DAVID</v>
      </c>
      <c r="H117" s="20" t="str">
        <f t="shared" si="3"/>
        <v>4005</v>
      </c>
    </row>
    <row r="118" spans="1:8" x14ac:dyDescent="0.25">
      <c r="A118" s="8">
        <v>43048.543194444443</v>
      </c>
      <c r="B118" s="20" t="s">
        <v>550</v>
      </c>
      <c r="C118" s="20" t="s">
        <v>780</v>
      </c>
      <c r="D118" s="138">
        <v>2000000</v>
      </c>
      <c r="E118" s="20" t="s">
        <v>400</v>
      </c>
      <c r="F118" s="20" t="s">
        <v>401</v>
      </c>
      <c r="G118" s="8" t="str">
        <f t="shared" si="2"/>
        <v>STAMBAUGH JAMES</v>
      </c>
      <c r="H118" s="20" t="str">
        <f t="shared" si="3"/>
        <v>4016</v>
      </c>
    </row>
    <row r="119" spans="1:8" x14ac:dyDescent="0.25">
      <c r="A119" s="8">
        <v>43048.550057870372</v>
      </c>
      <c r="B119" s="20" t="s">
        <v>538</v>
      </c>
      <c r="C119" s="20" t="s">
        <v>781</v>
      </c>
      <c r="D119" s="138">
        <v>880000</v>
      </c>
      <c r="E119" s="20" t="s">
        <v>385</v>
      </c>
      <c r="F119" s="20" t="s">
        <v>354</v>
      </c>
      <c r="G119" s="8" t="str">
        <f t="shared" si="2"/>
        <v>STEWART MICHAEL</v>
      </c>
      <c r="H119" s="20" t="str">
        <f t="shared" si="3"/>
        <v>4024</v>
      </c>
    </row>
    <row r="120" spans="1:8" x14ac:dyDescent="0.25">
      <c r="A120" s="8">
        <v>43048.551562499997</v>
      </c>
      <c r="B120" s="20" t="s">
        <v>450</v>
      </c>
      <c r="C120" s="20" t="s">
        <v>782</v>
      </c>
      <c r="D120" s="138">
        <v>2440000</v>
      </c>
      <c r="E120" s="20" t="s">
        <v>551</v>
      </c>
      <c r="F120" s="20" t="s">
        <v>552</v>
      </c>
      <c r="G120" s="8" t="str">
        <f t="shared" si="2"/>
        <v>LOPES KIMBERLY</v>
      </c>
      <c r="H120" s="20" t="str">
        <f t="shared" si="3"/>
        <v>4064</v>
      </c>
    </row>
    <row r="121" spans="1:8" x14ac:dyDescent="0.25">
      <c r="A121" s="8">
        <v>43048.555358796293</v>
      </c>
      <c r="B121" s="20" t="s">
        <v>648</v>
      </c>
      <c r="C121" s="20" t="s">
        <v>649</v>
      </c>
      <c r="D121" s="138">
        <v>2550000</v>
      </c>
      <c r="E121" s="20" t="s">
        <v>752</v>
      </c>
      <c r="F121" s="20" t="s">
        <v>753</v>
      </c>
      <c r="G121" s="8" t="str">
        <f t="shared" si="2"/>
        <v>BADERTSCHER DIANE</v>
      </c>
      <c r="H121" s="20" t="str">
        <f t="shared" si="3"/>
        <v>4021</v>
      </c>
    </row>
    <row r="122" spans="1:8" x14ac:dyDescent="0.25">
      <c r="A122" s="8">
        <v>43048.556909722225</v>
      </c>
      <c r="B122" s="25" t="s">
        <v>662</v>
      </c>
      <c r="C122" s="20" t="s">
        <v>782</v>
      </c>
      <c r="D122" s="138">
        <v>2440000</v>
      </c>
      <c r="E122" s="20" t="s">
        <v>551</v>
      </c>
      <c r="F122" s="20" t="s">
        <v>552</v>
      </c>
      <c r="G122" s="8" t="str">
        <f t="shared" si="2"/>
        <v>LOPES KIMBERLY</v>
      </c>
      <c r="H122" s="20" t="str">
        <f t="shared" si="3"/>
        <v>4063</v>
      </c>
    </row>
    <row r="123" spans="1:8" x14ac:dyDescent="0.25">
      <c r="A123" s="8">
        <v>43048.560115740744</v>
      </c>
      <c r="B123" s="20" t="s">
        <v>644</v>
      </c>
      <c r="C123" s="20" t="s">
        <v>783</v>
      </c>
      <c r="D123" s="138">
        <v>1300000</v>
      </c>
      <c r="E123" s="20" t="s">
        <v>360</v>
      </c>
      <c r="F123" s="20" t="s">
        <v>361</v>
      </c>
      <c r="G123" s="8" t="str">
        <f t="shared" si="2"/>
        <v>LEVIN SCOTT</v>
      </c>
      <c r="H123" s="20" t="str">
        <f t="shared" si="3"/>
        <v>4026</v>
      </c>
    </row>
    <row r="124" spans="1:8" x14ac:dyDescent="0.25">
      <c r="A124" s="8">
        <v>43048.560532407406</v>
      </c>
      <c r="B124" s="20" t="s">
        <v>696</v>
      </c>
      <c r="C124" s="20" t="s">
        <v>784</v>
      </c>
      <c r="D124" s="138">
        <v>2000000</v>
      </c>
      <c r="E124" s="20" t="s">
        <v>400</v>
      </c>
      <c r="F124" s="20" t="s">
        <v>401</v>
      </c>
      <c r="G124" s="8" t="str">
        <f t="shared" si="2"/>
        <v>STAMBAUGH JAMES</v>
      </c>
      <c r="H124" s="20" t="str">
        <f t="shared" si="3"/>
        <v>4015</v>
      </c>
    </row>
    <row r="125" spans="1:8" x14ac:dyDescent="0.25">
      <c r="A125" s="8">
        <v>43048.560763888891</v>
      </c>
      <c r="B125" s="20" t="s">
        <v>450</v>
      </c>
      <c r="C125" s="20" t="s">
        <v>785</v>
      </c>
      <c r="D125" s="138">
        <v>2440000</v>
      </c>
      <c r="E125" s="20" t="s">
        <v>551</v>
      </c>
      <c r="F125" s="20" t="s">
        <v>552</v>
      </c>
      <c r="G125" s="8" t="str">
        <f t="shared" si="2"/>
        <v>LOPES KIMBERLY</v>
      </c>
      <c r="H125" s="20" t="str">
        <f t="shared" si="3"/>
        <v>4064</v>
      </c>
    </row>
    <row r="126" spans="1:8" x14ac:dyDescent="0.25">
      <c r="A126" s="8">
        <v>43048.566828703704</v>
      </c>
      <c r="B126" s="20" t="s">
        <v>689</v>
      </c>
      <c r="C126" s="20" t="s">
        <v>786</v>
      </c>
      <c r="D126" s="138">
        <v>3670000</v>
      </c>
      <c r="E126" s="20" t="s">
        <v>388</v>
      </c>
      <c r="F126" s="20" t="s">
        <v>371</v>
      </c>
      <c r="G126" s="8" t="str">
        <f t="shared" si="2"/>
        <v>ANDREA WILLIAMS</v>
      </c>
      <c r="H126" s="20" t="str">
        <f t="shared" si="3"/>
        <v>4065</v>
      </c>
    </row>
    <row r="127" spans="1:8" x14ac:dyDescent="0.25">
      <c r="A127" s="8">
        <v>43048.578530092593</v>
      </c>
      <c r="B127" s="20" t="s">
        <v>497</v>
      </c>
      <c r="C127" s="20" t="s">
        <v>653</v>
      </c>
      <c r="D127" s="138">
        <v>1770000</v>
      </c>
      <c r="E127" s="20" t="s">
        <v>504</v>
      </c>
      <c r="F127" s="20" t="s">
        <v>505</v>
      </c>
      <c r="G127" s="8" t="str">
        <f t="shared" si="2"/>
        <v>BRUDER RICHARD</v>
      </c>
      <c r="H127" s="20" t="str">
        <f t="shared" si="3"/>
        <v>4019</v>
      </c>
    </row>
    <row r="128" spans="1:8" x14ac:dyDescent="0.25">
      <c r="A128" s="8">
        <v>43048.578993055555</v>
      </c>
      <c r="B128" s="20" t="s">
        <v>650</v>
      </c>
      <c r="C128" s="20" t="s">
        <v>651</v>
      </c>
      <c r="D128" s="138">
        <v>2030000</v>
      </c>
      <c r="E128" s="20" t="s">
        <v>770</v>
      </c>
      <c r="F128" s="20" t="s">
        <v>771</v>
      </c>
      <c r="G128" s="8" t="str">
        <f t="shared" si="2"/>
        <v>KILLION DAVID</v>
      </c>
      <c r="H128" s="20" t="str">
        <f t="shared" si="3"/>
        <v>4006</v>
      </c>
    </row>
    <row r="129" spans="1:8" x14ac:dyDescent="0.25">
      <c r="A129" s="8">
        <v>43048.579386574071</v>
      </c>
      <c r="B129" s="20" t="s">
        <v>497</v>
      </c>
      <c r="C129" s="20" t="s">
        <v>653</v>
      </c>
      <c r="D129" s="138">
        <v>1770000</v>
      </c>
      <c r="E129" s="20" t="s">
        <v>504</v>
      </c>
      <c r="F129" s="20" t="s">
        <v>505</v>
      </c>
      <c r="G129" s="8" t="str">
        <f t="shared" si="2"/>
        <v>BRUDER RICHARD</v>
      </c>
      <c r="H129" s="20" t="str">
        <f t="shared" si="3"/>
        <v>4019</v>
      </c>
    </row>
    <row r="130" spans="1:8" x14ac:dyDescent="0.25">
      <c r="A130" s="8">
        <v>43048.587569444448</v>
      </c>
      <c r="B130" s="20" t="s">
        <v>550</v>
      </c>
      <c r="C130" s="20" t="s">
        <v>787</v>
      </c>
      <c r="D130" s="138">
        <v>2000000</v>
      </c>
      <c r="E130" s="20" t="s">
        <v>400</v>
      </c>
      <c r="F130" s="20" t="s">
        <v>401</v>
      </c>
      <c r="G130" s="8" t="str">
        <f t="shared" si="2"/>
        <v>STAMBAUGH JAMES</v>
      </c>
      <c r="H130" s="20" t="str">
        <f t="shared" si="3"/>
        <v>4016</v>
      </c>
    </row>
    <row r="131" spans="1:8" x14ac:dyDescent="0.25">
      <c r="A131" s="8">
        <v>43048.588067129633</v>
      </c>
      <c r="B131" s="20" t="s">
        <v>650</v>
      </c>
      <c r="C131" s="20" t="s">
        <v>651</v>
      </c>
      <c r="D131" s="138">
        <v>2030000</v>
      </c>
      <c r="E131" s="20" t="s">
        <v>770</v>
      </c>
      <c r="F131" s="20" t="s">
        <v>771</v>
      </c>
      <c r="G131" s="8" t="str">
        <f t="shared" ref="G131:G194" si="4">E131&amp;" "&amp;F131</f>
        <v>KILLION DAVID</v>
      </c>
      <c r="H131" s="20" t="str">
        <f t="shared" ref="H131:H194" si="5">MID(B131,13,4)</f>
        <v>4006</v>
      </c>
    </row>
    <row r="132" spans="1:8" x14ac:dyDescent="0.25">
      <c r="A132" s="8">
        <v>43048.589571759258</v>
      </c>
      <c r="B132" s="20" t="s">
        <v>539</v>
      </c>
      <c r="C132" s="20" t="s">
        <v>788</v>
      </c>
      <c r="D132" s="138">
        <v>880000</v>
      </c>
      <c r="E132" s="20" t="s">
        <v>385</v>
      </c>
      <c r="F132" s="20" t="s">
        <v>354</v>
      </c>
      <c r="G132" s="8" t="str">
        <f t="shared" si="4"/>
        <v>STEWART MICHAEL</v>
      </c>
      <c r="H132" s="20" t="str">
        <f t="shared" si="5"/>
        <v>4023</v>
      </c>
    </row>
    <row r="133" spans="1:8" x14ac:dyDescent="0.25">
      <c r="A133" s="8">
        <v>43048.591192129628</v>
      </c>
      <c r="B133" s="20" t="s">
        <v>390</v>
      </c>
      <c r="C133" s="20" t="s">
        <v>789</v>
      </c>
      <c r="D133" s="138">
        <v>2550000</v>
      </c>
      <c r="E133" s="20" t="s">
        <v>752</v>
      </c>
      <c r="F133" s="20" t="s">
        <v>753</v>
      </c>
      <c r="G133" s="8" t="str">
        <f t="shared" si="4"/>
        <v>BADERTSCHER DIANE</v>
      </c>
      <c r="H133" s="20" t="str">
        <f t="shared" si="5"/>
        <v>4022</v>
      </c>
    </row>
    <row r="134" spans="1:8" x14ac:dyDescent="0.25">
      <c r="A134" s="8">
        <v>43048.592291666668</v>
      </c>
      <c r="B134" s="20" t="s">
        <v>677</v>
      </c>
      <c r="C134" s="20" t="s">
        <v>790</v>
      </c>
      <c r="D134" s="138">
        <v>1300000</v>
      </c>
      <c r="E134" s="20" t="s">
        <v>360</v>
      </c>
      <c r="F134" s="20" t="s">
        <v>361</v>
      </c>
      <c r="G134" s="8" t="str">
        <f t="shared" si="4"/>
        <v>LEVIN SCOTT</v>
      </c>
      <c r="H134" s="20" t="str">
        <f t="shared" si="5"/>
        <v>4025</v>
      </c>
    </row>
    <row r="135" spans="1:8" x14ac:dyDescent="0.25">
      <c r="A135" s="8">
        <v>43048.600810185184</v>
      </c>
      <c r="B135" s="20" t="s">
        <v>646</v>
      </c>
      <c r="C135" s="20" t="s">
        <v>652</v>
      </c>
      <c r="D135" s="138">
        <v>3670000</v>
      </c>
      <c r="E135" s="20" t="s">
        <v>388</v>
      </c>
      <c r="F135" s="20" t="s">
        <v>371</v>
      </c>
      <c r="G135" s="8" t="str">
        <f t="shared" si="4"/>
        <v>ANDREA WILLIAMS</v>
      </c>
      <c r="H135" s="20" t="str">
        <f t="shared" si="5"/>
        <v>4066</v>
      </c>
    </row>
    <row r="136" spans="1:8" x14ac:dyDescent="0.25">
      <c r="A136" s="8">
        <v>43048.600960648146</v>
      </c>
      <c r="B136" s="20" t="s">
        <v>696</v>
      </c>
      <c r="C136" s="20" t="s">
        <v>791</v>
      </c>
      <c r="D136" s="138">
        <v>2000000</v>
      </c>
      <c r="E136" s="20" t="s">
        <v>400</v>
      </c>
      <c r="F136" s="20" t="s">
        <v>401</v>
      </c>
      <c r="G136" s="8" t="str">
        <f t="shared" si="4"/>
        <v>STAMBAUGH JAMES</v>
      </c>
      <c r="H136" s="20" t="str">
        <f t="shared" si="5"/>
        <v>4015</v>
      </c>
    </row>
    <row r="137" spans="1:8" x14ac:dyDescent="0.25">
      <c r="A137" s="8">
        <v>43048.601944444446</v>
      </c>
      <c r="B137" s="20" t="s">
        <v>662</v>
      </c>
      <c r="C137" s="20" t="s">
        <v>792</v>
      </c>
      <c r="D137" s="138">
        <v>2370000</v>
      </c>
      <c r="E137" s="20" t="s">
        <v>546</v>
      </c>
      <c r="F137" s="20" t="s">
        <v>547</v>
      </c>
      <c r="G137" s="8" t="str">
        <f t="shared" si="4"/>
        <v>DELGADO DIANAH</v>
      </c>
      <c r="H137" s="20" t="str">
        <f t="shared" si="5"/>
        <v>4063</v>
      </c>
    </row>
    <row r="138" spans="1:8" x14ac:dyDescent="0.25">
      <c r="A138" s="8">
        <v>43048.602546296293</v>
      </c>
      <c r="B138" s="20" t="s">
        <v>793</v>
      </c>
      <c r="C138" s="20" t="s">
        <v>782</v>
      </c>
      <c r="D138" s="138">
        <v>1760000</v>
      </c>
      <c r="E138" s="20" t="s">
        <v>754</v>
      </c>
      <c r="F138" s="20" t="s">
        <v>755</v>
      </c>
      <c r="G138" s="8" t="str">
        <f t="shared" si="4"/>
        <v>STRICKLAND EVAN</v>
      </c>
      <c r="H138" s="20" t="str">
        <f t="shared" si="5"/>
        <v>4014</v>
      </c>
    </row>
    <row r="139" spans="1:8" x14ac:dyDescent="0.25">
      <c r="A139" s="8">
        <v>43048.60628472222</v>
      </c>
      <c r="B139" s="20" t="s">
        <v>553</v>
      </c>
      <c r="C139" s="20" t="s">
        <v>782</v>
      </c>
      <c r="D139" s="138">
        <v>1760000</v>
      </c>
      <c r="E139" s="20" t="s">
        <v>754</v>
      </c>
      <c r="F139" s="20" t="s">
        <v>755</v>
      </c>
      <c r="G139" s="8" t="str">
        <f t="shared" si="4"/>
        <v>STRICKLAND EVAN</v>
      </c>
      <c r="H139" s="20" t="str">
        <f t="shared" si="5"/>
        <v>4013</v>
      </c>
    </row>
    <row r="140" spans="1:8" x14ac:dyDescent="0.25">
      <c r="A140" s="8">
        <v>43048.61241898148</v>
      </c>
      <c r="B140" s="20" t="s">
        <v>793</v>
      </c>
      <c r="C140" s="20" t="s">
        <v>794</v>
      </c>
      <c r="D140" s="138">
        <v>1760000</v>
      </c>
      <c r="E140" s="20" t="s">
        <v>754</v>
      </c>
      <c r="F140" s="20" t="s">
        <v>755</v>
      </c>
      <c r="G140" s="8" t="str">
        <f t="shared" si="4"/>
        <v>STRICKLAND EVAN</v>
      </c>
      <c r="H140" s="20" t="str">
        <f t="shared" si="5"/>
        <v>4014</v>
      </c>
    </row>
    <row r="141" spans="1:8" x14ac:dyDescent="0.25">
      <c r="A141" s="8">
        <v>43048.615416666667</v>
      </c>
      <c r="B141" s="20" t="s">
        <v>640</v>
      </c>
      <c r="C141" s="20" t="s">
        <v>795</v>
      </c>
      <c r="D141" s="138">
        <v>2030000</v>
      </c>
      <c r="E141" s="20" t="s">
        <v>770</v>
      </c>
      <c r="F141" s="20" t="s">
        <v>771</v>
      </c>
      <c r="G141" s="8" t="str">
        <f t="shared" si="4"/>
        <v>KILLION DAVID</v>
      </c>
      <c r="H141" s="20" t="str">
        <f t="shared" si="5"/>
        <v>4005</v>
      </c>
    </row>
    <row r="142" spans="1:8" x14ac:dyDescent="0.25">
      <c r="A142" s="8">
        <v>43048.622025462966</v>
      </c>
      <c r="B142" s="20" t="s">
        <v>538</v>
      </c>
      <c r="C142" s="20" t="s">
        <v>796</v>
      </c>
      <c r="D142" s="138">
        <v>880000</v>
      </c>
      <c r="E142" s="20" t="s">
        <v>385</v>
      </c>
      <c r="F142" s="20" t="s">
        <v>354</v>
      </c>
      <c r="G142" s="8" t="str">
        <f t="shared" si="4"/>
        <v>STEWART MICHAEL</v>
      </c>
      <c r="H142" s="20" t="str">
        <f t="shared" si="5"/>
        <v>4024</v>
      </c>
    </row>
    <row r="143" spans="1:8" x14ac:dyDescent="0.25">
      <c r="A143" s="8">
        <v>43048.630601851852</v>
      </c>
      <c r="B143" s="20" t="s">
        <v>648</v>
      </c>
      <c r="C143" s="20" t="s">
        <v>797</v>
      </c>
      <c r="D143" s="138">
        <v>2550000</v>
      </c>
      <c r="E143" s="20" t="s">
        <v>752</v>
      </c>
      <c r="F143" s="20" t="s">
        <v>753</v>
      </c>
      <c r="G143" s="8" t="str">
        <f t="shared" si="4"/>
        <v>BADERTSCHER DIANE</v>
      </c>
      <c r="H143" s="20" t="str">
        <f t="shared" si="5"/>
        <v>4021</v>
      </c>
    </row>
    <row r="144" spans="1:8" x14ac:dyDescent="0.25">
      <c r="A144" s="8">
        <v>43048.630844907406</v>
      </c>
      <c r="B144" s="20" t="s">
        <v>550</v>
      </c>
      <c r="C144" s="20" t="s">
        <v>654</v>
      </c>
      <c r="D144" s="138">
        <v>2000000</v>
      </c>
      <c r="E144" s="20" t="s">
        <v>400</v>
      </c>
      <c r="F144" s="20" t="s">
        <v>401</v>
      </c>
      <c r="G144" s="8" t="str">
        <f t="shared" si="4"/>
        <v>STAMBAUGH JAMES</v>
      </c>
      <c r="H144" s="20" t="str">
        <f t="shared" si="5"/>
        <v>4016</v>
      </c>
    </row>
    <row r="145" spans="1:8" x14ac:dyDescent="0.25">
      <c r="A145" s="8">
        <v>43048.633136574077</v>
      </c>
      <c r="B145" s="20" t="s">
        <v>644</v>
      </c>
      <c r="C145" s="20" t="s">
        <v>798</v>
      </c>
      <c r="D145" s="138">
        <v>1300000</v>
      </c>
      <c r="E145" s="20" t="s">
        <v>360</v>
      </c>
      <c r="F145" s="20" t="s">
        <v>361</v>
      </c>
      <c r="G145" s="8" t="str">
        <f t="shared" si="4"/>
        <v>LEVIN SCOTT</v>
      </c>
      <c r="H145" s="20" t="str">
        <f t="shared" si="5"/>
        <v>4026</v>
      </c>
    </row>
    <row r="146" spans="1:8" x14ac:dyDescent="0.25">
      <c r="A146" s="8">
        <v>43048.634560185186</v>
      </c>
      <c r="B146" s="20" t="s">
        <v>370</v>
      </c>
      <c r="C146" s="20" t="s">
        <v>799</v>
      </c>
      <c r="D146" s="138">
        <v>3130000</v>
      </c>
      <c r="E146" s="20" t="s">
        <v>508</v>
      </c>
      <c r="F146" s="20" t="s">
        <v>509</v>
      </c>
      <c r="G146" s="8" t="str">
        <f t="shared" si="4"/>
        <v>ZEWDU DEREJE</v>
      </c>
      <c r="H146" s="20" t="str">
        <f t="shared" si="5"/>
        <v>4053</v>
      </c>
    </row>
    <row r="147" spans="1:8" x14ac:dyDescent="0.25">
      <c r="A147" s="8">
        <v>43048.64099537037</v>
      </c>
      <c r="B147" s="20" t="s">
        <v>689</v>
      </c>
      <c r="C147" s="20" t="s">
        <v>800</v>
      </c>
      <c r="D147" s="138">
        <v>3670000</v>
      </c>
      <c r="E147" s="20" t="s">
        <v>388</v>
      </c>
      <c r="F147" s="20" t="s">
        <v>371</v>
      </c>
      <c r="G147" s="8" t="str">
        <f t="shared" si="4"/>
        <v>ANDREA WILLIAMS</v>
      </c>
      <c r="H147" s="20" t="str">
        <f t="shared" si="5"/>
        <v>4065</v>
      </c>
    </row>
    <row r="148" spans="1:8" x14ac:dyDescent="0.25">
      <c r="A148" s="8">
        <v>43048.641921296294</v>
      </c>
      <c r="B148" s="20" t="s">
        <v>696</v>
      </c>
      <c r="C148" s="20" t="s">
        <v>791</v>
      </c>
      <c r="D148" s="138">
        <v>2000000</v>
      </c>
      <c r="E148" s="20" t="s">
        <v>400</v>
      </c>
      <c r="F148" s="20" t="s">
        <v>401</v>
      </c>
      <c r="G148" s="8" t="str">
        <f t="shared" si="4"/>
        <v>STAMBAUGH JAMES</v>
      </c>
      <c r="H148" s="20" t="str">
        <f t="shared" si="5"/>
        <v>4015</v>
      </c>
    </row>
    <row r="149" spans="1:8" x14ac:dyDescent="0.25">
      <c r="A149" s="8">
        <v>43048.642141203702</v>
      </c>
      <c r="B149" s="20" t="s">
        <v>450</v>
      </c>
      <c r="C149" s="20" t="s">
        <v>801</v>
      </c>
      <c r="D149" s="138">
        <v>2350000</v>
      </c>
      <c r="E149" s="20" t="s">
        <v>548</v>
      </c>
      <c r="F149" s="20" t="s">
        <v>549</v>
      </c>
      <c r="G149" s="8" t="str">
        <f t="shared" si="4"/>
        <v>BERLING GARY</v>
      </c>
      <c r="H149" s="20" t="str">
        <f t="shared" si="5"/>
        <v>4064</v>
      </c>
    </row>
    <row r="150" spans="1:8" x14ac:dyDescent="0.25">
      <c r="A150" s="8">
        <v>43048.642754629633</v>
      </c>
      <c r="B150" s="20" t="s">
        <v>696</v>
      </c>
      <c r="C150" s="20" t="s">
        <v>802</v>
      </c>
      <c r="D150" s="138">
        <v>2000000</v>
      </c>
      <c r="E150" s="20" t="s">
        <v>400</v>
      </c>
      <c r="F150" s="20" t="s">
        <v>401</v>
      </c>
      <c r="G150" s="8" t="str">
        <f t="shared" si="4"/>
        <v>STAMBAUGH JAMES</v>
      </c>
      <c r="H150" s="20" t="str">
        <f t="shared" si="5"/>
        <v>4015</v>
      </c>
    </row>
    <row r="151" spans="1:8" x14ac:dyDescent="0.25">
      <c r="A151" s="8">
        <v>43048.64329861111</v>
      </c>
      <c r="B151" s="20" t="s">
        <v>553</v>
      </c>
      <c r="C151" s="20" t="s">
        <v>803</v>
      </c>
      <c r="D151" s="138">
        <v>1760000</v>
      </c>
      <c r="E151" s="20" t="s">
        <v>754</v>
      </c>
      <c r="F151" s="20" t="s">
        <v>755</v>
      </c>
      <c r="G151" s="8" t="str">
        <f t="shared" si="4"/>
        <v>STRICKLAND EVAN</v>
      </c>
      <c r="H151" s="20" t="str">
        <f t="shared" si="5"/>
        <v>4013</v>
      </c>
    </row>
    <row r="152" spans="1:8" x14ac:dyDescent="0.25">
      <c r="A152" s="8">
        <v>43048.645405092589</v>
      </c>
      <c r="B152" s="20" t="s">
        <v>543</v>
      </c>
      <c r="C152" s="20" t="s">
        <v>804</v>
      </c>
      <c r="D152" s="138">
        <v>3130000</v>
      </c>
      <c r="E152" s="20" t="s">
        <v>508</v>
      </c>
      <c r="F152" s="20" t="s">
        <v>509</v>
      </c>
      <c r="G152" s="8" t="str">
        <f t="shared" si="4"/>
        <v>ZEWDU DEREJE</v>
      </c>
      <c r="H152" s="20" t="str">
        <f t="shared" si="5"/>
        <v>4054</v>
      </c>
    </row>
    <row r="153" spans="1:8" x14ac:dyDescent="0.25">
      <c r="A153" s="8">
        <v>43048.65284722222</v>
      </c>
      <c r="B153" s="20" t="s">
        <v>650</v>
      </c>
      <c r="C153" s="20" t="s">
        <v>805</v>
      </c>
      <c r="D153" s="138">
        <v>2030000</v>
      </c>
      <c r="E153" s="20" t="s">
        <v>770</v>
      </c>
      <c r="F153" s="20" t="s">
        <v>771</v>
      </c>
      <c r="G153" s="8" t="str">
        <f t="shared" si="4"/>
        <v>KILLION DAVID</v>
      </c>
      <c r="H153" s="20" t="str">
        <f t="shared" si="5"/>
        <v>4006</v>
      </c>
    </row>
    <row r="154" spans="1:8" x14ac:dyDescent="0.25">
      <c r="A154" s="8">
        <v>43048.661527777775</v>
      </c>
      <c r="B154" s="20" t="s">
        <v>539</v>
      </c>
      <c r="C154" s="20" t="s">
        <v>806</v>
      </c>
      <c r="D154" s="138">
        <v>880000</v>
      </c>
      <c r="E154" s="20" t="s">
        <v>385</v>
      </c>
      <c r="F154" s="20" t="s">
        <v>354</v>
      </c>
      <c r="G154" s="8" t="str">
        <f t="shared" si="4"/>
        <v>STEWART MICHAEL</v>
      </c>
      <c r="H154" s="20" t="str">
        <f t="shared" si="5"/>
        <v>4023</v>
      </c>
    </row>
    <row r="155" spans="1:8" x14ac:dyDescent="0.25">
      <c r="A155" s="8">
        <v>43048.66505787037</v>
      </c>
      <c r="B155" s="20" t="s">
        <v>370</v>
      </c>
      <c r="C155" s="20" t="s">
        <v>807</v>
      </c>
      <c r="D155" s="138">
        <v>3130000</v>
      </c>
      <c r="E155" s="20" t="s">
        <v>508</v>
      </c>
      <c r="F155" s="20" t="s">
        <v>509</v>
      </c>
      <c r="G155" s="8" t="str">
        <f t="shared" si="4"/>
        <v>ZEWDU DEREJE</v>
      </c>
      <c r="H155" s="20" t="str">
        <f t="shared" si="5"/>
        <v>4053</v>
      </c>
    </row>
    <row r="156" spans="1:8" x14ac:dyDescent="0.25">
      <c r="A156" s="8">
        <v>43048.665671296294</v>
      </c>
      <c r="B156" s="20" t="s">
        <v>390</v>
      </c>
      <c r="C156" s="20" t="s">
        <v>808</v>
      </c>
      <c r="D156" s="138">
        <v>2550000</v>
      </c>
      <c r="E156" s="20" t="s">
        <v>752</v>
      </c>
      <c r="F156" s="20" t="s">
        <v>753</v>
      </c>
      <c r="G156" s="8" t="str">
        <f t="shared" si="4"/>
        <v>BADERTSCHER DIANE</v>
      </c>
      <c r="H156" s="20" t="str">
        <f t="shared" si="5"/>
        <v>4022</v>
      </c>
    </row>
    <row r="157" spans="1:8" x14ac:dyDescent="0.25">
      <c r="A157" s="8">
        <v>43048.671585648146</v>
      </c>
      <c r="B157" s="20" t="s">
        <v>550</v>
      </c>
      <c r="C157" s="20" t="s">
        <v>809</v>
      </c>
      <c r="D157" s="138">
        <v>2000000</v>
      </c>
      <c r="E157" s="20" t="s">
        <v>400</v>
      </c>
      <c r="F157" s="20" t="s">
        <v>401</v>
      </c>
      <c r="G157" s="8" t="str">
        <f t="shared" si="4"/>
        <v>STAMBAUGH JAMES</v>
      </c>
      <c r="H157" s="20" t="str">
        <f t="shared" si="5"/>
        <v>4016</v>
      </c>
    </row>
    <row r="158" spans="1:8" x14ac:dyDescent="0.25">
      <c r="A158" s="8">
        <v>43048.672465277778</v>
      </c>
      <c r="B158" s="20" t="s">
        <v>677</v>
      </c>
      <c r="C158" s="20" t="s">
        <v>810</v>
      </c>
      <c r="D158" s="138">
        <v>1300000</v>
      </c>
      <c r="E158" s="20" t="s">
        <v>360</v>
      </c>
      <c r="F158" s="20" t="s">
        <v>361</v>
      </c>
      <c r="G158" s="8" t="str">
        <f t="shared" si="4"/>
        <v>LEVIN SCOTT</v>
      </c>
      <c r="H158" s="20" t="str">
        <f t="shared" si="5"/>
        <v>4025</v>
      </c>
    </row>
    <row r="159" spans="1:8" x14ac:dyDescent="0.25">
      <c r="A159" s="8">
        <v>43048.674039351848</v>
      </c>
      <c r="B159" s="20" t="s">
        <v>646</v>
      </c>
      <c r="C159" s="20" t="s">
        <v>811</v>
      </c>
      <c r="D159" s="138">
        <v>3670000</v>
      </c>
      <c r="E159" s="20" t="s">
        <v>388</v>
      </c>
      <c r="F159" s="20" t="s">
        <v>371</v>
      </c>
      <c r="G159" s="8" t="str">
        <f t="shared" si="4"/>
        <v>ANDREA WILLIAMS</v>
      </c>
      <c r="H159" s="20" t="str">
        <f t="shared" si="5"/>
        <v>4066</v>
      </c>
    </row>
    <row r="160" spans="1:8" x14ac:dyDescent="0.25">
      <c r="A160" s="8">
        <v>43048.678101851852</v>
      </c>
      <c r="B160" s="20" t="s">
        <v>358</v>
      </c>
      <c r="C160" s="20" t="s">
        <v>812</v>
      </c>
      <c r="D160" s="138">
        <v>2370000</v>
      </c>
      <c r="E160" s="20" t="s">
        <v>546</v>
      </c>
      <c r="F160" s="20" t="s">
        <v>547</v>
      </c>
      <c r="G160" s="8" t="str">
        <f t="shared" si="4"/>
        <v>DELGADO DIANAH</v>
      </c>
      <c r="H160" s="20" t="str">
        <f t="shared" si="5"/>
        <v>4008</v>
      </c>
    </row>
    <row r="161" spans="1:8" x14ac:dyDescent="0.25">
      <c r="A161" s="8">
        <v>43048.682824074072</v>
      </c>
      <c r="B161" s="20" t="s">
        <v>662</v>
      </c>
      <c r="C161" s="20" t="s">
        <v>813</v>
      </c>
      <c r="D161" s="138">
        <v>2350000</v>
      </c>
      <c r="E161" s="20" t="s">
        <v>548</v>
      </c>
      <c r="F161" s="20" t="s">
        <v>549</v>
      </c>
      <c r="G161" s="8" t="str">
        <f t="shared" si="4"/>
        <v>BERLING GARY</v>
      </c>
      <c r="H161" s="20" t="str">
        <f t="shared" si="5"/>
        <v>4063</v>
      </c>
    </row>
    <row r="162" spans="1:8" x14ac:dyDescent="0.25">
      <c r="A162" s="8">
        <v>43048.684594907405</v>
      </c>
      <c r="B162" s="20" t="s">
        <v>793</v>
      </c>
      <c r="C162" s="20" t="s">
        <v>814</v>
      </c>
      <c r="D162" s="138">
        <v>1770000</v>
      </c>
      <c r="E162" s="20" t="s">
        <v>504</v>
      </c>
      <c r="F162" s="20" t="s">
        <v>505</v>
      </c>
      <c r="G162" s="8" t="str">
        <f t="shared" si="4"/>
        <v>BRUDER RICHARD</v>
      </c>
      <c r="H162" s="20" t="str">
        <f t="shared" si="5"/>
        <v>4014</v>
      </c>
    </row>
    <row r="163" spans="1:8" x14ac:dyDescent="0.25">
      <c r="A163" s="8">
        <v>43048.684930555559</v>
      </c>
      <c r="B163" s="20" t="s">
        <v>696</v>
      </c>
      <c r="C163" s="20" t="s">
        <v>815</v>
      </c>
      <c r="D163" s="138">
        <v>2000000</v>
      </c>
      <c r="E163" s="20" t="s">
        <v>400</v>
      </c>
      <c r="F163" s="20" t="s">
        <v>401</v>
      </c>
      <c r="G163" s="8" t="str">
        <f t="shared" si="4"/>
        <v>STAMBAUGH JAMES</v>
      </c>
      <c r="H163" s="20" t="str">
        <f t="shared" si="5"/>
        <v>4015</v>
      </c>
    </row>
    <row r="164" spans="1:8" x14ac:dyDescent="0.25">
      <c r="A164" s="8">
        <v>43048.687164351853</v>
      </c>
      <c r="B164" s="20" t="s">
        <v>543</v>
      </c>
      <c r="C164" s="20" t="s">
        <v>816</v>
      </c>
      <c r="D164" s="138">
        <v>3130000</v>
      </c>
      <c r="E164" s="20" t="s">
        <v>508</v>
      </c>
      <c r="F164" s="20" t="s">
        <v>509</v>
      </c>
      <c r="G164" s="8" t="str">
        <f t="shared" si="4"/>
        <v>ZEWDU DEREJE</v>
      </c>
      <c r="H164" s="20" t="str">
        <f t="shared" si="5"/>
        <v>4054</v>
      </c>
    </row>
    <row r="165" spans="1:8" x14ac:dyDescent="0.25">
      <c r="A165" s="8">
        <v>43048.687673611108</v>
      </c>
      <c r="B165" s="20" t="s">
        <v>640</v>
      </c>
      <c r="C165" s="20" t="s">
        <v>817</v>
      </c>
      <c r="D165" s="138">
        <v>2030000</v>
      </c>
      <c r="E165" s="20" t="s">
        <v>770</v>
      </c>
      <c r="F165" s="20" t="s">
        <v>771</v>
      </c>
      <c r="G165" s="8" t="str">
        <f t="shared" si="4"/>
        <v>KILLION DAVID</v>
      </c>
      <c r="H165" s="20" t="str">
        <f t="shared" si="5"/>
        <v>4005</v>
      </c>
    </row>
    <row r="166" spans="1:8" x14ac:dyDescent="0.25">
      <c r="A166" s="8">
        <v>43048.694525462961</v>
      </c>
      <c r="B166" s="20" t="s">
        <v>538</v>
      </c>
      <c r="C166" s="20" t="s">
        <v>818</v>
      </c>
      <c r="D166" s="138">
        <v>880000</v>
      </c>
      <c r="E166" s="20" t="s">
        <v>385</v>
      </c>
      <c r="F166" s="20" t="s">
        <v>354</v>
      </c>
      <c r="G166" s="8" t="str">
        <f t="shared" si="4"/>
        <v>STEWART MICHAEL</v>
      </c>
      <c r="H166" s="20" t="str">
        <f t="shared" si="5"/>
        <v>4024</v>
      </c>
    </row>
    <row r="167" spans="1:8" x14ac:dyDescent="0.25">
      <c r="A167" s="8">
        <v>43048.697187500002</v>
      </c>
      <c r="B167" s="20" t="s">
        <v>648</v>
      </c>
      <c r="C167" s="20" t="s">
        <v>819</v>
      </c>
      <c r="D167" s="138">
        <v>2550000</v>
      </c>
      <c r="E167" s="20" t="s">
        <v>752</v>
      </c>
      <c r="F167" s="20" t="s">
        <v>753</v>
      </c>
      <c r="G167" s="8" t="str">
        <f t="shared" si="4"/>
        <v>BADERTSCHER DIANE</v>
      </c>
      <c r="H167" s="20" t="str">
        <f t="shared" si="5"/>
        <v>4021</v>
      </c>
    </row>
    <row r="168" spans="1:8" x14ac:dyDescent="0.25">
      <c r="A168" s="8">
        <v>43048.704236111109</v>
      </c>
      <c r="B168" s="20" t="s">
        <v>644</v>
      </c>
      <c r="C168" s="20" t="s">
        <v>820</v>
      </c>
      <c r="D168" s="138">
        <v>1300000</v>
      </c>
      <c r="E168" s="20" t="s">
        <v>360</v>
      </c>
      <c r="F168" s="20" t="s">
        <v>361</v>
      </c>
      <c r="G168" s="8" t="str">
        <f t="shared" si="4"/>
        <v>LEVIN SCOTT</v>
      </c>
      <c r="H168" s="20" t="str">
        <f t="shared" si="5"/>
        <v>4026</v>
      </c>
    </row>
    <row r="169" spans="1:8" x14ac:dyDescent="0.25">
      <c r="A169" s="8">
        <v>43048.705590277779</v>
      </c>
      <c r="B169" s="20" t="s">
        <v>689</v>
      </c>
      <c r="C169" s="20" t="s">
        <v>821</v>
      </c>
      <c r="D169" s="138">
        <v>3670000</v>
      </c>
      <c r="E169" s="20" t="s">
        <v>388</v>
      </c>
      <c r="F169" s="20" t="s">
        <v>371</v>
      </c>
      <c r="G169" s="8" t="str">
        <f t="shared" si="4"/>
        <v>ANDREA WILLIAMS</v>
      </c>
      <c r="H169" s="20" t="str">
        <f t="shared" si="5"/>
        <v>4065</v>
      </c>
    </row>
    <row r="170" spans="1:8" x14ac:dyDescent="0.25">
      <c r="A170" s="8">
        <v>43048.706793981481</v>
      </c>
      <c r="B170" s="20" t="s">
        <v>370</v>
      </c>
      <c r="C170" s="20" t="s">
        <v>822</v>
      </c>
      <c r="D170" s="138">
        <v>3130000</v>
      </c>
      <c r="E170" s="20" t="s">
        <v>508</v>
      </c>
      <c r="F170" s="20" t="s">
        <v>509</v>
      </c>
      <c r="G170" s="8" t="str">
        <f t="shared" si="4"/>
        <v>ZEWDU DEREJE</v>
      </c>
      <c r="H170" s="20" t="str">
        <f t="shared" si="5"/>
        <v>4053</v>
      </c>
    </row>
    <row r="171" spans="1:8" x14ac:dyDescent="0.25">
      <c r="A171" s="8">
        <v>43048.713078703702</v>
      </c>
      <c r="B171" s="20" t="s">
        <v>550</v>
      </c>
      <c r="C171" s="20" t="s">
        <v>823</v>
      </c>
      <c r="D171" s="138">
        <v>2000000</v>
      </c>
      <c r="E171" s="20" t="s">
        <v>400</v>
      </c>
      <c r="F171" s="20" t="s">
        <v>401</v>
      </c>
      <c r="G171" s="8" t="str">
        <f t="shared" si="4"/>
        <v>STAMBAUGH JAMES</v>
      </c>
      <c r="H171" s="20" t="str">
        <f t="shared" si="5"/>
        <v>4016</v>
      </c>
    </row>
    <row r="172" spans="1:8" x14ac:dyDescent="0.25">
      <c r="A172" s="8">
        <v>43048.715937499997</v>
      </c>
      <c r="B172" s="20" t="s">
        <v>450</v>
      </c>
      <c r="C172" s="20" t="s">
        <v>824</v>
      </c>
      <c r="D172" s="138">
        <v>2350000</v>
      </c>
      <c r="E172" s="20" t="s">
        <v>548</v>
      </c>
      <c r="F172" s="20" t="s">
        <v>549</v>
      </c>
      <c r="G172" s="8" t="str">
        <f t="shared" si="4"/>
        <v>BERLING GARY</v>
      </c>
      <c r="H172" s="20" t="str">
        <f t="shared" si="5"/>
        <v>4064</v>
      </c>
    </row>
    <row r="173" spans="1:8" x14ac:dyDescent="0.25">
      <c r="A173" s="8">
        <v>43048.716215277775</v>
      </c>
      <c r="B173" s="20" t="s">
        <v>500</v>
      </c>
      <c r="C173" s="20" t="s">
        <v>825</v>
      </c>
      <c r="D173" s="138">
        <v>2140000</v>
      </c>
      <c r="E173" s="20" t="s">
        <v>826</v>
      </c>
      <c r="F173" s="20" t="s">
        <v>827</v>
      </c>
      <c r="G173" s="8" t="str">
        <f t="shared" si="4"/>
        <v>ROBINSON KADDIBA</v>
      </c>
      <c r="H173" s="20" t="str">
        <f t="shared" si="5"/>
        <v>4020</v>
      </c>
    </row>
    <row r="174" spans="1:8" x14ac:dyDescent="0.25">
      <c r="A174" s="8">
        <v>43048.721956018519</v>
      </c>
      <c r="B174" s="20" t="s">
        <v>497</v>
      </c>
      <c r="C174" s="20" t="s">
        <v>825</v>
      </c>
      <c r="D174" s="138">
        <v>2140000</v>
      </c>
      <c r="E174" s="20" t="s">
        <v>826</v>
      </c>
      <c r="F174" s="20" t="s">
        <v>827</v>
      </c>
      <c r="G174" s="8" t="str">
        <f t="shared" si="4"/>
        <v>ROBINSON KADDIBA</v>
      </c>
      <c r="H174" s="20" t="str">
        <f t="shared" si="5"/>
        <v>4019</v>
      </c>
    </row>
    <row r="175" spans="1:8" x14ac:dyDescent="0.25">
      <c r="A175" s="8">
        <v>43048.724317129629</v>
      </c>
      <c r="B175" s="20" t="s">
        <v>553</v>
      </c>
      <c r="C175" s="20" t="s">
        <v>828</v>
      </c>
      <c r="D175" s="138">
        <v>1770000</v>
      </c>
      <c r="E175" s="20" t="s">
        <v>504</v>
      </c>
      <c r="F175" s="20" t="s">
        <v>505</v>
      </c>
      <c r="G175" s="8" t="str">
        <f t="shared" si="4"/>
        <v>BRUDER RICHARD</v>
      </c>
      <c r="H175" s="20" t="str">
        <f t="shared" si="5"/>
        <v>4013</v>
      </c>
    </row>
    <row r="176" spans="1:8" x14ac:dyDescent="0.25">
      <c r="A176" s="8">
        <v>43048.726759259262</v>
      </c>
      <c r="B176" s="20" t="s">
        <v>696</v>
      </c>
      <c r="C176" s="20" t="s">
        <v>829</v>
      </c>
      <c r="D176" s="138">
        <v>2000000</v>
      </c>
      <c r="E176" s="20" t="s">
        <v>400</v>
      </c>
      <c r="F176" s="20" t="s">
        <v>401</v>
      </c>
      <c r="G176" s="8" t="str">
        <f t="shared" si="4"/>
        <v>STAMBAUGH JAMES</v>
      </c>
      <c r="H176" s="20" t="str">
        <f t="shared" si="5"/>
        <v>4015</v>
      </c>
    </row>
    <row r="177" spans="1:8" x14ac:dyDescent="0.25">
      <c r="A177" s="8">
        <v>43048.728935185187</v>
      </c>
      <c r="B177" s="20" t="s">
        <v>500</v>
      </c>
      <c r="C177" s="20" t="s">
        <v>830</v>
      </c>
      <c r="D177" s="138">
        <v>2140000</v>
      </c>
      <c r="E177" s="20" t="s">
        <v>826</v>
      </c>
      <c r="F177" s="20" t="s">
        <v>827</v>
      </c>
      <c r="G177" s="8" t="str">
        <f t="shared" si="4"/>
        <v>ROBINSON KADDIBA</v>
      </c>
      <c r="H177" s="20" t="str">
        <f t="shared" si="5"/>
        <v>4020</v>
      </c>
    </row>
    <row r="178" spans="1:8" x14ac:dyDescent="0.25">
      <c r="A178" s="8">
        <v>43048.734050925923</v>
      </c>
      <c r="B178" s="20" t="s">
        <v>539</v>
      </c>
      <c r="C178" s="20" t="s">
        <v>831</v>
      </c>
      <c r="D178" s="138">
        <v>880000</v>
      </c>
      <c r="E178" s="20" t="s">
        <v>385</v>
      </c>
      <c r="F178" s="20" t="s">
        <v>354</v>
      </c>
      <c r="G178" s="8" t="str">
        <f t="shared" si="4"/>
        <v>STEWART MICHAEL</v>
      </c>
      <c r="H178" s="20" t="str">
        <f t="shared" si="5"/>
        <v>4023</v>
      </c>
    </row>
    <row r="179" spans="1:8" x14ac:dyDescent="0.25">
      <c r="A179" s="8">
        <v>43048.734375</v>
      </c>
      <c r="B179" s="20" t="s">
        <v>543</v>
      </c>
      <c r="C179" s="20" t="s">
        <v>832</v>
      </c>
      <c r="D179" s="138">
        <v>3130000</v>
      </c>
      <c r="E179" s="20" t="s">
        <v>508</v>
      </c>
      <c r="F179" s="20" t="s">
        <v>509</v>
      </c>
      <c r="G179" s="8" t="str">
        <f t="shared" si="4"/>
        <v>ZEWDU DEREJE</v>
      </c>
      <c r="H179" s="20" t="str">
        <f t="shared" si="5"/>
        <v>4054</v>
      </c>
    </row>
    <row r="180" spans="1:8" x14ac:dyDescent="0.25">
      <c r="A180" s="8">
        <v>43048.735115740739</v>
      </c>
      <c r="B180" s="20" t="s">
        <v>650</v>
      </c>
      <c r="C180" s="20" t="s">
        <v>833</v>
      </c>
      <c r="D180" s="138">
        <v>2030000</v>
      </c>
      <c r="E180" s="20" t="s">
        <v>770</v>
      </c>
      <c r="F180" s="20" t="s">
        <v>771</v>
      </c>
      <c r="G180" s="8" t="str">
        <f t="shared" si="4"/>
        <v>KILLION DAVID</v>
      </c>
      <c r="H180" s="20" t="str">
        <f t="shared" si="5"/>
        <v>4006</v>
      </c>
    </row>
    <row r="181" spans="1:8" x14ac:dyDescent="0.25">
      <c r="A181" s="8">
        <v>43048.736307870371</v>
      </c>
      <c r="B181" s="20" t="s">
        <v>501</v>
      </c>
      <c r="C181" s="20" t="s">
        <v>834</v>
      </c>
      <c r="D181" s="138">
        <v>2540000</v>
      </c>
      <c r="E181" s="20" t="s">
        <v>565</v>
      </c>
      <c r="F181" s="20" t="s">
        <v>566</v>
      </c>
      <c r="G181" s="8" t="str">
        <f t="shared" si="4"/>
        <v>MCREYNOLDS KYLE</v>
      </c>
      <c r="H181" s="20" t="str">
        <f t="shared" si="5"/>
        <v>4001</v>
      </c>
    </row>
    <row r="182" spans="1:8" x14ac:dyDescent="0.25">
      <c r="A182" s="8">
        <v>43048.739004629628</v>
      </c>
      <c r="B182" s="20" t="s">
        <v>390</v>
      </c>
      <c r="C182" s="20" t="s">
        <v>835</v>
      </c>
      <c r="D182" s="138">
        <v>890000</v>
      </c>
      <c r="E182" s="20" t="s">
        <v>345</v>
      </c>
      <c r="F182" s="20" t="s">
        <v>346</v>
      </c>
      <c r="G182" s="8" t="str">
        <f t="shared" si="4"/>
        <v>LOZA FIDEL</v>
      </c>
      <c r="H182" s="20" t="str">
        <f t="shared" si="5"/>
        <v>4022</v>
      </c>
    </row>
    <row r="183" spans="1:8" x14ac:dyDescent="0.25">
      <c r="A183" s="8">
        <v>43048.739131944443</v>
      </c>
      <c r="B183" s="20" t="s">
        <v>677</v>
      </c>
      <c r="C183" s="20" t="s">
        <v>836</v>
      </c>
      <c r="D183" s="138">
        <v>1300000</v>
      </c>
      <c r="E183" s="20" t="s">
        <v>360</v>
      </c>
      <c r="F183" s="20" t="s">
        <v>361</v>
      </c>
      <c r="G183" s="8" t="str">
        <f t="shared" si="4"/>
        <v>LEVIN SCOTT</v>
      </c>
      <c r="H183" s="20" t="str">
        <f t="shared" si="5"/>
        <v>4025</v>
      </c>
    </row>
    <row r="184" spans="1:8" x14ac:dyDescent="0.25">
      <c r="A184" s="8">
        <v>43048.746481481481</v>
      </c>
      <c r="B184" s="20" t="s">
        <v>646</v>
      </c>
      <c r="C184" s="20" t="s">
        <v>837</v>
      </c>
      <c r="D184" s="138">
        <v>3670000</v>
      </c>
      <c r="E184" s="20" t="s">
        <v>388</v>
      </c>
      <c r="F184" s="20" t="s">
        <v>371</v>
      </c>
      <c r="G184" s="8" t="str">
        <f t="shared" si="4"/>
        <v>ANDREA WILLIAMS</v>
      </c>
      <c r="H184" s="20" t="str">
        <f t="shared" si="5"/>
        <v>4066</v>
      </c>
    </row>
    <row r="185" spans="1:8" x14ac:dyDescent="0.25">
      <c r="A185" s="8">
        <v>43048.749537037038</v>
      </c>
      <c r="B185" s="20" t="s">
        <v>370</v>
      </c>
      <c r="C185" s="20" t="s">
        <v>838</v>
      </c>
      <c r="D185" s="138">
        <v>3130000</v>
      </c>
      <c r="E185" s="20" t="s">
        <v>508</v>
      </c>
      <c r="F185" s="20" t="s">
        <v>509</v>
      </c>
      <c r="G185" s="8" t="str">
        <f t="shared" si="4"/>
        <v>ZEWDU DEREJE</v>
      </c>
      <c r="H185" s="20" t="str">
        <f t="shared" si="5"/>
        <v>4053</v>
      </c>
    </row>
    <row r="186" spans="1:8" x14ac:dyDescent="0.25">
      <c r="A186" s="8">
        <v>43048.753113425926</v>
      </c>
      <c r="B186" s="20" t="s">
        <v>662</v>
      </c>
      <c r="C186" s="20" t="s">
        <v>839</v>
      </c>
      <c r="D186" s="138">
        <v>2350000</v>
      </c>
      <c r="E186" s="20" t="s">
        <v>548</v>
      </c>
      <c r="F186" s="20" t="s">
        <v>549</v>
      </c>
      <c r="G186" s="8" t="str">
        <f t="shared" si="4"/>
        <v>BERLING GARY</v>
      </c>
      <c r="H186" s="20" t="str">
        <f t="shared" si="5"/>
        <v>4063</v>
      </c>
    </row>
    <row r="187" spans="1:8" x14ac:dyDescent="0.25">
      <c r="A187" s="8">
        <v>43048.754479166666</v>
      </c>
      <c r="B187" s="20" t="s">
        <v>550</v>
      </c>
      <c r="C187" s="20" t="s">
        <v>840</v>
      </c>
      <c r="D187" s="138">
        <v>2000000</v>
      </c>
      <c r="E187" s="20" t="s">
        <v>400</v>
      </c>
      <c r="F187" s="20" t="s">
        <v>401</v>
      </c>
      <c r="G187" s="8" t="str">
        <f t="shared" si="4"/>
        <v>STAMBAUGH JAMES</v>
      </c>
      <c r="H187" s="20" t="str">
        <f t="shared" si="5"/>
        <v>4016</v>
      </c>
    </row>
    <row r="188" spans="1:8" x14ac:dyDescent="0.25">
      <c r="A188" s="8">
        <v>43048.75708333333</v>
      </c>
      <c r="B188" s="20" t="s">
        <v>793</v>
      </c>
      <c r="C188" s="20" t="s">
        <v>841</v>
      </c>
      <c r="D188" s="138">
        <v>3340000</v>
      </c>
      <c r="E188" s="20" t="s">
        <v>842</v>
      </c>
      <c r="F188" s="20" t="s">
        <v>843</v>
      </c>
      <c r="G188" s="8" t="str">
        <f t="shared" si="4"/>
        <v>ELBAUM MIKE</v>
      </c>
      <c r="H188" s="20" t="str">
        <f t="shared" si="5"/>
        <v>4014</v>
      </c>
    </row>
    <row r="189" spans="1:8" x14ac:dyDescent="0.25">
      <c r="A189" s="8">
        <v>43048.761562500003</v>
      </c>
      <c r="B189" s="20" t="s">
        <v>497</v>
      </c>
      <c r="C189" s="20" t="s">
        <v>655</v>
      </c>
      <c r="D189" s="138">
        <v>2140000</v>
      </c>
      <c r="E189" s="20" t="s">
        <v>826</v>
      </c>
      <c r="F189" s="20" t="s">
        <v>827</v>
      </c>
      <c r="G189" s="8" t="str">
        <f t="shared" si="4"/>
        <v>ROBINSON KADDIBA</v>
      </c>
      <c r="H189" s="20" t="str">
        <f t="shared" si="5"/>
        <v>4019</v>
      </c>
    </row>
    <row r="190" spans="1:8" x14ac:dyDescent="0.25">
      <c r="A190" s="8">
        <v>43048.767500000002</v>
      </c>
      <c r="B190" s="20" t="s">
        <v>696</v>
      </c>
      <c r="C190" s="20" t="s">
        <v>844</v>
      </c>
      <c r="D190" s="138">
        <v>2000000</v>
      </c>
      <c r="E190" s="20" t="s">
        <v>400</v>
      </c>
      <c r="F190" s="20" t="s">
        <v>401</v>
      </c>
      <c r="G190" s="8" t="str">
        <f t="shared" si="4"/>
        <v>STAMBAUGH JAMES</v>
      </c>
      <c r="H190" s="20" t="str">
        <f t="shared" si="5"/>
        <v>4015</v>
      </c>
    </row>
    <row r="191" spans="1:8" x14ac:dyDescent="0.25">
      <c r="A191" s="8">
        <v>43048.768611111111</v>
      </c>
      <c r="B191" s="20" t="s">
        <v>538</v>
      </c>
      <c r="C191" s="20" t="s">
        <v>845</v>
      </c>
      <c r="D191" s="138">
        <v>3320000</v>
      </c>
      <c r="E191" s="20" t="s">
        <v>365</v>
      </c>
      <c r="F191" s="20" t="s">
        <v>366</v>
      </c>
      <c r="G191" s="8" t="str">
        <f t="shared" si="4"/>
        <v>NICHOLSON WESLEY</v>
      </c>
      <c r="H191" s="20" t="str">
        <f t="shared" si="5"/>
        <v>4024</v>
      </c>
    </row>
    <row r="192" spans="1:8" x14ac:dyDescent="0.25">
      <c r="A192" s="8">
        <v>43048.76971064815</v>
      </c>
      <c r="B192" s="20" t="s">
        <v>648</v>
      </c>
      <c r="C192" s="20" t="s">
        <v>846</v>
      </c>
      <c r="D192" s="138">
        <v>890000</v>
      </c>
      <c r="E192" s="20" t="s">
        <v>345</v>
      </c>
      <c r="F192" s="20" t="s">
        <v>346</v>
      </c>
      <c r="G192" s="8" t="str">
        <f t="shared" si="4"/>
        <v>LOZA FIDEL</v>
      </c>
      <c r="H192" s="20" t="str">
        <f t="shared" si="5"/>
        <v>4021</v>
      </c>
    </row>
    <row r="193" spans="1:8" x14ac:dyDescent="0.25">
      <c r="A193" s="8">
        <v>43048.770335648151</v>
      </c>
      <c r="B193" s="20" t="s">
        <v>543</v>
      </c>
      <c r="C193" s="20" t="s">
        <v>847</v>
      </c>
      <c r="D193" s="138">
        <v>3130000</v>
      </c>
      <c r="E193" s="20" t="s">
        <v>508</v>
      </c>
      <c r="F193" s="20" t="s">
        <v>509</v>
      </c>
      <c r="G193" s="8" t="str">
        <f t="shared" si="4"/>
        <v>ZEWDU DEREJE</v>
      </c>
      <c r="H193" s="20" t="str">
        <f t="shared" si="5"/>
        <v>4054</v>
      </c>
    </row>
    <row r="194" spans="1:8" x14ac:dyDescent="0.25">
      <c r="A194" s="8">
        <v>43048.777245370373</v>
      </c>
      <c r="B194" s="20" t="s">
        <v>689</v>
      </c>
      <c r="C194" s="20" t="s">
        <v>848</v>
      </c>
      <c r="D194" s="138">
        <v>3670000</v>
      </c>
      <c r="E194" s="20" t="s">
        <v>388</v>
      </c>
      <c r="F194" s="20" t="s">
        <v>371</v>
      </c>
      <c r="G194" s="8" t="str">
        <f t="shared" si="4"/>
        <v>ANDREA WILLIAMS</v>
      </c>
      <c r="H194" s="20" t="str">
        <f t="shared" si="5"/>
        <v>4065</v>
      </c>
    </row>
    <row r="195" spans="1:8" x14ac:dyDescent="0.25">
      <c r="A195" s="8">
        <v>43048.777581018519</v>
      </c>
      <c r="B195" s="20" t="s">
        <v>644</v>
      </c>
      <c r="C195" s="20" t="s">
        <v>849</v>
      </c>
      <c r="D195" s="138">
        <v>1300000</v>
      </c>
      <c r="E195" s="20" t="s">
        <v>360</v>
      </c>
      <c r="F195" s="20" t="s">
        <v>361</v>
      </c>
      <c r="G195" s="8" t="str">
        <f t="shared" ref="G195:G258" si="6">E195&amp;" "&amp;F195</f>
        <v>LEVIN SCOTT</v>
      </c>
      <c r="H195" s="20" t="str">
        <f t="shared" ref="H195:H258" si="7">MID(B195,13,4)</f>
        <v>4026</v>
      </c>
    </row>
    <row r="196" spans="1:8" x14ac:dyDescent="0.25">
      <c r="A196" s="8">
        <v>43048.786932870367</v>
      </c>
      <c r="B196" s="20" t="s">
        <v>553</v>
      </c>
      <c r="C196" s="20" t="s">
        <v>850</v>
      </c>
      <c r="D196" s="138">
        <v>3340000</v>
      </c>
      <c r="E196" s="20" t="s">
        <v>842</v>
      </c>
      <c r="F196" s="20" t="s">
        <v>843</v>
      </c>
      <c r="G196" s="8" t="str">
        <f t="shared" si="6"/>
        <v>ELBAUM MIKE</v>
      </c>
      <c r="H196" s="20" t="str">
        <f t="shared" si="7"/>
        <v>4013</v>
      </c>
    </row>
    <row r="197" spans="1:8" x14ac:dyDescent="0.25">
      <c r="A197" s="8">
        <v>43048.790150462963</v>
      </c>
      <c r="B197" s="20" t="s">
        <v>370</v>
      </c>
      <c r="C197" s="20" t="s">
        <v>851</v>
      </c>
      <c r="D197" s="138">
        <v>3130000</v>
      </c>
      <c r="E197" s="20" t="s">
        <v>508</v>
      </c>
      <c r="F197" s="20" t="s">
        <v>509</v>
      </c>
      <c r="G197" s="8" t="str">
        <f t="shared" si="6"/>
        <v>ZEWDU DEREJE</v>
      </c>
      <c r="H197" s="20" t="str">
        <f t="shared" si="7"/>
        <v>4053</v>
      </c>
    </row>
    <row r="198" spans="1:8" x14ac:dyDescent="0.25">
      <c r="A198" s="8">
        <v>43048.791215277779</v>
      </c>
      <c r="B198" s="20" t="s">
        <v>450</v>
      </c>
      <c r="C198" s="20" t="s">
        <v>852</v>
      </c>
      <c r="D198" s="138">
        <v>3700000</v>
      </c>
      <c r="E198" s="20" t="s">
        <v>482</v>
      </c>
      <c r="F198" s="20" t="s">
        <v>373</v>
      </c>
      <c r="G198" s="8" t="str">
        <f t="shared" si="6"/>
        <v>AUSTIN THOMPSON</v>
      </c>
      <c r="H198" s="20" t="str">
        <f t="shared" si="7"/>
        <v>4064</v>
      </c>
    </row>
    <row r="199" spans="1:8" x14ac:dyDescent="0.25">
      <c r="A199" s="8">
        <v>43048.795763888891</v>
      </c>
      <c r="B199" s="20" t="s">
        <v>550</v>
      </c>
      <c r="C199" s="20" t="s">
        <v>656</v>
      </c>
      <c r="D199" s="138">
        <v>2000000</v>
      </c>
      <c r="E199" s="20" t="s">
        <v>400</v>
      </c>
      <c r="F199" s="20" t="s">
        <v>401</v>
      </c>
      <c r="G199" s="8" t="str">
        <f t="shared" si="6"/>
        <v>STAMBAUGH JAMES</v>
      </c>
      <c r="H199" s="20" t="str">
        <f t="shared" si="7"/>
        <v>4016</v>
      </c>
    </row>
    <row r="200" spans="1:8" x14ac:dyDescent="0.25">
      <c r="A200" s="8">
        <v>43048.801539351851</v>
      </c>
      <c r="B200" s="20" t="s">
        <v>500</v>
      </c>
      <c r="C200" s="20" t="s">
        <v>853</v>
      </c>
      <c r="D200" s="138">
        <v>2140000</v>
      </c>
      <c r="E200" s="20" t="s">
        <v>826</v>
      </c>
      <c r="F200" s="20" t="s">
        <v>827</v>
      </c>
      <c r="G200" s="8" t="str">
        <f t="shared" si="6"/>
        <v>ROBINSON KADDIBA</v>
      </c>
      <c r="H200" s="20" t="str">
        <f t="shared" si="7"/>
        <v>4020</v>
      </c>
    </row>
    <row r="201" spans="1:8" x14ac:dyDescent="0.25">
      <c r="A201" s="8">
        <v>43048.803032407406</v>
      </c>
      <c r="B201" s="20" t="s">
        <v>539</v>
      </c>
      <c r="C201" s="20" t="s">
        <v>854</v>
      </c>
      <c r="D201" s="138">
        <v>3320000</v>
      </c>
      <c r="E201" s="20" t="s">
        <v>365</v>
      </c>
      <c r="F201" s="20" t="s">
        <v>366</v>
      </c>
      <c r="G201" s="8" t="str">
        <f t="shared" si="6"/>
        <v>NICHOLSON WESLEY</v>
      </c>
      <c r="H201" s="20" t="str">
        <f t="shared" si="7"/>
        <v>4023</v>
      </c>
    </row>
    <row r="202" spans="1:8" x14ac:dyDescent="0.25">
      <c r="A202" s="26">
        <v>43048.809374999997</v>
      </c>
      <c r="B202" s="20" t="s">
        <v>696</v>
      </c>
      <c r="C202" s="20" t="s">
        <v>855</v>
      </c>
      <c r="D202" s="138">
        <v>2000000</v>
      </c>
      <c r="E202" s="20" t="s">
        <v>400</v>
      </c>
      <c r="F202" s="20" t="s">
        <v>401</v>
      </c>
      <c r="G202" s="8" t="str">
        <f t="shared" si="6"/>
        <v>STAMBAUGH JAMES</v>
      </c>
      <c r="H202" s="20" t="str">
        <f t="shared" si="7"/>
        <v>4015</v>
      </c>
    </row>
    <row r="203" spans="1:8" x14ac:dyDescent="0.25">
      <c r="A203" s="8">
        <v>43048.811689814815</v>
      </c>
      <c r="B203" s="20" t="s">
        <v>390</v>
      </c>
      <c r="C203" s="20" t="s">
        <v>856</v>
      </c>
      <c r="D203" s="138">
        <v>890000</v>
      </c>
      <c r="E203" s="20" t="s">
        <v>345</v>
      </c>
      <c r="F203" s="20" t="s">
        <v>346</v>
      </c>
      <c r="G203" s="8" t="str">
        <f t="shared" si="6"/>
        <v>LOZA FIDEL</v>
      </c>
      <c r="H203" s="20" t="str">
        <f t="shared" si="7"/>
        <v>4022</v>
      </c>
    </row>
    <row r="204" spans="1:8" x14ac:dyDescent="0.25">
      <c r="A204" s="8">
        <v>43048.820219907408</v>
      </c>
      <c r="B204" s="20" t="s">
        <v>646</v>
      </c>
      <c r="C204" s="20" t="s">
        <v>857</v>
      </c>
      <c r="D204" s="138">
        <v>3670000</v>
      </c>
      <c r="E204" s="20" t="s">
        <v>388</v>
      </c>
      <c r="F204" s="20" t="s">
        <v>371</v>
      </c>
      <c r="G204" s="8" t="str">
        <f t="shared" si="6"/>
        <v>ANDREA WILLIAMS</v>
      </c>
      <c r="H204" s="20" t="str">
        <f t="shared" si="7"/>
        <v>4066</v>
      </c>
    </row>
    <row r="205" spans="1:8" x14ac:dyDescent="0.25">
      <c r="A205" s="8">
        <v>43048.827546296299</v>
      </c>
      <c r="B205" s="20" t="s">
        <v>793</v>
      </c>
      <c r="C205" s="20" t="s">
        <v>858</v>
      </c>
      <c r="D205" s="138">
        <v>3340000</v>
      </c>
      <c r="E205" s="20" t="s">
        <v>842</v>
      </c>
      <c r="F205" s="20" t="s">
        <v>843</v>
      </c>
      <c r="G205" s="8" t="str">
        <f t="shared" si="6"/>
        <v>ELBAUM MIKE</v>
      </c>
      <c r="H205" s="20" t="str">
        <f t="shared" si="7"/>
        <v>4014</v>
      </c>
    </row>
    <row r="206" spans="1:8" x14ac:dyDescent="0.25">
      <c r="A206" s="8">
        <v>43048.829502314817</v>
      </c>
      <c r="B206" s="20" t="s">
        <v>662</v>
      </c>
      <c r="C206" s="20" t="s">
        <v>859</v>
      </c>
      <c r="D206" s="138">
        <v>3700000</v>
      </c>
      <c r="E206" s="20" t="s">
        <v>482</v>
      </c>
      <c r="F206" s="20" t="s">
        <v>373</v>
      </c>
      <c r="G206" s="8" t="str">
        <f t="shared" si="6"/>
        <v>AUSTIN THOMPSON</v>
      </c>
      <c r="H206" s="20" t="str">
        <f t="shared" si="7"/>
        <v>4063</v>
      </c>
    </row>
    <row r="207" spans="1:8" x14ac:dyDescent="0.25">
      <c r="A207" s="8">
        <v>43048.838078703702</v>
      </c>
      <c r="B207" s="20" t="s">
        <v>550</v>
      </c>
      <c r="C207" s="20" t="s">
        <v>860</v>
      </c>
      <c r="D207" s="138">
        <v>2000000</v>
      </c>
      <c r="E207" s="20" t="s">
        <v>400</v>
      </c>
      <c r="F207" s="20" t="s">
        <v>401</v>
      </c>
      <c r="G207" s="8" t="str">
        <f t="shared" si="6"/>
        <v>STAMBAUGH JAMES</v>
      </c>
      <c r="H207" s="20" t="str">
        <f t="shared" si="7"/>
        <v>4016</v>
      </c>
    </row>
    <row r="208" spans="1:8" x14ac:dyDescent="0.25">
      <c r="A208" s="8">
        <v>43048.841458333336</v>
      </c>
      <c r="B208" s="20" t="s">
        <v>538</v>
      </c>
      <c r="C208" s="20" t="s">
        <v>861</v>
      </c>
      <c r="D208" s="138">
        <v>3320000</v>
      </c>
      <c r="E208" s="20" t="s">
        <v>365</v>
      </c>
      <c r="F208" s="20" t="s">
        <v>366</v>
      </c>
      <c r="G208" s="8" t="str">
        <f t="shared" si="6"/>
        <v>NICHOLSON WESLEY</v>
      </c>
      <c r="H208" s="20" t="str">
        <f t="shared" si="7"/>
        <v>4024</v>
      </c>
    </row>
    <row r="209" spans="1:8" x14ac:dyDescent="0.25">
      <c r="A209" s="8">
        <v>43048.850543981483</v>
      </c>
      <c r="B209" s="20" t="s">
        <v>696</v>
      </c>
      <c r="C209" s="20" t="s">
        <v>862</v>
      </c>
      <c r="D209" s="138">
        <v>2000000</v>
      </c>
      <c r="E209" s="20" t="s">
        <v>400</v>
      </c>
      <c r="F209" s="20" t="s">
        <v>401</v>
      </c>
      <c r="G209" s="8" t="str">
        <f t="shared" si="6"/>
        <v>STAMBAUGH JAMES</v>
      </c>
      <c r="H209" s="20" t="str">
        <f t="shared" si="7"/>
        <v>4015</v>
      </c>
    </row>
    <row r="210" spans="1:8" x14ac:dyDescent="0.25">
      <c r="A210" s="8">
        <v>43048.851689814815</v>
      </c>
      <c r="B210" s="20" t="s">
        <v>648</v>
      </c>
      <c r="C210" s="20" t="s">
        <v>863</v>
      </c>
      <c r="D210" s="138">
        <v>890000</v>
      </c>
      <c r="E210" s="20" t="s">
        <v>345</v>
      </c>
      <c r="F210" s="20" t="s">
        <v>346</v>
      </c>
      <c r="G210" s="8" t="str">
        <f t="shared" si="6"/>
        <v>LOZA FIDEL</v>
      </c>
      <c r="H210" s="20" t="str">
        <f t="shared" si="7"/>
        <v>4021</v>
      </c>
    </row>
    <row r="211" spans="1:8" x14ac:dyDescent="0.25">
      <c r="A211" s="8">
        <v>43048.858819444446</v>
      </c>
      <c r="B211" s="20" t="s">
        <v>553</v>
      </c>
      <c r="C211" s="20" t="s">
        <v>864</v>
      </c>
      <c r="D211" s="138">
        <v>3340000</v>
      </c>
      <c r="E211" s="20" t="s">
        <v>842</v>
      </c>
      <c r="F211" s="20" t="s">
        <v>843</v>
      </c>
      <c r="G211" s="8" t="str">
        <f t="shared" si="6"/>
        <v>ELBAUM MIKE</v>
      </c>
      <c r="H211" s="20" t="str">
        <f t="shared" si="7"/>
        <v>4013</v>
      </c>
    </row>
    <row r="212" spans="1:8" x14ac:dyDescent="0.25">
      <c r="A212" s="8">
        <v>43048.868194444447</v>
      </c>
      <c r="B212" s="20" t="s">
        <v>450</v>
      </c>
      <c r="C212" s="20" t="s">
        <v>865</v>
      </c>
      <c r="D212" s="138">
        <v>3700000</v>
      </c>
      <c r="E212" s="20" t="s">
        <v>482</v>
      </c>
      <c r="F212" s="20" t="s">
        <v>373</v>
      </c>
      <c r="G212" s="8" t="str">
        <f t="shared" si="6"/>
        <v>AUSTIN THOMPSON</v>
      </c>
      <c r="H212" s="20" t="str">
        <f t="shared" si="7"/>
        <v>4064</v>
      </c>
    </row>
    <row r="213" spans="1:8" x14ac:dyDescent="0.25">
      <c r="A213" s="8">
        <v>43048.877430555556</v>
      </c>
      <c r="B213" s="20" t="s">
        <v>550</v>
      </c>
      <c r="C213" s="20" t="s">
        <v>866</v>
      </c>
      <c r="D213" s="138">
        <v>3130000</v>
      </c>
      <c r="E213" s="20" t="s">
        <v>508</v>
      </c>
      <c r="F213" s="20" t="s">
        <v>509</v>
      </c>
      <c r="G213" s="8" t="str">
        <f t="shared" si="6"/>
        <v>ZEWDU DEREJE</v>
      </c>
      <c r="H213" s="20" t="str">
        <f t="shared" si="7"/>
        <v>4016</v>
      </c>
    </row>
    <row r="214" spans="1:8" x14ac:dyDescent="0.25">
      <c r="A214" s="8">
        <v>43048.887245370373</v>
      </c>
      <c r="B214" s="20" t="s">
        <v>539</v>
      </c>
      <c r="C214" s="20" t="s">
        <v>867</v>
      </c>
      <c r="D214" s="138">
        <v>3320000</v>
      </c>
      <c r="E214" s="20" t="s">
        <v>365</v>
      </c>
      <c r="F214" s="20" t="s">
        <v>366</v>
      </c>
      <c r="G214" s="8" t="str">
        <f t="shared" si="6"/>
        <v>NICHOLSON WESLEY</v>
      </c>
      <c r="H214" s="20" t="str">
        <f t="shared" si="7"/>
        <v>4023</v>
      </c>
    </row>
    <row r="215" spans="1:8" x14ac:dyDescent="0.25">
      <c r="A215" s="8">
        <v>43048.892708333333</v>
      </c>
      <c r="B215" s="20" t="s">
        <v>390</v>
      </c>
      <c r="C215" s="20" t="s">
        <v>868</v>
      </c>
      <c r="D215" s="138">
        <v>890000</v>
      </c>
      <c r="E215" s="20" t="s">
        <v>345</v>
      </c>
      <c r="F215" s="20" t="s">
        <v>346</v>
      </c>
      <c r="G215" s="8" t="str">
        <f t="shared" si="6"/>
        <v>LOZA FIDEL</v>
      </c>
      <c r="H215" s="20" t="str">
        <f t="shared" si="7"/>
        <v>4022</v>
      </c>
    </row>
    <row r="216" spans="1:8" x14ac:dyDescent="0.25">
      <c r="A216" s="8">
        <v>43048.894201388888</v>
      </c>
      <c r="B216" s="20" t="s">
        <v>696</v>
      </c>
      <c r="C216" s="20" t="s">
        <v>869</v>
      </c>
      <c r="D216" s="138">
        <v>3130000</v>
      </c>
      <c r="E216" s="20" t="s">
        <v>508</v>
      </c>
      <c r="F216" s="20" t="s">
        <v>509</v>
      </c>
      <c r="G216" s="8" t="str">
        <f t="shared" si="6"/>
        <v>ZEWDU DEREJE</v>
      </c>
      <c r="H216" s="20" t="str">
        <f t="shared" si="7"/>
        <v>4015</v>
      </c>
    </row>
    <row r="217" spans="1:8" x14ac:dyDescent="0.25">
      <c r="A217" s="8">
        <v>43048.900497685187</v>
      </c>
      <c r="B217" s="20" t="s">
        <v>390</v>
      </c>
      <c r="C217" s="20" t="s">
        <v>868</v>
      </c>
      <c r="D217" s="138">
        <v>890000</v>
      </c>
      <c r="E217" s="20" t="s">
        <v>345</v>
      </c>
      <c r="F217" s="20" t="s">
        <v>346</v>
      </c>
      <c r="G217" s="8" t="str">
        <f t="shared" si="6"/>
        <v>LOZA FIDEL</v>
      </c>
      <c r="H217" s="20" t="str">
        <f t="shared" si="7"/>
        <v>4022</v>
      </c>
    </row>
    <row r="218" spans="1:8" x14ac:dyDescent="0.25">
      <c r="A218" s="8">
        <v>43048.901134259257</v>
      </c>
      <c r="B218" s="20" t="s">
        <v>793</v>
      </c>
      <c r="C218" s="20" t="s">
        <v>870</v>
      </c>
      <c r="D218" s="138">
        <v>3340000</v>
      </c>
      <c r="E218" s="20" t="s">
        <v>842</v>
      </c>
      <c r="F218" s="20" t="s">
        <v>843</v>
      </c>
      <c r="G218" s="8" t="str">
        <f t="shared" si="6"/>
        <v>ELBAUM MIKE</v>
      </c>
      <c r="H218" s="20" t="str">
        <f t="shared" si="7"/>
        <v>4014</v>
      </c>
    </row>
    <row r="219" spans="1:8" x14ac:dyDescent="0.25">
      <c r="A219" s="8">
        <v>43048.913506944446</v>
      </c>
      <c r="B219" s="20" t="s">
        <v>662</v>
      </c>
      <c r="C219" s="20" t="s">
        <v>871</v>
      </c>
      <c r="D219" s="138">
        <v>3700000</v>
      </c>
      <c r="E219" s="20" t="s">
        <v>482</v>
      </c>
      <c r="F219" s="20" t="s">
        <v>373</v>
      </c>
      <c r="G219" s="8" t="str">
        <f t="shared" si="6"/>
        <v>AUSTIN THOMPSON</v>
      </c>
      <c r="H219" s="20" t="str">
        <f t="shared" si="7"/>
        <v>4063</v>
      </c>
    </row>
    <row r="220" spans="1:8" x14ac:dyDescent="0.25">
      <c r="A220" s="8">
        <v>43048.920891203707</v>
      </c>
      <c r="B220" s="20" t="s">
        <v>550</v>
      </c>
      <c r="C220" s="20" t="s">
        <v>872</v>
      </c>
      <c r="D220" s="138">
        <v>3130000</v>
      </c>
      <c r="E220" s="20" t="s">
        <v>508</v>
      </c>
      <c r="F220" s="20" t="s">
        <v>509</v>
      </c>
      <c r="G220" s="8" t="str">
        <f t="shared" si="6"/>
        <v>ZEWDU DEREJE</v>
      </c>
      <c r="H220" s="20" t="str">
        <f t="shared" si="7"/>
        <v>4016</v>
      </c>
    </row>
    <row r="221" spans="1:8" x14ac:dyDescent="0.25">
      <c r="A221" s="8">
        <v>43048.932256944441</v>
      </c>
      <c r="B221" s="20" t="s">
        <v>538</v>
      </c>
      <c r="C221" s="20" t="s">
        <v>873</v>
      </c>
      <c r="D221" s="138">
        <v>3320000</v>
      </c>
      <c r="E221" s="20" t="s">
        <v>365</v>
      </c>
      <c r="F221" s="20" t="s">
        <v>366</v>
      </c>
      <c r="G221" s="8" t="str">
        <f t="shared" si="6"/>
        <v>NICHOLSON WESLEY</v>
      </c>
      <c r="H221" s="20" t="str">
        <f t="shared" si="7"/>
        <v>4024</v>
      </c>
    </row>
    <row r="222" spans="1:8" x14ac:dyDescent="0.25">
      <c r="A222" s="8">
        <v>43048.933009259257</v>
      </c>
      <c r="B222" s="20" t="s">
        <v>648</v>
      </c>
      <c r="C222" s="20" t="s">
        <v>874</v>
      </c>
      <c r="D222" s="138">
        <v>890000</v>
      </c>
      <c r="E222" s="20" t="s">
        <v>345</v>
      </c>
      <c r="F222" s="20" t="s">
        <v>346</v>
      </c>
      <c r="G222" s="8" t="str">
        <f t="shared" si="6"/>
        <v>LOZA FIDEL</v>
      </c>
      <c r="H222" s="20" t="str">
        <f t="shared" si="7"/>
        <v>4021</v>
      </c>
    </row>
    <row r="223" spans="1:8" x14ac:dyDescent="0.25">
      <c r="A223" s="8">
        <v>43048.935185185182</v>
      </c>
      <c r="B223" s="20" t="s">
        <v>696</v>
      </c>
      <c r="C223" s="20" t="s">
        <v>875</v>
      </c>
      <c r="D223" s="138">
        <v>3130000</v>
      </c>
      <c r="E223" s="20" t="s">
        <v>508</v>
      </c>
      <c r="F223" s="20" t="s">
        <v>509</v>
      </c>
      <c r="G223" s="8" t="str">
        <f t="shared" si="6"/>
        <v>ZEWDU DEREJE</v>
      </c>
      <c r="H223" s="20" t="str">
        <f t="shared" si="7"/>
        <v>4015</v>
      </c>
    </row>
    <row r="224" spans="1:8" x14ac:dyDescent="0.25">
      <c r="A224" s="8">
        <v>43048.950613425928</v>
      </c>
      <c r="B224" t="s">
        <v>450</v>
      </c>
      <c r="C224" t="s">
        <v>876</v>
      </c>
      <c r="D224" s="138">
        <v>3700000</v>
      </c>
      <c r="E224" t="s">
        <v>482</v>
      </c>
      <c r="F224" s="20" t="s">
        <v>373</v>
      </c>
      <c r="G224" s="8" t="str">
        <f t="shared" si="6"/>
        <v>AUSTIN THOMPSON</v>
      </c>
      <c r="H224" s="20" t="str">
        <f t="shared" si="7"/>
        <v>4064</v>
      </c>
    </row>
    <row r="225" spans="1:8" x14ac:dyDescent="0.25">
      <c r="A225" s="8">
        <v>43048.952581018515</v>
      </c>
      <c r="B225" t="s">
        <v>553</v>
      </c>
      <c r="C225" t="s">
        <v>658</v>
      </c>
      <c r="D225" s="138">
        <v>3340000</v>
      </c>
      <c r="E225" t="s">
        <v>842</v>
      </c>
      <c r="F225" s="20" t="s">
        <v>843</v>
      </c>
      <c r="G225" s="8" t="str">
        <f t="shared" si="6"/>
        <v>ELBAUM MIKE</v>
      </c>
      <c r="H225" s="20" t="str">
        <f t="shared" si="7"/>
        <v>4013</v>
      </c>
    </row>
    <row r="226" spans="1:8" x14ac:dyDescent="0.25">
      <c r="A226" s="8">
        <v>43048.963043981479</v>
      </c>
      <c r="B226" t="s">
        <v>550</v>
      </c>
      <c r="C226" t="s">
        <v>657</v>
      </c>
      <c r="D226" s="138">
        <v>3130000</v>
      </c>
      <c r="E226" t="s">
        <v>508</v>
      </c>
      <c r="F226" s="20" t="s">
        <v>509</v>
      </c>
      <c r="G226" s="8" t="str">
        <f t="shared" si="6"/>
        <v>ZEWDU DEREJE</v>
      </c>
      <c r="H226" s="20" t="str">
        <f t="shared" si="7"/>
        <v>4016</v>
      </c>
    </row>
    <row r="227" spans="1:8" x14ac:dyDescent="0.25">
      <c r="A227" s="8">
        <v>43048.966249999998</v>
      </c>
      <c r="B227" t="s">
        <v>390</v>
      </c>
      <c r="C227" t="s">
        <v>877</v>
      </c>
      <c r="D227" s="138">
        <v>890000</v>
      </c>
      <c r="E227" t="s">
        <v>345</v>
      </c>
      <c r="F227" s="20" t="s">
        <v>346</v>
      </c>
      <c r="G227" s="8" t="str">
        <f t="shared" si="6"/>
        <v>LOZA FIDEL</v>
      </c>
      <c r="H227" s="20" t="str">
        <f t="shared" si="7"/>
        <v>4022</v>
      </c>
    </row>
    <row r="228" spans="1:8" x14ac:dyDescent="0.25">
      <c r="A228" s="8">
        <v>43048.972905092596</v>
      </c>
      <c r="B228" t="s">
        <v>539</v>
      </c>
      <c r="C228" t="s">
        <v>878</v>
      </c>
      <c r="D228" s="138">
        <v>3320000</v>
      </c>
      <c r="E228" t="s">
        <v>365</v>
      </c>
      <c r="F228" s="20" t="s">
        <v>366</v>
      </c>
      <c r="G228" s="8" t="str">
        <f t="shared" si="6"/>
        <v>NICHOLSON WESLEY</v>
      </c>
      <c r="H228" s="20" t="str">
        <f t="shared" si="7"/>
        <v>4023</v>
      </c>
    </row>
    <row r="229" spans="1:8" x14ac:dyDescent="0.25">
      <c r="A229" s="8">
        <v>43048.977268518516</v>
      </c>
      <c r="B229" t="s">
        <v>696</v>
      </c>
      <c r="C229" t="s">
        <v>879</v>
      </c>
      <c r="D229" s="138">
        <v>3130000</v>
      </c>
      <c r="E229" t="s">
        <v>508</v>
      </c>
      <c r="F229" s="20" t="s">
        <v>509</v>
      </c>
      <c r="G229" s="8" t="str">
        <f t="shared" si="6"/>
        <v>ZEWDU DEREJE</v>
      </c>
      <c r="H229" s="20" t="str">
        <f t="shared" si="7"/>
        <v>4015</v>
      </c>
    </row>
    <row r="230" spans="1:8" x14ac:dyDescent="0.25">
      <c r="A230" s="8">
        <v>43048.986134259256</v>
      </c>
      <c r="B230" t="s">
        <v>390</v>
      </c>
      <c r="C230" t="s">
        <v>877</v>
      </c>
      <c r="D230" s="138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4022</v>
      </c>
    </row>
    <row r="231" spans="1:8" x14ac:dyDescent="0.25">
      <c r="A231" s="8">
        <v>43048.991261574076</v>
      </c>
      <c r="B231" t="s">
        <v>793</v>
      </c>
      <c r="C231" t="s">
        <v>880</v>
      </c>
      <c r="D231" s="138">
        <v>3340000</v>
      </c>
      <c r="E231" t="s">
        <v>842</v>
      </c>
      <c r="F231" s="20" t="s">
        <v>843</v>
      </c>
      <c r="G231" s="8" t="str">
        <f t="shared" si="6"/>
        <v>ELBAUM MIKE</v>
      </c>
      <c r="H231" s="20" t="str">
        <f t="shared" si="7"/>
        <v>4014</v>
      </c>
    </row>
    <row r="232" spans="1:8" x14ac:dyDescent="0.25">
      <c r="A232" s="8">
        <v>43048.994270833333</v>
      </c>
      <c r="B232" t="s">
        <v>662</v>
      </c>
      <c r="C232" t="s">
        <v>881</v>
      </c>
      <c r="D232" s="138">
        <v>3700000</v>
      </c>
      <c r="E232" t="s">
        <v>482</v>
      </c>
      <c r="F232" s="20" t="s">
        <v>373</v>
      </c>
      <c r="G232" s="8" t="str">
        <f t="shared" si="6"/>
        <v>AUSTIN THOMPSON</v>
      </c>
      <c r="H232" s="20" t="str">
        <f t="shared" si="7"/>
        <v>4063</v>
      </c>
    </row>
    <row r="233" spans="1:8" x14ac:dyDescent="0.25">
      <c r="A233" s="8">
        <v>43049.011967592596</v>
      </c>
      <c r="B233" t="s">
        <v>538</v>
      </c>
      <c r="C233" t="s">
        <v>659</v>
      </c>
      <c r="D233" s="138">
        <v>3320000</v>
      </c>
      <c r="E233" t="s">
        <v>365</v>
      </c>
      <c r="F233" s="20" t="s">
        <v>366</v>
      </c>
      <c r="G233" s="8" t="str">
        <f t="shared" si="6"/>
        <v>NICHOLSON WESLEY</v>
      </c>
      <c r="H233" s="20" t="str">
        <f t="shared" si="7"/>
        <v>4024</v>
      </c>
    </row>
    <row r="234" spans="1:8" x14ac:dyDescent="0.25">
      <c r="A234" s="8">
        <v>43049.018090277779</v>
      </c>
      <c r="B234" t="s">
        <v>648</v>
      </c>
      <c r="C234" t="s">
        <v>882</v>
      </c>
      <c r="D234" s="138">
        <v>890000</v>
      </c>
      <c r="E234" t="s">
        <v>345</v>
      </c>
      <c r="F234" s="20" t="s">
        <v>346</v>
      </c>
      <c r="G234" s="8" t="str">
        <f t="shared" si="6"/>
        <v>LOZA FIDEL</v>
      </c>
      <c r="H234" s="20" t="str">
        <f t="shared" si="7"/>
        <v>4021</v>
      </c>
    </row>
    <row r="235" spans="1:8" x14ac:dyDescent="0.25">
      <c r="A235" s="8">
        <v>43049.028148148151</v>
      </c>
      <c r="B235" t="s">
        <v>450</v>
      </c>
      <c r="C235" t="s">
        <v>660</v>
      </c>
      <c r="D235" s="138">
        <v>3700000</v>
      </c>
      <c r="E235" t="s">
        <v>482</v>
      </c>
      <c r="F235" s="20" t="s">
        <v>373</v>
      </c>
      <c r="G235" s="8" t="str">
        <f t="shared" si="6"/>
        <v>AUSTIN THOMPSON</v>
      </c>
      <c r="H235" s="20" t="str">
        <f t="shared" si="7"/>
        <v>4064</v>
      </c>
    </row>
    <row r="236" spans="1:8" x14ac:dyDescent="0.25">
      <c r="A236" s="8">
        <v>43049.029722222222</v>
      </c>
      <c r="B236" t="s">
        <v>553</v>
      </c>
      <c r="C236" t="s">
        <v>661</v>
      </c>
      <c r="D236" s="138">
        <v>3340000</v>
      </c>
      <c r="E236" t="s">
        <v>842</v>
      </c>
      <c r="F236" s="20" t="s">
        <v>843</v>
      </c>
      <c r="G236" s="8" t="str">
        <f t="shared" si="6"/>
        <v>ELBAUM MIKE</v>
      </c>
      <c r="H236" s="20" t="str">
        <f t="shared" si="7"/>
        <v>4013</v>
      </c>
    </row>
    <row r="237" spans="1:8" x14ac:dyDescent="0.25">
      <c r="A237" s="8">
        <v>43049.051562499997</v>
      </c>
      <c r="B237" t="s">
        <v>390</v>
      </c>
      <c r="C237" t="s">
        <v>883</v>
      </c>
      <c r="D237" s="138">
        <v>890000</v>
      </c>
      <c r="E237" t="s">
        <v>345</v>
      </c>
      <c r="F237" s="20" t="s">
        <v>346</v>
      </c>
      <c r="G237" s="8" t="str">
        <f t="shared" si="6"/>
        <v>LOZA FIDEL</v>
      </c>
      <c r="H237" s="20" t="str">
        <f t="shared" si="7"/>
        <v>4022</v>
      </c>
    </row>
    <row r="238" spans="1:8" x14ac:dyDescent="0.25">
      <c r="A238" s="8">
        <v>43049.054942129631</v>
      </c>
      <c r="B238" t="s">
        <v>539</v>
      </c>
      <c r="C238" t="s">
        <v>884</v>
      </c>
      <c r="D238" s="138">
        <v>3320000</v>
      </c>
      <c r="E238" t="s">
        <v>365</v>
      </c>
      <c r="F238" s="20" t="s">
        <v>366</v>
      </c>
      <c r="G238" s="8" t="str">
        <f t="shared" si="6"/>
        <v>NICHOLSON WESLEY</v>
      </c>
      <c r="H238" s="20" t="str">
        <f t="shared" si="7"/>
        <v>4023</v>
      </c>
    </row>
    <row r="239" spans="1:8" x14ac:dyDescent="0.25">
      <c r="A239" s="8">
        <v>43049.069097222222</v>
      </c>
      <c r="B239" t="s">
        <v>793</v>
      </c>
      <c r="C239" t="s">
        <v>885</v>
      </c>
      <c r="D239" s="138">
        <v>3340000</v>
      </c>
      <c r="E239" t="s">
        <v>842</v>
      </c>
      <c r="F239" s="20" t="s">
        <v>843</v>
      </c>
      <c r="G239" s="8" t="str">
        <f t="shared" si="6"/>
        <v>ELBAUM MIKE</v>
      </c>
      <c r="H239" s="20" t="str">
        <f t="shared" si="7"/>
        <v>4014</v>
      </c>
    </row>
    <row r="240" spans="1:8" x14ac:dyDescent="0.25">
      <c r="A240" s="8">
        <v>43049.091874999998</v>
      </c>
      <c r="B240" t="s">
        <v>538</v>
      </c>
      <c r="C240" t="s">
        <v>886</v>
      </c>
      <c r="D240" s="138">
        <v>3320000</v>
      </c>
      <c r="E240" t="s">
        <v>365</v>
      </c>
      <c r="F240" s="20" t="s">
        <v>366</v>
      </c>
      <c r="G240" s="8" t="str">
        <f t="shared" si="6"/>
        <v>NICHOLSON WESLEY</v>
      </c>
      <c r="H240" s="20" t="str">
        <f t="shared" si="7"/>
        <v>4024</v>
      </c>
    </row>
    <row r="241" spans="1:8" x14ac:dyDescent="0.25">
      <c r="A241" s="8">
        <v>43047.88925925926</v>
      </c>
      <c r="B241" t="s">
        <v>396</v>
      </c>
      <c r="C241" t="s">
        <v>554</v>
      </c>
      <c r="D241" s="138">
        <v>3700000</v>
      </c>
      <c r="E241" t="s">
        <v>482</v>
      </c>
      <c r="F241" s="20" t="s">
        <v>373</v>
      </c>
      <c r="G241" s="8" t="str">
        <f t="shared" si="6"/>
        <v>AUSTIN THOMPSON</v>
      </c>
      <c r="H241" s="20" t="str">
        <f t="shared" si="7"/>
        <v>4059</v>
      </c>
    </row>
    <row r="242" spans="1:8" x14ac:dyDescent="0.25">
      <c r="A242" s="8">
        <v>43047.90247685185</v>
      </c>
      <c r="B242" t="s">
        <v>539</v>
      </c>
      <c r="C242" t="s">
        <v>555</v>
      </c>
      <c r="D242" s="138">
        <v>3220000</v>
      </c>
      <c r="E242" t="s">
        <v>382</v>
      </c>
      <c r="F242" s="20" t="s">
        <v>383</v>
      </c>
      <c r="G242" s="8" t="str">
        <f t="shared" si="6"/>
        <v>RESPASS AARON</v>
      </c>
      <c r="H242" s="20" t="str">
        <f t="shared" si="7"/>
        <v>4023</v>
      </c>
    </row>
    <row r="243" spans="1:8" x14ac:dyDescent="0.25">
      <c r="A243" s="8">
        <v>43047.908275462964</v>
      </c>
      <c r="B243" t="s">
        <v>466</v>
      </c>
      <c r="C243" t="s">
        <v>556</v>
      </c>
      <c r="D243" s="138">
        <v>3320000</v>
      </c>
      <c r="E243" t="s">
        <v>365</v>
      </c>
      <c r="F243" s="20" t="s">
        <v>366</v>
      </c>
      <c r="G243" s="8" t="str">
        <f t="shared" si="6"/>
        <v>NICHOLSON WESLEY</v>
      </c>
      <c r="H243" s="20" t="str">
        <f t="shared" si="7"/>
        <v>4009</v>
      </c>
    </row>
    <row r="244" spans="1:8" x14ac:dyDescent="0.25">
      <c r="A244" s="8">
        <v>43047.910208333335</v>
      </c>
      <c r="B244" t="s">
        <v>537</v>
      </c>
      <c r="C244" t="s">
        <v>557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25">
      <c r="A245" s="8">
        <v>43047.91914351852</v>
      </c>
      <c r="B245" t="s">
        <v>538</v>
      </c>
      <c r="C245" t="s">
        <v>558</v>
      </c>
      <c r="D245" s="138">
        <v>3220000</v>
      </c>
      <c r="E245" t="s">
        <v>382</v>
      </c>
      <c r="F245" s="20" t="s">
        <v>383</v>
      </c>
      <c r="G245" s="8" t="str">
        <f t="shared" si="6"/>
        <v>RESPASS AARON</v>
      </c>
      <c r="H245" s="20" t="str">
        <f t="shared" si="7"/>
        <v>4024</v>
      </c>
    </row>
    <row r="246" spans="1:8" x14ac:dyDescent="0.25">
      <c r="A246" s="8">
        <v>43047.927418981482</v>
      </c>
      <c r="B246" t="s">
        <v>359</v>
      </c>
      <c r="C246" t="s">
        <v>540</v>
      </c>
      <c r="D246" s="138">
        <v>3700000</v>
      </c>
      <c r="E246" t="s">
        <v>482</v>
      </c>
      <c r="F246" s="20" t="s">
        <v>373</v>
      </c>
      <c r="G246" s="8" t="str">
        <f t="shared" si="6"/>
        <v>AUSTIN THOMPSON</v>
      </c>
      <c r="H246" s="20" t="str">
        <f t="shared" si="7"/>
        <v>4060</v>
      </c>
    </row>
    <row r="247" spans="1:8" x14ac:dyDescent="0.25">
      <c r="A247" s="8">
        <v>43047.929212962961</v>
      </c>
      <c r="B247" t="s">
        <v>476</v>
      </c>
      <c r="C247" t="s">
        <v>559</v>
      </c>
      <c r="D247" s="138">
        <v>2440000</v>
      </c>
      <c r="E247" t="s">
        <v>551</v>
      </c>
      <c r="F247" s="20" t="s">
        <v>552</v>
      </c>
      <c r="G247" s="8" t="str">
        <f t="shared" si="6"/>
        <v>LOPES KIMBERLY</v>
      </c>
      <c r="H247" s="20" t="str">
        <f t="shared" si="7"/>
        <v>4049</v>
      </c>
    </row>
    <row r="248" spans="1:8" x14ac:dyDescent="0.25">
      <c r="A248" s="8">
        <v>43047.936041666668</v>
      </c>
      <c r="B248" t="s">
        <v>539</v>
      </c>
      <c r="C248" t="s">
        <v>560</v>
      </c>
      <c r="D248" s="138">
        <v>3220000</v>
      </c>
      <c r="E248" t="s">
        <v>382</v>
      </c>
      <c r="F248" s="20" t="s">
        <v>383</v>
      </c>
      <c r="G248" s="8" t="str">
        <f t="shared" si="6"/>
        <v>RESPASS AARON</v>
      </c>
      <c r="H248" s="20" t="str">
        <f t="shared" si="7"/>
        <v>4023</v>
      </c>
    </row>
    <row r="249" spans="1:8" x14ac:dyDescent="0.25">
      <c r="A249" s="8">
        <v>43047.950833333336</v>
      </c>
      <c r="B249" t="s">
        <v>467</v>
      </c>
      <c r="C249" t="s">
        <v>561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542</v>
      </c>
      <c r="C250" t="s">
        <v>562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538</v>
      </c>
      <c r="C251" t="s">
        <v>563</v>
      </c>
      <c r="D251" s="138">
        <v>2000000</v>
      </c>
      <c r="E251" t="s">
        <v>400</v>
      </c>
      <c r="F251" s="20" t="s">
        <v>401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477</v>
      </c>
      <c r="C252" t="s">
        <v>564</v>
      </c>
      <c r="D252" s="138">
        <v>2540000</v>
      </c>
      <c r="E252" t="s">
        <v>565</v>
      </c>
      <c r="F252" s="20" t="s">
        <v>566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396</v>
      </c>
      <c r="C253" t="s">
        <v>567</v>
      </c>
      <c r="D253" s="138">
        <v>3700000</v>
      </c>
      <c r="E253" t="s">
        <v>482</v>
      </c>
      <c r="F253" s="20" t="s">
        <v>373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539</v>
      </c>
      <c r="C254" t="s">
        <v>568</v>
      </c>
      <c r="D254" s="138">
        <v>2000000</v>
      </c>
      <c r="E254" t="s">
        <v>400</v>
      </c>
      <c r="F254" s="20" t="s">
        <v>401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537</v>
      </c>
      <c r="C255" t="s">
        <v>569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466</v>
      </c>
      <c r="C256" t="s">
        <v>570</v>
      </c>
      <c r="D256" s="138">
        <v>3320000</v>
      </c>
      <c r="E256" t="s">
        <v>365</v>
      </c>
      <c r="F256" s="20" t="s">
        <v>366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476</v>
      </c>
      <c r="C257" t="s">
        <v>571</v>
      </c>
      <c r="D257" s="138">
        <v>2540000</v>
      </c>
      <c r="E257" t="s">
        <v>565</v>
      </c>
      <c r="F257" s="20" t="s">
        <v>566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359</v>
      </c>
      <c r="C258" t="s">
        <v>541</v>
      </c>
      <c r="D258" s="138">
        <v>3700000</v>
      </c>
      <c r="E258" t="s">
        <v>482</v>
      </c>
      <c r="F258" s="20" t="s">
        <v>373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467</v>
      </c>
      <c r="C259" t="s">
        <v>572</v>
      </c>
      <c r="D259" s="138">
        <v>3320000</v>
      </c>
      <c r="E259" t="s">
        <v>365</v>
      </c>
      <c r="F259" s="20" t="s">
        <v>366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542</v>
      </c>
      <c r="C260" t="s">
        <v>573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477</v>
      </c>
      <c r="C261" t="s">
        <v>574</v>
      </c>
      <c r="D261" s="138">
        <v>2440000</v>
      </c>
      <c r="E261" t="s">
        <v>551</v>
      </c>
      <c r="F261" s="20" t="s">
        <v>552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396</v>
      </c>
      <c r="C262" t="s">
        <v>575</v>
      </c>
      <c r="D262" s="138">
        <v>3700000</v>
      </c>
      <c r="E262" t="s">
        <v>482</v>
      </c>
      <c r="F262" s="20" t="s">
        <v>373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537</v>
      </c>
      <c r="C263" t="s">
        <v>576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359</v>
      </c>
      <c r="C264" t="s">
        <v>577</v>
      </c>
      <c r="D264" s="138">
        <v>3700000</v>
      </c>
      <c r="E264" t="s">
        <v>482</v>
      </c>
      <c r="F264" s="20" t="s">
        <v>373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392</v>
      </c>
      <c r="C265" t="s">
        <v>404</v>
      </c>
      <c r="D265" s="138">
        <v>3670000</v>
      </c>
      <c r="E265" t="s">
        <v>388</v>
      </c>
      <c r="F265" s="20" t="s">
        <v>371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362</v>
      </c>
      <c r="C266" t="s">
        <v>405</v>
      </c>
      <c r="D266" s="138">
        <v>2000000</v>
      </c>
      <c r="E266" t="s">
        <v>400</v>
      </c>
      <c r="F266" s="20" t="s">
        <v>401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390</v>
      </c>
      <c r="C267" t="s">
        <v>406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396</v>
      </c>
      <c r="C268" t="s">
        <v>407</v>
      </c>
      <c r="D268" s="138">
        <v>2230000</v>
      </c>
      <c r="E268" t="s">
        <v>399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364</v>
      </c>
      <c r="C269" t="s">
        <v>408</v>
      </c>
      <c r="D269" s="138">
        <v>2000000</v>
      </c>
      <c r="E269" t="s">
        <v>400</v>
      </c>
      <c r="F269" s="20" t="s">
        <v>401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358</v>
      </c>
      <c r="C270" t="s">
        <v>409</v>
      </c>
      <c r="D270" s="138">
        <v>3500000</v>
      </c>
      <c r="E270" t="s">
        <v>380</v>
      </c>
      <c r="F270" s="20" t="s">
        <v>381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375</v>
      </c>
      <c r="C271" t="s">
        <v>410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389</v>
      </c>
      <c r="C272" t="s">
        <v>411</v>
      </c>
      <c r="D272" s="138">
        <v>2610000</v>
      </c>
      <c r="E272" t="s">
        <v>386</v>
      </c>
      <c r="F272" s="20" t="s">
        <v>387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397</v>
      </c>
      <c r="C273" t="s">
        <v>412</v>
      </c>
      <c r="D273" s="138">
        <v>2630000</v>
      </c>
      <c r="E273" t="s">
        <v>376</v>
      </c>
      <c r="F273" s="20" t="s">
        <v>377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398</v>
      </c>
      <c r="C274" t="s">
        <v>413</v>
      </c>
      <c r="D274" s="138">
        <v>3670000</v>
      </c>
      <c r="E274" t="s">
        <v>388</v>
      </c>
      <c r="F274" s="20" t="s">
        <v>371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369</v>
      </c>
      <c r="C275" t="s">
        <v>414</v>
      </c>
      <c r="D275" s="138">
        <v>2040000</v>
      </c>
      <c r="E275" t="s">
        <v>402</v>
      </c>
      <c r="F275" s="20" t="s">
        <v>403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391</v>
      </c>
      <c r="C276" t="s">
        <v>415</v>
      </c>
      <c r="D276" s="138">
        <v>2610000</v>
      </c>
      <c r="E276" t="s">
        <v>386</v>
      </c>
      <c r="F276" s="20" t="s">
        <v>387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359</v>
      </c>
      <c r="C277" t="s">
        <v>416</v>
      </c>
      <c r="D277" s="138">
        <v>2230000</v>
      </c>
      <c r="E277" t="s">
        <v>399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363</v>
      </c>
      <c r="C278" t="s">
        <v>417</v>
      </c>
      <c r="D278" s="138">
        <v>3500000</v>
      </c>
      <c r="E278" t="s">
        <v>380</v>
      </c>
      <c r="F278" s="20" t="s">
        <v>381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389</v>
      </c>
      <c r="C279" t="s">
        <v>418</v>
      </c>
      <c r="D279" s="138">
        <v>2970000</v>
      </c>
      <c r="E279" t="s">
        <v>378</v>
      </c>
      <c r="F279" s="20" t="s">
        <v>379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374</v>
      </c>
      <c r="C280" t="s">
        <v>419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392</v>
      </c>
      <c r="C281" t="s">
        <v>393</v>
      </c>
      <c r="D281" s="138">
        <v>3670000</v>
      </c>
      <c r="E281" t="s">
        <v>388</v>
      </c>
      <c r="F281" s="20" t="s">
        <v>371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391</v>
      </c>
      <c r="C282" t="s">
        <v>420</v>
      </c>
      <c r="D282" s="138">
        <v>2970000</v>
      </c>
      <c r="E282" t="s">
        <v>378</v>
      </c>
      <c r="F282" s="20" t="s">
        <v>379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368</v>
      </c>
      <c r="C283" t="s">
        <v>421</v>
      </c>
      <c r="D283" s="138">
        <v>2040000</v>
      </c>
      <c r="E283" t="s">
        <v>402</v>
      </c>
      <c r="F283" s="20" t="s">
        <v>403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358</v>
      </c>
      <c r="C284" t="s">
        <v>422</v>
      </c>
      <c r="D284" s="138">
        <v>3500000</v>
      </c>
      <c r="E284" t="s">
        <v>380</v>
      </c>
      <c r="F284" s="20" t="s">
        <v>381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375</v>
      </c>
      <c r="C285" t="s">
        <v>423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389</v>
      </c>
      <c r="C286" t="s">
        <v>424</v>
      </c>
      <c r="D286" s="138">
        <v>2000000</v>
      </c>
      <c r="E286" t="s">
        <v>400</v>
      </c>
      <c r="F286" s="20" t="s">
        <v>401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389</v>
      </c>
      <c r="C287" t="s">
        <v>424</v>
      </c>
      <c r="D287" s="138">
        <v>2000000</v>
      </c>
      <c r="E287" t="s">
        <v>400</v>
      </c>
      <c r="F287" s="20" t="s">
        <v>401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398</v>
      </c>
      <c r="C288" t="s">
        <v>425</v>
      </c>
      <c r="D288" s="138">
        <v>3670000</v>
      </c>
      <c r="E288" t="s">
        <v>388</v>
      </c>
      <c r="F288" s="20" t="s">
        <v>371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369</v>
      </c>
      <c r="C289" t="s">
        <v>426</v>
      </c>
      <c r="D289" s="138">
        <v>2040000</v>
      </c>
      <c r="E289" t="s">
        <v>402</v>
      </c>
      <c r="F289" s="20" t="s">
        <v>403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391</v>
      </c>
      <c r="C290" t="s">
        <v>427</v>
      </c>
      <c r="D290" s="138">
        <v>2000000</v>
      </c>
      <c r="E290" t="s">
        <v>400</v>
      </c>
      <c r="F290" s="20" t="s">
        <v>401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374</v>
      </c>
      <c r="C291" t="s">
        <v>428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363</v>
      </c>
      <c r="C292" t="s">
        <v>429</v>
      </c>
      <c r="D292" s="138">
        <v>3500000</v>
      </c>
      <c r="E292" t="s">
        <v>380</v>
      </c>
      <c r="F292" s="20" t="s">
        <v>381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389</v>
      </c>
      <c r="C293" t="s">
        <v>430</v>
      </c>
      <c r="D293" s="138">
        <v>3220000</v>
      </c>
      <c r="E293" t="s">
        <v>382</v>
      </c>
      <c r="F293" s="20" t="s">
        <v>383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392</v>
      </c>
      <c r="C294" t="s">
        <v>394</v>
      </c>
      <c r="D294" s="138">
        <v>3670000</v>
      </c>
      <c r="E294" t="s">
        <v>388</v>
      </c>
      <c r="F294" s="20" t="s">
        <v>371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368</v>
      </c>
      <c r="C295" t="s">
        <v>431</v>
      </c>
      <c r="D295" s="138">
        <v>2040000</v>
      </c>
      <c r="E295" t="s">
        <v>402</v>
      </c>
      <c r="F295" s="20" t="s">
        <v>403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391</v>
      </c>
      <c r="C296" t="s">
        <v>432</v>
      </c>
      <c r="D296" s="138">
        <v>3220000</v>
      </c>
      <c r="E296" t="s">
        <v>382</v>
      </c>
      <c r="F296" s="20" t="s">
        <v>383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358</v>
      </c>
      <c r="C297" t="s">
        <v>433</v>
      </c>
      <c r="D297" s="138">
        <v>3500000</v>
      </c>
      <c r="E297" t="s">
        <v>380</v>
      </c>
      <c r="F297" s="20" t="s">
        <v>381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375</v>
      </c>
      <c r="C298" t="s">
        <v>434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389</v>
      </c>
      <c r="C299" t="s">
        <v>435</v>
      </c>
      <c r="D299" s="138">
        <v>2000000</v>
      </c>
      <c r="E299" t="s">
        <v>400</v>
      </c>
      <c r="F299" s="20" t="s">
        <v>401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398</v>
      </c>
      <c r="C300" t="s">
        <v>436</v>
      </c>
      <c r="D300" s="138">
        <v>3670000</v>
      </c>
      <c r="E300" t="s">
        <v>388</v>
      </c>
      <c r="F300" s="20" t="s">
        <v>371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369</v>
      </c>
      <c r="C301" t="s">
        <v>437</v>
      </c>
      <c r="D301" s="138">
        <v>2040000</v>
      </c>
      <c r="E301" t="s">
        <v>402</v>
      </c>
      <c r="F301" s="20" t="s">
        <v>403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391</v>
      </c>
      <c r="C302" t="s">
        <v>438</v>
      </c>
      <c r="D302" s="138">
        <v>2000000</v>
      </c>
      <c r="E302" t="s">
        <v>400</v>
      </c>
      <c r="F302" s="20" t="s">
        <v>401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363</v>
      </c>
      <c r="C303" t="s">
        <v>395</v>
      </c>
      <c r="D303" s="138">
        <v>3500000</v>
      </c>
      <c r="E303" t="s">
        <v>380</v>
      </c>
      <c r="F303" s="20" t="s">
        <v>381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374</v>
      </c>
      <c r="C304" t="s">
        <v>439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392</v>
      </c>
      <c r="C305" t="s">
        <v>440</v>
      </c>
      <c r="D305" s="138">
        <v>3670000</v>
      </c>
      <c r="E305" t="s">
        <v>388</v>
      </c>
      <c r="F305" s="20" t="s">
        <v>371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368</v>
      </c>
      <c r="C306" t="s">
        <v>441</v>
      </c>
      <c r="D306" s="138">
        <v>2040000</v>
      </c>
      <c r="E306" t="s">
        <v>402</v>
      </c>
      <c r="F306" s="20" t="s">
        <v>403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358</v>
      </c>
      <c r="C307" t="s">
        <v>442</v>
      </c>
      <c r="D307" s="138">
        <v>3500000</v>
      </c>
      <c r="E307" t="s">
        <v>380</v>
      </c>
      <c r="F307" s="20" t="s">
        <v>381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375</v>
      </c>
      <c r="C308" t="s">
        <v>443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398</v>
      </c>
      <c r="C309" t="s">
        <v>444</v>
      </c>
      <c r="D309" s="138">
        <v>3670000</v>
      </c>
      <c r="E309" t="s">
        <v>388</v>
      </c>
      <c r="F309" s="20" t="s">
        <v>371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369</v>
      </c>
      <c r="C310" t="s">
        <v>445</v>
      </c>
      <c r="D310" s="138">
        <v>2040000</v>
      </c>
      <c r="E310" t="s">
        <v>402</v>
      </c>
      <c r="F310" s="20" t="s">
        <v>403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374</v>
      </c>
      <c r="C311" t="s">
        <v>446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368</v>
      </c>
      <c r="C312" t="s">
        <v>447</v>
      </c>
      <c r="D312" s="138">
        <v>2040000</v>
      </c>
      <c r="E312" t="s">
        <v>402</v>
      </c>
      <c r="F312" s="20" t="s">
        <v>403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483</v>
      </c>
      <c r="I1" s="218" t="s">
        <v>162</v>
      </c>
      <c r="J1" s="218" t="s">
        <v>163</v>
      </c>
      <c r="K1" s="218" t="s">
        <v>468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25">
      <c r="A2" s="196">
        <v>35.03</v>
      </c>
      <c r="B2" s="196">
        <v>0.06</v>
      </c>
      <c r="C2" s="196">
        <v>31.38</v>
      </c>
      <c r="D2" s="8">
        <v>43048.041666666664</v>
      </c>
      <c r="E2" s="196">
        <v>0.86</v>
      </c>
      <c r="F2" s="196" t="s">
        <v>581</v>
      </c>
      <c r="G2" s="196">
        <v>263.45999999999998</v>
      </c>
      <c r="H2" s="196"/>
      <c r="I2" s="196">
        <v>0</v>
      </c>
      <c r="J2" s="196">
        <v>0</v>
      </c>
      <c r="K2" s="196"/>
      <c r="L2" s="196">
        <v>1020.95</v>
      </c>
      <c r="M2" s="196" t="s">
        <v>580</v>
      </c>
      <c r="N2" s="196">
        <v>35.03</v>
      </c>
      <c r="O2" s="196">
        <v>1510210800</v>
      </c>
      <c r="P2" s="196">
        <v>0</v>
      </c>
      <c r="Q2" s="196">
        <v>2.8</v>
      </c>
      <c r="R2" s="196">
        <v>101</v>
      </c>
      <c r="S2" s="196">
        <v>2.0699999999999998</v>
      </c>
      <c r="T2" s="196">
        <v>0.19</v>
      </c>
    </row>
    <row r="3" spans="1:20" x14ac:dyDescent="0.25">
      <c r="A3" s="196">
        <v>33.93</v>
      </c>
      <c r="B3" s="196">
        <v>0.02</v>
      </c>
      <c r="C3" s="196">
        <v>30.68</v>
      </c>
      <c r="D3" s="8">
        <v>43048.083333333336</v>
      </c>
      <c r="E3" s="196">
        <v>0.88</v>
      </c>
      <c r="F3" s="196" t="s">
        <v>581</v>
      </c>
      <c r="G3" s="196">
        <v>263.95999999999998</v>
      </c>
      <c r="H3" s="196"/>
      <c r="I3" s="196">
        <v>0</v>
      </c>
      <c r="J3" s="196">
        <v>0</v>
      </c>
      <c r="K3" s="196"/>
      <c r="L3" s="196">
        <v>1020.43</v>
      </c>
      <c r="M3" s="196" t="s">
        <v>580</v>
      </c>
      <c r="N3" s="196">
        <v>33.93</v>
      </c>
      <c r="O3" s="196">
        <v>1510214400</v>
      </c>
      <c r="P3" s="196">
        <v>0</v>
      </c>
      <c r="Q3" s="196">
        <v>3.07</v>
      </c>
      <c r="R3" s="196">
        <v>287</v>
      </c>
      <c r="S3" s="196">
        <v>2.4500000000000002</v>
      </c>
      <c r="T3" s="196">
        <v>0.51</v>
      </c>
    </row>
    <row r="4" spans="1:20" x14ac:dyDescent="0.25">
      <c r="A4" s="196">
        <v>33.64</v>
      </c>
      <c r="B4" s="196">
        <v>0.02</v>
      </c>
      <c r="C4" s="196">
        <v>29.99</v>
      </c>
      <c r="D4" s="8">
        <v>43048.125</v>
      </c>
      <c r="E4" s="196">
        <v>0.86</v>
      </c>
      <c r="F4" s="196" t="s">
        <v>581</v>
      </c>
      <c r="G4" s="196">
        <v>264.20999999999998</v>
      </c>
      <c r="H4" s="196">
        <v>0</v>
      </c>
      <c r="I4" s="196">
        <v>1E-4</v>
      </c>
      <c r="J4" s="196">
        <v>0.01</v>
      </c>
      <c r="K4" s="196" t="s">
        <v>484</v>
      </c>
      <c r="L4" s="196">
        <v>1020.74</v>
      </c>
      <c r="M4" s="196" t="s">
        <v>580</v>
      </c>
      <c r="N4" s="196">
        <v>33.64</v>
      </c>
      <c r="O4" s="196">
        <v>1510218000</v>
      </c>
      <c r="P4" s="196">
        <v>0</v>
      </c>
      <c r="Q4" s="196">
        <v>3.17</v>
      </c>
      <c r="R4" s="196">
        <v>314</v>
      </c>
      <c r="S4" s="196">
        <v>1.72</v>
      </c>
      <c r="T4" s="196">
        <v>0.2</v>
      </c>
    </row>
    <row r="5" spans="1:20" x14ac:dyDescent="0.25">
      <c r="A5" s="196">
        <v>32.65</v>
      </c>
      <c r="B5" s="196">
        <v>0.04</v>
      </c>
      <c r="C5" s="196">
        <v>29.33</v>
      </c>
      <c r="D5" s="8">
        <v>43048.166666666664</v>
      </c>
      <c r="E5" s="196">
        <v>0.87</v>
      </c>
      <c r="F5" s="196" t="s">
        <v>581</v>
      </c>
      <c r="G5" s="196">
        <v>263.95999999999998</v>
      </c>
      <c r="H5" s="196"/>
      <c r="I5" s="196">
        <v>0</v>
      </c>
      <c r="J5" s="196">
        <v>0</v>
      </c>
      <c r="K5" s="196"/>
      <c r="L5" s="196">
        <v>1021.29</v>
      </c>
      <c r="M5" s="196" t="s">
        <v>580</v>
      </c>
      <c r="N5" s="196">
        <v>32.65</v>
      </c>
      <c r="O5" s="196">
        <v>1510221600</v>
      </c>
      <c r="P5" s="196">
        <v>0</v>
      </c>
      <c r="Q5" s="196">
        <v>2.99</v>
      </c>
      <c r="R5" s="196">
        <v>2</v>
      </c>
      <c r="S5" s="196">
        <v>1.79</v>
      </c>
      <c r="T5" s="196">
        <v>0.52</v>
      </c>
    </row>
    <row r="6" spans="1:20" x14ac:dyDescent="0.25">
      <c r="A6" s="196">
        <v>31.52</v>
      </c>
      <c r="B6" s="196">
        <v>0.09</v>
      </c>
      <c r="C6" s="196">
        <v>28.46</v>
      </c>
      <c r="D6" s="8">
        <v>43048.208333333336</v>
      </c>
      <c r="E6" s="196">
        <v>0.88</v>
      </c>
      <c r="F6" s="196" t="s">
        <v>581</v>
      </c>
      <c r="G6" s="196">
        <v>263.45999999999998</v>
      </c>
      <c r="H6" s="196"/>
      <c r="I6" s="196">
        <v>0</v>
      </c>
      <c r="J6" s="196">
        <v>0</v>
      </c>
      <c r="K6" s="196"/>
      <c r="L6" s="196">
        <v>1022.6</v>
      </c>
      <c r="M6" s="196" t="s">
        <v>580</v>
      </c>
      <c r="N6" s="196">
        <v>31.52</v>
      </c>
      <c r="O6" s="196">
        <v>1510225200</v>
      </c>
      <c r="P6" s="196">
        <v>0</v>
      </c>
      <c r="Q6" s="196">
        <v>3.23</v>
      </c>
      <c r="R6" s="196">
        <v>28</v>
      </c>
      <c r="S6" s="196">
        <v>2.37</v>
      </c>
      <c r="T6" s="196">
        <v>0.56000000000000005</v>
      </c>
    </row>
    <row r="7" spans="1:20" x14ac:dyDescent="0.25">
      <c r="A7" s="196">
        <v>30.59</v>
      </c>
      <c r="B7" s="196">
        <v>0.3</v>
      </c>
      <c r="C7" s="196">
        <v>27.97</v>
      </c>
      <c r="D7" s="8">
        <v>43048.25</v>
      </c>
      <c r="E7" s="196">
        <v>0.9</v>
      </c>
      <c r="F7" s="196" t="s">
        <v>372</v>
      </c>
      <c r="G7" s="196">
        <v>262.95999999999998</v>
      </c>
      <c r="H7" s="196"/>
      <c r="I7" s="196">
        <v>0</v>
      </c>
      <c r="J7" s="196">
        <v>0</v>
      </c>
      <c r="K7" s="196"/>
      <c r="L7" s="196">
        <v>1025.08</v>
      </c>
      <c r="M7" s="196" t="s">
        <v>578</v>
      </c>
      <c r="N7" s="196">
        <v>30.59</v>
      </c>
      <c r="O7" s="196">
        <v>1510228800</v>
      </c>
      <c r="P7" s="196">
        <v>0</v>
      </c>
      <c r="Q7" s="196">
        <v>3.56</v>
      </c>
      <c r="R7" s="196">
        <v>52</v>
      </c>
      <c r="S7" s="196">
        <v>3.1</v>
      </c>
      <c r="T7" s="196">
        <v>0.85</v>
      </c>
    </row>
    <row r="8" spans="1:20" x14ac:dyDescent="0.25">
      <c r="A8" s="196">
        <v>30.35</v>
      </c>
      <c r="B8" s="196">
        <v>0.65</v>
      </c>
      <c r="C8" s="196">
        <v>27.41</v>
      </c>
      <c r="D8" s="8">
        <v>43048.291666666664</v>
      </c>
      <c r="E8" s="196">
        <v>0.89</v>
      </c>
      <c r="F8" s="196" t="s">
        <v>372</v>
      </c>
      <c r="G8" s="196">
        <v>263.08</v>
      </c>
      <c r="H8" s="196"/>
      <c r="I8" s="196">
        <v>0</v>
      </c>
      <c r="J8" s="196">
        <v>0</v>
      </c>
      <c r="K8" s="196"/>
      <c r="L8" s="196">
        <v>1025.25</v>
      </c>
      <c r="M8" s="196" t="s">
        <v>455</v>
      </c>
      <c r="N8" s="196">
        <v>30.35</v>
      </c>
      <c r="O8" s="196">
        <v>1510232400</v>
      </c>
      <c r="P8" s="196">
        <v>0</v>
      </c>
      <c r="Q8" s="196">
        <v>3.46</v>
      </c>
      <c r="R8" s="196">
        <v>14</v>
      </c>
      <c r="S8" s="196">
        <v>2.62</v>
      </c>
      <c r="T8" s="196">
        <v>0.57999999999999996</v>
      </c>
    </row>
    <row r="9" spans="1:20" x14ac:dyDescent="0.25">
      <c r="A9" s="196">
        <v>29.79</v>
      </c>
      <c r="B9" s="196">
        <v>0.64</v>
      </c>
      <c r="C9" s="196">
        <v>26.47</v>
      </c>
      <c r="D9" s="8">
        <v>43048.333333333336</v>
      </c>
      <c r="E9" s="196">
        <v>0.87</v>
      </c>
      <c r="F9" s="196" t="s">
        <v>456</v>
      </c>
      <c r="G9" s="196">
        <v>263.45999999999998</v>
      </c>
      <c r="H9" s="196"/>
      <c r="I9" s="196">
        <v>0</v>
      </c>
      <c r="J9" s="196">
        <v>0</v>
      </c>
      <c r="K9" s="196"/>
      <c r="L9" s="196">
        <v>1024.76</v>
      </c>
      <c r="M9" s="196" t="s">
        <v>455</v>
      </c>
      <c r="N9" s="196">
        <v>29.79</v>
      </c>
      <c r="O9" s="196">
        <v>1510236000</v>
      </c>
      <c r="P9" s="196">
        <v>0</v>
      </c>
      <c r="Q9" s="196">
        <v>3.54</v>
      </c>
      <c r="R9" s="196">
        <v>346</v>
      </c>
      <c r="S9" s="196">
        <v>2.87</v>
      </c>
      <c r="T9" s="196">
        <v>0.84</v>
      </c>
    </row>
    <row r="10" spans="1:20" x14ac:dyDescent="0.25">
      <c r="A10" s="196">
        <v>29.97</v>
      </c>
      <c r="B10" s="196">
        <v>0.56000000000000005</v>
      </c>
      <c r="C10" s="196">
        <v>26.53</v>
      </c>
      <c r="D10" s="8">
        <v>43048.375</v>
      </c>
      <c r="E10" s="196">
        <v>0.87</v>
      </c>
      <c r="F10" s="196" t="s">
        <v>456</v>
      </c>
      <c r="G10" s="196">
        <v>263.83999999999997</v>
      </c>
      <c r="H10" s="196"/>
      <c r="I10" s="196">
        <v>0</v>
      </c>
      <c r="J10" s="196">
        <v>0</v>
      </c>
      <c r="K10" s="196"/>
      <c r="L10" s="196">
        <v>1024.69</v>
      </c>
      <c r="M10" s="196" t="s">
        <v>578</v>
      </c>
      <c r="N10" s="196">
        <v>29.97</v>
      </c>
      <c r="O10" s="196">
        <v>1510239600</v>
      </c>
      <c r="P10" s="196">
        <v>1</v>
      </c>
      <c r="Q10" s="196">
        <v>3.27</v>
      </c>
      <c r="R10" s="196">
        <v>359</v>
      </c>
      <c r="S10" s="196">
        <v>2.82</v>
      </c>
      <c r="T10" s="196">
        <v>0.85</v>
      </c>
    </row>
    <row r="11" spans="1:20" x14ac:dyDescent="0.25">
      <c r="A11" s="196">
        <v>31.22</v>
      </c>
      <c r="B11" s="196">
        <v>0.52</v>
      </c>
      <c r="C11" s="196">
        <v>27.32</v>
      </c>
      <c r="D11" s="8">
        <v>43048.416666666664</v>
      </c>
      <c r="E11" s="196">
        <v>0.85</v>
      </c>
      <c r="F11" s="196" t="s">
        <v>456</v>
      </c>
      <c r="G11" s="196">
        <v>264.22000000000003</v>
      </c>
      <c r="H11" s="196"/>
      <c r="I11" s="196">
        <v>0</v>
      </c>
      <c r="J11" s="196">
        <v>0</v>
      </c>
      <c r="K11" s="196"/>
      <c r="L11" s="196">
        <v>1023.42</v>
      </c>
      <c r="M11" s="196" t="s">
        <v>578</v>
      </c>
      <c r="N11" s="196">
        <v>31.22</v>
      </c>
      <c r="O11" s="196">
        <v>1510243200</v>
      </c>
      <c r="P11" s="196">
        <v>1</v>
      </c>
      <c r="Q11" s="196">
        <v>3.19</v>
      </c>
      <c r="R11" s="196">
        <v>39</v>
      </c>
      <c r="S11" s="196">
        <v>2.85</v>
      </c>
      <c r="T11" s="196">
        <v>0.59</v>
      </c>
    </row>
    <row r="12" spans="1:20" x14ac:dyDescent="0.25">
      <c r="A12" s="196">
        <v>32.86</v>
      </c>
      <c r="B12" s="196">
        <v>0.65</v>
      </c>
      <c r="C12" s="196">
        <v>28.09</v>
      </c>
      <c r="D12" s="8">
        <v>43048.458333333336</v>
      </c>
      <c r="E12" s="196">
        <v>0.82</v>
      </c>
      <c r="F12" s="196" t="s">
        <v>456</v>
      </c>
      <c r="G12" s="196">
        <v>264.47000000000003</v>
      </c>
      <c r="H12" s="196">
        <v>2E-3</v>
      </c>
      <c r="I12" s="196">
        <v>2.9999999999999997E-4</v>
      </c>
      <c r="J12" s="196">
        <v>0.04</v>
      </c>
      <c r="K12" s="196" t="s">
        <v>484</v>
      </c>
      <c r="L12" s="196">
        <v>1022.6</v>
      </c>
      <c r="M12" s="196" t="s">
        <v>455</v>
      </c>
      <c r="N12" s="196">
        <v>32.86</v>
      </c>
      <c r="O12" s="196">
        <v>1510246800</v>
      </c>
      <c r="P12" s="196">
        <v>2</v>
      </c>
      <c r="Q12" s="196">
        <v>3.42</v>
      </c>
      <c r="R12" s="196">
        <v>8</v>
      </c>
      <c r="S12" s="196">
        <v>7.37</v>
      </c>
      <c r="T12" s="196">
        <v>2.82</v>
      </c>
    </row>
    <row r="13" spans="1:20" x14ac:dyDescent="0.25">
      <c r="A13" s="196">
        <v>31.33</v>
      </c>
      <c r="B13" s="196">
        <v>0.76</v>
      </c>
      <c r="C13" s="196">
        <v>27.93</v>
      </c>
      <c r="D13" s="8">
        <v>43048.5</v>
      </c>
      <c r="E13" s="196">
        <v>0.79</v>
      </c>
      <c r="F13" s="196" t="s">
        <v>456</v>
      </c>
      <c r="G13" s="196">
        <v>262.82</v>
      </c>
      <c r="H13" s="196">
        <v>1E-3</v>
      </c>
      <c r="I13" s="196">
        <v>1E-4</v>
      </c>
      <c r="J13" s="196">
        <v>0.03</v>
      </c>
      <c r="K13" s="196" t="s">
        <v>484</v>
      </c>
      <c r="L13" s="196">
        <v>1022.49</v>
      </c>
      <c r="M13" s="196" t="s">
        <v>455</v>
      </c>
      <c r="N13" s="196">
        <v>33.840000000000003</v>
      </c>
      <c r="O13" s="196">
        <v>1510250400</v>
      </c>
      <c r="P13" s="196">
        <v>2</v>
      </c>
      <c r="Q13" s="196">
        <v>3.17</v>
      </c>
      <c r="R13" s="196">
        <v>12</v>
      </c>
      <c r="S13" s="196">
        <v>7.63</v>
      </c>
      <c r="T13" s="196">
        <v>3.05</v>
      </c>
    </row>
    <row r="14" spans="1:20" x14ac:dyDescent="0.25">
      <c r="A14" s="196">
        <v>36.630000000000003</v>
      </c>
      <c r="B14" s="196">
        <v>0.5</v>
      </c>
      <c r="C14" s="196">
        <v>28.83</v>
      </c>
      <c r="D14" s="8">
        <v>43048.541666666664</v>
      </c>
      <c r="E14" s="196">
        <v>0.73</v>
      </c>
      <c r="F14" s="196" t="s">
        <v>456</v>
      </c>
      <c r="G14" s="196">
        <v>262.94</v>
      </c>
      <c r="H14" s="196"/>
      <c r="I14" s="196">
        <v>1E-4</v>
      </c>
      <c r="J14" s="196">
        <v>0.01</v>
      </c>
      <c r="K14" s="196" t="s">
        <v>469</v>
      </c>
      <c r="L14" s="196">
        <v>1020.45</v>
      </c>
      <c r="M14" s="196" t="s">
        <v>578</v>
      </c>
      <c r="N14" s="196">
        <v>36.630000000000003</v>
      </c>
      <c r="O14" s="196">
        <v>1510254000</v>
      </c>
      <c r="P14" s="196">
        <v>2</v>
      </c>
      <c r="Q14" s="196">
        <v>3.27</v>
      </c>
      <c r="R14" s="196">
        <v>1</v>
      </c>
      <c r="S14" s="196">
        <v>5.29</v>
      </c>
      <c r="T14" s="196">
        <v>1.59</v>
      </c>
    </row>
    <row r="15" spans="1:20" x14ac:dyDescent="0.25">
      <c r="A15" s="196">
        <v>40.15</v>
      </c>
      <c r="B15" s="196">
        <v>0.25</v>
      </c>
      <c r="C15" s="196">
        <v>29.51</v>
      </c>
      <c r="D15" s="8">
        <v>43048.583333333336</v>
      </c>
      <c r="E15" s="196">
        <v>0.65</v>
      </c>
      <c r="F15" s="196" t="s">
        <v>456</v>
      </c>
      <c r="G15" s="196">
        <v>263.07</v>
      </c>
      <c r="H15" s="196"/>
      <c r="I15" s="196">
        <v>1E-4</v>
      </c>
      <c r="J15" s="196">
        <v>0.01</v>
      </c>
      <c r="K15" s="196" t="s">
        <v>469</v>
      </c>
      <c r="L15" s="196">
        <v>1018.52</v>
      </c>
      <c r="M15" s="196" t="s">
        <v>578</v>
      </c>
      <c r="N15" s="196">
        <v>40.15</v>
      </c>
      <c r="O15" s="196">
        <v>1510257600</v>
      </c>
      <c r="P15" s="196">
        <v>2</v>
      </c>
      <c r="Q15" s="196">
        <v>3.54</v>
      </c>
      <c r="R15" s="196">
        <v>40</v>
      </c>
      <c r="S15" s="196">
        <v>5.27</v>
      </c>
      <c r="T15" s="196">
        <v>0.51</v>
      </c>
    </row>
    <row r="16" spans="1:20" x14ac:dyDescent="0.25">
      <c r="A16" s="196">
        <v>42.48</v>
      </c>
      <c r="B16" s="196">
        <v>0.26</v>
      </c>
      <c r="C16" s="196">
        <v>29.81</v>
      </c>
      <c r="D16" s="8">
        <v>43048.625</v>
      </c>
      <c r="E16" s="196">
        <v>0.61</v>
      </c>
      <c r="F16" s="196" t="s">
        <v>456</v>
      </c>
      <c r="G16" s="196">
        <v>263.06</v>
      </c>
      <c r="H16" s="196"/>
      <c r="I16" s="196">
        <v>1E-4</v>
      </c>
      <c r="J16" s="196">
        <v>0.01</v>
      </c>
      <c r="K16" s="196" t="s">
        <v>469</v>
      </c>
      <c r="L16" s="196">
        <v>1018.2</v>
      </c>
      <c r="M16" s="196" t="s">
        <v>578</v>
      </c>
      <c r="N16" s="196">
        <v>42.48</v>
      </c>
      <c r="O16" s="196">
        <v>1510261200</v>
      </c>
      <c r="P16" s="196">
        <v>2</v>
      </c>
      <c r="Q16" s="196">
        <v>3.64</v>
      </c>
      <c r="R16" s="196">
        <v>354</v>
      </c>
      <c r="S16" s="196">
        <v>7.33</v>
      </c>
      <c r="T16" s="196">
        <v>1.97</v>
      </c>
    </row>
    <row r="17" spans="1:20" x14ac:dyDescent="0.25">
      <c r="A17" s="196">
        <v>40.81</v>
      </c>
      <c r="B17" s="196">
        <v>0.14000000000000001</v>
      </c>
      <c r="C17" s="196">
        <v>29.64</v>
      </c>
      <c r="D17" s="8">
        <v>43048.666666666664</v>
      </c>
      <c r="E17" s="196">
        <v>0.6</v>
      </c>
      <c r="F17" s="196" t="s">
        <v>579</v>
      </c>
      <c r="G17" s="196">
        <v>262.55</v>
      </c>
      <c r="H17" s="196"/>
      <c r="I17" s="196">
        <v>1E-4</v>
      </c>
      <c r="J17" s="196">
        <v>0.01</v>
      </c>
      <c r="K17" s="196" t="s">
        <v>469</v>
      </c>
      <c r="L17" s="196">
        <v>1018.36</v>
      </c>
      <c r="M17" s="196" t="s">
        <v>580</v>
      </c>
      <c r="N17" s="196">
        <v>42.53</v>
      </c>
      <c r="O17" s="196">
        <v>1510264800</v>
      </c>
      <c r="P17" s="196">
        <v>1</v>
      </c>
      <c r="Q17" s="196">
        <v>3.64</v>
      </c>
      <c r="R17" s="196">
        <v>347</v>
      </c>
      <c r="S17" s="196">
        <v>8.3000000000000007</v>
      </c>
      <c r="T17" s="196">
        <v>3.4</v>
      </c>
    </row>
    <row r="18" spans="1:20" x14ac:dyDescent="0.25">
      <c r="A18" s="196">
        <v>39.6</v>
      </c>
      <c r="B18" s="196">
        <v>0.17</v>
      </c>
      <c r="C18" s="196">
        <v>29.6</v>
      </c>
      <c r="D18" s="8">
        <v>43048.708333333336</v>
      </c>
      <c r="E18" s="196">
        <v>0.62</v>
      </c>
      <c r="F18" s="196" t="s">
        <v>579</v>
      </c>
      <c r="G18" s="196">
        <v>261.91000000000003</v>
      </c>
      <c r="H18" s="196"/>
      <c r="I18" s="196">
        <v>0</v>
      </c>
      <c r="J18" s="196">
        <v>0</v>
      </c>
      <c r="K18" s="196"/>
      <c r="L18" s="196">
        <v>1019.14</v>
      </c>
      <c r="M18" s="196" t="s">
        <v>580</v>
      </c>
      <c r="N18" s="196">
        <v>41.5</v>
      </c>
      <c r="O18" s="196">
        <v>1510268400</v>
      </c>
      <c r="P18" s="196">
        <v>1</v>
      </c>
      <c r="Q18" s="196">
        <v>3.64</v>
      </c>
      <c r="R18" s="196">
        <v>348</v>
      </c>
      <c r="S18" s="196">
        <v>7.17</v>
      </c>
      <c r="T18" s="196">
        <v>3.42</v>
      </c>
    </row>
    <row r="19" spans="1:20" x14ac:dyDescent="0.25">
      <c r="A19" s="196">
        <v>38.32</v>
      </c>
      <c r="B19" s="196">
        <v>0.16</v>
      </c>
      <c r="C19" s="196">
        <v>29.13</v>
      </c>
      <c r="D19" s="8">
        <v>43048.75</v>
      </c>
      <c r="E19" s="196">
        <v>0.69</v>
      </c>
      <c r="F19" s="196" t="s">
        <v>581</v>
      </c>
      <c r="G19" s="196">
        <v>261.52</v>
      </c>
      <c r="H19" s="196"/>
      <c r="I19" s="196">
        <v>0</v>
      </c>
      <c r="J19" s="196">
        <v>0</v>
      </c>
      <c r="K19" s="196"/>
      <c r="L19" s="196">
        <v>1019.99</v>
      </c>
      <c r="M19" s="196" t="s">
        <v>580</v>
      </c>
      <c r="N19" s="196">
        <v>38.32</v>
      </c>
      <c r="O19" s="196">
        <v>1510272000</v>
      </c>
      <c r="P19" s="196">
        <v>0</v>
      </c>
      <c r="Q19" s="196">
        <v>3.39</v>
      </c>
      <c r="R19" s="196">
        <v>351</v>
      </c>
      <c r="S19" s="196">
        <v>3.85</v>
      </c>
      <c r="T19" s="196">
        <v>1.7</v>
      </c>
    </row>
    <row r="20" spans="1:20" x14ac:dyDescent="0.25">
      <c r="A20" s="196">
        <v>35.130000000000003</v>
      </c>
      <c r="B20" s="196">
        <v>0.16</v>
      </c>
      <c r="C20" s="196">
        <v>28.6</v>
      </c>
      <c r="D20" s="8">
        <v>43048.791666666664</v>
      </c>
      <c r="E20" s="196">
        <v>0.77</v>
      </c>
      <c r="F20" s="196" t="s">
        <v>581</v>
      </c>
      <c r="G20" s="196">
        <v>260.76</v>
      </c>
      <c r="H20" s="196"/>
      <c r="I20" s="196">
        <v>0</v>
      </c>
      <c r="J20" s="196">
        <v>0</v>
      </c>
      <c r="K20" s="196"/>
      <c r="L20" s="196">
        <v>1020.77</v>
      </c>
      <c r="M20" s="196" t="s">
        <v>580</v>
      </c>
      <c r="N20" s="196">
        <v>35.130000000000003</v>
      </c>
      <c r="O20" s="196">
        <v>1510275600</v>
      </c>
      <c r="P20" s="196">
        <v>0</v>
      </c>
      <c r="Q20" s="196">
        <v>3.64</v>
      </c>
      <c r="R20" s="196">
        <v>349</v>
      </c>
      <c r="S20" s="196">
        <v>3.7</v>
      </c>
      <c r="T20" s="196">
        <v>1.43</v>
      </c>
    </row>
    <row r="21" spans="1:20" x14ac:dyDescent="0.25">
      <c r="A21" s="196">
        <v>33.340000000000003</v>
      </c>
      <c r="B21" s="196">
        <v>0.15</v>
      </c>
      <c r="C21" s="196">
        <v>27.87</v>
      </c>
      <c r="D21" s="8">
        <v>43048.833333333336</v>
      </c>
      <c r="E21" s="196">
        <v>0.8</v>
      </c>
      <c r="F21" s="196" t="s">
        <v>581</v>
      </c>
      <c r="G21" s="196">
        <v>259.73</v>
      </c>
      <c r="H21" s="196"/>
      <c r="I21" s="196">
        <v>0</v>
      </c>
      <c r="J21" s="196">
        <v>0</v>
      </c>
      <c r="K21" s="196"/>
      <c r="L21" s="196">
        <v>1021.07</v>
      </c>
      <c r="M21" s="196" t="s">
        <v>580</v>
      </c>
      <c r="N21" s="196">
        <v>33.340000000000003</v>
      </c>
      <c r="O21" s="196">
        <v>1510279200</v>
      </c>
      <c r="P21" s="196">
        <v>0</v>
      </c>
      <c r="Q21" s="196">
        <v>3.25</v>
      </c>
      <c r="R21" s="196">
        <v>29</v>
      </c>
      <c r="S21" s="196">
        <v>1.76</v>
      </c>
      <c r="T21" s="196">
        <v>0.71</v>
      </c>
    </row>
    <row r="22" spans="1:20" x14ac:dyDescent="0.25">
      <c r="A22" s="196">
        <v>31.72</v>
      </c>
      <c r="B22" s="196">
        <v>0.18</v>
      </c>
      <c r="C22" s="196">
        <v>27.26</v>
      </c>
      <c r="D22" s="8">
        <v>43048.875</v>
      </c>
      <c r="E22" s="196">
        <v>0.83</v>
      </c>
      <c r="F22" s="196" t="s">
        <v>581</v>
      </c>
      <c r="G22" s="196">
        <v>258.70999999999998</v>
      </c>
      <c r="H22" s="196"/>
      <c r="I22" s="196">
        <v>0</v>
      </c>
      <c r="J22" s="196">
        <v>0</v>
      </c>
      <c r="K22" s="196"/>
      <c r="L22" s="196">
        <v>1021.2</v>
      </c>
      <c r="M22" s="196" t="s">
        <v>580</v>
      </c>
      <c r="N22" s="196">
        <v>31.72</v>
      </c>
      <c r="O22" s="196">
        <v>1510282800</v>
      </c>
      <c r="P22" s="196">
        <v>0</v>
      </c>
      <c r="Q22" s="196">
        <v>3.11</v>
      </c>
      <c r="R22" s="196">
        <v>169</v>
      </c>
      <c r="S22" s="196">
        <v>1.78</v>
      </c>
      <c r="T22" s="196">
        <v>0.46</v>
      </c>
    </row>
    <row r="23" spans="1:20" x14ac:dyDescent="0.25">
      <c r="A23" s="196">
        <v>30.23</v>
      </c>
      <c r="B23" s="196">
        <v>0.15</v>
      </c>
      <c r="C23" s="196">
        <v>26.64</v>
      </c>
      <c r="D23" s="8">
        <v>43048.916666666664</v>
      </c>
      <c r="E23" s="196">
        <v>0.86</v>
      </c>
      <c r="F23" s="196" t="s">
        <v>581</v>
      </c>
      <c r="G23" s="196">
        <v>257.42</v>
      </c>
      <c r="H23" s="196"/>
      <c r="I23" s="196">
        <v>0</v>
      </c>
      <c r="J23" s="196">
        <v>0</v>
      </c>
      <c r="K23" s="196"/>
      <c r="L23" s="196">
        <v>1020.46</v>
      </c>
      <c r="M23" s="196" t="s">
        <v>580</v>
      </c>
      <c r="N23" s="196">
        <v>30.23</v>
      </c>
      <c r="O23" s="196">
        <v>1510286400</v>
      </c>
      <c r="P23" s="196">
        <v>0</v>
      </c>
      <c r="Q23" s="196">
        <v>4.7</v>
      </c>
      <c r="R23" s="196">
        <v>188</v>
      </c>
      <c r="S23" s="196">
        <v>1.71</v>
      </c>
      <c r="T23" s="196">
        <v>0.49</v>
      </c>
    </row>
    <row r="24" spans="1:20" x14ac:dyDescent="0.25">
      <c r="A24" s="196">
        <v>29.61</v>
      </c>
      <c r="B24" s="196">
        <v>0.1</v>
      </c>
      <c r="C24" s="196">
        <v>26.28</v>
      </c>
      <c r="D24" s="8">
        <v>43048.958333333336</v>
      </c>
      <c r="E24" s="196">
        <v>0.87</v>
      </c>
      <c r="F24" s="196" t="s">
        <v>581</v>
      </c>
      <c r="G24" s="196">
        <v>256</v>
      </c>
      <c r="H24" s="196"/>
      <c r="I24" s="196">
        <v>0</v>
      </c>
      <c r="J24" s="196">
        <v>0</v>
      </c>
      <c r="K24" s="196"/>
      <c r="L24" s="196">
        <v>1020.1</v>
      </c>
      <c r="M24" s="196" t="s">
        <v>580</v>
      </c>
      <c r="N24" s="196">
        <v>29.61</v>
      </c>
      <c r="O24" s="196">
        <v>1510290000</v>
      </c>
      <c r="P24" s="196">
        <v>0</v>
      </c>
      <c r="Q24" s="196">
        <v>2.95</v>
      </c>
      <c r="R24" s="196">
        <v>175</v>
      </c>
      <c r="S24" s="196">
        <v>1.89</v>
      </c>
      <c r="T24" s="196">
        <v>0.54</v>
      </c>
    </row>
    <row r="25" spans="1:20" x14ac:dyDescent="0.25">
      <c r="A25" s="196">
        <v>28.97</v>
      </c>
      <c r="B25" s="196">
        <v>0.04</v>
      </c>
      <c r="C25" s="196">
        <v>25.87</v>
      </c>
      <c r="D25" s="8">
        <v>43049</v>
      </c>
      <c r="E25" s="196">
        <v>0.88</v>
      </c>
      <c r="F25" s="196" t="s">
        <v>581</v>
      </c>
      <c r="G25" s="196">
        <v>254.7</v>
      </c>
      <c r="H25" s="196"/>
      <c r="I25" s="196">
        <v>0</v>
      </c>
      <c r="J25" s="196">
        <v>0</v>
      </c>
      <c r="K25" s="196"/>
      <c r="L25" s="196">
        <v>1019.39</v>
      </c>
      <c r="M25" s="196" t="s">
        <v>580</v>
      </c>
      <c r="N25" s="196">
        <v>28.97</v>
      </c>
      <c r="O25" s="196">
        <v>1510293600</v>
      </c>
      <c r="P25" s="196">
        <v>0</v>
      </c>
      <c r="Q25" s="196">
        <v>2.78</v>
      </c>
      <c r="R25" s="196">
        <v>155</v>
      </c>
      <c r="S25" s="196">
        <v>1.87</v>
      </c>
      <c r="T25" s="196">
        <v>0.48</v>
      </c>
    </row>
    <row r="26" spans="1:20" x14ac:dyDescent="0.25">
      <c r="A26" s="196">
        <v>28.46</v>
      </c>
      <c r="B26" s="196">
        <v>0.04</v>
      </c>
      <c r="C26" s="196">
        <v>25.39</v>
      </c>
      <c r="D26" s="8">
        <v>43049.041666666664</v>
      </c>
      <c r="E26" s="196">
        <v>0.88</v>
      </c>
      <c r="F26" s="196" t="s">
        <v>581</v>
      </c>
      <c r="G26" s="196">
        <v>253.52</v>
      </c>
      <c r="H26" s="196"/>
      <c r="I26" s="196">
        <v>0</v>
      </c>
      <c r="J26" s="196">
        <v>0</v>
      </c>
      <c r="K26" s="196"/>
      <c r="L26" s="196">
        <v>1018.44</v>
      </c>
      <c r="M26" s="196" t="s">
        <v>580</v>
      </c>
      <c r="N26" s="196">
        <v>28.46</v>
      </c>
      <c r="O26" s="196">
        <v>1510297200</v>
      </c>
      <c r="P26" s="196">
        <v>0</v>
      </c>
      <c r="Q26" s="196">
        <v>2.88</v>
      </c>
      <c r="R26" s="196">
        <v>263</v>
      </c>
      <c r="S26" s="196">
        <v>1.98</v>
      </c>
      <c r="T26" s="196">
        <v>0.42</v>
      </c>
    </row>
    <row r="27" spans="1:20" x14ac:dyDescent="0.25">
      <c r="A27" s="196">
        <v>27.62</v>
      </c>
      <c r="B27" s="196">
        <v>0.04</v>
      </c>
      <c r="C27" s="196">
        <v>24.79</v>
      </c>
      <c r="D27" s="8">
        <v>43049.083333333336</v>
      </c>
      <c r="E27" s="196">
        <v>0.89</v>
      </c>
      <c r="F27" s="196" t="s">
        <v>581</v>
      </c>
      <c r="G27" s="196">
        <v>252.34</v>
      </c>
      <c r="H27" s="196"/>
      <c r="I27" s="196">
        <v>0</v>
      </c>
      <c r="J27" s="196">
        <v>0</v>
      </c>
      <c r="K27" s="196"/>
      <c r="L27" s="196">
        <v>1017.53</v>
      </c>
      <c r="M27" s="196" t="s">
        <v>580</v>
      </c>
      <c r="N27" s="196">
        <v>27.62</v>
      </c>
      <c r="O27" s="196">
        <v>1510300800</v>
      </c>
      <c r="P27" s="196">
        <v>0</v>
      </c>
      <c r="Q27" s="196">
        <v>2.4900000000000002</v>
      </c>
      <c r="R27" s="196">
        <v>252</v>
      </c>
      <c r="S27" s="196">
        <v>1.67</v>
      </c>
      <c r="T27" s="196">
        <v>0.16</v>
      </c>
    </row>
    <row r="28" spans="1:20" x14ac:dyDescent="0.25">
      <c r="A28" s="196">
        <v>27.35</v>
      </c>
      <c r="B28" s="196">
        <v>0.04</v>
      </c>
      <c r="C28" s="196">
        <v>24.34</v>
      </c>
      <c r="D28" s="8">
        <v>43049.125</v>
      </c>
      <c r="E28" s="196">
        <v>0.88</v>
      </c>
      <c r="F28" s="196" t="s">
        <v>581</v>
      </c>
      <c r="G28" s="196">
        <v>251.41</v>
      </c>
      <c r="H28" s="196"/>
      <c r="I28" s="196">
        <v>0</v>
      </c>
      <c r="J28" s="196">
        <v>0</v>
      </c>
      <c r="K28" s="196"/>
      <c r="L28" s="196">
        <v>1017.39</v>
      </c>
      <c r="M28" s="196" t="s">
        <v>580</v>
      </c>
      <c r="N28" s="196">
        <v>27.35</v>
      </c>
      <c r="O28" s="196">
        <v>1510304400</v>
      </c>
      <c r="P28" s="196">
        <v>0</v>
      </c>
      <c r="Q28" s="196">
        <v>2.35</v>
      </c>
      <c r="R28" s="196">
        <v>231</v>
      </c>
      <c r="S28" s="196">
        <v>1.54</v>
      </c>
      <c r="T28" s="196">
        <v>0.22</v>
      </c>
    </row>
    <row r="29" spans="1:20" x14ac:dyDescent="0.25">
      <c r="A29" s="196">
        <v>26.47</v>
      </c>
      <c r="B29" s="196">
        <v>0.19</v>
      </c>
      <c r="C29" s="196">
        <v>22.97</v>
      </c>
      <c r="D29" s="8">
        <v>43049.166666666664</v>
      </c>
      <c r="E29" s="196">
        <v>0.86</v>
      </c>
      <c r="F29" s="196" t="s">
        <v>581</v>
      </c>
      <c r="G29" s="196">
        <v>250.49</v>
      </c>
      <c r="H29" s="196"/>
      <c r="I29" s="196">
        <v>0</v>
      </c>
      <c r="J29" s="196">
        <v>0</v>
      </c>
      <c r="K29" s="196"/>
      <c r="L29" s="196">
        <v>1017.79</v>
      </c>
      <c r="M29" s="196" t="s">
        <v>580</v>
      </c>
      <c r="N29" s="196">
        <v>26.47</v>
      </c>
      <c r="O29" s="196">
        <v>1510308000</v>
      </c>
      <c r="P29" s="196">
        <v>0</v>
      </c>
      <c r="Q29" s="196">
        <v>4.32</v>
      </c>
      <c r="R29" s="196">
        <v>168</v>
      </c>
      <c r="S29" s="196">
        <v>1.63</v>
      </c>
      <c r="T29" s="196">
        <v>0.67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1" t="s">
        <v>179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4" sqref="A4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.75" thickBot="1" x14ac:dyDescent="0.3">
      <c r="A2" s="12">
        <v>43048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1087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1088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1089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25">
      <c r="C21" t="s">
        <v>1090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1091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1092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25">
      <c r="C24" t="s">
        <v>1093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1094</v>
      </c>
      <c r="J25" s="140" t="s">
        <v>144</v>
      </c>
      <c r="M25" s="154" t="b">
        <v>1</v>
      </c>
    </row>
    <row r="26" spans="3:24" x14ac:dyDescent="0.25">
      <c r="C26" t="s">
        <v>1095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%USERPROFILE%\Documents\GitHub\eaglep3-reporting\EC\2017-11-09-refined-times.txt</v>
      </c>
    </row>
    <row r="27" spans="3:24" x14ac:dyDescent="0.25">
      <c r="C27" t="s">
        <v>1096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%USERPROFILE%\Documents\GitHub\eaglep3-reporting\EC\2017-11-09-Enforcements.txt</v>
      </c>
    </row>
    <row r="28" spans="3:24" x14ac:dyDescent="0.25">
      <c r="C28" t="s">
        <v>1097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%USERPROFILE%\Documents\GitHub\eaglep3-reporting\EC\2017-11-09-Runs-refined.txt</v>
      </c>
    </row>
    <row r="29" spans="3:24" x14ac:dyDescent="0.25">
      <c r="C29" t="s">
        <v>1098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%USERPROFILE%\Documents\GitHub\eaglep3-reporting\EC\2017-11-09-Trips.txt</v>
      </c>
    </row>
    <row r="30" spans="3:24" x14ac:dyDescent="0.25">
      <c r="C30" t="s">
        <v>1099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%USERPROFILE%\Documents\GitHub\eaglep3-reporting\EC\2017-11-09-Weather.txt</v>
      </c>
    </row>
    <row r="31" spans="3:24" x14ac:dyDescent="0.25">
      <c r="J31" s="140" t="s">
        <v>188</v>
      </c>
      <c r="M31" s="154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2017-11-13T16:34:08Z</dcterms:modified>
</cp:coreProperties>
</file>