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Enforcements!$A$6:$AC$70</definedName>
    <definedName name="_xlnm._FilterDatabase" localSheetId="2" hidden="1">'Missing Trips'!$B$2:$I$2</definedName>
    <definedName name="_xlnm._FilterDatabase" localSheetId="0" hidden="1">'Train Runs'!$A$12:$AG$246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1" i="1" l="1"/>
  <c r="P78" i="1"/>
  <c r="X71" i="1"/>
  <c r="X72" i="1"/>
  <c r="X73" i="1"/>
  <c r="X74" i="1"/>
  <c r="P71" i="1"/>
  <c r="X65" i="1"/>
  <c r="X66" i="1"/>
  <c r="X67" i="1"/>
  <c r="X68" i="1"/>
  <c r="M30" i="3"/>
  <c r="N30" i="3"/>
  <c r="U30" i="3"/>
  <c r="T30" i="3" s="1"/>
  <c r="V30" i="3"/>
  <c r="W30" i="3"/>
  <c r="X30" i="3"/>
  <c r="M43" i="3"/>
  <c r="N43" i="3"/>
  <c r="U43" i="3"/>
  <c r="T43" i="3" s="1"/>
  <c r="V43" i="3"/>
  <c r="W43" i="3"/>
  <c r="X43" i="3"/>
  <c r="M50" i="3"/>
  <c r="N50" i="3"/>
  <c r="T50" i="3"/>
  <c r="U50" i="3"/>
  <c r="V50" i="3"/>
  <c r="W50" i="3"/>
  <c r="X50" i="3"/>
  <c r="M18" i="3"/>
  <c r="N18" i="3"/>
  <c r="U18" i="3"/>
  <c r="T18" i="3" s="1"/>
  <c r="V18" i="3"/>
  <c r="W18" i="3"/>
  <c r="X18" i="3"/>
  <c r="M44" i="3"/>
  <c r="N44" i="3"/>
  <c r="U44" i="3"/>
  <c r="T44" i="3" s="1"/>
  <c r="V44" i="3"/>
  <c r="W44" i="3"/>
  <c r="X44" i="3"/>
  <c r="M45" i="3"/>
  <c r="N45" i="3"/>
  <c r="U45" i="3"/>
  <c r="T45" i="3" s="1"/>
  <c r="V45" i="3"/>
  <c r="W45" i="3"/>
  <c r="X45" i="3"/>
  <c r="M46" i="3"/>
  <c r="N46" i="3"/>
  <c r="U46" i="3"/>
  <c r="T46" i="3" s="1"/>
  <c r="V46" i="3"/>
  <c r="W46" i="3"/>
  <c r="X46" i="3"/>
  <c r="M26" i="3"/>
  <c r="N26" i="3"/>
  <c r="U26" i="3"/>
  <c r="T26" i="3" s="1"/>
  <c r="V26" i="3"/>
  <c r="W26" i="3"/>
  <c r="X26" i="3"/>
  <c r="M25" i="3"/>
  <c r="N25" i="3"/>
  <c r="U25" i="3"/>
  <c r="T25" i="3" s="1"/>
  <c r="V25" i="3"/>
  <c r="W25" i="3"/>
  <c r="X25" i="3"/>
  <c r="M37" i="3"/>
  <c r="N37" i="3"/>
  <c r="U37" i="3"/>
  <c r="T37" i="3" s="1"/>
  <c r="V37" i="3"/>
  <c r="W37" i="3"/>
  <c r="X37" i="3"/>
  <c r="M51" i="3"/>
  <c r="N51" i="3"/>
  <c r="U51" i="3"/>
  <c r="T51" i="3" s="1"/>
  <c r="V51" i="3"/>
  <c r="W51" i="3"/>
  <c r="X51" i="3"/>
  <c r="M47" i="3"/>
  <c r="N47" i="3"/>
  <c r="U47" i="3"/>
  <c r="T47" i="3" s="1"/>
  <c r="V47" i="3"/>
  <c r="W47" i="3"/>
  <c r="X47" i="3"/>
  <c r="M38" i="3"/>
  <c r="N38" i="3"/>
  <c r="U38" i="3"/>
  <c r="T38" i="3" s="1"/>
  <c r="V38" i="3"/>
  <c r="W38" i="3"/>
  <c r="X38" i="3"/>
  <c r="M14" i="3"/>
  <c r="N14" i="3"/>
  <c r="U14" i="3"/>
  <c r="T14" i="3" s="1"/>
  <c r="V14" i="3"/>
  <c r="W14" i="3"/>
  <c r="X14" i="3"/>
  <c r="M28" i="3"/>
  <c r="N28" i="3"/>
  <c r="U28" i="3"/>
  <c r="T28" i="3" s="1"/>
  <c r="V28" i="3"/>
  <c r="W28" i="3"/>
  <c r="X28" i="3"/>
  <c r="M36" i="3"/>
  <c r="N36" i="3"/>
  <c r="U36" i="3"/>
  <c r="T36" i="3" s="1"/>
  <c r="V36" i="3"/>
  <c r="W36" i="3"/>
  <c r="X36" i="3"/>
  <c r="M52" i="3"/>
  <c r="N52" i="3"/>
  <c r="T52" i="3"/>
  <c r="U52" i="3"/>
  <c r="V52" i="3"/>
  <c r="W52" i="3"/>
  <c r="X52" i="3"/>
  <c r="M48" i="3"/>
  <c r="N48" i="3"/>
  <c r="U48" i="3"/>
  <c r="T48" i="3" s="1"/>
  <c r="V48" i="3"/>
  <c r="W48" i="3"/>
  <c r="X48" i="3"/>
  <c r="M9" i="3"/>
  <c r="N9" i="3"/>
  <c r="U9" i="3"/>
  <c r="T9" i="3" s="1"/>
  <c r="V9" i="3"/>
  <c r="W9" i="3"/>
  <c r="X9" i="3"/>
  <c r="M10" i="3"/>
  <c r="N10" i="3"/>
  <c r="U10" i="3"/>
  <c r="T10" i="3" s="1"/>
  <c r="V10" i="3"/>
  <c r="W10" i="3"/>
  <c r="X10" i="3"/>
  <c r="M19" i="3"/>
  <c r="N19" i="3"/>
  <c r="U19" i="3"/>
  <c r="T19" i="3" s="1"/>
  <c r="V19" i="3"/>
  <c r="W19" i="3"/>
  <c r="X19" i="3"/>
  <c r="M17" i="3"/>
  <c r="N17" i="3"/>
  <c r="U17" i="3"/>
  <c r="T17" i="3" s="1"/>
  <c r="V17" i="3"/>
  <c r="W17" i="3"/>
  <c r="X17" i="3"/>
  <c r="M27" i="3"/>
  <c r="N27" i="3"/>
  <c r="U27" i="3"/>
  <c r="T27" i="3" s="1"/>
  <c r="V27" i="3"/>
  <c r="W27" i="3"/>
  <c r="X27" i="3"/>
  <c r="M22" i="3"/>
  <c r="N22" i="3"/>
  <c r="U22" i="3"/>
  <c r="T22" i="3" s="1"/>
  <c r="V22" i="3"/>
  <c r="W22" i="3"/>
  <c r="X22" i="3"/>
  <c r="M42" i="3"/>
  <c r="N42" i="3"/>
  <c r="U42" i="3"/>
  <c r="T42" i="3" s="1"/>
  <c r="V42" i="3"/>
  <c r="W42" i="3"/>
  <c r="X42" i="3"/>
  <c r="M31" i="3"/>
  <c r="N31" i="3"/>
  <c r="U31" i="3"/>
  <c r="T31" i="3" s="1"/>
  <c r="V31" i="3"/>
  <c r="W31" i="3"/>
  <c r="X31" i="3"/>
  <c r="M8" i="3"/>
  <c r="N8" i="3"/>
  <c r="U8" i="3"/>
  <c r="T8" i="3" s="1"/>
  <c r="V8" i="3"/>
  <c r="W8" i="3"/>
  <c r="X8" i="3"/>
  <c r="M11" i="3"/>
  <c r="N11" i="3"/>
  <c r="U11" i="3"/>
  <c r="T11" i="3" s="1"/>
  <c r="V11" i="3"/>
  <c r="W11" i="3"/>
  <c r="X11" i="3"/>
  <c r="M32" i="3"/>
  <c r="N32" i="3"/>
  <c r="U32" i="3"/>
  <c r="T32" i="3" s="1"/>
  <c r="V32" i="3"/>
  <c r="W32" i="3"/>
  <c r="X32" i="3"/>
  <c r="M29" i="3"/>
  <c r="N29" i="3"/>
  <c r="U29" i="3"/>
  <c r="T29" i="3" s="1"/>
  <c r="V29" i="3"/>
  <c r="W29" i="3"/>
  <c r="X29" i="3"/>
  <c r="M21" i="3"/>
  <c r="N21" i="3"/>
  <c r="U21" i="3"/>
  <c r="T21" i="3" s="1"/>
  <c r="V21" i="3"/>
  <c r="W21" i="3"/>
  <c r="X21" i="3"/>
  <c r="M24" i="3"/>
  <c r="N24" i="3"/>
  <c r="U24" i="3"/>
  <c r="T24" i="3" s="1"/>
  <c r="V24" i="3"/>
  <c r="W24" i="3"/>
  <c r="X24" i="3"/>
  <c r="M15" i="3"/>
  <c r="N15" i="3"/>
  <c r="U15" i="3"/>
  <c r="T15" i="3" s="1"/>
  <c r="V15" i="3"/>
  <c r="W15" i="3"/>
  <c r="X15" i="3"/>
  <c r="M33" i="3"/>
  <c r="N33" i="3"/>
  <c r="U33" i="3"/>
  <c r="T33" i="3" s="1"/>
  <c r="V33" i="3"/>
  <c r="W33" i="3"/>
  <c r="X33" i="3"/>
  <c r="M41" i="3"/>
  <c r="N41" i="3"/>
  <c r="U41" i="3"/>
  <c r="T41" i="3" s="1"/>
  <c r="V41" i="3"/>
  <c r="W41" i="3"/>
  <c r="X41" i="3"/>
  <c r="M53" i="3"/>
  <c r="N53" i="3"/>
  <c r="U53" i="3"/>
  <c r="T53" i="3" s="1"/>
  <c r="V53" i="3"/>
  <c r="W53" i="3"/>
  <c r="X53" i="3"/>
  <c r="M7" i="3"/>
  <c r="N7" i="3"/>
  <c r="U7" i="3"/>
  <c r="T7" i="3" s="1"/>
  <c r="V7" i="3"/>
  <c r="W7" i="3"/>
  <c r="X7" i="3"/>
  <c r="M49" i="3"/>
  <c r="N49" i="3"/>
  <c r="U49" i="3"/>
  <c r="T49" i="3" s="1"/>
  <c r="V49" i="3"/>
  <c r="W49" i="3"/>
  <c r="X49" i="3"/>
  <c r="M39" i="3"/>
  <c r="N39" i="3"/>
  <c r="U39" i="3"/>
  <c r="T39" i="3" s="1"/>
  <c r="V39" i="3"/>
  <c r="W39" i="3"/>
  <c r="X39" i="3"/>
  <c r="M16" i="3"/>
  <c r="N16" i="3"/>
  <c r="U16" i="3"/>
  <c r="T16" i="3" s="1"/>
  <c r="V16" i="3"/>
  <c r="W16" i="3"/>
  <c r="X16" i="3"/>
  <c r="M20" i="3"/>
  <c r="N20" i="3"/>
  <c r="U20" i="3"/>
  <c r="T20" i="3" s="1"/>
  <c r="V20" i="3"/>
  <c r="W20" i="3"/>
  <c r="X20" i="3"/>
  <c r="M40" i="3"/>
  <c r="N40" i="3"/>
  <c r="U40" i="3"/>
  <c r="T40" i="3" s="1"/>
  <c r="V40" i="3"/>
  <c r="W40" i="3"/>
  <c r="X40" i="3"/>
  <c r="M23" i="3"/>
  <c r="N23" i="3"/>
  <c r="U23" i="3"/>
  <c r="T23" i="3" s="1"/>
  <c r="V23" i="3"/>
  <c r="W23" i="3"/>
  <c r="X23" i="3"/>
  <c r="M34" i="3"/>
  <c r="N34" i="3"/>
  <c r="U34" i="3"/>
  <c r="T34" i="3" s="1"/>
  <c r="V34" i="3"/>
  <c r="W34" i="3"/>
  <c r="X34" i="3"/>
  <c r="M12" i="3"/>
  <c r="N12" i="3"/>
  <c r="U12" i="3"/>
  <c r="T12" i="3" s="1"/>
  <c r="V12" i="3"/>
  <c r="W12" i="3"/>
  <c r="X12" i="3"/>
  <c r="M35" i="3"/>
  <c r="N35" i="3"/>
  <c r="U35" i="3"/>
  <c r="T35" i="3" s="1"/>
  <c r="V35" i="3"/>
  <c r="W35" i="3"/>
  <c r="X35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S30" i="3" s="1"/>
  <c r="Y16" i="1"/>
  <c r="Z16" i="1"/>
  <c r="AB16" i="1"/>
  <c r="AC16" i="1"/>
  <c r="AD16" i="1"/>
  <c r="T16" i="1" s="1"/>
  <c r="AE16" i="1"/>
  <c r="R30" i="3" s="1"/>
  <c r="AF16" i="1"/>
  <c r="K17" i="1"/>
  <c r="L17" i="1"/>
  <c r="M17" i="1"/>
  <c r="N17" i="1" s="1"/>
  <c r="T17" i="1"/>
  <c r="V17" i="1"/>
  <c r="Y17" i="1"/>
  <c r="Z17" i="1"/>
  <c r="AB17" i="1"/>
  <c r="AC17" i="1"/>
  <c r="AD17" i="1"/>
  <c r="AG17" i="1" s="1"/>
  <c r="AI17" i="1" s="1"/>
  <c r="AE17" i="1"/>
  <c r="AF17" i="1"/>
  <c r="K18" i="1"/>
  <c r="L18" i="1"/>
  <c r="M18" i="1"/>
  <c r="N18" i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K20" i="1"/>
  <c r="L20" i="1"/>
  <c r="M20" i="1"/>
  <c r="N20" i="1" s="1"/>
  <c r="V20" i="1"/>
  <c r="S18" i="3" s="1"/>
  <c r="Y20" i="1"/>
  <c r="Z20" i="1"/>
  <c r="AB20" i="1"/>
  <c r="AC20" i="1"/>
  <c r="AD20" i="1"/>
  <c r="X20" i="1" s="1"/>
  <c r="AE20" i="1"/>
  <c r="R18" i="3" s="1"/>
  <c r="AF20" i="1"/>
  <c r="K21" i="1"/>
  <c r="L21" i="1"/>
  <c r="M21" i="1"/>
  <c r="N21" i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AF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K32" i="1"/>
  <c r="L32" i="1"/>
  <c r="M32" i="1"/>
  <c r="N32" i="1" s="1"/>
  <c r="V32" i="1"/>
  <c r="Y32" i="1"/>
  <c r="AA32" i="1" s="1"/>
  <c r="Z32" i="1"/>
  <c r="AB32" i="1"/>
  <c r="AC32" i="1"/>
  <c r="AD32" i="1"/>
  <c r="T32" i="1" s="1"/>
  <c r="AE32" i="1"/>
  <c r="AF32" i="1"/>
  <c r="K33" i="1"/>
  <c r="L33" i="1"/>
  <c r="M33" i="1"/>
  <c r="N33" i="1" s="1"/>
  <c r="V33" i="1"/>
  <c r="S26" i="3" s="1"/>
  <c r="Y33" i="1"/>
  <c r="Z33" i="1"/>
  <c r="AB33" i="1"/>
  <c r="AC33" i="1"/>
  <c r="AD33" i="1"/>
  <c r="T33" i="1" s="1"/>
  <c r="AE33" i="1"/>
  <c r="R26" i="3" s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A36" i="1" s="1"/>
  <c r="AB36" i="1"/>
  <c r="AC36" i="1"/>
  <c r="AD36" i="1"/>
  <c r="AE36" i="1"/>
  <c r="AF36" i="1"/>
  <c r="K37" i="1"/>
  <c r="L37" i="1"/>
  <c r="M37" i="1"/>
  <c r="N37" i="1" s="1"/>
  <c r="V37" i="1"/>
  <c r="S25" i="3" s="1"/>
  <c r="Y37" i="1"/>
  <c r="Z37" i="1"/>
  <c r="AA37" i="1" s="1"/>
  <c r="AB37" i="1"/>
  <c r="AC37" i="1"/>
  <c r="AD37" i="1"/>
  <c r="T37" i="1" s="1"/>
  <c r="AE37" i="1"/>
  <c r="R25" i="3" s="1"/>
  <c r="AF37" i="1"/>
  <c r="K38" i="1"/>
  <c r="L38" i="1"/>
  <c r="M38" i="1"/>
  <c r="N38" i="1" s="1"/>
  <c r="V38" i="1"/>
  <c r="S28" i="3" s="1"/>
  <c r="Y38" i="1"/>
  <c r="Z38" i="1"/>
  <c r="AB38" i="1"/>
  <c r="AC38" i="1"/>
  <c r="AD38" i="1"/>
  <c r="T38" i="1" s="1"/>
  <c r="AE38" i="1"/>
  <c r="R28" i="3" s="1"/>
  <c r="AF38" i="1"/>
  <c r="K39" i="1"/>
  <c r="L39" i="1"/>
  <c r="M39" i="1"/>
  <c r="N39" i="1" s="1"/>
  <c r="T39" i="1"/>
  <c r="V39" i="1"/>
  <c r="Y39" i="1"/>
  <c r="Z39" i="1"/>
  <c r="AB39" i="1"/>
  <c r="AC39" i="1"/>
  <c r="AD39" i="1"/>
  <c r="AE39" i="1"/>
  <c r="AF39" i="1"/>
  <c r="AG39" i="1"/>
  <c r="K40" i="1"/>
  <c r="L40" i="1"/>
  <c r="M40" i="1"/>
  <c r="N40" i="1" s="1"/>
  <c r="V40" i="1"/>
  <c r="S9" i="3" s="1"/>
  <c r="Y40" i="1"/>
  <c r="Z40" i="1"/>
  <c r="AB40" i="1"/>
  <c r="AC40" i="1"/>
  <c r="AD40" i="1"/>
  <c r="T40" i="1" s="1"/>
  <c r="AE40" i="1"/>
  <c r="R9" i="3" s="1"/>
  <c r="AF40" i="1"/>
  <c r="K41" i="1"/>
  <c r="L41" i="1"/>
  <c r="M41" i="1"/>
  <c r="N41" i="1" s="1"/>
  <c r="V41" i="1"/>
  <c r="S14" i="3" s="1"/>
  <c r="Y41" i="1"/>
  <c r="Z41" i="1"/>
  <c r="AB41" i="1"/>
  <c r="AC41" i="1"/>
  <c r="AD41" i="1"/>
  <c r="T41" i="1" s="1"/>
  <c r="AE41" i="1"/>
  <c r="R14" i="3" s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K45" i="1"/>
  <c r="L45" i="1"/>
  <c r="M45" i="1"/>
  <c r="N45" i="1"/>
  <c r="V45" i="1"/>
  <c r="Y45" i="1"/>
  <c r="Z45" i="1"/>
  <c r="AB45" i="1"/>
  <c r="AC45" i="1"/>
  <c r="AD45" i="1"/>
  <c r="T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T47" i="1"/>
  <c r="V47" i="1"/>
  <c r="Y47" i="1"/>
  <c r="Z47" i="1"/>
  <c r="AA47" i="1" s="1"/>
  <c r="AB47" i="1"/>
  <c r="AC47" i="1"/>
  <c r="AD47" i="1"/>
  <c r="X47" i="1" s="1"/>
  <c r="AE47" i="1"/>
  <c r="AF47" i="1"/>
  <c r="K48" i="1"/>
  <c r="L48" i="1"/>
  <c r="M48" i="1"/>
  <c r="N48" i="1" s="1"/>
  <c r="V48" i="1"/>
  <c r="S31" i="3" s="1"/>
  <c r="Y48" i="1"/>
  <c r="Z48" i="1"/>
  <c r="AB48" i="1"/>
  <c r="AC48" i="1"/>
  <c r="AD48" i="1"/>
  <c r="AG48" i="1" s="1"/>
  <c r="AE48" i="1"/>
  <c r="R31" i="3" s="1"/>
  <c r="AF48" i="1"/>
  <c r="K49" i="1"/>
  <c r="L49" i="1"/>
  <c r="M49" i="1"/>
  <c r="N49" i="1"/>
  <c r="V49" i="1"/>
  <c r="Y49" i="1"/>
  <c r="Z49" i="1"/>
  <c r="AA49" i="1"/>
  <c r="AB49" i="1"/>
  <c r="AC49" i="1"/>
  <c r="AD49" i="1"/>
  <c r="AE49" i="1"/>
  <c r="AF49" i="1"/>
  <c r="K50" i="1"/>
  <c r="L50" i="1"/>
  <c r="M50" i="1"/>
  <c r="N50" i="1" s="1"/>
  <c r="V50" i="1"/>
  <c r="S22" i="3" s="1"/>
  <c r="Y50" i="1"/>
  <c r="Z50" i="1"/>
  <c r="AB50" i="1"/>
  <c r="AC50" i="1"/>
  <c r="AD50" i="1"/>
  <c r="AG50" i="1" s="1"/>
  <c r="AE50" i="1"/>
  <c r="R22" i="3" s="1"/>
  <c r="AF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P53" i="1" s="1"/>
  <c r="V53" i="1"/>
  <c r="S27" i="3" s="1"/>
  <c r="Y53" i="1"/>
  <c r="Z53" i="1"/>
  <c r="AB53" i="1"/>
  <c r="AC53" i="1"/>
  <c r="AD53" i="1"/>
  <c r="T53" i="1" s="1"/>
  <c r="AE53" i="1"/>
  <c r="R27" i="3" s="1"/>
  <c r="AF53" i="1"/>
  <c r="AG53" i="1"/>
  <c r="K54" i="1"/>
  <c r="L54" i="1"/>
  <c r="M54" i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S11" i="3" s="1"/>
  <c r="X55" i="1"/>
  <c r="Y55" i="1"/>
  <c r="Z55" i="1"/>
  <c r="AI55" i="1" s="1"/>
  <c r="AB55" i="1"/>
  <c r="AC55" i="1"/>
  <c r="AD55" i="1"/>
  <c r="AG55" i="1" s="1"/>
  <c r="AE55" i="1"/>
  <c r="R11" i="3" s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S21" i="3" s="1"/>
  <c r="Y57" i="1"/>
  <c r="Z57" i="1"/>
  <c r="AB57" i="1"/>
  <c r="AC57" i="1"/>
  <c r="AD57" i="1"/>
  <c r="T57" i="1" s="1"/>
  <c r="AE57" i="1"/>
  <c r="R21" i="3" s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I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S29" i="3" s="1"/>
  <c r="Y61" i="1"/>
  <c r="Z61" i="1"/>
  <c r="AB61" i="1"/>
  <c r="AC61" i="1"/>
  <c r="AD61" i="1"/>
  <c r="T61" i="1" s="1"/>
  <c r="AE61" i="1"/>
  <c r="R29" i="3" s="1"/>
  <c r="AF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K63" i="1"/>
  <c r="L63" i="1"/>
  <c r="M63" i="1"/>
  <c r="N63" i="1"/>
  <c r="V63" i="1"/>
  <c r="Y63" i="1"/>
  <c r="AA63" i="1" s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I69" i="1" s="1"/>
  <c r="AB69" i="1"/>
  <c r="AC69" i="1"/>
  <c r="AD69" i="1"/>
  <c r="AG69" i="1" s="1"/>
  <c r="AE69" i="1"/>
  <c r="AF69" i="1"/>
  <c r="K70" i="1"/>
  <c r="L70" i="1"/>
  <c r="M70" i="1"/>
  <c r="N70" i="1" s="1"/>
  <c r="V70" i="1"/>
  <c r="S24" i="3" s="1"/>
  <c r="Y70" i="1"/>
  <c r="Z70" i="1"/>
  <c r="AB70" i="1"/>
  <c r="AC70" i="1"/>
  <c r="AD70" i="1"/>
  <c r="AE70" i="1"/>
  <c r="R24" i="3" s="1"/>
  <c r="AF70" i="1"/>
  <c r="K71" i="1"/>
  <c r="L71" i="1"/>
  <c r="M71" i="1"/>
  <c r="V71" i="1"/>
  <c r="S33" i="3" s="1"/>
  <c r="Y71" i="1"/>
  <c r="Z71" i="1"/>
  <c r="AB71" i="1"/>
  <c r="AC71" i="1"/>
  <c r="AD71" i="1"/>
  <c r="T71" i="1" s="1"/>
  <c r="AE71" i="1"/>
  <c r="R15" i="3" s="1"/>
  <c r="AF71" i="1"/>
  <c r="K72" i="1"/>
  <c r="L72" i="1"/>
  <c r="M72" i="1"/>
  <c r="N72" i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A73" i="1" s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G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I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G77" i="1"/>
  <c r="K78" i="1"/>
  <c r="L78" i="1"/>
  <c r="M78" i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T82" i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Y83" i="1"/>
  <c r="Z83" i="1"/>
  <c r="AA83" i="1" s="1"/>
  <c r="W83" i="1" s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T86" i="1"/>
  <c r="V86" i="1"/>
  <c r="Y86" i="1"/>
  <c r="Z86" i="1"/>
  <c r="AB86" i="1"/>
  <c r="AC86" i="1"/>
  <c r="AD86" i="1"/>
  <c r="AG86" i="1" s="1"/>
  <c r="AE86" i="1"/>
  <c r="AF86" i="1"/>
  <c r="K87" i="1"/>
  <c r="L87" i="1"/>
  <c r="M87" i="1"/>
  <c r="N87" i="1"/>
  <c r="V87" i="1"/>
  <c r="Y87" i="1"/>
  <c r="Z87" i="1"/>
  <c r="AB87" i="1"/>
  <c r="AC87" i="1"/>
  <c r="AD87" i="1"/>
  <c r="T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V94" i="1"/>
  <c r="Y94" i="1"/>
  <c r="Z94" i="1"/>
  <c r="AA94" i="1" s="1"/>
  <c r="W94" i="1" s="1"/>
  <c r="AB94" i="1"/>
  <c r="AC94" i="1"/>
  <c r="AD94" i="1"/>
  <c r="T94" i="1" s="1"/>
  <c r="AE94" i="1"/>
  <c r="AF94" i="1"/>
  <c r="AG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K97" i="1"/>
  <c r="L97" i="1"/>
  <c r="M97" i="1"/>
  <c r="N97" i="1" s="1"/>
  <c r="T97" i="1"/>
  <c r="V97" i="1"/>
  <c r="Y97" i="1"/>
  <c r="Z97" i="1"/>
  <c r="AB97" i="1"/>
  <c r="AC97" i="1"/>
  <c r="AD97" i="1"/>
  <c r="AG97" i="1" s="1"/>
  <c r="AE97" i="1"/>
  <c r="AF97" i="1"/>
  <c r="K98" i="1"/>
  <c r="L98" i="1"/>
  <c r="M98" i="1"/>
  <c r="N98" i="1" s="1"/>
  <c r="V98" i="1"/>
  <c r="X98" i="1"/>
  <c r="Y98" i="1"/>
  <c r="Z98" i="1"/>
  <c r="AB98" i="1"/>
  <c r="AC98" i="1"/>
  <c r="AD98" i="1"/>
  <c r="T98" i="1" s="1"/>
  <c r="AE98" i="1"/>
  <c r="AF98" i="1"/>
  <c r="AG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S7" i="3" s="1"/>
  <c r="Y100" i="1"/>
  <c r="Z100" i="1"/>
  <c r="AB100" i="1"/>
  <c r="AC100" i="1"/>
  <c r="AD100" i="1"/>
  <c r="T100" i="1" s="1"/>
  <c r="AE100" i="1"/>
  <c r="R7" i="3" s="1"/>
  <c r="AF100" i="1"/>
  <c r="K101" i="1"/>
  <c r="L101" i="1"/>
  <c r="M101" i="1"/>
  <c r="N101" i="1" s="1"/>
  <c r="T101" i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K106" i="1"/>
  <c r="L106" i="1"/>
  <c r="M106" i="1"/>
  <c r="N106" i="1" s="1"/>
  <c r="V106" i="1"/>
  <c r="X106" i="1"/>
  <c r="Y106" i="1"/>
  <c r="Z106" i="1"/>
  <c r="AI106" i="1" s="1"/>
  <c r="AB106" i="1"/>
  <c r="AC106" i="1"/>
  <c r="AD106" i="1"/>
  <c r="AG106" i="1" s="1"/>
  <c r="AE106" i="1"/>
  <c r="AF106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T110" i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S16" i="3" s="1"/>
  <c r="Y111" i="1"/>
  <c r="Z111" i="1"/>
  <c r="AA111" i="1" s="1"/>
  <c r="AB111" i="1"/>
  <c r="AC111" i="1"/>
  <c r="AD111" i="1"/>
  <c r="T111" i="1" s="1"/>
  <c r="AE111" i="1"/>
  <c r="R16" i="3" s="1"/>
  <c r="AF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AF113" i="1"/>
  <c r="K114" i="1"/>
  <c r="L114" i="1"/>
  <c r="M114" i="1"/>
  <c r="P114" i="1" s="1"/>
  <c r="V114" i="1"/>
  <c r="Y114" i="1"/>
  <c r="Z114" i="1"/>
  <c r="AA114" i="1" s="1"/>
  <c r="AB114" i="1"/>
  <c r="AC114" i="1"/>
  <c r="AD114" i="1"/>
  <c r="AG114" i="1" s="1"/>
  <c r="AE114" i="1"/>
  <c r="AF114" i="1"/>
  <c r="K115" i="1"/>
  <c r="L115" i="1"/>
  <c r="M115" i="1"/>
  <c r="N115" i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X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X127" i="1"/>
  <c r="Y127" i="1"/>
  <c r="Z127" i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T134" i="1"/>
  <c r="V134" i="1"/>
  <c r="Y134" i="1"/>
  <c r="Z134" i="1"/>
  <c r="AA134" i="1" s="1"/>
  <c r="AB134" i="1"/>
  <c r="AC134" i="1"/>
  <c r="AD134" i="1"/>
  <c r="AE134" i="1"/>
  <c r="AF134" i="1"/>
  <c r="AG134" i="1"/>
  <c r="K135" i="1"/>
  <c r="L135" i="1"/>
  <c r="M135" i="1"/>
  <c r="N135" i="1" s="1"/>
  <c r="V135" i="1"/>
  <c r="Y135" i="1"/>
  <c r="Z135" i="1"/>
  <c r="AA135" i="1" s="1"/>
  <c r="AB135" i="1"/>
  <c r="AC135" i="1"/>
  <c r="AD135" i="1"/>
  <c r="X135" i="1" s="1"/>
  <c r="AE135" i="1"/>
  <c r="AF135" i="1"/>
  <c r="K136" i="1"/>
  <c r="L136" i="1"/>
  <c r="M136" i="1"/>
  <c r="N136" i="1" s="1"/>
  <c r="V136" i="1"/>
  <c r="Y136" i="1"/>
  <c r="AA136" i="1" s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G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AA140" i="1" s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S23" i="3" s="1"/>
  <c r="Y141" i="1"/>
  <c r="Z141" i="1"/>
  <c r="AB141" i="1"/>
  <c r="AC141" i="1"/>
  <c r="AD141" i="1"/>
  <c r="AE141" i="1"/>
  <c r="R23" i="3" s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S35" i="3" s="1"/>
  <c r="Y143" i="1"/>
  <c r="Z143" i="1"/>
  <c r="AB143" i="1"/>
  <c r="AC143" i="1"/>
  <c r="AD143" i="1"/>
  <c r="AE143" i="1"/>
  <c r="R35" i="3" s="1"/>
  <c r="AF143" i="1"/>
  <c r="AG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K146" i="1"/>
  <c r="L146" i="1"/>
  <c r="M146" i="1"/>
  <c r="N146" i="1" s="1"/>
  <c r="V146" i="1"/>
  <c r="S12" i="3" s="1"/>
  <c r="Y146" i="1"/>
  <c r="Z146" i="1"/>
  <c r="AB146" i="1"/>
  <c r="AC146" i="1"/>
  <c r="AD146" i="1"/>
  <c r="T146" i="1" s="1"/>
  <c r="AE146" i="1"/>
  <c r="R12" i="3" s="1"/>
  <c r="AF146" i="1"/>
  <c r="K147" i="1"/>
  <c r="L147" i="1"/>
  <c r="M147" i="1"/>
  <c r="N147" i="1" s="1"/>
  <c r="V147" i="1"/>
  <c r="X147" i="1"/>
  <c r="Y147" i="1"/>
  <c r="Z147" i="1"/>
  <c r="AA147" i="1" s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I153" i="1" s="1"/>
  <c r="AE153" i="1"/>
  <c r="AF153" i="1"/>
  <c r="K154" i="1"/>
  <c r="L154" i="1"/>
  <c r="M154" i="1"/>
  <c r="N154" i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G157" i="1"/>
  <c r="K204" i="1"/>
  <c r="L204" i="1"/>
  <c r="M204" i="1"/>
  <c r="N204" i="1" s="1"/>
  <c r="V204" i="1"/>
  <c r="Y204" i="1"/>
  <c r="Z204" i="1"/>
  <c r="AA204" i="1" s="1"/>
  <c r="W204" i="1" s="1"/>
  <c r="AB204" i="1"/>
  <c r="AC204" i="1"/>
  <c r="AD204" i="1"/>
  <c r="AG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G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/>
  <c r="V208" i="1"/>
  <c r="Y208" i="1"/>
  <c r="Z208" i="1"/>
  <c r="AB208" i="1"/>
  <c r="AC208" i="1"/>
  <c r="AD208" i="1"/>
  <c r="AG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158" i="1"/>
  <c r="L158" i="1"/>
  <c r="M158" i="1"/>
  <c r="N158" i="1" s="1"/>
  <c r="V158" i="1"/>
  <c r="S43" i="3" s="1"/>
  <c r="Y158" i="1"/>
  <c r="Z158" i="1"/>
  <c r="AB158" i="1"/>
  <c r="AC158" i="1"/>
  <c r="AD158" i="1"/>
  <c r="T158" i="1" s="1"/>
  <c r="AE158" i="1"/>
  <c r="R43" i="3" s="1"/>
  <c r="AF158" i="1"/>
  <c r="K159" i="1"/>
  <c r="L159" i="1"/>
  <c r="M159" i="1"/>
  <c r="N159" i="1" s="1"/>
  <c r="V159" i="1"/>
  <c r="S50" i="3" s="1"/>
  <c r="Y159" i="1"/>
  <c r="Z159" i="1"/>
  <c r="AA159" i="1" s="1"/>
  <c r="W159" i="1" s="1"/>
  <c r="AB159" i="1"/>
  <c r="AC159" i="1"/>
  <c r="AD159" i="1"/>
  <c r="AG159" i="1" s="1"/>
  <c r="AE159" i="1"/>
  <c r="R50" i="3" s="1"/>
  <c r="AF159" i="1"/>
  <c r="K160" i="1"/>
  <c r="L160" i="1"/>
  <c r="M160" i="1"/>
  <c r="N160" i="1" s="1"/>
  <c r="V160" i="1"/>
  <c r="S44" i="3" s="1"/>
  <c r="Y160" i="1"/>
  <c r="AA160" i="1" s="1"/>
  <c r="Z160" i="1"/>
  <c r="AB160" i="1"/>
  <c r="AC160" i="1"/>
  <c r="AD160" i="1"/>
  <c r="T160" i="1" s="1"/>
  <c r="AE160" i="1"/>
  <c r="R44" i="3" s="1"/>
  <c r="AF160" i="1"/>
  <c r="K161" i="1"/>
  <c r="L161" i="1"/>
  <c r="M161" i="1"/>
  <c r="N161" i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K163" i="1"/>
  <c r="L163" i="1"/>
  <c r="M163" i="1"/>
  <c r="N163" i="1" s="1"/>
  <c r="V163" i="1"/>
  <c r="S37" i="3" s="1"/>
  <c r="Y163" i="1"/>
  <c r="Z163" i="1"/>
  <c r="AB163" i="1"/>
  <c r="AC163" i="1"/>
  <c r="AD163" i="1"/>
  <c r="AG163" i="1" s="1"/>
  <c r="AE163" i="1"/>
  <c r="R37" i="3" s="1"/>
  <c r="AF163" i="1"/>
  <c r="K164" i="1"/>
  <c r="L164" i="1"/>
  <c r="M164" i="1"/>
  <c r="N164" i="1" s="1"/>
  <c r="V164" i="1"/>
  <c r="S47" i="3" s="1"/>
  <c r="Y164" i="1"/>
  <c r="Z164" i="1"/>
  <c r="AA164" i="1" s="1"/>
  <c r="AB164" i="1"/>
  <c r="AC164" i="1"/>
  <c r="AD164" i="1"/>
  <c r="T164" i="1" s="1"/>
  <c r="AE164" i="1"/>
  <c r="R47" i="3" s="1"/>
  <c r="AF164" i="1"/>
  <c r="AG164" i="1"/>
  <c r="K165" i="1"/>
  <c r="L165" i="1"/>
  <c r="M165" i="1"/>
  <c r="N165" i="1" s="1"/>
  <c r="V165" i="1"/>
  <c r="S38" i="3" s="1"/>
  <c r="Y165" i="1"/>
  <c r="Z165" i="1"/>
  <c r="AB165" i="1"/>
  <c r="AC165" i="1"/>
  <c r="AD165" i="1"/>
  <c r="T165" i="1" s="1"/>
  <c r="AE165" i="1"/>
  <c r="R38" i="3" s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S36" i="3" s="1"/>
  <c r="Y167" i="1"/>
  <c r="Z167" i="1"/>
  <c r="AB167" i="1"/>
  <c r="AC167" i="1"/>
  <c r="AD167" i="1"/>
  <c r="AG167" i="1" s="1"/>
  <c r="AE167" i="1"/>
  <c r="R36" i="3" s="1"/>
  <c r="AF167" i="1"/>
  <c r="K168" i="1"/>
  <c r="L168" i="1"/>
  <c r="M168" i="1"/>
  <c r="N168" i="1" s="1"/>
  <c r="V168" i="1"/>
  <c r="S48" i="3" s="1"/>
  <c r="Y168" i="1"/>
  <c r="AA168" i="1" s="1"/>
  <c r="Z168" i="1"/>
  <c r="AB168" i="1"/>
  <c r="AC168" i="1"/>
  <c r="AD168" i="1"/>
  <c r="T168" i="1" s="1"/>
  <c r="AE168" i="1"/>
  <c r="R48" i="3" s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V171" i="1"/>
  <c r="S42" i="3" s="1"/>
  <c r="Y171" i="1"/>
  <c r="Z171" i="1"/>
  <c r="AB171" i="1"/>
  <c r="AC171" i="1"/>
  <c r="AD171" i="1"/>
  <c r="AG171" i="1" s="1"/>
  <c r="AE171" i="1"/>
  <c r="R42" i="3" s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S41" i="3" s="1"/>
  <c r="Y178" i="1"/>
  <c r="Z178" i="1"/>
  <c r="AB178" i="1"/>
  <c r="AC178" i="1"/>
  <c r="AD178" i="1"/>
  <c r="T178" i="1" s="1"/>
  <c r="AE178" i="1"/>
  <c r="R41" i="3" s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S53" i="3" s="1"/>
  <c r="Y181" i="1"/>
  <c r="Z181" i="1"/>
  <c r="AB181" i="1"/>
  <c r="AC181" i="1"/>
  <c r="AD181" i="1"/>
  <c r="T181" i="1" s="1"/>
  <c r="AE181" i="1"/>
  <c r="R53" i="3" s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I183" i="1" s="1"/>
  <c r="AE183" i="1"/>
  <c r="AF183" i="1"/>
  <c r="K184" i="1"/>
  <c r="L184" i="1"/>
  <c r="M184" i="1"/>
  <c r="N184" i="1" s="1"/>
  <c r="T184" i="1"/>
  <c r="V184" i="1"/>
  <c r="Y184" i="1"/>
  <c r="Z184" i="1"/>
  <c r="AA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S49" i="3" s="1"/>
  <c r="Y186" i="1"/>
  <c r="AA186" i="1" s="1"/>
  <c r="Z186" i="1"/>
  <c r="AB186" i="1"/>
  <c r="AC186" i="1"/>
  <c r="AD186" i="1"/>
  <c r="T186" i="1" s="1"/>
  <c r="AE186" i="1"/>
  <c r="R49" i="3" s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/>
  <c r="V189" i="1"/>
  <c r="S39" i="3" s="1"/>
  <c r="Y189" i="1"/>
  <c r="Z189" i="1"/>
  <c r="AB189" i="1"/>
  <c r="AC189" i="1"/>
  <c r="AD189" i="1"/>
  <c r="T189" i="1" s="1"/>
  <c r="AE189" i="1"/>
  <c r="R39" i="3" s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G190" i="1"/>
  <c r="K191" i="1"/>
  <c r="L191" i="1"/>
  <c r="M191" i="1"/>
  <c r="N191" i="1" s="1"/>
  <c r="V191" i="1"/>
  <c r="S40" i="3" s="1"/>
  <c r="Y191" i="1"/>
  <c r="Z191" i="1"/>
  <c r="AB191" i="1"/>
  <c r="AC191" i="1"/>
  <c r="AD191" i="1"/>
  <c r="AG191" i="1" s="1"/>
  <c r="AE191" i="1"/>
  <c r="R40" i="3" s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/>
  <c r="V195" i="1"/>
  <c r="Y195" i="1"/>
  <c r="Z195" i="1"/>
  <c r="AA195" i="1" s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N199" i="1"/>
  <c r="T199" i="1"/>
  <c r="V199" i="1"/>
  <c r="Y199" i="1"/>
  <c r="Z199" i="1"/>
  <c r="AA199" i="1" s="1"/>
  <c r="W199" i="1" s="1"/>
  <c r="AB199" i="1"/>
  <c r="AC199" i="1"/>
  <c r="AD199" i="1"/>
  <c r="AG199" i="1" s="1"/>
  <c r="AE199" i="1"/>
  <c r="AF199" i="1"/>
  <c r="K200" i="1"/>
  <c r="L200" i="1"/>
  <c r="M200" i="1"/>
  <c r="N200" i="1" s="1"/>
  <c r="T200" i="1"/>
  <c r="V200" i="1"/>
  <c r="Y200" i="1"/>
  <c r="Z200" i="1"/>
  <c r="AB200" i="1"/>
  <c r="AC200" i="1"/>
  <c r="AD200" i="1"/>
  <c r="AG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AA202" i="1" s="1"/>
  <c r="Z202" i="1"/>
  <c r="AB202" i="1"/>
  <c r="AC202" i="1"/>
  <c r="AD202" i="1"/>
  <c r="T202" i="1" s="1"/>
  <c r="AE202" i="1"/>
  <c r="AF202" i="1"/>
  <c r="K203" i="1"/>
  <c r="L203" i="1"/>
  <c r="M203" i="1"/>
  <c r="N203" i="1"/>
  <c r="V203" i="1"/>
  <c r="Y203" i="1"/>
  <c r="Z203" i="1"/>
  <c r="AB203" i="1"/>
  <c r="AC203" i="1"/>
  <c r="AD203" i="1"/>
  <c r="AG203" i="1" s="1"/>
  <c r="AE203" i="1"/>
  <c r="AF203" i="1"/>
  <c r="K210" i="1"/>
  <c r="L210" i="1"/>
  <c r="M210" i="1"/>
  <c r="N210" i="1" s="1"/>
  <c r="T210" i="1"/>
  <c r="V210" i="1"/>
  <c r="Y210" i="1"/>
  <c r="Z210" i="1"/>
  <c r="AA210" i="1"/>
  <c r="AB210" i="1"/>
  <c r="AC210" i="1"/>
  <c r="AD210" i="1"/>
  <c r="AG210" i="1" s="1"/>
  <c r="AE210" i="1"/>
  <c r="AF210" i="1"/>
  <c r="T175" i="1" l="1"/>
  <c r="AA196" i="1"/>
  <c r="AA189" i="1"/>
  <c r="AA188" i="1"/>
  <c r="W188" i="1" s="1"/>
  <c r="AA180" i="1"/>
  <c r="AA178" i="1"/>
  <c r="AA175" i="1"/>
  <c r="W175" i="1" s="1"/>
  <c r="AA167" i="1"/>
  <c r="W167" i="1" s="1"/>
  <c r="AA205" i="1"/>
  <c r="W205" i="1" s="1"/>
  <c r="X156" i="1"/>
  <c r="AG146" i="1"/>
  <c r="U146" i="1" s="1"/>
  <c r="S146" i="1" s="1"/>
  <c r="AI119" i="1"/>
  <c r="AA112" i="1"/>
  <c r="AG108" i="1"/>
  <c r="AA102" i="1"/>
  <c r="AA88" i="1"/>
  <c r="AA79" i="1"/>
  <c r="W79" i="1" s="1"/>
  <c r="AA72" i="1"/>
  <c r="W72" i="1" s="1"/>
  <c r="AG57" i="1"/>
  <c r="U57" i="1" s="1"/>
  <c r="S57" i="1" s="1"/>
  <c r="AA31" i="1"/>
  <c r="AA26" i="1"/>
  <c r="AA25" i="1"/>
  <c r="X24" i="1"/>
  <c r="R33" i="3"/>
  <c r="S15" i="3"/>
  <c r="S32" i="3"/>
  <c r="S8" i="3"/>
  <c r="S17" i="3"/>
  <c r="S19" i="3"/>
  <c r="S10" i="3"/>
  <c r="R32" i="3"/>
  <c r="R8" i="3"/>
  <c r="R17" i="3"/>
  <c r="R19" i="3"/>
  <c r="R10" i="3"/>
  <c r="X62" i="1"/>
  <c r="U200" i="1"/>
  <c r="S200" i="1" s="1"/>
  <c r="T195" i="1"/>
  <c r="AG180" i="1"/>
  <c r="W180" i="1" s="1"/>
  <c r="AI171" i="1"/>
  <c r="AG168" i="1"/>
  <c r="W168" i="1" s="1"/>
  <c r="AA162" i="1"/>
  <c r="T159" i="1"/>
  <c r="U159" i="1" s="1"/>
  <c r="S159" i="1" s="1"/>
  <c r="AA156" i="1"/>
  <c r="W156" i="1" s="1"/>
  <c r="T156" i="1"/>
  <c r="X151" i="1"/>
  <c r="AA148" i="1"/>
  <c r="AA146" i="1"/>
  <c r="AG139" i="1"/>
  <c r="AI139" i="1" s="1"/>
  <c r="X139" i="1"/>
  <c r="AG130" i="1"/>
  <c r="U130" i="1" s="1"/>
  <c r="S130" i="1" s="1"/>
  <c r="AA127" i="1"/>
  <c r="T123" i="1"/>
  <c r="AA110" i="1"/>
  <c r="AA108" i="1"/>
  <c r="W108" i="1" s="1"/>
  <c r="AA106" i="1"/>
  <c r="W106" i="1" s="1"/>
  <c r="AA97" i="1"/>
  <c r="AA91" i="1"/>
  <c r="AA68" i="1"/>
  <c r="AA55" i="1"/>
  <c r="W55" i="1" s="1"/>
  <c r="AA48" i="1"/>
  <c r="W48" i="1" s="1"/>
  <c r="AG43" i="1"/>
  <c r="AG32" i="1"/>
  <c r="AI32" i="1" s="1"/>
  <c r="X32" i="1"/>
  <c r="AA23" i="1"/>
  <c r="AA17" i="1"/>
  <c r="S34" i="3"/>
  <c r="S20" i="3"/>
  <c r="S52" i="3"/>
  <c r="S51" i="3"/>
  <c r="S46" i="3"/>
  <c r="S45" i="3"/>
  <c r="T167" i="1"/>
  <c r="W164" i="1"/>
  <c r="U134" i="1"/>
  <c r="S134" i="1" s="1"/>
  <c r="AA128" i="1"/>
  <c r="AA118" i="1"/>
  <c r="AI114" i="1"/>
  <c r="T113" i="1"/>
  <c r="T62" i="1"/>
  <c r="U53" i="1"/>
  <c r="R34" i="3"/>
  <c r="R20" i="3"/>
  <c r="R52" i="3"/>
  <c r="R51" i="3"/>
  <c r="R46" i="3"/>
  <c r="R45" i="3"/>
  <c r="AA198" i="1"/>
  <c r="AA200" i="1"/>
  <c r="W200" i="1" s="1"/>
  <c r="AA182" i="1"/>
  <c r="AG176" i="1"/>
  <c r="U176" i="1" s="1"/>
  <c r="S176" i="1" s="1"/>
  <c r="AI203" i="1"/>
  <c r="AI199" i="1"/>
  <c r="AG196" i="1"/>
  <c r="AA193" i="1"/>
  <c r="AA192" i="1"/>
  <c r="AA191" i="1"/>
  <c r="W191" i="1" s="1"/>
  <c r="T191" i="1"/>
  <c r="T188" i="1"/>
  <c r="U188" i="1" s="1"/>
  <c r="S188" i="1" s="1"/>
  <c r="X187" i="1"/>
  <c r="AG182" i="1"/>
  <c r="AI179" i="1"/>
  <c r="AA173" i="1"/>
  <c r="AA172" i="1"/>
  <c r="W172" i="1" s="1"/>
  <c r="AA165" i="1"/>
  <c r="AA211" i="1"/>
  <c r="AA209" i="1"/>
  <c r="W209" i="1" s="1"/>
  <c r="T204" i="1"/>
  <c r="U204" i="1" s="1"/>
  <c r="S204" i="1" s="1"/>
  <c r="AG155" i="1"/>
  <c r="U155" i="1" s="1"/>
  <c r="S155" i="1" s="1"/>
  <c r="AA153" i="1"/>
  <c r="AG151" i="1"/>
  <c r="AG147" i="1"/>
  <c r="AI147" i="1" s="1"/>
  <c r="AA144" i="1"/>
  <c r="AG142" i="1"/>
  <c r="AA139" i="1"/>
  <c r="W139" i="1" s="1"/>
  <c r="AA133" i="1"/>
  <c r="AG131" i="1"/>
  <c r="AI131" i="1" s="1"/>
  <c r="AA126" i="1"/>
  <c r="AA121" i="1"/>
  <c r="AA120" i="1"/>
  <c r="T117" i="1"/>
  <c r="AA95" i="1"/>
  <c r="AG93" i="1"/>
  <c r="AI93" i="1" s="1"/>
  <c r="AG88" i="1"/>
  <c r="AI88" i="1" s="1"/>
  <c r="U86" i="1"/>
  <c r="AA85" i="1"/>
  <c r="T83" i="1"/>
  <c r="U83" i="1" s="1"/>
  <c r="S83" i="1" s="1"/>
  <c r="U82" i="1"/>
  <c r="AA81" i="1"/>
  <c r="T79" i="1"/>
  <c r="AA77" i="1"/>
  <c r="W77" i="1" s="1"/>
  <c r="AA76" i="1"/>
  <c r="W76" i="1" s="1"/>
  <c r="AA59" i="1"/>
  <c r="W59" i="1" s="1"/>
  <c r="AA44" i="1"/>
  <c r="X36" i="1"/>
  <c r="AA35" i="1"/>
  <c r="AA34" i="1"/>
  <c r="T31" i="1"/>
  <c r="T28" i="1"/>
  <c r="AA20" i="1"/>
  <c r="T20" i="1"/>
  <c r="W176" i="1"/>
  <c r="W196" i="1"/>
  <c r="X191" i="1"/>
  <c r="AG186" i="1"/>
  <c r="W184" i="1"/>
  <c r="X183" i="1"/>
  <c r="AG174" i="1"/>
  <c r="AA170" i="1"/>
  <c r="AI167" i="1"/>
  <c r="AG166" i="1"/>
  <c r="AI163" i="1"/>
  <c r="AG160" i="1"/>
  <c r="U160" i="1" s="1"/>
  <c r="S160" i="1" s="1"/>
  <c r="AG158" i="1"/>
  <c r="AI158" i="1" s="1"/>
  <c r="AA207" i="1"/>
  <c r="X143" i="1"/>
  <c r="AA143" i="1"/>
  <c r="W143" i="1" s="1"/>
  <c r="AA142" i="1"/>
  <c r="W142" i="1" s="1"/>
  <c r="AA131" i="1"/>
  <c r="W131" i="1" s="1"/>
  <c r="AA124" i="1"/>
  <c r="AA123" i="1"/>
  <c r="AG121" i="1"/>
  <c r="U121" i="1" s="1"/>
  <c r="S121" i="1" s="1"/>
  <c r="AA115" i="1"/>
  <c r="AA113" i="1"/>
  <c r="X105" i="1"/>
  <c r="AG102" i="1"/>
  <c r="W102" i="1" s="1"/>
  <c r="X102" i="1"/>
  <c r="AA101" i="1"/>
  <c r="AA98" i="1"/>
  <c r="W98" i="1" s="1"/>
  <c r="AA75" i="1"/>
  <c r="W75" i="1" s="1"/>
  <c r="AG71" i="1"/>
  <c r="U71" i="1" s="1"/>
  <c r="AA69" i="1"/>
  <c r="W69" i="1" s="1"/>
  <c r="AG67" i="1"/>
  <c r="AA58" i="1"/>
  <c r="AA54" i="1"/>
  <c r="X48" i="1"/>
  <c r="AG44" i="1"/>
  <c r="AI44" i="1" s="1"/>
  <c r="X44" i="1"/>
  <c r="AA40" i="1"/>
  <c r="AA33" i="1"/>
  <c r="AG20" i="1"/>
  <c r="U20" i="1" s="1"/>
  <c r="W17" i="1"/>
  <c r="U210" i="1"/>
  <c r="S210" i="1" s="1"/>
  <c r="AI187" i="1"/>
  <c r="X175" i="1"/>
  <c r="X167" i="1"/>
  <c r="X159" i="1"/>
  <c r="AA151" i="1"/>
  <c r="U138" i="1"/>
  <c r="S138" i="1" s="1"/>
  <c r="W134" i="1"/>
  <c r="T126" i="1"/>
  <c r="U126" i="1" s="1"/>
  <c r="S126" i="1" s="1"/>
  <c r="X114" i="1"/>
  <c r="AI98" i="1"/>
  <c r="AI72" i="1"/>
  <c r="X69" i="1"/>
  <c r="AA64" i="1"/>
  <c r="AG62" i="1"/>
  <c r="AI62" i="1" s="1"/>
  <c r="AA60" i="1"/>
  <c r="AG54" i="1"/>
  <c r="X54" i="1"/>
  <c r="AA53" i="1"/>
  <c r="W53" i="1" s="1"/>
  <c r="AG40" i="1"/>
  <c r="AI40" i="1" s="1"/>
  <c r="X40" i="1"/>
  <c r="AA39" i="1"/>
  <c r="T24" i="1"/>
  <c r="AA21" i="1"/>
  <c r="AI127" i="1"/>
  <c r="X203" i="1"/>
  <c r="AG202" i="1"/>
  <c r="W202" i="1" s="1"/>
  <c r="AI195" i="1"/>
  <c r="W182" i="1"/>
  <c r="AA179" i="1"/>
  <c r="T179" i="1"/>
  <c r="AA177" i="1"/>
  <c r="T172" i="1"/>
  <c r="U172" i="1" s="1"/>
  <c r="S172" i="1" s="1"/>
  <c r="X171" i="1"/>
  <c r="AG170" i="1"/>
  <c r="AA166" i="1"/>
  <c r="W166" i="1" s="1"/>
  <c r="U164" i="1"/>
  <c r="S164" i="1" s="1"/>
  <c r="AA163" i="1"/>
  <c r="W163" i="1" s="1"/>
  <c r="T163" i="1"/>
  <c r="AA161" i="1"/>
  <c r="T209" i="1"/>
  <c r="U209" i="1" s="1"/>
  <c r="S209" i="1" s="1"/>
  <c r="X208" i="1"/>
  <c r="AG207" i="1"/>
  <c r="AI207" i="1" s="1"/>
  <c r="AA157" i="1"/>
  <c r="W157" i="1" s="1"/>
  <c r="AA155" i="1"/>
  <c r="W155" i="1" s="1"/>
  <c r="AA154" i="1"/>
  <c r="AA152" i="1"/>
  <c r="T151" i="1"/>
  <c r="T143" i="1"/>
  <c r="U143" i="1" s="1"/>
  <c r="S143" i="1" s="1"/>
  <c r="AA141" i="1"/>
  <c r="T135" i="1"/>
  <c r="W127" i="1"/>
  <c r="W126" i="1"/>
  <c r="X119" i="1"/>
  <c r="AG118" i="1"/>
  <c r="W114" i="1"/>
  <c r="T112" i="1"/>
  <c r="AG112" i="1"/>
  <c r="U112" i="1" s="1"/>
  <c r="S112" i="1" s="1"/>
  <c r="AG109" i="1"/>
  <c r="X109" i="1"/>
  <c r="AI48" i="1"/>
  <c r="W210" i="1"/>
  <c r="U196" i="1"/>
  <c r="S196" i="1" s="1"/>
  <c r="X199" i="1"/>
  <c r="AG198" i="1"/>
  <c r="AI191" i="1"/>
  <c r="AI175" i="1"/>
  <c r="AI159" i="1"/>
  <c r="X204" i="1"/>
  <c r="W138" i="1"/>
  <c r="AG135" i="1"/>
  <c r="AI135" i="1" s="1"/>
  <c r="X131" i="1"/>
  <c r="T127" i="1"/>
  <c r="U127" i="1" s="1"/>
  <c r="S127" i="1" s="1"/>
  <c r="AG122" i="1"/>
  <c r="U122" i="1" s="1"/>
  <c r="X122" i="1"/>
  <c r="X110" i="1"/>
  <c r="U102" i="1"/>
  <c r="S102" i="1" s="1"/>
  <c r="X90" i="1"/>
  <c r="AA194" i="1"/>
  <c r="AG192" i="1"/>
  <c r="U192" i="1" s="1"/>
  <c r="S192" i="1" s="1"/>
  <c r="AA203" i="1"/>
  <c r="W203" i="1" s="1"/>
  <c r="T203" i="1"/>
  <c r="AA201" i="1"/>
  <c r="X195" i="1"/>
  <c r="AG194" i="1"/>
  <c r="AI194" i="1" s="1"/>
  <c r="AA190" i="1"/>
  <c r="W190" i="1" s="1"/>
  <c r="AA187" i="1"/>
  <c r="W187" i="1" s="1"/>
  <c r="T187" i="1"/>
  <c r="U187" i="1" s="1"/>
  <c r="S187" i="1" s="1"/>
  <c r="AA185" i="1"/>
  <c r="X179" i="1"/>
  <c r="AG178" i="1"/>
  <c r="W178" i="1" s="1"/>
  <c r="AA174" i="1"/>
  <c r="W174" i="1" s="1"/>
  <c r="AA171" i="1"/>
  <c r="T171" i="1"/>
  <c r="AA169" i="1"/>
  <c r="X163" i="1"/>
  <c r="AG162" i="1"/>
  <c r="W162" i="1" s="1"/>
  <c r="AA158" i="1"/>
  <c r="AA208" i="1"/>
  <c r="W208" i="1" s="1"/>
  <c r="T208" i="1"/>
  <c r="AA206" i="1"/>
  <c r="AG150" i="1"/>
  <c r="U150" i="1" s="1"/>
  <c r="S150" i="1" s="1"/>
  <c r="AA145" i="1"/>
  <c r="AA137" i="1"/>
  <c r="AG123" i="1"/>
  <c r="W123" i="1" s="1"/>
  <c r="AA119" i="1"/>
  <c r="W119" i="1" s="1"/>
  <c r="T118" i="1"/>
  <c r="AG110" i="1"/>
  <c r="U94" i="1"/>
  <c r="S94" i="1" s="1"/>
  <c r="AI94" i="1"/>
  <c r="T89" i="1"/>
  <c r="X89" i="1"/>
  <c r="AG89" i="1"/>
  <c r="AA197" i="1"/>
  <c r="W186" i="1"/>
  <c r="U184" i="1"/>
  <c r="S184" i="1" s="1"/>
  <c r="AA183" i="1"/>
  <c r="W183" i="1" s="1"/>
  <c r="T183" i="1"/>
  <c r="U183" i="1" s="1"/>
  <c r="S183" i="1" s="1"/>
  <c r="AA181" i="1"/>
  <c r="W170" i="1"/>
  <c r="U168" i="1"/>
  <c r="S168" i="1" s="1"/>
  <c r="W207" i="1"/>
  <c r="U205" i="1"/>
  <c r="S205" i="1" s="1"/>
  <c r="W153" i="1"/>
  <c r="AI151" i="1"/>
  <c r="U147" i="1"/>
  <c r="S147" i="1" s="1"/>
  <c r="AI143" i="1"/>
  <c r="U139" i="1"/>
  <c r="S139" i="1" s="1"/>
  <c r="W135" i="1"/>
  <c r="AA129" i="1"/>
  <c r="W112" i="1"/>
  <c r="T36" i="1"/>
  <c r="AA28" i="1"/>
  <c r="AG27" i="1"/>
  <c r="AA18" i="1"/>
  <c r="AG16" i="1"/>
  <c r="T114" i="1"/>
  <c r="U114" i="1" s="1"/>
  <c r="S114" i="1" s="1"/>
  <c r="T106" i="1"/>
  <c r="U106" i="1" s="1"/>
  <c r="S106" i="1" s="1"/>
  <c r="W101" i="1"/>
  <c r="W97" i="1"/>
  <c r="X94" i="1"/>
  <c r="AA90" i="1"/>
  <c r="AA86" i="1"/>
  <c r="W86" i="1" s="1"/>
  <c r="AA84" i="1"/>
  <c r="AA82" i="1"/>
  <c r="W82" i="1" s="1"/>
  <c r="AA80" i="1"/>
  <c r="AG78" i="1"/>
  <c r="U78" i="1" s="1"/>
  <c r="S78" i="1" s="1"/>
  <c r="X78" i="1"/>
  <c r="AG68" i="1"/>
  <c r="AG65" i="1"/>
  <c r="U65" i="1" s="1"/>
  <c r="S65" i="1" s="1"/>
  <c r="X59" i="1"/>
  <c r="AG58" i="1"/>
  <c r="X58" i="1"/>
  <c r="T48" i="1"/>
  <c r="U48" i="1" s="1"/>
  <c r="S48" i="1" s="1"/>
  <c r="AA43" i="1"/>
  <c r="W43" i="1" s="1"/>
  <c r="W39" i="1"/>
  <c r="AG36" i="1"/>
  <c r="AG35" i="1"/>
  <c r="W35" i="1" s="1"/>
  <c r="W31" i="1"/>
  <c r="AG28" i="1"/>
  <c r="AA24" i="1"/>
  <c r="AG23" i="1"/>
  <c r="U23" i="1" s="1"/>
  <c r="S23" i="1" s="1"/>
  <c r="AI20" i="1"/>
  <c r="W20" i="1"/>
  <c r="U17" i="1"/>
  <c r="X17" i="1"/>
  <c r="AA122" i="1"/>
  <c r="W122" i="1" s="1"/>
  <c r="X121" i="1"/>
  <c r="AG113" i="1"/>
  <c r="W113" i="1" s="1"/>
  <c r="AA109" i="1"/>
  <c r="W109" i="1" s="1"/>
  <c r="AG105" i="1"/>
  <c r="W105" i="1" s="1"/>
  <c r="AA104" i="1"/>
  <c r="AA103" i="1"/>
  <c r="AA100" i="1"/>
  <c r="AA99" i="1"/>
  <c r="AA96" i="1"/>
  <c r="AA93" i="1"/>
  <c r="AG90" i="1"/>
  <c r="AA87" i="1"/>
  <c r="AG84" i="1"/>
  <c r="AI84" i="1" s="1"/>
  <c r="X83" i="1"/>
  <c r="AG80" i="1"/>
  <c r="AI80" i="1" s="1"/>
  <c r="X79" i="1"/>
  <c r="AA71" i="1"/>
  <c r="T69" i="1"/>
  <c r="U69" i="1" s="1"/>
  <c r="S69" i="1" s="1"/>
  <c r="AA62" i="1"/>
  <c r="W62" i="1" s="1"/>
  <c r="AG61" i="1"/>
  <c r="U61" i="1" s="1"/>
  <c r="S61" i="1" s="1"/>
  <c r="AA57" i="1"/>
  <c r="T55" i="1"/>
  <c r="U55" i="1" s="1"/>
  <c r="S55" i="1" s="1"/>
  <c r="AA52" i="1"/>
  <c r="AG47" i="1"/>
  <c r="AA46" i="1"/>
  <c r="AA45" i="1"/>
  <c r="AA42" i="1"/>
  <c r="AA41" i="1"/>
  <c r="AA38" i="1"/>
  <c r="AA30" i="1"/>
  <c r="AA27" i="1"/>
  <c r="AG24" i="1"/>
  <c r="AG19" i="1"/>
  <c r="W19" i="1" s="1"/>
  <c r="AA16" i="1"/>
  <c r="AA15" i="1"/>
  <c r="AA14" i="1"/>
  <c r="U98" i="1"/>
  <c r="S98" i="1" s="1"/>
  <c r="AA92" i="1"/>
  <c r="AA89" i="1"/>
  <c r="W89" i="1" s="1"/>
  <c r="AA78" i="1"/>
  <c r="W78" i="1" s="1"/>
  <c r="T72" i="1"/>
  <c r="AA70" i="1"/>
  <c r="U67" i="1"/>
  <c r="S67" i="1" s="1"/>
  <c r="AA66" i="1"/>
  <c r="AA65" i="1"/>
  <c r="T59" i="1"/>
  <c r="U59" i="1" s="1"/>
  <c r="S59" i="1" s="1"/>
  <c r="AA56" i="1"/>
  <c r="AA51" i="1"/>
  <c r="U44" i="1"/>
  <c r="S44" i="1" s="1"/>
  <c r="U40" i="1"/>
  <c r="S40" i="1" s="1"/>
  <c r="W36" i="1"/>
  <c r="W23" i="1"/>
  <c r="U199" i="1"/>
  <c r="S199" i="1" s="1"/>
  <c r="W195" i="1"/>
  <c r="AI190" i="1"/>
  <c r="W179" i="1"/>
  <c r="AI174" i="1"/>
  <c r="U167" i="1"/>
  <c r="S167" i="1" s="1"/>
  <c r="U156" i="1"/>
  <c r="S156" i="1" s="1"/>
  <c r="AI156" i="1"/>
  <c r="U195" i="1"/>
  <c r="S195" i="1" s="1"/>
  <c r="AI170" i="1"/>
  <c r="U163" i="1"/>
  <c r="S163" i="1" s="1"/>
  <c r="AI186" i="1"/>
  <c r="U179" i="1"/>
  <c r="S179" i="1" s="1"/>
  <c r="AI198" i="1"/>
  <c r="U191" i="1"/>
  <c r="S191" i="1" s="1"/>
  <c r="AI182" i="1"/>
  <c r="U175" i="1"/>
  <c r="S175" i="1" s="1"/>
  <c r="W171" i="1"/>
  <c r="AI166" i="1"/>
  <c r="AI149" i="1"/>
  <c r="AI210" i="1"/>
  <c r="U203" i="1"/>
  <c r="S203" i="1" s="1"/>
  <c r="U171" i="1"/>
  <c r="S171" i="1" s="1"/>
  <c r="S208" i="1"/>
  <c r="U208" i="1"/>
  <c r="X210" i="1"/>
  <c r="X200" i="1"/>
  <c r="X196" i="1"/>
  <c r="X192" i="1"/>
  <c r="X188" i="1"/>
  <c r="X184" i="1"/>
  <c r="X180" i="1"/>
  <c r="X176" i="1"/>
  <c r="X172" i="1"/>
  <c r="X168" i="1"/>
  <c r="X164" i="1"/>
  <c r="X160" i="1"/>
  <c r="X209" i="1"/>
  <c r="X205" i="1"/>
  <c r="X155" i="1"/>
  <c r="AG154" i="1"/>
  <c r="T153" i="1"/>
  <c r="X153" i="1"/>
  <c r="AI150" i="1"/>
  <c r="X150" i="1"/>
  <c r="T145" i="1"/>
  <c r="X145" i="1"/>
  <c r="AG145" i="1"/>
  <c r="X146" i="1"/>
  <c r="T137" i="1"/>
  <c r="X137" i="1"/>
  <c r="AG137" i="1"/>
  <c r="X138" i="1"/>
  <c r="U198" i="1"/>
  <c r="S198" i="1" s="1"/>
  <c r="U186" i="1"/>
  <c r="S186" i="1" s="1"/>
  <c r="U182" i="1"/>
  <c r="S182" i="1" s="1"/>
  <c r="U174" i="1"/>
  <c r="S174" i="1" s="1"/>
  <c r="U170" i="1"/>
  <c r="S170" i="1" s="1"/>
  <c r="U166" i="1"/>
  <c r="S166" i="1" s="1"/>
  <c r="U207" i="1"/>
  <c r="S207" i="1" s="1"/>
  <c r="U157" i="1"/>
  <c r="S157" i="1" s="1"/>
  <c r="AI155" i="1"/>
  <c r="X154" i="1"/>
  <c r="AI142" i="1"/>
  <c r="U135" i="1"/>
  <c r="S135" i="1" s="1"/>
  <c r="AI134" i="1"/>
  <c r="AA130" i="1"/>
  <c r="U194" i="1"/>
  <c r="S194" i="1" s="1"/>
  <c r="U190" i="1"/>
  <c r="S190" i="1" s="1"/>
  <c r="X202" i="1"/>
  <c r="AG201" i="1"/>
  <c r="X198" i="1"/>
  <c r="AG197" i="1"/>
  <c r="AI197" i="1" s="1"/>
  <c r="X194" i="1"/>
  <c r="AG193" i="1"/>
  <c r="X190" i="1"/>
  <c r="AG189" i="1"/>
  <c r="AI189" i="1" s="1"/>
  <c r="X186" i="1"/>
  <c r="AG185" i="1"/>
  <c r="X182" i="1"/>
  <c r="AG181" i="1"/>
  <c r="W181" i="1" s="1"/>
  <c r="X178" i="1"/>
  <c r="AG177" i="1"/>
  <c r="X174" i="1"/>
  <c r="AG173" i="1"/>
  <c r="AI173" i="1" s="1"/>
  <c r="X170" i="1"/>
  <c r="AG169" i="1"/>
  <c r="X166" i="1"/>
  <c r="AG165" i="1"/>
  <c r="AI165" i="1" s="1"/>
  <c r="X162" i="1"/>
  <c r="AG161" i="1"/>
  <c r="X158" i="1"/>
  <c r="AG211" i="1"/>
  <c r="AI211" i="1" s="1"/>
  <c r="X207" i="1"/>
  <c r="AG206" i="1"/>
  <c r="X157" i="1"/>
  <c r="U153" i="1"/>
  <c r="S153" i="1" s="1"/>
  <c r="AA150" i="1"/>
  <c r="W150" i="1" s="1"/>
  <c r="AA149" i="1"/>
  <c r="W149" i="1" s="1"/>
  <c r="T148" i="1"/>
  <c r="X148" i="1"/>
  <c r="AG148" i="1"/>
  <c r="U142" i="1"/>
  <c r="S142" i="1" s="1"/>
  <c r="T141" i="1"/>
  <c r="X141" i="1"/>
  <c r="AG141" i="1"/>
  <c r="X142" i="1"/>
  <c r="T133" i="1"/>
  <c r="X133" i="1"/>
  <c r="AG133" i="1"/>
  <c r="X134" i="1"/>
  <c r="AI116" i="1"/>
  <c r="U202" i="1"/>
  <c r="S202" i="1" s="1"/>
  <c r="AI209" i="1"/>
  <c r="X201" i="1"/>
  <c r="AI205" i="1"/>
  <c r="X197" i="1"/>
  <c r="AI201" i="1"/>
  <c r="X193" i="1"/>
  <c r="X189" i="1"/>
  <c r="AI193" i="1"/>
  <c r="X185" i="1"/>
  <c r="X181" i="1"/>
  <c r="AI185" i="1"/>
  <c r="X177" i="1"/>
  <c r="X173" i="1"/>
  <c r="AI177" i="1"/>
  <c r="X169" i="1"/>
  <c r="X165" i="1"/>
  <c r="AI169" i="1"/>
  <c r="X161" i="1"/>
  <c r="X211" i="1"/>
  <c r="AI161" i="1"/>
  <c r="X206" i="1"/>
  <c r="AI157" i="1"/>
  <c r="T152" i="1"/>
  <c r="X152" i="1"/>
  <c r="AG152" i="1"/>
  <c r="W152" i="1" s="1"/>
  <c r="T149" i="1"/>
  <c r="U149" i="1" s="1"/>
  <c r="S149" i="1" s="1"/>
  <c r="X149" i="1"/>
  <c r="AI138" i="1"/>
  <c r="U131" i="1"/>
  <c r="S131" i="1" s="1"/>
  <c r="X130" i="1"/>
  <c r="AG129" i="1"/>
  <c r="W129" i="1" s="1"/>
  <c r="X126" i="1"/>
  <c r="AG125" i="1"/>
  <c r="AG120" i="1"/>
  <c r="AI117" i="1"/>
  <c r="X117" i="1"/>
  <c r="AI74" i="1"/>
  <c r="AG144" i="1"/>
  <c r="W144" i="1" s="1"/>
  <c r="AG140" i="1"/>
  <c r="W140" i="1" s="1"/>
  <c r="AG136" i="1"/>
  <c r="AG132" i="1"/>
  <c r="X129" i="1"/>
  <c r="AG128" i="1"/>
  <c r="AI126" i="1"/>
  <c r="X125" i="1"/>
  <c r="AG124" i="1"/>
  <c r="S122" i="1"/>
  <c r="AI83" i="1"/>
  <c r="U79" i="1"/>
  <c r="S79" i="1" s="1"/>
  <c r="AI79" i="1"/>
  <c r="X144" i="1"/>
  <c r="X140" i="1"/>
  <c r="X136" i="1"/>
  <c r="X132" i="1"/>
  <c r="X128" i="1"/>
  <c r="X124" i="1"/>
  <c r="AI121" i="1"/>
  <c r="T119" i="1"/>
  <c r="U119" i="1" s="1"/>
  <c r="S119" i="1" s="1"/>
  <c r="AA117" i="1"/>
  <c r="W117" i="1" s="1"/>
  <c r="U117" i="1"/>
  <c r="S117" i="1" s="1"/>
  <c r="AA116" i="1"/>
  <c r="W116" i="1" s="1"/>
  <c r="T115" i="1"/>
  <c r="X115" i="1"/>
  <c r="AG115" i="1"/>
  <c r="W115" i="1" s="1"/>
  <c r="T120" i="1"/>
  <c r="X120" i="1"/>
  <c r="T116" i="1"/>
  <c r="U116" i="1" s="1"/>
  <c r="S116" i="1" s="1"/>
  <c r="X116" i="1"/>
  <c r="U113" i="1"/>
  <c r="S113" i="1" s="1"/>
  <c r="U109" i="1"/>
  <c r="S109" i="1" s="1"/>
  <c r="U101" i="1"/>
  <c r="S101" i="1" s="1"/>
  <c r="U97" i="1"/>
  <c r="S97" i="1" s="1"/>
  <c r="U93" i="1"/>
  <c r="S93" i="1" s="1"/>
  <c r="U89" i="1"/>
  <c r="S89" i="1" s="1"/>
  <c r="X86" i="1"/>
  <c r="AG85" i="1"/>
  <c r="X82" i="1"/>
  <c r="AG81" i="1"/>
  <c r="W81" i="1" s="1"/>
  <c r="AI75" i="1"/>
  <c r="X75" i="1"/>
  <c r="AI67" i="1"/>
  <c r="AA61" i="1"/>
  <c r="W61" i="1" s="1"/>
  <c r="S53" i="1"/>
  <c r="AI53" i="1"/>
  <c r="AG52" i="1"/>
  <c r="T52" i="1"/>
  <c r="X52" i="1"/>
  <c r="U108" i="1"/>
  <c r="S108" i="1" s="1"/>
  <c r="AG104" i="1"/>
  <c r="W104" i="1" s="1"/>
  <c r="X101" i="1"/>
  <c r="AG100" i="1"/>
  <c r="X97" i="1"/>
  <c r="AG96" i="1"/>
  <c r="W96" i="1" s="1"/>
  <c r="X93" i="1"/>
  <c r="AG92" i="1"/>
  <c r="AI86" i="1"/>
  <c r="S86" i="1"/>
  <c r="X85" i="1"/>
  <c r="U84" i="1"/>
  <c r="S84" i="1" s="1"/>
  <c r="AI82" i="1"/>
  <c r="S82" i="1"/>
  <c r="X81" i="1"/>
  <c r="AI78" i="1"/>
  <c r="AI77" i="1"/>
  <c r="T76" i="1"/>
  <c r="U76" i="1" s="1"/>
  <c r="S76" i="1" s="1"/>
  <c r="W71" i="1"/>
  <c r="AG66" i="1"/>
  <c r="W66" i="1" s="1"/>
  <c r="T66" i="1"/>
  <c r="AI65" i="1"/>
  <c r="AI50" i="1"/>
  <c r="AI113" i="1"/>
  <c r="X112" i="1"/>
  <c r="AG111" i="1"/>
  <c r="W111" i="1" s="1"/>
  <c r="AI109" i="1"/>
  <c r="X108" i="1"/>
  <c r="AG107" i="1"/>
  <c r="AI105" i="1"/>
  <c r="X104" i="1"/>
  <c r="AG103" i="1"/>
  <c r="W103" i="1" s="1"/>
  <c r="AI101" i="1"/>
  <c r="X100" i="1"/>
  <c r="AG99" i="1"/>
  <c r="W99" i="1" s="1"/>
  <c r="AI97" i="1"/>
  <c r="X96" i="1"/>
  <c r="AG95" i="1"/>
  <c r="W95" i="1" s="1"/>
  <c r="X92" i="1"/>
  <c r="AG91" i="1"/>
  <c r="W91" i="1" s="1"/>
  <c r="AI89" i="1"/>
  <c r="X88" i="1"/>
  <c r="AG87" i="1"/>
  <c r="X84" i="1"/>
  <c r="X80" i="1"/>
  <c r="T77" i="1"/>
  <c r="U77" i="1" s="1"/>
  <c r="S77" i="1" s="1"/>
  <c r="X77" i="1"/>
  <c r="X76" i="1"/>
  <c r="U75" i="1"/>
  <c r="S75" i="1" s="1"/>
  <c r="AA74" i="1"/>
  <c r="W74" i="1" s="1"/>
  <c r="AG73" i="1"/>
  <c r="T73" i="1"/>
  <c r="AA67" i="1"/>
  <c r="W67" i="1" s="1"/>
  <c r="AG64" i="1"/>
  <c r="W64" i="1" s="1"/>
  <c r="T64" i="1"/>
  <c r="X64" i="1"/>
  <c r="AI61" i="1"/>
  <c r="AG60" i="1"/>
  <c r="W60" i="1" s="1"/>
  <c r="T60" i="1"/>
  <c r="X60" i="1"/>
  <c r="W38" i="1"/>
  <c r="X111" i="1"/>
  <c r="AI108" i="1"/>
  <c r="X107" i="1"/>
  <c r="X103" i="1"/>
  <c r="X99" i="1"/>
  <c r="X95" i="1"/>
  <c r="X91" i="1"/>
  <c r="X87" i="1"/>
  <c r="T74" i="1"/>
  <c r="U74" i="1" s="1"/>
  <c r="S74" i="1" s="1"/>
  <c r="U72" i="1"/>
  <c r="S72" i="1" s="1"/>
  <c r="S71" i="1"/>
  <c r="AI71" i="1"/>
  <c r="AG70" i="1"/>
  <c r="W70" i="1" s="1"/>
  <c r="T70" i="1"/>
  <c r="X70" i="1"/>
  <c r="AI57" i="1"/>
  <c r="AG56" i="1"/>
  <c r="T56" i="1"/>
  <c r="X56" i="1"/>
  <c r="W52" i="1"/>
  <c r="AG63" i="1"/>
  <c r="W63" i="1" s="1"/>
  <c r="AG51" i="1"/>
  <c r="X51" i="1"/>
  <c r="AA50" i="1"/>
  <c r="W50" i="1" s="1"/>
  <c r="T49" i="1"/>
  <c r="X49" i="1"/>
  <c r="AG49" i="1"/>
  <c r="U16" i="1"/>
  <c r="S16" i="1" s="1"/>
  <c r="U68" i="1"/>
  <c r="S68" i="1" s="1"/>
  <c r="X63" i="1"/>
  <c r="U54" i="1"/>
  <c r="S54" i="1" s="1"/>
  <c r="T50" i="1"/>
  <c r="U50" i="1" s="1"/>
  <c r="S50" i="1" s="1"/>
  <c r="X50" i="1"/>
  <c r="AI47" i="1"/>
  <c r="X61" i="1"/>
  <c r="X57" i="1"/>
  <c r="AI54" i="1"/>
  <c r="X53" i="1"/>
  <c r="W47" i="1"/>
  <c r="U47" i="1"/>
  <c r="S47" i="1" s="1"/>
  <c r="U43" i="1"/>
  <c r="S43" i="1" s="1"/>
  <c r="U39" i="1"/>
  <c r="S39" i="1" s="1"/>
  <c r="U31" i="1"/>
  <c r="S31" i="1" s="1"/>
  <c r="U27" i="1"/>
  <c r="S27" i="1" s="1"/>
  <c r="U19" i="1"/>
  <c r="S19" i="1" s="1"/>
  <c r="S17" i="1"/>
  <c r="X16" i="1"/>
  <c r="AG15" i="1"/>
  <c r="AG46" i="1"/>
  <c r="W46" i="1" s="1"/>
  <c r="X43" i="1"/>
  <c r="AG42" i="1"/>
  <c r="X39" i="1"/>
  <c r="AG38" i="1"/>
  <c r="X35" i="1"/>
  <c r="AG34" i="1"/>
  <c r="X31" i="1"/>
  <c r="AG30" i="1"/>
  <c r="X27" i="1"/>
  <c r="AG26" i="1"/>
  <c r="W26" i="1" s="1"/>
  <c r="X23" i="1"/>
  <c r="AG22" i="1"/>
  <c r="W22" i="1" s="1"/>
  <c r="S20" i="1"/>
  <c r="X19" i="1"/>
  <c r="AG18" i="1"/>
  <c r="AI16" i="1"/>
  <c r="X15" i="1"/>
  <c r="AG14" i="1"/>
  <c r="W14" i="1" s="1"/>
  <c r="X46" i="1"/>
  <c r="AG45" i="1"/>
  <c r="W45" i="1" s="1"/>
  <c r="AI43" i="1"/>
  <c r="X42" i="1"/>
  <c r="AG41" i="1"/>
  <c r="W41" i="1" s="1"/>
  <c r="AI39" i="1"/>
  <c r="X38" i="1"/>
  <c r="AG37" i="1"/>
  <c r="W37" i="1" s="1"/>
  <c r="X34" i="1"/>
  <c r="AG33" i="1"/>
  <c r="AI31" i="1"/>
  <c r="X30" i="1"/>
  <c r="AG29" i="1"/>
  <c r="AI27" i="1"/>
  <c r="X26" i="1"/>
  <c r="AG25" i="1"/>
  <c r="W25" i="1" s="1"/>
  <c r="X22" i="1"/>
  <c r="AG21" i="1"/>
  <c r="AI19" i="1"/>
  <c r="X18" i="1"/>
  <c r="X45" i="1"/>
  <c r="X41" i="1"/>
  <c r="X37" i="1"/>
  <c r="X33" i="1"/>
  <c r="X29" i="1"/>
  <c r="X25" i="1"/>
  <c r="X21" i="1"/>
  <c r="M13" i="3"/>
  <c r="N13" i="3"/>
  <c r="U13" i="3"/>
  <c r="T13" i="3" s="1"/>
  <c r="V13" i="3"/>
  <c r="W13" i="3"/>
  <c r="X13" i="3"/>
  <c r="AC24" i="3"/>
  <c r="AI23" i="1" l="1"/>
  <c r="U35" i="1"/>
  <c r="S35" i="1" s="1"/>
  <c r="AI112" i="1"/>
  <c r="AI130" i="1"/>
  <c r="W206" i="1"/>
  <c r="W185" i="1"/>
  <c r="W193" i="1"/>
  <c r="W130" i="1"/>
  <c r="U32" i="1"/>
  <c r="S32" i="1" s="1"/>
  <c r="W65" i="1"/>
  <c r="W93" i="1"/>
  <c r="W68" i="1"/>
  <c r="W137" i="1"/>
  <c r="U180" i="1"/>
  <c r="S180" i="1" s="1"/>
  <c r="W151" i="1"/>
  <c r="W32" i="1"/>
  <c r="AI35" i="1"/>
  <c r="W15" i="1"/>
  <c r="AI146" i="1"/>
  <c r="W141" i="1"/>
  <c r="W148" i="1"/>
  <c r="U158" i="1"/>
  <c r="S158" i="1" s="1"/>
  <c r="W154" i="1"/>
  <c r="W57" i="1"/>
  <c r="W58" i="1"/>
  <c r="W145" i="1"/>
  <c r="W194" i="1"/>
  <c r="U151" i="1"/>
  <c r="S151" i="1" s="1"/>
  <c r="U162" i="1"/>
  <c r="S162" i="1" s="1"/>
  <c r="AI162" i="1"/>
  <c r="W54" i="1"/>
  <c r="W198" i="1"/>
  <c r="W146" i="1"/>
  <c r="W88" i="1"/>
  <c r="U58" i="1"/>
  <c r="S58" i="1" s="1"/>
  <c r="AI122" i="1"/>
  <c r="W128" i="1"/>
  <c r="AI181" i="1"/>
  <c r="U178" i="1"/>
  <c r="S178" i="1" s="1"/>
  <c r="AI178" i="1"/>
  <c r="W158" i="1"/>
  <c r="AI58" i="1"/>
  <c r="U62" i="1"/>
  <c r="S62" i="1" s="1"/>
  <c r="U80" i="1"/>
  <c r="S80" i="1" s="1"/>
  <c r="U88" i="1"/>
  <c r="S88" i="1" s="1"/>
  <c r="U105" i="1"/>
  <c r="S105" i="1" s="1"/>
  <c r="W161" i="1"/>
  <c r="W169" i="1"/>
  <c r="W177" i="1"/>
  <c r="W201" i="1"/>
  <c r="AI202" i="1"/>
  <c r="W121" i="1"/>
  <c r="AI68" i="1"/>
  <c r="W92" i="1"/>
  <c r="W100" i="1"/>
  <c r="W133" i="1"/>
  <c r="AI102" i="1"/>
  <c r="Y8" i="3"/>
  <c r="Y12" i="3"/>
  <c r="Y40" i="3"/>
  <c r="Y37" i="3"/>
  <c r="Y35" i="3"/>
  <c r="Y26" i="3"/>
  <c r="Y44" i="3"/>
  <c r="Y46" i="3"/>
  <c r="W16" i="1"/>
  <c r="W40" i="1"/>
  <c r="W160" i="1"/>
  <c r="W27" i="1"/>
  <c r="W44" i="1"/>
  <c r="W147" i="1"/>
  <c r="U28" i="1"/>
  <c r="S28" i="1" s="1"/>
  <c r="AI28" i="1"/>
  <c r="W28" i="1"/>
  <c r="W211" i="1"/>
  <c r="U24" i="1"/>
  <c r="S24" i="1" s="1"/>
  <c r="AI24" i="1"/>
  <c r="U90" i="1"/>
  <c r="S90" i="1" s="1"/>
  <c r="AI90" i="1"/>
  <c r="W80" i="1"/>
  <c r="W90" i="1"/>
  <c r="U110" i="1"/>
  <c r="S110" i="1" s="1"/>
  <c r="AI110" i="1"/>
  <c r="U123" i="1"/>
  <c r="S123" i="1" s="1"/>
  <c r="AI123" i="1"/>
  <c r="AI206" i="1"/>
  <c r="W24" i="1"/>
  <c r="U36" i="1"/>
  <c r="S36" i="1" s="1"/>
  <c r="AI36" i="1"/>
  <c r="W84" i="1"/>
  <c r="W110" i="1"/>
  <c r="U118" i="1"/>
  <c r="S118" i="1" s="1"/>
  <c r="AI118" i="1"/>
  <c r="W118" i="1"/>
  <c r="W192" i="1"/>
  <c r="AI42" i="1"/>
  <c r="U42" i="1"/>
  <c r="S42" i="1" s="1"/>
  <c r="U33" i="1"/>
  <c r="S33" i="1" s="1"/>
  <c r="AI33" i="1"/>
  <c r="S30" i="1"/>
  <c r="AI30" i="1"/>
  <c r="U30" i="1"/>
  <c r="U56" i="1"/>
  <c r="S56" i="1" s="1"/>
  <c r="AI56" i="1"/>
  <c r="U107" i="1"/>
  <c r="S107" i="1" s="1"/>
  <c r="AI107" i="1"/>
  <c r="AI85" i="1"/>
  <c r="U85" i="1"/>
  <c r="S85" i="1" s="1"/>
  <c r="U136" i="1"/>
  <c r="S136" i="1" s="1"/>
  <c r="AI136" i="1"/>
  <c r="W136" i="1"/>
  <c r="U211" i="1"/>
  <c r="S211" i="1" s="1"/>
  <c r="AI164" i="1"/>
  <c r="U165" i="1"/>
  <c r="S165" i="1" s="1"/>
  <c r="AI172" i="1"/>
  <c r="U173" i="1"/>
  <c r="S173" i="1" s="1"/>
  <c r="AI180" i="1"/>
  <c r="U181" i="1"/>
  <c r="S181" i="1" s="1"/>
  <c r="AI188" i="1"/>
  <c r="U189" i="1"/>
  <c r="S189" i="1" s="1"/>
  <c r="AI196" i="1"/>
  <c r="U197" i="1"/>
  <c r="S197" i="1" s="1"/>
  <c r="AI204" i="1"/>
  <c r="W173" i="1"/>
  <c r="U21" i="1"/>
  <c r="S21" i="1" s="1"/>
  <c r="AI21" i="1"/>
  <c r="U37" i="1"/>
  <c r="S37" i="1" s="1"/>
  <c r="AI37" i="1"/>
  <c r="W21" i="1"/>
  <c r="U49" i="1"/>
  <c r="S49" i="1" s="1"/>
  <c r="AI49" i="1"/>
  <c r="W49" i="1"/>
  <c r="U91" i="1"/>
  <c r="S91" i="1" s="1"/>
  <c r="AI91" i="1"/>
  <c r="U29" i="1"/>
  <c r="S29" i="1" s="1"/>
  <c r="AI29" i="1"/>
  <c r="U45" i="1"/>
  <c r="S45" i="1" s="1"/>
  <c r="AI45" i="1"/>
  <c r="AI26" i="1"/>
  <c r="U26" i="1"/>
  <c r="S26" i="1" s="1"/>
  <c r="AI38" i="1"/>
  <c r="U38" i="1"/>
  <c r="S38" i="1" s="1"/>
  <c r="AI46" i="1"/>
  <c r="U46" i="1"/>
  <c r="S46" i="1" s="1"/>
  <c r="W29" i="1"/>
  <c r="W33" i="1"/>
  <c r="AI51" i="1"/>
  <c r="U51" i="1"/>
  <c r="S51" i="1" s="1"/>
  <c r="W56" i="1"/>
  <c r="U60" i="1"/>
  <c r="S60" i="1"/>
  <c r="AI60" i="1"/>
  <c r="U87" i="1"/>
  <c r="S87" i="1" s="1"/>
  <c r="AI87" i="1"/>
  <c r="U103" i="1"/>
  <c r="S103" i="1" s="1"/>
  <c r="AI103" i="1"/>
  <c r="W51" i="1"/>
  <c r="AI96" i="1"/>
  <c r="U96" i="1"/>
  <c r="S96" i="1" s="1"/>
  <c r="AI104" i="1"/>
  <c r="U104" i="1"/>
  <c r="S104" i="1" s="1"/>
  <c r="W87" i="1"/>
  <c r="W85" i="1"/>
  <c r="AI124" i="1"/>
  <c r="U124" i="1"/>
  <c r="S124" i="1" s="1"/>
  <c r="AI128" i="1"/>
  <c r="U128" i="1"/>
  <c r="S128" i="1" s="1"/>
  <c r="U140" i="1"/>
  <c r="S140" i="1" s="1"/>
  <c r="AI140" i="1"/>
  <c r="AI129" i="1"/>
  <c r="U129" i="1"/>
  <c r="S129" i="1" s="1"/>
  <c r="W124" i="1"/>
  <c r="AI137" i="1"/>
  <c r="U137" i="1"/>
  <c r="S137" i="1" s="1"/>
  <c r="AI145" i="1"/>
  <c r="U145" i="1"/>
  <c r="S145" i="1" s="1"/>
  <c r="AI154" i="1"/>
  <c r="U154" i="1"/>
  <c r="S154" i="1" s="1"/>
  <c r="U25" i="1"/>
  <c r="S25" i="1" s="1"/>
  <c r="AI25" i="1"/>
  <c r="U41" i="1"/>
  <c r="S41" i="1" s="1"/>
  <c r="AI41" i="1"/>
  <c r="AI22" i="1"/>
  <c r="U22" i="1"/>
  <c r="S22" i="1" s="1"/>
  <c r="AI15" i="1"/>
  <c r="U15" i="1"/>
  <c r="S15" i="1" s="1"/>
  <c r="U63" i="1"/>
  <c r="S63" i="1" s="1"/>
  <c r="AI63" i="1"/>
  <c r="U70" i="1"/>
  <c r="S70" i="1" s="1"/>
  <c r="AI70" i="1"/>
  <c r="W42" i="1"/>
  <c r="U99" i="1"/>
  <c r="S99" i="1" s="1"/>
  <c r="AI99" i="1"/>
  <c r="U66" i="1"/>
  <c r="S66" i="1" s="1"/>
  <c r="AI66" i="1"/>
  <c r="U52" i="1"/>
  <c r="S52" i="1" s="1"/>
  <c r="AI52" i="1"/>
  <c r="AI81" i="1"/>
  <c r="U81" i="1"/>
  <c r="S81" i="1" s="1"/>
  <c r="U115" i="1"/>
  <c r="S115" i="1" s="1"/>
  <c r="AI115" i="1"/>
  <c r="U144" i="1"/>
  <c r="S144" i="1" s="1"/>
  <c r="AI144" i="1"/>
  <c r="U120" i="1"/>
  <c r="S120" i="1" s="1"/>
  <c r="AI120" i="1"/>
  <c r="U206" i="1"/>
  <c r="S206" i="1" s="1"/>
  <c r="AI160" i="1"/>
  <c r="U161" i="1"/>
  <c r="S161" i="1" s="1"/>
  <c r="AI168" i="1"/>
  <c r="U169" i="1"/>
  <c r="S169" i="1" s="1"/>
  <c r="AI176" i="1"/>
  <c r="U177" i="1"/>
  <c r="S177" i="1"/>
  <c r="AI184" i="1"/>
  <c r="U185" i="1"/>
  <c r="S185" i="1" s="1"/>
  <c r="AI192" i="1"/>
  <c r="U193" i="1"/>
  <c r="S193" i="1" s="1"/>
  <c r="AI200" i="1"/>
  <c r="U201" i="1"/>
  <c r="S201" i="1" s="1"/>
  <c r="AI208" i="1"/>
  <c r="W120" i="1"/>
  <c r="W165" i="1"/>
  <c r="W189" i="1"/>
  <c r="W197" i="1"/>
  <c r="AI14" i="1"/>
  <c r="U14" i="1"/>
  <c r="S14" i="1" s="1"/>
  <c r="AI18" i="1"/>
  <c r="U18" i="1"/>
  <c r="S18" i="1" s="1"/>
  <c r="AI34" i="1"/>
  <c r="U34" i="1"/>
  <c r="S34" i="1" s="1"/>
  <c r="W18" i="1"/>
  <c r="W34" i="1"/>
  <c r="W30" i="1"/>
  <c r="U64" i="1"/>
  <c r="S64" i="1" s="1"/>
  <c r="AI64" i="1"/>
  <c r="U73" i="1"/>
  <c r="S73" i="1"/>
  <c r="AI73" i="1"/>
  <c r="W73" i="1"/>
  <c r="U95" i="1"/>
  <c r="S95" i="1"/>
  <c r="AI95" i="1"/>
  <c r="U111" i="1"/>
  <c r="S111" i="1" s="1"/>
  <c r="AI111" i="1"/>
  <c r="AI92" i="1"/>
  <c r="U92" i="1"/>
  <c r="S92" i="1" s="1"/>
  <c r="AI100" i="1"/>
  <c r="U100" i="1"/>
  <c r="S100" i="1" s="1"/>
  <c r="W107" i="1"/>
  <c r="U132" i="1"/>
  <c r="S132" i="1" s="1"/>
  <c r="W132" i="1"/>
  <c r="AI132" i="1"/>
  <c r="AI125" i="1"/>
  <c r="U125" i="1"/>
  <c r="S125" i="1" s="1"/>
  <c r="U152" i="1"/>
  <c r="S152" i="1" s="1"/>
  <c r="AI152" i="1"/>
  <c r="AI133" i="1"/>
  <c r="U133" i="1"/>
  <c r="S133" i="1" s="1"/>
  <c r="AI141" i="1"/>
  <c r="U141" i="1"/>
  <c r="S141" i="1" s="1"/>
  <c r="U148" i="1"/>
  <c r="S148" i="1" s="1"/>
  <c r="AI148" i="1"/>
  <c r="W125" i="1"/>
  <c r="Y52" i="3"/>
  <c r="Y20" i="3"/>
  <c r="Y49" i="3"/>
  <c r="Y15" i="3"/>
  <c r="Y24" i="3"/>
  <c r="Y50" i="3"/>
  <c r="Y11" i="3"/>
  <c r="Y47" i="3"/>
  <c r="Y41" i="3"/>
  <c r="Y25" i="3"/>
  <c r="AC20" i="3"/>
  <c r="AC15" i="3"/>
  <c r="AC11" i="3"/>
  <c r="AC7" i="3"/>
  <c r="AC17" i="3"/>
  <c r="Y36" i="3"/>
  <c r="Y45" i="3"/>
  <c r="Y10" i="3"/>
  <c r="Y42" i="3"/>
  <c r="Y22" i="3"/>
  <c r="Y18" i="3"/>
  <c r="AC39" i="3"/>
  <c r="AC41" i="3"/>
  <c r="AC29" i="3"/>
  <c r="AC22" i="3"/>
  <c r="AC9" i="3"/>
  <c r="AC38" i="3"/>
  <c r="AC50" i="3"/>
  <c r="AC36" i="3"/>
  <c r="AC51" i="3"/>
  <c r="AC16" i="3"/>
  <c r="AC53" i="3"/>
  <c r="AC21" i="3"/>
  <c r="AC42" i="3"/>
  <c r="AC19" i="3"/>
  <c r="AC28" i="3"/>
  <c r="AC18" i="3"/>
  <c r="Y14" i="3"/>
  <c r="Y28" i="3"/>
  <c r="Y17" i="3"/>
  <c r="Y38" i="3"/>
  <c r="Y53" i="3"/>
  <c r="Y16" i="3"/>
  <c r="Y39" i="3"/>
  <c r="Y7" i="3"/>
  <c r="Y51" i="3"/>
  <c r="Y33" i="3"/>
  <c r="Y34" i="3"/>
  <c r="Y31" i="3"/>
  <c r="Y23" i="3"/>
  <c r="Y30" i="3"/>
  <c r="Y43" i="3"/>
  <c r="Y19" i="3"/>
  <c r="Y21" i="3"/>
  <c r="Y29" i="3"/>
  <c r="Y32" i="3"/>
  <c r="AC23" i="3"/>
  <c r="AC49" i="3"/>
  <c r="AC33" i="3"/>
  <c r="AC32" i="3"/>
  <c r="AC27" i="3"/>
  <c r="AC52" i="3"/>
  <c r="AC47" i="3"/>
  <c r="AC30" i="3"/>
  <c r="AC25" i="3"/>
  <c r="AC46" i="3"/>
  <c r="AC44" i="3"/>
  <c r="Y27" i="3"/>
  <c r="Y9" i="3"/>
  <c r="AC12" i="3"/>
  <c r="AC34" i="3"/>
  <c r="AC40" i="3"/>
  <c r="AC31" i="3"/>
  <c r="AC10" i="3"/>
  <c r="AC8" i="3"/>
  <c r="AC35" i="3"/>
  <c r="AC14" i="3"/>
  <c r="AC37" i="3"/>
  <c r="AC26" i="3"/>
  <c r="AC45" i="3"/>
  <c r="AC43" i="3"/>
  <c r="S13" i="3"/>
  <c r="R13" i="3"/>
  <c r="Y48" i="3" l="1"/>
  <c r="AC48" i="3"/>
  <c r="B8" i="6"/>
  <c r="H8" i="6" s="1"/>
  <c r="B9" i="6"/>
  <c r="H9" i="6" s="1"/>
  <c r="B10" i="6"/>
  <c r="G10" i="6" s="1"/>
  <c r="B11" i="6"/>
  <c r="F11" i="6" s="1"/>
  <c r="G11" i="6"/>
  <c r="H11" i="6"/>
  <c r="I11" i="6"/>
  <c r="B12" i="6"/>
  <c r="H12" i="6" s="1"/>
  <c r="F12" i="6"/>
  <c r="G12" i="6"/>
  <c r="B13" i="6"/>
  <c r="H13" i="6" s="1"/>
  <c r="F13" i="6"/>
  <c r="I13" i="6"/>
  <c r="B14" i="6"/>
  <c r="G14" i="6" s="1"/>
  <c r="I12" i="6" l="1"/>
  <c r="I14" i="6"/>
  <c r="I9" i="6"/>
  <c r="F9" i="6"/>
  <c r="I8" i="6"/>
  <c r="G8" i="6"/>
  <c r="F8" i="6"/>
  <c r="F14" i="6"/>
  <c r="G13" i="6"/>
  <c r="F10" i="6"/>
  <c r="G9" i="6"/>
  <c r="I10" i="6"/>
  <c r="H14" i="6"/>
  <c r="H10" i="6"/>
  <c r="Y13" i="3"/>
  <c r="AC13" i="3"/>
  <c r="AF13" i="1" l="1"/>
  <c r="B3" i="6" l="1"/>
  <c r="F3" i="6" s="1"/>
  <c r="B4" i="6"/>
  <c r="F4" i="6" s="1"/>
  <c r="B5" i="6"/>
  <c r="F5" i="6" s="1"/>
  <c r="B6" i="6"/>
  <c r="F6" i="6" s="1"/>
  <c r="B7" i="6"/>
  <c r="F7" i="6" s="1"/>
  <c r="G7" i="6" l="1"/>
  <c r="I7" i="6"/>
  <c r="H7" i="6"/>
  <c r="I3" i="6"/>
  <c r="I6" i="6"/>
  <c r="H5" i="6"/>
  <c r="G5" i="6"/>
  <c r="I5" i="6"/>
  <c r="H4" i="6"/>
  <c r="I4" i="6"/>
  <c r="G4" i="6"/>
  <c r="H6" i="6"/>
  <c r="G6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7" i="1" l="1"/>
  <c r="AH30" i="1"/>
  <c r="AH31" i="1"/>
  <c r="AH37" i="1"/>
  <c r="AH38" i="1"/>
  <c r="AH56" i="1"/>
  <c r="AH63" i="1"/>
  <c r="AH64" i="1"/>
  <c r="AH65" i="1"/>
  <c r="AH75" i="1"/>
  <c r="AH76" i="1"/>
  <c r="AH82" i="1"/>
  <c r="AH87" i="1"/>
  <c r="AH88" i="1"/>
  <c r="AH89" i="1"/>
  <c r="AH90" i="1"/>
  <c r="AH91" i="1"/>
  <c r="AH92" i="1"/>
  <c r="AH93" i="1"/>
  <c r="AH106" i="1"/>
  <c r="AH113" i="1"/>
  <c r="AH114" i="1"/>
  <c r="AH127" i="1"/>
  <c r="AH128" i="1"/>
  <c r="AH129" i="1"/>
  <c r="AH137" i="1"/>
  <c r="AH140" i="1"/>
  <c r="AH146" i="1"/>
  <c r="AH159" i="1"/>
  <c r="AH160" i="1"/>
  <c r="AH161" i="1"/>
  <c r="AH171" i="1"/>
  <c r="AH172" i="1"/>
  <c r="AH173" i="1"/>
  <c r="AH178" i="1"/>
  <c r="AH179" i="1"/>
  <c r="AH180" i="1"/>
  <c r="AH181" i="1"/>
  <c r="AH197" i="1"/>
  <c r="AH198" i="1"/>
  <c r="AH199" i="1"/>
  <c r="AH200" i="1"/>
  <c r="AH201" i="1"/>
  <c r="AH206" i="1"/>
  <c r="AH191" i="1"/>
  <c r="AH211" i="1"/>
  <c r="AH71" i="1"/>
  <c r="AH78" i="1"/>
  <c r="AH85" i="1"/>
  <c r="AH108" i="1"/>
  <c r="AH116" i="1"/>
  <c r="AH119" i="1"/>
  <c r="AH122" i="1"/>
  <c r="AH132" i="1"/>
  <c r="AH144" i="1"/>
  <c r="AH157" i="1"/>
  <c r="AH167" i="1"/>
  <c r="AH193" i="1"/>
  <c r="AH202" i="1"/>
  <c r="AH204" i="1"/>
  <c r="AH208" i="1"/>
  <c r="AH123" i="1"/>
  <c r="AH126" i="1"/>
  <c r="AH136" i="1"/>
  <c r="AH155" i="1"/>
  <c r="AH175" i="1"/>
  <c r="AH188" i="1"/>
  <c r="AH210" i="1"/>
  <c r="AH18" i="1"/>
  <c r="AH19" i="1"/>
  <c r="AH20" i="1"/>
  <c r="AH43" i="1"/>
  <c r="AH44" i="1"/>
  <c r="AH49" i="1"/>
  <c r="AH50" i="1"/>
  <c r="AH51" i="1"/>
  <c r="AH52" i="1"/>
  <c r="AH57" i="1"/>
  <c r="AH58" i="1"/>
  <c r="AH59" i="1"/>
  <c r="AH66" i="1"/>
  <c r="AH67" i="1"/>
  <c r="AH68" i="1"/>
  <c r="AH83" i="1"/>
  <c r="AH84" i="1"/>
  <c r="AH94" i="1"/>
  <c r="AH95" i="1"/>
  <c r="AH96" i="1"/>
  <c r="AH98" i="1"/>
  <c r="AH99" i="1"/>
  <c r="AH100" i="1"/>
  <c r="AH107" i="1"/>
  <c r="AH134" i="1"/>
  <c r="AH138" i="1"/>
  <c r="AH141" i="1"/>
  <c r="AH142" i="1"/>
  <c r="AH147" i="1"/>
  <c r="AH148" i="1"/>
  <c r="AH149" i="1"/>
  <c r="AH150" i="1"/>
  <c r="AH151" i="1"/>
  <c r="AH156" i="1"/>
  <c r="AH162" i="1"/>
  <c r="AH163" i="1"/>
  <c r="AH164" i="1"/>
  <c r="AH165" i="1"/>
  <c r="AH174" i="1"/>
  <c r="AH182" i="1"/>
  <c r="AH183" i="1"/>
  <c r="AH184" i="1"/>
  <c r="AH185" i="1"/>
  <c r="AH207" i="1"/>
  <c r="AH70" i="1"/>
  <c r="AH77" i="1"/>
  <c r="AH79" i="1"/>
  <c r="AH101" i="1"/>
  <c r="AH109" i="1"/>
  <c r="AH117" i="1"/>
  <c r="AH120" i="1"/>
  <c r="AH130" i="1"/>
  <c r="AH135" i="1"/>
  <c r="AH152" i="1"/>
  <c r="AH158" i="1"/>
  <c r="AH186" i="1"/>
  <c r="AH194" i="1"/>
  <c r="AH203" i="1"/>
  <c r="AH205" i="1"/>
  <c r="AH209" i="1"/>
  <c r="AH125" i="1"/>
  <c r="AH139" i="1"/>
  <c r="AH168" i="1"/>
  <c r="AH176" i="1"/>
  <c r="AH189" i="1"/>
  <c r="AH21" i="1"/>
  <c r="AH22" i="1"/>
  <c r="AH23" i="1"/>
  <c r="AH24" i="1"/>
  <c r="AH32" i="1"/>
  <c r="AH33" i="1"/>
  <c r="AH34" i="1"/>
  <c r="AH35" i="1"/>
  <c r="AH36" i="1"/>
  <c r="AH39" i="1"/>
  <c r="AH40" i="1"/>
  <c r="AH45" i="1"/>
  <c r="AH46" i="1"/>
  <c r="AH53" i="1"/>
  <c r="AH54" i="1"/>
  <c r="AH60" i="1"/>
  <c r="AH61" i="1"/>
  <c r="AH69" i="1"/>
  <c r="AH80" i="1"/>
  <c r="AH102" i="1"/>
  <c r="AH115" i="1"/>
  <c r="AH118" i="1"/>
  <c r="AH121" i="1"/>
  <c r="AH131" i="1"/>
  <c r="AH143" i="1"/>
  <c r="AH153" i="1"/>
  <c r="AH166" i="1"/>
  <c r="AH192" i="1"/>
  <c r="AH195" i="1"/>
  <c r="AH145" i="1"/>
  <c r="AH169" i="1"/>
  <c r="AH177" i="1"/>
  <c r="AH190" i="1"/>
  <c r="AH14" i="1"/>
  <c r="AH15" i="1"/>
  <c r="AH16" i="1"/>
  <c r="AH25" i="1"/>
  <c r="AH26" i="1"/>
  <c r="AH27" i="1"/>
  <c r="AH28" i="1"/>
  <c r="AH29" i="1"/>
  <c r="AH41" i="1"/>
  <c r="AH42" i="1"/>
  <c r="AH47" i="1"/>
  <c r="AH48" i="1"/>
  <c r="AH55" i="1"/>
  <c r="AH62" i="1"/>
  <c r="AH72" i="1"/>
  <c r="AH73" i="1"/>
  <c r="AH74" i="1"/>
  <c r="AH81" i="1"/>
  <c r="AH86" i="1"/>
  <c r="AH97" i="1"/>
  <c r="AH103" i="1"/>
  <c r="AH104" i="1"/>
  <c r="AH105" i="1"/>
  <c r="AH110" i="1"/>
  <c r="AH111" i="1"/>
  <c r="AH112" i="1"/>
  <c r="AH124" i="1"/>
  <c r="AH133" i="1"/>
  <c r="AH154" i="1"/>
  <c r="AH170" i="1"/>
  <c r="AH187" i="1"/>
  <c r="AH196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3" i="6" s="1"/>
  <c r="G162" i="4"/>
  <c r="H3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<sst xmlns="http://schemas.openxmlformats.org/spreadsheetml/2006/main" count="2199" uniqueCount="733">
  <si>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</si>
  <si>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</si>
  <si>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</si>
  <si>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</si>
  <si>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</si>
  <si>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</si>
  <si>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</si>
  <si>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</si>
  <si>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</si>
  <si>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</si>
  <si>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</si>
  <si>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</si>
  <si>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</si>
  <si>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</si>
  <si>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</si>
  <si>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</si>
  <si>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</si>
  <si>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</si>
  <si>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</si>
  <si>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</si>
  <si>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</si>
  <si>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</si>
  <si>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</si>
  <si>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</si>
  <si>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</si>
  <si>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</si>
  <si>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</si>
  <si>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</si>
  <si>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</si>
  <si>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</si>
  <si>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</si>
  <si>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</si>
  <si>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</si>
  <si>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</si>
  <si>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</si>
  <si>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</si>
  <si>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</si>
  <si>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</si>
  <si>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</si>
  <si>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</si>
  <si>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</si>
  <si>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</si>
  <si>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</si>
  <si>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</si>
  <si>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</si>
  <si>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</si>
  <si>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</si>
  <si>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</si>
  <si>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</si>
  <si>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</si>
  <si>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</si>
  <si>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</si>
  <si>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</si>
  <si>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</si>
  <si>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</si>
  <si>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</si>
  <si>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</si>
  <si>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</si>
  <si>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</si>
  <si>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</si>
  <si>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</si>
  <si>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</si>
  <si>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</si>
  <si>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</si>
  <si>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</si>
  <si>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</si>
  <si>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</si>
  <si>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</si>
  <si>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</si>
  <si>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</si>
  <si>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</si>
  <si>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</si>
  <si>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</si>
  <si>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</si>
  <si>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</si>
  <si>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</si>
  <si>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</si>
  <si>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</si>
  <si>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</si>
  <si>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</si>
  <si>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</si>
  <si>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</si>
  <si>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</si>
  <si>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</si>
  <si>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</si>
  <si>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</si>
  <si>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</si>
  <si>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</si>
  <si>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</si>
  <si>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</si>
  <si>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</si>
  <si>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</si>
  <si>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</si>
  <si>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</si>
  <si>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</si>
  <si>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</si>
  <si>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</si>
  <si>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</si>
  <si>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</si>
  <si>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</si>
  <si>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</si>
  <si>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</si>
  <si>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</si>
  <si>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</si>
  <si>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</si>
  <si>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</si>
  <si>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</si>
  <si>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</si>
  <si>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</si>
  <si>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</si>
  <si>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</si>
  <si>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</si>
  <si>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</si>
  <si>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</si>
  <si>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</si>
  <si>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</si>
  <si>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</si>
  <si>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</si>
  <si>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</si>
  <si>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</si>
  <si>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</si>
  <si>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</si>
  <si>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</si>
  <si>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</si>
  <si>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</si>
  <si>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</si>
  <si>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</si>
  <si>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</si>
  <si>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</si>
  <si>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</si>
  <si>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</si>
  <si>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</si>
  <si>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</si>
  <si>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</si>
  <si>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</si>
  <si>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</si>
  <si>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</si>
  <si>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</si>
  <si>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</si>
  <si>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</si>
  <si>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</si>
  <si>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</si>
  <si>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</si>
  <si>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</si>
  <si>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</si>
  <si>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</si>
  <si>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</si>
  <si>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</si>
  <si>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</si>
  <si>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</si>
  <si>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</si>
  <si>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</si>
  <si>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</si>
  <si>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</si>
  <si>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</si>
  <si>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</si>
  <si>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</si>
  <si>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</si>
  <si>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</si>
  <si>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</si>
  <si>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</si>
  <si>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</si>
  <si>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</si>
  <si>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</si>
  <si>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</si>
  <si>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</si>
  <si>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</si>
  <si>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</si>
  <si>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</si>
  <si>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</si>
  <si>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</si>
  <si>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</si>
  <si>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</si>
  <si>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</si>
  <si>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</si>
  <si>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</si>
  <si>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</si>
  <si>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</si>
  <si>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</si>
  <si>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</si>
  <si>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</si>
  <si>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</si>
  <si>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</si>
  <si>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</si>
  <si>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</si>
  <si>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</si>
  <si>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</si>
  <si>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</si>
  <si>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</si>
  <si>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</si>
  <si>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</si>
  <si>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</si>
  <si>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</si>
  <si>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</si>
  <si>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</si>
  <si>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</si>
  <si>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</si>
  <si>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</si>
  <si>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</si>
  <si>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</si>
  <si>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</si>
  <si>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</si>
  <si>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</si>
  <si>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</si>
  <si>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</si>
  <si>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</si>
  <si>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</si>
  <si>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</si>
  <si>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</si>
  <si>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</si>
  <si>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</si>
  <si>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</si>
  <si>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</si>
  <si>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</si>
  <si>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</si>
  <si>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</si>
  <si>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</si>
  <si>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</si>
  <si>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</si>
  <si>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</si>
  <si>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</si>
  <si>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</si>
  <si>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</si>
  <si>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</si>
  <si>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</si>
  <si>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</si>
  <si>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</si>
  <si>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</si>
  <si>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204:139</t>
  </si>
  <si>
    <t>204:458</t>
  </si>
  <si>
    <t>204:467</t>
  </si>
  <si>
    <t>204:460</t>
  </si>
  <si>
    <t>human_readable_time</t>
  </si>
  <si>
    <t>204:138</t>
  </si>
  <si>
    <t>204:232994</t>
  </si>
  <si>
    <t>204:469</t>
  </si>
  <si>
    <t>204:462</t>
  </si>
  <si>
    <t>rtdc.l.rtdc.4044:itc</t>
  </si>
  <si>
    <t>rtdc.l.rtdc.4043:itc</t>
  </si>
  <si>
    <t>STURGEON</t>
  </si>
  <si>
    <t>Loco - PTC</t>
  </si>
  <si>
    <t>Power</t>
  </si>
  <si>
    <t>204:233297</t>
  </si>
  <si>
    <t>rtdc.l.rtdc.4003:itc</t>
  </si>
  <si>
    <t>rtdc.l.rtdc.4004:itc</t>
  </si>
  <si>
    <t>YANAI</t>
  </si>
  <si>
    <t>CHANDLER</t>
  </si>
  <si>
    <t>204:156</t>
  </si>
  <si>
    <t>rtdc.l.rtdc.4011:itc</t>
  </si>
  <si>
    <t>rtdc.l.rtdc.4012:itc</t>
  </si>
  <si>
    <t>204:233314</t>
  </si>
  <si>
    <t>CLI Grep</t>
  </si>
  <si>
    <t>204:233295</t>
  </si>
  <si>
    <t>204:145</t>
  </si>
  <si>
    <t>204:233000</t>
  </si>
  <si>
    <t>rtdc.l.rtdc.4008:itc</t>
  </si>
  <si>
    <t>204:141</t>
  </si>
  <si>
    <t>204:442</t>
  </si>
  <si>
    <t>204:233312</t>
  </si>
  <si>
    <t>Early arrival</t>
  </si>
  <si>
    <t>rtdc.l.rtdc.4014:itc</t>
  </si>
  <si>
    <t>HELVIE</t>
  </si>
  <si>
    <t>204:232996</t>
  </si>
  <si>
    <t>204:232998</t>
  </si>
  <si>
    <t>204:446</t>
  </si>
  <si>
    <t>204:233300</t>
  </si>
  <si>
    <t>Time (US/Mountain)</t>
  </si>
  <si>
    <t>Source</t>
  </si>
  <si>
    <t>Employee Identifier</t>
  </si>
  <si>
    <t>Employee Last Name</t>
  </si>
  <si>
    <t>rtdc.l.rtdc.4016:itc</t>
  </si>
  <si>
    <t>204:233284</t>
  </si>
  <si>
    <t>204:464</t>
  </si>
  <si>
    <t>204:232973</t>
  </si>
  <si>
    <t>Form C</t>
  </si>
  <si>
    <t>rtdc.l.rtdc.4029:itc</t>
  </si>
  <si>
    <t>MALAVE</t>
  </si>
  <si>
    <t>rtdc.l.rtdc.4054:itc</t>
  </si>
  <si>
    <t>rtdc.l.rtdc.4030:itc</t>
  </si>
  <si>
    <t>NEWELL</t>
  </si>
  <si>
    <t>204:143</t>
  </si>
  <si>
    <t>204:232977</t>
  </si>
  <si>
    <t>204:232975</t>
  </si>
  <si>
    <t>204:233306</t>
  </si>
  <si>
    <t>204:233299</t>
  </si>
  <si>
    <t>204:438</t>
  </si>
  <si>
    <t>clear-night</t>
  </si>
  <si>
    <t>Clear</t>
  </si>
  <si>
    <t>clear-day</t>
  </si>
  <si>
    <t>DAVIS</t>
  </si>
  <si>
    <t>rtdc.l.rtdc.4017:itc</t>
  </si>
  <si>
    <t>rtdc.l.rtdc.4015:itc</t>
  </si>
  <si>
    <t>rtdc.l.rtdc.4018:itc</t>
  </si>
  <si>
    <t>STEWART</t>
  </si>
  <si>
    <t>CLARK</t>
  </si>
  <si>
    <t>BONDS</t>
  </si>
  <si>
    <t>SWANSON</t>
  </si>
  <si>
    <t>246-23</t>
  </si>
  <si>
    <t>313-23</t>
  </si>
  <si>
    <t>315-23</t>
  </si>
  <si>
    <t>Y</t>
  </si>
  <si>
    <t>204:165</t>
  </si>
  <si>
    <t>204:233301</t>
  </si>
  <si>
    <t>204:233319</t>
  </si>
  <si>
    <t>204:233281</t>
  </si>
  <si>
    <t>204:477</t>
  </si>
  <si>
    <t>204:232979</t>
  </si>
  <si>
    <t>204:233274</t>
  </si>
  <si>
    <t>204:232986</t>
  </si>
  <si>
    <t>204:233266</t>
  </si>
  <si>
    <t>rtdc.l.rtdc.4053:itc</t>
  </si>
  <si>
    <t>rtdc.l.rtdc.4007:itc</t>
  </si>
  <si>
    <t>ACKERMAN</t>
  </si>
  <si>
    <t>BARTLETT</t>
  </si>
  <si>
    <t>BRUDER</t>
  </si>
  <si>
    <t>204:486</t>
  </si>
  <si>
    <t>204:232982</t>
  </si>
  <si>
    <t>204:232985</t>
  </si>
  <si>
    <t>204:473</t>
  </si>
  <si>
    <t>204:233336</t>
  </si>
  <si>
    <t>204:449</t>
  </si>
  <si>
    <t>204:233305</t>
  </si>
  <si>
    <t>204:232980</t>
  </si>
  <si>
    <t>204:232984</t>
  </si>
  <si>
    <t>204:233303</t>
  </si>
  <si>
    <t>204:232971</t>
  </si>
  <si>
    <t>204:232970</t>
  </si>
  <si>
    <t>Onboard in-route failure</t>
  </si>
  <si>
    <t>Reactive Warning (1)</t>
  </si>
  <si>
    <t>204:233272</t>
  </si>
  <si>
    <t>204:127</t>
  </si>
  <si>
    <t>204:422</t>
  </si>
  <si>
    <t>204:232976</t>
  </si>
  <si>
    <t>204:232961</t>
  </si>
  <si>
    <t>204:233289</t>
  </si>
  <si>
    <t>204:233006</t>
  </si>
  <si>
    <t>204:233003</t>
  </si>
  <si>
    <t>204:233325</t>
  </si>
  <si>
    <t>204:233298</t>
  </si>
  <si>
    <t>204:233278</t>
  </si>
  <si>
    <t>204:233286</t>
  </si>
  <si>
    <t>204:178</t>
  </si>
  <si>
    <t>204:504</t>
  </si>
  <si>
    <t>204:232957</t>
  </si>
  <si>
    <t>204:489</t>
  </si>
  <si>
    <t>204:233276</t>
  </si>
  <si>
    <t>204:191</t>
  </si>
  <si>
    <t>204:233315</t>
  </si>
  <si>
    <t>204:488</t>
  </si>
  <si>
    <t>204:233002</t>
  </si>
  <si>
    <t>204:444</t>
  </si>
  <si>
    <t>242-25</t>
  </si>
  <si>
    <t>300:23302</t>
  </si>
  <si>
    <t>313-25</t>
  </si>
  <si>
    <t>204:478</t>
  </si>
  <si>
    <t>315-25</t>
  </si>
  <si>
    <t>300:22274</t>
  </si>
  <si>
    <t>204:113</t>
  </si>
  <si>
    <t>300:23306</t>
  </si>
  <si>
    <t>300:58992</t>
  </si>
  <si>
    <t>300:58679</t>
  </si>
  <si>
    <t>KILLION</t>
  </si>
  <si>
    <t>YORK</t>
  </si>
  <si>
    <t>YOUNG</t>
  </si>
  <si>
    <t>LEVERE</t>
  </si>
  <si>
    <t>311-25</t>
  </si>
  <si>
    <t>244-25</t>
  </si>
  <si>
    <t>Pena 4S STOP, cleared afterward</t>
  </si>
  <si>
    <t>61st 2N STOP, cleared afterward</t>
  </si>
  <si>
    <t>101-26</t>
  </si>
  <si>
    <t>204:797</t>
  </si>
  <si>
    <t>204:233343</t>
  </si>
  <si>
    <t>102-26</t>
  </si>
  <si>
    <t>204:232685</t>
  </si>
  <si>
    <t>103-26</t>
  </si>
  <si>
    <t>204:695</t>
  </si>
  <si>
    <t>204:233382</t>
  </si>
  <si>
    <t>104-26</t>
  </si>
  <si>
    <t>204:232735</t>
  </si>
  <si>
    <t>105-26</t>
  </si>
  <si>
    <t>204:757</t>
  </si>
  <si>
    <t>106-26</t>
  </si>
  <si>
    <t>204:232664</t>
  </si>
  <si>
    <t>107-26</t>
  </si>
  <si>
    <t>204:233323</t>
  </si>
  <si>
    <t>108-26</t>
  </si>
  <si>
    <t>109-26</t>
  </si>
  <si>
    <t>204:427</t>
  </si>
  <si>
    <t>110-26</t>
  </si>
  <si>
    <t>111-26</t>
  </si>
  <si>
    <t>204:723</t>
  </si>
  <si>
    <t>112-26</t>
  </si>
  <si>
    <t>204:136</t>
  </si>
  <si>
    <t>113-26</t>
  </si>
  <si>
    <t>114-26</t>
  </si>
  <si>
    <t>115-26</t>
  </si>
  <si>
    <t>204:803</t>
  </si>
  <si>
    <t>116-26</t>
  </si>
  <si>
    <t>117-26</t>
  </si>
  <si>
    <t>118-26</t>
  </si>
  <si>
    <t>204:232969</t>
  </si>
  <si>
    <t>119-26</t>
  </si>
  <si>
    <t>204:741</t>
  </si>
  <si>
    <t>120-26</t>
  </si>
  <si>
    <t>204:232989</t>
  </si>
  <si>
    <t>121-26</t>
  </si>
  <si>
    <t>122-26</t>
  </si>
  <si>
    <t>123-26</t>
  </si>
  <si>
    <t>204:233283</t>
  </si>
  <si>
    <t>124-26</t>
  </si>
  <si>
    <t>204:170</t>
  </si>
  <si>
    <t>125-26</t>
  </si>
  <si>
    <t>126-26</t>
  </si>
  <si>
    <t>204:232959</t>
  </si>
  <si>
    <t>127-26</t>
  </si>
  <si>
    <t>128-26</t>
  </si>
  <si>
    <t>204:232987</t>
  </si>
  <si>
    <t>129-26</t>
  </si>
  <si>
    <t>130-26</t>
  </si>
  <si>
    <t>131-26</t>
  </si>
  <si>
    <t>132-26</t>
  </si>
  <si>
    <t>133-26</t>
  </si>
  <si>
    <t>204:233311</t>
  </si>
  <si>
    <t>134-26</t>
  </si>
  <si>
    <t>135-26</t>
  </si>
  <si>
    <t>136-26</t>
  </si>
  <si>
    <t>137-26</t>
  </si>
  <si>
    <t>138-26</t>
  </si>
  <si>
    <t>204:232978</t>
  </si>
  <si>
    <t>139-26</t>
  </si>
  <si>
    <t>140-26</t>
  </si>
  <si>
    <t>141-26</t>
  </si>
  <si>
    <t>204:19125</t>
  </si>
  <si>
    <t>204:233293</t>
  </si>
  <si>
    <t>204:899</t>
  </si>
  <si>
    <t>142-26</t>
  </si>
  <si>
    <t>204:61</t>
  </si>
  <si>
    <t>143-26</t>
  </si>
  <si>
    <t>144-26</t>
  </si>
  <si>
    <t>145-26</t>
  </si>
  <si>
    <t>146-26</t>
  </si>
  <si>
    <t>147-26</t>
  </si>
  <si>
    <t>204:233302</t>
  </si>
  <si>
    <t>148-26</t>
  </si>
  <si>
    <t>149-26</t>
  </si>
  <si>
    <t>204:233307</t>
  </si>
  <si>
    <t>150-26</t>
  </si>
  <si>
    <t>151-26</t>
  </si>
  <si>
    <t>204:233304</t>
  </si>
  <si>
    <t>152-26</t>
  </si>
  <si>
    <t>204:232993</t>
  </si>
  <si>
    <t>204:345</t>
  </si>
  <si>
    <t>153-26</t>
  </si>
  <si>
    <t>154-26</t>
  </si>
  <si>
    <t>155-26</t>
  </si>
  <si>
    <t>156-26</t>
  </si>
  <si>
    <t>157-26</t>
  </si>
  <si>
    <t>158-26</t>
  </si>
  <si>
    <t>204:127866</t>
  </si>
  <si>
    <t>159-26</t>
  </si>
  <si>
    <t>160-26</t>
  </si>
  <si>
    <t>161-26</t>
  </si>
  <si>
    <t>162-26</t>
  </si>
  <si>
    <t>204:336</t>
  </si>
  <si>
    <t>163-26</t>
  </si>
  <si>
    <t>204:233338</t>
  </si>
  <si>
    <t>164-26</t>
  </si>
  <si>
    <t>165-26</t>
  </si>
  <si>
    <t>204:19113</t>
  </si>
  <si>
    <t>166-26</t>
  </si>
  <si>
    <t>167-26</t>
  </si>
  <si>
    <t>168-26</t>
  </si>
  <si>
    <t>204:232981</t>
  </si>
  <si>
    <t>169-26</t>
  </si>
  <si>
    <t>170-26</t>
  </si>
  <si>
    <t>171-26</t>
  </si>
  <si>
    <t>172-26</t>
  </si>
  <si>
    <t>173-26</t>
  </si>
  <si>
    <t>204:493</t>
  </si>
  <si>
    <t>174-26</t>
  </si>
  <si>
    <t>175-26</t>
  </si>
  <si>
    <t>204:631</t>
  </si>
  <si>
    <t>204:233321</t>
  </si>
  <si>
    <t>176-26</t>
  </si>
  <si>
    <t>177-26</t>
  </si>
  <si>
    <t>178-26</t>
  </si>
  <si>
    <t>179-26</t>
  </si>
  <si>
    <t>180-26</t>
  </si>
  <si>
    <t>181-26</t>
  </si>
  <si>
    <t>182-26</t>
  </si>
  <si>
    <t>183-26</t>
  </si>
  <si>
    <t>184-26</t>
  </si>
  <si>
    <t>185-26</t>
  </si>
  <si>
    <t>186-26</t>
  </si>
  <si>
    <t>187-26</t>
  </si>
  <si>
    <t>188-26</t>
  </si>
  <si>
    <t>189-26</t>
  </si>
  <si>
    <t>190-26</t>
  </si>
  <si>
    <t>191-26</t>
  </si>
  <si>
    <t>192-26</t>
  </si>
  <si>
    <t>193-26</t>
  </si>
  <si>
    <t>194-26</t>
  </si>
  <si>
    <t>204:194</t>
  </si>
  <si>
    <t>195-26</t>
  </si>
  <si>
    <t>196-26</t>
  </si>
  <si>
    <t>197-26</t>
  </si>
  <si>
    <t>198-26</t>
  </si>
  <si>
    <t>199-26</t>
  </si>
  <si>
    <t>200-26</t>
  </si>
  <si>
    <t>201-26</t>
  </si>
  <si>
    <t>202-26</t>
  </si>
  <si>
    <t>204:161</t>
  </si>
  <si>
    <t>203-26</t>
  </si>
  <si>
    <t>204:482</t>
  </si>
  <si>
    <t>204-26</t>
  </si>
  <si>
    <t>205-26</t>
  </si>
  <si>
    <t>206-26</t>
  </si>
  <si>
    <t>207-26</t>
  </si>
  <si>
    <t>204:498</t>
  </si>
  <si>
    <t>208-26</t>
  </si>
  <si>
    <t>204:167</t>
  </si>
  <si>
    <t>209-26</t>
  </si>
  <si>
    <t>210-26</t>
  </si>
  <si>
    <t>211-26</t>
  </si>
  <si>
    <t>212-26</t>
  </si>
  <si>
    <t>204:232983</t>
  </si>
  <si>
    <t>204:123</t>
  </si>
  <si>
    <t>213-26</t>
  </si>
  <si>
    <t>214-26</t>
  </si>
  <si>
    <t>204:172</t>
  </si>
  <si>
    <t>215-26</t>
  </si>
  <si>
    <t>216-26</t>
  </si>
  <si>
    <t>217-26</t>
  </si>
  <si>
    <t>204:480</t>
  </si>
  <si>
    <t>218-26</t>
  </si>
  <si>
    <t>204:232965</t>
  </si>
  <si>
    <t>219-26</t>
  </si>
  <si>
    <t>220-26</t>
  </si>
  <si>
    <t>221-26</t>
  </si>
  <si>
    <t>222-26</t>
  </si>
  <si>
    <t>204:189</t>
  </si>
  <si>
    <t>223-26</t>
  </si>
  <si>
    <t>224-26</t>
  </si>
  <si>
    <t>204:232960</t>
  </si>
  <si>
    <t>225-26</t>
  </si>
  <si>
    <t>226-26</t>
  </si>
  <si>
    <t>227-26</t>
  </si>
  <si>
    <t>228-26</t>
  </si>
  <si>
    <t>204:220</t>
  </si>
  <si>
    <t>229-26</t>
  </si>
  <si>
    <t>230-26</t>
  </si>
  <si>
    <t>204:214</t>
  </si>
  <si>
    <t>231-26</t>
  </si>
  <si>
    <t>232-26</t>
  </si>
  <si>
    <t>233-26</t>
  </si>
  <si>
    <t>234-26</t>
  </si>
  <si>
    <t>235-26</t>
  </si>
  <si>
    <t>204:515</t>
  </si>
  <si>
    <t>236-26</t>
  </si>
  <si>
    <t>237-26</t>
  </si>
  <si>
    <t>204:511</t>
  </si>
  <si>
    <t>238-26</t>
  </si>
  <si>
    <t>239-26</t>
  </si>
  <si>
    <t>240-26</t>
  </si>
  <si>
    <t>241-26</t>
  </si>
  <si>
    <t>242-26</t>
  </si>
  <si>
    <t>204:68</t>
  </si>
  <si>
    <t>243-26</t>
  </si>
  <si>
    <t>244-26</t>
  </si>
  <si>
    <t>204:140</t>
  </si>
  <si>
    <t>303-26</t>
  </si>
  <si>
    <t>309-26</t>
  </si>
  <si>
    <t>300:22846</t>
  </si>
  <si>
    <t>311-26</t>
  </si>
  <si>
    <t>300:23058</t>
  </si>
  <si>
    <t>313-26</t>
  </si>
  <si>
    <t>204:381</t>
  </si>
  <si>
    <t>300:22221</t>
  </si>
  <si>
    <t>315-26</t>
  </si>
  <si>
    <t>204:439</t>
  </si>
  <si>
    <t>300:23117</t>
  </si>
  <si>
    <t>63-26</t>
  </si>
  <si>
    <t>204:1160</t>
  </si>
  <si>
    <t>800-26</t>
  </si>
  <si>
    <t>300:57337</t>
  </si>
  <si>
    <t>204:633</t>
  </si>
  <si>
    <t>801-26</t>
  </si>
  <si>
    <t>204:953</t>
  </si>
  <si>
    <t>300:58071</t>
  </si>
  <si>
    <t>802-26</t>
  </si>
  <si>
    <t>300:58707</t>
  </si>
  <si>
    <t>204:656</t>
  </si>
  <si>
    <t>803-26</t>
  </si>
  <si>
    <t>204:1039</t>
  </si>
  <si>
    <t>300:58939</t>
  </si>
  <si>
    <t>804-26</t>
  </si>
  <si>
    <t>300:58617</t>
  </si>
  <si>
    <t>204:694</t>
  </si>
  <si>
    <t>805-26</t>
  </si>
  <si>
    <t>204:944</t>
  </si>
  <si>
    <t>300:58070</t>
  </si>
  <si>
    <t>806-26</t>
  </si>
  <si>
    <t>300:58704</t>
  </si>
  <si>
    <t>204:661</t>
  </si>
  <si>
    <t>807-26</t>
  </si>
  <si>
    <t>204:981</t>
  </si>
  <si>
    <t>300:58920</t>
  </si>
  <si>
    <t>808-26</t>
  </si>
  <si>
    <t>300:58608</t>
  </si>
  <si>
    <t>204:692</t>
  </si>
  <si>
    <t>809-26</t>
  </si>
  <si>
    <t>204:941</t>
  </si>
  <si>
    <t>300:58093</t>
  </si>
  <si>
    <t>810-26</t>
  </si>
  <si>
    <t>204:825</t>
  </si>
  <si>
    <t>811-26</t>
  </si>
  <si>
    <t>204:964</t>
  </si>
  <si>
    <t>300:58928</t>
  </si>
  <si>
    <t>812-26</t>
  </si>
  <si>
    <t>300:58615</t>
  </si>
  <si>
    <t>204:734</t>
  </si>
  <si>
    <t>813-26</t>
  </si>
  <si>
    <t>204:1028</t>
  </si>
  <si>
    <t>300:39716</t>
  </si>
  <si>
    <t>814-26</t>
  </si>
  <si>
    <t>300:58621</t>
  </si>
  <si>
    <t>204:696</t>
  </si>
  <si>
    <t>815-26</t>
  </si>
  <si>
    <t>204:986</t>
  </si>
  <si>
    <t>300:58926</t>
  </si>
  <si>
    <t>816-26</t>
  </si>
  <si>
    <t>300:58602</t>
  </si>
  <si>
    <t>204:703</t>
  </si>
  <si>
    <t>817-26</t>
  </si>
  <si>
    <t>204:988</t>
  </si>
  <si>
    <t>300:58944</t>
  </si>
  <si>
    <t>818-26</t>
  </si>
  <si>
    <t>204:745</t>
  </si>
  <si>
    <t>819-26</t>
  </si>
  <si>
    <t>204:1021</t>
  </si>
  <si>
    <t>300:58924</t>
  </si>
  <si>
    <t>820-26</t>
  </si>
  <si>
    <t>300:58609</t>
  </si>
  <si>
    <t>204:699</t>
  </si>
  <si>
    <t>821-26</t>
  </si>
  <si>
    <t>204:999</t>
  </si>
  <si>
    <t>300:58963</t>
  </si>
  <si>
    <t>822-26</t>
  </si>
  <si>
    <t>300:58643</t>
  </si>
  <si>
    <t>204:677</t>
  </si>
  <si>
    <t>823-26</t>
  </si>
  <si>
    <t>204:962</t>
  </si>
  <si>
    <t>300:58954</t>
  </si>
  <si>
    <t>824-26</t>
  </si>
  <si>
    <t>300:58640</t>
  </si>
  <si>
    <t>825-26</t>
  </si>
  <si>
    <t>204:969</t>
  </si>
  <si>
    <t>300:58961</t>
  </si>
  <si>
    <t>826-26</t>
  </si>
  <si>
    <t>300:58632</t>
  </si>
  <si>
    <t>204:687</t>
  </si>
  <si>
    <t>827-26</t>
  </si>
  <si>
    <t>204:892</t>
  </si>
  <si>
    <t>300:58971</t>
  </si>
  <si>
    <t>828-26</t>
  </si>
  <si>
    <t>300:58672</t>
  </si>
  <si>
    <t>204:740</t>
  </si>
  <si>
    <t>829-26</t>
  </si>
  <si>
    <t>204:972</t>
  </si>
  <si>
    <t>300:58965</t>
  </si>
  <si>
    <t>830-26</t>
  </si>
  <si>
    <t>300:58649</t>
  </si>
  <si>
    <t>204:754</t>
  </si>
  <si>
    <t>831-26</t>
  </si>
  <si>
    <t>204:1027</t>
  </si>
  <si>
    <t>832-26</t>
  </si>
  <si>
    <t>300:58677</t>
  </si>
  <si>
    <t>204:684</t>
  </si>
  <si>
    <t>833-26</t>
  </si>
  <si>
    <t>204:965</t>
  </si>
  <si>
    <t>300:58982</t>
  </si>
  <si>
    <t>834-26</t>
  </si>
  <si>
    <t>300:58666</t>
  </si>
  <si>
    <t>835-26</t>
  </si>
  <si>
    <t>300:58969</t>
  </si>
  <si>
    <t>836-26</t>
  </si>
  <si>
    <t>300:58658</t>
  </si>
  <si>
    <t>837-26</t>
  </si>
  <si>
    <t>204:974</t>
  </si>
  <si>
    <t>838-26</t>
  </si>
  <si>
    <t>300:58655</t>
  </si>
  <si>
    <t>204:668</t>
  </si>
  <si>
    <t>839-26</t>
  </si>
  <si>
    <t>204:950</t>
  </si>
  <si>
    <t>300:58952</t>
  </si>
  <si>
    <t>840-26</t>
  </si>
  <si>
    <t>841-26</t>
  </si>
  <si>
    <t>204:967</t>
  </si>
  <si>
    <t>300:58997</t>
  </si>
  <si>
    <t>842-26</t>
  </si>
  <si>
    <t>300:58638</t>
  </si>
  <si>
    <t>843-26</t>
  </si>
  <si>
    <t>300:58950</t>
  </si>
  <si>
    <t>845-26</t>
  </si>
  <si>
    <t>204:979</t>
  </si>
  <si>
    <t>847-26</t>
  </si>
  <si>
    <t>204:894</t>
  </si>
  <si>
    <t>904-26</t>
  </si>
  <si>
    <t>300:22673</t>
  </si>
  <si>
    <t>204:607</t>
  </si>
  <si>
    <t>rtdc.l.rtdc.4045:itc</t>
  </si>
  <si>
    <t>rtdc.l.rtdc.4013:itc</t>
  </si>
  <si>
    <t>BRANNON</t>
  </si>
  <si>
    <t>SPECTOR</t>
  </si>
  <si>
    <t>STARKS</t>
  </si>
  <si>
    <t>902-26</t>
  </si>
  <si>
    <t>ISHMAEL</t>
  </si>
  <si>
    <t>OUN</t>
  </si>
  <si>
    <t>906-26</t>
  </si>
  <si>
    <t>844-26</t>
  </si>
  <si>
    <t>Summary for DUS 2016-09-26: Clear throughout the day.</t>
  </si>
  <si>
    <t>At 08:47:31, received a cut out command from TMDS. Was there a bulletin retrieval failure or something else?</t>
  </si>
  <si>
    <t>Train received cut out command from TMDS (bulletin failure?)</t>
  </si>
  <si>
    <t>Multiple CPU Faults at 11:42:36</t>
  </si>
  <si>
    <t>Dispatcher error - prevented init at DUS</t>
  </si>
  <si>
    <t>Several failed attempts to init from 11:40 - 11:50</t>
  </si>
  <si>
    <t>Multiple CPU Faults at 16:12:05</t>
  </si>
  <si>
    <t>Mechanical failure</t>
  </si>
  <si>
    <t>At ~09:30:30, it seems that Pecos 4N unexpectedly changed to STOP. Do you see anything related to that?</t>
  </si>
  <si>
    <t>Poor GPS at I-25 bridge</t>
  </si>
  <si>
    <t>Track circuit issue caused Pecos 4N to stay stuck at STOP</t>
  </si>
  <si>
    <t>Bright 2N sudden downgrade to STOP</t>
  </si>
  <si>
    <t>At 06:48:02, Bright 2N downgraded to STOP unexpectedly. Anything odd here?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</si>
</sst>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6"/>
  <sheetViews>
    <sheetView topLeftCell="A46" workbookViewId="0">
      <selection activeCell="R171" sqref="R171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1406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57" customWidth="1"/>
    <col min="22" max="22" width="5.7109375" style="100" customWidth="1"/>
    <col min="23" max="23" width="3.85546875" style="22" customWidth="1"/>
    <col min="24" max="24" width="5.28515625" style="162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3" customWidth="1"/>
    <col min="32" max="32" width="6.28515625" style="90" customWidth="1"/>
    <col min="33" max="33" width="5.42578125" customWidth="1"/>
    <col min="34" max="34" width="5" style="96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3"/>
      <c r="V1" s="42"/>
      <c r="W1" s="43"/>
      <c r="X1" s="157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4">
        <f>Variables!$A$2</f>
        <v>42639</v>
      </c>
      <c r="J2" s="75"/>
      <c r="K2" s="76"/>
      <c r="L2" s="76"/>
      <c r="M2" s="77" t="s">
        <v>8</v>
      </c>
      <c r="N2" s="78"/>
      <c r="O2" s="79"/>
      <c r="P2" s="2"/>
      <c r="R2" s="74">
        <f>Variables!$A$2</f>
        <v>42639</v>
      </c>
      <c r="S2" s="75"/>
      <c r="T2" s="76"/>
      <c r="U2" s="154"/>
      <c r="V2" s="98" t="s">
        <v>8</v>
      </c>
      <c r="W2" s="78"/>
      <c r="X2" s="160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0" t="s">
        <v>10</v>
      </c>
      <c r="J3" s="81"/>
      <c r="K3" s="82"/>
      <c r="L3" s="82"/>
      <c r="M3" s="44" t="s">
        <v>11</v>
      </c>
      <c r="N3" s="45" t="s">
        <v>12</v>
      </c>
      <c r="O3" s="3" t="s">
        <v>13</v>
      </c>
      <c r="P3" s="2"/>
      <c r="R3" s="80" t="s">
        <v>10</v>
      </c>
      <c r="S3" s="81"/>
      <c r="T3" s="82"/>
      <c r="U3" s="155"/>
      <c r="V3" s="44" t="s">
        <v>11</v>
      </c>
      <c r="W3" s="45" t="s">
        <v>12</v>
      </c>
      <c r="X3" s="161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3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3" t="s">
        <v>14</v>
      </c>
      <c r="S4" s="57">
        <f>SUM(S5:S7)</f>
        <v>46</v>
      </c>
      <c r="T4" s="46"/>
      <c r="U4" s="156"/>
      <c r="V4" s="47" t="s">
        <v>15</v>
      </c>
      <c r="W4" s="45" t="s">
        <v>15</v>
      </c>
      <c r="X4" s="161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3" t="s">
        <v>17</v>
      </c>
      <c r="J5" s="57">
        <f>COUNTIFS($N$13:$N$9389,"&gt;0",$AG$13:$AG$9389,I1)</f>
        <v>140</v>
      </c>
      <c r="K5" s="46"/>
      <c r="L5" s="46"/>
      <c r="M5" s="47">
        <f>AVERAGEIFS($N$13:$N$9389,$AG$13:$AG$9389,I1)</f>
        <v>40.688214285856311</v>
      </c>
      <c r="N5" s="45">
        <f t="array" ref="N5">MIN(IF($AG$13:$AG$9389=I1,IF(ISNUMBER($N$13:$N$9389),IF($N$13:$N$9389&gt;0,$N$13:$N$9389))))</f>
        <v>34.899999996414408</v>
      </c>
      <c r="O5" s="3">
        <f t="array" ref="O5">MAX(IF($AG$13:$AG$9389=I1,IF(ISNUMBER($N$13:$N$9389),IF($N$13:$N$9389&gt;0,$N$13:$N$9389))))</f>
        <v>128.28333333483897</v>
      </c>
      <c r="P5" s="2"/>
      <c r="R5" s="83" t="s">
        <v>17</v>
      </c>
      <c r="S5" s="57">
        <f>COUNTIFS($N$13:$N$9389,"&gt;0",$AG$13:$AG$9389,R1)</f>
        <v>45</v>
      </c>
      <c r="T5" s="46"/>
      <c r="U5" s="156"/>
      <c r="V5" s="47">
        <f>AVERAGEIFS($N$13:$N$9389,$AG$13:$AG$9389,R1)</f>
        <v>15.394814814440906</v>
      </c>
      <c r="W5" s="45">
        <f t="array" ref="W5">MIN(IF($AG$13:$AG$9389=R1,IF(ISNUMBER($N$13:$N$9389),IF($N$13:$N$9389&gt;0,$N$13:$N$9389))))</f>
        <v>13.333333327900618</v>
      </c>
      <c r="X5" s="161">
        <f t="array" ref="X5">MAX(IF($AG$13:$AG$9389=R1,IF(ISNUMBER($N$13:$N$9389),IF($N$13:$N$9389&gt;0,$N$13:$N$9389))))</f>
        <v>19.433333328925073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4" t="s">
        <v>43</v>
      </c>
      <c r="J6" s="57">
        <f>COUNT($O$13:$O$164)</f>
        <v>0</v>
      </c>
      <c r="K6" s="46"/>
      <c r="L6" s="46"/>
      <c r="M6" s="47">
        <f>IFERROR(AVERAGE($O$13:$O$164),0)</f>
        <v>0</v>
      </c>
      <c r="N6" s="45">
        <f>MIN($O$13:$O$164)</f>
        <v>0</v>
      </c>
      <c r="O6" s="3">
        <f>MAX($O$13:$O$164)</f>
        <v>0</v>
      </c>
      <c r="P6" s="2"/>
      <c r="R6" s="84" t="s">
        <v>43</v>
      </c>
      <c r="S6" s="57">
        <f>COUNT($O$13:$O$164)</f>
        <v>0</v>
      </c>
      <c r="T6" s="46"/>
      <c r="U6" s="156"/>
      <c r="V6" s="47">
        <f>IFERROR(AVERAGE($O$13:$O$164),0)</f>
        <v>0</v>
      </c>
      <c r="W6" s="45">
        <f>MIN($O$13:$O$164)</f>
        <v>0</v>
      </c>
      <c r="X6" s="161">
        <f>MAX($O$13:$O$164)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5" t="s">
        <v>9</v>
      </c>
      <c r="J7" s="57">
        <f>COUNTIFS($P$13:$P$9389,"&gt;0",$AG$13:$AG$9389,I1)</f>
        <v>4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5" t="s">
        <v>9</v>
      </c>
      <c r="S7" s="57">
        <f>COUNTIFS($P$13:$P$9389,"&gt;0",$AG$13:$AG$9389,R1)</f>
        <v>1</v>
      </c>
      <c r="T7" s="46"/>
      <c r="U7" s="156"/>
      <c r="V7" s="47" t="s">
        <v>15</v>
      </c>
      <c r="W7" s="45" t="s">
        <v>15</v>
      </c>
      <c r="X7" s="161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3" t="s">
        <v>16</v>
      </c>
      <c r="J8" s="57">
        <f>J5</f>
        <v>140</v>
      </c>
      <c r="K8" s="46"/>
      <c r="L8" s="46"/>
      <c r="M8" s="47">
        <f>M5</f>
        <v>40.688214285856311</v>
      </c>
      <c r="N8" s="45">
        <f>N5</f>
        <v>34.899999996414408</v>
      </c>
      <c r="O8" s="3">
        <f>O5</f>
        <v>128.28333333483897</v>
      </c>
      <c r="P8" s="2"/>
      <c r="R8" s="83" t="s">
        <v>16</v>
      </c>
      <c r="S8" s="57">
        <f>S5</f>
        <v>45</v>
      </c>
      <c r="T8" s="46"/>
      <c r="U8" s="156"/>
      <c r="V8" s="47">
        <f>V5</f>
        <v>15.394814814440906</v>
      </c>
      <c r="W8" s="45">
        <f>W5</f>
        <v>13.333333327900618</v>
      </c>
      <c r="X8" s="161">
        <f>X5</f>
        <v>19.433333328925073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3" t="s">
        <v>19</v>
      </c>
      <c r="J9" s="71">
        <f>J8/J4</f>
        <v>0.97222222222222221</v>
      </c>
      <c r="K9" s="48"/>
      <c r="L9" s="48"/>
      <c r="M9" s="86"/>
      <c r="N9" s="43"/>
      <c r="O9" s="87"/>
      <c r="P9" s="2"/>
      <c r="R9" s="83" t="s">
        <v>19</v>
      </c>
      <c r="S9" s="71">
        <f>S8/S4</f>
        <v>0.97826086956521741</v>
      </c>
      <c r="T9" s="48"/>
      <c r="U9" s="153"/>
      <c r="V9" s="86"/>
      <c r="W9" s="43"/>
      <c r="X9" s="150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7"/>
      <c r="V10" s="99"/>
      <c r="W10" s="22"/>
      <c r="X10" s="162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- 2016-09-26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2">
        <f>AVERAGE(S13:S105)</f>
        <v>0.989247311827957</v>
      </c>
      <c r="V11" s="99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9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8" t="s">
        <v>71</v>
      </c>
      <c r="V12" s="101" t="s">
        <v>45</v>
      </c>
      <c r="W12" s="53" t="s">
        <v>23</v>
      </c>
      <c r="X12" s="163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4" t="s">
        <v>96</v>
      </c>
      <c r="AF12" s="91" t="s">
        <v>101</v>
      </c>
      <c r="AG12" s="4" t="s">
        <v>115</v>
      </c>
      <c r="AH12" s="97" t="s">
        <v>117</v>
      </c>
      <c r="AI12" s="129" t="s">
        <v>161</v>
      </c>
      <c r="AJ12" s="53" t="s">
        <v>162</v>
      </c>
      <c r="AK12" s="53" t="s">
        <v>135</v>
      </c>
      <c r="AL12" s="53" t="s">
        <v>163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369</v>
      </c>
      <c r="B13" s="7">
        <v>4007</v>
      </c>
      <c r="C13" s="24" t="s">
        <v>106</v>
      </c>
      <c r="D13" s="24" t="s">
        <v>370</v>
      </c>
      <c r="E13" s="15">
        <v>42639.131863425922</v>
      </c>
      <c r="F13" s="15">
        <v>42639.135914351849</v>
      </c>
      <c r="G13" s="7">
        <v>1</v>
      </c>
      <c r="H13" s="15" t="s">
        <v>371</v>
      </c>
      <c r="I13" s="15">
        <v>42639.162812499999</v>
      </c>
      <c r="J13" s="7">
        <v>0</v>
      </c>
      <c r="K13" s="117" t="str">
        <f t="shared" ref="K13:K44" si="0">IF(ISEVEN(B13),(B13-1)&amp;"/"&amp;B13,B13&amp;"/"&amp;(B13+1))</f>
        <v>4007/4008</v>
      </c>
      <c r="L13" s="24" t="str">
        <f>VLOOKUP(A13,'Trips&amp;Operators'!$C$1:$E$10000,3,FALSE)</f>
        <v>KILLION</v>
      </c>
      <c r="M13" s="6">
        <f t="shared" ref="M13:M44" si="1">I13-F13</f>
        <v>2.6898148149484769E-2</v>
      </c>
      <c r="N13" s="7">
        <f t="shared" ref="N13:N52" si="2">24*60*SUM($M13:$M13)</f>
        <v>38.733333335258067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44" si="4">IF(ISEVEN(LEFT(AD13,4)),"Southbound","NorthBound")</f>
        <v>NorthBound</v>
      </c>
      <c r="U13" s="15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2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https://search-rtdc-monitor-bjffxe2xuh6vdkpspy63sjmuny.us-east-1.es.amazonaws.com/_plugin/kibana/#/discover/Steve-Slow-Train-Analysis-(2080s-and-2083s)?_g=(refreshInterval:(display:Off,section:0,value:0),time:(from:'2016-09-26 02:09:53-0600',mode:absolute,to:'2016-09-26 04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3" s="54" t="str">
        <f t="shared" ref="W13:W44" si="6">IF(AA13&lt;IF(AG13="EC",23,5.65),"Y","N")</f>
        <v>N</v>
      </c>
      <c r="X13" s="164" t="e">
        <f t="shared" ref="X13:X44" si="7">VALUE(LEFT(AD13,4))-VALUE(LEFT(AD12,4))</f>
        <v>#VALUE!</v>
      </c>
      <c r="Y13" s="69">
        <f t="shared" ref="Y13:Y44" si="8">RIGHT(D13,LEN(D13)-4)/10000</f>
        <v>7.9699999999999993E-2</v>
      </c>
      <c r="Z13" s="69">
        <f t="shared" ref="Z13:Z44" si="9">RIGHT(H13,LEN(H13)-4)/10000</f>
        <v>23.334299999999999</v>
      </c>
      <c r="AA13" s="69">
        <f t="shared" ref="AA13:AA44" si="10">ABS(Z13-Y13)</f>
        <v>23.2546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44" si="11">IF(LEN(A13)=6,"0"&amp;A13,A13)</f>
        <v>0101-26</v>
      </c>
      <c r="AE13" s="95" t="str">
        <f t="shared" ref="AE13:AE44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s3://rtdc.mdm.uploadarchive/RTDC4007/2016-09-26/ "%USERPROFILE%\AppData\Local\Temp\OnboardLogs"\RTDC4007\2016-09-26 --recursive &amp; "%USERPROFILE%\Documents\GitHub\mrs-test-scripts\Headless Mode &amp; Sideloading\WalkAndUnGZ.bat" "%USERPROFILE%\AppData\Local\Temp\OnboardLogs"\RTDC4007\2016-09-26 &amp; aws s3 cp s3://rtdc.mdm.uploadarchive/RTDC4007/2016-09-27/ "%USERPROFILE%\AppData\Local\Temp\OnboardLogs"\RTDC4007\2016-09-27 --recursive &amp; "%USERPROFILE%\Documents\GitHub\mrs-test-scripts\Headless Mode &amp; Sideloading\WalkAndUnGZ.bat" "%USERPROFILE%\AppData\Local\Temp\OnboardLogs"\RTDC4007\2016-09-27</v>
      </c>
      <c r="AF13" s="92" t="str">
        <f t="shared" ref="AF13:AF4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/stypes="app*4007*20160926*" /stext=" 09:.+((SYSTEM_STATE.+slice.+state.+changed )|(ment ac)|(system.+state.+changed )|(\|lc)|(penalty)|(\[timeout)|(PRM\|1\|D)|(kpr)|(kdp))" /e /r /s</v>
      </c>
      <c r="AG13" s="1" t="str">
        <f t="shared" ref="AG13:AG44" si="14">IFERROR(IF(VALUE(LEFT(AD13,2))&lt;=2,"EC",IF(OR(VALUE(LEFT(AD13,2))=8,VALUE(LEFT(AD13,2))=18),"NW","Other")),"Other")</f>
        <v>EC</v>
      </c>
      <c r="AH13" s="9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4007 --swversion DE.1.0.7.0 --startMP 204:797 --initTime 2016-09-26T03:09:53 --startdatetime 2016-09-26T03:15:43 --delay 1 --endMP 204:233343 --enddatetime 2016-09-26T03:54:27 --enforcementcount 0 &gt;&gt;C:\Users\stu\Documents\GitHub\eaglep3-reporting\EC\2016-09-26-refined-times.txt</v>
      </c>
      <c r="AI13" s="130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{"issue":{"subject":"","project_id":79,"tracker_id":40,"status_id":1,"priority_id":2,"assigned_to_id":23,"start_date":"2016-09-26","description":"","custom_fields":[{"id":1,"name":"Subdivision","value":"EC"},{"id":4,"name":"Milepost","value":"23.3343"},{"id":17,"name":"Train ID","value":"101-26"},{"id":16,"name":"Locomotive ID","value":"4007"},{"id":130,"name":"Impact","value":""},{"id":150,"name":"Time of Event (Mountain Time)","value":"03:54:27"},{"id":151,"name":"Denver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372</v>
      </c>
      <c r="B14" s="7">
        <v>4045</v>
      </c>
      <c r="C14" s="24" t="s">
        <v>106</v>
      </c>
      <c r="D14" s="24" t="s">
        <v>373</v>
      </c>
      <c r="E14" s="15">
        <v>42639.169803240744</v>
      </c>
      <c r="F14" s="15">
        <v>42639.174664351849</v>
      </c>
      <c r="G14" s="7">
        <v>4</v>
      </c>
      <c r="H14" s="15" t="s">
        <v>214</v>
      </c>
      <c r="I14" s="15">
        <v>42639.205821759257</v>
      </c>
      <c r="J14" s="7">
        <v>0</v>
      </c>
      <c r="K14" s="117" t="str">
        <f t="shared" si="0"/>
        <v>4045/4046</v>
      </c>
      <c r="L14" s="24" t="str">
        <f>VLOOKUP(A14,'Trips&amp;Operators'!$C$1:$E$10000,3,FALSE)</f>
        <v>KILLION</v>
      </c>
      <c r="M14" s="6">
        <f t="shared" si="1"/>
        <v>3.1157407407590654E-2</v>
      </c>
      <c r="N14" s="7">
        <f t="shared" si="2"/>
        <v>44.866666666930541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5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03:04:31-0600',mode:absolute,to:'2016-09-26 05:56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4" s="54" t="str">
        <f t="shared" si="6"/>
        <v>N</v>
      </c>
      <c r="X14" s="164">
        <f t="shared" si="7"/>
        <v>1</v>
      </c>
      <c r="Y14" s="69">
        <f t="shared" si="8"/>
        <v>23.2685</v>
      </c>
      <c r="Z14" s="69">
        <f t="shared" si="9"/>
        <v>1.6E-2</v>
      </c>
      <c r="AA14" s="69">
        <f t="shared" si="10"/>
        <v>23.252500000000001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1"/>
        <v>0102-26</v>
      </c>
      <c r="AE14" s="95" t="str">
        <f t="shared" si="12"/>
        <v>aws s3 cp s3://rtdc.mdm.uploadarchive/RTDC4045/2016-09-26/ "%USERPROFILE%\AppData\Local\Temp\OnboardLogs"\RTDC4045\2016-09-26 --recursive &amp; "%USERPROFILE%\Documents\GitHub\mrs-test-scripts\Headless Mode &amp; Sideloading\WalkAndUnGZ.bat" "%USERPROFILE%\AppData\Local\Temp\OnboardLogs"\RTDC4045\2016-09-26 &amp; 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</v>
      </c>
      <c r="AF14" s="92" t="str">
        <f t="shared" si="13"/>
        <v>"C:\Program Files (x86)\AstroGrep\AstroGrep.exe" /spath="%USERPROFILE%\AppData\Local\Temp\OnboardLogs" /stypes="app*4045*20160926*"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96" t="str">
        <f t="shared" ref="AH14:AH74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4045 --swversion DE.1.0.7.0 --startMP 204:232685 --initTime 2016-09-26T04:04:31 --startdatetime 2016-09-26T04:11:31 --delay 4 --endMP 204:160 --enddatetime 2016-09-26T04:56:23 --enforcementcount 0 &gt;&gt;C:\Users\stu\Documents\GitHub\eaglep3-reporting\EC\2016-09-26-refined-times.txt</v>
      </c>
      <c r="AI14" s="130" t="str">
        <f t="shared" ref="AI14:AI74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{"issue":{"subject":"","project_id":79,"tracker_id":40,"status_id":1,"priority_id":2,"assigned_to_id":23,"start_date":"2016-09-26","description":"","custom_fields":[{"id":1,"name":"Subdivision","value":"EC"},{"id":4,"name":"Milepost","value":"0.016"},{"id":17,"name":"Train ID","value":"102-26"},{"id":16,"name":"Locomotive ID","value":"4045"},{"id":130,"name":"Impact","value":""},{"id":150,"name":"Time of Event (Mountain Time)","value":"04:56:23"},{"id":151,"name":"Denver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374</v>
      </c>
      <c r="B15" s="7">
        <v>4011</v>
      </c>
      <c r="C15" s="24" t="s">
        <v>106</v>
      </c>
      <c r="D15" s="24" t="s">
        <v>375</v>
      </c>
      <c r="E15" s="15">
        <v>42639.152499999997</v>
      </c>
      <c r="F15" s="15">
        <v>42639.156504629631</v>
      </c>
      <c r="G15" s="7">
        <v>2</v>
      </c>
      <c r="H15" s="15" t="s">
        <v>376</v>
      </c>
      <c r="I15" s="15">
        <v>42639.183368055557</v>
      </c>
      <c r="J15" s="7">
        <v>0</v>
      </c>
      <c r="K15" s="117" t="str">
        <f t="shared" si="0"/>
        <v>4011/4012</v>
      </c>
      <c r="L15" s="24" t="str">
        <f>VLOOKUP(A15,'Trips&amp;Operators'!$C$1:$E$10000,3,FALSE)</f>
        <v>ACKERMAN</v>
      </c>
      <c r="M15" s="6">
        <f t="shared" si="1"/>
        <v>2.6863425926421769E-2</v>
      </c>
      <c r="N15" s="7">
        <f t="shared" si="2"/>
        <v>38.683333334047347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5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02:39:36-0600',mode:absolute,to:'2016-09-26 05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" s="54" t="str">
        <f t="shared" si="6"/>
        <v>N</v>
      </c>
      <c r="X15" s="164">
        <f t="shared" si="7"/>
        <v>1</v>
      </c>
      <c r="Y15" s="69">
        <f t="shared" si="8"/>
        <v>6.9500000000000006E-2</v>
      </c>
      <c r="Z15" s="69">
        <f t="shared" si="9"/>
        <v>23.338200000000001</v>
      </c>
      <c r="AA15" s="69">
        <f t="shared" si="10"/>
        <v>23.268699999999999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1"/>
        <v>0103-26</v>
      </c>
      <c r="AE15" s="95" t="str">
        <f t="shared" si="12"/>
        <v>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 &amp; 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</v>
      </c>
      <c r="AF15" s="92" t="str">
        <f t="shared" si="13"/>
        <v>"C:\Program Files (x86)\AstroGrep\AstroGrep.exe" /spath="%USERPROFILE%\AppData\Local\Temp\OnboardLogs" /stypes="app*4011*20160926*"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96" t="str">
        <f t="shared" si="17"/>
        <v>"%USERPROFILE%\Documents\GitHub\eaglep3\Utilities\RefineRTDCRunTimes.py" --tripid 103-26 --locoid 4011 --swversion DE.1.0.7.0 --startMP 204:695 --initTime 2016-09-26T03:39:36 --startdatetime 2016-09-26T03:45:22 --delay 2 --endMP 204:233382 --enddatetime 2016-09-26T04:24:03 --enforcementcount 0 &gt;&gt;C:\Users\stu\Documents\GitHub\eaglep3-reporting\EC\2016-09-26-refined-times.txt</v>
      </c>
      <c r="AI15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{"issue":{"subject":"","project_id":79,"tracker_id":40,"status_id":1,"priority_id":2,"assigned_to_id":23,"start_date":"2016-09-26","description":"","custom_fields":[{"id":1,"name":"Subdivision","value":"EC"},{"id":4,"name":"Milepost","value":"23.3382"},{"id":17,"name":"Train ID","value":"103-26"},{"id":16,"name":"Locomotive ID","value":"4011"},{"id":130,"name":"Impact","value":""},{"id":150,"name":"Time of Event (Mountain Time)","value":"04:24:03"},{"id":151,"name":"Denver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377</v>
      </c>
      <c r="B16" s="7">
        <v>4054</v>
      </c>
      <c r="C16" s="24" t="s">
        <v>106</v>
      </c>
      <c r="D16" s="24" t="s">
        <v>378</v>
      </c>
      <c r="E16" s="15">
        <v>42639.191400462965</v>
      </c>
      <c r="F16" s="15">
        <v>42639.195370370369</v>
      </c>
      <c r="G16" s="7">
        <v>1</v>
      </c>
      <c r="H16" s="15" t="s">
        <v>341</v>
      </c>
      <c r="I16" s="15">
        <v>42639.227476851855</v>
      </c>
      <c r="J16" s="7">
        <v>0</v>
      </c>
      <c r="K16" s="117" t="str">
        <f t="shared" si="0"/>
        <v>4053/4054</v>
      </c>
      <c r="L16" s="24" t="str">
        <f>VLOOKUP(A16,'Trips&amp;Operators'!$C$1:$E$10000,3,FALSE)</f>
        <v>ACKERMAN</v>
      </c>
      <c r="M16" s="6">
        <f t="shared" si="1"/>
        <v>3.2106481485243421E-2</v>
      </c>
      <c r="N16" s="7">
        <f t="shared" si="2"/>
        <v>46.233333338750526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5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03:35:37-0600',mode:absolute,to:'2016-09-26 06:27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6" s="54" t="str">
        <f t="shared" si="6"/>
        <v>N</v>
      </c>
      <c r="X16" s="164">
        <f t="shared" si="7"/>
        <v>1</v>
      </c>
      <c r="Y16" s="69">
        <f t="shared" si="8"/>
        <v>23.273499999999999</v>
      </c>
      <c r="Z16" s="69">
        <f t="shared" si="9"/>
        <v>1.78E-2</v>
      </c>
      <c r="AA16" s="69">
        <f t="shared" si="10"/>
        <v>23.255699999999997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 t="shared" si="11"/>
        <v>0104-26</v>
      </c>
      <c r="AE16" s="95" t="str">
        <f t="shared" si="12"/>
        <v>aws s3 cp s3://rtdc.mdm.uploadarchive/RTDC4054/2016-09-26/ "%USERPROFILE%\AppData\Local\Temp\OnboardLogs"\RTDC4054\2016-09-26 --recursive &amp; "%USERPROFILE%\Documents\GitHub\mrs-test-scripts\Headless Mode &amp; Sideloading\WalkAndUnGZ.bat" "%USERPROFILE%\AppData\Local\Temp\OnboardLogs"\RTDC4054\2016-09-26 &amp; aws s3 cp s3://rtdc.mdm.uploadarchive/RTDC4054/2016-09-27/ "%USERPROFILE%\AppData\Local\Temp\OnboardLogs"\RTDC4054\2016-09-27 --recursive &amp; "%USERPROFILE%\Documents\GitHub\mrs-test-scripts\Headless Mode &amp; Sideloading\WalkAndUnGZ.bat" "%USERPROFILE%\AppData\Local\Temp\OnboardLogs"\RTDC4054\2016-09-27</v>
      </c>
      <c r="AF16" s="92" t="str">
        <f t="shared" si="13"/>
        <v>"C:\Program Files (x86)\AstroGrep\AstroGrep.exe" /spath="%USERPROFILE%\AppData\Local\Temp\OnboardLogs" /stypes="app*4054*20160926*"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96" t="str">
        <f t="shared" si="17"/>
        <v>"%USERPROFILE%\Documents\GitHub\eaglep3\Utilities\RefineRTDCRunTimes.py" --tripid 104-26 --locoid 4054 --swversion DE.1.0.7.0 --startMP 204:232735 --initTime 2016-09-26T04:35:37 --startdatetime 2016-09-26T04:41:20 --delay 1 --endMP 204:178 --enddatetime 2016-09-26T05:27:34 --enforcementcount 0 &gt;&gt;C:\Users\stu\Documents\GitHub\eaglep3-reporting\EC\2016-09-26-refined-times.txt</v>
      </c>
      <c r="AI16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{"issue":{"subject":"","project_id":79,"tracker_id":40,"status_id":1,"priority_id":2,"assigned_to_id":23,"start_date":"2016-09-26","description":"","custom_fields":[{"id":1,"name":"Subdivision","value":"EC"},{"id":4,"name":"Milepost","value":"0.0178"},{"id":17,"name":"Train ID","value":"104-26"},{"id":16,"name":"Locomotive ID","value":"4054"},{"id":130,"name":"Impact","value":""},{"id":150,"name":"Time of Event (Mountain Time)","value":"05:27:34"},{"id":151,"name":"Denver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379</v>
      </c>
      <c r="B17" s="7">
        <v>4018</v>
      </c>
      <c r="C17" s="24" t="s">
        <v>106</v>
      </c>
      <c r="D17" s="24" t="s">
        <v>380</v>
      </c>
      <c r="E17" s="15">
        <v>42639.171979166669</v>
      </c>
      <c r="F17" s="15">
        <v>42639.17728009259</v>
      </c>
      <c r="G17" s="7">
        <v>1</v>
      </c>
      <c r="H17" s="15" t="s">
        <v>321</v>
      </c>
      <c r="I17" s="15">
        <v>42639.205312500002</v>
      </c>
      <c r="J17" s="7">
        <v>0</v>
      </c>
      <c r="K17" s="117" t="str">
        <f t="shared" si="0"/>
        <v>4017/4018</v>
      </c>
      <c r="L17" s="24" t="str">
        <f>VLOOKUP(A17,'Trips&amp;Operators'!$C$1:$E$10000,3,FALSE)</f>
        <v>BRANNON</v>
      </c>
      <c r="M17" s="6">
        <f t="shared" si="1"/>
        <v>2.8032407411956228E-2</v>
      </c>
      <c r="N17" s="7">
        <f t="shared" si="2"/>
        <v>40.366666673216969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5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03:07:39-0600',mode:absolute,to:'2016-09-26 05:55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" s="54" t="str">
        <f t="shared" si="6"/>
        <v>N</v>
      </c>
      <c r="X17" s="164">
        <f t="shared" si="7"/>
        <v>1</v>
      </c>
      <c r="Y17" s="69">
        <f t="shared" si="8"/>
        <v>7.5700000000000003E-2</v>
      </c>
      <c r="Z17" s="69">
        <f t="shared" si="9"/>
        <v>23.330500000000001</v>
      </c>
      <c r="AA17" s="69">
        <f t="shared" si="10"/>
        <v>23.254799999999999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1"/>
        <v>0105-26</v>
      </c>
      <c r="AE17" s="95" t="str">
        <f t="shared" si="12"/>
        <v>aws s3 cp s3://rtdc.mdm.uploadarchive/RTDC4018/2016-09-26/ "%USERPROFILE%\AppData\Local\Temp\OnboardLogs"\RTDC4018\2016-09-26 --recursive &amp; "%USERPROFILE%\Documents\GitHub\mrs-test-scripts\Headless Mode &amp; Sideloading\WalkAndUnGZ.bat" "%USERPROFILE%\AppData\Local\Temp\OnboardLogs"\RTDC4018\2016-09-26 &amp; 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</v>
      </c>
      <c r="AF17" s="92" t="str">
        <f t="shared" si="13"/>
        <v>"C:\Program Files (x86)\AstroGrep\AstroGrep.exe" /spath="%USERPROFILE%\AppData\Local\Temp\OnboardLogs" /stypes="app*4018*20160926*"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96" t="str">
        <f t="shared" si="17"/>
        <v>"%USERPROFILE%\Documents\GitHub\eaglep3\Utilities\RefineRTDCRunTimes.py" --tripid 105-26 --locoid 4018 --swversion DE.1.0.7.0 --startMP 204:757 --initTime 2016-09-26T04:07:39 --startdatetime 2016-09-26T04:15:17 --delay 1 --endMP 204:233305 --enddatetime 2016-09-26T04:55:39 --enforcementcount 0 &gt;&gt;C:\Users\stu\Documents\GitHub\eaglep3-reporting\EC\2016-09-26-refined-times.txt</v>
      </c>
      <c r="AI17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{"issue":{"subject":"","project_id":79,"tracker_id":40,"status_id":1,"priority_id":2,"assigned_to_id":23,"start_date":"2016-09-26","description":"","custom_fields":[{"id":1,"name":"Subdivision","value":"EC"},{"id":4,"name":"Milepost","value":"23.3305"},{"id":17,"name":"Train ID","value":"105-26"},{"id":16,"name":"Locomotive ID","value":"4018"},{"id":130,"name":"Impact","value":""},{"id":150,"name":"Time of Event (Mountain Time)","value":"04:55:39"},{"id":151,"name":"Denver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381</v>
      </c>
      <c r="B18" s="7">
        <v>4013</v>
      </c>
      <c r="C18" s="24" t="s">
        <v>106</v>
      </c>
      <c r="D18" s="24" t="s">
        <v>382</v>
      </c>
      <c r="E18" s="15">
        <v>42639.214155092595</v>
      </c>
      <c r="F18" s="15">
        <v>42639.216134259259</v>
      </c>
      <c r="G18" s="7">
        <v>1</v>
      </c>
      <c r="H18" s="15" t="s">
        <v>127</v>
      </c>
      <c r="I18" s="15">
        <v>42639.245312500003</v>
      </c>
      <c r="J18" s="7">
        <v>0</v>
      </c>
      <c r="K18" s="117" t="str">
        <f t="shared" si="0"/>
        <v>4013/4014</v>
      </c>
      <c r="L18" s="24" t="str">
        <f>VLOOKUP(A18,'Trips&amp;Operators'!$C$1:$E$10000,3,FALSE)</f>
        <v>BRANNON</v>
      </c>
      <c r="M18" s="6">
        <f t="shared" si="1"/>
        <v>2.9178240743931383E-2</v>
      </c>
      <c r="N18" s="7">
        <f t="shared" si="2"/>
        <v>42.016666671261191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5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04:08:23-0600',mode:absolute,to:'2016-09-26 06:53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" s="54" t="str">
        <f t="shared" si="6"/>
        <v>N</v>
      </c>
      <c r="X18" s="164">
        <f t="shared" si="7"/>
        <v>1</v>
      </c>
      <c r="Y18" s="69">
        <f t="shared" si="8"/>
        <v>23.266400000000001</v>
      </c>
      <c r="Z18" s="69">
        <f t="shared" si="9"/>
        <v>1.54E-2</v>
      </c>
      <c r="AA18" s="69">
        <f t="shared" si="10"/>
        <v>23.251000000000001</v>
      </c>
      <c r="AB18" s="66" t="e">
        <f>VLOOKUP(A18,Enforcements!$C$7:$K$20,8,0)</f>
        <v>#N/A</v>
      </c>
      <c r="AC18" s="62" t="e">
        <f>VLOOKUP(A18,Enforcements!$C$7:$E$20,3,0)</f>
        <v>#N/A</v>
      </c>
      <c r="AD18" s="63" t="str">
        <f t="shared" si="11"/>
        <v>0106-26</v>
      </c>
      <c r="AE18" s="95" t="str">
        <f t="shared" si="12"/>
        <v>aws s3 cp s3://rtdc.mdm.uploadarchive/RTDC4013/2016-09-26/ "%USERPROFILE%\AppData\Local\Temp\OnboardLogs"\RTDC4013\2016-09-26 --recursive &amp; "%USERPROFILE%\Documents\GitHub\mrs-test-scripts\Headless Mode &amp; Sideloading\WalkAndUnGZ.bat" "%USERPROFILE%\AppData\Local\Temp\OnboardLogs"\RTDC4013\2016-09-26 &amp; 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</v>
      </c>
      <c r="AF18" s="92" t="str">
        <f t="shared" si="13"/>
        <v>"C:\Program Files (x86)\AstroGrep\AstroGrep.exe" /spath="%USERPROFILE%\AppData\Local\Temp\OnboardLogs" /stypes="app*4013*20160926*"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96" t="str">
        <f t="shared" si="17"/>
        <v>"%USERPROFILE%\Documents\GitHub\eaglep3\Utilities\RefineRTDCRunTimes.py" --tripid 106-26 --locoid 4013 --swversion DE.1.0.7.0 --startMP 204:232664 --initTime 2016-09-26T05:08:23 --startdatetime 2016-09-26T05:11:14 --delay 1 --endMP 204:154 --enddatetime 2016-09-26T05:53:15 --enforcementcount 0 &gt;&gt;C:\Users\stu\Documents\GitHub\eaglep3-reporting\EC\2016-09-26-refined-times.txt</v>
      </c>
      <c r="AI18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{"issue":{"subject":"","project_id":79,"tracker_id":40,"status_id":1,"priority_id":2,"assigned_to_id":23,"start_date":"2016-09-26","description":"","custom_fields":[{"id":1,"name":"Subdivision","value":"EC"},{"id":4,"name":"Milepost","value":"0.0154"},{"id":17,"name":"Train ID","value":"106-26"},{"id":16,"name":"Locomotive ID","value":"4013"},{"id":130,"name":"Impact","value":""},{"id":150,"name":"Time of Event (Mountain Time)","value":"05:53:15"},{"id":151,"name":"Denver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383</v>
      </c>
      <c r="B19" s="7">
        <v>4025</v>
      </c>
      <c r="C19" s="24" t="s">
        <v>106</v>
      </c>
      <c r="D19" s="24" t="s">
        <v>223</v>
      </c>
      <c r="E19" s="15">
        <v>42639.180011574077</v>
      </c>
      <c r="F19" s="15">
        <v>42639.187916666669</v>
      </c>
      <c r="G19" s="7">
        <v>1</v>
      </c>
      <c r="H19" s="15" t="s">
        <v>384</v>
      </c>
      <c r="I19" s="15">
        <v>42639.215902777774</v>
      </c>
      <c r="J19" s="7">
        <v>0</v>
      </c>
      <c r="K19" s="117" t="str">
        <f t="shared" si="0"/>
        <v>4025/4026</v>
      </c>
      <c r="L19" s="24" t="str">
        <f>VLOOKUP(A19,'Trips&amp;Operators'!$C$1:$E$10000,3,FALSE)</f>
        <v>SPECTOR</v>
      </c>
      <c r="M19" s="6">
        <f t="shared" si="1"/>
        <v>2.7986111104837619E-2</v>
      </c>
      <c r="N19" s="7">
        <f t="shared" si="2"/>
        <v>40.299999990966171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5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03:19:13-0600',mode:absolute,to:'2016-09-26 06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" s="54" t="str">
        <f t="shared" si="6"/>
        <v>N</v>
      </c>
      <c r="X19" s="164">
        <f t="shared" si="7"/>
        <v>1</v>
      </c>
      <c r="Y19" s="69">
        <f t="shared" si="8"/>
        <v>4.5699999999999998E-2</v>
      </c>
      <c r="Z19" s="69">
        <f t="shared" si="9"/>
        <v>23.3323</v>
      </c>
      <c r="AA19" s="69">
        <f t="shared" si="10"/>
        <v>23.2866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1"/>
        <v>0107-26</v>
      </c>
      <c r="AE19" s="95" t="str">
        <f t="shared" si="12"/>
        <v>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 &amp; aws s3 cp s3://rtdc.mdm.uploadarchive/RTDC4025/2016-09-27/ "%USERPROFILE%\AppData\Local\Temp\OnboardLogs"\RTDC4025\2016-09-27 --recursive &amp; "%USERPROFILE%\Documents\GitHub\mrs-test-scripts\Headless Mode &amp; Sideloading\WalkAndUnGZ.bat" "%USERPROFILE%\AppData\Local\Temp\OnboardLogs"\RTDC4025\2016-09-27</v>
      </c>
      <c r="AF19" s="92" t="str">
        <f t="shared" si="13"/>
        <v>"C:\Program Files (x86)\AstroGrep\AstroGrep.exe" /spath="%USERPROFILE%\AppData\Local\Temp\OnboardLogs" /stypes="app*4025*20160926*"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96" t="str">
        <f t="shared" si="17"/>
        <v>"%USERPROFILE%\Documents\GitHub\eaglep3\Utilities\RefineRTDCRunTimes.py" --tripid 107-26 --locoid 4025 --swversion DE.1.0.7.0 --startMP 204:457 --initTime 2016-09-26T04:19:13 --startdatetime 2016-09-26T04:30:36 --delay 1 --endMP 204:233323 --enddatetime 2016-09-26T05:10:54 --enforcementcount 0 &gt;&gt;C:\Users\stu\Documents\GitHub\eaglep3-reporting\EC\2016-09-26-refined-times.txt</v>
      </c>
      <c r="AI19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{"issue":{"subject":"","project_id":79,"tracker_id":40,"status_id":1,"priority_id":2,"assigned_to_id":23,"start_date":"2016-09-26","description":"","custom_fields":[{"id":1,"name":"Subdivision","value":"EC"},{"id":4,"name":"Milepost","value":"23.3323"},{"id":17,"name":"Train ID","value":"107-26"},{"id":16,"name":"Locomotive ID","value":"4025"},{"id":130,"name":"Impact","value":""},{"id":150,"name":"Time of Event (Mountain Time)","value":"05:10:54"},{"id":151,"name":"Denver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385</v>
      </c>
      <c r="B20" s="7">
        <v>4026</v>
      </c>
      <c r="C20" s="24" t="s">
        <v>106</v>
      </c>
      <c r="D20" s="24" t="s">
        <v>254</v>
      </c>
      <c r="E20" s="15">
        <v>42639.222060185188</v>
      </c>
      <c r="F20" s="15">
        <v>42639.226747685185</v>
      </c>
      <c r="G20" s="7">
        <v>1</v>
      </c>
      <c r="H20" s="15" t="s">
        <v>253</v>
      </c>
      <c r="I20" s="15">
        <v>42639.258067129631</v>
      </c>
      <c r="J20" s="7">
        <v>0</v>
      </c>
      <c r="K20" s="117" t="str">
        <f t="shared" si="0"/>
        <v>4025/4026</v>
      </c>
      <c r="L20" s="24" t="str">
        <f>VLOOKUP(A20,'Trips&amp;Operators'!$C$1:$E$10000,3,FALSE)</f>
        <v>SPECTOR</v>
      </c>
      <c r="M20" s="6">
        <f t="shared" si="1"/>
        <v>3.1319444446125999E-2</v>
      </c>
      <c r="N20" s="7">
        <f t="shared" si="2"/>
        <v>45.100000002421439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5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04:19:46-0600',mode:absolute,to:'2016-09-26 07:11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" s="54" t="str">
        <f t="shared" si="6"/>
        <v>N</v>
      </c>
      <c r="X20" s="164">
        <f t="shared" si="7"/>
        <v>1</v>
      </c>
      <c r="Y20" s="69">
        <f t="shared" si="8"/>
        <v>23.3</v>
      </c>
      <c r="Z20" s="69">
        <f t="shared" si="9"/>
        <v>1.4500000000000001E-2</v>
      </c>
      <c r="AA20" s="69">
        <f t="shared" si="10"/>
        <v>23.285499999999999</v>
      </c>
      <c r="AB20" s="66" t="str">
        <f>VLOOKUP(A20,Enforcements!$C$7:$K$20,8,0)</f>
        <v>Speed (6)</v>
      </c>
      <c r="AC20" s="62" t="str">
        <f>VLOOKUP(A20,Enforcements!$C$7:$E$20,3,0)</f>
        <v>PERMANENT SPEED RESTRICTION</v>
      </c>
      <c r="AD20" s="63" t="str">
        <f t="shared" si="11"/>
        <v>0108-26</v>
      </c>
      <c r="AE20" s="95" t="str">
        <f t="shared" si="12"/>
        <v>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 &amp; 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</v>
      </c>
      <c r="AF20" s="92" t="str">
        <f t="shared" si="13"/>
        <v>"C:\Program Files (x86)\AstroGrep\AstroGrep.exe" /spath="%USERPROFILE%\AppData\Local\Temp\OnboardLogs" /stypes="app*4026*20160926*"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96" t="str">
        <f t="shared" si="17"/>
        <v>"%USERPROFILE%\Documents\GitHub\eaglep3\Utilities\RefineRTDCRunTimes.py" --tripid 108-26 --locoid 4026 --swversion DE.1.0.7.0 --startMP 204:233000 --initTime 2016-09-26T05:19:46 --startdatetime 2016-09-26T05:26:31 --delay 1 --endMP 204:145 --enddatetime 2016-09-26T06:11:37 --enforcementcount 0 &gt;&gt;C:\Users\stu\Documents\GitHub\eaglep3-reporting\EC\2016-09-26-refined-times.txt</v>
      </c>
      <c r="AI20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{"issue":{"subject":"","project_id":79,"tracker_id":40,"status_id":1,"priority_id":2,"assigned_to_id":23,"start_date":"2016-09-26","description":"","custom_fields":[{"id":1,"name":"Subdivision","value":"EC"},{"id":4,"name":"Milepost","value":"0.0145"},{"id":17,"name":"Train ID","value":"108-26"},{"id":16,"name":"Locomotive ID","value":"4026"},{"id":130,"name":"Impact","value":""},{"id":150,"name":"Time of Event (Mountain Time)","value":"06:11:37"},{"id":151,"name":"Denver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386</v>
      </c>
      <c r="B21" s="7">
        <v>4016</v>
      </c>
      <c r="C21" s="24" t="s">
        <v>106</v>
      </c>
      <c r="D21" s="24" t="s">
        <v>387</v>
      </c>
      <c r="E21" s="15">
        <v>42639.192245370374</v>
      </c>
      <c r="F21" s="15">
        <v>42639.19809027778</v>
      </c>
      <c r="G21" s="7">
        <v>1</v>
      </c>
      <c r="H21" s="15" t="s">
        <v>271</v>
      </c>
      <c r="I21" s="15">
        <v>42639.223182870373</v>
      </c>
      <c r="J21" s="7">
        <v>0</v>
      </c>
      <c r="K21" s="117" t="str">
        <f t="shared" si="0"/>
        <v>4015/4016</v>
      </c>
      <c r="L21" s="24" t="str">
        <f>VLOOKUP(A21,'Trips&amp;Operators'!$C$1:$E$10000,3,FALSE)</f>
        <v>YORK</v>
      </c>
      <c r="M21" s="6">
        <f t="shared" si="1"/>
        <v>2.5092592593864538E-2</v>
      </c>
      <c r="N21" s="7">
        <f t="shared" si="2"/>
        <v>36.133333335164934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5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03:36:50-0600',mode:absolute,to:'2016-09-26 06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1" s="54" t="str">
        <f t="shared" si="6"/>
        <v>N</v>
      </c>
      <c r="X21" s="164">
        <f t="shared" si="7"/>
        <v>1</v>
      </c>
      <c r="Y21" s="69">
        <f t="shared" si="8"/>
        <v>4.2700000000000002E-2</v>
      </c>
      <c r="Z21" s="69">
        <f t="shared" si="9"/>
        <v>23.328399999999998</v>
      </c>
      <c r="AA21" s="69">
        <f t="shared" si="10"/>
        <v>23.285699999999999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1"/>
        <v>0109-26</v>
      </c>
      <c r="AE21" s="95" t="str">
        <f t="shared" si="12"/>
        <v>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 &amp; 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</v>
      </c>
      <c r="AF21" s="92" t="str">
        <f t="shared" si="13"/>
        <v>"C:\Program Files (x86)\AstroGrep\AstroGrep.exe" /spath="%USERPROFILE%\AppData\Local\Temp\OnboardLogs" /stypes="app*4016*20160926*"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96" t="str">
        <f t="shared" si="17"/>
        <v>"%USERPROFILE%\Documents\GitHub\eaglep3\Utilities\RefineRTDCRunTimes.py" --tripid 109-26 --locoid 4016 --swversion DE.1.0.7.0 --startMP 204:427 --initTime 2016-09-26T04:36:50 --startdatetime 2016-09-26T04:45:15 --delay 1 --endMP 204:233284 --enddatetime 2016-09-26T05:21:23 --enforcementcount 0 &gt;&gt;C:\Users\stu\Documents\GitHub\eaglep3-reporting\EC\2016-09-26-refined-times.txt</v>
      </c>
      <c r="AI21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{"issue":{"subject":"","project_id":79,"tracker_id":40,"status_id":1,"priority_id":2,"assigned_to_id":23,"start_date":"2016-09-26","description":"","custom_fields":[{"id":1,"name":"Subdivision","value":"EC"},{"id":4,"name":"Milepost","value":"23.3284"},{"id":17,"name":"Train ID","value":"109-26"},{"id":16,"name":"Locomotive ID","value":"4016"},{"id":130,"name":"Impact","value":""},{"id":150,"name":"Time of Event (Mountain Time)","value":"05:21:23"},{"id":151,"name":"Denver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388</v>
      </c>
      <c r="B22" s="7">
        <v>4015</v>
      </c>
      <c r="C22" s="24" t="s">
        <v>106</v>
      </c>
      <c r="D22" s="24" t="s">
        <v>343</v>
      </c>
      <c r="E22" s="15">
        <v>42639.224189814813</v>
      </c>
      <c r="F22" s="15">
        <v>42639.237071759257</v>
      </c>
      <c r="G22" s="7">
        <v>1</v>
      </c>
      <c r="H22" s="15" t="s">
        <v>127</v>
      </c>
      <c r="I22" s="15">
        <v>42639.267361111109</v>
      </c>
      <c r="J22" s="7">
        <v>0</v>
      </c>
      <c r="K22" s="117" t="str">
        <f t="shared" si="0"/>
        <v>4015/4016</v>
      </c>
      <c r="L22" s="24" t="str">
        <f>VLOOKUP(A22,'Trips&amp;Operators'!$C$1:$E$10000,3,FALSE)</f>
        <v>YORK</v>
      </c>
      <c r="M22" s="6">
        <f t="shared" si="1"/>
        <v>3.0289351852843538E-2</v>
      </c>
      <c r="N22" s="7">
        <f t="shared" si="2"/>
        <v>43.616666668094695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5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04:22:50-0600',mode:absolute,to:'2016-09-26 07:25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2" s="54" t="str">
        <f t="shared" si="6"/>
        <v>N</v>
      </c>
      <c r="X22" s="164">
        <f t="shared" si="7"/>
        <v>1</v>
      </c>
      <c r="Y22" s="69">
        <f t="shared" si="8"/>
        <v>23.2957</v>
      </c>
      <c r="Z22" s="69">
        <f t="shared" si="9"/>
        <v>1.54E-2</v>
      </c>
      <c r="AA22" s="69">
        <f t="shared" si="10"/>
        <v>23.2803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1"/>
        <v>0110-26</v>
      </c>
      <c r="AE22" s="95" t="str">
        <f t="shared" si="12"/>
        <v>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 &amp; 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</v>
      </c>
      <c r="AF22" s="92" t="str">
        <f t="shared" si="13"/>
        <v>"C:\Program Files (x86)\AstroGrep\AstroGrep.exe" /spath="%USERPROFILE%\AppData\Local\Temp\OnboardLogs" /stypes="app*4015*20160926*"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96" t="str">
        <f t="shared" si="17"/>
        <v>"%USERPROFILE%\Documents\GitHub\eaglep3\Utilities\RefineRTDCRunTimes.py" --tripid 110-26 --locoid 4015 --swversion DE.1.0.7.0 --startMP 204:232957 --initTime 2016-09-26T05:22:50 --startdatetime 2016-09-26T05:41:23 --delay 1 --endMP 204:154 --enddatetime 2016-09-26T06:25:00 --enforcementcount 0 &gt;&gt;C:\Users\stu\Documents\GitHub\eaglep3-reporting\EC\2016-09-26-refined-times.txt</v>
      </c>
      <c r="AI22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{"issue":{"subject":"","project_id":79,"tracker_id":40,"status_id":1,"priority_id":2,"assigned_to_id":23,"start_date":"2016-09-26","description":"","custom_fields":[{"id":1,"name":"Subdivision","value":"EC"},{"id":4,"name":"Milepost","value":"0.0154"},{"id":17,"name":"Train ID","value":"110-26"},{"id":16,"name":"Locomotive ID","value":"4015"},{"id":130,"name":"Impact","value":""},{"id":150,"name":"Time of Event (Mountain Time)","value":"06:25:00"},{"id":151,"name":"Denver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389</v>
      </c>
      <c r="B23" s="7">
        <v>4007</v>
      </c>
      <c r="C23" s="24" t="s">
        <v>106</v>
      </c>
      <c r="D23" s="24" t="s">
        <v>390</v>
      </c>
      <c r="E23" s="15">
        <v>42639.209432870368</v>
      </c>
      <c r="F23" s="15">
        <v>42639.211053240739</v>
      </c>
      <c r="G23" s="7">
        <v>1</v>
      </c>
      <c r="H23" s="15" t="s">
        <v>338</v>
      </c>
      <c r="I23" s="15">
        <v>42639.241203703707</v>
      </c>
      <c r="J23" s="7">
        <v>0</v>
      </c>
      <c r="K23" s="117" t="str">
        <f t="shared" si="0"/>
        <v>4007/4008</v>
      </c>
      <c r="L23" s="24" t="str">
        <f>VLOOKUP(A23,'Trips&amp;Operators'!$C$1:$E$10000,3,FALSE)</f>
        <v>STARKS</v>
      </c>
      <c r="M23" s="6">
        <f t="shared" si="1"/>
        <v>3.0150462967867497E-2</v>
      </c>
      <c r="N23" s="7">
        <f t="shared" si="2"/>
        <v>43.416666673729196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5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04:01:35-0600',mode:absolute,to:'2016-09-26 06:47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23" s="54" t="str">
        <f t="shared" si="6"/>
        <v>N</v>
      </c>
      <c r="X23" s="164">
        <f t="shared" si="7"/>
        <v>1</v>
      </c>
      <c r="Y23" s="69">
        <f t="shared" si="8"/>
        <v>7.2300000000000003E-2</v>
      </c>
      <c r="Z23" s="69">
        <f t="shared" si="9"/>
        <v>23.329799999999999</v>
      </c>
      <c r="AA23" s="69">
        <f t="shared" si="10"/>
        <v>23.2575</v>
      </c>
      <c r="AB23" s="66" t="str">
        <f>VLOOKUP(A23,Enforcements!$C$7:$K$20,8,0)</f>
        <v>Bulletin (2)</v>
      </c>
      <c r="AC23" s="62" t="str">
        <f>VLOOKUP(A23,Enforcements!$C$7:$E$20,3,0)</f>
        <v>GRADE CROSSING</v>
      </c>
      <c r="AD23" s="63" t="str">
        <f t="shared" si="11"/>
        <v>0111-26</v>
      </c>
      <c r="AE23" s="95" t="str">
        <f t="shared" si="12"/>
        <v>aws s3 cp s3://rtdc.mdm.uploadarchive/RTDC4007/2016-09-26/ "%USERPROFILE%\AppData\Local\Temp\OnboardLogs"\RTDC4007\2016-09-26 --recursive &amp; "%USERPROFILE%\Documents\GitHub\mrs-test-scripts\Headless Mode &amp; Sideloading\WalkAndUnGZ.bat" "%USERPROFILE%\AppData\Local\Temp\OnboardLogs"\RTDC4007\2016-09-26 &amp; aws s3 cp s3://rtdc.mdm.uploadarchive/RTDC4007/2016-09-27/ "%USERPROFILE%\AppData\Local\Temp\OnboardLogs"\RTDC4007\2016-09-27 --recursive &amp; "%USERPROFILE%\Documents\GitHub\mrs-test-scripts\Headless Mode &amp; Sideloading\WalkAndUnGZ.bat" "%USERPROFILE%\AppData\Local\Temp\OnboardLogs"\RTDC4007\2016-09-27</v>
      </c>
      <c r="AF23" s="92" t="str">
        <f t="shared" si="13"/>
        <v>"C:\Program Files (x86)\AstroGrep\AstroGrep.exe" /spath="%USERPROFILE%\AppData\Local\Temp\OnboardLogs" /stypes="app*4007*20160926*"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96" t="str">
        <f t="shared" si="17"/>
        <v>"%USERPROFILE%\Documents\GitHub\eaglep3\Utilities\RefineRTDCRunTimes.py" --tripid 111-26 --locoid 4007 --swversion DE.1.0.7.0 --startMP 204:723 --initTime 2016-09-26T05:01:35 --startdatetime 2016-09-26T05:03:55 --delay 1 --endMP 204:233298 --enddatetime 2016-09-26T05:47:20 --enforcementcount 0 &gt;&gt;C:\Users\stu\Documents\GitHub\eaglep3-reporting\EC\2016-09-26-refined-times.txt</v>
      </c>
      <c r="AI23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{"issue":{"subject":"","project_id":79,"tracker_id":40,"status_id":1,"priority_id":2,"assigned_to_id":23,"start_date":"2016-09-26","description":"","custom_fields":[{"id":1,"name":"Subdivision","value":"EC"},{"id":4,"name":"Milepost","value":"23.3298"},{"id":17,"name":"Train ID","value":"111-26"},{"id":16,"name":"Locomotive ID","value":"4007"},{"id":130,"name":"Impact","value":""},{"id":150,"name":"Time of Event (Mountain Time)","value":"05:47:20"},{"id":151,"name":"Denver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391</v>
      </c>
      <c r="B24" s="7">
        <v>4008</v>
      </c>
      <c r="C24" s="24" t="s">
        <v>106</v>
      </c>
      <c r="D24" s="24" t="s">
        <v>281</v>
      </c>
      <c r="E24" s="15">
        <v>42639.245925925927</v>
      </c>
      <c r="F24" s="15">
        <v>42639.247384259259</v>
      </c>
      <c r="G24" s="7">
        <v>1</v>
      </c>
      <c r="H24" s="15" t="s">
        <v>392</v>
      </c>
      <c r="I24" s="15">
        <v>42639.276365740741</v>
      </c>
      <c r="J24" s="7">
        <v>0</v>
      </c>
      <c r="K24" s="117" t="str">
        <f t="shared" si="0"/>
        <v>4007/4008</v>
      </c>
      <c r="L24" s="24" t="str">
        <f>VLOOKUP(A24,'Trips&amp;Operators'!$C$1:$E$10000,3,FALSE)</f>
        <v>STARKS</v>
      </c>
      <c r="M24" s="6">
        <f t="shared" si="1"/>
        <v>2.8981481482333038E-2</v>
      </c>
      <c r="N24" s="7">
        <f t="shared" si="2"/>
        <v>41.733333334559575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5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04:54:08-0600',mode:absolute,to:'2016-09-26 07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24" s="54" t="str">
        <f t="shared" si="6"/>
        <v>N</v>
      </c>
      <c r="X24" s="164">
        <f t="shared" si="7"/>
        <v>1</v>
      </c>
      <c r="Y24" s="69">
        <f t="shared" si="8"/>
        <v>23.297699999999999</v>
      </c>
      <c r="Z24" s="69">
        <f t="shared" si="9"/>
        <v>1.3599999999999999E-2</v>
      </c>
      <c r="AA24" s="69">
        <f t="shared" si="10"/>
        <v>23.284099999999999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1"/>
        <v>0112-26</v>
      </c>
      <c r="AE24" s="95" t="str">
        <f t="shared" si="12"/>
        <v>aws s3 cp s3://rtdc.mdm.uploadarchive/RTDC4008/2016-09-26/ "%USERPROFILE%\AppData\Local\Temp\OnboardLogs"\RTDC4008\2016-09-26 --recursive &amp; "%USERPROFILE%\Documents\GitHub\mrs-test-scripts\Headless Mode &amp; Sideloading\WalkAndUnGZ.bat" "%USERPROFILE%\AppData\Local\Temp\OnboardLogs"\RTDC4008\2016-09-26 &amp; aws s3 cp s3://rtdc.mdm.uploadarchive/RTDC4008/2016-09-27/ "%USERPROFILE%\AppData\Local\Temp\OnboardLogs"\RTDC4008\2016-09-27 --recursive &amp; "%USERPROFILE%\Documents\GitHub\mrs-test-scripts\Headless Mode &amp; Sideloading\WalkAndUnGZ.bat" "%USERPROFILE%\AppData\Local\Temp\OnboardLogs"\RTDC4008\2016-09-27</v>
      </c>
      <c r="AF24" s="92" t="str">
        <f t="shared" si="13"/>
        <v>"C:\Program Files (x86)\AstroGrep\AstroGrep.exe" /spath="%USERPROFILE%\AppData\Local\Temp\OnboardLogs" /stypes="app*4008*20160926*"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96" t="str">
        <f t="shared" si="17"/>
        <v>"%USERPROFILE%\Documents\GitHub\eaglep3\Utilities\RefineRTDCRunTimes.py" --tripid 112-26 --locoid 4008 --swversion DE.1.0.7.0 --startMP 204:232977 --initTime 2016-09-26T05:54:08 --startdatetime 2016-09-26T05:56:14 --delay 1 --endMP 204:136 --enddatetime 2016-09-26T06:37:58 --enforcementcount 0 &gt;&gt;C:\Users\stu\Documents\GitHub\eaglep3-reporting\EC\2016-09-26-refined-times.txt</v>
      </c>
      <c r="AI24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{"issue":{"subject":"","project_id":79,"tracker_id":40,"status_id":1,"priority_id":2,"assigned_to_id":23,"start_date":"2016-09-26","description":"","custom_fields":[{"id":1,"name":"Subdivision","value":"EC"},{"id":4,"name":"Milepost","value":"0.0136"},{"id":17,"name":"Train ID","value":"112-26"},{"id":16,"name":"Locomotive ID","value":"4008"},{"id":130,"name":"Impact","value":""},{"id":150,"name":"Time of Event (Mountain Time)","value":"06:37:58"},{"id":151,"name":"Denver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393</v>
      </c>
      <c r="B25" s="7">
        <v>4046</v>
      </c>
      <c r="C25" s="24" t="s">
        <v>106</v>
      </c>
      <c r="D25" s="24" t="s">
        <v>223</v>
      </c>
      <c r="E25" s="15">
        <v>42639.214918981481</v>
      </c>
      <c r="F25" s="15">
        <v>42639.219085648147</v>
      </c>
      <c r="G25" s="7">
        <v>1</v>
      </c>
      <c r="H25" s="15" t="s">
        <v>258</v>
      </c>
      <c r="I25" s="15">
        <v>42639.247488425928</v>
      </c>
      <c r="J25" s="7">
        <v>0</v>
      </c>
      <c r="K25" s="117" t="str">
        <f t="shared" si="0"/>
        <v>4045/4046</v>
      </c>
      <c r="L25" s="24" t="str">
        <f>VLOOKUP(A25,'Trips&amp;Operators'!$C$1:$E$10000,3,FALSE)</f>
        <v>KILLION</v>
      </c>
      <c r="M25" s="6">
        <f t="shared" si="1"/>
        <v>2.8402777781593613E-2</v>
      </c>
      <c r="N25" s="7">
        <f t="shared" si="2"/>
        <v>40.900000005494803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5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04:09:29-0600',mode:absolute,to:'2016-09-26 06:56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5" s="54" t="str">
        <f t="shared" si="6"/>
        <v>N</v>
      </c>
      <c r="X25" s="164">
        <f t="shared" si="7"/>
        <v>1</v>
      </c>
      <c r="Y25" s="69">
        <f t="shared" si="8"/>
        <v>4.5699999999999998E-2</v>
      </c>
      <c r="Z25" s="69">
        <f t="shared" si="9"/>
        <v>23.331199999999999</v>
      </c>
      <c r="AA25" s="69">
        <f t="shared" si="10"/>
        <v>23.285499999999999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1"/>
        <v>0113-26</v>
      </c>
      <c r="AE25" s="95" t="str">
        <f t="shared" si="12"/>
        <v>aws s3 cp s3://rtdc.mdm.uploadarchive/RTDC4046/2016-09-26/ "%USERPROFILE%\AppData\Local\Temp\OnboardLogs"\RTDC4046\2016-09-26 --recursive &amp; "%USERPROFILE%\Documents\GitHub\mrs-test-scripts\Headless Mode &amp; Sideloading\WalkAndUnGZ.bat" "%USERPROFILE%\AppData\Local\Temp\OnboardLogs"\RTDC4046\2016-09-26 &amp; 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</v>
      </c>
      <c r="AF25" s="92" t="str">
        <f t="shared" si="13"/>
        <v>"C:\Program Files (x86)\AstroGrep\AstroGrep.exe" /spath="%USERPROFILE%\AppData\Local\Temp\OnboardLogs" /stypes="app*4046*20160926*"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96" t="str">
        <f t="shared" si="17"/>
        <v>"%USERPROFILE%\Documents\GitHub\eaglep3\Utilities\RefineRTDCRunTimes.py" --tripid 113-26 --locoid 4046 --swversion DE.1.0.7.0 --startMP 204:457 --initTime 2016-09-26T05:09:29 --startdatetime 2016-09-26T05:15:29 --delay 1 --endMP 204:233312 --enddatetime 2016-09-26T05:56:23 --enforcementcount 0 &gt;&gt;C:\Users\stu\Documents\GitHub\eaglep3-reporting\EC\2016-09-26-refined-times.txt</v>
      </c>
      <c r="AI25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{"issue":{"subject":"","project_id":79,"tracker_id":40,"status_id":1,"priority_id":2,"assigned_to_id":23,"start_date":"2016-09-26","description":"","custom_fields":[{"id":1,"name":"Subdivision","value":"EC"},{"id":4,"name":"Milepost","value":"23.3312"},{"id":17,"name":"Train ID","value":"113-26"},{"id":16,"name":"Locomotive ID","value":"4046"},{"id":130,"name":"Impact","value":""},{"id":150,"name":"Time of Event (Mountain Time)","value":"05:56:23"},{"id":151,"name":"Denver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394</v>
      </c>
      <c r="B26" s="7">
        <v>4045</v>
      </c>
      <c r="C26" s="24" t="s">
        <v>106</v>
      </c>
      <c r="D26" s="24" t="s">
        <v>322</v>
      </c>
      <c r="E26" s="15">
        <v>42639.252870370372</v>
      </c>
      <c r="F26" s="15">
        <v>42639.257893518516</v>
      </c>
      <c r="G26" s="7">
        <v>1</v>
      </c>
      <c r="H26" s="15" t="s">
        <v>253</v>
      </c>
      <c r="I26" s="15">
        <v>42639.287835648145</v>
      </c>
      <c r="J26" s="7">
        <v>0</v>
      </c>
      <c r="K26" s="117" t="str">
        <f t="shared" si="0"/>
        <v>4045/4046</v>
      </c>
      <c r="L26" s="24" t="str">
        <f>VLOOKUP(A26,'Trips&amp;Operators'!$C$1:$E$10000,3,FALSE)</f>
        <v>KILLION</v>
      </c>
      <c r="M26" s="6">
        <f t="shared" si="1"/>
        <v>2.99421296294895E-2</v>
      </c>
      <c r="N26" s="7">
        <f t="shared" si="2"/>
        <v>43.11666666646488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5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05:04:08-0600',mode:absolute,to:'2016-09-26 07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6" s="54" t="str">
        <f t="shared" si="6"/>
        <v>N</v>
      </c>
      <c r="X26" s="164">
        <f t="shared" si="7"/>
        <v>1</v>
      </c>
      <c r="Y26" s="69">
        <f t="shared" si="8"/>
        <v>23.297999999999998</v>
      </c>
      <c r="Z26" s="69">
        <f t="shared" si="9"/>
        <v>1.4500000000000001E-2</v>
      </c>
      <c r="AA26" s="69">
        <f t="shared" si="10"/>
        <v>23.283499999999997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 t="shared" si="11"/>
        <v>0114-26</v>
      </c>
      <c r="AE26" s="95" t="str">
        <f t="shared" si="12"/>
        <v>aws s3 cp s3://rtdc.mdm.uploadarchive/RTDC4045/2016-09-26/ "%USERPROFILE%\AppData\Local\Temp\OnboardLogs"\RTDC4045\2016-09-26 --recursive &amp; "%USERPROFILE%\Documents\GitHub\mrs-test-scripts\Headless Mode &amp; Sideloading\WalkAndUnGZ.bat" "%USERPROFILE%\AppData\Local\Temp\OnboardLogs"\RTDC4045\2016-09-26 &amp; 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</v>
      </c>
      <c r="AF26" s="92" t="str">
        <f t="shared" si="13"/>
        <v>"C:\Program Files (x86)\AstroGrep\AstroGrep.exe" /spath="%USERPROFILE%\AppData\Local\Temp\OnboardLogs" /stypes="app*4045*20160926*"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96" t="str">
        <f t="shared" si="17"/>
        <v>"%USERPROFILE%\Documents\GitHub\eaglep3\Utilities\RefineRTDCRunTimes.py" --tripid 114-26 --locoid 4045 --swversion DE.1.0.7.0 --startMP 204:232980 --initTime 2016-09-26T06:04:08 --startdatetime 2016-09-26T06:11:22 --delay 1 --endMP 204:145 --enddatetime 2016-09-26T06:54:29 --enforcementcount 0 &gt;&gt;C:\Users\stu\Documents\GitHub\eaglep3-reporting\EC\2016-09-26-refined-times.txt</v>
      </c>
      <c r="AI26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{"issue":{"subject":"","project_id":79,"tracker_id":40,"status_id":1,"priority_id":2,"assigned_to_id":23,"start_date":"2016-09-26","description":"","custom_fields":[{"id":1,"name":"Subdivision","value":"EC"},{"id":4,"name":"Milepost","value":"0.0145"},{"id":17,"name":"Train ID","value":"114-26"},{"id":16,"name":"Locomotive ID","value":"4045"},{"id":130,"name":"Impact","value":""},{"id":150,"name":"Time of Event (Mountain Time)","value":"06:54:29"},{"id":151,"name":"Denver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395</v>
      </c>
      <c r="B27" s="7">
        <v>4011</v>
      </c>
      <c r="C27" s="24" t="s">
        <v>106</v>
      </c>
      <c r="D27" s="24" t="s">
        <v>396</v>
      </c>
      <c r="E27" s="15">
        <v>42639.230312500003</v>
      </c>
      <c r="F27" s="15">
        <v>42639.268182870372</v>
      </c>
      <c r="G27" s="7">
        <v>1</v>
      </c>
      <c r="H27" s="15" t="s">
        <v>339</v>
      </c>
      <c r="I27" s="15">
        <v>42639.299212962964</v>
      </c>
      <c r="J27" s="7">
        <v>0</v>
      </c>
      <c r="K27" s="117" t="str">
        <f t="shared" si="0"/>
        <v>4011/4012</v>
      </c>
      <c r="L27" s="24" t="str">
        <f>VLOOKUP(A27,'Trips&amp;Operators'!$C$1:$E$10000,3,FALSE)</f>
        <v>MALAVE</v>
      </c>
      <c r="M27" s="6">
        <f t="shared" si="1"/>
        <v>3.1030092592118308E-2</v>
      </c>
      <c r="N27" s="7">
        <f t="shared" si="2"/>
        <v>44.683333332650363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5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04:31:39-0600',mode:absolute,to:'2016-09-26 08:10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7" s="54" t="str">
        <f t="shared" si="6"/>
        <v>N</v>
      </c>
      <c r="X27" s="164">
        <f t="shared" si="7"/>
        <v>1</v>
      </c>
      <c r="Y27" s="69">
        <f t="shared" si="8"/>
        <v>8.0299999999999996E-2</v>
      </c>
      <c r="Z27" s="69">
        <f t="shared" si="9"/>
        <v>23.3278</v>
      </c>
      <c r="AA27" s="69">
        <f t="shared" si="10"/>
        <v>23.247499999999999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1"/>
        <v>0115-26</v>
      </c>
      <c r="AE27" s="95" t="str">
        <f t="shared" si="12"/>
        <v>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 &amp; 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</v>
      </c>
      <c r="AF27" s="92" t="str">
        <f t="shared" si="13"/>
        <v>"C:\Program Files (x86)\AstroGrep\AstroGrep.exe" /spath="%USERPROFILE%\AppData\Local\Temp\OnboardLogs" /stypes="app*4011*20160926*" /stext=" 13:.+((SYSTEM_STATE.+slice.+state.+changed )|(ment ac)|(system.+state.+changed )|(\|lc)|(penalty)|(\[timeout)|(PRM\|1\|D)|(kpr)|(kdp))" /e /r /s</v>
      </c>
      <c r="AG27" s="1" t="str">
        <f t="shared" si="14"/>
        <v>EC</v>
      </c>
      <c r="AH27" s="96" t="str">
        <f t="shared" si="17"/>
        <v>"%USERPROFILE%\Documents\GitHub\eaglep3\Utilities\RefineRTDCRunTimes.py" --tripid 115-26 --locoid 4011 --swversion DE.1.0.7.0 --startMP 204:803 --initTime 2016-09-26T05:31:39 --startdatetime 2016-09-26T06:26:11 --delay 1 --endMP 204:233278 --enddatetime 2016-09-26T07:10:52 --enforcementcount 0 &gt;&gt;C:\Users\stu\Documents\GitHub\eaglep3-reporting\EC\2016-09-26-refined-times.txt</v>
      </c>
      <c r="AI27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{"issue":{"subject":"","project_id":79,"tracker_id":40,"status_id":1,"priority_id":2,"assigned_to_id":23,"start_date":"2016-09-26","description":"","custom_fields":[{"id":1,"name":"Subdivision","value":"EC"},{"id":4,"name":"Milepost","value":"23.3278"},{"id":17,"name":"Train ID","value":"115-26"},{"id":16,"name":"Locomotive ID","value":"4011"},{"id":130,"name":"Impact","value":""},{"id":150,"name":"Time of Event (Mountain Time)","value":"07:10:52"},{"id":151,"name":"Denver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397</v>
      </c>
      <c r="B28" s="7">
        <v>4012</v>
      </c>
      <c r="C28" s="24" t="s">
        <v>106</v>
      </c>
      <c r="D28" s="24" t="s">
        <v>326</v>
      </c>
      <c r="E28" s="15">
        <v>42639.265428240738</v>
      </c>
      <c r="F28" s="15">
        <v>42639.268182870372</v>
      </c>
      <c r="G28" s="7">
        <v>3</v>
      </c>
      <c r="H28" s="15" t="s">
        <v>256</v>
      </c>
      <c r="I28" s="15">
        <v>42639.299212962964</v>
      </c>
      <c r="J28" s="7">
        <v>0</v>
      </c>
      <c r="K28" s="117" t="str">
        <f t="shared" si="0"/>
        <v>4011/4012</v>
      </c>
      <c r="L28" s="24" t="str">
        <f>VLOOKUP(A28,'Trips&amp;Operators'!$C$1:$E$10000,3,FALSE)</f>
        <v>MALAVE</v>
      </c>
      <c r="M28" s="6">
        <f t="shared" si="1"/>
        <v>3.1030092592118308E-2</v>
      </c>
      <c r="N28" s="7">
        <f t="shared" si="2"/>
        <v>44.683333332650363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5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05:22:13-0600',mode:absolute,to:'2016-09-26 08:10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8" s="54" t="str">
        <f t="shared" si="6"/>
        <v>N</v>
      </c>
      <c r="X28" s="164">
        <f t="shared" si="7"/>
        <v>1</v>
      </c>
      <c r="Y28" s="69">
        <f t="shared" si="8"/>
        <v>23.297000000000001</v>
      </c>
      <c r="Z28" s="69">
        <f t="shared" si="9"/>
        <v>1.41E-2</v>
      </c>
      <c r="AA28" s="69">
        <f t="shared" si="10"/>
        <v>23.282900000000001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1"/>
        <v>0116-26</v>
      </c>
      <c r="AE28" s="95" t="str">
        <f t="shared" si="12"/>
        <v>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 &amp; 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</v>
      </c>
      <c r="AF28" s="92" t="str">
        <f t="shared" si="13"/>
        <v>"C:\Program Files (x86)\AstroGrep\AstroGrep.exe" /spath="%USERPROFILE%\AppData\Local\Temp\OnboardLogs" /stypes="app*4012*20160926*"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96" t="str">
        <f t="shared" si="17"/>
        <v>"%USERPROFILE%\Documents\GitHub\eaglep3\Utilities\RefineRTDCRunTimes.py" --tripid 116-26 --locoid 4012 --swversion DE.1.0.7.0 --startMP 204:232970 --initTime 2016-09-26T06:22:13 --startdatetime 2016-09-26T06:26:11 --delay 3 --endMP 204:141 --enddatetime 2016-09-26T07:10:52 --enforcementcount 0 &gt;&gt;C:\Users\stu\Documents\GitHub\eaglep3-reporting\EC\2016-09-26-refined-times.txt</v>
      </c>
      <c r="AI28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{"issue":{"subject":"","project_id":79,"tracker_id":40,"status_id":1,"priority_id":2,"assigned_to_id":23,"start_date":"2016-09-26","description":"","custom_fields":[{"id":1,"name":"Subdivision","value":"EC"},{"id":4,"name":"Milepost","value":"0.0141"},{"id":17,"name":"Train ID","value":"116-26"},{"id":16,"name":"Locomotive ID","value":"4012"},{"id":130,"name":"Impact","value":""},{"id":150,"name":"Time of Event (Mountain Time)","value":"07:10:52"},{"id":151,"name":"Denver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398</v>
      </c>
      <c r="B29" s="7">
        <v>4053</v>
      </c>
      <c r="C29" s="24" t="s">
        <v>106</v>
      </c>
      <c r="D29" s="24" t="s">
        <v>305</v>
      </c>
      <c r="E29" s="15">
        <v>42639.234131944446</v>
      </c>
      <c r="F29" s="15">
        <v>42639.239803240744</v>
      </c>
      <c r="G29" s="7">
        <v>1</v>
      </c>
      <c r="H29" s="15" t="s">
        <v>302</v>
      </c>
      <c r="I29" s="15">
        <v>42639.266770833332</v>
      </c>
      <c r="J29" s="7">
        <v>0</v>
      </c>
      <c r="K29" s="117" t="str">
        <f t="shared" si="0"/>
        <v>4053/4054</v>
      </c>
      <c r="L29" s="24" t="str">
        <f>VLOOKUP(A29,'Trips&amp;Operators'!$C$1:$E$10000,3,FALSE)</f>
        <v>ACKERMAN</v>
      </c>
      <c r="M29" s="6">
        <f t="shared" si="1"/>
        <v>2.696759258833481E-2</v>
      </c>
      <c r="N29" s="7">
        <f t="shared" si="2"/>
        <v>38.833333327202126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5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04:37:09-0600',mode:absolute,to:'2016-09-26 07:24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29" s="54" t="str">
        <f t="shared" si="6"/>
        <v>N</v>
      </c>
      <c r="X29" s="164">
        <f t="shared" si="7"/>
        <v>1</v>
      </c>
      <c r="Y29" s="69">
        <f t="shared" si="8"/>
        <v>4.7699999999999999E-2</v>
      </c>
      <c r="Z29" s="69">
        <f t="shared" si="9"/>
        <v>23.330100000000002</v>
      </c>
      <c r="AA29" s="69">
        <f t="shared" si="10"/>
        <v>23.282400000000003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1"/>
        <v>0117-26</v>
      </c>
      <c r="AE29" s="95" t="str">
        <f t="shared" si="12"/>
        <v>aws s3 cp s3://rtdc.mdm.uploadarchive/RTDC4053/2016-09-26/ "%USERPROFILE%\AppData\Local\Temp\OnboardLogs"\RTDC4053\2016-09-26 --recursive &amp; "%USERPROFILE%\Documents\GitHub\mrs-test-scripts\Headless Mode &amp; Sideloading\WalkAndUnGZ.bat" "%USERPROFILE%\AppData\Local\Temp\OnboardLogs"\RTDC4053\2016-09-26 &amp; aws s3 cp s3://rtdc.mdm.uploadarchive/RTDC4053/2016-09-27/ "%USERPROFILE%\AppData\Local\Temp\OnboardLogs"\RTDC4053\2016-09-27 --recursive &amp; "%USERPROFILE%\Documents\GitHub\mrs-test-scripts\Headless Mode &amp; Sideloading\WalkAndUnGZ.bat" "%USERPROFILE%\AppData\Local\Temp\OnboardLogs"\RTDC4053\2016-09-27</v>
      </c>
      <c r="AF29" s="92" t="str">
        <f t="shared" si="13"/>
        <v>"C:\Program Files (x86)\AstroGrep\AstroGrep.exe" /spath="%USERPROFILE%\AppData\Local\Temp\OnboardLogs" /stypes="app*4053*20160926*"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96" t="str">
        <f t="shared" si="17"/>
        <v>"%USERPROFILE%\Documents\GitHub\eaglep3\Utilities\RefineRTDCRunTimes.py" --tripid 117-26 --locoid 4053 --swversion DE.1.0.7.0 --startMP 204:477 --initTime 2016-09-26T05:37:09 --startdatetime 2016-09-26T05:45:19 --delay 1 --endMP 204:233301 --enddatetime 2016-09-26T06:24:09 --enforcementcount 0 &gt;&gt;C:\Users\stu\Documents\GitHub\eaglep3-reporting\EC\2016-09-26-refined-times.txt</v>
      </c>
      <c r="AI29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{"issue":{"subject":"","project_id":79,"tracker_id":40,"status_id":1,"priority_id":2,"assigned_to_id":23,"start_date":"2016-09-26","description":"","custom_fields":[{"id":1,"name":"Subdivision","value":"EC"},{"id":4,"name":"Milepost","value":"23.3301"},{"id":17,"name":"Train ID","value":"117-26"},{"id":16,"name":"Locomotive ID","value":"4053"},{"id":130,"name":"Impact","value":""},{"id":150,"name":"Time of Event (Mountain Time)","value":"06:24:09"},{"id":151,"name":"Denver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399</v>
      </c>
      <c r="B30" s="7">
        <v>4054</v>
      </c>
      <c r="C30" s="24" t="s">
        <v>106</v>
      </c>
      <c r="D30" s="24" t="s">
        <v>400</v>
      </c>
      <c r="E30" s="15">
        <v>42639.273356481484</v>
      </c>
      <c r="F30" s="15">
        <v>42639.278726851851</v>
      </c>
      <c r="G30" s="7">
        <v>1</v>
      </c>
      <c r="H30" s="15" t="s">
        <v>218</v>
      </c>
      <c r="I30" s="15">
        <v>42639.307847222219</v>
      </c>
      <c r="J30" s="7">
        <v>0</v>
      </c>
      <c r="K30" s="117" t="str">
        <f t="shared" si="0"/>
        <v>4053/4054</v>
      </c>
      <c r="L30" s="24" t="str">
        <f>VLOOKUP(A30,'Trips&amp;Operators'!$C$1:$E$10000,3,FALSE)</f>
        <v>ACKERMAN</v>
      </c>
      <c r="M30" s="6">
        <f t="shared" si="1"/>
        <v>2.9120370367309079E-2</v>
      </c>
      <c r="N30" s="7">
        <f t="shared" si="2"/>
        <v>41.933333328925073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5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05:33:38-0600',mode:absolute,to:'2016-09-26 08:23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30" s="54" t="str">
        <f t="shared" si="6"/>
        <v>N</v>
      </c>
      <c r="X30" s="164">
        <f t="shared" si="7"/>
        <v>1</v>
      </c>
      <c r="Y30" s="69">
        <f t="shared" si="8"/>
        <v>23.296900000000001</v>
      </c>
      <c r="Z30" s="69">
        <f t="shared" si="9"/>
        <v>1.47E-2</v>
      </c>
      <c r="AA30" s="69">
        <f t="shared" si="10"/>
        <v>23.2822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1"/>
        <v>0118-26</v>
      </c>
      <c r="AE30" s="95" t="str">
        <f t="shared" si="12"/>
        <v>aws s3 cp s3://rtdc.mdm.uploadarchive/RTDC4054/2016-09-26/ "%USERPROFILE%\AppData\Local\Temp\OnboardLogs"\RTDC4054\2016-09-26 --recursive &amp; "%USERPROFILE%\Documents\GitHub\mrs-test-scripts\Headless Mode &amp; Sideloading\WalkAndUnGZ.bat" "%USERPROFILE%\AppData\Local\Temp\OnboardLogs"\RTDC4054\2016-09-26 &amp; aws s3 cp s3://rtdc.mdm.uploadarchive/RTDC4054/2016-09-27/ "%USERPROFILE%\AppData\Local\Temp\OnboardLogs"\RTDC4054\2016-09-27 --recursive &amp; "%USERPROFILE%\Documents\GitHub\mrs-test-scripts\Headless Mode &amp; Sideloading\WalkAndUnGZ.bat" "%USERPROFILE%\AppData\Local\Temp\OnboardLogs"\RTDC4054\2016-09-27</v>
      </c>
      <c r="AF30" s="92" t="str">
        <f t="shared" si="13"/>
        <v>"C:\Program Files (x86)\AstroGrep\AstroGrep.exe" /spath="%USERPROFILE%\AppData\Local\Temp\OnboardLogs" /stypes="app*4054*20160926*"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96" t="str">
        <f t="shared" si="17"/>
        <v>"%USERPROFILE%\Documents\GitHub\eaglep3\Utilities\RefineRTDCRunTimes.py" --tripid 118-26 --locoid 4054 --swversion DE.1.0.7.0 --startMP 204:232969 --initTime 2016-09-26T06:33:38 --startdatetime 2016-09-26T06:41:22 --delay 1 --endMP 204:147 --enddatetime 2016-09-26T07:23:18 --enforcementcount 0 &gt;&gt;C:\Users\stu\Documents\GitHub\eaglep3-reporting\EC\2016-09-26-refined-times.txt</v>
      </c>
      <c r="AI30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{"issue":{"subject":"","project_id":79,"tracker_id":40,"status_id":1,"priority_id":2,"assigned_to_id":23,"start_date":"2016-09-26","description":"","custom_fields":[{"id":1,"name":"Subdivision","value":"EC"},{"id":4,"name":"Milepost","value":"0.0147"},{"id":17,"name":"Train ID","value":"118-26"},{"id":16,"name":"Locomotive ID","value":"4054"},{"id":130,"name":"Impact","value":""},{"id":150,"name":"Time of Event (Mountain Time)","value":"07:23:18"},{"id":151,"name":"Denver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401</v>
      </c>
      <c r="B31" s="7">
        <v>4018</v>
      </c>
      <c r="C31" s="24" t="s">
        <v>106</v>
      </c>
      <c r="D31" s="24" t="s">
        <v>402</v>
      </c>
      <c r="E31" s="15">
        <v>42639.248032407406</v>
      </c>
      <c r="F31" s="15">
        <v>42639.250185185185</v>
      </c>
      <c r="G31" s="7">
        <v>1</v>
      </c>
      <c r="H31" s="15" t="s">
        <v>252</v>
      </c>
      <c r="I31" s="15">
        <v>42639.27884259259</v>
      </c>
      <c r="J31" s="7">
        <v>0</v>
      </c>
      <c r="K31" s="117" t="str">
        <f t="shared" si="0"/>
        <v>4017/4018</v>
      </c>
      <c r="L31" s="24" t="str">
        <f>VLOOKUP(A31,'Trips&amp;Operators'!$C$1:$E$10000,3,FALSE)</f>
        <v>BRANNON</v>
      </c>
      <c r="M31" s="6">
        <f t="shared" si="1"/>
        <v>2.8657407405262347E-2</v>
      </c>
      <c r="N31" s="7">
        <f t="shared" si="2"/>
        <v>41.26666666357778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5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04:57:10-0600',mode:absolute,to:'2016-09-26 07:41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1" s="54" t="str">
        <f t="shared" si="6"/>
        <v>N</v>
      </c>
      <c r="X31" s="164">
        <f t="shared" si="7"/>
        <v>1</v>
      </c>
      <c r="Y31" s="69">
        <f t="shared" si="8"/>
        <v>7.4099999999999999E-2</v>
      </c>
      <c r="Z31" s="69">
        <f t="shared" si="9"/>
        <v>23.329499999999999</v>
      </c>
      <c r="AA31" s="69">
        <f t="shared" si="10"/>
        <v>23.255399999999998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1"/>
        <v>0119-26</v>
      </c>
      <c r="AE31" s="95" t="str">
        <f t="shared" si="12"/>
        <v>aws s3 cp s3://rtdc.mdm.uploadarchive/RTDC4018/2016-09-26/ "%USERPROFILE%\AppData\Local\Temp\OnboardLogs"\RTDC4018\2016-09-26 --recursive &amp; "%USERPROFILE%\Documents\GitHub\mrs-test-scripts\Headless Mode &amp; Sideloading\WalkAndUnGZ.bat" "%USERPROFILE%\AppData\Local\Temp\OnboardLogs"\RTDC4018\2016-09-26 &amp; 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</v>
      </c>
      <c r="AF31" s="92" t="str">
        <f t="shared" si="13"/>
        <v>"C:\Program Files (x86)\AstroGrep\AstroGrep.exe" /spath="%USERPROFILE%\AppData\Local\Temp\OnboardLogs" /stypes="app*4018*20160926*"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96" t="str">
        <f t="shared" si="17"/>
        <v>"%USERPROFILE%\Documents\GitHub\eaglep3\Utilities\RefineRTDCRunTimes.py" --tripid 119-26 --locoid 4018 --swversion DE.1.0.7.0 --startMP 204:741 --initTime 2016-09-26T05:57:10 --startdatetime 2016-09-26T06:00:16 --delay 1 --endMP 204:233295 --enddatetime 2016-09-26T06:41:32 --enforcementcount 0 &gt;&gt;C:\Users\stu\Documents\GitHub\eaglep3-reporting\EC\2016-09-26-refined-times.txt</v>
      </c>
      <c r="AI31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{"issue":{"subject":"","project_id":79,"tracker_id":40,"status_id":1,"priority_id":2,"assigned_to_id":23,"start_date":"2016-09-26","description":"","custom_fields":[{"id":1,"name":"Subdivision","value":"EC"},{"id":4,"name":"Milepost","value":"23.3295"},{"id":17,"name":"Train ID","value":"119-26"},{"id":16,"name":"Locomotive ID","value":"4018"},{"id":130,"name":"Impact","value":""},{"id":150,"name":"Time of Event (Mountain Time)","value":"06:41:32"},{"id":151,"name":"Denver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403</v>
      </c>
      <c r="B32" s="7">
        <v>4017</v>
      </c>
      <c r="C32" s="24" t="s">
        <v>106</v>
      </c>
      <c r="D32" s="24" t="s">
        <v>404</v>
      </c>
      <c r="E32" s="15">
        <v>42639.280347222222</v>
      </c>
      <c r="F32" s="15">
        <v>42639.289074074077</v>
      </c>
      <c r="G32" s="7">
        <v>1</v>
      </c>
      <c r="H32" s="15" t="s">
        <v>280</v>
      </c>
      <c r="I32" s="15">
        <v>42639.319976851853</v>
      </c>
      <c r="J32" s="7">
        <v>0</v>
      </c>
      <c r="K32" s="117" t="str">
        <f t="shared" si="0"/>
        <v>4017/4018</v>
      </c>
      <c r="L32" s="24" t="str">
        <f>VLOOKUP(A32,'Trips&amp;Operators'!$C$1:$E$10000,3,FALSE)</f>
        <v>BRANNON</v>
      </c>
      <c r="M32" s="6">
        <f t="shared" si="1"/>
        <v>3.0902777776645962E-2</v>
      </c>
      <c r="N32" s="7">
        <f t="shared" si="2"/>
        <v>44.499999998370185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5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05:43:42-0600',mode:absolute,to:'2016-09-26 08:40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32" s="54" t="str">
        <f t="shared" si="6"/>
        <v>N</v>
      </c>
      <c r="X32" s="164">
        <f t="shared" si="7"/>
        <v>1</v>
      </c>
      <c r="Y32" s="69">
        <f t="shared" si="8"/>
        <v>23.2989</v>
      </c>
      <c r="Z32" s="69">
        <f t="shared" si="9"/>
        <v>1.43E-2</v>
      </c>
      <c r="AA32" s="69">
        <f t="shared" si="10"/>
        <v>23.284600000000001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1"/>
        <v>0120-26</v>
      </c>
      <c r="AE32" s="95" t="str">
        <f t="shared" si="12"/>
        <v>aws s3 cp s3://rtdc.mdm.uploadarchive/RTDC4017/2016-09-26/ "%USERPROFILE%\AppData\Local\Temp\OnboardLogs"\RTDC4017\2016-09-26 --recursive &amp; "%USERPROFILE%\Documents\GitHub\mrs-test-scripts\Headless Mode &amp; Sideloading\WalkAndUnGZ.bat" "%USERPROFILE%\AppData\Local\Temp\OnboardLogs"\RTDC4017\2016-09-26 &amp; 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</v>
      </c>
      <c r="AF32" s="92" t="str">
        <f t="shared" si="13"/>
        <v>"C:\Program Files (x86)\AstroGrep\AstroGrep.exe" /spath="%USERPROFILE%\AppData\Local\Temp\OnboardLogs" /stypes="app*4017*20160926*"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96" t="str">
        <f t="shared" si="17"/>
        <v>"%USERPROFILE%\Documents\GitHub\eaglep3\Utilities\RefineRTDCRunTimes.py" --tripid 120-26 --locoid 4017 --swversion DE.1.0.7.0 --startMP 204:232989 --initTime 2016-09-26T06:43:42 --startdatetime 2016-09-26T06:56:16 --delay 1 --endMP 204:143 --enddatetime 2016-09-26T07:40:46 --enforcementcount 0 &gt;&gt;C:\Users\stu\Documents\GitHub\eaglep3-reporting\EC\2016-09-26-refined-times.txt</v>
      </c>
      <c r="AI32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{"issue":{"subject":"","project_id":79,"tracker_id":40,"status_id":1,"priority_id":2,"assigned_to_id":23,"start_date":"2016-09-26","description":"","custom_fields":[{"id":1,"name":"Subdivision","value":"EC"},{"id":4,"name":"Milepost","value":"0.0143"},{"id":17,"name":"Train ID","value":"120-26"},{"id":16,"name":"Locomotive ID","value":"4017"},{"id":130,"name":"Impact","value":""},{"id":150,"name":"Time of Event (Mountain Time)","value":"07:40:46"},{"id":151,"name":"Denver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405</v>
      </c>
      <c r="B33" s="7">
        <v>4025</v>
      </c>
      <c r="C33" s="24" t="s">
        <v>106</v>
      </c>
      <c r="D33" s="24" t="s">
        <v>264</v>
      </c>
      <c r="E33" s="15">
        <v>42639.262349537035</v>
      </c>
      <c r="F33" s="15">
        <v>42639.26363425926</v>
      </c>
      <c r="G33" s="7">
        <v>1</v>
      </c>
      <c r="H33" s="15" t="s">
        <v>250</v>
      </c>
      <c r="I33" s="15">
        <v>42639.291747685187</v>
      </c>
      <c r="J33" s="7">
        <v>0</v>
      </c>
      <c r="K33" s="117" t="str">
        <f t="shared" si="0"/>
        <v>4025/4026</v>
      </c>
      <c r="L33" s="24" t="str">
        <f>VLOOKUP(A33,'Trips&amp;Operators'!$C$1:$E$10000,3,FALSE)</f>
        <v>SPECTOR</v>
      </c>
      <c r="M33" s="6">
        <f t="shared" si="1"/>
        <v>2.8113425927585922E-2</v>
      </c>
      <c r="N33" s="7">
        <f t="shared" si="2"/>
        <v>40.483333335723728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5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05:17:47-0600',mode:absolute,to:'2016-09-26 08:00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33" s="54" t="str">
        <f t="shared" si="6"/>
        <v>N</v>
      </c>
      <c r="X33" s="164">
        <f t="shared" si="7"/>
        <v>1</v>
      </c>
      <c r="Y33" s="69">
        <f t="shared" si="8"/>
        <v>4.4600000000000001E-2</v>
      </c>
      <c r="Z33" s="69">
        <f t="shared" si="9"/>
        <v>23.331399999999999</v>
      </c>
      <c r="AA33" s="69">
        <f t="shared" si="10"/>
        <v>23.286799999999999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 t="shared" si="11"/>
        <v>0121-26</v>
      </c>
      <c r="AE33" s="95" t="str">
        <f t="shared" si="12"/>
        <v>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 &amp; aws s3 cp s3://rtdc.mdm.uploadarchive/RTDC4025/2016-09-27/ "%USERPROFILE%\AppData\Local\Temp\OnboardLogs"\RTDC4025\2016-09-27 --recursive &amp; "%USERPROFILE%\Documents\GitHub\mrs-test-scripts\Headless Mode &amp; Sideloading\WalkAndUnGZ.bat" "%USERPROFILE%\AppData\Local\Temp\OnboardLogs"\RTDC4025\2016-09-27</v>
      </c>
      <c r="AF33" s="92" t="str">
        <f t="shared" si="13"/>
        <v>"C:\Program Files (x86)\AstroGrep\AstroGrep.exe" /spath="%USERPROFILE%\AppData\Local\Temp\OnboardLogs" /stypes="app*4025*20160926*" /stext=" 13:.+((SYSTEM_STATE.+slice.+state.+changed )|(ment ac)|(system.+state.+changed )|(\|lc)|(penalty)|(\[timeout)|(PRM\|1\|D)|(kpr)|(kdp))" /e /r /s</v>
      </c>
      <c r="AG33" s="1" t="str">
        <f t="shared" si="14"/>
        <v>EC</v>
      </c>
      <c r="AH33" s="96" t="str">
        <f t="shared" si="17"/>
        <v>"%USERPROFILE%\Documents\GitHub\eaglep3\Utilities\RefineRTDCRunTimes.py" --tripid 121-26 --locoid 4025 --swversion DE.1.0.7.0 --startMP 204:446 --initTime 2016-09-26T06:17:47 --startdatetime 2016-09-26T06:19:38 --delay 1 --endMP 204:233314 --enddatetime 2016-09-26T07:00:07 --enforcementcount 0 &gt;&gt;C:\Users\stu\Documents\GitHub\eaglep3-reporting\EC\2016-09-26-refined-times.txt</v>
      </c>
      <c r="AI33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{"issue":{"subject":"","project_id":79,"tracker_id":40,"status_id":1,"priority_id":2,"assigned_to_id":23,"start_date":"2016-09-26","description":"","custom_fields":[{"id":1,"name":"Subdivision","value":"EC"},{"id":4,"name":"Milepost","value":"23.3314"},{"id":17,"name":"Train ID","value":"121-26"},{"id":16,"name":"Locomotive ID","value":"4025"},{"id":130,"name":"Impact","value":""},{"id":150,"name":"Time of Event (Mountain Time)","value":"07:00:07"},{"id":151,"name":"Denver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406</v>
      </c>
      <c r="B34" s="7">
        <v>4026</v>
      </c>
      <c r="C34" s="24" t="s">
        <v>106</v>
      </c>
      <c r="D34" s="24" t="s">
        <v>336</v>
      </c>
      <c r="E34" s="15">
        <v>42639.296527777777</v>
      </c>
      <c r="F34" s="15">
        <v>42639.299537037034</v>
      </c>
      <c r="G34" s="7">
        <v>1</v>
      </c>
      <c r="H34" s="15" t="s">
        <v>218</v>
      </c>
      <c r="I34" s="15">
        <v>42639.329664351855</v>
      </c>
      <c r="J34" s="7">
        <v>0</v>
      </c>
      <c r="K34" s="117" t="str">
        <f t="shared" si="0"/>
        <v>4025/4026</v>
      </c>
      <c r="L34" s="24" t="str">
        <f>VLOOKUP(A34,'Trips&amp;Operators'!$C$1:$E$10000,3,FALSE)</f>
        <v>SPECTOR</v>
      </c>
      <c r="M34" s="6">
        <f t="shared" si="1"/>
        <v>3.012731482158415E-2</v>
      </c>
      <c r="N34" s="7">
        <f t="shared" si="2"/>
        <v>43.383333343081176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5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06:07:00-0600',mode:absolute,to:'2016-09-26 08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34" s="54" t="str">
        <f t="shared" si="6"/>
        <v>N</v>
      </c>
      <c r="X34" s="164">
        <f t="shared" si="7"/>
        <v>1</v>
      </c>
      <c r="Y34" s="69">
        <f t="shared" si="8"/>
        <v>23.3003</v>
      </c>
      <c r="Z34" s="69">
        <f t="shared" si="9"/>
        <v>1.47E-2</v>
      </c>
      <c r="AA34" s="69">
        <f t="shared" si="10"/>
        <v>23.285599999999999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 t="shared" si="11"/>
        <v>0122-26</v>
      </c>
      <c r="AE34" s="95" t="str">
        <f t="shared" si="12"/>
        <v>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 &amp; 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</v>
      </c>
      <c r="AF34" s="92" t="str">
        <f t="shared" si="13"/>
        <v>"C:\Program Files (x86)\AstroGrep\AstroGrep.exe" /spath="%USERPROFILE%\AppData\Local\Temp\OnboardLogs" /stypes="app*4026*20160926*"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96" t="str">
        <f t="shared" si="17"/>
        <v>"%USERPROFILE%\Documents\GitHub\eaglep3\Utilities\RefineRTDCRunTimes.py" --tripid 122-26 --locoid 4026 --swversion DE.1.0.7.0 --startMP 204:233003 --initTime 2016-09-26T07:07:00 --startdatetime 2016-09-26T07:11:20 --delay 1 --endMP 204:147 --enddatetime 2016-09-26T07:54:43 --enforcementcount 0 &gt;&gt;C:\Users\stu\Documents\GitHub\eaglep3-reporting\EC\2016-09-26-refined-times.txt</v>
      </c>
      <c r="AI34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{"issue":{"subject":"","project_id":79,"tracker_id":40,"status_id":1,"priority_id":2,"assigned_to_id":23,"start_date":"2016-09-26","description":"","custom_fields":[{"id":1,"name":"Subdivision","value":"EC"},{"id":4,"name":"Milepost","value":"0.0147"},{"id":17,"name":"Train ID","value":"122-26"},{"id":16,"name":"Locomotive ID","value":"4026"},{"id":130,"name":"Impact","value":""},{"id":150,"name":"Time of Event (Mountain Time)","value":"07:54:43"},{"id":151,"name":"Denver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407</v>
      </c>
      <c r="B35" s="7">
        <v>4016</v>
      </c>
      <c r="C35" s="24" t="s">
        <v>106</v>
      </c>
      <c r="D35" s="24" t="s">
        <v>318</v>
      </c>
      <c r="E35" s="15">
        <v>42639.268634259257</v>
      </c>
      <c r="F35" s="15">
        <v>42639.272175925929</v>
      </c>
      <c r="G35" s="7">
        <v>1</v>
      </c>
      <c r="H35" s="15" t="s">
        <v>408</v>
      </c>
      <c r="I35" s="15">
        <v>42639.297581018516</v>
      </c>
      <c r="J35" s="7">
        <v>0</v>
      </c>
      <c r="K35" s="117" t="str">
        <f t="shared" si="0"/>
        <v>4015/4016</v>
      </c>
      <c r="L35" s="24" t="str">
        <f>VLOOKUP(A35,'Trips&amp;Operators'!$C$1:$E$10000,3,FALSE)</f>
        <v>YORK</v>
      </c>
      <c r="M35" s="6">
        <f t="shared" si="1"/>
        <v>2.5405092586879618E-2</v>
      </c>
      <c r="N35" s="7">
        <f t="shared" si="2"/>
        <v>36.583333325106651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5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05:26:50-0600',mode:absolute,to:'2016-09-26 08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35" s="54" t="str">
        <f t="shared" si="6"/>
        <v>N</v>
      </c>
      <c r="X35" s="164">
        <f t="shared" si="7"/>
        <v>1</v>
      </c>
      <c r="Y35" s="69">
        <f t="shared" si="8"/>
        <v>4.7300000000000002E-2</v>
      </c>
      <c r="Z35" s="69">
        <f t="shared" si="9"/>
        <v>23.328299999999999</v>
      </c>
      <c r="AA35" s="69">
        <f t="shared" si="10"/>
        <v>23.280999999999999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 t="shared" si="11"/>
        <v>0123-26</v>
      </c>
      <c r="AE35" s="95" t="str">
        <f t="shared" si="12"/>
        <v>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 &amp; 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</v>
      </c>
      <c r="AF35" s="92" t="str">
        <f t="shared" si="13"/>
        <v>"C:\Program Files (x86)\AstroGrep\AstroGrep.exe" /spath="%USERPROFILE%\AppData\Local\Temp\OnboardLogs" /stypes="app*4016*20160926*"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96" t="str">
        <f t="shared" si="17"/>
        <v>"%USERPROFILE%\Documents\GitHub\eaglep3\Utilities\RefineRTDCRunTimes.py" --tripid 123-26 --locoid 4016 --swversion DE.1.0.7.0 --startMP 204:473 --initTime 2016-09-26T06:26:50 --startdatetime 2016-09-26T06:31:56 --delay 1 --endMP 204:233283 --enddatetime 2016-09-26T07:08:31 --enforcementcount 0 &gt;&gt;C:\Users\stu\Documents\GitHub\eaglep3-reporting\EC\2016-09-26-refined-times.txt</v>
      </c>
      <c r="AI35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{"issue":{"subject":"","project_id":79,"tracker_id":40,"status_id":1,"priority_id":2,"assigned_to_id":23,"start_date":"2016-09-26","description":"","custom_fields":[{"id":1,"name":"Subdivision","value":"EC"},{"id":4,"name":"Milepost","value":"23.3283"},{"id":17,"name":"Train ID","value":"123-26"},{"id":16,"name":"Locomotive ID","value":"4016"},{"id":130,"name":"Impact","value":""},{"id":150,"name":"Time of Event (Mountain Time)","value":"07:08:31"},{"id":151,"name":"Denver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409</v>
      </c>
      <c r="B36" s="7">
        <v>4015</v>
      </c>
      <c r="C36" s="24" t="s">
        <v>106</v>
      </c>
      <c r="D36" s="24" t="s">
        <v>306</v>
      </c>
      <c r="E36" s="15">
        <v>42639.298414351855</v>
      </c>
      <c r="F36" s="15">
        <v>42639.310127314813</v>
      </c>
      <c r="G36" s="7">
        <v>0</v>
      </c>
      <c r="H36" s="15" t="s">
        <v>410</v>
      </c>
      <c r="I36" s="15">
        <v>42639.339444444442</v>
      </c>
      <c r="J36" s="7">
        <v>0</v>
      </c>
      <c r="K36" s="117" t="str">
        <f t="shared" si="0"/>
        <v>4015/4016</v>
      </c>
      <c r="L36" s="24" t="str">
        <f>VLOOKUP(A36,'Trips&amp;Operators'!$C$1:$E$10000,3,FALSE)</f>
        <v>YORK</v>
      </c>
      <c r="M36" s="6">
        <f t="shared" si="1"/>
        <v>2.9317129628907423E-2</v>
      </c>
      <c r="N36" s="7">
        <f t="shared" si="2"/>
        <v>42.21666666562669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5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06:09:43-0600',mode:absolute,to:'2016-09-26 09:08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36" s="54" t="str">
        <f t="shared" si="6"/>
        <v>N</v>
      </c>
      <c r="X36" s="164">
        <f t="shared" si="7"/>
        <v>1</v>
      </c>
      <c r="Y36" s="69">
        <f t="shared" si="8"/>
        <v>23.297899999999998</v>
      </c>
      <c r="Z36" s="69">
        <f t="shared" si="9"/>
        <v>1.7000000000000001E-2</v>
      </c>
      <c r="AA36" s="69">
        <f t="shared" si="10"/>
        <v>23.280899999999999</v>
      </c>
      <c r="AB36" s="66" t="e">
        <f>VLOOKUP(A36,Enforcements!$C$7:$K$20,8,0)</f>
        <v>#N/A</v>
      </c>
      <c r="AC36" s="62" t="e">
        <f>VLOOKUP(A36,Enforcements!$C$7:$E$20,3,0)</f>
        <v>#N/A</v>
      </c>
      <c r="AD36" s="63" t="str">
        <f t="shared" si="11"/>
        <v>0124-26</v>
      </c>
      <c r="AE36" s="95" t="str">
        <f t="shared" si="12"/>
        <v>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 &amp; 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</v>
      </c>
      <c r="AF36" s="92" t="str">
        <f t="shared" si="13"/>
        <v>"C:\Program Files (x86)\AstroGrep\AstroGrep.exe" /spath="%USERPROFILE%\AppData\Local\Temp\OnboardLogs" /stypes="app*4015*20160926*"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96" t="str">
        <f t="shared" si="17"/>
        <v>"%USERPROFILE%\Documents\GitHub\eaglep3\Utilities\RefineRTDCRunTimes.py" --tripid 124-26 --locoid 4015 --swversion DE.1.0.7.0 --startMP 204:232979 --initTime 2016-09-26T07:09:43 --startdatetime 2016-09-26T07:26:35 --delay 0 --endMP 204:170 --enddatetime 2016-09-26T08:08:48 --enforcementcount 0 &gt;&gt;C:\Users\stu\Documents\GitHub\eaglep3-reporting\EC\2016-09-26-refined-times.txt</v>
      </c>
      <c r="AI36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{"issue":{"subject":"","project_id":79,"tracker_id":40,"status_id":1,"priority_id":2,"assigned_to_id":23,"start_date":"2016-09-26","description":"","custom_fields":[{"id":1,"name":"Subdivision","value":"EC"},{"id":4,"name":"Milepost","value":"0.017"},{"id":17,"name":"Train ID","value":"124-26"},{"id":16,"name":"Locomotive ID","value":"4015"},{"id":130,"name":"Impact","value":""},{"id":150,"name":"Time of Event (Mountain Time)","value":"08:08:48"},{"id":151,"name":"Denver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411</v>
      </c>
      <c r="B37" s="7">
        <v>4007</v>
      </c>
      <c r="C37" s="24" t="s">
        <v>106</v>
      </c>
      <c r="D37" s="24" t="s">
        <v>219</v>
      </c>
      <c r="E37" s="15">
        <v>42639.277777777781</v>
      </c>
      <c r="F37" s="15">
        <v>42639.281435185185</v>
      </c>
      <c r="G37" s="7">
        <v>1</v>
      </c>
      <c r="H37" s="15" t="s">
        <v>221</v>
      </c>
      <c r="I37" s="15">
        <v>42639.308692129627</v>
      </c>
      <c r="J37" s="7">
        <v>0</v>
      </c>
      <c r="K37" s="117" t="str">
        <f t="shared" si="0"/>
        <v>4007/4008</v>
      </c>
      <c r="L37" s="24" t="str">
        <f>VLOOKUP(A37,'Trips&amp;Operators'!$C$1:$E$10000,3,FALSE)</f>
        <v>STARKS</v>
      </c>
      <c r="M37" s="6">
        <f t="shared" si="1"/>
        <v>2.7256944442342501E-2</v>
      </c>
      <c r="N37" s="7">
        <f t="shared" si="2"/>
        <v>39.249999996973202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5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05:40:00-0600',mode:absolute,to:'2016-09-26 08:24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37" s="54" t="str">
        <f t="shared" si="6"/>
        <v>N</v>
      </c>
      <c r="X37" s="164">
        <f t="shared" si="7"/>
        <v>1</v>
      </c>
      <c r="Y37" s="69">
        <f t="shared" si="8"/>
        <v>4.53E-2</v>
      </c>
      <c r="Z37" s="69">
        <f t="shared" si="9"/>
        <v>23.3291</v>
      </c>
      <c r="AA37" s="69">
        <f t="shared" si="10"/>
        <v>23.283799999999999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 t="shared" si="11"/>
        <v>0125-26</v>
      </c>
      <c r="AE37" s="95" t="str">
        <f t="shared" si="12"/>
        <v>aws s3 cp s3://rtdc.mdm.uploadarchive/RTDC4007/2016-09-26/ "%USERPROFILE%\AppData\Local\Temp\OnboardLogs"\RTDC4007\2016-09-26 --recursive &amp; "%USERPROFILE%\Documents\GitHub\mrs-test-scripts\Headless Mode &amp; Sideloading\WalkAndUnGZ.bat" "%USERPROFILE%\AppData\Local\Temp\OnboardLogs"\RTDC4007\2016-09-26 &amp; aws s3 cp s3://rtdc.mdm.uploadarchive/RTDC4007/2016-09-27/ "%USERPROFILE%\AppData\Local\Temp\OnboardLogs"\RTDC4007\2016-09-27 --recursive &amp; "%USERPROFILE%\Documents\GitHub\mrs-test-scripts\Headless Mode &amp; Sideloading\WalkAndUnGZ.bat" "%USERPROFILE%\AppData\Local\Temp\OnboardLogs"\RTDC4007\2016-09-27</v>
      </c>
      <c r="AF37" s="92" t="str">
        <f t="shared" si="13"/>
        <v>"C:\Program Files (x86)\AstroGrep\AstroGrep.exe" /spath="%USERPROFILE%\AppData\Local\Temp\OnboardLogs" /stypes="app*4007*20160926*"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96" t="str">
        <f t="shared" si="17"/>
        <v>"%USERPROFILE%\Documents\GitHub\eaglep3\Utilities\RefineRTDCRunTimes.py" --tripid 125-26 --locoid 4007 --swversion DE.1.0.7.0 --startMP 204:453 --initTime 2016-09-26T06:40:00 --startdatetime 2016-09-26T06:45:16 --delay 1 --endMP 204:233291 --enddatetime 2016-09-26T07:24:31 --enforcementcount 0 &gt;&gt;C:\Users\stu\Documents\GitHub\eaglep3-reporting\EC\2016-09-26-refined-times.txt</v>
      </c>
      <c r="AI37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{"issue":{"subject":"","project_id":79,"tracker_id":40,"status_id":1,"priority_id":2,"assigned_to_id":23,"start_date":"2016-09-26","description":"","custom_fields":[{"id":1,"name":"Subdivision","value":"EC"},{"id":4,"name":"Milepost","value":"23.3291"},{"id":17,"name":"Train ID","value":"125-26"},{"id":16,"name":"Locomotive ID","value":"4007"},{"id":130,"name":"Impact","value":""},{"id":150,"name":"Time of Event (Mountain Time)","value":"07:24:31"},{"id":151,"name":"Denver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412</v>
      </c>
      <c r="B38" s="7">
        <v>4008</v>
      </c>
      <c r="C38" s="24" t="s">
        <v>106</v>
      </c>
      <c r="D38" s="24" t="s">
        <v>413</v>
      </c>
      <c r="E38" s="15">
        <v>42639.317835648151</v>
      </c>
      <c r="F38" s="15">
        <v>42639.320381944446</v>
      </c>
      <c r="G38" s="7">
        <v>1</v>
      </c>
      <c r="H38" s="15" t="s">
        <v>228</v>
      </c>
      <c r="I38" s="15">
        <v>42639.350254629629</v>
      </c>
      <c r="J38" s="7">
        <v>0</v>
      </c>
      <c r="K38" s="117" t="str">
        <f t="shared" si="0"/>
        <v>4007/4008</v>
      </c>
      <c r="L38" s="24" t="str">
        <f>VLOOKUP(A38,'Trips&amp;Operators'!$C$1:$E$10000,3,FALSE)</f>
        <v>STARKS</v>
      </c>
      <c r="M38" s="6">
        <f t="shared" si="1"/>
        <v>2.9872685183363501E-2</v>
      </c>
      <c r="N38" s="7">
        <f t="shared" si="2"/>
        <v>43.016666664043441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5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06:37:41-0600',mode:absolute,to:'2016-09-26 09:24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38" s="54" t="str">
        <f t="shared" si="6"/>
        <v>N</v>
      </c>
      <c r="X38" s="164">
        <f t="shared" si="7"/>
        <v>1</v>
      </c>
      <c r="Y38" s="69">
        <f t="shared" si="8"/>
        <v>23.2959</v>
      </c>
      <c r="Z38" s="69">
        <f t="shared" si="9"/>
        <v>1.3899999999999999E-2</v>
      </c>
      <c r="AA38" s="69">
        <f t="shared" si="10"/>
        <v>23.282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 t="shared" si="11"/>
        <v>0126-26</v>
      </c>
      <c r="AE38" s="95" t="str">
        <f t="shared" si="12"/>
        <v>aws s3 cp s3://rtdc.mdm.uploadarchive/RTDC4008/2016-09-26/ "%USERPROFILE%\AppData\Local\Temp\OnboardLogs"\RTDC4008\2016-09-26 --recursive &amp; "%USERPROFILE%\Documents\GitHub\mrs-test-scripts\Headless Mode &amp; Sideloading\WalkAndUnGZ.bat" "%USERPROFILE%\AppData\Local\Temp\OnboardLogs"\RTDC4008\2016-09-26 &amp; aws s3 cp s3://rtdc.mdm.uploadarchive/RTDC4008/2016-09-27/ "%USERPROFILE%\AppData\Local\Temp\OnboardLogs"\RTDC4008\2016-09-27 --recursive &amp; "%USERPROFILE%\Documents\GitHub\mrs-test-scripts\Headless Mode &amp; Sideloading\WalkAndUnGZ.bat" "%USERPROFILE%\AppData\Local\Temp\OnboardLogs"\RTDC4008\2016-09-27</v>
      </c>
      <c r="AF38" s="92" t="str">
        <f t="shared" si="13"/>
        <v>"C:\Program Files (x86)\AstroGrep\AstroGrep.exe" /spath="%USERPROFILE%\AppData\Local\Temp\OnboardLogs" /stypes="app*4008*20160926*"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96" t="str">
        <f t="shared" si="17"/>
        <v>"%USERPROFILE%\Documents\GitHub\eaglep3\Utilities\RefineRTDCRunTimes.py" --tripid 126-26 --locoid 4008 --swversion DE.1.0.7.0 --startMP 204:232959 --initTime 2016-09-26T07:37:41 --startdatetime 2016-09-26T07:41:21 --delay 1 --endMP 204:139 --enddatetime 2016-09-26T08:24:22 --enforcementcount 0 &gt;&gt;C:\Users\stu\Documents\GitHub\eaglep3-reporting\EC\2016-09-26-refined-times.txt</v>
      </c>
      <c r="AI38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{"issue":{"subject":"","project_id":79,"tracker_id":40,"status_id":1,"priority_id":2,"assigned_to_id":23,"start_date":"2016-09-26","description":"","custom_fields":[{"id":1,"name":"Subdivision","value":"EC"},{"id":4,"name":"Milepost","value":"0.0139"},{"id":17,"name":"Train ID","value":"126-26"},{"id":16,"name":"Locomotive ID","value":"4008"},{"id":130,"name":"Impact","value":""},{"id":150,"name":"Time of Event (Mountain Time)","value":"08:24:22"},{"id":151,"name":"Denver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414</v>
      </c>
      <c r="B39" s="7">
        <v>4046</v>
      </c>
      <c r="C39" s="24" t="s">
        <v>106</v>
      </c>
      <c r="D39" s="24" t="s">
        <v>318</v>
      </c>
      <c r="E39" s="15">
        <v>42639.289178240739</v>
      </c>
      <c r="F39" s="15">
        <v>42639.292187500003</v>
      </c>
      <c r="G39" s="7">
        <v>1</v>
      </c>
      <c r="H39" s="15" t="s">
        <v>258</v>
      </c>
      <c r="I39" s="15">
        <v>42639.319502314815</v>
      </c>
      <c r="J39" s="7">
        <v>0</v>
      </c>
      <c r="K39" s="117" t="str">
        <f t="shared" si="0"/>
        <v>4045/4046</v>
      </c>
      <c r="L39" s="24" t="str">
        <f>VLOOKUP(A39,'Trips&amp;Operators'!$C$1:$E$10000,3,FALSE)</f>
        <v>KILLION</v>
      </c>
      <c r="M39" s="6">
        <f t="shared" si="1"/>
        <v>2.7314814811688848E-2</v>
      </c>
      <c r="N39" s="7">
        <f t="shared" si="2"/>
        <v>39.333333328831941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5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05:56:25-0600',mode:absolute,to:'2016-09-26 08:40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39" s="54" t="str">
        <f t="shared" si="6"/>
        <v>N</v>
      </c>
      <c r="X39" s="164">
        <f t="shared" si="7"/>
        <v>1</v>
      </c>
      <c r="Y39" s="69">
        <f t="shared" si="8"/>
        <v>4.7300000000000002E-2</v>
      </c>
      <c r="Z39" s="69">
        <f t="shared" si="9"/>
        <v>23.331199999999999</v>
      </c>
      <c r="AA39" s="69">
        <f t="shared" si="10"/>
        <v>23.283899999999999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1"/>
        <v>0127-26</v>
      </c>
      <c r="AE39" s="95" t="str">
        <f t="shared" si="12"/>
        <v>aws s3 cp s3://rtdc.mdm.uploadarchive/RTDC4046/2016-09-26/ "%USERPROFILE%\AppData\Local\Temp\OnboardLogs"\RTDC4046\2016-09-26 --recursive &amp; "%USERPROFILE%\Documents\GitHub\mrs-test-scripts\Headless Mode &amp; Sideloading\WalkAndUnGZ.bat" "%USERPROFILE%\AppData\Local\Temp\OnboardLogs"\RTDC4046\2016-09-26 &amp; 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</v>
      </c>
      <c r="AF39" s="92" t="str">
        <f t="shared" si="13"/>
        <v>"C:\Program Files (x86)\AstroGrep\AstroGrep.exe" /spath="%USERPROFILE%\AppData\Local\Temp\OnboardLogs" /stypes="app*4046*20160926*"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96" t="str">
        <f t="shared" si="17"/>
        <v>"%USERPROFILE%\Documents\GitHub\eaglep3\Utilities\RefineRTDCRunTimes.py" --tripid 127-26 --locoid 4046 --swversion DE.1.0.7.0 --startMP 204:473 --initTime 2016-09-26T06:56:25 --startdatetime 2016-09-26T07:00:45 --delay 1 --endMP 204:233312 --enddatetime 2016-09-26T07:40:05 --enforcementcount 0 &gt;&gt;C:\Users\stu\Documents\GitHub\eaglep3-reporting\EC\2016-09-26-refined-times.txt</v>
      </c>
      <c r="AI39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{"issue":{"subject":"","project_id":79,"tracker_id":40,"status_id":1,"priority_id":2,"assigned_to_id":23,"start_date":"2016-09-26","description":"","custom_fields":[{"id":1,"name":"Subdivision","value":"EC"},{"id":4,"name":"Milepost","value":"23.3312"},{"id":17,"name":"Train ID","value":"127-26"},{"id":16,"name":"Locomotive ID","value":"4046"},{"id":130,"name":"Impact","value":""},{"id":150,"name":"Time of Event (Mountain Time)","value":"07:40:05"},{"id":151,"name":"Denver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415</v>
      </c>
      <c r="B40" s="7">
        <v>4045</v>
      </c>
      <c r="C40" s="24" t="s">
        <v>106</v>
      </c>
      <c r="D40" s="24" t="s">
        <v>416</v>
      </c>
      <c r="E40" s="15">
        <v>42639.326331018521</v>
      </c>
      <c r="F40" s="15">
        <v>42639.331377314818</v>
      </c>
      <c r="G40" s="7">
        <v>2</v>
      </c>
      <c r="H40" s="15" t="s">
        <v>215</v>
      </c>
      <c r="I40" s="15">
        <v>42639.36209490741</v>
      </c>
      <c r="J40" s="7">
        <v>0</v>
      </c>
      <c r="K40" s="117" t="str">
        <f t="shared" si="0"/>
        <v>4045/4046</v>
      </c>
      <c r="L40" s="24" t="str">
        <f>VLOOKUP(A40,'Trips&amp;Operators'!$C$1:$E$10000,3,FALSE)</f>
        <v>KILLION</v>
      </c>
      <c r="M40" s="6">
        <f t="shared" si="1"/>
        <v>3.071759259182727E-2</v>
      </c>
      <c r="N40" s="7">
        <f t="shared" si="2"/>
        <v>44.233333332231268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5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06:49:55-0600',mode:absolute,to:'2016-09-26 09:41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40" s="54" t="str">
        <f t="shared" si="6"/>
        <v>N</v>
      </c>
      <c r="X40" s="164">
        <f t="shared" si="7"/>
        <v>1</v>
      </c>
      <c r="Y40" s="69">
        <f t="shared" si="8"/>
        <v>23.2987</v>
      </c>
      <c r="Z40" s="69">
        <f t="shared" si="9"/>
        <v>1.6299999999999999E-2</v>
      </c>
      <c r="AA40" s="69">
        <f t="shared" si="10"/>
        <v>23.282399999999999</v>
      </c>
      <c r="AB40" s="66" t="str">
        <f>VLOOKUP(A40,Enforcements!$C$7:$K$20,8,0)</f>
        <v>Bulletin (2)</v>
      </c>
      <c r="AC40" s="62" t="str">
        <f>VLOOKUP(A40,Enforcements!$C$7:$E$20,3,0)</f>
        <v>GRADE CROSSING</v>
      </c>
      <c r="AD40" s="63" t="str">
        <f t="shared" si="11"/>
        <v>0128-26</v>
      </c>
      <c r="AE40" s="95" t="str">
        <f t="shared" si="12"/>
        <v>aws s3 cp s3://rtdc.mdm.uploadarchive/RTDC4045/2016-09-26/ "%USERPROFILE%\AppData\Local\Temp\OnboardLogs"\RTDC4045\2016-09-26 --recursive &amp; "%USERPROFILE%\Documents\GitHub\mrs-test-scripts\Headless Mode &amp; Sideloading\WalkAndUnGZ.bat" "%USERPROFILE%\AppData\Local\Temp\OnboardLogs"\RTDC4045\2016-09-26 &amp; 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</v>
      </c>
      <c r="AF40" s="92" t="str">
        <f t="shared" si="13"/>
        <v>"C:\Program Files (x86)\AstroGrep\AstroGrep.exe" /spath="%USERPROFILE%\AppData\Local\Temp\OnboardLogs" /stypes="app*4045*20160926*"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96" t="str">
        <f t="shared" si="17"/>
        <v>"%USERPROFILE%\Documents\GitHub\eaglep3\Utilities\RefineRTDCRunTimes.py" --tripid 128-26 --locoid 4045 --swversion DE.1.0.7.0 --startMP 204:232987 --initTime 2016-09-26T07:49:55 --startdatetime 2016-09-26T07:57:11 --delay 2 --endMP 204:163 --enddatetime 2016-09-26T08:41:25 --enforcementcount 0 &gt;&gt;C:\Users\stu\Documents\GitHub\eaglep3-reporting\EC\2016-09-26-refined-times.txt</v>
      </c>
      <c r="AI40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{"issue":{"subject":"","project_id":79,"tracker_id":40,"status_id":1,"priority_id":2,"assigned_to_id":23,"start_date":"2016-09-26","description":"","custom_fields":[{"id":1,"name":"Subdivision","value":"EC"},{"id":4,"name":"Milepost","value":"0.0163"},{"id":17,"name":"Train ID","value":"128-26"},{"id":16,"name":"Locomotive ID","value":"4045"},{"id":130,"name":"Impact","value":""},{"id":150,"name":"Time of Event (Mountain Time)","value":"08:41:25"},{"id":151,"name":"Denver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417</v>
      </c>
      <c r="B41" s="7">
        <v>4011</v>
      </c>
      <c r="C41" s="24" t="s">
        <v>106</v>
      </c>
      <c r="D41" s="24" t="s">
        <v>223</v>
      </c>
      <c r="E41" s="15">
        <v>42639.301099537035</v>
      </c>
      <c r="F41" s="15">
        <v>42639.302615740744</v>
      </c>
      <c r="G41" s="7">
        <v>1</v>
      </c>
      <c r="H41" s="15" t="s">
        <v>339</v>
      </c>
      <c r="I41" s="15">
        <v>42639.32885416667</v>
      </c>
      <c r="J41" s="7">
        <v>0</v>
      </c>
      <c r="K41" s="117" t="str">
        <f t="shared" si="0"/>
        <v>4011/4012</v>
      </c>
      <c r="L41" s="24" t="str">
        <f>VLOOKUP(A41,'Trips&amp;Operators'!$C$1:$E$10000,3,FALSE)</f>
        <v>MALAVE</v>
      </c>
      <c r="M41" s="6">
        <f t="shared" si="1"/>
        <v>2.6238425925839692E-2</v>
      </c>
      <c r="N41" s="7">
        <f t="shared" si="2"/>
        <v>37.783333333209157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5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06:13:35-0600',mode:absolute,to:'2016-09-26 08:53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1" s="54" t="str">
        <f t="shared" si="6"/>
        <v>N</v>
      </c>
      <c r="X41" s="164">
        <f t="shared" si="7"/>
        <v>1</v>
      </c>
      <c r="Y41" s="69">
        <f t="shared" si="8"/>
        <v>4.5699999999999998E-2</v>
      </c>
      <c r="Z41" s="69">
        <f t="shared" si="9"/>
        <v>23.3278</v>
      </c>
      <c r="AA41" s="69">
        <f t="shared" si="10"/>
        <v>23.2821</v>
      </c>
      <c r="AB41" s="66" t="str">
        <f>VLOOKUP(A41,Enforcements!$C$7:$K$20,8,0)</f>
        <v>Bulletin (2)</v>
      </c>
      <c r="AC41" s="62" t="str">
        <f>VLOOKUP(A41,Enforcements!$C$7:$E$20,3,0)</f>
        <v>GRADE CROSSING</v>
      </c>
      <c r="AD41" s="63" t="str">
        <f t="shared" si="11"/>
        <v>0129-26</v>
      </c>
      <c r="AE41" s="95" t="str">
        <f t="shared" si="12"/>
        <v>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 &amp; 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</v>
      </c>
      <c r="AF41" s="92" t="str">
        <f t="shared" si="13"/>
        <v>"C:\Program Files (x86)\AstroGrep\AstroGrep.exe" /spath="%USERPROFILE%\AppData\Local\Temp\OnboardLogs" /stypes="app*4011*20160926*"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96" t="str">
        <f t="shared" si="17"/>
        <v>"%USERPROFILE%\Documents\GitHub\eaglep3\Utilities\RefineRTDCRunTimes.py" --tripid 129-26 --locoid 4011 --swversion DE.1.0.7.0 --startMP 204:457 --initTime 2016-09-26T07:13:35 --startdatetime 2016-09-26T07:15:46 --delay 1 --endMP 204:233278 --enddatetime 2016-09-26T07:53:33 --enforcementcount 0 &gt;&gt;C:\Users\stu\Documents\GitHub\eaglep3-reporting\EC\2016-09-26-refined-times.txt</v>
      </c>
      <c r="AI41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{"issue":{"subject":"","project_id":79,"tracker_id":40,"status_id":1,"priority_id":2,"assigned_to_id":23,"start_date":"2016-09-26","description":"","custom_fields":[{"id":1,"name":"Subdivision","value":"EC"},{"id":4,"name":"Milepost","value":"23.3278"},{"id":17,"name":"Train ID","value":"129-26"},{"id":16,"name":"Locomotive ID","value":"4011"},{"id":130,"name":"Impact","value":""},{"id":150,"name":"Time of Event (Mountain Time)","value":"07:53:33"},{"id":151,"name":"Denver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418</v>
      </c>
      <c r="B42" s="7">
        <v>4012</v>
      </c>
      <c r="C42" s="24" t="s">
        <v>106</v>
      </c>
      <c r="D42" s="24" t="s">
        <v>400</v>
      </c>
      <c r="E42" s="15">
        <v>42639.339178240742</v>
      </c>
      <c r="F42" s="15">
        <v>42639.341238425928</v>
      </c>
      <c r="G42" s="7">
        <v>2</v>
      </c>
      <c r="H42" s="15" t="s">
        <v>220</v>
      </c>
      <c r="I42" s="15">
        <v>42639.371087962965</v>
      </c>
      <c r="J42" s="7">
        <v>0</v>
      </c>
      <c r="K42" s="117" t="str">
        <f t="shared" si="0"/>
        <v>4011/4012</v>
      </c>
      <c r="L42" s="24" t="str">
        <f>VLOOKUP(A42,'Trips&amp;Operators'!$C$1:$E$10000,3,FALSE)</f>
        <v>MALAVE</v>
      </c>
      <c r="M42" s="6">
        <f t="shared" si="1"/>
        <v>2.9849537037080154E-2</v>
      </c>
      <c r="N42" s="7">
        <f t="shared" si="2"/>
        <v>42.983333333395422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5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07:08:25-0600',mode:absolute,to:'2016-09-26 09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42" s="54" t="str">
        <f t="shared" si="6"/>
        <v>N</v>
      </c>
      <c r="X42" s="164">
        <f t="shared" si="7"/>
        <v>1</v>
      </c>
      <c r="Y42" s="69">
        <f t="shared" si="8"/>
        <v>23.296900000000001</v>
      </c>
      <c r="Z42" s="69">
        <f t="shared" si="9"/>
        <v>1.4999999999999999E-2</v>
      </c>
      <c r="AA42" s="69">
        <f t="shared" si="10"/>
        <v>23.2819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1"/>
        <v>0130-26</v>
      </c>
      <c r="AE42" s="95" t="str">
        <f t="shared" si="12"/>
        <v>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 &amp; 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</v>
      </c>
      <c r="AF42" s="92" t="str">
        <f t="shared" si="13"/>
        <v>"C:\Program Files (x86)\AstroGrep\AstroGrep.exe" /spath="%USERPROFILE%\AppData\Local\Temp\OnboardLogs" /stypes="app*4012*20160926*"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96" t="str">
        <f t="shared" si="17"/>
        <v>"%USERPROFILE%\Documents\GitHub\eaglep3\Utilities\RefineRTDCRunTimes.py" --tripid 130-26 --locoid 4012 --swversion DE.1.0.7.0 --startMP 204:232969 --initTime 2016-09-26T08:08:25 --startdatetime 2016-09-26T08:11:23 --delay 2 --endMP 204:150 --enddatetime 2016-09-26T08:54:22 --enforcementcount 0 &gt;&gt;C:\Users\stu\Documents\GitHub\eaglep3-reporting\EC\2016-09-26-refined-times.txt</v>
      </c>
      <c r="AI42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{"issue":{"subject":"","project_id":79,"tracker_id":40,"status_id":1,"priority_id":2,"assigned_to_id":23,"start_date":"2016-09-26","description":"","custom_fields":[{"id":1,"name":"Subdivision","value":"EC"},{"id":4,"name":"Milepost","value":"0.015"},{"id":17,"name":"Train ID","value":"130-26"},{"id":16,"name":"Locomotive ID","value":"4012"},{"id":130,"name":"Impact","value":""},{"id":150,"name":"Time of Event (Mountain Time)","value":"08:54:22"},{"id":151,"name":"Denver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419</v>
      </c>
      <c r="B43" s="7">
        <v>4053</v>
      </c>
      <c r="C43" s="24" t="s">
        <v>106</v>
      </c>
      <c r="D43" s="24" t="s">
        <v>219</v>
      </c>
      <c r="E43" s="15">
        <v>42639.309525462966</v>
      </c>
      <c r="F43" s="15">
        <v>42639.312731481485</v>
      </c>
      <c r="G43" s="7">
        <v>1</v>
      </c>
      <c r="H43" s="15" t="s">
        <v>258</v>
      </c>
      <c r="I43" s="15">
        <v>42639.338912037034</v>
      </c>
      <c r="J43" s="7">
        <v>0</v>
      </c>
      <c r="K43" s="117" t="str">
        <f t="shared" si="0"/>
        <v>4053/4054</v>
      </c>
      <c r="L43" s="24" t="str">
        <f>VLOOKUP(A43,'Trips&amp;Operators'!$C$1:$E$10000,3,FALSE)</f>
        <v>ACKERMAN</v>
      </c>
      <c r="M43" s="6">
        <f t="shared" si="1"/>
        <v>2.6180555549217388E-2</v>
      </c>
      <c r="N43" s="7">
        <f t="shared" si="2"/>
        <v>37.699999990873039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5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06:25:43-0600',mode:absolute,to:'2016-09-26 09:08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43" s="54" t="str">
        <f t="shared" si="6"/>
        <v>N</v>
      </c>
      <c r="X43" s="164">
        <f t="shared" si="7"/>
        <v>1</v>
      </c>
      <c r="Y43" s="69">
        <f t="shared" si="8"/>
        <v>4.53E-2</v>
      </c>
      <c r="Z43" s="69">
        <f t="shared" si="9"/>
        <v>23.331199999999999</v>
      </c>
      <c r="AA43" s="69">
        <f t="shared" si="10"/>
        <v>23.285899999999998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 t="shared" si="11"/>
        <v>0131-26</v>
      </c>
      <c r="AE43" s="95" t="str">
        <f t="shared" si="12"/>
        <v>aws s3 cp s3://rtdc.mdm.uploadarchive/RTDC4053/2016-09-26/ "%USERPROFILE%\AppData\Local\Temp\OnboardLogs"\RTDC4053\2016-09-26 --recursive &amp; "%USERPROFILE%\Documents\GitHub\mrs-test-scripts\Headless Mode &amp; Sideloading\WalkAndUnGZ.bat" "%USERPROFILE%\AppData\Local\Temp\OnboardLogs"\RTDC4053\2016-09-26 &amp; aws s3 cp s3://rtdc.mdm.uploadarchive/RTDC4053/2016-09-27/ "%USERPROFILE%\AppData\Local\Temp\OnboardLogs"\RTDC4053\2016-09-27 --recursive &amp; "%USERPROFILE%\Documents\GitHub\mrs-test-scripts\Headless Mode &amp; Sideloading\WalkAndUnGZ.bat" "%USERPROFILE%\AppData\Local\Temp\OnboardLogs"\RTDC4053\2016-09-27</v>
      </c>
      <c r="AF43" s="92" t="str">
        <f t="shared" si="13"/>
        <v>"C:\Program Files (x86)\AstroGrep\AstroGrep.exe" /spath="%USERPROFILE%\AppData\Local\Temp\OnboardLogs" /stypes="app*4053*20160926*"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96" t="str">
        <f t="shared" si="17"/>
        <v>"%USERPROFILE%\Documents\GitHub\eaglep3\Utilities\RefineRTDCRunTimes.py" --tripid 131-26 --locoid 4053 --swversion DE.1.0.7.0 --startMP 204:453 --initTime 2016-09-26T07:25:43 --startdatetime 2016-09-26T07:30:20 --delay 1 --endMP 204:233312 --enddatetime 2016-09-26T08:08:02 --enforcementcount 0 &gt;&gt;C:\Users\stu\Documents\GitHub\eaglep3-reporting\EC\2016-09-26-refined-times.txt</v>
      </c>
      <c r="AI43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{"issue":{"subject":"","project_id":79,"tracker_id":40,"status_id":1,"priority_id":2,"assigned_to_id":23,"start_date":"2016-09-26","description":"","custom_fields":[{"id":1,"name":"Subdivision","value":"EC"},{"id":4,"name":"Milepost","value":"23.3312"},{"id":17,"name":"Train ID","value":"131-26"},{"id":16,"name":"Locomotive ID","value":"4053"},{"id":130,"name":"Impact","value":""},{"id":150,"name":"Time of Event (Mountain Time)","value":"08:08:02"},{"id":151,"name":"Denver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420</v>
      </c>
      <c r="B44" s="7">
        <v>4054</v>
      </c>
      <c r="C44" s="24" t="s">
        <v>106</v>
      </c>
      <c r="D44" s="24" t="s">
        <v>254</v>
      </c>
      <c r="E44" s="15">
        <v>42639.34615740741</v>
      </c>
      <c r="F44" s="15">
        <v>42639.351736111108</v>
      </c>
      <c r="G44" s="7">
        <v>1</v>
      </c>
      <c r="H44" s="15" t="s">
        <v>247</v>
      </c>
      <c r="I44" s="15">
        <v>42639.382534722223</v>
      </c>
      <c r="J44" s="7">
        <v>0</v>
      </c>
      <c r="K44" s="117" t="str">
        <f t="shared" si="0"/>
        <v>4053/4054</v>
      </c>
      <c r="L44" s="24" t="str">
        <f>VLOOKUP(A44,'Trips&amp;Operators'!$C$1:$E$10000,3,FALSE)</f>
        <v>ACKERMAN</v>
      </c>
      <c r="M44" s="6">
        <f t="shared" si="1"/>
        <v>3.0798611114732921E-2</v>
      </c>
      <c r="N44" s="7">
        <f t="shared" si="2"/>
        <v>44.350000005215406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5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https://search-rtdc-monitor-bjffxe2xuh6vdkpspy63sjmuny.us-east-1.es.amazonaws.com/_plugin/kibana/#/discover/Steve-Slow-Train-Analysis-(2080s-and-2083s)?_g=(refreshInterval:(display:Off,section:0,value:0),time:(from:'2016-09-26 07:18:28-0600',mode:absolute,to:'2016-09-26 10:10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44" s="54" t="str">
        <f t="shared" si="6"/>
        <v>N</v>
      </c>
      <c r="X44" s="164">
        <f t="shared" si="7"/>
        <v>1</v>
      </c>
      <c r="Y44" s="69">
        <f t="shared" si="8"/>
        <v>23.3</v>
      </c>
      <c r="Z44" s="69">
        <f t="shared" si="9"/>
        <v>1.5599999999999999E-2</v>
      </c>
      <c r="AA44" s="69">
        <f t="shared" si="10"/>
        <v>23.284400000000002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1"/>
        <v>0132-26</v>
      </c>
      <c r="AE44" s="95" t="str">
        <f t="shared" si="12"/>
        <v>aws s3 cp s3://rtdc.mdm.uploadarchive/RTDC4054/2016-09-26/ "%USERPROFILE%\AppData\Local\Temp\OnboardLogs"\RTDC4054\2016-09-26 --recursive &amp; "%USERPROFILE%\Documents\GitHub\mrs-test-scripts\Headless Mode &amp; Sideloading\WalkAndUnGZ.bat" "%USERPROFILE%\AppData\Local\Temp\OnboardLogs"\RTDC4054\2016-09-26 &amp; aws s3 cp s3://rtdc.mdm.uploadarchive/RTDC4054/2016-09-27/ "%USERPROFILE%\AppData\Local\Temp\OnboardLogs"\RTDC4054\2016-09-27 --recursive &amp; "%USERPROFILE%\Documents\GitHub\mrs-test-scripts\Headless Mode &amp; Sideloading\WalkAndUnGZ.bat" "%USERPROFILE%\AppData\Local\Temp\OnboardLogs"\RTDC4054\2016-09-27</v>
      </c>
      <c r="AF44" s="92" t="str">
        <f t="shared" si="13"/>
        <v>"C:\Program Files (x86)\AstroGrep\AstroGrep.exe" /spath="%USERPROFILE%\AppData\Local\Temp\OnboardLogs" /stypes="app*4054*20160926*"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96" t="str">
        <f t="shared" si="17"/>
        <v>"%USERPROFILE%\Documents\GitHub\eaglep3\Utilities\RefineRTDCRunTimes.py" --tripid 132-26 --locoid 4054 --swversion DE.1.0.7.0 --startMP 204:233000 --initTime 2016-09-26T08:18:28 --startdatetime 2016-09-26T08:26:30 --delay 1 --endMP 204:156 --enddatetime 2016-09-26T09:10:51 --enforcementcount 0 &gt;&gt;C:\Users\stu\Documents\GitHub\eaglep3-reporting\EC\2016-09-26-refined-times.txt</v>
      </c>
      <c r="AI44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{"issue":{"subject":"","project_id":79,"tracker_id":40,"status_id":1,"priority_id":2,"assigned_to_id":23,"start_date":"2016-09-26","description":"","custom_fields":[{"id":1,"name":"Subdivision","value":"EC"},{"id":4,"name":"Milepost","value":"0.0156"},{"id":17,"name":"Train ID","value":"132-26"},{"id":16,"name":"Locomotive ID","value":"4054"},{"id":130,"name":"Impact","value":""},{"id":150,"name":"Time of Event (Mountain Time)","value":"09:10:51"},{"id":151,"name":"Denver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421</v>
      </c>
      <c r="B45" s="7">
        <v>4018</v>
      </c>
      <c r="C45" s="24" t="s">
        <v>106</v>
      </c>
      <c r="D45" s="24" t="s">
        <v>285</v>
      </c>
      <c r="E45" s="15">
        <v>42639.321319444447</v>
      </c>
      <c r="F45" s="15">
        <v>42639.323125000003</v>
      </c>
      <c r="G45" s="7">
        <v>1</v>
      </c>
      <c r="H45" s="15" t="s">
        <v>422</v>
      </c>
      <c r="I45" s="15">
        <v>42639.349652777775</v>
      </c>
      <c r="J45" s="7">
        <v>0</v>
      </c>
      <c r="K45" s="117" t="str">
        <f t="shared" ref="K45:K76" si="19">IF(ISEVEN(B45),(B45-1)&amp;"/"&amp;B45,B45&amp;"/"&amp;(B45+1))</f>
        <v>4017/4018</v>
      </c>
      <c r="L45" s="24" t="str">
        <f>VLOOKUP(A45,'Trips&amp;Operators'!$C$1:$E$10000,3,FALSE)</f>
        <v>BRANNON</v>
      </c>
      <c r="M45" s="6">
        <f t="shared" ref="M45:M76" si="20">I45-F45</f>
        <v>2.6527777772571426E-2</v>
      </c>
      <c r="N45" s="7">
        <f t="shared" si="2"/>
        <v>38.199999992502853</v>
      </c>
      <c r="O45" s="7"/>
      <c r="P45" s="7"/>
      <c r="Q45" s="25"/>
      <c r="R45" s="25"/>
      <c r="S45" s="37">
        <f t="shared" ref="S45:S76" si="21">SUM(U45:U45)/IF(AG45="EC",12,1)</f>
        <v>1</v>
      </c>
      <c r="T45" s="52" t="str">
        <f t="shared" ref="T45:T76" si="22">IF(ISEVEN(LEFT(AD45,4)),"Southbound","NorthBound")</f>
        <v>NorthBound</v>
      </c>
      <c r="U45" s="15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2" t="str">
        <f t="shared" ref="V45:V76" si="23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https://search-rtdc-monitor-bjffxe2xuh6vdkpspy63sjmuny.us-east-1.es.amazonaws.com/_plugin/kibana/#/discover/Steve-Slow-Train-Analysis-(2080s-and-2083s)?_g=(refreshInterval:(display:Off,section:0,value:0),time:(from:'2016-09-26 06:42:42-0600',mode:absolute,to:'2016-09-26 09:23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45" s="54" t="str">
        <f t="shared" ref="W45:W76" si="24">IF(AA45&lt;IF(AG45="EC",23,5.65),"Y","N")</f>
        <v>N</v>
      </c>
      <c r="X45" s="164">
        <f t="shared" ref="X45:X64" si="25">VALUE(LEFT(AD45,4))-VALUE(LEFT(AD44,4))</f>
        <v>1</v>
      </c>
      <c r="Y45" s="69">
        <f t="shared" ref="Y45:Y76" si="26">RIGHT(D45,LEN(D45)-4)/10000</f>
        <v>4.3799999999999999E-2</v>
      </c>
      <c r="Z45" s="69">
        <f t="shared" ref="Z45:Z76" si="27">RIGHT(H45,LEN(H45)-4)/10000</f>
        <v>23.331099999999999</v>
      </c>
      <c r="AA45" s="69">
        <f t="shared" ref="AA45:AA76" si="28">ABS(Z45-Y45)</f>
        <v>23.287299999999998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ref="AD45:AD76" si="29">IF(LEN(A45)=6,"0"&amp;A45,A45)</f>
        <v>0133-26</v>
      </c>
      <c r="AE45" s="95" t="str">
        <f t="shared" ref="AE45:AE76" si="30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s3://rtdc.mdm.uploadarchive/RTDC4018/2016-09-26/ "%USERPROFILE%\AppData\Local\Temp\OnboardLogs"\RTDC4018\2016-09-26 --recursive &amp; "%USERPROFILE%\Documents\GitHub\mrs-test-scripts\Headless Mode &amp; Sideloading\WalkAndUnGZ.bat" "%USERPROFILE%\AppData\Local\Temp\OnboardLogs"\RTDC4018\2016-09-26 &amp; 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</v>
      </c>
      <c r="AF45" s="92" t="str">
        <f t="shared" ref="AF45:AF76" si="31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/stypes="app*4018*20160926*" /stext=" 14:.+((SYSTEM_STATE.+slice.+state.+changed )|(ment ac)|(system.+state.+changed )|(\|lc)|(penalty)|(\[timeout)|(PRM\|1\|D)|(kpr)|(kdp))" /e /r /s</v>
      </c>
      <c r="AG45" s="1" t="str">
        <f t="shared" ref="AG45:AG76" si="32">IFERROR(IF(VALUE(LEFT(AD45,2))&lt;=2,"EC",IF(OR(VALUE(LEFT(AD45,2))=8,VALUE(LEFT(AD45,2))=18),"NW","Other")),"Other")</f>
        <v>EC</v>
      </c>
      <c r="AH45" s="96" t="str">
        <f t="shared" si="17"/>
        <v>"%USERPROFILE%\Documents\GitHub\eaglep3\Utilities\RefineRTDCRunTimes.py" --tripid 133-26 --locoid 4018 --swversion DE.1.0.7.0 --startMP 204:438 --initTime 2016-09-26T07:42:42 --startdatetime 2016-09-26T07:45:18 --delay 1 --endMP 204:233311 --enddatetime 2016-09-26T08:23:30 --enforcementcount 0 &gt;&gt;C:\Users\stu\Documents\GitHub\eaglep3-reporting\EC\2016-09-26-refined-times.txt</v>
      </c>
      <c r="AI45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{"issue":{"subject":"","project_id":79,"tracker_id":40,"status_id":1,"priority_id":2,"assigned_to_id":23,"start_date":"2016-09-26","description":"","custom_fields":[{"id":1,"name":"Subdivision","value":"EC"},{"id":4,"name":"Milepost","value":"23.3311"},{"id":17,"name":"Train ID","value":"133-26"},{"id":16,"name":"Locomotive ID","value":"4018"},{"id":130,"name":"Impact","value":""},{"id":150,"name":"Time of Event (Mountain Time)","value":"08:23:30"},{"id":151,"name":"Denver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423</v>
      </c>
      <c r="B46" s="7">
        <v>4017</v>
      </c>
      <c r="C46" s="24" t="s">
        <v>106</v>
      </c>
      <c r="D46" s="24" t="s">
        <v>281</v>
      </c>
      <c r="E46" s="15">
        <v>42639.357581018521</v>
      </c>
      <c r="F46" s="15">
        <v>42639.362025462964</v>
      </c>
      <c r="G46" s="7">
        <v>1</v>
      </c>
      <c r="H46" s="15" t="s">
        <v>280</v>
      </c>
      <c r="I46" s="15">
        <v>42639.391840277778</v>
      </c>
      <c r="J46" s="7">
        <v>0</v>
      </c>
      <c r="K46" s="117" t="str">
        <f t="shared" si="19"/>
        <v>4017/4018</v>
      </c>
      <c r="L46" s="24" t="str">
        <f>VLOOKUP(A46,'Trips&amp;Operators'!$C$1:$E$10000,3,FALSE)</f>
        <v>BRANNON</v>
      </c>
      <c r="M46" s="6">
        <f t="shared" si="20"/>
        <v>2.9814814814017154E-2</v>
      </c>
      <c r="N46" s="7">
        <f t="shared" si="2"/>
        <v>42.933333332184702</v>
      </c>
      <c r="O46" s="7"/>
      <c r="P46" s="7"/>
      <c r="Q46" s="25"/>
      <c r="R46" s="25"/>
      <c r="S46" s="37">
        <f t="shared" si="21"/>
        <v>1</v>
      </c>
      <c r="T46" s="52" t="str">
        <f t="shared" si="22"/>
        <v>Southbound</v>
      </c>
      <c r="U46" s="15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07:34:55-0600',mode:absolute,to:'2016-09-26 10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46" s="54" t="str">
        <f t="shared" si="24"/>
        <v>N</v>
      </c>
      <c r="X46" s="164">
        <f t="shared" si="25"/>
        <v>1</v>
      </c>
      <c r="Y46" s="69">
        <f t="shared" si="26"/>
        <v>23.297699999999999</v>
      </c>
      <c r="Z46" s="69">
        <f t="shared" si="27"/>
        <v>1.43E-2</v>
      </c>
      <c r="AA46" s="69">
        <f t="shared" si="28"/>
        <v>23.2834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 t="shared" si="29"/>
        <v>0134-26</v>
      </c>
      <c r="AE46" s="95" t="str">
        <f t="shared" si="30"/>
        <v>aws s3 cp s3://rtdc.mdm.uploadarchive/RTDC4017/2016-09-26/ "%USERPROFILE%\AppData\Local\Temp\OnboardLogs"\RTDC4017\2016-09-26 --recursive &amp; "%USERPROFILE%\Documents\GitHub\mrs-test-scripts\Headless Mode &amp; Sideloading\WalkAndUnGZ.bat" "%USERPROFILE%\AppData\Local\Temp\OnboardLogs"\RTDC4017\2016-09-26 &amp; 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</v>
      </c>
      <c r="AF46" s="92" t="str">
        <f t="shared" si="31"/>
        <v>"C:\Program Files (x86)\AstroGrep\AstroGrep.exe" /spath="%USERPROFILE%\AppData\Local\Temp\OnboardLogs" /stypes="app*4017*20160926*" /stext=" 15:.+((SYSTEM_STATE.+slice.+state.+changed )|(ment ac)|(system.+state.+changed )|(\|lc)|(penalty)|(\[timeout)|(PRM\|1\|D)|(kpr)|(kdp))" /e /r /s</v>
      </c>
      <c r="AG46" s="1" t="str">
        <f t="shared" si="32"/>
        <v>EC</v>
      </c>
      <c r="AH46" s="96" t="str">
        <f t="shared" si="17"/>
        <v>"%USERPROFILE%\Documents\GitHub\eaglep3\Utilities\RefineRTDCRunTimes.py" --tripid 134-26 --locoid 4017 --swversion DE.1.0.7.0 --startMP 204:232977 --initTime 2016-09-26T08:34:55 --startdatetime 2016-09-26T08:41:19 --delay 1 --endMP 204:143 --enddatetime 2016-09-26T09:24:15 --enforcementcount 0 &gt;&gt;C:\Users\stu\Documents\GitHub\eaglep3-reporting\EC\2016-09-26-refined-times.txt</v>
      </c>
      <c r="AI46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{"issue":{"subject":"","project_id":79,"tracker_id":40,"status_id":1,"priority_id":2,"assigned_to_id":23,"start_date":"2016-09-26","description":"","custom_fields":[{"id":1,"name":"Subdivision","value":"EC"},{"id":4,"name":"Milepost","value":"0.0143"},{"id":17,"name":"Train ID","value":"134-26"},{"id":16,"name":"Locomotive ID","value":"4017"},{"id":130,"name":"Impact","value":""},{"id":150,"name":"Time of Event (Mountain Time)","value":"09:24:15"},{"id":151,"name":"Denver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424</v>
      </c>
      <c r="B47" s="7">
        <v>4025</v>
      </c>
      <c r="C47" s="24" t="s">
        <v>106</v>
      </c>
      <c r="D47" s="24" t="s">
        <v>227</v>
      </c>
      <c r="E47" s="15">
        <v>42639.332743055558</v>
      </c>
      <c r="F47" s="15">
        <v>42639.334594907406</v>
      </c>
      <c r="G47" s="7">
        <v>1</v>
      </c>
      <c r="H47" s="15" t="s">
        <v>347</v>
      </c>
      <c r="I47" s="15">
        <v>42639.361215277779</v>
      </c>
      <c r="J47" s="7">
        <v>0</v>
      </c>
      <c r="K47" s="117" t="str">
        <f t="shared" si="19"/>
        <v>4025/4026</v>
      </c>
      <c r="L47" s="24" t="str">
        <f>VLOOKUP(A47,'Trips&amp;Operators'!$C$1:$E$10000,3,FALSE)</f>
        <v>SPECTOR</v>
      </c>
      <c r="M47" s="6">
        <f t="shared" si="20"/>
        <v>2.662037037225673E-2</v>
      </c>
      <c r="N47" s="7">
        <f t="shared" si="2"/>
        <v>38.333333336049691</v>
      </c>
      <c r="O47" s="7"/>
      <c r="P47" s="7"/>
      <c r="Q47" s="25"/>
      <c r="R47" s="25"/>
      <c r="S47" s="37">
        <f t="shared" si="21"/>
        <v>1</v>
      </c>
      <c r="T47" s="52" t="str">
        <f t="shared" si="22"/>
        <v>NorthBound</v>
      </c>
      <c r="U47" s="15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06:59:09-0600',mode:absolute,to:'2016-09-26 09:40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47" s="54" t="str">
        <f t="shared" si="24"/>
        <v>N</v>
      </c>
      <c r="X47" s="164">
        <f t="shared" si="25"/>
        <v>1</v>
      </c>
      <c r="Y47" s="69">
        <f t="shared" si="26"/>
        <v>4.5499999999999999E-2</v>
      </c>
      <c r="Z47" s="69">
        <f t="shared" si="27"/>
        <v>23.331499999999998</v>
      </c>
      <c r="AA47" s="69">
        <f t="shared" si="28"/>
        <v>23.285999999999998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 t="shared" si="29"/>
        <v>0135-26</v>
      </c>
      <c r="AE47" s="95" t="str">
        <f t="shared" si="30"/>
        <v>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 &amp; aws s3 cp s3://rtdc.mdm.uploadarchive/RTDC4025/2016-09-27/ "%USERPROFILE%\AppData\Local\Temp\OnboardLogs"\RTDC4025\2016-09-27 --recursive &amp; "%USERPROFILE%\Documents\GitHub\mrs-test-scripts\Headless Mode &amp; Sideloading\WalkAndUnGZ.bat" "%USERPROFILE%\AppData\Local\Temp\OnboardLogs"\RTDC4025\2016-09-27</v>
      </c>
      <c r="AF47" s="92" t="str">
        <f t="shared" si="31"/>
        <v>"C:\Program Files (x86)\AstroGrep\AstroGrep.exe" /spath="%USERPROFILE%\AppData\Local\Temp\OnboardLogs" /stypes="app*4025*20160926*" /stext=" 14:.+((SYSTEM_STATE.+slice.+state.+changed )|(ment ac)|(system.+state.+changed )|(\|lc)|(penalty)|(\[timeout)|(PRM\|1\|D)|(kpr)|(kdp))" /e /r /s</v>
      </c>
      <c r="AG47" s="1" t="str">
        <f t="shared" si="32"/>
        <v>EC</v>
      </c>
      <c r="AH47" s="96" t="str">
        <f t="shared" si="17"/>
        <v>"%USERPROFILE%\Documents\GitHub\eaglep3\Utilities\RefineRTDCRunTimes.py" --tripid 135-26 --locoid 4025 --swversion DE.1.0.7.0 --startMP 204:455 --initTime 2016-09-26T07:59:09 --startdatetime 2016-09-26T08:01:49 --delay 1 --endMP 204:233315 --enddatetime 2016-09-26T08:40:09 --enforcementcount 0 &gt;&gt;C:\Users\stu\Documents\GitHub\eaglep3-reporting\EC\2016-09-26-refined-times.txt</v>
      </c>
      <c r="AI47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{"issue":{"subject":"","project_id":79,"tracker_id":40,"status_id":1,"priority_id":2,"assigned_to_id":23,"start_date":"2016-09-26","description":"","custom_fields":[{"id":1,"name":"Subdivision","value":"EC"},{"id":4,"name":"Milepost","value":"23.3315"},{"id":17,"name":"Train ID","value":"135-26"},{"id":16,"name":"Locomotive ID","value":"4025"},{"id":130,"name":"Impact","value":""},{"id":150,"name":"Time of Event (Mountain Time)","value":"08:40:09"},{"id":151,"name":"Denver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425</v>
      </c>
      <c r="B48" s="7">
        <v>4026</v>
      </c>
      <c r="C48" s="24" t="s">
        <v>106</v>
      </c>
      <c r="D48" s="24" t="s">
        <v>254</v>
      </c>
      <c r="E48" s="15">
        <v>42639.366643518515</v>
      </c>
      <c r="F48" s="15">
        <v>42639.372418981482</v>
      </c>
      <c r="G48" s="7">
        <v>2</v>
      </c>
      <c r="H48" s="15" t="s">
        <v>228</v>
      </c>
      <c r="I48" s="15">
        <v>42639.402962962966</v>
      </c>
      <c r="J48" s="7">
        <v>0</v>
      </c>
      <c r="K48" s="117" t="str">
        <f t="shared" si="19"/>
        <v>4025/4026</v>
      </c>
      <c r="L48" s="24" t="str">
        <f>VLOOKUP(A48,'Trips&amp;Operators'!$C$1:$E$10000,3,FALSE)</f>
        <v>SPECTOR</v>
      </c>
      <c r="M48" s="6">
        <f t="shared" si="20"/>
        <v>3.054398148378823E-2</v>
      </c>
      <c r="N48" s="7">
        <f t="shared" si="2"/>
        <v>43.983333336655051</v>
      </c>
      <c r="O48" s="7"/>
      <c r="P48" s="7"/>
      <c r="Q48" s="25"/>
      <c r="R48" s="25"/>
      <c r="S48" s="37">
        <f t="shared" si="21"/>
        <v>1</v>
      </c>
      <c r="T48" s="52" t="str">
        <f t="shared" si="22"/>
        <v>Southbound</v>
      </c>
      <c r="U48" s="15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07:47:58-0600',mode:absolute,to:'2016-09-26 10:40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48" s="54" t="str">
        <f t="shared" si="24"/>
        <v>N</v>
      </c>
      <c r="X48" s="164">
        <f t="shared" si="25"/>
        <v>1</v>
      </c>
      <c r="Y48" s="69">
        <f t="shared" si="26"/>
        <v>23.3</v>
      </c>
      <c r="Z48" s="69">
        <f t="shared" si="27"/>
        <v>1.3899999999999999E-2</v>
      </c>
      <c r="AA48" s="69">
        <f t="shared" si="28"/>
        <v>23.286100000000001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29"/>
        <v>0136-26</v>
      </c>
      <c r="AE48" s="95" t="str">
        <f t="shared" si="30"/>
        <v>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 &amp; 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</v>
      </c>
      <c r="AF48" s="92" t="str">
        <f t="shared" si="31"/>
        <v>"C:\Program Files (x86)\AstroGrep\AstroGrep.exe" /spath="%USERPROFILE%\AppData\Local\Temp\OnboardLogs" /stypes="app*4026*20160926*" /stext=" 15:.+((SYSTEM_STATE.+slice.+state.+changed )|(ment ac)|(system.+state.+changed )|(\|lc)|(penalty)|(\[timeout)|(PRM\|1\|D)|(kpr)|(kdp))" /e /r /s</v>
      </c>
      <c r="AG48" s="1" t="str">
        <f t="shared" si="32"/>
        <v>EC</v>
      </c>
      <c r="AH48" s="96" t="str">
        <f t="shared" si="17"/>
        <v>"%USERPROFILE%\Documents\GitHub\eaglep3\Utilities\RefineRTDCRunTimes.py" --tripid 136-26 --locoid 4026 --swversion DE.1.0.7.0 --startMP 204:233000 --initTime 2016-09-26T08:47:58 --startdatetime 2016-09-26T08:56:17 --delay 2 --endMP 204:139 --enddatetime 2016-09-26T09:40:16 --enforcementcount 0 &gt;&gt;C:\Users\stu\Documents\GitHub\eaglep3-reporting\EC\2016-09-26-refined-times.txt</v>
      </c>
      <c r="AI48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{"issue":{"subject":"","project_id":79,"tracker_id":40,"status_id":1,"priority_id":2,"assigned_to_id":23,"start_date":"2016-09-26","description":"","custom_fields":[{"id":1,"name":"Subdivision","value":"EC"},{"id":4,"name":"Milepost","value":"0.0139"},{"id":17,"name":"Train ID","value":"136-26"},{"id":16,"name":"Locomotive ID","value":"4026"},{"id":130,"name":"Impact","value":""},{"id":150,"name":"Time of Event (Mountain Time)","value":"09:40:16"},{"id":151,"name":"Denver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426</v>
      </c>
      <c r="B49" s="7">
        <v>4016</v>
      </c>
      <c r="C49" s="24" t="s">
        <v>106</v>
      </c>
      <c r="D49" s="24" t="s">
        <v>229</v>
      </c>
      <c r="E49" s="15">
        <v>42639.341249999998</v>
      </c>
      <c r="F49" s="15">
        <v>42639.344641203701</v>
      </c>
      <c r="G49" s="7">
        <v>1</v>
      </c>
      <c r="H49" s="15" t="s">
        <v>252</v>
      </c>
      <c r="I49" s="15">
        <v>42639.370636574073</v>
      </c>
      <c r="J49" s="7">
        <v>0</v>
      </c>
      <c r="K49" s="117" t="str">
        <f t="shared" si="19"/>
        <v>4015/4016</v>
      </c>
      <c r="L49" s="24" t="str">
        <f>VLOOKUP(A49,'Trips&amp;Operators'!$C$1:$E$10000,3,FALSE)</f>
        <v>YORK</v>
      </c>
      <c r="M49" s="6">
        <f t="shared" si="20"/>
        <v>2.5995370371674653E-2</v>
      </c>
      <c r="N49" s="7">
        <f t="shared" si="2"/>
        <v>37.433333335211501</v>
      </c>
      <c r="O49" s="7"/>
      <c r="P49" s="7"/>
      <c r="Q49" s="25"/>
      <c r="R49" s="25"/>
      <c r="S49" s="37">
        <f t="shared" si="21"/>
        <v>1</v>
      </c>
      <c r="T49" s="52" t="str">
        <f t="shared" si="22"/>
        <v>NorthBound</v>
      </c>
      <c r="U49" s="15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07:11:24-0600',mode:absolute,to:'2016-09-26 09:53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49" s="54" t="str">
        <f t="shared" si="24"/>
        <v>N</v>
      </c>
      <c r="X49" s="164">
        <f t="shared" si="25"/>
        <v>1</v>
      </c>
      <c r="Y49" s="69">
        <f t="shared" si="26"/>
        <v>4.58E-2</v>
      </c>
      <c r="Z49" s="69">
        <f t="shared" si="27"/>
        <v>23.329499999999999</v>
      </c>
      <c r="AA49" s="69">
        <f t="shared" si="28"/>
        <v>23.2837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 t="shared" si="29"/>
        <v>0137-26</v>
      </c>
      <c r="AE49" s="95" t="str">
        <f t="shared" si="30"/>
        <v>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 &amp; 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</v>
      </c>
      <c r="AF49" s="92" t="str">
        <f t="shared" si="31"/>
        <v>"C:\Program Files (x86)\AstroGrep\AstroGrep.exe" /spath="%USERPROFILE%\AppData\Local\Temp\OnboardLogs" /stypes="app*4016*20160926*" /stext=" 14:.+((SYSTEM_STATE.+slice.+state.+changed )|(ment ac)|(system.+state.+changed )|(\|lc)|(penalty)|(\[timeout)|(PRM\|1\|D)|(kpr)|(kdp))" /e /r /s</v>
      </c>
      <c r="AG49" s="1" t="str">
        <f t="shared" si="32"/>
        <v>EC</v>
      </c>
      <c r="AH49" s="96" t="str">
        <f t="shared" si="17"/>
        <v>"%USERPROFILE%\Documents\GitHub\eaglep3\Utilities\RefineRTDCRunTimes.py" --tripid 137-26 --locoid 4016 --swversion DE.1.0.7.0 --startMP 204:458 --initTime 2016-09-26T08:11:24 --startdatetime 2016-09-26T08:16:17 --delay 1 --endMP 204:233295 --enddatetime 2016-09-26T08:53:43 --enforcementcount 0 &gt;&gt;C:\Users\stu\Documents\GitHub\eaglep3-reporting\EC\2016-09-26-refined-times.txt</v>
      </c>
      <c r="AI49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{"issue":{"subject":"","project_id":79,"tracker_id":40,"status_id":1,"priority_id":2,"assigned_to_id":23,"start_date":"2016-09-26","description":"","custom_fields":[{"id":1,"name":"Subdivision","value":"EC"},{"id":4,"name":"Milepost","value":"23.3295"},{"id":17,"name":"Train ID","value":"137-26"},{"id":16,"name":"Locomotive ID","value":"4016"},{"id":130,"name":"Impact","value":""},{"id":150,"name":"Time of Event (Mountain Time)","value":"08:53:43"},{"id":151,"name":"Denver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427</v>
      </c>
      <c r="B50" s="7">
        <v>4015</v>
      </c>
      <c r="C50" s="24" t="s">
        <v>106</v>
      </c>
      <c r="D50" s="24" t="s">
        <v>428</v>
      </c>
      <c r="E50" s="15">
        <v>42639.37228009259</v>
      </c>
      <c r="F50" s="15">
        <v>42639.383379629631</v>
      </c>
      <c r="G50" s="7">
        <v>1</v>
      </c>
      <c r="H50" s="15" t="s">
        <v>213</v>
      </c>
      <c r="I50" s="15">
        <v>42639.412291666667</v>
      </c>
      <c r="J50" s="7">
        <v>0</v>
      </c>
      <c r="K50" s="117" t="str">
        <f t="shared" si="19"/>
        <v>4015/4016</v>
      </c>
      <c r="L50" s="24" t="str">
        <f>VLOOKUP(A50,'Trips&amp;Operators'!$C$1:$E$10000,3,FALSE)</f>
        <v>YORK</v>
      </c>
      <c r="M50" s="6">
        <f t="shared" si="20"/>
        <v>2.8912037036207039E-2</v>
      </c>
      <c r="N50" s="7">
        <f t="shared" si="2"/>
        <v>41.633333332138136</v>
      </c>
      <c r="O50" s="7"/>
      <c r="P50" s="7"/>
      <c r="Q50" s="25"/>
      <c r="R50" s="25"/>
      <c r="S50" s="37">
        <f t="shared" si="21"/>
        <v>1</v>
      </c>
      <c r="T50" s="52" t="str">
        <f t="shared" si="22"/>
        <v>Southbound</v>
      </c>
      <c r="U50" s="15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07:56:05-0600',mode:absolute,to:'2016-09-26 10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50" s="54" t="str">
        <f t="shared" si="24"/>
        <v>N</v>
      </c>
      <c r="X50" s="164">
        <f t="shared" si="25"/>
        <v>1</v>
      </c>
      <c r="Y50" s="69">
        <f t="shared" si="26"/>
        <v>23.297799999999999</v>
      </c>
      <c r="Z50" s="69">
        <f t="shared" si="27"/>
        <v>1.49E-2</v>
      </c>
      <c r="AA50" s="69">
        <f t="shared" si="28"/>
        <v>23.282899999999998</v>
      </c>
      <c r="AB50" s="66" t="str">
        <f>VLOOKUP(A50,Enforcements!$C$7:$K$20,8,0)</f>
        <v>Bulletin (2)</v>
      </c>
      <c r="AC50" s="62" t="str">
        <f>VLOOKUP(A50,Enforcements!$C$7:$E$20,3,0)</f>
        <v>GRADE CROSSING</v>
      </c>
      <c r="AD50" s="63" t="str">
        <f t="shared" si="29"/>
        <v>0138-26</v>
      </c>
      <c r="AE50" s="95" t="str">
        <f t="shared" si="30"/>
        <v>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 &amp; 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</v>
      </c>
      <c r="AF50" s="92" t="str">
        <f t="shared" si="31"/>
        <v>"C:\Program Files (x86)\AstroGrep\AstroGrep.exe" /spath="%USERPROFILE%\AppData\Local\Temp\OnboardLogs" /stypes="app*4015*20160926*" /stext=" 15:.+((SYSTEM_STATE.+slice.+state.+changed )|(ment ac)|(system.+state.+changed )|(\|lc)|(penalty)|(\[timeout)|(PRM\|1\|D)|(kpr)|(kdp))" /e /r /s</v>
      </c>
      <c r="AG50" s="1" t="str">
        <f t="shared" si="32"/>
        <v>EC</v>
      </c>
      <c r="AH50" s="96" t="str">
        <f t="shared" si="17"/>
        <v>"%USERPROFILE%\Documents\GitHub\eaglep3\Utilities\RefineRTDCRunTimes.py" --tripid 138-26 --locoid 4015 --swversion DE.1.0.7.0 --startMP 204:232978 --initTime 2016-09-26T08:56:05 --startdatetime 2016-09-26T09:12:04 --delay 1 --endMP 204:149 --enddatetime 2016-09-26T09:53:42 --enforcementcount 0 &gt;&gt;C:\Users\stu\Documents\GitHub\eaglep3-reporting\EC\2016-09-26-refined-times.txt</v>
      </c>
      <c r="AI50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{"issue":{"subject":"","project_id":79,"tracker_id":40,"status_id":1,"priority_id":2,"assigned_to_id":23,"start_date":"2016-09-26","description":"","custom_fields":[{"id":1,"name":"Subdivision","value":"EC"},{"id":4,"name":"Milepost","value":"0.0149"},{"id":17,"name":"Train ID","value":"138-26"},{"id":16,"name":"Locomotive ID","value":"4015"},{"id":130,"name":"Impact","value":""},{"id":150,"name":"Time of Event (Mountain Time)","value":"09:53:42"},{"id":151,"name":"Denver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429</v>
      </c>
      <c r="B51" s="7">
        <v>4007</v>
      </c>
      <c r="C51" s="24" t="s">
        <v>106</v>
      </c>
      <c r="D51" s="24" t="s">
        <v>350</v>
      </c>
      <c r="E51" s="15">
        <v>42639.352129629631</v>
      </c>
      <c r="F51" s="15">
        <v>42639.354386574072</v>
      </c>
      <c r="G51" s="7">
        <v>1</v>
      </c>
      <c r="H51" s="15" t="s">
        <v>258</v>
      </c>
      <c r="I51" s="15">
        <v>42639.380960648145</v>
      </c>
      <c r="J51" s="7">
        <v>0</v>
      </c>
      <c r="K51" s="117" t="str">
        <f t="shared" si="19"/>
        <v>4007/4008</v>
      </c>
      <c r="L51" s="24" t="str">
        <f>VLOOKUP(A51,'Trips&amp;Operators'!$C$1:$E$10000,3,FALSE)</f>
        <v>STARKS</v>
      </c>
      <c r="M51" s="6">
        <f t="shared" si="20"/>
        <v>2.6574074072414078E-2</v>
      </c>
      <c r="N51" s="7">
        <f t="shared" si="2"/>
        <v>38.266666664276272</v>
      </c>
      <c r="O51" s="7"/>
      <c r="P51" s="7"/>
      <c r="Q51" s="25"/>
      <c r="R51" s="25"/>
      <c r="S51" s="37">
        <f t="shared" si="21"/>
        <v>1</v>
      </c>
      <c r="T51" s="52" t="str">
        <f t="shared" si="22"/>
        <v>NorthBound</v>
      </c>
      <c r="U51" s="15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07:27:04-0600',mode:absolute,to:'2016-09-26 10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51" s="54" t="str">
        <f t="shared" si="24"/>
        <v>N</v>
      </c>
      <c r="X51" s="164">
        <f t="shared" si="25"/>
        <v>1</v>
      </c>
      <c r="Y51" s="69">
        <f t="shared" si="26"/>
        <v>4.4400000000000002E-2</v>
      </c>
      <c r="Z51" s="69">
        <f t="shared" si="27"/>
        <v>23.331199999999999</v>
      </c>
      <c r="AA51" s="69">
        <f t="shared" si="28"/>
        <v>23.286799999999999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29"/>
        <v>0139-26</v>
      </c>
      <c r="AE51" s="95" t="str">
        <f t="shared" si="30"/>
        <v>aws s3 cp s3://rtdc.mdm.uploadarchive/RTDC4007/2016-09-26/ "%USERPROFILE%\AppData\Local\Temp\OnboardLogs"\RTDC4007\2016-09-26 --recursive &amp; "%USERPROFILE%\Documents\GitHub\mrs-test-scripts\Headless Mode &amp; Sideloading\WalkAndUnGZ.bat" "%USERPROFILE%\AppData\Local\Temp\OnboardLogs"\RTDC4007\2016-09-26 &amp; aws s3 cp s3://rtdc.mdm.uploadarchive/RTDC4007/2016-09-27/ "%USERPROFILE%\AppData\Local\Temp\OnboardLogs"\RTDC4007\2016-09-27 --recursive &amp; "%USERPROFILE%\Documents\GitHub\mrs-test-scripts\Headless Mode &amp; Sideloading\WalkAndUnGZ.bat" "%USERPROFILE%\AppData\Local\Temp\OnboardLogs"\RTDC4007\2016-09-27</v>
      </c>
      <c r="AF51" s="92" t="str">
        <f t="shared" si="31"/>
        <v>"C:\Program Files (x86)\AstroGrep\AstroGrep.exe" /spath="%USERPROFILE%\AppData\Local\Temp\OnboardLogs" /stypes="app*4007*20160926*" /stext=" 15:.+((SYSTEM_STATE.+slice.+state.+changed )|(ment ac)|(system.+state.+changed )|(\|lc)|(penalty)|(\[timeout)|(PRM\|1\|D)|(kpr)|(kdp))" /e /r /s</v>
      </c>
      <c r="AG51" s="1" t="str">
        <f t="shared" si="32"/>
        <v>EC</v>
      </c>
      <c r="AH51" s="96" t="str">
        <f t="shared" si="17"/>
        <v>"%USERPROFILE%\Documents\GitHub\eaglep3\Utilities\RefineRTDCRunTimes.py" --tripid 139-26 --locoid 4007 --swversion DE.1.0.7.0 --startMP 204:444 --initTime 2016-09-26T08:27:04 --startdatetime 2016-09-26T08:30:19 --delay 1 --endMP 204:233312 --enddatetime 2016-09-26T09:08:35 --enforcementcount 0 &gt;&gt;C:\Users\stu\Documents\GitHub\eaglep3-reporting\EC\2016-09-26-refined-times.txt</v>
      </c>
      <c r="AI51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{"issue":{"subject":"","project_id":79,"tracker_id":40,"status_id":1,"priority_id":2,"assigned_to_id":23,"start_date":"2016-09-26","description":"","custom_fields":[{"id":1,"name":"Subdivision","value":"EC"},{"id":4,"name":"Milepost","value":"23.3312"},{"id":17,"name":"Train ID","value":"139-26"},{"id":16,"name":"Locomotive ID","value":"4007"},{"id":130,"name":"Impact","value":""},{"id":150,"name":"Time of Event (Mountain Time)","value":"09:08:35"},{"id":151,"name":"Denver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430</v>
      </c>
      <c r="B52" s="7">
        <v>4008</v>
      </c>
      <c r="C52" s="24" t="s">
        <v>106</v>
      </c>
      <c r="D52" s="24" t="s">
        <v>262</v>
      </c>
      <c r="E52" s="15">
        <v>42639.389328703706</v>
      </c>
      <c r="F52" s="15">
        <v>42639.393229166664</v>
      </c>
      <c r="G52" s="7">
        <v>1</v>
      </c>
      <c r="H52" s="15" t="s">
        <v>256</v>
      </c>
      <c r="I52" s="15">
        <v>42639.424328703702</v>
      </c>
      <c r="J52" s="7">
        <v>0</v>
      </c>
      <c r="K52" s="117" t="str">
        <f t="shared" si="19"/>
        <v>4007/4008</v>
      </c>
      <c r="L52" s="24" t="str">
        <f>VLOOKUP(A52,'Trips&amp;Operators'!$C$1:$E$10000,3,FALSE)</f>
        <v>STARKS</v>
      </c>
      <c r="M52" s="6">
        <f t="shared" si="20"/>
        <v>3.1099537038244307E-2</v>
      </c>
      <c r="N52" s="7">
        <f t="shared" si="2"/>
        <v>44.783333335071802</v>
      </c>
      <c r="O52" s="7"/>
      <c r="P52" s="7"/>
      <c r="Q52" s="25"/>
      <c r="R52" s="25"/>
      <c r="S52" s="37">
        <f t="shared" si="21"/>
        <v>1</v>
      </c>
      <c r="T52" s="52" t="str">
        <f t="shared" si="22"/>
        <v>Southbound</v>
      </c>
      <c r="U52" s="15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08:20:38-0600',mode:absolute,to:'2016-09-26 11:11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52" s="54" t="str">
        <f t="shared" si="24"/>
        <v>N</v>
      </c>
      <c r="X52" s="164">
        <f t="shared" si="25"/>
        <v>1</v>
      </c>
      <c r="Y52" s="69">
        <f t="shared" si="26"/>
        <v>23.299600000000002</v>
      </c>
      <c r="Z52" s="69">
        <f t="shared" si="27"/>
        <v>1.41E-2</v>
      </c>
      <c r="AA52" s="69">
        <f t="shared" si="28"/>
        <v>23.285500000000003</v>
      </c>
      <c r="AB52" s="66" t="e">
        <f>VLOOKUP(A52,Enforcements!$C$7:$K$20,8,0)</f>
        <v>#N/A</v>
      </c>
      <c r="AC52" s="62" t="e">
        <f>VLOOKUP(A52,Enforcements!$C$7:$E$20,3,0)</f>
        <v>#N/A</v>
      </c>
      <c r="AD52" s="63" t="str">
        <f t="shared" si="29"/>
        <v>0140-26</v>
      </c>
      <c r="AE52" s="95" t="str">
        <f t="shared" si="30"/>
        <v>aws s3 cp s3://rtdc.mdm.uploadarchive/RTDC4008/2016-09-26/ "%USERPROFILE%\AppData\Local\Temp\OnboardLogs"\RTDC4008\2016-09-26 --recursive &amp; "%USERPROFILE%\Documents\GitHub\mrs-test-scripts\Headless Mode &amp; Sideloading\WalkAndUnGZ.bat" "%USERPROFILE%\AppData\Local\Temp\OnboardLogs"\RTDC4008\2016-09-26 &amp; aws s3 cp s3://rtdc.mdm.uploadarchive/RTDC4008/2016-09-27/ "%USERPROFILE%\AppData\Local\Temp\OnboardLogs"\RTDC4008\2016-09-27 --recursive &amp; "%USERPROFILE%\Documents\GitHub\mrs-test-scripts\Headless Mode &amp; Sideloading\WalkAndUnGZ.bat" "%USERPROFILE%\AppData\Local\Temp\OnboardLogs"\RTDC4008\2016-09-27</v>
      </c>
      <c r="AF52" s="92" t="str">
        <f t="shared" si="31"/>
        <v>"C:\Program Files (x86)\AstroGrep\AstroGrep.exe" /spath="%USERPROFILE%\AppData\Local\Temp\OnboardLogs" /stypes="app*4008*20160926*" /stext=" 16:.+((SYSTEM_STATE.+slice.+state.+changed )|(ment ac)|(system.+state.+changed )|(\|lc)|(penalty)|(\[timeout)|(PRM\|1\|D)|(kpr)|(kdp))" /e /r /s</v>
      </c>
      <c r="AG52" s="1" t="str">
        <f t="shared" si="32"/>
        <v>EC</v>
      </c>
      <c r="AH52" s="96" t="str">
        <f t="shared" si="17"/>
        <v>"%USERPROFILE%\Documents\GitHub\eaglep3\Utilities\RefineRTDCRunTimes.py" --tripid 140-26 --locoid 4008 --swversion DE.1.0.7.0 --startMP 204:232996 --initTime 2016-09-26T09:20:38 --startdatetime 2016-09-26T09:26:15 --delay 1 --endMP 204:141 --enddatetime 2016-09-26T10:11:02 --enforcementcount 0 &gt;&gt;C:\Users\stu\Documents\GitHub\eaglep3-reporting\EC\2016-09-26-refined-times.txt</v>
      </c>
      <c r="AI52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{"issue":{"subject":"","project_id":79,"tracker_id":40,"status_id":1,"priority_id":2,"assigned_to_id":23,"start_date":"2016-09-26","description":"","custom_fields":[{"id":1,"name":"Subdivision","value":"EC"},{"id":4,"name":"Milepost","value":"0.0141"},{"id":17,"name":"Train ID","value":"140-26"},{"id":16,"name":"Locomotive ID","value":"4008"},{"id":130,"name":"Impact","value":""},{"id":150,"name":"Time of Event (Mountain Time)","value":"10:11:02"},{"id":151,"name":"Denver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431</v>
      </c>
      <c r="B53" s="7">
        <v>4046</v>
      </c>
      <c r="C53" s="24" t="s">
        <v>106</v>
      </c>
      <c r="D53" s="24" t="s">
        <v>432</v>
      </c>
      <c r="E53" s="15">
        <v>42639.36922453704</v>
      </c>
      <c r="F53" s="15">
        <v>42639.370532407411</v>
      </c>
      <c r="G53" s="7">
        <v>1</v>
      </c>
      <c r="H53" s="15" t="s">
        <v>433</v>
      </c>
      <c r="I53" s="15">
        <v>42639.397361111114</v>
      </c>
      <c r="J53" s="7">
        <v>0</v>
      </c>
      <c r="K53" s="117" t="str">
        <f t="shared" si="19"/>
        <v>4045/4046</v>
      </c>
      <c r="L53" s="24" t="str">
        <f>VLOOKUP(A53,'Trips&amp;Operators'!$C$1:$E$10000,3,FALSE)</f>
        <v>KILLION</v>
      </c>
      <c r="M53" s="6">
        <f t="shared" si="20"/>
        <v>2.6828703703358769E-2</v>
      </c>
      <c r="N53" s="7"/>
      <c r="O53" s="7"/>
      <c r="P53" s="7">
        <f>24*60*SUM($M53:$M53)</f>
        <v>38.633333332836628</v>
      </c>
      <c r="Q53" s="25"/>
      <c r="R53" s="25" t="s">
        <v>722</v>
      </c>
      <c r="S53" s="37">
        <f t="shared" si="21"/>
        <v>1</v>
      </c>
      <c r="T53" s="52" t="str">
        <f t="shared" si="22"/>
        <v>NorthBound</v>
      </c>
      <c r="U53" s="15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07:51:41-0600',mode:absolute,to:'2016-09-26 10:32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53" s="54" t="str">
        <f t="shared" si="24"/>
        <v>Y</v>
      </c>
      <c r="X53" s="164">
        <f t="shared" si="25"/>
        <v>1</v>
      </c>
      <c r="Y53" s="69">
        <f t="shared" si="26"/>
        <v>1.9125000000000001</v>
      </c>
      <c r="Z53" s="69">
        <f t="shared" si="27"/>
        <v>23.3293</v>
      </c>
      <c r="AA53" s="69">
        <f t="shared" si="28"/>
        <v>21.416799999999999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29"/>
        <v>0141-26</v>
      </c>
      <c r="AE53" s="95" t="str">
        <f t="shared" si="30"/>
        <v>aws s3 cp s3://rtdc.mdm.uploadarchive/RTDC4046/2016-09-26/ "%USERPROFILE%\AppData\Local\Temp\OnboardLogs"\RTDC4046\2016-09-26 --recursive &amp; "%USERPROFILE%\Documents\GitHub\mrs-test-scripts\Headless Mode &amp; Sideloading\WalkAndUnGZ.bat" "%USERPROFILE%\AppData\Local\Temp\OnboardLogs"\RTDC4046\2016-09-26 &amp; 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</v>
      </c>
      <c r="AF53" s="92" t="str">
        <f t="shared" si="31"/>
        <v>"C:\Program Files (x86)\AstroGrep\AstroGrep.exe" /spath="%USERPROFILE%\AppData\Local\Temp\OnboardLogs" /stypes="app*4046*20160926*" /stext=" 15:.+((SYSTEM_STATE.+slice.+state.+changed )|(ment ac)|(system.+state.+changed )|(\|lc)|(penalty)|(\[timeout)|(PRM\|1\|D)|(kpr)|(kdp))" /e /r /s</v>
      </c>
      <c r="AG53" s="1" t="str">
        <f t="shared" si="32"/>
        <v>EC</v>
      </c>
      <c r="AH53" s="96" t="str">
        <f t="shared" si="17"/>
        <v>"%USERPROFILE%\Documents\GitHub\eaglep3\Utilities\RefineRTDCRunTimes.py" --tripid 141-26 --locoid 4046 --swversion DE.1.0.7.0 --startMP 204:19125 --initTime 2016-09-26T08:51:41 --startdatetime 2016-09-26T08:53:34 --delay 1 --endMP 204:233293 --enddatetime 2016-09-26T09:32:12 --enforcementcount 0 &gt;&gt;C:\Users\stu\Documents\GitHub\eaglep3-reporting\EC\2016-09-26-refined-times.txt</v>
      </c>
      <c r="AI53" s="130" t="str">
        <f t="shared" si="18"/>
        <v>echo {"issue":{"subject":"Train received cut out command from TMDS (bulletin failure?)","project_id":79,"tracker_id":40,"status_id":1,"priority_id":2,"assigned_to_id":23,"start_date":"2016-09-26","description":"At 08:47:31, received a cut out command from TMDS. Was there a bulletin retrieval failure or something else?","custom_fields":[{"id":1,"name":"Subdivision","value":"EC"},{"id":4,"name":"Milepost","value":"23.3293"},{"id":17,"name":"Train ID","value":"141-26"},{"id":16,"name":"Locomotive ID","value":"4046"},{"id":130,"name":"Impact","value":"Unexpected Cut-Out or Disengaged"},{"id":150,"name":"Time of Event (Mountain Time)","value":"09:32:12"},{"id":151,"name":"Denver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53" s="55" t="s">
        <v>721</v>
      </c>
      <c r="AK53" s="55" t="s">
        <v>144</v>
      </c>
      <c r="AL53" s="55" t="s">
        <v>147</v>
      </c>
    </row>
    <row r="54" spans="1:38" s="1" customFormat="1" x14ac:dyDescent="0.25">
      <c r="A54" s="39" t="s">
        <v>431</v>
      </c>
      <c r="B54" s="7">
        <v>4046</v>
      </c>
      <c r="C54" s="24" t="s">
        <v>106</v>
      </c>
      <c r="D54" s="24" t="s">
        <v>216</v>
      </c>
      <c r="E54" s="15">
        <v>42639.363692129627</v>
      </c>
      <c r="F54" s="15">
        <v>42639.370532407411</v>
      </c>
      <c r="G54" s="7">
        <v>2</v>
      </c>
      <c r="H54" s="15" t="s">
        <v>434</v>
      </c>
      <c r="I54" s="15">
        <v>42639.397361111114</v>
      </c>
      <c r="J54" s="7">
        <v>0</v>
      </c>
      <c r="K54" s="117" t="str">
        <f t="shared" si="19"/>
        <v>4045/4046</v>
      </c>
      <c r="L54" s="24" t="str">
        <f>VLOOKUP(A54,'Trips&amp;Operators'!$C$1:$E$10000,3,FALSE)</f>
        <v>KILLION</v>
      </c>
      <c r="M54" s="6">
        <f t="shared" si="20"/>
        <v>2.6828703703358769E-2</v>
      </c>
      <c r="N54" s="7"/>
      <c r="O54" s="7"/>
      <c r="P54" s="7"/>
      <c r="Q54" s="25"/>
      <c r="R54" s="25"/>
      <c r="S54" s="37">
        <f t="shared" si="21"/>
        <v>0</v>
      </c>
      <c r="T54" s="52" t="str">
        <f t="shared" si="22"/>
        <v>NorthBound</v>
      </c>
      <c r="U54" s="15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07:43:43-0600',mode:absolute,to:'2016-09-26 10:32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54" s="54" t="str">
        <f t="shared" si="24"/>
        <v>Y</v>
      </c>
      <c r="X54" s="164">
        <f t="shared" si="25"/>
        <v>0</v>
      </c>
      <c r="Y54" s="69">
        <f t="shared" si="26"/>
        <v>4.7100000000000003E-2</v>
      </c>
      <c r="Z54" s="69">
        <f t="shared" si="27"/>
        <v>8.9899999999999994E-2</v>
      </c>
      <c r="AA54" s="69">
        <f t="shared" si="28"/>
        <v>4.2799999999999991E-2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29"/>
        <v>0141-26</v>
      </c>
      <c r="AE54" s="95" t="str">
        <f t="shared" si="30"/>
        <v>aws s3 cp s3://rtdc.mdm.uploadarchive/RTDC4046/2016-09-26/ "%USERPROFILE%\AppData\Local\Temp\OnboardLogs"\RTDC4046\2016-09-26 --recursive &amp; "%USERPROFILE%\Documents\GitHub\mrs-test-scripts\Headless Mode &amp; Sideloading\WalkAndUnGZ.bat" "%USERPROFILE%\AppData\Local\Temp\OnboardLogs"\RTDC4046\2016-09-26 &amp; 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</v>
      </c>
      <c r="AF54" s="92" t="str">
        <f t="shared" si="31"/>
        <v>"C:\Program Files (x86)\AstroGrep\AstroGrep.exe" /spath="%USERPROFILE%\AppData\Local\Temp\OnboardLogs" /stypes="app*4046*20160926*" /stext=" 15:.+((SYSTEM_STATE.+slice.+state.+changed )|(ment ac)|(system.+state.+changed )|(\|lc)|(penalty)|(\[timeout)|(PRM\|1\|D)|(kpr)|(kdp))" /e /r /s</v>
      </c>
      <c r="AG54" s="1" t="str">
        <f t="shared" si="32"/>
        <v>EC</v>
      </c>
      <c r="AH54" s="96" t="str">
        <f t="shared" si="17"/>
        <v>"%USERPROFILE%\Documents\GitHub\eaglep3\Utilities\RefineRTDCRunTimes.py" --tripid 141-26 --locoid 4046 --swversion DE.1.0.7.0 --startMP 204:471 --initTime 2016-09-26T08:43:43 --startdatetime 2016-09-26T08:53:34 --delay 2 --endMP 204:899 --enddatetime 2016-09-26T09:32:12 --enforcementcount 0 &gt;&gt;C:\Users\stu\Documents\GitHub\eaglep3-reporting\EC\2016-09-26-refined-times.txt</v>
      </c>
      <c r="AI54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{"issue":{"subject":"","project_id":79,"tracker_id":40,"status_id":1,"priority_id":2,"assigned_to_id":23,"start_date":"2016-09-26","description":"","custom_fields":[{"id":1,"name":"Subdivision","value":"EC"},{"id":4,"name":"Milepost","value":"0.0899"},{"id":17,"name":"Train ID","value":"141-26"},{"id":16,"name":"Locomotive ID","value":"4046"},{"id":130,"name":"Impact","value":""},{"id":150,"name":"Time of Event (Mountain Time)","value":"09:32:12"},{"id":151,"name":"Denver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435</v>
      </c>
      <c r="B55" s="7">
        <v>4045</v>
      </c>
      <c r="C55" s="24" t="s">
        <v>106</v>
      </c>
      <c r="D55" s="24" t="s">
        <v>308</v>
      </c>
      <c r="E55" s="15">
        <v>42639.399976851855</v>
      </c>
      <c r="F55" s="15">
        <v>42639.403935185182</v>
      </c>
      <c r="G55" s="7">
        <v>2</v>
      </c>
      <c r="H55" s="15" t="s">
        <v>436</v>
      </c>
      <c r="I55" s="15">
        <v>42639.43440972222</v>
      </c>
      <c r="J55" s="7">
        <v>0</v>
      </c>
      <c r="K55" s="117" t="str">
        <f t="shared" si="19"/>
        <v>4045/4046</v>
      </c>
      <c r="L55" s="24" t="str">
        <f>VLOOKUP(A55,'Trips&amp;Operators'!$C$1:$E$10000,3,FALSE)</f>
        <v>KILLION</v>
      </c>
      <c r="M55" s="6">
        <f t="shared" si="20"/>
        <v>3.047453703766223E-2</v>
      </c>
      <c r="N55" s="7">
        <f t="shared" ref="N55:N70" si="33">24*60*SUM($M55:$M55)</f>
        <v>43.883333334233612</v>
      </c>
      <c r="O55" s="7"/>
      <c r="P55" s="7"/>
      <c r="Q55" s="25"/>
      <c r="R55" s="25"/>
      <c r="S55" s="37">
        <f t="shared" si="21"/>
        <v>1</v>
      </c>
      <c r="T55" s="52" t="str">
        <f t="shared" si="22"/>
        <v>Southbound</v>
      </c>
      <c r="U55" s="15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08:35:58-0600',mode:absolute,to:'2016-09-26 11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55" s="54" t="str">
        <f t="shared" si="24"/>
        <v>N</v>
      </c>
      <c r="X55" s="164">
        <f t="shared" si="25"/>
        <v>1</v>
      </c>
      <c r="Y55" s="69">
        <f t="shared" si="26"/>
        <v>23.2986</v>
      </c>
      <c r="Z55" s="69">
        <f t="shared" si="27"/>
        <v>6.1000000000000004E-3</v>
      </c>
      <c r="AA55" s="69">
        <f t="shared" si="28"/>
        <v>23.2925</v>
      </c>
      <c r="AB55" s="66" t="str">
        <f>VLOOKUP(A55,Enforcements!$C$7:$K$20,8,0)</f>
        <v>Bulletin (2)</v>
      </c>
      <c r="AC55" s="62" t="str">
        <f>VLOOKUP(A55,Enforcements!$C$7:$E$20,3,0)</f>
        <v>GRADE CROSSING</v>
      </c>
      <c r="AD55" s="63" t="str">
        <f t="shared" si="29"/>
        <v>0142-26</v>
      </c>
      <c r="AE55" s="95" t="str">
        <f t="shared" si="30"/>
        <v>aws s3 cp s3://rtdc.mdm.uploadarchive/RTDC4045/2016-09-26/ "%USERPROFILE%\AppData\Local\Temp\OnboardLogs"\RTDC4045\2016-09-26 --recursive &amp; "%USERPROFILE%\Documents\GitHub\mrs-test-scripts\Headless Mode &amp; Sideloading\WalkAndUnGZ.bat" "%USERPROFILE%\AppData\Local\Temp\OnboardLogs"\RTDC4045\2016-09-26 &amp; 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</v>
      </c>
      <c r="AF55" s="92" t="str">
        <f t="shared" si="31"/>
        <v>"C:\Program Files (x86)\AstroGrep\AstroGrep.exe" /spath="%USERPROFILE%\AppData\Local\Temp\OnboardLogs" /stypes="app*4045*20160926*" /stext=" 16:.+((SYSTEM_STATE.+slice.+state.+changed )|(ment ac)|(system.+state.+changed )|(\|lc)|(penalty)|(\[timeout)|(PRM\|1\|D)|(kpr)|(kdp))" /e /r /s</v>
      </c>
      <c r="AG55" s="1" t="str">
        <f t="shared" si="32"/>
        <v>EC</v>
      </c>
      <c r="AH55" s="96" t="str">
        <f t="shared" si="17"/>
        <v>"%USERPROFILE%\Documents\GitHub\eaglep3\Utilities\RefineRTDCRunTimes.py" --tripid 142-26 --locoid 4045 --swversion DE.1.0.7.0 --startMP 204:232986 --initTime 2016-09-26T09:35:58 --startdatetime 2016-09-26T09:41:40 --delay 2 --endMP 204:61 --enddatetime 2016-09-26T10:25:33 --enforcementcount 0 &gt;&gt;C:\Users\stu\Documents\GitHub\eaglep3-reporting\EC\2016-09-26-refined-times.txt</v>
      </c>
      <c r="AI55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{"issue":{"subject":"","project_id":79,"tracker_id":40,"status_id":1,"priority_id":2,"assigned_to_id":23,"start_date":"2016-09-26","description":"","custom_fields":[{"id":1,"name":"Subdivision","value":"EC"},{"id":4,"name":"Milepost","value":"0.0061"},{"id":17,"name":"Train ID","value":"142-26"},{"id":16,"name":"Locomotive ID","value":"4045"},{"id":130,"name":"Impact","value":""},{"id":150,"name":"Time of Event (Mountain Time)","value":"10:25:33"},{"id":151,"name":"Denver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437</v>
      </c>
      <c r="B56" s="7">
        <v>4011</v>
      </c>
      <c r="C56" s="24" t="s">
        <v>106</v>
      </c>
      <c r="D56" s="24" t="s">
        <v>236</v>
      </c>
      <c r="E56" s="15">
        <v>42639.374942129631</v>
      </c>
      <c r="F56" s="15">
        <v>42639.376099537039</v>
      </c>
      <c r="G56" s="7">
        <v>1</v>
      </c>
      <c r="H56" s="15" t="s">
        <v>433</v>
      </c>
      <c r="I56" s="15">
        <v>42639.402696759258</v>
      </c>
      <c r="J56" s="7">
        <v>0</v>
      </c>
      <c r="K56" s="117" t="str">
        <f t="shared" si="19"/>
        <v>4011/4012</v>
      </c>
      <c r="L56" s="24" t="str">
        <f>VLOOKUP(A56,'Trips&amp;Operators'!$C$1:$E$10000,3,FALSE)</f>
        <v>MALAVE</v>
      </c>
      <c r="M56" s="6">
        <f t="shared" si="20"/>
        <v>2.6597222218697425E-2</v>
      </c>
      <c r="N56" s="7">
        <f t="shared" si="33"/>
        <v>38.299999994924292</v>
      </c>
      <c r="O56" s="7"/>
      <c r="P56" s="7"/>
      <c r="Q56" s="25"/>
      <c r="R56" s="25"/>
      <c r="S56" s="37">
        <f t="shared" si="21"/>
        <v>1</v>
      </c>
      <c r="T56" s="52" t="str">
        <f t="shared" si="22"/>
        <v>NorthBound</v>
      </c>
      <c r="U56" s="15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07:59:55-0600',mode:absolute,to:'2016-09-26 10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56" s="54" t="str">
        <f t="shared" si="24"/>
        <v>N</v>
      </c>
      <c r="X56" s="164">
        <f t="shared" si="25"/>
        <v>1</v>
      </c>
      <c r="Y56" s="69">
        <f t="shared" si="26"/>
        <v>4.6199999999999998E-2</v>
      </c>
      <c r="Z56" s="69">
        <f t="shared" si="27"/>
        <v>23.3293</v>
      </c>
      <c r="AA56" s="69">
        <f t="shared" si="28"/>
        <v>23.283100000000001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29"/>
        <v>0143-26</v>
      </c>
      <c r="AE56" s="95" t="str">
        <f t="shared" si="30"/>
        <v>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 &amp; 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</v>
      </c>
      <c r="AF56" s="92" t="str">
        <f t="shared" si="31"/>
        <v>"C:\Program Files (x86)\AstroGrep\AstroGrep.exe" /spath="%USERPROFILE%\AppData\Local\Temp\OnboardLogs" /stypes="app*4011*20160926*" /stext=" 15:.+((SYSTEM_STATE.+slice.+state.+changed )|(ment ac)|(system.+state.+changed )|(\|lc)|(penalty)|(\[timeout)|(PRM\|1\|D)|(kpr)|(kdp))" /e /r /s</v>
      </c>
      <c r="AG56" s="1" t="str">
        <f t="shared" si="32"/>
        <v>EC</v>
      </c>
      <c r="AH56" s="96" t="str">
        <f t="shared" si="17"/>
        <v>"%USERPROFILE%\Documents\GitHub\eaglep3\Utilities\RefineRTDCRunTimes.py" --tripid 143-26 --locoid 4011 --swversion DE.1.0.7.0 --startMP 204:462 --initTime 2016-09-26T08:59:55 --startdatetime 2016-09-26T09:01:35 --delay 1 --endMP 204:233293 --enddatetime 2016-09-26T09:39:53 --enforcementcount 0 &gt;&gt;C:\Users\stu\Documents\GitHub\eaglep3-reporting\EC\2016-09-26-refined-times.txt</v>
      </c>
      <c r="AI56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{"issue":{"subject":"","project_id":79,"tracker_id":40,"status_id":1,"priority_id":2,"assigned_to_id":23,"start_date":"2016-09-26","description":"","custom_fields":[{"id":1,"name":"Subdivision","value":"EC"},{"id":4,"name":"Milepost","value":"23.3293"},{"id":17,"name":"Train ID","value":"143-26"},{"id":16,"name":"Locomotive ID","value":"4011"},{"id":130,"name":"Impact","value":""},{"id":150,"name":"Time of Event (Mountain Time)","value":"09:39:53"},{"id":151,"name":"Denver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438</v>
      </c>
      <c r="B57" s="7">
        <v>4012</v>
      </c>
      <c r="C57" s="24" t="s">
        <v>106</v>
      </c>
      <c r="D57" s="24" t="s">
        <v>306</v>
      </c>
      <c r="E57" s="15">
        <v>42639.412361111114</v>
      </c>
      <c r="F57" s="15">
        <v>42639.414212962962</v>
      </c>
      <c r="G57" s="7">
        <v>2</v>
      </c>
      <c r="H57" s="15" t="s">
        <v>217</v>
      </c>
      <c r="I57" s="15">
        <v>42639.444571759261</v>
      </c>
      <c r="J57" s="7">
        <v>0</v>
      </c>
      <c r="K57" s="117" t="str">
        <f t="shared" si="19"/>
        <v>4011/4012</v>
      </c>
      <c r="L57" s="24" t="str">
        <f>VLOOKUP(A57,'Trips&amp;Operators'!$C$1:$E$10000,3,FALSE)</f>
        <v>MALAVE</v>
      </c>
      <c r="M57" s="6">
        <f t="shared" si="20"/>
        <v>3.0358796298969537E-2</v>
      </c>
      <c r="N57" s="7">
        <f t="shared" si="33"/>
        <v>43.716666670516133</v>
      </c>
      <c r="O57" s="7"/>
      <c r="P57" s="7"/>
      <c r="Q57" s="25"/>
      <c r="R57" s="25"/>
      <c r="S57" s="37">
        <f t="shared" si="21"/>
        <v>1</v>
      </c>
      <c r="T57" s="52" t="str">
        <f t="shared" si="22"/>
        <v>Southbound</v>
      </c>
      <c r="U57" s="15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08:53:48-0600',mode:absolute,to:'2016-09-26 11:40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57" s="54" t="str">
        <f t="shared" si="24"/>
        <v>N</v>
      </c>
      <c r="X57" s="164">
        <f t="shared" si="25"/>
        <v>1</v>
      </c>
      <c r="Y57" s="69">
        <f t="shared" si="26"/>
        <v>23.297899999999998</v>
      </c>
      <c r="Z57" s="69">
        <f t="shared" si="27"/>
        <v>1.5800000000000002E-2</v>
      </c>
      <c r="AA57" s="69">
        <f t="shared" si="28"/>
        <v>23.2821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29"/>
        <v>0144-26</v>
      </c>
      <c r="AE57" s="95" t="str">
        <f t="shared" si="30"/>
        <v>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 &amp; 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</v>
      </c>
      <c r="AF57" s="92" t="str">
        <f t="shared" si="31"/>
        <v>"C:\Program Files (x86)\AstroGrep\AstroGrep.exe" /spath="%USERPROFILE%\AppData\Local\Temp\OnboardLogs" /stypes="app*4012*20160926*" /stext=" 16:.+((SYSTEM_STATE.+slice.+state.+changed )|(ment ac)|(system.+state.+changed )|(\|lc)|(penalty)|(\[timeout)|(PRM\|1\|D)|(kpr)|(kdp))" /e /r /s</v>
      </c>
      <c r="AG57" s="1" t="str">
        <f t="shared" si="32"/>
        <v>EC</v>
      </c>
      <c r="AH57" s="96" t="str">
        <f t="shared" si="17"/>
        <v>"%USERPROFILE%\Documents\GitHub\eaglep3\Utilities\RefineRTDCRunTimes.py" --tripid 144-26 --locoid 4012 --swversion DE.1.0.7.0 --startMP 204:232979 --initTime 2016-09-26T09:53:48 --startdatetime 2016-09-26T09:56:28 --delay 2 --endMP 204:158 --enddatetime 2016-09-26T10:40:11 --enforcementcount 0 &gt;&gt;C:\Users\stu\Documents\GitHub\eaglep3-reporting\EC\2016-09-26-refined-times.txt</v>
      </c>
      <c r="AI57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{"issue":{"subject":"","project_id":79,"tracker_id":40,"status_id":1,"priority_id":2,"assigned_to_id":23,"start_date":"2016-09-26","description":"","custom_fields":[{"id":1,"name":"Subdivision","value":"EC"},{"id":4,"name":"Milepost","value":"0.0158"},{"id":17,"name":"Train ID","value":"144-26"},{"id":16,"name":"Locomotive ID","value":"4012"},{"id":130,"name":"Impact","value":""},{"id":150,"name":"Time of Event (Mountain Time)","value":"10:40:11"},{"id":151,"name":"Denver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439</v>
      </c>
      <c r="B58" s="7">
        <v>4053</v>
      </c>
      <c r="C58" s="24" t="s">
        <v>106</v>
      </c>
      <c r="D58" s="24" t="s">
        <v>226</v>
      </c>
      <c r="E58" s="15">
        <v>42639.383900462963</v>
      </c>
      <c r="F58" s="15">
        <v>42639.385937500003</v>
      </c>
      <c r="G58" s="7">
        <v>1</v>
      </c>
      <c r="H58" s="15" t="s">
        <v>345</v>
      </c>
      <c r="I58" s="15">
        <v>42639.411736111113</v>
      </c>
      <c r="J58" s="7">
        <v>0</v>
      </c>
      <c r="K58" s="117" t="str">
        <f t="shared" si="19"/>
        <v>4053/4054</v>
      </c>
      <c r="L58" s="24" t="str">
        <f>VLOOKUP(A58,'Trips&amp;Operators'!$C$1:$E$10000,3,FALSE)</f>
        <v>ACKERMAN</v>
      </c>
      <c r="M58" s="6">
        <f t="shared" si="20"/>
        <v>2.5798611110076308E-2</v>
      </c>
      <c r="N58" s="7">
        <f t="shared" si="33"/>
        <v>37.149999998509884</v>
      </c>
      <c r="O58" s="7"/>
      <c r="P58" s="7"/>
      <c r="Q58" s="25"/>
      <c r="R58" s="25"/>
      <c r="S58" s="37">
        <f t="shared" si="21"/>
        <v>1</v>
      </c>
      <c r="T58" s="52" t="str">
        <f t="shared" si="22"/>
        <v>NorthBound</v>
      </c>
      <c r="U58" s="15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08:12:49-0600',mode:absolute,to:'2016-09-26 10:52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58" s="54" t="str">
        <f t="shared" si="24"/>
        <v>N</v>
      </c>
      <c r="X58" s="164">
        <f t="shared" si="25"/>
        <v>1</v>
      </c>
      <c r="Y58" s="69">
        <f t="shared" si="26"/>
        <v>4.5100000000000001E-2</v>
      </c>
      <c r="Z58" s="69">
        <f t="shared" si="27"/>
        <v>23.3276</v>
      </c>
      <c r="AA58" s="69">
        <f t="shared" si="28"/>
        <v>23.282499999999999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 t="shared" si="29"/>
        <v>0145-26</v>
      </c>
      <c r="AE58" s="95" t="str">
        <f t="shared" si="30"/>
        <v>aws s3 cp s3://rtdc.mdm.uploadarchive/RTDC4053/2016-09-26/ "%USERPROFILE%\AppData\Local\Temp\OnboardLogs"\RTDC4053\2016-09-26 --recursive &amp; "%USERPROFILE%\Documents\GitHub\mrs-test-scripts\Headless Mode &amp; Sideloading\WalkAndUnGZ.bat" "%USERPROFILE%\AppData\Local\Temp\OnboardLogs"\RTDC4053\2016-09-26 &amp; aws s3 cp s3://rtdc.mdm.uploadarchive/RTDC4053/2016-09-27/ "%USERPROFILE%\AppData\Local\Temp\OnboardLogs"\RTDC4053\2016-09-27 --recursive &amp; "%USERPROFILE%\Documents\GitHub\mrs-test-scripts\Headless Mode &amp; Sideloading\WalkAndUnGZ.bat" "%USERPROFILE%\AppData\Local\Temp\OnboardLogs"\RTDC4053\2016-09-27</v>
      </c>
      <c r="AF58" s="92" t="str">
        <f t="shared" si="31"/>
        <v>"C:\Program Files (x86)\AstroGrep\AstroGrep.exe" /spath="%USERPROFILE%\AppData\Local\Temp\OnboardLogs" /stypes="app*4053*20160926*" /stext=" 15:.+((SYSTEM_STATE.+slice.+state.+changed )|(ment ac)|(system.+state.+changed )|(\|lc)|(penalty)|(\[timeout)|(PRM\|1\|D)|(kpr)|(kdp))" /e /r /s</v>
      </c>
      <c r="AG58" s="1" t="str">
        <f t="shared" si="32"/>
        <v>EC</v>
      </c>
      <c r="AH58" s="96" t="str">
        <f t="shared" si="17"/>
        <v>"%USERPROFILE%\Documents\GitHub\eaglep3\Utilities\RefineRTDCRunTimes.py" --tripid 145-26 --locoid 4053 --swversion DE.1.0.7.0 --startMP 204:451 --initTime 2016-09-26T09:12:49 --startdatetime 2016-09-26T09:15:45 --delay 1 --endMP 204:233276 --enddatetime 2016-09-26T09:52:54 --enforcementcount 0 &gt;&gt;C:\Users\stu\Documents\GitHub\eaglep3-reporting\EC\2016-09-26-refined-times.txt</v>
      </c>
      <c r="AI58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{"issue":{"subject":"","project_id":79,"tracker_id":40,"status_id":1,"priority_id":2,"assigned_to_id":23,"start_date":"2016-09-26","description":"","custom_fields":[{"id":1,"name":"Subdivision","value":"EC"},{"id":4,"name":"Milepost","value":"23.3276"},{"id":17,"name":"Train ID","value":"145-26"},{"id":16,"name":"Locomotive ID","value":"4053"},{"id":130,"name":"Impact","value":""},{"id":150,"name":"Time of Event (Mountain Time)","value":"09:52:54"},{"id":151,"name":"Denver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440</v>
      </c>
      <c r="B59" s="7">
        <v>4054</v>
      </c>
      <c r="C59" s="24" t="s">
        <v>106</v>
      </c>
      <c r="D59" s="24" t="s">
        <v>281</v>
      </c>
      <c r="E59" s="15">
        <v>42639.417847222219</v>
      </c>
      <c r="F59" s="15">
        <v>42639.42454861111</v>
      </c>
      <c r="G59" s="7">
        <v>1</v>
      </c>
      <c r="H59" s="15" t="s">
        <v>280</v>
      </c>
      <c r="I59" s="15">
        <v>42639.454699074071</v>
      </c>
      <c r="J59" s="7">
        <v>0</v>
      </c>
      <c r="K59" s="117" t="str">
        <f t="shared" si="19"/>
        <v>4053/4054</v>
      </c>
      <c r="L59" s="24" t="str">
        <f>VLOOKUP(A59,'Trips&amp;Operators'!$C$1:$E$10000,3,FALSE)</f>
        <v>ACKERMAN</v>
      </c>
      <c r="M59" s="6">
        <f t="shared" si="20"/>
        <v>3.015046296059154E-2</v>
      </c>
      <c r="N59" s="7">
        <f t="shared" si="33"/>
        <v>43.416666663251817</v>
      </c>
      <c r="O59" s="7"/>
      <c r="P59" s="7"/>
      <c r="Q59" s="25"/>
      <c r="R59" s="25"/>
      <c r="S59" s="37">
        <f t="shared" si="21"/>
        <v>1</v>
      </c>
      <c r="T59" s="52" t="str">
        <f t="shared" si="22"/>
        <v>Southbound</v>
      </c>
      <c r="U59" s="15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09:01:42-0600',mode:absolute,to:'2016-09-26 11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59" s="54" t="str">
        <f t="shared" si="24"/>
        <v>N</v>
      </c>
      <c r="X59" s="164">
        <f t="shared" si="25"/>
        <v>1</v>
      </c>
      <c r="Y59" s="69">
        <f t="shared" si="26"/>
        <v>23.297699999999999</v>
      </c>
      <c r="Z59" s="69">
        <f t="shared" si="27"/>
        <v>1.43E-2</v>
      </c>
      <c r="AA59" s="69">
        <f t="shared" si="28"/>
        <v>23.2834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 t="shared" si="29"/>
        <v>0146-26</v>
      </c>
      <c r="AE59" s="95" t="str">
        <f t="shared" si="30"/>
        <v>aws s3 cp s3://rtdc.mdm.uploadarchive/RTDC4054/2016-09-26/ "%USERPROFILE%\AppData\Local\Temp\OnboardLogs"\RTDC4054\2016-09-26 --recursive &amp; "%USERPROFILE%\Documents\GitHub\mrs-test-scripts\Headless Mode &amp; Sideloading\WalkAndUnGZ.bat" "%USERPROFILE%\AppData\Local\Temp\OnboardLogs"\RTDC4054\2016-09-26 &amp; aws s3 cp s3://rtdc.mdm.uploadarchive/RTDC4054/2016-09-27/ "%USERPROFILE%\AppData\Local\Temp\OnboardLogs"\RTDC4054\2016-09-27 --recursive &amp; "%USERPROFILE%\Documents\GitHub\mrs-test-scripts\Headless Mode &amp; Sideloading\WalkAndUnGZ.bat" "%USERPROFILE%\AppData\Local\Temp\OnboardLogs"\RTDC4054\2016-09-27</v>
      </c>
      <c r="AF59" s="92" t="str">
        <f t="shared" si="31"/>
        <v>"C:\Program Files (x86)\AstroGrep\AstroGrep.exe" /spath="%USERPROFILE%\AppData\Local\Temp\OnboardLogs" /stypes="app*4054*20160926*" /stext=" 16:.+((SYSTEM_STATE.+slice.+state.+changed )|(ment ac)|(system.+state.+changed )|(\|lc)|(penalty)|(\[timeout)|(PRM\|1\|D)|(kpr)|(kdp))" /e /r /s</v>
      </c>
      <c r="AG59" s="1" t="str">
        <f t="shared" si="32"/>
        <v>EC</v>
      </c>
      <c r="AH59" s="96" t="str">
        <f t="shared" si="17"/>
        <v>"%USERPROFILE%\Documents\GitHub\eaglep3\Utilities\RefineRTDCRunTimes.py" --tripid 146-26 --locoid 4054 --swversion DE.1.0.7.0 --startMP 204:232977 --initTime 2016-09-26T10:01:42 --startdatetime 2016-09-26T10:11:21 --delay 1 --endMP 204:143 --enddatetime 2016-09-26T10:54:46 --enforcementcount 0 &gt;&gt;C:\Users\stu\Documents\GitHub\eaglep3-reporting\EC\2016-09-26-refined-times.txt</v>
      </c>
      <c r="AI59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{"issue":{"subject":"","project_id":79,"tracker_id":40,"status_id":1,"priority_id":2,"assigned_to_id":23,"start_date":"2016-09-26","description":"","custom_fields":[{"id":1,"name":"Subdivision","value":"EC"},{"id":4,"name":"Milepost","value":"0.0143"},{"id":17,"name":"Train ID","value":"146-26"},{"id":16,"name":"Locomotive ID","value":"4054"},{"id":130,"name":"Impact","value":""},{"id":150,"name":"Time of Event (Mountain Time)","value":"10:54:46"},{"id":151,"name":"Denver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441</v>
      </c>
      <c r="B60" s="7">
        <v>4018</v>
      </c>
      <c r="C60" s="24" t="s">
        <v>106</v>
      </c>
      <c r="D60" s="24" t="s">
        <v>223</v>
      </c>
      <c r="E60" s="15">
        <v>42639.393229166664</v>
      </c>
      <c r="F60" s="15">
        <v>42639.396516203706</v>
      </c>
      <c r="G60" s="7">
        <v>3</v>
      </c>
      <c r="H60" s="15" t="s">
        <v>442</v>
      </c>
      <c r="I60" s="15">
        <v>42639.423645833333</v>
      </c>
      <c r="J60" s="7">
        <v>0</v>
      </c>
      <c r="K60" s="117" t="str">
        <f t="shared" si="19"/>
        <v>4017/4018</v>
      </c>
      <c r="L60" s="24" t="str">
        <f>VLOOKUP(A60,'Trips&amp;Operators'!$C$1:$E$10000,3,FALSE)</f>
        <v>BRANNON</v>
      </c>
      <c r="M60" s="6">
        <f t="shared" si="20"/>
        <v>2.7129629626870155E-2</v>
      </c>
      <c r="N60" s="7">
        <f t="shared" si="33"/>
        <v>39.066666662693024</v>
      </c>
      <c r="O60" s="7"/>
      <c r="P60" s="7"/>
      <c r="Q60" s="25"/>
      <c r="R60" s="25"/>
      <c r="S60" s="37">
        <f t="shared" si="21"/>
        <v>1</v>
      </c>
      <c r="T60" s="52" t="str">
        <f t="shared" si="22"/>
        <v>NorthBound</v>
      </c>
      <c r="U60" s="15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08:26:15-0600',mode:absolute,to:'2016-09-26 11:10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60" s="54" t="str">
        <f t="shared" si="24"/>
        <v>N</v>
      </c>
      <c r="X60" s="164">
        <f t="shared" si="25"/>
        <v>1</v>
      </c>
      <c r="Y60" s="69">
        <f t="shared" si="26"/>
        <v>4.5699999999999998E-2</v>
      </c>
      <c r="Z60" s="69">
        <f t="shared" si="27"/>
        <v>23.330200000000001</v>
      </c>
      <c r="AA60" s="69">
        <f t="shared" si="28"/>
        <v>23.284500000000001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29"/>
        <v>0147-26</v>
      </c>
      <c r="AE60" s="95" t="str">
        <f t="shared" si="30"/>
        <v>aws s3 cp s3://rtdc.mdm.uploadarchive/RTDC4018/2016-09-26/ "%USERPROFILE%\AppData\Local\Temp\OnboardLogs"\RTDC4018\2016-09-26 --recursive &amp; "%USERPROFILE%\Documents\GitHub\mrs-test-scripts\Headless Mode &amp; Sideloading\WalkAndUnGZ.bat" "%USERPROFILE%\AppData\Local\Temp\OnboardLogs"\RTDC4018\2016-09-26 &amp; 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</v>
      </c>
      <c r="AF60" s="92" t="str">
        <f t="shared" si="31"/>
        <v>"C:\Program Files (x86)\AstroGrep\AstroGrep.exe" /spath="%USERPROFILE%\AppData\Local\Temp\OnboardLogs" /stypes="app*4018*20160926*" /stext=" 16:.+((SYSTEM_STATE.+slice.+state.+changed )|(ment ac)|(system.+state.+changed )|(\|lc)|(penalty)|(\[timeout)|(PRM\|1\|D)|(kpr)|(kdp))" /e /r /s</v>
      </c>
      <c r="AG60" s="1" t="str">
        <f t="shared" si="32"/>
        <v>EC</v>
      </c>
      <c r="AH60" s="96" t="str">
        <f t="shared" si="17"/>
        <v>"%USERPROFILE%\Documents\GitHub\eaglep3\Utilities\RefineRTDCRunTimes.py" --tripid 147-26 --locoid 4018 --swversion DE.1.0.7.0 --startMP 204:457 --initTime 2016-09-26T09:26:15 --startdatetime 2016-09-26T09:30:59 --delay 3 --endMP 204:233302 --enddatetime 2016-09-26T10:10:03 --enforcementcount 0 &gt;&gt;C:\Users\stu\Documents\GitHub\eaglep3-reporting\EC\2016-09-26-refined-times.txt</v>
      </c>
      <c r="AI60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{"issue":{"subject":"","project_id":79,"tracker_id":40,"status_id":1,"priority_id":2,"assigned_to_id":23,"start_date":"2016-09-26","description":"","custom_fields":[{"id":1,"name":"Subdivision","value":"EC"},{"id":4,"name":"Milepost","value":"23.3302"},{"id":17,"name":"Train ID","value":"147-26"},{"id":16,"name":"Locomotive ID","value":"4018"},{"id":130,"name":"Impact","value":""},{"id":150,"name":"Time of Event (Mountain Time)","value":"10:10:03"},{"id":151,"name":"Denver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443</v>
      </c>
      <c r="B61" s="7">
        <v>4017</v>
      </c>
      <c r="C61" s="24" t="s">
        <v>106</v>
      </c>
      <c r="D61" s="24" t="s">
        <v>317</v>
      </c>
      <c r="E61" s="15">
        <v>42639.42465277778</v>
      </c>
      <c r="F61" s="15">
        <v>42639.434918981482</v>
      </c>
      <c r="G61" s="7">
        <v>1</v>
      </c>
      <c r="H61" s="15" t="s">
        <v>280</v>
      </c>
      <c r="I61" s="15">
        <v>42639.463692129626</v>
      </c>
      <c r="J61" s="7">
        <v>0</v>
      </c>
      <c r="K61" s="117" t="str">
        <f t="shared" si="19"/>
        <v>4017/4018</v>
      </c>
      <c r="L61" s="24" t="str">
        <f>VLOOKUP(A61,'Trips&amp;Operators'!$C$1:$E$10000,3,FALSE)</f>
        <v>BRANNON</v>
      </c>
      <c r="M61" s="6">
        <f t="shared" si="20"/>
        <v>2.8773148143955041E-2</v>
      </c>
      <c r="N61" s="7">
        <f t="shared" si="33"/>
        <v>41.433333327295259</v>
      </c>
      <c r="O61" s="7"/>
      <c r="P61" s="7"/>
      <c r="Q61" s="25"/>
      <c r="R61" s="25"/>
      <c r="S61" s="37">
        <f t="shared" si="21"/>
        <v>1</v>
      </c>
      <c r="T61" s="52" t="str">
        <f t="shared" si="22"/>
        <v>Southbound</v>
      </c>
      <c r="U61" s="15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09:11:30-0600',mode:absolute,to:'2016-09-26 12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1" s="54" t="str">
        <f t="shared" si="24"/>
        <v>N</v>
      </c>
      <c r="X61" s="164">
        <f t="shared" si="25"/>
        <v>1</v>
      </c>
      <c r="Y61" s="69">
        <f t="shared" si="26"/>
        <v>23.298500000000001</v>
      </c>
      <c r="Z61" s="69">
        <f t="shared" si="27"/>
        <v>1.43E-2</v>
      </c>
      <c r="AA61" s="69">
        <f t="shared" si="28"/>
        <v>23.284200000000002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 t="shared" si="29"/>
        <v>0148-26</v>
      </c>
      <c r="AE61" s="95" t="str">
        <f t="shared" si="30"/>
        <v>aws s3 cp s3://rtdc.mdm.uploadarchive/RTDC4017/2016-09-26/ "%USERPROFILE%\AppData\Local\Temp\OnboardLogs"\RTDC4017\2016-09-26 --recursive &amp; "%USERPROFILE%\Documents\GitHub\mrs-test-scripts\Headless Mode &amp; Sideloading\WalkAndUnGZ.bat" "%USERPROFILE%\AppData\Local\Temp\OnboardLogs"\RTDC4017\2016-09-26 &amp; 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</v>
      </c>
      <c r="AF61" s="92" t="str">
        <f t="shared" si="31"/>
        <v>"C:\Program Files (x86)\AstroGrep\AstroGrep.exe" /spath="%USERPROFILE%\AppData\Local\Temp\OnboardLogs" /stypes="app*4017*20160926*" /stext=" 17:.+((SYSTEM_STATE.+slice.+state.+changed )|(ment ac)|(system.+state.+changed )|(\|lc)|(penalty)|(\[timeout)|(PRM\|1\|D)|(kpr)|(kdp))" /e /r /s</v>
      </c>
      <c r="AG61" s="1" t="str">
        <f t="shared" si="32"/>
        <v>EC</v>
      </c>
      <c r="AH61" s="96" t="str">
        <f t="shared" si="17"/>
        <v>"%USERPROFILE%\Documents\GitHub\eaglep3\Utilities\RefineRTDCRunTimes.py" --tripid 148-26 --locoid 4017 --swversion DE.1.0.7.0 --startMP 204:232985 --initTime 2016-09-26T10:11:30 --startdatetime 2016-09-26T10:26:17 --delay 1 --endMP 204:143 --enddatetime 2016-09-26T11:07:43 --enforcementcount 0 &gt;&gt;C:\Users\stu\Documents\GitHub\eaglep3-reporting\EC\2016-09-26-refined-times.txt</v>
      </c>
      <c r="AI61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{"issue":{"subject":"","project_id":79,"tracker_id":40,"status_id":1,"priority_id":2,"assigned_to_id":23,"start_date":"2016-09-26","description":"","custom_fields":[{"id":1,"name":"Subdivision","value":"EC"},{"id":4,"name":"Milepost","value":"0.0143"},{"id":17,"name":"Train ID","value":"148-26"},{"id":16,"name":"Locomotive ID","value":"4017"},{"id":130,"name":"Impact","value":""},{"id":150,"name":"Time of Event (Mountain Time)","value":"11:07:43"},{"id":151,"name":"Denver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444</v>
      </c>
      <c r="B62" s="7">
        <v>4025</v>
      </c>
      <c r="C62" s="24" t="s">
        <v>106</v>
      </c>
      <c r="D62" s="24" t="s">
        <v>257</v>
      </c>
      <c r="E62" s="15">
        <v>42639.405243055553</v>
      </c>
      <c r="F62" s="15">
        <v>42639.406689814816</v>
      </c>
      <c r="G62" s="7">
        <v>1</v>
      </c>
      <c r="H62" s="15" t="s">
        <v>445</v>
      </c>
      <c r="I62" s="15">
        <v>42639.433009259257</v>
      </c>
      <c r="J62" s="7">
        <v>0</v>
      </c>
      <c r="K62" s="117" t="str">
        <f t="shared" si="19"/>
        <v>4025/4026</v>
      </c>
      <c r="L62" s="24" t="str">
        <f>VLOOKUP(A62,'Trips&amp;Operators'!$C$1:$E$10000,3,FALSE)</f>
        <v>SPECTOR</v>
      </c>
      <c r="M62" s="6">
        <f t="shared" si="20"/>
        <v>2.6319444441469386E-2</v>
      </c>
      <c r="N62" s="7">
        <f t="shared" si="33"/>
        <v>37.899999995715916</v>
      </c>
      <c r="O62" s="7"/>
      <c r="P62" s="7"/>
      <c r="Q62" s="25"/>
      <c r="R62" s="25"/>
      <c r="S62" s="37">
        <f t="shared" si="21"/>
        <v>1</v>
      </c>
      <c r="T62" s="52" t="str">
        <f t="shared" si="22"/>
        <v>NorthBound</v>
      </c>
      <c r="U62" s="15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08:43:33-0600',mode:absolute,to:'2016-09-26 11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2" s="54" t="str">
        <f t="shared" si="24"/>
        <v>N</v>
      </c>
      <c r="X62" s="164">
        <f t="shared" si="25"/>
        <v>1</v>
      </c>
      <c r="Y62" s="69">
        <f t="shared" si="26"/>
        <v>4.4200000000000003E-2</v>
      </c>
      <c r="Z62" s="69">
        <f t="shared" si="27"/>
        <v>23.3307</v>
      </c>
      <c r="AA62" s="69">
        <f t="shared" si="28"/>
        <v>23.2865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 t="shared" si="29"/>
        <v>0149-26</v>
      </c>
      <c r="AE62" s="95" t="str">
        <f t="shared" si="30"/>
        <v>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 &amp; aws s3 cp s3://rtdc.mdm.uploadarchive/RTDC4025/2016-09-27/ "%USERPROFILE%\AppData\Local\Temp\OnboardLogs"\RTDC4025\2016-09-27 --recursive &amp; "%USERPROFILE%\Documents\GitHub\mrs-test-scripts\Headless Mode &amp; Sideloading\WalkAndUnGZ.bat" "%USERPROFILE%\AppData\Local\Temp\OnboardLogs"\RTDC4025\2016-09-27</v>
      </c>
      <c r="AF62" s="92" t="str">
        <f t="shared" si="31"/>
        <v>"C:\Program Files (x86)\AstroGrep\AstroGrep.exe" /spath="%USERPROFILE%\AppData\Local\Temp\OnboardLogs" /stypes="app*4025*20160926*" /stext=" 16:.+((SYSTEM_STATE.+slice.+state.+changed )|(ment ac)|(system.+state.+changed )|(\|lc)|(penalty)|(\[timeout)|(PRM\|1\|D)|(kpr)|(kdp))" /e /r /s</v>
      </c>
      <c r="AG62" s="1" t="str">
        <f t="shared" si="32"/>
        <v>EC</v>
      </c>
      <c r="AH62" s="96" t="str">
        <f t="shared" si="17"/>
        <v>"%USERPROFILE%\Documents\GitHub\eaglep3\Utilities\RefineRTDCRunTimes.py" --tripid 149-26 --locoid 4025 --swversion DE.1.0.7.0 --startMP 204:442 --initTime 2016-09-26T09:43:33 --startdatetime 2016-09-26T09:45:38 --delay 1 --endMP 204:233307 --enddatetime 2016-09-26T10:23:32 --enforcementcount 0 &gt;&gt;C:\Users\stu\Documents\GitHub\eaglep3-reporting\EC\2016-09-26-refined-times.txt</v>
      </c>
      <c r="AI62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{"issue":{"subject":"","project_id":79,"tracker_id":40,"status_id":1,"priority_id":2,"assigned_to_id":23,"start_date":"2016-09-26","description":"","custom_fields":[{"id":1,"name":"Subdivision","value":"EC"},{"id":4,"name":"Milepost","value":"23.3307"},{"id":17,"name":"Train ID","value":"149-26"},{"id":16,"name":"Locomotive ID","value":"4025"},{"id":130,"name":"Impact","value":""},{"id":150,"name":"Time of Event (Mountain Time)","value":"10:23:32"},{"id":151,"name":"Denver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446</v>
      </c>
      <c r="B63" s="7">
        <v>4026</v>
      </c>
      <c r="C63" s="24" t="s">
        <v>106</v>
      </c>
      <c r="D63" s="24" t="s">
        <v>263</v>
      </c>
      <c r="E63" s="15">
        <v>42639.440162037034</v>
      </c>
      <c r="F63" s="15">
        <v>42639.445543981485</v>
      </c>
      <c r="G63" s="7">
        <v>1</v>
      </c>
      <c r="H63" s="15" t="s">
        <v>220</v>
      </c>
      <c r="I63" s="15">
        <v>42639.476168981484</v>
      </c>
      <c r="J63" s="7">
        <v>0</v>
      </c>
      <c r="K63" s="117" t="str">
        <f t="shared" si="19"/>
        <v>4025/4026</v>
      </c>
      <c r="L63" s="24" t="str">
        <f>VLOOKUP(A63,'Trips&amp;Operators'!$C$1:$E$10000,3,FALSE)</f>
        <v>SPECTOR</v>
      </c>
      <c r="M63" s="6">
        <f t="shared" si="20"/>
        <v>3.0624999999417923E-2</v>
      </c>
      <c r="N63" s="7">
        <f t="shared" si="33"/>
        <v>44.09999999916181</v>
      </c>
      <c r="O63" s="7"/>
      <c r="P63" s="7"/>
      <c r="Q63" s="25"/>
      <c r="R63" s="25"/>
      <c r="S63" s="37">
        <f t="shared" si="21"/>
        <v>1</v>
      </c>
      <c r="T63" s="52" t="str">
        <f t="shared" si="22"/>
        <v>Southbound</v>
      </c>
      <c r="U63" s="15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09:33:50-0600',mode:absolute,to:'2016-09-26 12:25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63" s="54" t="str">
        <f t="shared" si="24"/>
        <v>N</v>
      </c>
      <c r="X63" s="164">
        <f t="shared" si="25"/>
        <v>1</v>
      </c>
      <c r="Y63" s="69">
        <f t="shared" si="26"/>
        <v>23.299800000000001</v>
      </c>
      <c r="Z63" s="69">
        <f t="shared" si="27"/>
        <v>1.4999999999999999E-2</v>
      </c>
      <c r="AA63" s="69">
        <f t="shared" si="28"/>
        <v>23.284800000000001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 t="shared" si="29"/>
        <v>0150-26</v>
      </c>
      <c r="AE63" s="95" t="str">
        <f t="shared" si="30"/>
        <v>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 &amp; 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</v>
      </c>
      <c r="AF63" s="92" t="str">
        <f t="shared" si="31"/>
        <v>"C:\Program Files (x86)\AstroGrep\AstroGrep.exe" /spath="%USERPROFILE%\AppData\Local\Temp\OnboardLogs" /stypes="app*4026*20160926*" /stext=" 17:.+((SYSTEM_STATE.+slice.+state.+changed )|(ment ac)|(system.+state.+changed )|(\|lc)|(penalty)|(\[timeout)|(PRM\|1\|D)|(kpr)|(kdp))" /e /r /s</v>
      </c>
      <c r="AG63" s="1" t="str">
        <f t="shared" si="32"/>
        <v>EC</v>
      </c>
      <c r="AH63" s="96" t="str">
        <f t="shared" si="17"/>
        <v>"%USERPROFILE%\Documents\GitHub\eaglep3\Utilities\RefineRTDCRunTimes.py" --tripid 150-26 --locoid 4026 --swversion DE.1.0.7.0 --startMP 204:232998 --initTime 2016-09-26T10:33:50 --startdatetime 2016-09-26T10:41:35 --delay 1 --endMP 204:150 --enddatetime 2016-09-26T11:25:41 --enforcementcount 0 &gt;&gt;C:\Users\stu\Documents\GitHub\eaglep3-reporting\EC\2016-09-26-refined-times.txt</v>
      </c>
      <c r="AI63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{"issue":{"subject":"","project_id":79,"tracker_id":40,"status_id":1,"priority_id":2,"assigned_to_id":23,"start_date":"2016-09-26","description":"","custom_fields":[{"id":1,"name":"Subdivision","value":"EC"},{"id":4,"name":"Milepost","value":"0.015"},{"id":17,"name":"Train ID","value":"150-26"},{"id":16,"name":"Locomotive ID","value":"4026"},{"id":130,"name":"Impact","value":""},{"id":150,"name":"Time of Event (Mountain Time)","value":"11:25:41"},{"id":151,"name":"Denver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447</v>
      </c>
      <c r="B64" s="7">
        <v>4016</v>
      </c>
      <c r="C64" s="24" t="s">
        <v>106</v>
      </c>
      <c r="D64" s="24" t="s">
        <v>236</v>
      </c>
      <c r="E64" s="15">
        <v>42639.414201388892</v>
      </c>
      <c r="F64" s="15">
        <v>42639.418113425927</v>
      </c>
      <c r="G64" s="7">
        <v>1</v>
      </c>
      <c r="H64" s="15" t="s">
        <v>448</v>
      </c>
      <c r="I64" s="15">
        <v>42639.443356481483</v>
      </c>
      <c r="J64" s="7">
        <v>0</v>
      </c>
      <c r="K64" s="117" t="str">
        <f t="shared" si="19"/>
        <v>4015/4016</v>
      </c>
      <c r="L64" s="24" t="str">
        <f>VLOOKUP(A64,'Trips&amp;Operators'!$C$1:$E$10000,3,FALSE)</f>
        <v>YORK</v>
      </c>
      <c r="M64" s="6">
        <f t="shared" si="20"/>
        <v>2.5243055555620231E-2</v>
      </c>
      <c r="N64" s="7">
        <f t="shared" si="33"/>
        <v>36.350000000093132</v>
      </c>
      <c r="O64" s="7"/>
      <c r="P64" s="7"/>
      <c r="Q64" s="25"/>
      <c r="R64" s="25"/>
      <c r="S64" s="37">
        <f t="shared" si="21"/>
        <v>1</v>
      </c>
      <c r="T64" s="52" t="str">
        <f t="shared" si="22"/>
        <v>NorthBound</v>
      </c>
      <c r="U64" s="15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08:56:27-0600',mode:absolute,to:'2016-09-26 11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64" s="54" t="str">
        <f t="shared" si="24"/>
        <v>N</v>
      </c>
      <c r="X64" s="164">
        <f t="shared" si="25"/>
        <v>1</v>
      </c>
      <c r="Y64" s="69">
        <f t="shared" si="26"/>
        <v>4.6199999999999998E-2</v>
      </c>
      <c r="Z64" s="69">
        <f t="shared" si="27"/>
        <v>23.330400000000001</v>
      </c>
      <c r="AA64" s="69">
        <f t="shared" si="28"/>
        <v>23.284200000000002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29"/>
        <v>0151-26</v>
      </c>
      <c r="AE64" s="95" t="str">
        <f t="shared" si="30"/>
        <v>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 &amp; 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</v>
      </c>
      <c r="AF64" s="92" t="str">
        <f t="shared" si="31"/>
        <v>"C:\Program Files (x86)\AstroGrep\AstroGrep.exe" /spath="%USERPROFILE%\AppData\Local\Temp\OnboardLogs" /stypes="app*4016*20160926*" /stext=" 16:.+((SYSTEM_STATE.+slice.+state.+changed )|(ment ac)|(system.+state.+changed )|(\|lc)|(penalty)|(\[timeout)|(PRM\|1\|D)|(kpr)|(kdp))" /e /r /s</v>
      </c>
      <c r="AG64" s="1" t="str">
        <f t="shared" si="32"/>
        <v>EC</v>
      </c>
      <c r="AH64" s="96" t="str">
        <f t="shared" si="17"/>
        <v>"%USERPROFILE%\Documents\GitHub\eaglep3\Utilities\RefineRTDCRunTimes.py" --tripid 151-26 --locoid 4016 --swversion DE.1.0.7.0 --startMP 204:462 --initTime 2016-09-26T09:56:27 --startdatetime 2016-09-26T10:02:05 --delay 1 --endMP 204:233304 --enddatetime 2016-09-26T10:38:26 --enforcementcount 0 &gt;&gt;C:\Users\stu\Documents\GitHub\eaglep3-reporting\EC\2016-09-26-refined-times.txt</v>
      </c>
      <c r="AI64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{"issue":{"subject":"","project_id":79,"tracker_id":40,"status_id":1,"priority_id":2,"assigned_to_id":23,"start_date":"2016-09-26","description":"","custom_fields":[{"id":1,"name":"Subdivision","value":"EC"},{"id":4,"name":"Milepost","value":"23.3304"},{"id":17,"name":"Train ID","value":"151-26"},{"id":16,"name":"Locomotive ID","value":"4016"},{"id":130,"name":"Impact","value":""},{"id":150,"name":"Time of Event (Mountain Time)","value":"10:38:26"},{"id":151,"name":"Denver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449</v>
      </c>
      <c r="B65" s="7">
        <v>4015</v>
      </c>
      <c r="C65" s="24" t="s">
        <v>106</v>
      </c>
      <c r="D65" s="24" t="s">
        <v>450</v>
      </c>
      <c r="E65" s="15">
        <v>42639.444560185184</v>
      </c>
      <c r="F65" s="15">
        <v>42639.456180555557</v>
      </c>
      <c r="G65" s="7">
        <v>1</v>
      </c>
      <c r="H65" s="15" t="s">
        <v>451</v>
      </c>
      <c r="I65" s="15">
        <v>42639.483032407406</v>
      </c>
      <c r="J65" s="7">
        <v>0</v>
      </c>
      <c r="K65" s="117" t="str">
        <f t="shared" si="19"/>
        <v>4015/4016</v>
      </c>
      <c r="L65" s="24" t="str">
        <f>VLOOKUP(A65,'Trips&amp;Operators'!$C$1:$E$10000,3,FALSE)</f>
        <v>YORK</v>
      </c>
      <c r="M65" s="6">
        <f t="shared" si="20"/>
        <v>2.6851851849642117E-2</v>
      </c>
      <c r="N65" s="7">
        <f t="shared" si="33"/>
        <v>38.666666663484648</v>
      </c>
      <c r="O65" s="7"/>
      <c r="P65" s="7"/>
      <c r="Q65" s="25"/>
      <c r="R65" s="25"/>
      <c r="S65" s="37">
        <f t="shared" si="21"/>
        <v>1</v>
      </c>
      <c r="T65" s="52" t="str">
        <f t="shared" si="22"/>
        <v>Southbound</v>
      </c>
      <c r="U65" s="15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09:40:10-0600',mode:absolute,to:'2016-09-26 12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65" s="54" t="str">
        <f t="shared" si="24"/>
        <v>N</v>
      </c>
      <c r="X65" s="164">
        <f t="shared" ref="X65:X68" si="34">VALUE(LEFT(AD65,4))-VALUE(LEFT(AD64,4))</f>
        <v>1</v>
      </c>
      <c r="Y65" s="69">
        <f t="shared" si="26"/>
        <v>23.299299999999999</v>
      </c>
      <c r="Z65" s="69">
        <f t="shared" si="27"/>
        <v>3.4500000000000003E-2</v>
      </c>
      <c r="AA65" s="69">
        <f t="shared" si="28"/>
        <v>23.264799999999997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29"/>
        <v>0152-26</v>
      </c>
      <c r="AE65" s="95" t="str">
        <f t="shared" si="30"/>
        <v>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 &amp; 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</v>
      </c>
      <c r="AF65" s="92" t="str">
        <f t="shared" si="31"/>
        <v>"C:\Program Files (x86)\AstroGrep\AstroGrep.exe" /spath="%USERPROFILE%\AppData\Local\Temp\OnboardLogs" /stypes="app*4015*20160926*" /stext=" 17:.+((SYSTEM_STATE.+slice.+state.+changed )|(ment ac)|(system.+state.+changed )|(\|lc)|(penalty)|(\[timeout)|(PRM\|1\|D)|(kpr)|(kdp))" /e /r /s</v>
      </c>
      <c r="AG65" s="1" t="str">
        <f t="shared" si="32"/>
        <v>EC</v>
      </c>
      <c r="AH65" s="96" t="str">
        <f t="shared" si="17"/>
        <v>"%USERPROFILE%\Documents\GitHub\eaglep3\Utilities\RefineRTDCRunTimes.py" --tripid 152-26 --locoid 4015 --swversion DE.1.0.7.0 --startMP 204:232993 --initTime 2016-09-26T10:40:10 --startdatetime 2016-09-26T10:56:54 --delay 1 --endMP 204:345 --enddatetime 2016-09-26T11:35:34 --enforcementcount 0 &gt;&gt;C:\Users\stu\Documents\GitHub\eaglep3-reporting\EC\2016-09-26-refined-times.txt</v>
      </c>
      <c r="AI65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{"issue":{"subject":"","project_id":79,"tracker_id":40,"status_id":1,"priority_id":2,"assigned_to_id":23,"start_date":"2016-09-26","description":"","custom_fields":[{"id":1,"name":"Subdivision","value":"EC"},{"id":4,"name":"Milepost","value":"0.0345"},{"id":17,"name":"Train ID","value":"152-26"},{"id":16,"name":"Locomotive ID","value":"4015"},{"id":130,"name":"Impact","value":""},{"id":150,"name":"Time of Event (Mountain Time)","value":"11:35:34"},{"id":151,"name":"Denver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452</v>
      </c>
      <c r="B66" s="7">
        <v>4007</v>
      </c>
      <c r="C66" s="24" t="s">
        <v>106</v>
      </c>
      <c r="D66" s="24" t="s">
        <v>230</v>
      </c>
      <c r="E66" s="15">
        <v>42639.426030092596</v>
      </c>
      <c r="F66" s="15">
        <v>42639.466469907406</v>
      </c>
      <c r="G66" s="7">
        <v>1</v>
      </c>
      <c r="H66" s="15" t="s">
        <v>340</v>
      </c>
      <c r="I66" s="15">
        <v>42639.495451388888</v>
      </c>
      <c r="J66" s="7">
        <v>0</v>
      </c>
      <c r="K66" s="117" t="str">
        <f t="shared" si="19"/>
        <v>4007/4008</v>
      </c>
      <c r="L66" s="24" t="str">
        <f>VLOOKUP(A66,'Trips&amp;Operators'!$C$1:$E$10000,3,FALSE)</f>
        <v>STARKS</v>
      </c>
      <c r="M66" s="6">
        <f t="shared" si="20"/>
        <v>2.8981481482333038E-2</v>
      </c>
      <c r="N66" s="7">
        <f t="shared" si="33"/>
        <v>41.733333334559575</v>
      </c>
      <c r="O66" s="7"/>
      <c r="P66" s="7"/>
      <c r="Q66" s="25"/>
      <c r="R66" s="25"/>
      <c r="S66" s="37">
        <f t="shared" si="21"/>
        <v>1</v>
      </c>
      <c r="T66" s="52" t="str">
        <f t="shared" si="22"/>
        <v>NorthBound</v>
      </c>
      <c r="U66" s="15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09:13:29-0600',mode:absolute,to:'2016-09-26 12:53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66" s="54" t="str">
        <f t="shared" si="24"/>
        <v>N</v>
      </c>
      <c r="X66" s="164">
        <f t="shared" si="34"/>
        <v>1</v>
      </c>
      <c r="Y66" s="69">
        <f t="shared" si="26"/>
        <v>4.6699999999999998E-2</v>
      </c>
      <c r="Z66" s="69">
        <f t="shared" si="27"/>
        <v>23.328600000000002</v>
      </c>
      <c r="AA66" s="69">
        <f t="shared" si="28"/>
        <v>23.2819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29"/>
        <v>0153-26</v>
      </c>
      <c r="AE66" s="95" t="str">
        <f t="shared" si="30"/>
        <v>aws s3 cp s3://rtdc.mdm.uploadarchive/RTDC4007/2016-09-26/ "%USERPROFILE%\AppData\Local\Temp\OnboardLogs"\RTDC4007\2016-09-26 --recursive &amp; "%USERPROFILE%\Documents\GitHub\mrs-test-scripts\Headless Mode &amp; Sideloading\WalkAndUnGZ.bat" "%USERPROFILE%\AppData\Local\Temp\OnboardLogs"\RTDC4007\2016-09-26 &amp; aws s3 cp s3://rtdc.mdm.uploadarchive/RTDC4007/2016-09-27/ "%USERPROFILE%\AppData\Local\Temp\OnboardLogs"\RTDC4007\2016-09-27 --recursive &amp; "%USERPROFILE%\Documents\GitHub\mrs-test-scripts\Headless Mode &amp; Sideloading\WalkAndUnGZ.bat" "%USERPROFILE%\AppData\Local\Temp\OnboardLogs"\RTDC4007\2016-09-27</v>
      </c>
      <c r="AF66" s="92" t="str">
        <f t="shared" si="31"/>
        <v>"C:\Program Files (x86)\AstroGrep\AstroGrep.exe" /spath="%USERPROFILE%\AppData\Local\Temp\OnboardLogs" /stypes="app*4007*20160926*" /stext=" 17:.+((SYSTEM_STATE.+slice.+state.+changed )|(ment ac)|(system.+state.+changed )|(\|lc)|(penalty)|(\[timeout)|(PRM\|1\|D)|(kpr)|(kdp))" /e /r /s</v>
      </c>
      <c r="AG66" s="1" t="str">
        <f t="shared" si="32"/>
        <v>EC</v>
      </c>
      <c r="AH66" s="96" t="str">
        <f t="shared" si="17"/>
        <v>"%USERPROFILE%\Documents\GitHub\eaglep3\Utilities\RefineRTDCRunTimes.py" --tripid 153-26 --locoid 4007 --swversion DE.1.0.7.0 --startMP 204:467 --initTime 2016-09-26T10:13:29 --startdatetime 2016-09-26T11:11:43 --delay 1 --endMP 204:233286 --enddatetime 2016-09-26T11:53:27 --enforcementcount 0 &gt;&gt;C:\Users\stu\Documents\GitHub\eaglep3-reporting\EC\2016-09-26-refined-times.txt</v>
      </c>
      <c r="AI66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{"issue":{"subject":"","project_id":79,"tracker_id":40,"status_id":1,"priority_id":2,"assigned_to_id":23,"start_date":"2016-09-26","description":"","custom_fields":[{"id":1,"name":"Subdivision","value":"EC"},{"id":4,"name":"Milepost","value":"23.3286"},{"id":17,"name":"Train ID","value":"153-26"},{"id":16,"name":"Locomotive ID","value":"4007"},{"id":130,"name":"Impact","value":""},{"id":150,"name":"Time of Event (Mountain Time)","value":"11:53:27"},{"id":151,"name":"Denver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453</v>
      </c>
      <c r="B67" s="7">
        <v>4008</v>
      </c>
      <c r="C67" s="24" t="s">
        <v>106</v>
      </c>
      <c r="D67" s="24" t="s">
        <v>400</v>
      </c>
      <c r="E67" s="15">
        <v>42639.465069444443</v>
      </c>
      <c r="F67" s="15">
        <v>42639.466469907406</v>
      </c>
      <c r="G67" s="7">
        <v>1</v>
      </c>
      <c r="H67" s="15" t="s">
        <v>127</v>
      </c>
      <c r="I67" s="15">
        <v>42639.495451388888</v>
      </c>
      <c r="J67" s="7">
        <v>0</v>
      </c>
      <c r="K67" s="117" t="str">
        <f t="shared" si="19"/>
        <v>4007/4008</v>
      </c>
      <c r="L67" s="24" t="str">
        <f>VLOOKUP(A67,'Trips&amp;Operators'!$C$1:$E$10000,3,FALSE)</f>
        <v>STARKS</v>
      </c>
      <c r="M67" s="6">
        <f t="shared" si="20"/>
        <v>2.8981481482333038E-2</v>
      </c>
      <c r="N67" s="7">
        <f t="shared" si="33"/>
        <v>41.733333334559575</v>
      </c>
      <c r="O67" s="7"/>
      <c r="P67" s="7"/>
      <c r="Q67" s="25"/>
      <c r="R67" s="25"/>
      <c r="S67" s="37">
        <f t="shared" si="21"/>
        <v>1</v>
      </c>
      <c r="T67" s="52" t="str">
        <f t="shared" si="22"/>
        <v>Southbound</v>
      </c>
      <c r="U67" s="15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10:09:42-0600',mode:absolute,to:'2016-09-26 12:53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67" s="54" t="str">
        <f t="shared" si="24"/>
        <v>N</v>
      </c>
      <c r="X67" s="164">
        <f t="shared" si="34"/>
        <v>1</v>
      </c>
      <c r="Y67" s="69">
        <f t="shared" si="26"/>
        <v>23.296900000000001</v>
      </c>
      <c r="Z67" s="69">
        <f t="shared" si="27"/>
        <v>1.54E-2</v>
      </c>
      <c r="AA67" s="69">
        <f t="shared" si="28"/>
        <v>23.281500000000001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29"/>
        <v>0154-26</v>
      </c>
      <c r="AE67" s="95" t="str">
        <f t="shared" si="30"/>
        <v>aws s3 cp s3://rtdc.mdm.uploadarchive/RTDC4008/2016-09-26/ "%USERPROFILE%\AppData\Local\Temp\OnboardLogs"\RTDC4008\2016-09-26 --recursive &amp; "%USERPROFILE%\Documents\GitHub\mrs-test-scripts\Headless Mode &amp; Sideloading\WalkAndUnGZ.bat" "%USERPROFILE%\AppData\Local\Temp\OnboardLogs"\RTDC4008\2016-09-26 &amp; aws s3 cp s3://rtdc.mdm.uploadarchive/RTDC4008/2016-09-27/ "%USERPROFILE%\AppData\Local\Temp\OnboardLogs"\RTDC4008\2016-09-27 --recursive &amp; "%USERPROFILE%\Documents\GitHub\mrs-test-scripts\Headless Mode &amp; Sideloading\WalkAndUnGZ.bat" "%USERPROFILE%\AppData\Local\Temp\OnboardLogs"\RTDC4008\2016-09-27</v>
      </c>
      <c r="AF67" s="92" t="str">
        <f t="shared" si="31"/>
        <v>"C:\Program Files (x86)\AstroGrep\AstroGrep.exe" /spath="%USERPROFILE%\AppData\Local\Temp\OnboardLogs" /stypes="app*4008*20160926*" /stext=" 17:.+((SYSTEM_STATE.+slice.+state.+changed )|(ment ac)|(system.+state.+changed )|(\|lc)|(penalty)|(\[timeout)|(PRM\|1\|D)|(kpr)|(kdp))" /e /r /s</v>
      </c>
      <c r="AG67" s="1" t="str">
        <f t="shared" si="32"/>
        <v>EC</v>
      </c>
      <c r="AH67" s="96" t="str">
        <f t="shared" si="17"/>
        <v>"%USERPROFILE%\Documents\GitHub\eaglep3\Utilities\RefineRTDCRunTimes.py" --tripid 154-26 --locoid 4008 --swversion DE.1.0.7.0 --startMP 204:232969 --initTime 2016-09-26T11:09:42 --startdatetime 2016-09-26T11:11:43 --delay 1 --endMP 204:154 --enddatetime 2016-09-26T11:53:27 --enforcementcount 0 &gt;&gt;C:\Users\stu\Documents\GitHub\eaglep3-reporting\EC\2016-09-26-refined-times.txt</v>
      </c>
      <c r="AI67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{"issue":{"subject":"","project_id":79,"tracker_id":40,"status_id":1,"priority_id":2,"assigned_to_id":23,"start_date":"2016-09-26","description":"","custom_fields":[{"id":1,"name":"Subdivision","value":"EC"},{"id":4,"name":"Milepost","value":"0.0154"},{"id":17,"name":"Train ID","value":"154-26"},{"id":16,"name":"Locomotive ID","value":"4008"},{"id":130,"name":"Impact","value":""},{"id":150,"name":"Time of Event (Mountain Time)","value":"11:53:27"},{"id":151,"name":"Denver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454</v>
      </c>
      <c r="B68" s="7">
        <v>4014</v>
      </c>
      <c r="C68" s="24" t="s">
        <v>106</v>
      </c>
      <c r="D68" s="24" t="s">
        <v>229</v>
      </c>
      <c r="E68" s="15">
        <v>42639.431886574072</v>
      </c>
      <c r="F68" s="15">
        <v>42639.437905092593</v>
      </c>
      <c r="G68" s="7">
        <v>1</v>
      </c>
      <c r="H68" s="15" t="s">
        <v>283</v>
      </c>
      <c r="I68" s="15">
        <v>42639.469490740739</v>
      </c>
      <c r="J68" s="7">
        <v>0</v>
      </c>
      <c r="K68" s="117" t="str">
        <f t="shared" si="19"/>
        <v>4013/4014</v>
      </c>
      <c r="L68" s="24" t="str">
        <f>VLOOKUP(A68,'Trips&amp;Operators'!$C$1:$E$10000,3,FALSE)</f>
        <v>DAVIS</v>
      </c>
      <c r="M68" s="6">
        <f t="shared" si="20"/>
        <v>3.1585648146574385E-2</v>
      </c>
      <c r="N68" s="7">
        <f t="shared" si="33"/>
        <v>45.483333331067115</v>
      </c>
      <c r="O68" s="7"/>
      <c r="P68" s="7"/>
      <c r="Q68" s="25"/>
      <c r="R68" s="25"/>
      <c r="S68" s="37">
        <f t="shared" si="21"/>
        <v>1</v>
      </c>
      <c r="T68" s="52" t="str">
        <f t="shared" si="22"/>
        <v>NorthBound</v>
      </c>
      <c r="U68" s="15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09:21:55-0600',mode:absolute,to:'2016-09-26 12:16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8" s="54" t="str">
        <f t="shared" si="24"/>
        <v>N</v>
      </c>
      <c r="X68" s="164">
        <f t="shared" si="34"/>
        <v>1</v>
      </c>
      <c r="Y68" s="69">
        <f t="shared" si="26"/>
        <v>4.58E-2</v>
      </c>
      <c r="Z68" s="69">
        <f t="shared" si="27"/>
        <v>23.3306</v>
      </c>
      <c r="AA68" s="69">
        <f t="shared" si="28"/>
        <v>23.284800000000001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 t="shared" si="29"/>
        <v>0155-26</v>
      </c>
      <c r="AE68" s="95" t="str">
        <f t="shared" si="30"/>
        <v>aws s3 cp s3://rtdc.mdm.uploadarchive/RTDC4014/2016-09-26/ "%USERPROFILE%\AppData\Local\Temp\OnboardLogs"\RTDC4014\2016-09-26 --recursive &amp; "%USERPROFILE%\Documents\GitHub\mrs-test-scripts\Headless Mode &amp; Sideloading\WalkAndUnGZ.bat" "%USERPROFILE%\AppData\Local\Temp\OnboardLogs"\RTDC4014\2016-09-26 &amp; 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</v>
      </c>
      <c r="AF68" s="92" t="str">
        <f t="shared" si="31"/>
        <v>"C:\Program Files (x86)\AstroGrep\AstroGrep.exe" /spath="%USERPROFILE%\AppData\Local\Temp\OnboardLogs" /stypes="app*4014*20160926*" /stext=" 17:.+((SYSTEM_STATE.+slice.+state.+changed )|(ment ac)|(system.+state.+changed )|(\|lc)|(penalty)|(\[timeout)|(PRM\|1\|D)|(kpr)|(kdp))" /e /r /s</v>
      </c>
      <c r="AG68" s="1" t="str">
        <f t="shared" si="32"/>
        <v>EC</v>
      </c>
      <c r="AH68" s="96" t="str">
        <f t="shared" si="17"/>
        <v>"%USERPROFILE%\Documents\GitHub\eaglep3\Utilities\RefineRTDCRunTimes.py" --tripid 155-26 --locoid 4014 --swversion DE.1.0.7.0 --startMP 204:458 --initTime 2016-09-26T10:21:55 --startdatetime 2016-09-26T10:30:35 --delay 1 --endMP 204:233306 --enddatetime 2016-09-26T11:16:04 --enforcementcount 0 &gt;&gt;C:\Users\stu\Documents\GitHub\eaglep3-reporting\EC\2016-09-26-refined-times.txt</v>
      </c>
      <c r="AI68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{"issue":{"subject":"","project_id":79,"tracker_id":40,"status_id":1,"priority_id":2,"assigned_to_id":23,"start_date":"2016-09-26","description":"","custom_fields":[{"id":1,"name":"Subdivision","value":"EC"},{"id":4,"name":"Milepost","value":"23.3306"},{"id":17,"name":"Train ID","value":"155-26"},{"id":16,"name":"Locomotive ID","value":"4014"},{"id":130,"name":"Impact","value":""},{"id":150,"name":"Time of Event (Mountain Time)","value":"11:16:04"},{"id":151,"name":"Denver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455</v>
      </c>
      <c r="B69" s="7">
        <v>4013</v>
      </c>
      <c r="C69" s="24" t="s">
        <v>106</v>
      </c>
      <c r="D69" s="24" t="s">
        <v>335</v>
      </c>
      <c r="E69" s="15">
        <v>42639.471400462964</v>
      </c>
      <c r="F69" s="15">
        <v>42639.476539351854</v>
      </c>
      <c r="G69" s="7">
        <v>2</v>
      </c>
      <c r="H69" s="15" t="s">
        <v>228</v>
      </c>
      <c r="I69" s="15">
        <v>42639.507465277777</v>
      </c>
      <c r="J69" s="7">
        <v>0</v>
      </c>
      <c r="K69" s="117" t="str">
        <f t="shared" si="19"/>
        <v>4013/4014</v>
      </c>
      <c r="L69" s="24" t="str">
        <f>VLOOKUP(A69,'Trips&amp;Operators'!$C$1:$E$10000,3,FALSE)</f>
        <v>DAVIS</v>
      </c>
      <c r="M69" s="6">
        <f t="shared" si="20"/>
        <v>3.0925925922929309E-2</v>
      </c>
      <c r="N69" s="7">
        <f t="shared" si="33"/>
        <v>44.533333329018205</v>
      </c>
      <c r="O69" s="7"/>
      <c r="P69" s="7"/>
      <c r="Q69" s="25"/>
      <c r="R69" s="25"/>
      <c r="S69" s="37">
        <f t="shared" si="21"/>
        <v>1</v>
      </c>
      <c r="T69" s="52" t="str">
        <f t="shared" si="22"/>
        <v>Southbound</v>
      </c>
      <c r="U69" s="15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10:18:49-0600',mode:absolute,to:'2016-09-26 13:10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9" s="54" t="str">
        <f t="shared" si="24"/>
        <v>N</v>
      </c>
      <c r="X69" s="164">
        <f>VALUE(LEFT(AD69,4))-VALUE(LEFT(AD68,4))</f>
        <v>1</v>
      </c>
      <c r="Y69" s="69">
        <f t="shared" si="26"/>
        <v>23.300599999999999</v>
      </c>
      <c r="Z69" s="69">
        <f t="shared" si="27"/>
        <v>1.3899999999999999E-2</v>
      </c>
      <c r="AA69" s="69">
        <f t="shared" si="28"/>
        <v>23.2867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 t="shared" si="29"/>
        <v>0156-26</v>
      </c>
      <c r="AE69" s="95" t="str">
        <f t="shared" si="30"/>
        <v>aws s3 cp s3://rtdc.mdm.uploadarchive/RTDC4013/2016-09-26/ "%USERPROFILE%\AppData\Local\Temp\OnboardLogs"\RTDC4013\2016-09-26 --recursive &amp; "%USERPROFILE%\Documents\GitHub\mrs-test-scripts\Headless Mode &amp; Sideloading\WalkAndUnGZ.bat" "%USERPROFILE%\AppData\Local\Temp\OnboardLogs"\RTDC4013\2016-09-26 &amp; 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</v>
      </c>
      <c r="AF69" s="92" t="str">
        <f t="shared" si="31"/>
        <v>"C:\Program Files (x86)\AstroGrep\AstroGrep.exe" /spath="%USERPROFILE%\AppData\Local\Temp\OnboardLogs" /stypes="app*4013*20160926*" /stext=" 18:.+((SYSTEM_STATE.+slice.+state.+changed )|(ment ac)|(system.+state.+changed )|(\|lc)|(penalty)|(\[timeout)|(PRM\|1\|D)|(kpr)|(kdp))" /e /r /s</v>
      </c>
      <c r="AG69" s="1" t="str">
        <f t="shared" si="32"/>
        <v>EC</v>
      </c>
      <c r="AH69" s="96" t="str">
        <f t="shared" si="17"/>
        <v>"%USERPROFILE%\Documents\GitHub\eaglep3\Utilities\RefineRTDCRunTimes.py" --tripid 156-26 --locoid 4013 --swversion DE.1.0.7.0 --startMP 204:233006 --initTime 2016-09-26T11:18:49 --startdatetime 2016-09-26T11:26:13 --delay 2 --endMP 204:139 --enddatetime 2016-09-26T12:10:45 --enforcementcount 0 &gt;&gt;C:\Users\stu\Documents\GitHub\eaglep3-reporting\EC\2016-09-26-refined-times.txt</v>
      </c>
      <c r="AI69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{"issue":{"subject":"","project_id":79,"tracker_id":40,"status_id":1,"priority_id":2,"assigned_to_id":23,"start_date":"2016-09-26","description":"","custom_fields":[{"id":1,"name":"Subdivision","value":"EC"},{"id":4,"name":"Milepost","value":"0.0139"},{"id":17,"name":"Train ID","value":"156-26"},{"id":16,"name":"Locomotive ID","value":"4013"},{"id":130,"name":"Impact","value":""},{"id":150,"name":"Time of Event (Mountain Time)","value":"12:10:45"},{"id":151,"name":"Denver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456</v>
      </c>
      <c r="B70" s="7">
        <v>4011</v>
      </c>
      <c r="C70" s="24" t="s">
        <v>106</v>
      </c>
      <c r="D70" s="24" t="s">
        <v>224</v>
      </c>
      <c r="E70" s="15">
        <v>42639.446840277778</v>
      </c>
      <c r="F70" s="15">
        <v>42639.448136574072</v>
      </c>
      <c r="G70" s="7">
        <v>1</v>
      </c>
      <c r="H70" s="15" t="s">
        <v>340</v>
      </c>
      <c r="I70" s="15">
        <v>42639.474710648145</v>
      </c>
      <c r="J70" s="7">
        <v>0</v>
      </c>
      <c r="K70" s="117" t="str">
        <f t="shared" si="19"/>
        <v>4011/4012</v>
      </c>
      <c r="L70" s="24" t="str">
        <f>VLOOKUP(A70,'Trips&amp;Operators'!$C$1:$E$10000,3,FALSE)</f>
        <v>MALAVE</v>
      </c>
      <c r="M70" s="6">
        <f t="shared" si="20"/>
        <v>2.6574074072414078E-2</v>
      </c>
      <c r="N70" s="7">
        <f t="shared" si="33"/>
        <v>38.266666664276272</v>
      </c>
      <c r="O70" s="7"/>
      <c r="P70" s="7"/>
      <c r="Q70" s="25"/>
      <c r="R70" s="25"/>
      <c r="S70" s="37">
        <f t="shared" si="21"/>
        <v>1</v>
      </c>
      <c r="T70" s="52" t="str">
        <f t="shared" si="22"/>
        <v>NorthBound</v>
      </c>
      <c r="U70" s="15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09:43:27-0600',mode:absolute,to:'2016-09-26 12:23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0" s="54" t="str">
        <f t="shared" si="24"/>
        <v>N</v>
      </c>
      <c r="X70" s="164">
        <f>VALUE(LEFT(AD70,4))-VALUE(LEFT(AD69,4))</f>
        <v>1</v>
      </c>
      <c r="Y70" s="69">
        <f t="shared" si="26"/>
        <v>4.4699999999999997E-2</v>
      </c>
      <c r="Z70" s="69">
        <f t="shared" si="27"/>
        <v>23.328600000000002</v>
      </c>
      <c r="AA70" s="69">
        <f t="shared" si="28"/>
        <v>23.283900000000003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29"/>
        <v>0157-26</v>
      </c>
      <c r="AE70" s="95" t="str">
        <f t="shared" si="30"/>
        <v>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 &amp; 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</v>
      </c>
      <c r="AF70" s="92" t="str">
        <f t="shared" si="31"/>
        <v>"C:\Program Files (x86)\AstroGrep\AstroGrep.exe" /spath="%USERPROFILE%\AppData\Local\Temp\OnboardLogs" /stypes="app*4011*20160926*" /stext=" 17:.+((SYSTEM_STATE.+slice.+state.+changed )|(ment ac)|(system.+state.+changed )|(\|lc)|(penalty)|(\[timeout)|(PRM\|1\|D)|(kpr)|(kdp))" /e /r /s</v>
      </c>
      <c r="AG70" s="1" t="str">
        <f t="shared" si="32"/>
        <v>EC</v>
      </c>
      <c r="AH70" s="96" t="str">
        <f t="shared" si="17"/>
        <v>"%USERPROFILE%\Documents\GitHub\eaglep3\Utilities\RefineRTDCRunTimes.py" --tripid 157-26 --locoid 4011 --swversion DE.1.0.7.0 --startMP 204:447 --initTime 2016-09-26T10:43:27 --startdatetime 2016-09-26T10:45:19 --delay 1 --endMP 204:233286 --enddatetime 2016-09-26T11:23:35 --enforcementcount 0 &gt;&gt;C:\Users\stu\Documents\GitHub\eaglep3-reporting\EC\2016-09-26-refined-times.txt</v>
      </c>
      <c r="AI70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{"issue":{"subject":"","project_id":79,"tracker_id":40,"status_id":1,"priority_id":2,"assigned_to_id":23,"start_date":"2016-09-26","description":"","custom_fields":[{"id":1,"name":"Subdivision","value":"EC"},{"id":4,"name":"Milepost","value":"23.3286"},{"id":17,"name":"Train ID","value":"157-26"},{"id":16,"name":"Locomotive ID","value":"4011"},{"id":130,"name":"Impact","value":""},{"id":150,"name":"Time of Event (Mountain Time)","value":"11:23:35"},{"id":151,"name":"Denver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457</v>
      </c>
      <c r="B71" s="7">
        <v>4012</v>
      </c>
      <c r="C71" s="24" t="s">
        <v>106</v>
      </c>
      <c r="D71" s="24" t="s">
        <v>458</v>
      </c>
      <c r="E71" s="15">
        <v>42639.499398148146</v>
      </c>
      <c r="F71" s="15">
        <v>42639.501284722224</v>
      </c>
      <c r="G71" s="7">
        <v>1</v>
      </c>
      <c r="H71" s="15" t="s">
        <v>222</v>
      </c>
      <c r="I71" s="15">
        <v>42639.519108796296</v>
      </c>
      <c r="J71" s="7">
        <v>0</v>
      </c>
      <c r="K71" s="117" t="str">
        <f t="shared" si="19"/>
        <v>4011/4012</v>
      </c>
      <c r="L71" s="24" t="str">
        <f>VLOOKUP(A71,'Trips&amp;Operators'!$C$1:$E$10000,3,FALSE)</f>
        <v>MALAVE</v>
      </c>
      <c r="M71" s="6">
        <f t="shared" si="20"/>
        <v>1.7824074071540963E-2</v>
      </c>
      <c r="N71" s="7"/>
      <c r="O71" s="7"/>
      <c r="P71" s="7">
        <f>24*60*SUM($M71:$M71)</f>
        <v>25.666666663018987</v>
      </c>
      <c r="Q71" s="25"/>
      <c r="R71" s="25" t="s">
        <v>327</v>
      </c>
      <c r="S71" s="37">
        <f t="shared" si="21"/>
        <v>1</v>
      </c>
      <c r="T71" s="52" t="str">
        <f t="shared" si="22"/>
        <v>Southbound</v>
      </c>
      <c r="U71" s="15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10:59:08-0600',mode:absolute,to:'2016-09-26 13:27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1" s="54" t="str">
        <f t="shared" si="24"/>
        <v>Y</v>
      </c>
      <c r="X71" s="164">
        <f t="shared" ref="X71:X74" si="35">VALUE(LEFT(AD71,4))-VALUE(LEFT(AD70,4))</f>
        <v>1</v>
      </c>
      <c r="Y71" s="69">
        <f t="shared" si="26"/>
        <v>12.7866</v>
      </c>
      <c r="Z71" s="69">
        <f t="shared" si="27"/>
        <v>1.52E-2</v>
      </c>
      <c r="AA71" s="69">
        <f t="shared" si="28"/>
        <v>12.7714</v>
      </c>
      <c r="AB71" s="66" t="str">
        <f>VLOOKUP(A71,Enforcements!$C$7:$K$20,8,0)</f>
        <v>Bulletin (2)</v>
      </c>
      <c r="AC71" s="62" t="str">
        <f>VLOOKUP(A71,Enforcements!$C$7:$E$20,3,0)</f>
        <v>GRADE CROSSING</v>
      </c>
      <c r="AD71" s="63" t="str">
        <f t="shared" si="29"/>
        <v>0158-26</v>
      </c>
      <c r="AE71" s="95" t="str">
        <f t="shared" si="30"/>
        <v>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 &amp; 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</v>
      </c>
      <c r="AF71" s="92" t="str">
        <f t="shared" si="31"/>
        <v>"C:\Program Files (x86)\AstroGrep\AstroGrep.exe" /spath="%USERPROFILE%\AppData\Local\Temp\OnboardLogs" /stypes="app*4012*20160926*" /stext=" 18:.+((SYSTEM_STATE.+slice.+state.+changed )|(ment ac)|(system.+state.+changed )|(\|lc)|(penalty)|(\[timeout)|(PRM\|1\|D)|(kpr)|(kdp))" /e /r /s</v>
      </c>
      <c r="AG71" s="1" t="str">
        <f t="shared" si="32"/>
        <v>EC</v>
      </c>
      <c r="AH71" s="96" t="str">
        <f t="shared" si="17"/>
        <v>"%USERPROFILE%\Documents\GitHub\eaglep3\Utilities\RefineRTDCRunTimes.py" --tripid 158-26 --locoid 4012 --swversion DE.1.0.7.0 --startMP 204:127866 --initTime 2016-09-26T11:59:08 --startdatetime 2016-09-26T12:01:51 --delay 1 --endMP 204:152 --enddatetime 2016-09-26T12:27:31 --enforcementcount 0 &gt;&gt;C:\Users\stu\Documents\GitHub\eaglep3-reporting\EC\2016-09-26-refined-times.txt</v>
      </c>
      <c r="AI71" s="130" t="str">
        <f t="shared" si="18"/>
        <v>echo {"issue":{"subject":"Onboard in-route failure","project_id":79,"tracker_id":40,"status_id":1,"priority_id":2,"assigned_to_id":23,"start_date":"2016-09-26","description":"Multiple CPU Faults at 11:42:36","custom_fields":[{"id":1,"name":"Subdivision","value":"EC"},{"id":4,"name":"Milepost","value":"0.0152"},{"id":17,"name":"Train ID","value":"158-26"},{"id":16,"name":"Locomotive ID","value":"4012"},{"id":130,"name":"Impact","value":"Failed State"},{"id":150,"name":"Time of Event (Mountain Time)","value":"12:27:31"},{"id":151,"name":"Denver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71" s="55" t="s">
        <v>723</v>
      </c>
      <c r="AK71" s="55" t="s">
        <v>141</v>
      </c>
      <c r="AL71" s="55" t="s">
        <v>240</v>
      </c>
    </row>
    <row r="72" spans="1:38" s="1" customFormat="1" x14ac:dyDescent="0.25">
      <c r="A72" s="39" t="s">
        <v>459</v>
      </c>
      <c r="B72" s="7">
        <v>4053</v>
      </c>
      <c r="C72" s="24" t="s">
        <v>106</v>
      </c>
      <c r="D72" s="24" t="s">
        <v>226</v>
      </c>
      <c r="E72" s="15">
        <v>42639.456458333334</v>
      </c>
      <c r="F72" s="15">
        <v>42639.459062499998</v>
      </c>
      <c r="G72" s="7">
        <v>1</v>
      </c>
      <c r="H72" s="15" t="s">
        <v>442</v>
      </c>
      <c r="I72" s="15">
        <v>42639.485578703701</v>
      </c>
      <c r="J72" s="7">
        <v>0</v>
      </c>
      <c r="K72" s="117" t="str">
        <f t="shared" si="19"/>
        <v>4053/4054</v>
      </c>
      <c r="L72" s="24" t="str">
        <f>VLOOKUP(A72,'Trips&amp;Operators'!$C$1:$E$10000,3,FALSE)</f>
        <v>STEWART</v>
      </c>
      <c r="M72" s="6">
        <f t="shared" si="20"/>
        <v>2.6516203703067731E-2</v>
      </c>
      <c r="N72" s="7">
        <f t="shared" ref="N72:N77" si="36">24*60*SUM($M72:$M72)</f>
        <v>38.183333332417533</v>
      </c>
      <c r="O72" s="7"/>
      <c r="P72" s="7"/>
      <c r="Q72" s="25"/>
      <c r="R72" s="25"/>
      <c r="S72" s="37">
        <f t="shared" si="21"/>
        <v>1</v>
      </c>
      <c r="T72" s="52" t="str">
        <f t="shared" si="22"/>
        <v>NorthBound</v>
      </c>
      <c r="U72" s="15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09:57:18-0600',mode:absolute,to:'2016-09-26 12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72" s="54" t="str">
        <f t="shared" si="24"/>
        <v>N</v>
      </c>
      <c r="X72" s="164">
        <f t="shared" si="35"/>
        <v>1</v>
      </c>
      <c r="Y72" s="69">
        <f t="shared" si="26"/>
        <v>4.5100000000000001E-2</v>
      </c>
      <c r="Z72" s="69">
        <f t="shared" si="27"/>
        <v>23.330200000000001</v>
      </c>
      <c r="AA72" s="69">
        <f t="shared" si="28"/>
        <v>23.2851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29"/>
        <v>0159-26</v>
      </c>
      <c r="AE72" s="95" t="str">
        <f t="shared" si="30"/>
        <v>aws s3 cp s3://rtdc.mdm.uploadarchive/RTDC4053/2016-09-26/ "%USERPROFILE%\AppData\Local\Temp\OnboardLogs"\RTDC4053\2016-09-26 --recursive &amp; "%USERPROFILE%\Documents\GitHub\mrs-test-scripts\Headless Mode &amp; Sideloading\WalkAndUnGZ.bat" "%USERPROFILE%\AppData\Local\Temp\OnboardLogs"\RTDC4053\2016-09-26 &amp; aws s3 cp s3://rtdc.mdm.uploadarchive/RTDC4053/2016-09-27/ "%USERPROFILE%\AppData\Local\Temp\OnboardLogs"\RTDC4053\2016-09-27 --recursive &amp; "%USERPROFILE%\Documents\GitHub\mrs-test-scripts\Headless Mode &amp; Sideloading\WalkAndUnGZ.bat" "%USERPROFILE%\AppData\Local\Temp\OnboardLogs"\RTDC4053\2016-09-27</v>
      </c>
      <c r="AF72" s="92" t="str">
        <f t="shared" si="31"/>
        <v>"C:\Program Files (x86)\AstroGrep\AstroGrep.exe" /spath="%USERPROFILE%\AppData\Local\Temp\OnboardLogs" /stypes="app*4053*20160926*" /stext=" 17:.+((SYSTEM_STATE.+slice.+state.+changed )|(ment ac)|(system.+state.+changed )|(\|lc)|(penalty)|(\[timeout)|(PRM\|1\|D)|(kpr)|(kdp))" /e /r /s</v>
      </c>
      <c r="AG72" s="1" t="str">
        <f t="shared" si="32"/>
        <v>EC</v>
      </c>
      <c r="AH72" s="96" t="str">
        <f t="shared" si="17"/>
        <v>"%USERPROFILE%\Documents\GitHub\eaglep3\Utilities\RefineRTDCRunTimes.py" --tripid 159-26 --locoid 4053 --swversion DE.1.0.7.0 --startMP 204:451 --initTime 2016-09-26T10:57:18 --startdatetime 2016-09-26T11:01:03 --delay 1 --endMP 204:233302 --enddatetime 2016-09-26T11:39:14 --enforcementcount 0 &gt;&gt;C:\Users\stu\Documents\GitHub\eaglep3-reporting\EC\2016-09-26-refined-times.txt</v>
      </c>
      <c r="AI72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{"issue":{"subject":"","project_id":79,"tracker_id":40,"status_id":1,"priority_id":2,"assigned_to_id":23,"start_date":"2016-09-26","description":"","custom_fields":[{"id":1,"name":"Subdivision","value":"EC"},{"id":4,"name":"Milepost","value":"23.3302"},{"id":17,"name":"Train ID","value":"159-26"},{"id":16,"name":"Locomotive ID","value":"4053"},{"id":130,"name":"Impact","value":""},{"id":150,"name":"Time of Event (Mountain Time)","value":"11:39:14"},{"id":151,"name":"Denver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460</v>
      </c>
      <c r="B73" s="7">
        <v>4054</v>
      </c>
      <c r="C73" s="24" t="s">
        <v>106</v>
      </c>
      <c r="D73" s="24" t="s">
        <v>404</v>
      </c>
      <c r="E73" s="15">
        <v>42639.494155092594</v>
      </c>
      <c r="F73" s="15">
        <v>42639.497511574074</v>
      </c>
      <c r="G73" s="7">
        <v>1</v>
      </c>
      <c r="H73" s="15" t="s">
        <v>127</v>
      </c>
      <c r="I73" s="15">
        <v>42639.530439814815</v>
      </c>
      <c r="J73" s="7">
        <v>0</v>
      </c>
      <c r="K73" s="117" t="str">
        <f t="shared" si="19"/>
        <v>4053/4054</v>
      </c>
      <c r="L73" s="24" t="str">
        <f>VLOOKUP(A73,'Trips&amp;Operators'!$C$1:$E$10000,3,FALSE)</f>
        <v>STEWART</v>
      </c>
      <c r="M73" s="6">
        <f t="shared" si="20"/>
        <v>3.2928240740147885E-2</v>
      </c>
      <c r="N73" s="7">
        <f t="shared" si="36"/>
        <v>47.416666665812954</v>
      </c>
      <c r="O73" s="7"/>
      <c r="P73" s="7"/>
      <c r="Q73" s="25"/>
      <c r="R73" s="25"/>
      <c r="S73" s="37">
        <f t="shared" si="21"/>
        <v>1</v>
      </c>
      <c r="T73" s="52" t="str">
        <f t="shared" si="22"/>
        <v>Southbound</v>
      </c>
      <c r="U73" s="15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10:51:35-0600',mode:absolute,to:'2016-09-26 13:43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73" s="54" t="str">
        <f t="shared" si="24"/>
        <v>N</v>
      </c>
      <c r="X73" s="164">
        <f t="shared" si="35"/>
        <v>1</v>
      </c>
      <c r="Y73" s="69">
        <f t="shared" si="26"/>
        <v>23.2989</v>
      </c>
      <c r="Z73" s="69">
        <f t="shared" si="27"/>
        <v>1.54E-2</v>
      </c>
      <c r="AA73" s="69">
        <f t="shared" si="28"/>
        <v>23.2835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 t="shared" si="29"/>
        <v>0160-26</v>
      </c>
      <c r="AE73" s="95" t="str">
        <f t="shared" si="30"/>
        <v>aws s3 cp s3://rtdc.mdm.uploadarchive/RTDC4054/2016-09-26/ "%USERPROFILE%\AppData\Local\Temp\OnboardLogs"\RTDC4054\2016-09-26 --recursive &amp; "%USERPROFILE%\Documents\GitHub\mrs-test-scripts\Headless Mode &amp; Sideloading\WalkAndUnGZ.bat" "%USERPROFILE%\AppData\Local\Temp\OnboardLogs"\RTDC4054\2016-09-26 &amp; aws s3 cp s3://rtdc.mdm.uploadarchive/RTDC4054/2016-09-27/ "%USERPROFILE%\AppData\Local\Temp\OnboardLogs"\RTDC4054\2016-09-27 --recursive &amp; "%USERPROFILE%\Documents\GitHub\mrs-test-scripts\Headless Mode &amp; Sideloading\WalkAndUnGZ.bat" "%USERPROFILE%\AppData\Local\Temp\OnboardLogs"\RTDC4054\2016-09-27</v>
      </c>
      <c r="AF73" s="92" t="str">
        <f t="shared" si="31"/>
        <v>"C:\Program Files (x86)\AstroGrep\AstroGrep.exe" /spath="%USERPROFILE%\AppData\Local\Temp\OnboardLogs" /stypes="app*4054*20160926*" /stext=" 18:.+((SYSTEM_STATE.+slice.+state.+changed )|(ment ac)|(system.+state.+changed )|(\|lc)|(penalty)|(\[timeout)|(PRM\|1\|D)|(kpr)|(kdp))" /e /r /s</v>
      </c>
      <c r="AG73" s="1" t="str">
        <f t="shared" si="32"/>
        <v>EC</v>
      </c>
      <c r="AH73" s="96" t="str">
        <f t="shared" si="17"/>
        <v>"%USERPROFILE%\Documents\GitHub\eaglep3\Utilities\RefineRTDCRunTimes.py" --tripid 160-26 --locoid 4054 --swversion DE.1.0.7.0 --startMP 204:232989 --initTime 2016-09-26T11:51:35 --startdatetime 2016-09-26T11:56:25 --delay 1 --endMP 204:154 --enddatetime 2016-09-26T12:43:50 --enforcementcount 0 &gt;&gt;C:\Users\stu\Documents\GitHub\eaglep3-reporting\EC\2016-09-26-refined-times.txt</v>
      </c>
      <c r="AI73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{"issue":{"subject":"","project_id":79,"tracker_id":40,"status_id":1,"priority_id":2,"assigned_to_id":23,"start_date":"2016-09-26","description":"","custom_fields":[{"id":1,"name":"Subdivision","value":"EC"},{"id":4,"name":"Milepost","value":"0.0154"},{"id":17,"name":"Train ID","value":"160-26"},{"id":16,"name":"Locomotive ID","value":"4054"},{"id":130,"name":"Impact","value":""},{"id":150,"name":"Time of Event (Mountain Time)","value":"12:43:50"},{"id":151,"name":"Denver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461</v>
      </c>
      <c r="B74" s="7">
        <v>4018</v>
      </c>
      <c r="C74" s="24" t="s">
        <v>106</v>
      </c>
      <c r="D74" s="24" t="s">
        <v>223</v>
      </c>
      <c r="E74" s="15">
        <v>42639.465856481482</v>
      </c>
      <c r="F74" s="15">
        <v>42639.469201388885</v>
      </c>
      <c r="G74" s="7">
        <v>1</v>
      </c>
      <c r="H74" s="15" t="s">
        <v>221</v>
      </c>
      <c r="I74" s="15">
        <v>42639.495150462964</v>
      </c>
      <c r="J74" s="7">
        <v>0</v>
      </c>
      <c r="K74" s="117" t="str">
        <f t="shared" si="19"/>
        <v>4017/4018</v>
      </c>
      <c r="L74" s="24" t="str">
        <f>VLOOKUP(A74,'Trips&amp;Operators'!$C$1:$E$10000,3,FALSE)</f>
        <v>BARTLETT</v>
      </c>
      <c r="M74" s="6">
        <f t="shared" si="20"/>
        <v>2.5949074079107959E-2</v>
      </c>
      <c r="N74" s="7">
        <f t="shared" si="36"/>
        <v>37.366666673915461</v>
      </c>
      <c r="O74" s="7"/>
      <c r="P74" s="7"/>
      <c r="Q74" s="25"/>
      <c r="R74" s="25"/>
      <c r="S74" s="37">
        <f t="shared" si="21"/>
        <v>1</v>
      </c>
      <c r="T74" s="52" t="str">
        <f t="shared" si="22"/>
        <v>NorthBound</v>
      </c>
      <c r="U74" s="15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10:10:50-0600',mode:absolute,to:'2016-09-26 12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74" s="54" t="str">
        <f t="shared" si="24"/>
        <v>N</v>
      </c>
      <c r="X74" s="164">
        <f t="shared" si="35"/>
        <v>1</v>
      </c>
      <c r="Y74" s="69">
        <f t="shared" si="26"/>
        <v>4.5699999999999998E-2</v>
      </c>
      <c r="Z74" s="69">
        <f t="shared" si="27"/>
        <v>23.3291</v>
      </c>
      <c r="AA74" s="69">
        <f t="shared" si="28"/>
        <v>23.2834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29"/>
        <v>0161-26</v>
      </c>
      <c r="AE74" s="95" t="str">
        <f t="shared" si="30"/>
        <v>aws s3 cp s3://rtdc.mdm.uploadarchive/RTDC4018/2016-09-26/ "%USERPROFILE%\AppData\Local\Temp\OnboardLogs"\RTDC4018\2016-09-26 --recursive &amp; "%USERPROFILE%\Documents\GitHub\mrs-test-scripts\Headless Mode &amp; Sideloading\WalkAndUnGZ.bat" "%USERPROFILE%\AppData\Local\Temp\OnboardLogs"\RTDC4018\2016-09-26 &amp; 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</v>
      </c>
      <c r="AF74" s="92" t="str">
        <f t="shared" si="31"/>
        <v>"C:\Program Files (x86)\AstroGrep\AstroGrep.exe" /spath="%USERPROFILE%\AppData\Local\Temp\OnboardLogs" /stypes="app*4018*20160926*" /stext=" 17:.+((SYSTEM_STATE.+slice.+state.+changed )|(ment ac)|(system.+state.+changed )|(\|lc)|(penalty)|(\[timeout)|(PRM\|1\|D)|(kpr)|(kdp))" /e /r /s</v>
      </c>
      <c r="AG74" s="1" t="str">
        <f t="shared" si="32"/>
        <v>EC</v>
      </c>
      <c r="AH74" s="96" t="str">
        <f t="shared" si="17"/>
        <v>"%USERPROFILE%\Documents\GitHub\eaglep3\Utilities\RefineRTDCRunTimes.py" --tripid 161-26 --locoid 4018 --swversion DE.1.0.7.0 --startMP 204:457 --initTime 2016-09-26T11:10:50 --startdatetime 2016-09-26T11:15:39 --delay 1 --endMP 204:233291 --enddatetime 2016-09-26T11:53:01 --enforcementcount 0 &gt;&gt;C:\Users\stu\Documents\GitHub\eaglep3-reporting\EC\2016-09-26-refined-times.txt</v>
      </c>
      <c r="AI74" s="130" t="str">
        <f t="shared" si="18"/>
        <v>echo {"issue":{"subject":"","project_id":79,"tracker_id":40,"status_id":1,"priority_id":2,"assigned_to_id":23,"start_date":"2016-09-26","description":"","custom_fields":[{"id":1,"name":"Subdivision","value":"EC"},{"id":4,"name":"Milepost","value":"23.3291"},{"id":17,"name":"Train ID","value":"161-26"},{"id":16,"name":"Locomotive ID","value":"4018"},{"id":130,"name":"Impact","value":""},{"id":150,"name":"Time of Event (Mountain Time)","value":"11:53:01"},{"id":151,"name":"Denver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462</v>
      </c>
      <c r="B75" s="7">
        <v>4017</v>
      </c>
      <c r="C75" s="24" t="s">
        <v>106</v>
      </c>
      <c r="D75" s="24" t="s">
        <v>282</v>
      </c>
      <c r="E75" s="15">
        <v>42639.497511574074</v>
      </c>
      <c r="F75" s="15">
        <v>42639.507824074077</v>
      </c>
      <c r="G75" s="7">
        <v>1</v>
      </c>
      <c r="H75" s="15" t="s">
        <v>463</v>
      </c>
      <c r="I75" s="15">
        <v>42639.536770833336</v>
      </c>
      <c r="J75" s="7">
        <v>0</v>
      </c>
      <c r="K75" s="117" t="str">
        <f t="shared" si="19"/>
        <v>4017/4018</v>
      </c>
      <c r="L75" s="24" t="str">
        <f>VLOOKUP(A75,'Trips&amp;Operators'!$C$1:$E$10000,3,FALSE)</f>
        <v>BARTLETT</v>
      </c>
      <c r="M75" s="6">
        <f t="shared" si="20"/>
        <v>2.8946759259270038E-2</v>
      </c>
      <c r="N75" s="7">
        <f t="shared" si="36"/>
        <v>41.683333333348855</v>
      </c>
      <c r="O75" s="7"/>
      <c r="P75" s="7"/>
      <c r="Q75" s="25"/>
      <c r="R75" s="25"/>
      <c r="S75" s="37">
        <f t="shared" si="21"/>
        <v>1</v>
      </c>
      <c r="T75" s="52" t="str">
        <f t="shared" si="22"/>
        <v>Southbound</v>
      </c>
      <c r="U75" s="15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10:56:25-0600',mode:absolute,to:'2016-09-26 13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75" s="54" t="str">
        <f t="shared" si="24"/>
        <v>N</v>
      </c>
      <c r="X75" s="164">
        <f t="shared" ref="X75:X106" si="37">VALUE(LEFT(AD75,4))-VALUE(LEFT(AD74,4))</f>
        <v>1</v>
      </c>
      <c r="Y75" s="69">
        <f t="shared" si="26"/>
        <v>23.297499999999999</v>
      </c>
      <c r="Z75" s="69">
        <f t="shared" si="27"/>
        <v>3.3599999999999998E-2</v>
      </c>
      <c r="AA75" s="69">
        <f t="shared" si="28"/>
        <v>23.2639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29"/>
        <v>0162-26</v>
      </c>
      <c r="AE75" s="95" t="str">
        <f t="shared" si="30"/>
        <v>aws s3 cp s3://rtdc.mdm.uploadarchive/RTDC4017/2016-09-26/ "%USERPROFILE%\AppData\Local\Temp\OnboardLogs"\RTDC4017\2016-09-26 --recursive &amp; "%USERPROFILE%\Documents\GitHub\mrs-test-scripts\Headless Mode &amp; Sideloading\WalkAndUnGZ.bat" "%USERPROFILE%\AppData\Local\Temp\OnboardLogs"\RTDC4017\2016-09-26 &amp; 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</v>
      </c>
      <c r="AF75" s="92" t="str">
        <f t="shared" si="31"/>
        <v>"C:\Program Files (x86)\AstroGrep\AstroGrep.exe" /spath="%USERPROFILE%\AppData\Local\Temp\OnboardLogs" /stypes="app*4017*20160926*" /stext=" 18:.+((SYSTEM_STATE.+slice.+state.+changed )|(ment ac)|(system.+state.+changed )|(\|lc)|(penalty)|(\[timeout)|(PRM\|1\|D)|(kpr)|(kdp))" /e /r /s</v>
      </c>
      <c r="AG75" s="1" t="str">
        <f t="shared" si="32"/>
        <v>EC</v>
      </c>
      <c r="AH75" s="96" t="str">
        <f t="shared" ref="AH75:AH138" si="38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162-26 --locoid 4017 --swversion DE.1.0.7.0 --startMP 204:232975 --initTime 2016-09-26T11:56:25 --startdatetime 2016-09-26T12:11:16 --delay 1 --endMP 204:336 --enddatetime 2016-09-26T12:52:57 --enforcementcount 0 &gt;&gt;C:\Users\stu\Documents\GitHub\eaglep3-reporting\EC\2016-09-26-refined-times.txt</v>
      </c>
      <c r="AI75" s="130" t="str">
        <f t="shared" ref="AI75:AI138" si="39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{"issue":{"subject":"","project_id":79,"tracker_id":40,"status_id":1,"priority_id":2,"assigned_to_id":23,"start_date":"2016-09-26","description":"","custom_fields":[{"id":1,"name":"Subdivision","value":"EC"},{"id":4,"name":"Milepost","value":"0.0336"},{"id":17,"name":"Train ID","value":"162-26"},{"id":16,"name":"Locomotive ID","value":"4017"},{"id":130,"name":"Impact","value":""},{"id":150,"name":"Time of Event (Mountain Time)","value":"12:52:57"},{"id":151,"name":"Denver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464</v>
      </c>
      <c r="B76" s="7">
        <v>4025</v>
      </c>
      <c r="C76" s="24" t="s">
        <v>106</v>
      </c>
      <c r="D76" s="24" t="s">
        <v>216</v>
      </c>
      <c r="E76" s="15">
        <v>42639.47855324074</v>
      </c>
      <c r="F76" s="15">
        <v>42639.480520833335</v>
      </c>
      <c r="G76" s="7">
        <v>2</v>
      </c>
      <c r="H76" s="15" t="s">
        <v>465</v>
      </c>
      <c r="I76" s="15">
        <v>42639.508148148147</v>
      </c>
      <c r="J76" s="7">
        <v>0</v>
      </c>
      <c r="K76" s="117" t="str">
        <f t="shared" si="19"/>
        <v>4025/4026</v>
      </c>
      <c r="L76" s="24" t="str">
        <f>VLOOKUP(A76,'Trips&amp;Operators'!$C$1:$E$10000,3,FALSE)</f>
        <v>BONDS</v>
      </c>
      <c r="M76" s="6">
        <f t="shared" si="20"/>
        <v>2.7627314811979886E-2</v>
      </c>
      <c r="N76" s="7">
        <f t="shared" si="36"/>
        <v>39.783333329251036</v>
      </c>
      <c r="O76" s="7"/>
      <c r="P76" s="7"/>
      <c r="Q76" s="25"/>
      <c r="R76" s="25"/>
      <c r="S76" s="37">
        <f t="shared" si="21"/>
        <v>1</v>
      </c>
      <c r="T76" s="52" t="str">
        <f t="shared" si="22"/>
        <v>NorthBound</v>
      </c>
      <c r="U76" s="15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2" t="str">
        <f t="shared" si="23"/>
        <v>https://search-rtdc-monitor-bjffxe2xuh6vdkpspy63sjmuny.us-east-1.es.amazonaws.com/_plugin/kibana/#/discover/Steve-Slow-Train-Analysis-(2080s-and-2083s)?_g=(refreshInterval:(display:Off,section:0,value:0),time:(from:'2016-09-26 10:29:07-0600',mode:absolute,to:'2016-09-26 13:11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76" s="54" t="str">
        <f t="shared" si="24"/>
        <v>N</v>
      </c>
      <c r="X76" s="164">
        <f t="shared" si="37"/>
        <v>1</v>
      </c>
      <c r="Y76" s="69">
        <f t="shared" si="26"/>
        <v>4.7100000000000003E-2</v>
      </c>
      <c r="Z76" s="69">
        <f t="shared" si="27"/>
        <v>23.3338</v>
      </c>
      <c r="AA76" s="69">
        <f t="shared" si="28"/>
        <v>23.2867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29"/>
        <v>0163-26</v>
      </c>
      <c r="AE76" s="95" t="str">
        <f t="shared" si="30"/>
        <v>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 &amp; aws s3 cp s3://rtdc.mdm.uploadarchive/RTDC4025/2016-09-27/ "%USERPROFILE%\AppData\Local\Temp\OnboardLogs"\RTDC4025\2016-09-27 --recursive &amp; "%USERPROFILE%\Documents\GitHub\mrs-test-scripts\Headless Mode &amp; Sideloading\WalkAndUnGZ.bat" "%USERPROFILE%\AppData\Local\Temp\OnboardLogs"\RTDC4025\2016-09-27</v>
      </c>
      <c r="AF76" s="92" t="str">
        <f t="shared" si="31"/>
        <v>"C:\Program Files (x86)\AstroGrep\AstroGrep.exe" /spath="%USERPROFILE%\AppData\Local\Temp\OnboardLogs" /stypes="app*4025*20160926*" /stext=" 18:.+((SYSTEM_STATE.+slice.+state.+changed )|(ment ac)|(system.+state.+changed )|(\|lc)|(penalty)|(\[timeout)|(PRM\|1\|D)|(kpr)|(kdp))" /e /r /s</v>
      </c>
      <c r="AG76" s="1" t="str">
        <f t="shared" si="32"/>
        <v>EC</v>
      </c>
      <c r="AH76" s="96" t="str">
        <f t="shared" si="38"/>
        <v>"%USERPROFILE%\Documents\GitHub\eaglep3\Utilities\RefineRTDCRunTimes.py" --tripid 163-26 --locoid 4025 --swversion DE.1.0.7.0 --startMP 204:471 --initTime 2016-09-26T11:29:07 --startdatetime 2016-09-26T11:31:57 --delay 2 --endMP 204:233338 --enddatetime 2016-09-26T12:11:44 --enforcementcount 0 &gt;&gt;C:\Users\stu\Documents\GitHub\eaglep3-reporting\EC\2016-09-26-refined-times.txt</v>
      </c>
      <c r="AI76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{"issue":{"subject":"","project_id":79,"tracker_id":40,"status_id":1,"priority_id":2,"assigned_to_id":23,"start_date":"2016-09-26","description":"","custom_fields":[{"id":1,"name":"Subdivision","value":"EC"},{"id":4,"name":"Milepost","value":"23.3338"},{"id":17,"name":"Train ID","value":"163-26"},{"id":16,"name":"Locomotive ID","value":"4025"},{"id":130,"name":"Impact","value":""},{"id":150,"name":"Time of Event (Mountain Time)","value":"12:11:44"},{"id":151,"name":"Denver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466</v>
      </c>
      <c r="B77" s="7">
        <v>4026</v>
      </c>
      <c r="C77" s="24" t="s">
        <v>106</v>
      </c>
      <c r="D77" s="24" t="s">
        <v>263</v>
      </c>
      <c r="E77" s="15">
        <v>42639.513425925928</v>
      </c>
      <c r="F77" s="15">
        <v>42639.519479166665</v>
      </c>
      <c r="G77" s="7">
        <v>1</v>
      </c>
      <c r="H77" s="15" t="s">
        <v>280</v>
      </c>
      <c r="I77" s="15">
        <v>42639.546597222223</v>
      </c>
      <c r="J77" s="7">
        <v>0</v>
      </c>
      <c r="K77" s="117" t="str">
        <f t="shared" ref="K77:K108" si="40">IF(ISEVEN(B77),(B77-1)&amp;"/"&amp;B77,B77&amp;"/"&amp;(B77+1))</f>
        <v>4025/4026</v>
      </c>
      <c r="L77" s="24" t="str">
        <f>VLOOKUP(A77,'Trips&amp;Operators'!$C$1:$E$10000,3,FALSE)</f>
        <v>BONDS</v>
      </c>
      <c r="M77" s="6">
        <f t="shared" ref="M77:M108" si="41">I77-F77</f>
        <v>2.7118055557366461E-2</v>
      </c>
      <c r="N77" s="7">
        <f t="shared" si="36"/>
        <v>39.050000002607703</v>
      </c>
      <c r="O77" s="7"/>
      <c r="P77" s="7"/>
      <c r="Q77" s="25"/>
      <c r="R77" s="25"/>
      <c r="S77" s="37">
        <f t="shared" ref="S77:S108" si="42">SUM(U77:U77)/IF(AG77="EC",12,1)</f>
        <v>1</v>
      </c>
      <c r="T77" s="52" t="str">
        <f t="shared" ref="T77:T108" si="43">IF(ISEVEN(LEFT(AD77,4)),"Southbound","NorthBound")</f>
        <v>Southbound</v>
      </c>
      <c r="U77" s="15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2" t="str">
        <f t="shared" ref="V77:V108" si="44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https://search-rtdc-monitor-bjffxe2xuh6vdkpspy63sjmuny.us-east-1.es.amazonaws.com/_plugin/kibana/#/discover/Steve-Slow-Train-Analysis-(2080s-and-2083s)?_g=(refreshInterval:(display:Off,section:0,value:0),time:(from:'2016-09-26 11:19:20-0600',mode:absolute,to:'2016-09-26 14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77" s="54" t="str">
        <f t="shared" ref="W77:W108" si="45">IF(AA77&lt;IF(AG77="EC",23,5.65),"Y","N")</f>
        <v>N</v>
      </c>
      <c r="X77" s="164">
        <f t="shared" si="37"/>
        <v>1</v>
      </c>
      <c r="Y77" s="69">
        <f t="shared" ref="Y77:Y108" si="46">RIGHT(D77,LEN(D77)-4)/10000</f>
        <v>23.299800000000001</v>
      </c>
      <c r="Z77" s="69">
        <f t="shared" ref="Z77:Z108" si="47">RIGHT(H77,LEN(H77)-4)/10000</f>
        <v>1.43E-2</v>
      </c>
      <c r="AA77" s="69">
        <f t="shared" ref="AA77:AA108" si="48">ABS(Z77-Y77)</f>
        <v>23.285500000000003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108" si="49">IF(LEN(A77)=6,"0"&amp;A77,A77)</f>
        <v>0164-26</v>
      </c>
      <c r="AE77" s="95" t="str">
        <f t="shared" ref="AE77:AE108" si="50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 &amp; 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</v>
      </c>
      <c r="AF77" s="92" t="str">
        <f t="shared" ref="AF77:AF108" si="51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/stypes="app*4026*20160926*" /stext=" 19:.+((SYSTEM_STATE.+slice.+state.+changed )|(ment ac)|(system.+state.+changed )|(\|lc)|(penalty)|(\[timeout)|(PRM\|1\|D)|(kpr)|(kdp))" /e /r /s</v>
      </c>
      <c r="AG77" s="1" t="str">
        <f t="shared" ref="AG77:AG108" si="52">IFERROR(IF(VALUE(LEFT(AD77,2))&lt;=2,"EC",IF(OR(VALUE(LEFT(AD77,2))=8,VALUE(LEFT(AD77,2))=18),"NW","Other")),"Other")</f>
        <v>EC</v>
      </c>
      <c r="AH77" s="96" t="str">
        <f t="shared" si="38"/>
        <v>"%USERPROFILE%\Documents\GitHub\eaglep3\Utilities\RefineRTDCRunTimes.py" --tripid 164-26 --locoid 4026 --swversion DE.1.0.7.0 --startMP 204:232998 --initTime 2016-09-26T12:19:20 --startdatetime 2016-09-26T12:28:03 --delay 1 --endMP 204:143 --enddatetime 2016-09-26T13:07:06 --enforcementcount 0 &gt;&gt;C:\Users\stu\Documents\GitHub\eaglep3-reporting\EC\2016-09-26-refined-times.txt</v>
      </c>
      <c r="AI77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{"issue":{"subject":"","project_id":79,"tracker_id":40,"status_id":1,"priority_id":2,"assigned_to_id":23,"start_date":"2016-09-26","description":"","custom_fields":[{"id":1,"name":"Subdivision","value":"EC"},{"id":4,"name":"Milepost","value":"0.0143"},{"id":17,"name":"Train ID","value":"164-26"},{"id":16,"name":"Locomotive ID","value":"4026"},{"id":130,"name":"Impact","value":""},{"id":150,"name":"Time of Event (Mountain Time)","value":"13:07:06"},{"id":151,"name":"Denver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467</v>
      </c>
      <c r="B78" s="7">
        <v>4016</v>
      </c>
      <c r="C78" s="24" t="s">
        <v>106</v>
      </c>
      <c r="D78" s="24" t="s">
        <v>468</v>
      </c>
      <c r="E78" s="15">
        <v>42639.493634259263</v>
      </c>
      <c r="F78" s="15">
        <v>42639.494675925926</v>
      </c>
      <c r="G78" s="7">
        <v>0</v>
      </c>
      <c r="H78" s="15" t="s">
        <v>302</v>
      </c>
      <c r="I78" s="15">
        <v>42639.521689814814</v>
      </c>
      <c r="J78" s="7">
        <v>0</v>
      </c>
      <c r="K78" s="117" t="str">
        <f t="shared" si="40"/>
        <v>4015/4016</v>
      </c>
      <c r="L78" s="24" t="str">
        <f>VLOOKUP(A78,'Trips&amp;Operators'!$C$1:$E$10000,3,FALSE)</f>
        <v>CLARK</v>
      </c>
      <c r="M78" s="6">
        <f t="shared" si="41"/>
        <v>2.7013888888177462E-2</v>
      </c>
      <c r="N78" s="7"/>
      <c r="O78" s="7"/>
      <c r="P78" s="7">
        <f>24*60*SUM($M78:$M78)</f>
        <v>38.899999998975545</v>
      </c>
      <c r="Q78" s="25"/>
      <c r="R78" s="25" t="s">
        <v>724</v>
      </c>
      <c r="S78" s="37">
        <f t="shared" si="42"/>
        <v>1</v>
      </c>
      <c r="T78" s="52" t="str">
        <f t="shared" si="43"/>
        <v>NorthBound</v>
      </c>
      <c r="U78" s="15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10:50:50-0600',mode:absolute,to:'2016-09-26 13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78" s="54" t="str">
        <f t="shared" si="45"/>
        <v>Y</v>
      </c>
      <c r="X78" s="164">
        <f t="shared" si="37"/>
        <v>1</v>
      </c>
      <c r="Y78" s="69">
        <f t="shared" si="46"/>
        <v>1.9113</v>
      </c>
      <c r="Z78" s="69">
        <f t="shared" si="47"/>
        <v>23.330100000000002</v>
      </c>
      <c r="AA78" s="69">
        <f t="shared" si="48"/>
        <v>21.418800000000001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49"/>
        <v>0165-26</v>
      </c>
      <c r="AE78" s="95" t="str">
        <f t="shared" si="50"/>
        <v>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 &amp; 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</v>
      </c>
      <c r="AF78" s="92" t="str">
        <f t="shared" si="51"/>
        <v>"C:\Program Files (x86)\AstroGrep\AstroGrep.exe" /spath="%USERPROFILE%\AppData\Local\Temp\OnboardLogs" /stypes="app*4016*20160926*" /stext=" 18:.+((SYSTEM_STATE.+slice.+state.+changed )|(ment ac)|(system.+state.+changed )|(\|lc)|(penalty)|(\[timeout)|(PRM\|1\|D)|(kpr)|(kdp))" /e /r /s</v>
      </c>
      <c r="AG78" s="1" t="str">
        <f t="shared" si="52"/>
        <v>EC</v>
      </c>
      <c r="AH78" s="96" t="str">
        <f t="shared" si="38"/>
        <v>"%USERPROFILE%\Documents\GitHub\eaglep3\Utilities\RefineRTDCRunTimes.py" --tripid 165-26 --locoid 4016 --swversion DE.1.0.7.0 --startMP 204:19113 --initTime 2016-09-26T11:50:50 --startdatetime 2016-09-26T11:52:20 --delay 0 --endMP 204:233301 --enddatetime 2016-09-26T12:31:14 --enforcementcount 0 &gt;&gt;C:\Users\stu\Documents\GitHub\eaglep3-reporting\EC\2016-09-26-refined-times.txt</v>
      </c>
      <c r="AI78" s="130" t="str">
        <f t="shared" si="39"/>
        <v>echo {"issue":{"subject":"Dispatcher error - prevented init at DUS","project_id":79,"tracker_id":40,"status_id":1,"priority_id":2,"assigned_to_id":23,"start_date":"2016-09-26","description":"Several failed attempts to init from 11:40 - 11:50","custom_fields":[{"id":1,"name":"Subdivision","value":"EC"},{"id":4,"name":"Milepost","value":"23.3301"},{"id":17,"name":"Train ID","value":"165-26"},{"id":16,"name":"Locomotive ID","value":"4016"},{"id":130,"name":"Impact","value":"Initialization Problem"},{"id":150,"name":"Time of Event (Mountain Time)","value":"12:31:14"},{"id":151,"name":"Denver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78" s="55" t="s">
        <v>725</v>
      </c>
      <c r="AK78" s="55" t="s">
        <v>146</v>
      </c>
      <c r="AL78" s="55" t="s">
        <v>156</v>
      </c>
    </row>
    <row r="79" spans="1:38" s="1" customFormat="1" x14ac:dyDescent="0.25">
      <c r="A79" s="39" t="s">
        <v>469</v>
      </c>
      <c r="B79" s="7">
        <v>4015</v>
      </c>
      <c r="C79" s="24" t="s">
        <v>106</v>
      </c>
      <c r="D79" s="24" t="s">
        <v>333</v>
      </c>
      <c r="E79" s="15">
        <v>42639.525543981479</v>
      </c>
      <c r="F79" s="15">
        <v>42639.528657407405</v>
      </c>
      <c r="G79" s="7">
        <v>1</v>
      </c>
      <c r="H79" s="15" t="s">
        <v>247</v>
      </c>
      <c r="I79" s="15">
        <v>42639.557557870372</v>
      </c>
      <c r="J79" s="7">
        <v>0</v>
      </c>
      <c r="K79" s="117" t="str">
        <f t="shared" si="40"/>
        <v>4015/4016</v>
      </c>
      <c r="L79" s="24" t="str">
        <f>VLOOKUP(A79,'Trips&amp;Operators'!$C$1:$E$10000,3,FALSE)</f>
        <v>CLARK</v>
      </c>
      <c r="M79" s="6">
        <f t="shared" si="41"/>
        <v>2.8900462966703344E-2</v>
      </c>
      <c r="N79" s="7">
        <f t="shared" ref="N79:N113" si="53">24*60*SUM($M79:$M79)</f>
        <v>41.616666672052816</v>
      </c>
      <c r="O79" s="7"/>
      <c r="P79" s="7"/>
      <c r="Q79" s="25"/>
      <c r="R79" s="25"/>
      <c r="S79" s="37">
        <f t="shared" si="42"/>
        <v>1</v>
      </c>
      <c r="T79" s="52" t="str">
        <f t="shared" si="43"/>
        <v>Southbound</v>
      </c>
      <c r="U79" s="15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11:36:47-0600',mode:absolute,to:'2016-09-26 14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79" s="54" t="str">
        <f t="shared" si="45"/>
        <v>N</v>
      </c>
      <c r="X79" s="164">
        <f t="shared" si="37"/>
        <v>1</v>
      </c>
      <c r="Y79" s="69">
        <f t="shared" si="46"/>
        <v>23.296099999999999</v>
      </c>
      <c r="Z79" s="69">
        <f t="shared" si="47"/>
        <v>1.5599999999999999E-2</v>
      </c>
      <c r="AA79" s="69">
        <f t="shared" si="48"/>
        <v>23.2805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49"/>
        <v>0166-26</v>
      </c>
      <c r="AE79" s="95" t="str">
        <f t="shared" si="50"/>
        <v>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 &amp; 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</v>
      </c>
      <c r="AF79" s="92" t="str">
        <f t="shared" si="51"/>
        <v>"C:\Program Files (x86)\AstroGrep\AstroGrep.exe" /spath="%USERPROFILE%\AppData\Local\Temp\OnboardLogs" /stypes="app*4015*20160926*" /stext=" 19:.+((SYSTEM_STATE.+slice.+state.+changed )|(ment ac)|(system.+state.+changed )|(\|lc)|(penalty)|(\[timeout)|(PRM\|1\|D)|(kpr)|(kdp))" /e /r /s</v>
      </c>
      <c r="AG79" s="1" t="str">
        <f t="shared" si="52"/>
        <v>EC</v>
      </c>
      <c r="AH79" s="96" t="str">
        <f t="shared" si="38"/>
        <v>"%USERPROFILE%\Documents\GitHub\eaglep3\Utilities\RefineRTDCRunTimes.py" --tripid 166-26 --locoid 4015 --swversion DE.1.0.7.0 --startMP 204:232961 --initTime 2016-09-26T12:36:47 --startdatetime 2016-09-26T12:41:16 --delay 1 --endMP 204:156 --enddatetime 2016-09-26T13:22:53 --enforcementcount 0 &gt;&gt;C:\Users\stu\Documents\GitHub\eaglep3-reporting\EC\2016-09-26-refined-times.txt</v>
      </c>
      <c r="AI79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{"issue":{"subject":"","project_id":79,"tracker_id":40,"status_id":1,"priority_id":2,"assigned_to_id":23,"start_date":"2016-09-26","description":"","custom_fields":[{"id":1,"name":"Subdivision","value":"EC"},{"id":4,"name":"Milepost","value":"0.0156"},{"id":17,"name":"Train ID","value":"166-26"},{"id":16,"name":"Locomotive ID","value":"4015"},{"id":130,"name":"Impact","value":""},{"id":150,"name":"Time of Event (Mountain Time)","value":"13:22:53"},{"id":151,"name":"Denver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470</v>
      </c>
      <c r="B80" s="7">
        <v>4007</v>
      </c>
      <c r="C80" s="24" t="s">
        <v>106</v>
      </c>
      <c r="D80" s="24" t="s">
        <v>225</v>
      </c>
      <c r="E80" s="15">
        <v>42639.498194444444</v>
      </c>
      <c r="F80" s="15">
        <v>42639.500289351854</v>
      </c>
      <c r="G80" s="7">
        <v>1</v>
      </c>
      <c r="H80" s="15" t="s">
        <v>258</v>
      </c>
      <c r="I80" s="15">
        <v>42639.533078703702</v>
      </c>
      <c r="J80" s="7">
        <v>0</v>
      </c>
      <c r="K80" s="117" t="str">
        <f t="shared" si="40"/>
        <v>4007/4008</v>
      </c>
      <c r="L80" s="24" t="str">
        <f>VLOOKUP(A80,'Trips&amp;Operators'!$C$1:$E$10000,3,FALSE)</f>
        <v>YOUNG</v>
      </c>
      <c r="M80" s="6">
        <f t="shared" si="41"/>
        <v>3.2789351847895887E-2</v>
      </c>
      <c r="N80" s="7">
        <f t="shared" si="53"/>
        <v>47.216666660970077</v>
      </c>
      <c r="O80" s="7"/>
      <c r="P80" s="7"/>
      <c r="Q80" s="25"/>
      <c r="R80" s="25"/>
      <c r="S80" s="37">
        <f t="shared" si="42"/>
        <v>1</v>
      </c>
      <c r="T80" s="52" t="str">
        <f t="shared" si="43"/>
        <v>NorthBound</v>
      </c>
      <c r="U80" s="15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10:57:24-0600',mode:absolute,to:'2016-09-26 13:47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80" s="54" t="str">
        <f t="shared" si="45"/>
        <v>N</v>
      </c>
      <c r="X80" s="164">
        <f t="shared" si="37"/>
        <v>1</v>
      </c>
      <c r="Y80" s="69">
        <f t="shared" si="46"/>
        <v>4.6600000000000003E-2</v>
      </c>
      <c r="Z80" s="69">
        <f t="shared" si="47"/>
        <v>23.331199999999999</v>
      </c>
      <c r="AA80" s="69">
        <f t="shared" si="48"/>
        <v>23.284599999999998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49"/>
        <v>0167-26</v>
      </c>
      <c r="AE80" s="95" t="str">
        <f t="shared" si="50"/>
        <v>aws s3 cp s3://rtdc.mdm.uploadarchive/RTDC4007/2016-09-26/ "%USERPROFILE%\AppData\Local\Temp\OnboardLogs"\RTDC4007\2016-09-26 --recursive &amp; "%USERPROFILE%\Documents\GitHub\mrs-test-scripts\Headless Mode &amp; Sideloading\WalkAndUnGZ.bat" "%USERPROFILE%\AppData\Local\Temp\OnboardLogs"\RTDC4007\2016-09-26 &amp; aws s3 cp s3://rtdc.mdm.uploadarchive/RTDC4007/2016-09-27/ "%USERPROFILE%\AppData\Local\Temp\OnboardLogs"\RTDC4007\2016-09-27 --recursive &amp; "%USERPROFILE%\Documents\GitHub\mrs-test-scripts\Headless Mode &amp; Sideloading\WalkAndUnGZ.bat" "%USERPROFILE%\AppData\Local\Temp\OnboardLogs"\RTDC4007\2016-09-27</v>
      </c>
      <c r="AF80" s="92" t="str">
        <f t="shared" si="51"/>
        <v>"C:\Program Files (x86)\AstroGrep\AstroGrep.exe" /spath="%USERPROFILE%\AppData\Local\Temp\OnboardLogs" /stypes="app*4007*20160926*" /stext=" 18:.+((SYSTEM_STATE.+slice.+state.+changed )|(ment ac)|(system.+state.+changed )|(\|lc)|(penalty)|(\[timeout)|(PRM\|1\|D)|(kpr)|(kdp))" /e /r /s</v>
      </c>
      <c r="AG80" s="1" t="str">
        <f t="shared" si="52"/>
        <v>EC</v>
      </c>
      <c r="AH80" s="96" t="str">
        <f t="shared" si="38"/>
        <v>"%USERPROFILE%\Documents\GitHub\eaglep3\Utilities\RefineRTDCRunTimes.py" --tripid 167-26 --locoid 4007 --swversion DE.1.0.7.0 --startMP 204:466 --initTime 2016-09-26T11:57:24 --startdatetime 2016-09-26T12:00:25 --delay 1 --endMP 204:233312 --enddatetime 2016-09-26T12:47:38 --enforcementcount 0 &gt;&gt;C:\Users\stu\Documents\GitHub\eaglep3-reporting\EC\2016-09-26-refined-times.txt</v>
      </c>
      <c r="AI80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{"issue":{"subject":"","project_id":79,"tracker_id":40,"status_id":1,"priority_id":2,"assigned_to_id":23,"start_date":"2016-09-26","description":"","custom_fields":[{"id":1,"name":"Subdivision","value":"EC"},{"id":4,"name":"Milepost","value":"23.3312"},{"id":17,"name":"Train ID","value":"167-26"},{"id":16,"name":"Locomotive ID","value":"4007"},{"id":130,"name":"Impact","value":""},{"id":150,"name":"Time of Event (Mountain Time)","value":"12:47:38"},{"id":151,"name":"Denver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471</v>
      </c>
      <c r="B81" s="7">
        <v>4008</v>
      </c>
      <c r="C81" s="24" t="s">
        <v>106</v>
      </c>
      <c r="D81" s="24" t="s">
        <v>472</v>
      </c>
      <c r="E81" s="15">
        <v>42639.536412037036</v>
      </c>
      <c r="F81" s="15">
        <v>42639.539456018516</v>
      </c>
      <c r="G81" s="7">
        <v>2</v>
      </c>
      <c r="H81" s="15" t="s">
        <v>233</v>
      </c>
      <c r="I81" s="15">
        <v>42639.567662037036</v>
      </c>
      <c r="J81" s="7">
        <v>0</v>
      </c>
      <c r="K81" s="117" t="str">
        <f t="shared" si="40"/>
        <v>4007/4008</v>
      </c>
      <c r="L81" s="24" t="str">
        <f>VLOOKUP(A81,'Trips&amp;Operators'!$C$1:$E$10000,3,FALSE)</f>
        <v>YOUNG</v>
      </c>
      <c r="M81" s="6">
        <f t="shared" si="41"/>
        <v>2.8206018519995268E-2</v>
      </c>
      <c r="N81" s="7">
        <f t="shared" si="53"/>
        <v>40.616666668793187</v>
      </c>
      <c r="O81" s="7"/>
      <c r="P81" s="7"/>
      <c r="Q81" s="25"/>
      <c r="R81" s="25"/>
      <c r="S81" s="37">
        <f t="shared" si="42"/>
        <v>1</v>
      </c>
      <c r="T81" s="52" t="str">
        <f t="shared" si="43"/>
        <v>Southbound</v>
      </c>
      <c r="U81" s="15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11:52:26-0600',mode:absolute,to:'2016-09-26 14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81" s="54" t="str">
        <f t="shared" si="45"/>
        <v>N</v>
      </c>
      <c r="X81" s="164">
        <f t="shared" si="37"/>
        <v>1</v>
      </c>
      <c r="Y81" s="69">
        <f t="shared" si="46"/>
        <v>23.298100000000002</v>
      </c>
      <c r="Z81" s="69">
        <f t="shared" si="47"/>
        <v>1.38E-2</v>
      </c>
      <c r="AA81" s="69">
        <f t="shared" si="48"/>
        <v>23.284300000000002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49"/>
        <v>0168-26</v>
      </c>
      <c r="AE81" s="95" t="str">
        <f t="shared" si="50"/>
        <v>aws s3 cp s3://rtdc.mdm.uploadarchive/RTDC4008/2016-09-26/ "%USERPROFILE%\AppData\Local\Temp\OnboardLogs"\RTDC4008\2016-09-26 --recursive &amp; "%USERPROFILE%\Documents\GitHub\mrs-test-scripts\Headless Mode &amp; Sideloading\WalkAndUnGZ.bat" "%USERPROFILE%\AppData\Local\Temp\OnboardLogs"\RTDC4008\2016-09-26 &amp; aws s3 cp s3://rtdc.mdm.uploadarchive/RTDC4008/2016-09-27/ "%USERPROFILE%\AppData\Local\Temp\OnboardLogs"\RTDC4008\2016-09-27 --recursive &amp; "%USERPROFILE%\Documents\GitHub\mrs-test-scripts\Headless Mode &amp; Sideloading\WalkAndUnGZ.bat" "%USERPROFILE%\AppData\Local\Temp\OnboardLogs"\RTDC4008\2016-09-27</v>
      </c>
      <c r="AF81" s="92" t="str">
        <f t="shared" si="51"/>
        <v>"C:\Program Files (x86)\AstroGrep\AstroGrep.exe" /spath="%USERPROFILE%\AppData\Local\Temp\OnboardLogs" /stypes="app*4008*20160926*" /stext=" 19:.+((SYSTEM_STATE.+slice.+state.+changed )|(ment ac)|(system.+state.+changed )|(\|lc)|(penalty)|(\[timeout)|(PRM\|1\|D)|(kpr)|(kdp))" /e /r /s</v>
      </c>
      <c r="AG81" s="1" t="str">
        <f t="shared" si="52"/>
        <v>EC</v>
      </c>
      <c r="AH81" s="96" t="str">
        <f t="shared" si="38"/>
        <v>"%USERPROFILE%\Documents\GitHub\eaglep3\Utilities\RefineRTDCRunTimes.py" --tripid 168-26 --locoid 4008 --swversion DE.1.0.7.0 --startMP 204:232981 --initTime 2016-09-26T12:52:26 --startdatetime 2016-09-26T12:56:49 --delay 2 --endMP 204:138 --enddatetime 2016-09-26T13:37:26 --enforcementcount 0 &gt;&gt;C:\Users\stu\Documents\GitHub\eaglep3-reporting\EC\2016-09-26-refined-times.txt</v>
      </c>
      <c r="AI81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{"issue":{"subject":"","project_id":79,"tracker_id":40,"status_id":1,"priority_id":2,"assigned_to_id":23,"start_date":"2016-09-26","description":"","custom_fields":[{"id":1,"name":"Subdivision","value":"EC"},{"id":4,"name":"Milepost","value":"0.0138"},{"id":17,"name":"Train ID","value":"168-26"},{"id":16,"name":"Locomotive ID","value":"4008"},{"id":130,"name":"Impact","value":""},{"id":150,"name":"Time of Event (Mountain Time)","value":"13:37:26"},{"id":151,"name":"Denver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473</v>
      </c>
      <c r="B82" s="7">
        <v>4014</v>
      </c>
      <c r="C82" s="24" t="s">
        <v>106</v>
      </c>
      <c r="D82" s="24" t="s">
        <v>226</v>
      </c>
      <c r="E82" s="15">
        <v>42639.51152777778</v>
      </c>
      <c r="F82" s="15">
        <v>42639.51462962963</v>
      </c>
      <c r="G82" s="7">
        <v>3</v>
      </c>
      <c r="H82" s="15" t="s">
        <v>284</v>
      </c>
      <c r="I82" s="15">
        <v>42639.543391203704</v>
      </c>
      <c r="J82" s="7">
        <v>0</v>
      </c>
      <c r="K82" s="117" t="str">
        <f t="shared" si="40"/>
        <v>4013/4014</v>
      </c>
      <c r="L82" s="24" t="str">
        <f>VLOOKUP(A82,'Trips&amp;Operators'!$C$1:$E$10000,3,FALSE)</f>
        <v>HELVIE</v>
      </c>
      <c r="M82" s="6">
        <f t="shared" si="41"/>
        <v>2.8761574074451346E-2</v>
      </c>
      <c r="N82" s="7">
        <f t="shared" si="53"/>
        <v>41.416666667209938</v>
      </c>
      <c r="O82" s="7"/>
      <c r="P82" s="7"/>
      <c r="Q82" s="25"/>
      <c r="R82" s="25"/>
      <c r="S82" s="37">
        <f t="shared" si="42"/>
        <v>1</v>
      </c>
      <c r="T82" s="52" t="str">
        <f t="shared" si="43"/>
        <v>NorthBound</v>
      </c>
      <c r="U82" s="15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11:16:36-0600',mode:absolute,to:'2016-09-26 14:02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82" s="54" t="str">
        <f t="shared" si="45"/>
        <v>N</v>
      </c>
      <c r="X82" s="164">
        <f t="shared" si="37"/>
        <v>1</v>
      </c>
      <c r="Y82" s="69">
        <f t="shared" si="46"/>
        <v>4.5100000000000001E-2</v>
      </c>
      <c r="Z82" s="69">
        <f t="shared" si="47"/>
        <v>23.329899999999999</v>
      </c>
      <c r="AA82" s="69">
        <f t="shared" si="48"/>
        <v>23.284799999999997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49"/>
        <v>0169-26</v>
      </c>
      <c r="AE82" s="95" t="str">
        <f t="shared" si="50"/>
        <v>aws s3 cp s3://rtdc.mdm.uploadarchive/RTDC4014/2016-09-26/ "%USERPROFILE%\AppData\Local\Temp\OnboardLogs"\RTDC4014\2016-09-26 --recursive &amp; "%USERPROFILE%\Documents\GitHub\mrs-test-scripts\Headless Mode &amp; Sideloading\WalkAndUnGZ.bat" "%USERPROFILE%\AppData\Local\Temp\OnboardLogs"\RTDC4014\2016-09-26 &amp; 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</v>
      </c>
      <c r="AF82" s="92" t="str">
        <f t="shared" si="51"/>
        <v>"C:\Program Files (x86)\AstroGrep\AstroGrep.exe" /spath="%USERPROFILE%\AppData\Local\Temp\OnboardLogs" /stypes="app*4014*20160926*" /stext=" 19:.+((SYSTEM_STATE.+slice.+state.+changed )|(ment ac)|(system.+state.+changed )|(\|lc)|(penalty)|(\[timeout)|(PRM\|1\|D)|(kpr)|(kdp))" /e /r /s</v>
      </c>
      <c r="AG82" s="1" t="str">
        <f t="shared" si="52"/>
        <v>EC</v>
      </c>
      <c r="AH82" s="96" t="str">
        <f t="shared" si="38"/>
        <v>"%USERPROFILE%\Documents\GitHub\eaglep3\Utilities\RefineRTDCRunTimes.py" --tripid 169-26 --locoid 4014 --swversion DE.1.0.7.0 --startMP 204:451 --initTime 2016-09-26T12:16:36 --startdatetime 2016-09-26T12:21:04 --delay 3 --endMP 204:233299 --enddatetime 2016-09-26T13:02:29 --enforcementcount 0 &gt;&gt;C:\Users\stu\Documents\GitHub\eaglep3-reporting\EC\2016-09-26-refined-times.txt</v>
      </c>
      <c r="AI82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{"issue":{"subject":"","project_id":79,"tracker_id":40,"status_id":1,"priority_id":2,"assigned_to_id":23,"start_date":"2016-09-26","description":"","custom_fields":[{"id":1,"name":"Subdivision","value":"EC"},{"id":4,"name":"Milepost","value":"23.3299"},{"id":17,"name":"Train ID","value":"169-26"},{"id":16,"name":"Locomotive ID","value":"4014"},{"id":130,"name":"Impact","value":""},{"id":150,"name":"Time of Event (Mountain Time)","value":"13:02:29"},{"id":151,"name":"Denver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474</v>
      </c>
      <c r="B83" s="7">
        <v>4013</v>
      </c>
      <c r="C83" s="24" t="s">
        <v>106</v>
      </c>
      <c r="D83" s="24" t="s">
        <v>273</v>
      </c>
      <c r="E83" s="15">
        <v>42639.545057870368</v>
      </c>
      <c r="F83" s="15">
        <v>42639.549733796295</v>
      </c>
      <c r="G83" s="7">
        <v>3</v>
      </c>
      <c r="H83" s="15" t="s">
        <v>410</v>
      </c>
      <c r="I83" s="15">
        <v>42639.577002314814</v>
      </c>
      <c r="J83" s="7">
        <v>0</v>
      </c>
      <c r="K83" s="117" t="str">
        <f t="shared" si="40"/>
        <v>4013/4014</v>
      </c>
      <c r="L83" s="24" t="str">
        <f>VLOOKUP(A83,'Trips&amp;Operators'!$C$1:$E$10000,3,FALSE)</f>
        <v>HELVIE</v>
      </c>
      <c r="M83" s="6">
        <f t="shared" si="41"/>
        <v>2.7268518519122154E-2</v>
      </c>
      <c r="N83" s="7">
        <f t="shared" si="53"/>
        <v>39.266666667535901</v>
      </c>
      <c r="O83" s="7"/>
      <c r="P83" s="7"/>
      <c r="Q83" s="25"/>
      <c r="R83" s="25"/>
      <c r="S83" s="37">
        <f t="shared" si="42"/>
        <v>1</v>
      </c>
      <c r="T83" s="52" t="str">
        <f t="shared" si="43"/>
        <v>Southbound</v>
      </c>
      <c r="U83" s="15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12:04:53-0600',mode:absolute,to:'2016-09-26 14:50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83" s="54" t="str">
        <f t="shared" si="45"/>
        <v>N</v>
      </c>
      <c r="X83" s="164">
        <f t="shared" si="37"/>
        <v>1</v>
      </c>
      <c r="Y83" s="69">
        <f t="shared" si="46"/>
        <v>23.2973</v>
      </c>
      <c r="Z83" s="69">
        <f t="shared" si="47"/>
        <v>1.7000000000000001E-2</v>
      </c>
      <c r="AA83" s="69">
        <f t="shared" si="48"/>
        <v>23.2803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49"/>
        <v>0170-26</v>
      </c>
      <c r="AE83" s="95" t="str">
        <f t="shared" si="50"/>
        <v>aws s3 cp s3://rtdc.mdm.uploadarchive/RTDC4013/2016-09-26/ "%USERPROFILE%\AppData\Local\Temp\OnboardLogs"\RTDC4013\2016-09-26 --recursive &amp; "%USERPROFILE%\Documents\GitHub\mrs-test-scripts\Headless Mode &amp; Sideloading\WalkAndUnGZ.bat" "%USERPROFILE%\AppData\Local\Temp\OnboardLogs"\RTDC4013\2016-09-26 &amp; 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</v>
      </c>
      <c r="AF83" s="92" t="str">
        <f t="shared" si="51"/>
        <v>"C:\Program Files (x86)\AstroGrep\AstroGrep.exe" /spath="%USERPROFILE%\AppData\Local\Temp\OnboardLogs" /stypes="app*4013*20160926*" /stext=" 19:.+((SYSTEM_STATE.+slice.+state.+changed )|(ment ac)|(system.+state.+changed )|(\|lc)|(penalty)|(\[timeout)|(PRM\|1\|D)|(kpr)|(kdp))" /e /r /s</v>
      </c>
      <c r="AG83" s="1" t="str">
        <f t="shared" si="52"/>
        <v>EC</v>
      </c>
      <c r="AH83" s="96" t="str">
        <f t="shared" si="38"/>
        <v>"%USERPROFILE%\Documents\GitHub\eaglep3\Utilities\RefineRTDCRunTimes.py" --tripid 170-26 --locoid 4013 --swversion DE.1.0.7.0 --startMP 204:232973 --initTime 2016-09-26T13:04:53 --startdatetime 2016-09-26T13:11:37 --delay 3 --endMP 204:170 --enddatetime 2016-09-26T13:50:53 --enforcementcount 0 &gt;&gt;C:\Users\stu\Documents\GitHub\eaglep3-reporting\EC\2016-09-26-refined-times.txt</v>
      </c>
      <c r="AI83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{"issue":{"subject":"","project_id":79,"tracker_id":40,"status_id":1,"priority_id":2,"assigned_to_id":23,"start_date":"2016-09-26","description":"","custom_fields":[{"id":1,"name":"Subdivision","value":"EC"},{"id":4,"name":"Milepost","value":"0.017"},{"id":17,"name":"Train ID","value":"170-26"},{"id":16,"name":"Locomotive ID","value":"4013"},{"id":130,"name":"Impact","value":""},{"id":150,"name":"Time of Event (Mountain Time)","value":"13:50:53"},{"id":151,"name":"Denver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475</v>
      </c>
      <c r="B84" s="7">
        <v>4011</v>
      </c>
      <c r="C84" s="24" t="s">
        <v>106</v>
      </c>
      <c r="D84" s="24" t="s">
        <v>318</v>
      </c>
      <c r="E84" s="15">
        <v>42639.521493055552</v>
      </c>
      <c r="F84" s="15">
        <v>42639.52375</v>
      </c>
      <c r="G84" s="7">
        <v>2</v>
      </c>
      <c r="H84" s="15" t="s">
        <v>258</v>
      </c>
      <c r="I84" s="15">
        <v>42639.553113425929</v>
      </c>
      <c r="J84" s="7">
        <v>0</v>
      </c>
      <c r="K84" s="117" t="str">
        <f t="shared" si="40"/>
        <v>4011/4012</v>
      </c>
      <c r="L84" s="24" t="str">
        <f>VLOOKUP(A84,'Trips&amp;Operators'!$C$1:$E$10000,3,FALSE)</f>
        <v>OUN</v>
      </c>
      <c r="M84" s="6">
        <f t="shared" si="41"/>
        <v>2.9363425928750075E-2</v>
      </c>
      <c r="N84" s="7">
        <f t="shared" si="53"/>
        <v>42.283333337400109</v>
      </c>
      <c r="O84" s="7"/>
      <c r="P84" s="7"/>
      <c r="Q84" s="25"/>
      <c r="R84" s="25"/>
      <c r="S84" s="37">
        <f t="shared" si="42"/>
        <v>1</v>
      </c>
      <c r="T84" s="52" t="str">
        <f t="shared" si="43"/>
        <v>NorthBound</v>
      </c>
      <c r="U84" s="15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11:30:57-0600',mode:absolute,to:'2016-09-26 14:16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84" s="54" t="str">
        <f t="shared" si="45"/>
        <v>N</v>
      </c>
      <c r="X84" s="164">
        <f t="shared" si="37"/>
        <v>1</v>
      </c>
      <c r="Y84" s="69">
        <f t="shared" si="46"/>
        <v>4.7300000000000002E-2</v>
      </c>
      <c r="Z84" s="69">
        <f t="shared" si="47"/>
        <v>23.331199999999999</v>
      </c>
      <c r="AA84" s="69">
        <f t="shared" si="48"/>
        <v>23.283899999999999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 t="shared" si="49"/>
        <v>0171-26</v>
      </c>
      <c r="AE84" s="95" t="str">
        <f t="shared" si="50"/>
        <v>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 &amp; 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</v>
      </c>
      <c r="AF84" s="92" t="str">
        <f t="shared" si="51"/>
        <v>"C:\Program Files (x86)\AstroGrep\AstroGrep.exe" /spath="%USERPROFILE%\AppData\Local\Temp\OnboardLogs" /stypes="app*4011*20160926*" /stext=" 19:.+((SYSTEM_STATE.+slice.+state.+changed )|(ment ac)|(system.+state.+changed )|(\|lc)|(penalty)|(\[timeout)|(PRM\|1\|D)|(kpr)|(kdp))" /e /r /s</v>
      </c>
      <c r="AG84" s="1" t="str">
        <f t="shared" si="52"/>
        <v>EC</v>
      </c>
      <c r="AH84" s="96" t="str">
        <f t="shared" si="38"/>
        <v>"%USERPROFILE%\Documents\GitHub\eaglep3\Utilities\RefineRTDCRunTimes.py" --tripid 171-26 --locoid 4011 --swversion DE.1.0.7.0 --startMP 204:473 --initTime 2016-09-26T12:30:57 --startdatetime 2016-09-26T12:34:12 --delay 2 --endMP 204:233312 --enddatetime 2016-09-26T13:16:29 --enforcementcount 0 &gt;&gt;C:\Users\stu\Documents\GitHub\eaglep3-reporting\EC\2016-09-26-refined-times.txt</v>
      </c>
      <c r="AI84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{"issue":{"subject":"","project_id":79,"tracker_id":40,"status_id":1,"priority_id":2,"assigned_to_id":23,"start_date":"2016-09-26","description":"","custom_fields":[{"id":1,"name":"Subdivision","value":"EC"},{"id":4,"name":"Milepost","value":"23.3312"},{"id":17,"name":"Train ID","value":"171-26"},{"id":16,"name":"Locomotive ID","value":"4011"},{"id":130,"name":"Impact","value":""},{"id":150,"name":"Time of Event (Mountain Time)","value":"13:16:29"},{"id":151,"name":"Denver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476</v>
      </c>
      <c r="B85" s="7">
        <v>4012</v>
      </c>
      <c r="C85" s="24" t="s">
        <v>106</v>
      </c>
      <c r="D85" s="24" t="s">
        <v>234</v>
      </c>
      <c r="E85" s="15">
        <v>42639.556643518517</v>
      </c>
      <c r="F85" s="15">
        <v>42639.559942129628</v>
      </c>
      <c r="G85" s="7">
        <v>1</v>
      </c>
      <c r="H85" s="15" t="s">
        <v>127</v>
      </c>
      <c r="I85" s="15">
        <v>42639.587881944448</v>
      </c>
      <c r="J85" s="7">
        <v>0</v>
      </c>
      <c r="K85" s="117" t="str">
        <f t="shared" si="40"/>
        <v>4011/4012</v>
      </c>
      <c r="L85" s="24" t="str">
        <f>VLOOKUP(A85,'Trips&amp;Operators'!$C$1:$E$10000,3,FALSE)</f>
        <v>OUN</v>
      </c>
      <c r="M85" s="6">
        <f t="shared" si="41"/>
        <v>2.7939814819546882E-2</v>
      </c>
      <c r="N85" s="7">
        <f t="shared" si="53"/>
        <v>40.23333334014751</v>
      </c>
      <c r="O85" s="7"/>
      <c r="P85" s="7"/>
      <c r="Q85" s="25"/>
      <c r="R85" s="25"/>
      <c r="S85" s="37">
        <f t="shared" si="42"/>
        <v>1</v>
      </c>
      <c r="T85" s="52" t="str">
        <f t="shared" si="43"/>
        <v>Southbound</v>
      </c>
      <c r="U85" s="15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12:21:34-0600',mode:absolute,to:'2016-09-26 15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85" s="54" t="str">
        <f t="shared" si="45"/>
        <v>N</v>
      </c>
      <c r="X85" s="164">
        <f t="shared" si="37"/>
        <v>1</v>
      </c>
      <c r="Y85" s="69">
        <f t="shared" si="46"/>
        <v>23.299399999999999</v>
      </c>
      <c r="Z85" s="69">
        <f t="shared" si="47"/>
        <v>1.54E-2</v>
      </c>
      <c r="AA85" s="69">
        <f t="shared" si="48"/>
        <v>23.283999999999999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49"/>
        <v>0172-26</v>
      </c>
      <c r="AE85" s="95" t="str">
        <f t="shared" si="50"/>
        <v>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 &amp; 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</v>
      </c>
      <c r="AF85" s="92" t="str">
        <f t="shared" si="51"/>
        <v>"C:\Program Files (x86)\AstroGrep\AstroGrep.exe" /spath="%USERPROFILE%\AppData\Local\Temp\OnboardLogs" /stypes="app*4012*20160926*" /stext=" 20:.+((SYSTEM_STATE.+slice.+state.+changed )|(ment ac)|(system.+state.+changed )|(\|lc)|(penalty)|(\[timeout)|(PRM\|1\|D)|(kpr)|(kdp))" /e /r /s</v>
      </c>
      <c r="AG85" s="1" t="str">
        <f t="shared" si="52"/>
        <v>EC</v>
      </c>
      <c r="AH85" s="96" t="str">
        <f t="shared" si="38"/>
        <v>"%USERPROFILE%\Documents\GitHub\eaglep3\Utilities\RefineRTDCRunTimes.py" --tripid 172-26 --locoid 4012 --swversion DE.1.0.7.0 --startMP 204:232994 --initTime 2016-09-26T13:21:34 --startdatetime 2016-09-26T13:26:19 --delay 1 --endMP 204:154 --enddatetime 2016-09-26T14:06:33 --enforcementcount 0 &gt;&gt;C:\Users\stu\Documents\GitHub\eaglep3-reporting\EC\2016-09-26-refined-times.txt</v>
      </c>
      <c r="AI85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{"issue":{"subject":"","project_id":79,"tracker_id":40,"status_id":1,"priority_id":2,"assigned_to_id":23,"start_date":"2016-09-26","description":"","custom_fields":[{"id":1,"name":"Subdivision","value":"EC"},{"id":4,"name":"Milepost","value":"0.0154"},{"id":17,"name":"Train ID","value":"172-26"},{"id":16,"name":"Locomotive ID","value":"4012"},{"id":130,"name":"Impact","value":""},{"id":150,"name":"Time of Event (Mountain Time)","value":"14:06:33"},{"id":151,"name":"Denver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477</v>
      </c>
      <c r="B86" s="7">
        <v>4053</v>
      </c>
      <c r="C86" s="24" t="s">
        <v>106</v>
      </c>
      <c r="D86" s="24" t="s">
        <v>478</v>
      </c>
      <c r="E86" s="15">
        <v>42639.532094907408</v>
      </c>
      <c r="F86" s="15">
        <v>42639.533715277779</v>
      </c>
      <c r="G86" s="7">
        <v>2</v>
      </c>
      <c r="H86" s="15" t="s">
        <v>445</v>
      </c>
      <c r="I86" s="15">
        <v>42639.56355324074</v>
      </c>
      <c r="J86" s="7">
        <v>0</v>
      </c>
      <c r="K86" s="117" t="str">
        <f t="shared" si="40"/>
        <v>4053/4054</v>
      </c>
      <c r="L86" s="24" t="str">
        <f>VLOOKUP(A86,'Trips&amp;Operators'!$C$1:$E$10000,3,FALSE)</f>
        <v>STEWART</v>
      </c>
      <c r="M86" s="6">
        <f t="shared" si="41"/>
        <v>2.9837962960300501E-2</v>
      </c>
      <c r="N86" s="7">
        <f t="shared" si="53"/>
        <v>42.966666662832722</v>
      </c>
      <c r="O86" s="7"/>
      <c r="P86" s="7"/>
      <c r="Q86" s="25"/>
      <c r="R86" s="25"/>
      <c r="S86" s="37">
        <f t="shared" si="42"/>
        <v>1</v>
      </c>
      <c r="T86" s="52" t="str">
        <f t="shared" si="43"/>
        <v>NorthBound</v>
      </c>
      <c r="U86" s="15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11:46:13-0600',mode:absolute,to:'2016-09-26 14:31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86" s="54" t="str">
        <f t="shared" si="45"/>
        <v>N</v>
      </c>
      <c r="X86" s="164">
        <f t="shared" si="37"/>
        <v>1</v>
      </c>
      <c r="Y86" s="69">
        <f t="shared" si="46"/>
        <v>4.9299999999999997E-2</v>
      </c>
      <c r="Z86" s="69">
        <f t="shared" si="47"/>
        <v>23.3307</v>
      </c>
      <c r="AA86" s="69">
        <f t="shared" si="48"/>
        <v>23.281400000000001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 t="shared" si="49"/>
        <v>0173-26</v>
      </c>
      <c r="AE86" s="95" t="str">
        <f t="shared" si="50"/>
        <v>aws s3 cp s3://rtdc.mdm.uploadarchive/RTDC4053/2016-09-26/ "%USERPROFILE%\AppData\Local\Temp\OnboardLogs"\RTDC4053\2016-09-26 --recursive &amp; "%USERPROFILE%\Documents\GitHub\mrs-test-scripts\Headless Mode &amp; Sideloading\WalkAndUnGZ.bat" "%USERPROFILE%\AppData\Local\Temp\OnboardLogs"\RTDC4053\2016-09-26 &amp; aws s3 cp s3://rtdc.mdm.uploadarchive/RTDC4053/2016-09-27/ "%USERPROFILE%\AppData\Local\Temp\OnboardLogs"\RTDC4053\2016-09-27 --recursive &amp; "%USERPROFILE%\Documents\GitHub\mrs-test-scripts\Headless Mode &amp; Sideloading\WalkAndUnGZ.bat" "%USERPROFILE%\AppData\Local\Temp\OnboardLogs"\RTDC4053\2016-09-27</v>
      </c>
      <c r="AF86" s="92" t="str">
        <f t="shared" si="51"/>
        <v>"C:\Program Files (x86)\AstroGrep\AstroGrep.exe" /spath="%USERPROFILE%\AppData\Local\Temp\OnboardLogs" /stypes="app*4053*20160926*" /stext=" 19:.+((SYSTEM_STATE.+slice.+state.+changed )|(ment ac)|(system.+state.+changed )|(\|lc)|(penalty)|(\[timeout)|(PRM\|1\|D)|(kpr)|(kdp))" /e /r /s</v>
      </c>
      <c r="AG86" s="1" t="str">
        <f t="shared" si="52"/>
        <v>EC</v>
      </c>
      <c r="AH86" s="96" t="str">
        <f t="shared" si="38"/>
        <v>"%USERPROFILE%\Documents\GitHub\eaglep3\Utilities\RefineRTDCRunTimes.py" --tripid 173-26 --locoid 4053 --swversion DE.1.0.7.0 --startMP 204:493 --initTime 2016-09-26T12:46:13 --startdatetime 2016-09-26T12:48:33 --delay 2 --endMP 204:233307 --enddatetime 2016-09-26T13:31:31 --enforcementcount 0 &gt;&gt;C:\Users\stu\Documents\GitHub\eaglep3-reporting\EC\2016-09-26-refined-times.txt</v>
      </c>
      <c r="AI86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{"issue":{"subject":"","project_id":79,"tracker_id":40,"status_id":1,"priority_id":2,"assigned_to_id":23,"start_date":"2016-09-26","description":"","custom_fields":[{"id":1,"name":"Subdivision","value":"EC"},{"id":4,"name":"Milepost","value":"23.3307"},{"id":17,"name":"Train ID","value":"173-26"},{"id":16,"name":"Locomotive ID","value":"4053"},{"id":130,"name":"Impact","value":""},{"id":150,"name":"Time of Event (Mountain Time)","value":"13:31:31"},{"id":151,"name":"Denver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479</v>
      </c>
      <c r="B87" s="7">
        <v>4054</v>
      </c>
      <c r="C87" s="24" t="s">
        <v>106</v>
      </c>
      <c r="D87" s="24" t="s">
        <v>282</v>
      </c>
      <c r="E87" s="15">
        <v>42639.56858796296</v>
      </c>
      <c r="F87" s="15">
        <v>42639.570706018516</v>
      </c>
      <c r="G87" s="7">
        <v>2</v>
      </c>
      <c r="H87" s="15" t="s">
        <v>220</v>
      </c>
      <c r="I87" s="15">
        <v>42639.596979166665</v>
      </c>
      <c r="J87" s="7">
        <v>0</v>
      </c>
      <c r="K87" s="117" t="str">
        <f t="shared" si="40"/>
        <v>4053/4054</v>
      </c>
      <c r="L87" s="24" t="str">
        <f>VLOOKUP(A87,'Trips&amp;Operators'!$C$1:$E$10000,3,FALSE)</f>
        <v>STEWART</v>
      </c>
      <c r="M87" s="6">
        <f t="shared" si="41"/>
        <v>2.6273148148902692E-2</v>
      </c>
      <c r="N87" s="7">
        <f t="shared" si="53"/>
        <v>37.833333334419876</v>
      </c>
      <c r="O87" s="7"/>
      <c r="P87" s="7"/>
      <c r="Q87" s="25"/>
      <c r="R87" s="25"/>
      <c r="S87" s="37">
        <f t="shared" si="42"/>
        <v>1</v>
      </c>
      <c r="T87" s="52" t="str">
        <f t="shared" si="43"/>
        <v>Southbound</v>
      </c>
      <c r="U87" s="15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12:38:46-0600',mode:absolute,to:'2016-09-26 15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87" s="54" t="str">
        <f t="shared" si="45"/>
        <v>N</v>
      </c>
      <c r="X87" s="164">
        <f t="shared" si="37"/>
        <v>1</v>
      </c>
      <c r="Y87" s="69">
        <f t="shared" si="46"/>
        <v>23.297499999999999</v>
      </c>
      <c r="Z87" s="69">
        <f t="shared" si="47"/>
        <v>1.4999999999999999E-2</v>
      </c>
      <c r="AA87" s="69">
        <f t="shared" si="48"/>
        <v>23.282499999999999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49"/>
        <v>0174-26</v>
      </c>
      <c r="AE87" s="95" t="str">
        <f t="shared" si="50"/>
        <v>aws s3 cp s3://rtdc.mdm.uploadarchive/RTDC4054/2016-09-26/ "%USERPROFILE%\AppData\Local\Temp\OnboardLogs"\RTDC4054\2016-09-26 --recursive &amp; "%USERPROFILE%\Documents\GitHub\mrs-test-scripts\Headless Mode &amp; Sideloading\WalkAndUnGZ.bat" "%USERPROFILE%\AppData\Local\Temp\OnboardLogs"\RTDC4054\2016-09-26 &amp; aws s3 cp s3://rtdc.mdm.uploadarchive/RTDC4054/2016-09-27/ "%USERPROFILE%\AppData\Local\Temp\OnboardLogs"\RTDC4054\2016-09-27 --recursive &amp; "%USERPROFILE%\Documents\GitHub\mrs-test-scripts\Headless Mode &amp; Sideloading\WalkAndUnGZ.bat" "%USERPROFILE%\AppData\Local\Temp\OnboardLogs"\RTDC4054\2016-09-27</v>
      </c>
      <c r="AF87" s="92" t="str">
        <f t="shared" si="51"/>
        <v>"C:\Program Files (x86)\AstroGrep\AstroGrep.exe" /spath="%USERPROFILE%\AppData\Local\Temp\OnboardLogs" /stypes="app*4054*20160926*" /stext=" 20:.+((SYSTEM_STATE.+slice.+state.+changed )|(ment ac)|(system.+state.+changed )|(\|lc)|(penalty)|(\[timeout)|(PRM\|1\|D)|(kpr)|(kdp))" /e /r /s</v>
      </c>
      <c r="AG87" s="1" t="str">
        <f t="shared" si="52"/>
        <v>EC</v>
      </c>
      <c r="AH87" s="96" t="str">
        <f t="shared" si="38"/>
        <v>"%USERPROFILE%\Documents\GitHub\eaglep3\Utilities\RefineRTDCRunTimes.py" --tripid 174-26 --locoid 4054 --swversion DE.1.0.7.0 --startMP 204:232975 --initTime 2016-09-26T13:38:46 --startdatetime 2016-09-26T13:41:49 --delay 2 --endMP 204:150 --enddatetime 2016-09-26T14:19:39 --enforcementcount 0 &gt;&gt;C:\Users\stu\Documents\GitHub\eaglep3-reporting\EC\2016-09-26-refined-times.txt</v>
      </c>
      <c r="AI87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{"issue":{"subject":"","project_id":79,"tracker_id":40,"status_id":1,"priority_id":2,"assigned_to_id":23,"start_date":"2016-09-26","description":"","custom_fields":[{"id":1,"name":"Subdivision","value":"EC"},{"id":4,"name":"Milepost","value":"0.015"},{"id":17,"name":"Train ID","value":"174-26"},{"id":16,"name":"Locomotive ID","value":"4054"},{"id":130,"name":"Impact","value":""},{"id":150,"name":"Time of Event (Mountain Time)","value":"14:19:39"},{"id":151,"name":"Denver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480</v>
      </c>
      <c r="B88" s="7">
        <v>4018</v>
      </c>
      <c r="C88" s="24" t="s">
        <v>106</v>
      </c>
      <c r="D88" s="24" t="s">
        <v>481</v>
      </c>
      <c r="E88" s="15">
        <v>42639.538472222222</v>
      </c>
      <c r="F88" s="15">
        <v>42639.542037037034</v>
      </c>
      <c r="G88" s="7">
        <v>1</v>
      </c>
      <c r="H88" s="15" t="s">
        <v>482</v>
      </c>
      <c r="I88" s="15">
        <v>42639.568020833336</v>
      </c>
      <c r="J88" s="7">
        <v>0</v>
      </c>
      <c r="K88" s="117" t="str">
        <f t="shared" si="40"/>
        <v>4017/4018</v>
      </c>
      <c r="L88" s="24" t="str">
        <f>VLOOKUP(A88,'Trips&amp;Operators'!$C$1:$E$10000,3,FALSE)</f>
        <v>BARTLETT</v>
      </c>
      <c r="M88" s="6">
        <f t="shared" si="41"/>
        <v>2.5983796302170958E-2</v>
      </c>
      <c r="N88" s="7">
        <f t="shared" si="53"/>
        <v>37.41666667512618</v>
      </c>
      <c r="O88" s="7"/>
      <c r="P88" s="7"/>
      <c r="Q88" s="25"/>
      <c r="R88" s="25"/>
      <c r="S88" s="37">
        <f t="shared" si="42"/>
        <v>1</v>
      </c>
      <c r="T88" s="52" t="str">
        <f t="shared" si="43"/>
        <v>NorthBound</v>
      </c>
      <c r="U88" s="15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11:55:24-0600',mode:absolute,to:'2016-09-26 14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88" s="54" t="str">
        <f t="shared" si="45"/>
        <v>N</v>
      </c>
      <c r="X88" s="164">
        <f t="shared" si="37"/>
        <v>1</v>
      </c>
      <c r="Y88" s="69">
        <f t="shared" si="46"/>
        <v>6.3100000000000003E-2</v>
      </c>
      <c r="Z88" s="69">
        <f t="shared" si="47"/>
        <v>23.332100000000001</v>
      </c>
      <c r="AA88" s="69">
        <f t="shared" si="48"/>
        <v>23.269000000000002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49"/>
        <v>0175-26</v>
      </c>
      <c r="AE88" s="95" t="str">
        <f t="shared" si="50"/>
        <v>aws s3 cp s3://rtdc.mdm.uploadarchive/RTDC4018/2016-09-26/ "%USERPROFILE%\AppData\Local\Temp\OnboardLogs"\RTDC4018\2016-09-26 --recursive &amp; "%USERPROFILE%\Documents\GitHub\mrs-test-scripts\Headless Mode &amp; Sideloading\WalkAndUnGZ.bat" "%USERPROFILE%\AppData\Local\Temp\OnboardLogs"\RTDC4018\2016-09-26 &amp; 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</v>
      </c>
      <c r="AF88" s="92" t="str">
        <f t="shared" si="51"/>
        <v>"C:\Program Files (x86)\AstroGrep\AstroGrep.exe" /spath="%USERPROFILE%\AppData\Local\Temp\OnboardLogs" /stypes="app*4018*20160926*" /stext=" 19:.+((SYSTEM_STATE.+slice.+state.+changed )|(ment ac)|(system.+state.+changed )|(\|lc)|(penalty)|(\[timeout)|(PRM\|1\|D)|(kpr)|(kdp))" /e /r /s</v>
      </c>
      <c r="AG88" s="1" t="str">
        <f t="shared" si="52"/>
        <v>EC</v>
      </c>
      <c r="AH88" s="96" t="str">
        <f t="shared" si="38"/>
        <v>"%USERPROFILE%\Documents\GitHub\eaglep3\Utilities\RefineRTDCRunTimes.py" --tripid 175-26 --locoid 4018 --swversion DE.1.0.7.0 --startMP 204:631 --initTime 2016-09-26T12:55:24 --startdatetime 2016-09-26T13:00:32 --delay 1 --endMP 204:233321 --enddatetime 2016-09-26T13:37:57 --enforcementcount 0 &gt;&gt;C:\Users\stu\Documents\GitHub\eaglep3-reporting\EC\2016-09-26-refined-times.txt</v>
      </c>
      <c r="AI88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{"issue":{"subject":"","project_id":79,"tracker_id":40,"status_id":1,"priority_id":2,"assigned_to_id":23,"start_date":"2016-09-26","description":"","custom_fields":[{"id":1,"name":"Subdivision","value":"EC"},{"id":4,"name":"Milepost","value":"23.3321"},{"id":17,"name":"Train ID","value":"175-26"},{"id":16,"name":"Locomotive ID","value":"4018"},{"id":130,"name":"Impact","value":""},{"id":150,"name":"Time of Event (Mountain Time)","value":"13:37:57"},{"id":151,"name":"Denver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23" customFormat="1" x14ac:dyDescent="0.25">
      <c r="A89" s="39" t="s">
        <v>483</v>
      </c>
      <c r="B89" s="7">
        <v>4017</v>
      </c>
      <c r="C89" s="24" t="s">
        <v>106</v>
      </c>
      <c r="D89" s="24" t="s">
        <v>234</v>
      </c>
      <c r="E89" s="15">
        <v>42639.570347222223</v>
      </c>
      <c r="F89" s="15">
        <v>42639.580729166664</v>
      </c>
      <c r="G89" s="7">
        <v>1</v>
      </c>
      <c r="H89" s="15" t="s">
        <v>222</v>
      </c>
      <c r="I89" s="15">
        <v>42639.607928240737</v>
      </c>
      <c r="J89" s="7">
        <v>0</v>
      </c>
      <c r="K89" s="117" t="str">
        <f t="shared" si="40"/>
        <v>4017/4018</v>
      </c>
      <c r="L89" s="24" t="str">
        <f>VLOOKUP(A89,'Trips&amp;Operators'!$C$1:$E$10000,3,FALSE)</f>
        <v>BARTLETT</v>
      </c>
      <c r="M89" s="6">
        <f t="shared" si="41"/>
        <v>2.7199074072996154E-2</v>
      </c>
      <c r="N89" s="7">
        <f t="shared" si="53"/>
        <v>39.166666665114462</v>
      </c>
      <c r="O89" s="7"/>
      <c r="P89" s="7"/>
      <c r="Q89" s="25"/>
      <c r="R89" s="25"/>
      <c r="S89" s="37">
        <f t="shared" si="42"/>
        <v>1</v>
      </c>
      <c r="T89" s="52" t="str">
        <f t="shared" si="43"/>
        <v>Southbound</v>
      </c>
      <c r="U89" s="15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12:41:18-0600',mode:absolute,to:'2016-09-26 15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89" s="54" t="str">
        <f t="shared" si="45"/>
        <v>N</v>
      </c>
      <c r="X89" s="164">
        <f t="shared" si="37"/>
        <v>1</v>
      </c>
      <c r="Y89" s="69">
        <f t="shared" si="46"/>
        <v>23.299399999999999</v>
      </c>
      <c r="Z89" s="69">
        <f t="shared" si="47"/>
        <v>1.52E-2</v>
      </c>
      <c r="AA89" s="69">
        <f t="shared" si="48"/>
        <v>23.284199999999998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49"/>
        <v>0176-26</v>
      </c>
      <c r="AE89" s="95" t="str">
        <f t="shared" si="50"/>
        <v>aws s3 cp s3://rtdc.mdm.uploadarchive/RTDC4017/2016-09-26/ "%USERPROFILE%\AppData\Local\Temp\OnboardLogs"\RTDC4017\2016-09-26 --recursive &amp; "%USERPROFILE%\Documents\GitHub\mrs-test-scripts\Headless Mode &amp; Sideloading\WalkAndUnGZ.bat" "%USERPROFILE%\AppData\Local\Temp\OnboardLogs"\RTDC4017\2016-09-26 &amp; 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</v>
      </c>
      <c r="AF89" s="92" t="str">
        <f t="shared" si="51"/>
        <v>"C:\Program Files (x86)\AstroGrep\AstroGrep.exe" /spath="%USERPROFILE%\AppData\Local\Temp\OnboardLogs" /stypes="app*4017*20160926*" /stext=" 20:.+((SYSTEM_STATE.+slice.+state.+changed )|(ment ac)|(system.+state.+changed )|(\|lc)|(penalty)|(\[timeout)|(PRM\|1\|D)|(kpr)|(kdp))" /e /r /s</v>
      </c>
      <c r="AG89" s="1" t="str">
        <f t="shared" si="52"/>
        <v>EC</v>
      </c>
      <c r="AH89" s="96" t="str">
        <f t="shared" si="38"/>
        <v>"%USERPROFILE%\Documents\GitHub\eaglep3\Utilities\RefineRTDCRunTimes.py" --tripid 176-26 --locoid 4017 --swversion DE.1.0.7.0 --startMP 204:232994 --initTime 2016-09-26T13:41:18 --startdatetime 2016-09-26T13:56:15 --delay 1 --endMP 204:152 --enddatetime 2016-09-26T14:35:25 --enforcementcount 0 &gt;&gt;C:\Users\stu\Documents\GitHub\eaglep3-reporting\EC\2016-09-26-refined-times.txt</v>
      </c>
      <c r="AI89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{"issue":{"subject":"","project_id":79,"tracker_id":40,"status_id":1,"priority_id":2,"assigned_to_id":23,"start_date":"2016-09-26","description":"","custom_fields":[{"id":1,"name":"Subdivision","value":"EC"},{"id":4,"name":"Milepost","value":"0.0152"},{"id":17,"name":"Train ID","value":"176-26"},{"id":16,"name":"Locomotive ID","value":"4017"},{"id":130,"name":"Impact","value":""},{"id":150,"name":"Time of Event (Mountain Time)","value":"14:35:25"},{"id":151,"name":"Denver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23" customFormat="1" x14ac:dyDescent="0.25">
      <c r="A90" s="39" t="s">
        <v>484</v>
      </c>
      <c r="B90" s="7">
        <v>4025</v>
      </c>
      <c r="C90" s="24" t="s">
        <v>106</v>
      </c>
      <c r="D90" s="24" t="s">
        <v>225</v>
      </c>
      <c r="E90" s="15">
        <v>42639.547777777778</v>
      </c>
      <c r="F90" s="15">
        <v>42639.552685185183</v>
      </c>
      <c r="G90" s="7">
        <v>1</v>
      </c>
      <c r="H90" s="15" t="s">
        <v>334</v>
      </c>
      <c r="I90" s="15">
        <v>42639.578217592592</v>
      </c>
      <c r="J90" s="7">
        <v>0</v>
      </c>
      <c r="K90" s="117" t="str">
        <f t="shared" si="40"/>
        <v>4025/4026</v>
      </c>
      <c r="L90" s="24" t="str">
        <f>VLOOKUP(A90,'Trips&amp;Operators'!$C$1:$E$10000,3,FALSE)</f>
        <v>BONDS</v>
      </c>
      <c r="M90" s="6">
        <f t="shared" si="41"/>
        <v>2.5532407409627922E-2</v>
      </c>
      <c r="N90" s="7">
        <f t="shared" si="53"/>
        <v>36.766666669864208</v>
      </c>
      <c r="O90" s="7"/>
      <c r="P90" s="7"/>
      <c r="Q90" s="25"/>
      <c r="R90" s="25"/>
      <c r="S90" s="37">
        <f t="shared" si="42"/>
        <v>1</v>
      </c>
      <c r="T90" s="52" t="str">
        <f t="shared" si="43"/>
        <v>NorthBound</v>
      </c>
      <c r="U90" s="15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12:08:48-0600',mode:absolute,to:'2016-09-26 14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0" s="54" t="str">
        <f t="shared" si="45"/>
        <v>N</v>
      </c>
      <c r="X90" s="164">
        <f t="shared" si="37"/>
        <v>1</v>
      </c>
      <c r="Y90" s="69">
        <f t="shared" si="46"/>
        <v>4.6600000000000003E-2</v>
      </c>
      <c r="Z90" s="69">
        <f t="shared" si="47"/>
        <v>23.328900000000001</v>
      </c>
      <c r="AA90" s="69">
        <f t="shared" si="48"/>
        <v>23.282299999999999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49"/>
        <v>0177-26</v>
      </c>
      <c r="AE90" s="95" t="str">
        <f t="shared" si="50"/>
        <v>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 &amp; aws s3 cp s3://rtdc.mdm.uploadarchive/RTDC4025/2016-09-27/ "%USERPROFILE%\AppData\Local\Temp\OnboardLogs"\RTDC4025\2016-09-27 --recursive &amp; "%USERPROFILE%\Documents\GitHub\mrs-test-scripts\Headless Mode &amp; Sideloading\WalkAndUnGZ.bat" "%USERPROFILE%\AppData\Local\Temp\OnboardLogs"\RTDC4025\2016-09-27</v>
      </c>
      <c r="AF90" s="92" t="str">
        <f t="shared" si="51"/>
        <v>"C:\Program Files (x86)\AstroGrep\AstroGrep.exe" /spath="%USERPROFILE%\AppData\Local\Temp\OnboardLogs" /stypes="app*4025*20160926*" /stext=" 19:.+((SYSTEM_STATE.+slice.+state.+changed )|(ment ac)|(system.+state.+changed )|(\|lc)|(penalty)|(\[timeout)|(PRM\|1\|D)|(kpr)|(kdp))" /e /r /s</v>
      </c>
      <c r="AG90" s="1" t="str">
        <f t="shared" si="52"/>
        <v>EC</v>
      </c>
      <c r="AH90" s="96" t="str">
        <f t="shared" si="38"/>
        <v>"%USERPROFILE%\Documents\GitHub\eaglep3\Utilities\RefineRTDCRunTimes.py" --tripid 177-26 --locoid 4025 --swversion DE.1.0.7.0 --startMP 204:466 --initTime 2016-09-26T13:08:48 --startdatetime 2016-09-26T13:15:52 --delay 1 --endMP 204:233289 --enddatetime 2016-09-26T13:52:38 --enforcementcount 0 &gt;&gt;C:\Users\stu\Documents\GitHub\eaglep3-reporting\EC\2016-09-26-refined-times.txt</v>
      </c>
      <c r="AI90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{"issue":{"subject":"","project_id":79,"tracker_id":40,"status_id":1,"priority_id":2,"assigned_to_id":23,"start_date":"2016-09-26","description":"","custom_fields":[{"id":1,"name":"Subdivision","value":"EC"},{"id":4,"name":"Milepost","value":"23.3289"},{"id":17,"name":"Train ID","value":"177-26"},{"id":16,"name":"Locomotive ID","value":"4025"},{"id":130,"name":"Impact","value":""},{"id":150,"name":"Time of Event (Mountain Time)","value":"13:52:38"},{"id":151,"name":"Denver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x14ac:dyDescent="0.25">
      <c r="A91" s="39" t="s">
        <v>485</v>
      </c>
      <c r="B91" s="7">
        <v>4026</v>
      </c>
      <c r="C91" s="24" t="s">
        <v>106</v>
      </c>
      <c r="D91" s="24" t="s">
        <v>273</v>
      </c>
      <c r="E91" s="15">
        <v>42639.583854166667</v>
      </c>
      <c r="F91" s="15">
        <v>42639.591261574074</v>
      </c>
      <c r="G91" s="7">
        <v>1</v>
      </c>
      <c r="H91" s="15" t="s">
        <v>256</v>
      </c>
      <c r="I91" s="15">
        <v>42639.619930555556</v>
      </c>
      <c r="J91" s="7">
        <v>0</v>
      </c>
      <c r="K91" s="117" t="str">
        <f t="shared" si="40"/>
        <v>4025/4026</v>
      </c>
      <c r="L91" s="24" t="str">
        <f>VLOOKUP(A91,'Trips&amp;Operators'!$C$1:$E$10000,3,FALSE)</f>
        <v>BONDS</v>
      </c>
      <c r="M91" s="6">
        <f t="shared" si="41"/>
        <v>2.8668981482042E-2</v>
      </c>
      <c r="N91" s="7">
        <f t="shared" si="53"/>
        <v>41.28333333414048</v>
      </c>
      <c r="O91" s="7"/>
      <c r="P91" s="7"/>
      <c r="Q91" s="25"/>
      <c r="R91" s="25"/>
      <c r="S91" s="37">
        <f t="shared" si="42"/>
        <v>1</v>
      </c>
      <c r="T91" s="52" t="str">
        <f t="shared" si="43"/>
        <v>Southbound</v>
      </c>
      <c r="U91" s="15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13:00:45-0600',mode:absolute,to:'2016-09-26 15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91" s="54" t="str">
        <f t="shared" si="45"/>
        <v>N</v>
      </c>
      <c r="X91" s="164">
        <f t="shared" si="37"/>
        <v>1</v>
      </c>
      <c r="Y91" s="69">
        <f t="shared" si="46"/>
        <v>23.2973</v>
      </c>
      <c r="Z91" s="69">
        <f t="shared" si="47"/>
        <v>1.41E-2</v>
      </c>
      <c r="AA91" s="69">
        <f t="shared" si="48"/>
        <v>23.283200000000001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49"/>
        <v>0178-26</v>
      </c>
      <c r="AE91" s="95" t="str">
        <f t="shared" si="50"/>
        <v>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 &amp; 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</v>
      </c>
      <c r="AF91" s="92" t="str">
        <f t="shared" si="51"/>
        <v>"C:\Program Files (x86)\AstroGrep\AstroGrep.exe" /spath="%USERPROFILE%\AppData\Local\Temp\OnboardLogs" /stypes="app*4026*20160926*" /stext=" 20:.+((SYSTEM_STATE.+slice.+state.+changed )|(ment ac)|(system.+state.+changed )|(\|lc)|(penalty)|(\[timeout)|(PRM\|1\|D)|(kpr)|(kdp))" /e /r /s</v>
      </c>
      <c r="AG91" s="1" t="str">
        <f t="shared" si="52"/>
        <v>EC</v>
      </c>
      <c r="AH91" s="96" t="str">
        <f t="shared" si="38"/>
        <v>"%USERPROFILE%\Documents\GitHub\eaglep3\Utilities\RefineRTDCRunTimes.py" --tripid 178-26 --locoid 4026 --swversion DE.1.0.7.0 --startMP 204:232973 --initTime 2016-09-26T14:00:45 --startdatetime 2016-09-26T14:11:25 --delay 1 --endMP 204:141 --enddatetime 2016-09-26T14:52:42 --enforcementcount 0 &gt;&gt;C:\Users\stu\Documents\GitHub\eaglep3-reporting\EC\2016-09-26-refined-times.txt</v>
      </c>
      <c r="AI91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{"issue":{"subject":"","project_id":79,"tracker_id":40,"status_id":1,"priority_id":2,"assigned_to_id":23,"start_date":"2016-09-26","description":"","custom_fields":[{"id":1,"name":"Subdivision","value":"EC"},{"id":4,"name":"Milepost","value":"0.0141"},{"id":17,"name":"Train ID","value":"178-26"},{"id":16,"name":"Locomotive ID","value":"4026"},{"id":130,"name":"Impact","value":""},{"id":150,"name":"Time of Event (Mountain Time)","value":"14:52:42"},{"id":151,"name":"Denver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486</v>
      </c>
      <c r="B92" s="7">
        <v>4016</v>
      </c>
      <c r="C92" s="24" t="s">
        <v>106</v>
      </c>
      <c r="D92" s="24" t="s">
        <v>216</v>
      </c>
      <c r="E92" s="15">
        <v>42639.558958333335</v>
      </c>
      <c r="F92" s="15">
        <v>42639.562673611108</v>
      </c>
      <c r="G92" s="7">
        <v>1</v>
      </c>
      <c r="H92" s="15" t="s">
        <v>303</v>
      </c>
      <c r="I92" s="15">
        <v>42639.588217592594</v>
      </c>
      <c r="J92" s="7">
        <v>0</v>
      </c>
      <c r="K92" s="117" t="str">
        <f t="shared" si="40"/>
        <v>4015/4016</v>
      </c>
      <c r="L92" s="24" t="str">
        <f>VLOOKUP(A92,'Trips&amp;Operators'!$C$1:$E$10000,3,FALSE)</f>
        <v>CLARK</v>
      </c>
      <c r="M92" s="6">
        <f t="shared" si="41"/>
        <v>2.5543981486407574E-2</v>
      </c>
      <c r="N92" s="7">
        <f t="shared" si="53"/>
        <v>36.783333340426907</v>
      </c>
      <c r="O92" s="7"/>
      <c r="P92" s="7"/>
      <c r="Q92" s="25"/>
      <c r="R92" s="25"/>
      <c r="S92" s="37">
        <f t="shared" si="42"/>
        <v>1</v>
      </c>
      <c r="T92" s="52" t="str">
        <f t="shared" si="43"/>
        <v>NorthBound</v>
      </c>
      <c r="U92" s="15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12:24:54-0600',mode:absolute,to:'2016-09-26 15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92" s="54" t="str">
        <f t="shared" si="45"/>
        <v>N</v>
      </c>
      <c r="X92" s="164">
        <f t="shared" si="37"/>
        <v>1</v>
      </c>
      <c r="Y92" s="69">
        <f t="shared" si="46"/>
        <v>4.7100000000000003E-2</v>
      </c>
      <c r="Z92" s="69">
        <f t="shared" si="47"/>
        <v>23.331900000000001</v>
      </c>
      <c r="AA92" s="69">
        <f t="shared" si="48"/>
        <v>23.284800000000001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49"/>
        <v>0179-26</v>
      </c>
      <c r="AE92" s="95" t="str">
        <f t="shared" si="50"/>
        <v>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 &amp; 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</v>
      </c>
      <c r="AF92" s="92" t="str">
        <f t="shared" si="51"/>
        <v>"C:\Program Files (x86)\AstroGrep\AstroGrep.exe" /spath="%USERPROFILE%\AppData\Local\Temp\OnboardLogs" /stypes="app*4016*20160926*" /stext=" 20:.+((SYSTEM_STATE.+slice.+state.+changed )|(ment ac)|(system.+state.+changed )|(\|lc)|(penalty)|(\[timeout)|(PRM\|1\|D)|(kpr)|(kdp))" /e /r /s</v>
      </c>
      <c r="AG92" s="1" t="str">
        <f t="shared" si="52"/>
        <v>EC</v>
      </c>
      <c r="AH92" s="96" t="str">
        <f t="shared" si="38"/>
        <v>"%USERPROFILE%\Documents\GitHub\eaglep3\Utilities\RefineRTDCRunTimes.py" --tripid 179-26 --locoid 4016 --swversion DE.1.0.7.0 --startMP 204:471 --initTime 2016-09-26T13:24:54 --startdatetime 2016-09-26T13:30:15 --delay 1 --endMP 204:233319 --enddatetime 2016-09-26T14:07:02 --enforcementcount 0 &gt;&gt;C:\Users\stu\Documents\GitHub\eaglep3-reporting\EC\2016-09-26-refined-times.txt</v>
      </c>
      <c r="AI92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{"issue":{"subject":"","project_id":79,"tracker_id":40,"status_id":1,"priority_id":2,"assigned_to_id":23,"start_date":"2016-09-26","description":"","custom_fields":[{"id":1,"name":"Subdivision","value":"EC"},{"id":4,"name":"Milepost","value":"23.3319"},{"id":17,"name":"Train ID","value":"179-26"},{"id":16,"name":"Locomotive ID","value":"4016"},{"id":130,"name":"Impact","value":""},{"id":150,"name":"Time of Event (Mountain Time)","value":"14:07:02"},{"id":151,"name":"Denver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487</v>
      </c>
      <c r="B93" s="7">
        <v>4015</v>
      </c>
      <c r="C93" s="24" t="s">
        <v>106</v>
      </c>
      <c r="D93" s="24" t="s">
        <v>349</v>
      </c>
      <c r="E93" s="15">
        <v>42639.596030092594</v>
      </c>
      <c r="F93" s="15">
        <v>42639.601643518516</v>
      </c>
      <c r="G93" s="7">
        <v>1</v>
      </c>
      <c r="H93" s="15" t="s">
        <v>215</v>
      </c>
      <c r="I93" s="15">
        <v>42639.630624999998</v>
      </c>
      <c r="J93" s="7">
        <v>0</v>
      </c>
      <c r="K93" s="117" t="str">
        <f t="shared" si="40"/>
        <v>4015/4016</v>
      </c>
      <c r="L93" s="24" t="str">
        <f>VLOOKUP(A93,'Trips&amp;Operators'!$C$1:$E$10000,3,FALSE)</f>
        <v>CLARK</v>
      </c>
      <c r="M93" s="6">
        <f t="shared" si="41"/>
        <v>2.8981481482333038E-2</v>
      </c>
      <c r="N93" s="7">
        <f t="shared" si="53"/>
        <v>41.733333334559575</v>
      </c>
      <c r="O93" s="7"/>
      <c r="P93" s="7"/>
      <c r="Q93" s="25"/>
      <c r="R93" s="25"/>
      <c r="S93" s="37">
        <f t="shared" si="42"/>
        <v>1</v>
      </c>
      <c r="T93" s="52" t="str">
        <f t="shared" si="43"/>
        <v>Southbound</v>
      </c>
      <c r="U93" s="15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13:18:17-0600',mode:absolute,to:'2016-09-26 16:08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93" s="54" t="str">
        <f t="shared" si="45"/>
        <v>N</v>
      </c>
      <c r="X93" s="164">
        <f t="shared" si="37"/>
        <v>1</v>
      </c>
      <c r="Y93" s="69">
        <f t="shared" si="46"/>
        <v>23.3002</v>
      </c>
      <c r="Z93" s="69">
        <f t="shared" si="47"/>
        <v>1.6299999999999999E-2</v>
      </c>
      <c r="AA93" s="69">
        <f t="shared" si="48"/>
        <v>23.283899999999999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49"/>
        <v>0180-26</v>
      </c>
      <c r="AE93" s="95" t="str">
        <f t="shared" si="50"/>
        <v>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 &amp; 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</v>
      </c>
      <c r="AF93" s="92" t="str">
        <f t="shared" si="51"/>
        <v>"C:\Program Files (x86)\AstroGrep\AstroGrep.exe" /spath="%USERPROFILE%\AppData\Local\Temp\OnboardLogs" /stypes="app*4015*20160926*" /stext=" 21:.+((SYSTEM_STATE.+slice.+state.+changed )|(ment ac)|(system.+state.+changed )|(\|lc)|(penalty)|(\[timeout)|(PRM\|1\|D)|(kpr)|(kdp))" /e /r /s</v>
      </c>
      <c r="AG93" s="1" t="str">
        <f t="shared" si="52"/>
        <v>EC</v>
      </c>
      <c r="AH93" s="96" t="str">
        <f t="shared" si="38"/>
        <v>"%USERPROFILE%\Documents\GitHub\eaglep3\Utilities\RefineRTDCRunTimes.py" --tripid 180-26 --locoid 4015 --swversion DE.1.0.7.0 --startMP 204:233002 --initTime 2016-09-26T14:18:17 --startdatetime 2016-09-26T14:26:22 --delay 1 --endMP 204:163 --enddatetime 2016-09-26T15:08:06 --enforcementcount 0 &gt;&gt;C:\Users\stu\Documents\GitHub\eaglep3-reporting\EC\2016-09-26-refined-times.txt</v>
      </c>
      <c r="AI93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{"issue":{"subject":"","project_id":79,"tracker_id":40,"status_id":1,"priority_id":2,"assigned_to_id":23,"start_date":"2016-09-26","description":"","custom_fields":[{"id":1,"name":"Subdivision","value":"EC"},{"id":4,"name":"Milepost","value":"0.0163"},{"id":17,"name":"Train ID","value":"180-26"},{"id":16,"name":"Locomotive ID","value":"4015"},{"id":130,"name":"Impact","value":""},{"id":150,"name":"Time of Event (Mountain Time)","value":"15:08:06"},{"id":151,"name":"Denver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488</v>
      </c>
      <c r="B94" s="7">
        <v>4007</v>
      </c>
      <c r="C94" s="24" t="s">
        <v>106</v>
      </c>
      <c r="D94" s="24" t="s">
        <v>223</v>
      </c>
      <c r="E94" s="15">
        <v>42639.569652777776</v>
      </c>
      <c r="F94" s="15">
        <v>42639.573101851849</v>
      </c>
      <c r="G94" s="7">
        <v>1</v>
      </c>
      <c r="H94" s="15" t="s">
        <v>324</v>
      </c>
      <c r="I94" s="15">
        <v>42639.599687499998</v>
      </c>
      <c r="J94" s="7">
        <v>0</v>
      </c>
      <c r="K94" s="117" t="str">
        <f t="shared" si="40"/>
        <v>4007/4008</v>
      </c>
      <c r="L94" s="24" t="str">
        <f>VLOOKUP(A94,'Trips&amp;Operators'!$C$1:$E$10000,3,FALSE)</f>
        <v>YOUNG</v>
      </c>
      <c r="M94" s="6">
        <f t="shared" si="41"/>
        <v>2.658564814919373E-2</v>
      </c>
      <c r="N94" s="7">
        <f t="shared" si="53"/>
        <v>38.283333334838971</v>
      </c>
      <c r="O94" s="7"/>
      <c r="P94" s="7"/>
      <c r="Q94" s="25"/>
      <c r="R94" s="25"/>
      <c r="S94" s="37">
        <f t="shared" si="42"/>
        <v>1</v>
      </c>
      <c r="T94" s="52" t="str">
        <f t="shared" si="43"/>
        <v>NorthBound</v>
      </c>
      <c r="U94" s="15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12:40:18-0600',mode:absolute,to:'2016-09-26 15:23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94" s="54" t="str">
        <f t="shared" si="45"/>
        <v>N</v>
      </c>
      <c r="X94" s="164">
        <f t="shared" si="37"/>
        <v>1</v>
      </c>
      <c r="Y94" s="69">
        <f t="shared" si="46"/>
        <v>4.5699999999999998E-2</v>
      </c>
      <c r="Z94" s="69">
        <f t="shared" si="47"/>
        <v>23.330300000000001</v>
      </c>
      <c r="AA94" s="69">
        <f t="shared" si="48"/>
        <v>23.284600000000001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49"/>
        <v>0181-26</v>
      </c>
      <c r="AE94" s="95" t="str">
        <f t="shared" si="50"/>
        <v>aws s3 cp s3://rtdc.mdm.uploadarchive/RTDC4007/2016-09-26/ "%USERPROFILE%\AppData\Local\Temp\OnboardLogs"\RTDC4007\2016-09-26 --recursive &amp; "%USERPROFILE%\Documents\GitHub\mrs-test-scripts\Headless Mode &amp; Sideloading\WalkAndUnGZ.bat" "%USERPROFILE%\AppData\Local\Temp\OnboardLogs"\RTDC4007\2016-09-26 &amp; aws s3 cp s3://rtdc.mdm.uploadarchive/RTDC4007/2016-09-27/ "%USERPROFILE%\AppData\Local\Temp\OnboardLogs"\RTDC4007\2016-09-27 --recursive &amp; "%USERPROFILE%\Documents\GitHub\mrs-test-scripts\Headless Mode &amp; Sideloading\WalkAndUnGZ.bat" "%USERPROFILE%\AppData\Local\Temp\OnboardLogs"\RTDC4007\2016-09-27</v>
      </c>
      <c r="AF94" s="92" t="str">
        <f t="shared" si="51"/>
        <v>"C:\Program Files (x86)\AstroGrep\AstroGrep.exe" /spath="%USERPROFILE%\AppData\Local\Temp\OnboardLogs" /stypes="app*4007*20160926*" /stext=" 20:.+((SYSTEM_STATE.+slice.+state.+changed )|(ment ac)|(system.+state.+changed )|(\|lc)|(penalty)|(\[timeout)|(PRM\|1\|D)|(kpr)|(kdp))" /e /r /s</v>
      </c>
      <c r="AG94" s="1" t="str">
        <f t="shared" si="52"/>
        <v>EC</v>
      </c>
      <c r="AH94" s="96" t="str">
        <f t="shared" si="38"/>
        <v>"%USERPROFILE%\Documents\GitHub\eaglep3\Utilities\RefineRTDCRunTimes.py" --tripid 181-26 --locoid 4007 --swversion DE.1.0.7.0 --startMP 204:457 --initTime 2016-09-26T13:40:18 --startdatetime 2016-09-26T13:45:16 --delay 1 --endMP 204:233303 --enddatetime 2016-09-26T14:23:33 --enforcementcount 0 &gt;&gt;C:\Users\stu\Documents\GitHub\eaglep3-reporting\EC\2016-09-26-refined-times.txt</v>
      </c>
      <c r="AI94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{"issue":{"subject":"","project_id":79,"tracker_id":40,"status_id":1,"priority_id":2,"assigned_to_id":23,"start_date":"2016-09-26","description":"","custom_fields":[{"id":1,"name":"Subdivision","value":"EC"},{"id":4,"name":"Milepost","value":"23.3303"},{"id":17,"name":"Train ID","value":"181-26"},{"id":16,"name":"Locomotive ID","value":"4007"},{"id":130,"name":"Impact","value":""},{"id":150,"name":"Time of Event (Mountain Time)","value":"14:23:33"},{"id":151,"name":"Denver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489</v>
      </c>
      <c r="B95" s="7">
        <v>4008</v>
      </c>
      <c r="C95" s="24" t="s">
        <v>106</v>
      </c>
      <c r="D95" s="24" t="s">
        <v>428</v>
      </c>
      <c r="E95" s="15">
        <v>42639.606979166667</v>
      </c>
      <c r="F95" s="15">
        <v>42639.612164351849</v>
      </c>
      <c r="G95" s="7">
        <v>1</v>
      </c>
      <c r="H95" s="15" t="s">
        <v>346</v>
      </c>
      <c r="I95" s="15">
        <v>42639.6406712963</v>
      </c>
      <c r="J95" s="7">
        <v>0</v>
      </c>
      <c r="K95" s="117" t="str">
        <f t="shared" si="40"/>
        <v>4007/4008</v>
      </c>
      <c r="L95" s="24" t="str">
        <f>VLOOKUP(A95,'Trips&amp;Operators'!$C$1:$E$10000,3,FALSE)</f>
        <v>YOUNG</v>
      </c>
      <c r="M95" s="6">
        <f t="shared" si="41"/>
        <v>2.8506944450782612E-2</v>
      </c>
      <c r="N95" s="7">
        <f t="shared" si="53"/>
        <v>41.050000009126961</v>
      </c>
      <c r="O95" s="7"/>
      <c r="P95" s="7"/>
      <c r="Q95" s="25"/>
      <c r="R95" s="25"/>
      <c r="S95" s="37">
        <f t="shared" si="42"/>
        <v>1</v>
      </c>
      <c r="T95" s="52" t="str">
        <f t="shared" si="43"/>
        <v>Southbound</v>
      </c>
      <c r="U95" s="15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13:34:03-0600',mode:absolute,to:'2016-09-26 16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95" s="54" t="str">
        <f t="shared" si="45"/>
        <v>N</v>
      </c>
      <c r="X95" s="164">
        <f t="shared" si="37"/>
        <v>1</v>
      </c>
      <c r="Y95" s="69">
        <f t="shared" si="46"/>
        <v>23.297799999999999</v>
      </c>
      <c r="Z95" s="69">
        <f t="shared" si="47"/>
        <v>1.9099999999999999E-2</v>
      </c>
      <c r="AA95" s="69">
        <f t="shared" si="48"/>
        <v>23.278699999999997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49"/>
        <v>0182-26</v>
      </c>
      <c r="AE95" s="95" t="str">
        <f t="shared" si="50"/>
        <v>aws s3 cp s3://rtdc.mdm.uploadarchive/RTDC4008/2016-09-26/ "%USERPROFILE%\AppData\Local\Temp\OnboardLogs"\RTDC4008\2016-09-26 --recursive &amp; "%USERPROFILE%\Documents\GitHub\mrs-test-scripts\Headless Mode &amp; Sideloading\WalkAndUnGZ.bat" "%USERPROFILE%\AppData\Local\Temp\OnboardLogs"\RTDC4008\2016-09-26 &amp; aws s3 cp s3://rtdc.mdm.uploadarchive/RTDC4008/2016-09-27/ "%USERPROFILE%\AppData\Local\Temp\OnboardLogs"\RTDC4008\2016-09-27 --recursive &amp; "%USERPROFILE%\Documents\GitHub\mrs-test-scripts\Headless Mode &amp; Sideloading\WalkAndUnGZ.bat" "%USERPROFILE%\AppData\Local\Temp\OnboardLogs"\RTDC4008\2016-09-27</v>
      </c>
      <c r="AF95" s="92" t="str">
        <f t="shared" si="51"/>
        <v>"C:\Program Files (x86)\AstroGrep\AstroGrep.exe" /spath="%USERPROFILE%\AppData\Local\Temp\OnboardLogs" /stypes="app*4008*20160926*" /stext=" 21:.+((SYSTEM_STATE.+slice.+state.+changed )|(ment ac)|(system.+state.+changed )|(\|lc)|(penalty)|(\[timeout)|(PRM\|1\|D)|(kpr)|(kdp))" /e /r /s</v>
      </c>
      <c r="AG95" s="1" t="str">
        <f t="shared" si="52"/>
        <v>EC</v>
      </c>
      <c r="AH95" s="96" t="str">
        <f t="shared" si="38"/>
        <v>"%USERPROFILE%\Documents\GitHub\eaglep3\Utilities\RefineRTDCRunTimes.py" --tripid 182-26 --locoid 4008 --swversion DE.1.0.7.0 --startMP 204:232978 --initTime 2016-09-26T14:34:03 --startdatetime 2016-09-26T14:41:31 --delay 1 --endMP 204:191 --enddatetime 2016-09-26T15:22:34 --enforcementcount 0 &gt;&gt;C:\Users\stu\Documents\GitHub\eaglep3-reporting\EC\2016-09-26-refined-times.txt</v>
      </c>
      <c r="AI95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{"issue":{"subject":"","project_id":79,"tracker_id":40,"status_id":1,"priority_id":2,"assigned_to_id":23,"start_date":"2016-09-26","description":"","custom_fields":[{"id":1,"name":"Subdivision","value":"EC"},{"id":4,"name":"Milepost","value":"0.0191"},{"id":17,"name":"Train ID","value":"182-26"},{"id":16,"name":"Locomotive ID","value":"4008"},{"id":130,"name":"Impact","value":""},{"id":150,"name":"Time of Event (Mountain Time)","value":"15:22:34"},{"id":151,"name":"Denver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490</v>
      </c>
      <c r="B96" s="7">
        <v>4014</v>
      </c>
      <c r="C96" s="24" t="s">
        <v>106</v>
      </c>
      <c r="D96" s="24" t="s">
        <v>235</v>
      </c>
      <c r="E96" s="15">
        <v>42639.578622685185</v>
      </c>
      <c r="F96" s="15">
        <v>42639.583749999998</v>
      </c>
      <c r="G96" s="7">
        <v>5</v>
      </c>
      <c r="H96" s="15" t="s">
        <v>304</v>
      </c>
      <c r="I96" s="15">
        <v>42639.610046296293</v>
      </c>
      <c r="J96" s="7">
        <v>0</v>
      </c>
      <c r="K96" s="117" t="str">
        <f t="shared" si="40"/>
        <v>4013/4014</v>
      </c>
      <c r="L96" s="24" t="str">
        <f>VLOOKUP(A96,'Trips&amp;Operators'!$C$1:$E$10000,3,FALSE)</f>
        <v>HELVIE</v>
      </c>
      <c r="M96" s="6">
        <f t="shared" si="41"/>
        <v>2.6296296295186039E-2</v>
      </c>
      <c r="N96" s="7">
        <f t="shared" si="53"/>
        <v>37.866666665067896</v>
      </c>
      <c r="O96" s="7"/>
      <c r="P96" s="7"/>
      <c r="Q96" s="25"/>
      <c r="R96" s="25"/>
      <c r="S96" s="37">
        <f t="shared" si="42"/>
        <v>1</v>
      </c>
      <c r="T96" s="52" t="str">
        <f t="shared" si="43"/>
        <v>NorthBound</v>
      </c>
      <c r="U96" s="15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12:53:13-0600',mode:absolute,to:'2016-09-26 15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96" s="54" t="str">
        <f t="shared" si="45"/>
        <v>N</v>
      </c>
      <c r="X96" s="164">
        <f t="shared" si="37"/>
        <v>1</v>
      </c>
      <c r="Y96" s="69">
        <f t="shared" si="46"/>
        <v>4.6899999999999997E-2</v>
      </c>
      <c r="Z96" s="69">
        <f t="shared" si="47"/>
        <v>23.328099999999999</v>
      </c>
      <c r="AA96" s="69">
        <f t="shared" si="48"/>
        <v>23.281199999999998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49"/>
        <v>0183-26</v>
      </c>
      <c r="AE96" s="95" t="str">
        <f t="shared" si="50"/>
        <v>aws s3 cp s3://rtdc.mdm.uploadarchive/RTDC4014/2016-09-26/ "%USERPROFILE%\AppData\Local\Temp\OnboardLogs"\RTDC4014\2016-09-26 --recursive &amp; "%USERPROFILE%\Documents\GitHub\mrs-test-scripts\Headless Mode &amp; Sideloading\WalkAndUnGZ.bat" "%USERPROFILE%\AppData\Local\Temp\OnboardLogs"\RTDC4014\2016-09-26 &amp; 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</v>
      </c>
      <c r="AF96" s="92" t="str">
        <f t="shared" si="51"/>
        <v>"C:\Program Files (x86)\AstroGrep\AstroGrep.exe" /spath="%USERPROFILE%\AppData\Local\Temp\OnboardLogs" /stypes="app*4014*20160926*" /stext=" 20:.+((SYSTEM_STATE.+slice.+state.+changed )|(ment ac)|(system.+state.+changed )|(\|lc)|(penalty)|(\[timeout)|(PRM\|1\|D)|(kpr)|(kdp))" /e /r /s</v>
      </c>
      <c r="AG96" s="1" t="str">
        <f t="shared" si="52"/>
        <v>EC</v>
      </c>
      <c r="AH96" s="96" t="str">
        <f t="shared" si="38"/>
        <v>"%USERPROFILE%\Documents\GitHub\eaglep3\Utilities\RefineRTDCRunTimes.py" --tripid 183-26 --locoid 4014 --swversion DE.1.0.7.0 --startMP 204:469 --initTime 2016-09-26T13:53:13 --startdatetime 2016-09-26T14:00:36 --delay 5 --endMP 204:233281 --enddatetime 2016-09-26T14:38:28 --enforcementcount 0 &gt;&gt;C:\Users\stu\Documents\GitHub\eaglep3-reporting\EC\2016-09-26-refined-times.txt</v>
      </c>
      <c r="AI96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{"issue":{"subject":"","project_id":79,"tracker_id":40,"status_id":1,"priority_id":2,"assigned_to_id":23,"start_date":"2016-09-26","description":"","custom_fields":[{"id":1,"name":"Subdivision","value":"EC"},{"id":4,"name":"Milepost","value":"23.3281"},{"id":17,"name":"Train ID","value":"183-26"},{"id":16,"name":"Locomotive ID","value":"4014"},{"id":130,"name":"Impact","value":""},{"id":150,"name":"Time of Event (Mountain Time)","value":"14:38:28"},{"id":151,"name":"Denver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491</v>
      </c>
      <c r="B97" s="7">
        <v>4013</v>
      </c>
      <c r="C97" s="24" t="s">
        <v>106</v>
      </c>
      <c r="D97" s="24" t="s">
        <v>281</v>
      </c>
      <c r="E97" s="15">
        <v>42639.617418981485</v>
      </c>
      <c r="F97" s="15">
        <v>42639.622361111113</v>
      </c>
      <c r="G97" s="7">
        <v>1</v>
      </c>
      <c r="H97" s="15" t="s">
        <v>214</v>
      </c>
      <c r="I97" s="15">
        <v>42639.649826388886</v>
      </c>
      <c r="J97" s="7">
        <v>0</v>
      </c>
      <c r="K97" s="117" t="str">
        <f t="shared" si="40"/>
        <v>4013/4014</v>
      </c>
      <c r="L97" s="24" t="str">
        <f>VLOOKUP(A97,'Trips&amp;Operators'!$C$1:$E$10000,3,FALSE)</f>
        <v>HELVIE</v>
      </c>
      <c r="M97" s="6">
        <f t="shared" si="41"/>
        <v>2.7465277773444541E-2</v>
      </c>
      <c r="N97" s="7">
        <f t="shared" si="53"/>
        <v>39.549999993760139</v>
      </c>
      <c r="O97" s="7"/>
      <c r="P97" s="7"/>
      <c r="Q97" s="25"/>
      <c r="R97" s="25"/>
      <c r="S97" s="37">
        <f t="shared" si="42"/>
        <v>1</v>
      </c>
      <c r="T97" s="52" t="str">
        <f t="shared" si="43"/>
        <v>Southbound</v>
      </c>
      <c r="U97" s="15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13:49:05-0600',mode:absolute,to:'2016-09-26 16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7" s="54" t="str">
        <f t="shared" si="45"/>
        <v>N</v>
      </c>
      <c r="X97" s="164">
        <f t="shared" si="37"/>
        <v>1</v>
      </c>
      <c r="Y97" s="69">
        <f t="shared" si="46"/>
        <v>23.297699999999999</v>
      </c>
      <c r="Z97" s="69">
        <f t="shared" si="47"/>
        <v>1.6E-2</v>
      </c>
      <c r="AA97" s="69">
        <f t="shared" si="48"/>
        <v>23.281700000000001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49"/>
        <v>0184-26</v>
      </c>
      <c r="AE97" s="95" t="str">
        <f t="shared" si="50"/>
        <v>aws s3 cp s3://rtdc.mdm.uploadarchive/RTDC4013/2016-09-26/ "%USERPROFILE%\AppData\Local\Temp\OnboardLogs"\RTDC4013\2016-09-26 --recursive &amp; "%USERPROFILE%\Documents\GitHub\mrs-test-scripts\Headless Mode &amp; Sideloading\WalkAndUnGZ.bat" "%USERPROFILE%\AppData\Local\Temp\OnboardLogs"\RTDC4013\2016-09-26 &amp; 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</v>
      </c>
      <c r="AF97" s="92" t="str">
        <f t="shared" si="51"/>
        <v>"C:\Program Files (x86)\AstroGrep\AstroGrep.exe" /spath="%USERPROFILE%\AppData\Local\Temp\OnboardLogs" /stypes="app*4013*20160926*" /stext=" 21:.+((SYSTEM_STATE.+slice.+state.+changed )|(ment ac)|(system.+state.+changed )|(\|lc)|(penalty)|(\[timeout)|(PRM\|1\|D)|(kpr)|(kdp))" /e /r /s</v>
      </c>
      <c r="AG97" s="1" t="str">
        <f t="shared" si="52"/>
        <v>EC</v>
      </c>
      <c r="AH97" s="96" t="str">
        <f t="shared" si="38"/>
        <v>"%USERPROFILE%\Documents\GitHub\eaglep3\Utilities\RefineRTDCRunTimes.py" --tripid 184-26 --locoid 4013 --swversion DE.1.0.7.0 --startMP 204:232977 --initTime 2016-09-26T14:49:05 --startdatetime 2016-09-26T14:56:12 --delay 1 --endMP 204:160 --enddatetime 2016-09-26T15:35:45 --enforcementcount 0 &gt;&gt;C:\Users\stu\Documents\GitHub\eaglep3-reporting\EC\2016-09-26-refined-times.txt</v>
      </c>
      <c r="AI97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{"issue":{"subject":"","project_id":79,"tracker_id":40,"status_id":1,"priority_id":2,"assigned_to_id":23,"start_date":"2016-09-26","description":"","custom_fields":[{"id":1,"name":"Subdivision","value":"EC"},{"id":4,"name":"Milepost","value":"0.016"},{"id":17,"name":"Train ID","value":"184-26"},{"id":16,"name":"Locomotive ID","value":"4013"},{"id":130,"name":"Impact","value":""},{"id":150,"name":"Time of Event (Mountain Time)","value":"15:35:45"},{"id":151,"name":"Denver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x14ac:dyDescent="0.25">
      <c r="A98" s="39" t="s">
        <v>492</v>
      </c>
      <c r="B98" s="7">
        <v>4011</v>
      </c>
      <c r="C98" s="24" t="s">
        <v>106</v>
      </c>
      <c r="D98" s="24" t="s">
        <v>223</v>
      </c>
      <c r="E98" s="15">
        <v>42639.590289351851</v>
      </c>
      <c r="F98" s="15">
        <v>42639.593958333331</v>
      </c>
      <c r="G98" s="7">
        <v>5</v>
      </c>
      <c r="H98" s="15" t="s">
        <v>433</v>
      </c>
      <c r="I98" s="15">
        <v>42639.619293981479</v>
      </c>
      <c r="J98" s="7">
        <v>0</v>
      </c>
      <c r="K98" s="117" t="str">
        <f t="shared" si="40"/>
        <v>4011/4012</v>
      </c>
      <c r="L98" s="24" t="str">
        <f>VLOOKUP(A98,'Trips&amp;Operators'!$C$1:$E$10000,3,FALSE)</f>
        <v>OUN</v>
      </c>
      <c r="M98" s="6">
        <f t="shared" si="41"/>
        <v>2.5335648148029577E-2</v>
      </c>
      <c r="N98" s="7">
        <f t="shared" si="53"/>
        <v>36.483333333162591</v>
      </c>
      <c r="O98" s="7"/>
      <c r="P98" s="7"/>
      <c r="Q98" s="25"/>
      <c r="R98" s="25"/>
      <c r="S98" s="37">
        <f t="shared" si="42"/>
        <v>1</v>
      </c>
      <c r="T98" s="52" t="str">
        <f t="shared" si="43"/>
        <v>NorthBound</v>
      </c>
      <c r="U98" s="15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13:10:01-0600',mode:absolute,to:'2016-09-26 15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98" s="54" t="str">
        <f t="shared" si="45"/>
        <v>N</v>
      </c>
      <c r="X98" s="164">
        <f t="shared" si="37"/>
        <v>1</v>
      </c>
      <c r="Y98" s="69">
        <f t="shared" si="46"/>
        <v>4.5699999999999998E-2</v>
      </c>
      <c r="Z98" s="69">
        <f t="shared" si="47"/>
        <v>23.3293</v>
      </c>
      <c r="AA98" s="69">
        <f t="shared" si="48"/>
        <v>23.2836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 t="shared" si="49"/>
        <v>0185-26</v>
      </c>
      <c r="AE98" s="95" t="str">
        <f t="shared" si="50"/>
        <v>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 &amp; 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</v>
      </c>
      <c r="AF98" s="92" t="str">
        <f t="shared" si="51"/>
        <v>"C:\Program Files (x86)\AstroGrep\AstroGrep.exe" /spath="%USERPROFILE%\AppData\Local\Temp\OnboardLogs" /stypes="app*4011*20160926*" /stext=" 20:.+((SYSTEM_STATE.+slice.+state.+changed )|(ment ac)|(system.+state.+changed )|(\|lc)|(penalty)|(\[timeout)|(PRM\|1\|D)|(kpr)|(kdp))" /e /r /s</v>
      </c>
      <c r="AG98" s="1" t="str">
        <f t="shared" si="52"/>
        <v>EC</v>
      </c>
      <c r="AH98" s="96" t="str">
        <f t="shared" si="38"/>
        <v>"%USERPROFILE%\Documents\GitHub\eaglep3\Utilities\RefineRTDCRunTimes.py" --tripid 185-26 --locoid 4011 --swversion DE.1.0.7.0 --startMP 204:457 --initTime 2016-09-26T14:10:01 --startdatetime 2016-09-26T14:15:18 --delay 5 --endMP 204:233293 --enddatetime 2016-09-26T14:51:47 --enforcementcount 0 &gt;&gt;C:\Users\stu\Documents\GitHub\eaglep3-reporting\EC\2016-09-26-refined-times.txt</v>
      </c>
      <c r="AI98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{"issue":{"subject":"","project_id":79,"tracker_id":40,"status_id":1,"priority_id":2,"assigned_to_id":23,"start_date":"2016-09-26","description":"","custom_fields":[{"id":1,"name":"Subdivision","value":"EC"},{"id":4,"name":"Milepost","value":"23.3293"},{"id":17,"name":"Train ID","value":"185-26"},{"id":16,"name":"Locomotive ID","value":"4011"},{"id":130,"name":"Impact","value":""},{"id":150,"name":"Time of Event (Mountain Time)","value":"14:51:47"},{"id":151,"name":"Denver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493</v>
      </c>
      <c r="B99" s="7">
        <v>4012</v>
      </c>
      <c r="C99" s="24" t="s">
        <v>106</v>
      </c>
      <c r="D99" s="24" t="s">
        <v>316</v>
      </c>
      <c r="E99" s="15">
        <v>42639.628530092596</v>
      </c>
      <c r="F99" s="15">
        <v>42639.6328587963</v>
      </c>
      <c r="G99" s="7">
        <v>1</v>
      </c>
      <c r="H99" s="15" t="s">
        <v>256</v>
      </c>
      <c r="I99" s="15">
        <v>42639.659537037034</v>
      </c>
      <c r="J99" s="7">
        <v>0</v>
      </c>
      <c r="K99" s="117" t="str">
        <f t="shared" si="40"/>
        <v>4011/4012</v>
      </c>
      <c r="L99" s="24" t="str">
        <f>VLOOKUP(A99,'Trips&amp;Operators'!$C$1:$E$10000,3,FALSE)</f>
        <v>OUN</v>
      </c>
      <c r="M99" s="6">
        <f t="shared" si="41"/>
        <v>2.6678240734327119E-2</v>
      </c>
      <c r="N99" s="7">
        <f t="shared" si="53"/>
        <v>38.416666657431051</v>
      </c>
      <c r="O99" s="7"/>
      <c r="P99" s="7"/>
      <c r="Q99" s="25"/>
      <c r="R99" s="25"/>
      <c r="S99" s="37">
        <f t="shared" si="42"/>
        <v>1</v>
      </c>
      <c r="T99" s="52" t="str">
        <f t="shared" si="43"/>
        <v>Southbound</v>
      </c>
      <c r="U99" s="15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14:05:05-0600',mode:absolute,to:'2016-09-26 16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99" s="54" t="str">
        <f t="shared" si="45"/>
        <v>N</v>
      </c>
      <c r="X99" s="164">
        <f t="shared" si="37"/>
        <v>1</v>
      </c>
      <c r="Y99" s="69">
        <f t="shared" si="46"/>
        <v>23.298200000000001</v>
      </c>
      <c r="Z99" s="69">
        <f t="shared" si="47"/>
        <v>1.41E-2</v>
      </c>
      <c r="AA99" s="69">
        <f t="shared" si="48"/>
        <v>23.284100000000002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49"/>
        <v>0186-26</v>
      </c>
      <c r="AE99" s="95" t="str">
        <f t="shared" si="50"/>
        <v>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 &amp; 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</v>
      </c>
      <c r="AF99" s="92" t="str">
        <f t="shared" si="51"/>
        <v>"C:\Program Files (x86)\AstroGrep\AstroGrep.exe" /spath="%USERPROFILE%\AppData\Local\Temp\OnboardLogs" /stypes="app*4012*20160926*" /stext=" 21:.+((SYSTEM_STATE.+slice.+state.+changed )|(ment ac)|(system.+state.+changed )|(\|lc)|(penalty)|(\[timeout)|(PRM\|1\|D)|(kpr)|(kdp))" /e /r /s</v>
      </c>
      <c r="AG99" s="1" t="str">
        <f t="shared" si="52"/>
        <v>EC</v>
      </c>
      <c r="AH99" s="96" t="str">
        <f t="shared" si="38"/>
        <v>"%USERPROFILE%\Documents\GitHub\eaglep3\Utilities\RefineRTDCRunTimes.py" --tripid 186-26 --locoid 4012 --swversion DE.1.0.7.0 --startMP 204:232982 --initTime 2016-09-26T15:05:05 --startdatetime 2016-09-26T15:11:19 --delay 1 --endMP 204:141 --enddatetime 2016-09-26T15:49:44 --enforcementcount 0 &gt;&gt;C:\Users\stu\Documents\GitHub\eaglep3-reporting\EC\2016-09-26-refined-times.txt</v>
      </c>
      <c r="AI99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{"issue":{"subject":"","project_id":79,"tracker_id":40,"status_id":1,"priority_id":2,"assigned_to_id":23,"start_date":"2016-09-26","description":"","custom_fields":[{"id":1,"name":"Subdivision","value":"EC"},{"id":4,"name":"Milepost","value":"0.0141"},{"id":17,"name":"Train ID","value":"186-26"},{"id":16,"name":"Locomotive ID","value":"4012"},{"id":130,"name":"Impact","value":""},{"id":150,"name":"Time of Event (Mountain Time)","value":"15:49:44"},{"id":151,"name":"Denver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494</v>
      </c>
      <c r="B100" s="7">
        <v>4053</v>
      </c>
      <c r="C100" s="24" t="s">
        <v>106</v>
      </c>
      <c r="D100" s="24" t="s">
        <v>219</v>
      </c>
      <c r="E100" s="15">
        <v>42639.599791666667</v>
      </c>
      <c r="F100" s="15">
        <v>42639.604537037034</v>
      </c>
      <c r="G100" s="7">
        <v>1</v>
      </c>
      <c r="H100" s="15" t="s">
        <v>448</v>
      </c>
      <c r="I100" s="15">
        <v>42639.629756944443</v>
      </c>
      <c r="J100" s="7">
        <v>0</v>
      </c>
      <c r="K100" s="117" t="str">
        <f t="shared" si="40"/>
        <v>4053/4054</v>
      </c>
      <c r="L100" s="24" t="str">
        <f>VLOOKUP(A100,'Trips&amp;Operators'!$C$1:$E$10000,3,FALSE)</f>
        <v>STEWART</v>
      </c>
      <c r="M100" s="6">
        <f t="shared" si="41"/>
        <v>2.5219907409336884E-2</v>
      </c>
      <c r="N100" s="7">
        <f t="shared" si="53"/>
        <v>36.316666669445112</v>
      </c>
      <c r="O100" s="7"/>
      <c r="P100" s="7"/>
      <c r="Q100" s="25"/>
      <c r="R100" s="25"/>
      <c r="S100" s="37">
        <f t="shared" si="42"/>
        <v>1</v>
      </c>
      <c r="T100" s="52" t="str">
        <f t="shared" si="43"/>
        <v>NorthBound</v>
      </c>
      <c r="U100" s="15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13:23:42-0600',mode:absolute,to:'2016-09-26 16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00" s="54" t="str">
        <f t="shared" si="45"/>
        <v>N</v>
      </c>
      <c r="X100" s="164">
        <f t="shared" si="37"/>
        <v>1</v>
      </c>
      <c r="Y100" s="69">
        <f t="shared" si="46"/>
        <v>4.53E-2</v>
      </c>
      <c r="Z100" s="69">
        <f t="shared" si="47"/>
        <v>23.330400000000001</v>
      </c>
      <c r="AA100" s="69">
        <f t="shared" si="48"/>
        <v>23.2851</v>
      </c>
      <c r="AB100" s="66" t="str">
        <f>VLOOKUP(A100,Enforcements!$C$7:$K$20,8,0)</f>
        <v>Bulletin (2)</v>
      </c>
      <c r="AC100" s="62" t="str">
        <f>VLOOKUP(A100,Enforcements!$C$7:$E$20,3,0)</f>
        <v>GRADE CROSSING</v>
      </c>
      <c r="AD100" s="63" t="str">
        <f t="shared" si="49"/>
        <v>0187-26</v>
      </c>
      <c r="AE100" s="95" t="str">
        <f t="shared" si="50"/>
        <v>aws s3 cp s3://rtdc.mdm.uploadarchive/RTDC4053/2016-09-26/ "%USERPROFILE%\AppData\Local\Temp\OnboardLogs"\RTDC4053\2016-09-26 --recursive &amp; "%USERPROFILE%\Documents\GitHub\mrs-test-scripts\Headless Mode &amp; Sideloading\WalkAndUnGZ.bat" "%USERPROFILE%\AppData\Local\Temp\OnboardLogs"\RTDC4053\2016-09-26 &amp; aws s3 cp s3://rtdc.mdm.uploadarchive/RTDC4053/2016-09-27/ "%USERPROFILE%\AppData\Local\Temp\OnboardLogs"\RTDC4053\2016-09-27 --recursive &amp; "%USERPROFILE%\Documents\GitHub\mrs-test-scripts\Headless Mode &amp; Sideloading\WalkAndUnGZ.bat" "%USERPROFILE%\AppData\Local\Temp\OnboardLogs"\RTDC4053\2016-09-27</v>
      </c>
      <c r="AF100" s="92" t="str">
        <f t="shared" si="51"/>
        <v>"C:\Program Files (x86)\AstroGrep\AstroGrep.exe" /spath="%USERPROFILE%\AppData\Local\Temp\OnboardLogs" /stypes="app*4053*20160926*" /stext=" 21:.+((SYSTEM_STATE.+slice.+state.+changed )|(ment ac)|(system.+state.+changed )|(\|lc)|(penalty)|(\[timeout)|(PRM\|1\|D)|(kpr)|(kdp))" /e /r /s</v>
      </c>
      <c r="AG100" s="1" t="str">
        <f t="shared" si="52"/>
        <v>EC</v>
      </c>
      <c r="AH100" s="96" t="str">
        <f t="shared" si="38"/>
        <v>"%USERPROFILE%\Documents\GitHub\eaglep3\Utilities\RefineRTDCRunTimes.py" --tripid 187-26 --locoid 4053 --swversion DE.1.0.7.0 --startMP 204:453 --initTime 2016-09-26T14:23:42 --startdatetime 2016-09-26T14:30:32 --delay 1 --endMP 204:233304 --enddatetime 2016-09-26T15:06:51 --enforcementcount 0 &gt;&gt;C:\Users\stu\Documents\GitHub\eaglep3-reporting\EC\2016-09-26-refined-times.txt</v>
      </c>
      <c r="AI100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{"issue":{"subject":"","project_id":79,"tracker_id":40,"status_id":1,"priority_id":2,"assigned_to_id":23,"start_date":"2016-09-26","description":"","custom_fields":[{"id":1,"name":"Subdivision","value":"EC"},{"id":4,"name":"Milepost","value":"23.3304"},{"id":17,"name":"Train ID","value":"187-26"},{"id":16,"name":"Locomotive ID","value":"4053"},{"id":130,"name":"Impact","value":""},{"id":150,"name":"Time of Event (Mountain Time)","value":"15:06:51"},{"id":151,"name":"Denver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495</v>
      </c>
      <c r="B101" s="7">
        <v>4054</v>
      </c>
      <c r="C101" s="24" t="s">
        <v>106</v>
      </c>
      <c r="D101" s="24" t="s">
        <v>416</v>
      </c>
      <c r="E101" s="15">
        <v>42639.640266203707</v>
      </c>
      <c r="F101" s="15">
        <v>42639.643483796295</v>
      </c>
      <c r="G101" s="7">
        <v>2</v>
      </c>
      <c r="H101" s="15" t="s">
        <v>222</v>
      </c>
      <c r="I101" s="15">
        <v>42639.669930555552</v>
      </c>
      <c r="J101" s="7">
        <v>0</v>
      </c>
      <c r="K101" s="117" t="str">
        <f t="shared" si="40"/>
        <v>4053/4054</v>
      </c>
      <c r="L101" s="24" t="str">
        <f>VLOOKUP(A101,'Trips&amp;Operators'!$C$1:$E$10000,3,FALSE)</f>
        <v>STEWART</v>
      </c>
      <c r="M101" s="6">
        <f t="shared" si="41"/>
        <v>2.6446759256941732E-2</v>
      </c>
      <c r="N101" s="7">
        <f t="shared" si="53"/>
        <v>38.083333329996094</v>
      </c>
      <c r="O101" s="7"/>
      <c r="P101" s="7"/>
      <c r="Q101" s="25"/>
      <c r="R101" s="25"/>
      <c r="S101" s="37">
        <f t="shared" si="42"/>
        <v>1</v>
      </c>
      <c r="T101" s="52" t="str">
        <f t="shared" si="43"/>
        <v>Southbound</v>
      </c>
      <c r="U101" s="15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14:21:59-0600',mode:absolute,to:'2016-09-26 17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01" s="54" t="str">
        <f t="shared" si="45"/>
        <v>N</v>
      </c>
      <c r="X101" s="164">
        <f t="shared" si="37"/>
        <v>1</v>
      </c>
      <c r="Y101" s="69">
        <f t="shared" si="46"/>
        <v>23.2987</v>
      </c>
      <c r="Z101" s="69">
        <f t="shared" si="47"/>
        <v>1.52E-2</v>
      </c>
      <c r="AA101" s="69">
        <f t="shared" si="48"/>
        <v>23.2835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49"/>
        <v>0188-26</v>
      </c>
      <c r="AE101" s="95" t="str">
        <f t="shared" si="50"/>
        <v>aws s3 cp s3://rtdc.mdm.uploadarchive/RTDC4054/2016-09-26/ "%USERPROFILE%\AppData\Local\Temp\OnboardLogs"\RTDC4054\2016-09-26 --recursive &amp; "%USERPROFILE%\Documents\GitHub\mrs-test-scripts\Headless Mode &amp; Sideloading\WalkAndUnGZ.bat" "%USERPROFILE%\AppData\Local\Temp\OnboardLogs"\RTDC4054\2016-09-26 &amp; aws s3 cp s3://rtdc.mdm.uploadarchive/RTDC4054/2016-09-27/ "%USERPROFILE%\AppData\Local\Temp\OnboardLogs"\RTDC4054\2016-09-27 --recursive &amp; "%USERPROFILE%\Documents\GitHub\mrs-test-scripts\Headless Mode &amp; Sideloading\WalkAndUnGZ.bat" "%USERPROFILE%\AppData\Local\Temp\OnboardLogs"\RTDC4054\2016-09-27</v>
      </c>
      <c r="AF101" s="92" t="str">
        <f t="shared" si="51"/>
        <v>"C:\Program Files (x86)\AstroGrep\AstroGrep.exe" /spath="%USERPROFILE%\AppData\Local\Temp\OnboardLogs" /stypes="app*4054*20160926*" /stext=" 22:.+((SYSTEM_STATE.+slice.+state.+changed )|(ment ac)|(system.+state.+changed )|(\|lc)|(penalty)|(\[timeout)|(PRM\|1\|D)|(kpr)|(kdp))" /e /r /s</v>
      </c>
      <c r="AG101" s="1" t="str">
        <f t="shared" si="52"/>
        <v>EC</v>
      </c>
      <c r="AH101" s="96" t="str">
        <f t="shared" si="38"/>
        <v>"%USERPROFILE%\Documents\GitHub\eaglep3\Utilities\RefineRTDCRunTimes.py" --tripid 188-26 --locoid 4054 --swversion DE.1.0.7.0 --startMP 204:232987 --initTime 2016-09-26T15:21:59 --startdatetime 2016-09-26T15:26:37 --delay 2 --endMP 204:152 --enddatetime 2016-09-26T16:04:42 --enforcementcount 0 &gt;&gt;C:\Users\stu\Documents\GitHub\eaglep3-reporting\EC\2016-09-26-refined-times.txt</v>
      </c>
      <c r="AI101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{"issue":{"subject":"","project_id":79,"tracker_id":40,"status_id":1,"priority_id":2,"assigned_to_id":23,"start_date":"2016-09-26","description":"","custom_fields":[{"id":1,"name":"Subdivision","value":"EC"},{"id":4,"name":"Milepost","value":"0.0152"},{"id":17,"name":"Train ID","value":"188-26"},{"id":16,"name":"Locomotive ID","value":"4054"},{"id":130,"name":"Impact","value":""},{"id":150,"name":"Time of Event (Mountain Time)","value":"16:04:42"},{"id":151,"name":"Denver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496</v>
      </c>
      <c r="B102" s="7">
        <v>4018</v>
      </c>
      <c r="C102" s="24" t="s">
        <v>106</v>
      </c>
      <c r="D102" s="24" t="s">
        <v>320</v>
      </c>
      <c r="E102" s="15">
        <v>42639.609629629631</v>
      </c>
      <c r="F102" s="15">
        <v>42639.615023148152</v>
      </c>
      <c r="G102" s="7">
        <v>1</v>
      </c>
      <c r="H102" s="15" t="s">
        <v>422</v>
      </c>
      <c r="I102" s="15">
        <v>42639.640162037038</v>
      </c>
      <c r="J102" s="7">
        <v>0</v>
      </c>
      <c r="K102" s="117" t="str">
        <f t="shared" si="40"/>
        <v>4017/4018</v>
      </c>
      <c r="L102" s="24" t="str">
        <f>VLOOKUP(A102,'Trips&amp;Operators'!$C$1:$E$10000,3,FALSE)</f>
        <v>BARTLETT</v>
      </c>
      <c r="M102" s="6">
        <f t="shared" si="41"/>
        <v>2.5138888886431232E-2</v>
      </c>
      <c r="N102" s="7">
        <f t="shared" si="53"/>
        <v>36.199999996460974</v>
      </c>
      <c r="O102" s="7"/>
      <c r="P102" s="7"/>
      <c r="Q102" s="25"/>
      <c r="R102" s="25"/>
      <c r="S102" s="37">
        <f t="shared" si="42"/>
        <v>1</v>
      </c>
      <c r="T102" s="52" t="str">
        <f t="shared" si="43"/>
        <v>NorthBound</v>
      </c>
      <c r="U102" s="15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13:37:52-0600',mode:absolute,to:'2016-09-26 16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2" s="54" t="str">
        <f t="shared" si="45"/>
        <v>N</v>
      </c>
      <c r="X102" s="164">
        <f t="shared" si="37"/>
        <v>1</v>
      </c>
      <c r="Y102" s="69">
        <f t="shared" si="46"/>
        <v>4.4900000000000002E-2</v>
      </c>
      <c r="Z102" s="69">
        <f t="shared" si="47"/>
        <v>23.331099999999999</v>
      </c>
      <c r="AA102" s="69">
        <f t="shared" si="48"/>
        <v>23.286200000000001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49"/>
        <v>0189-26</v>
      </c>
      <c r="AE102" s="95" t="str">
        <f t="shared" si="50"/>
        <v>aws s3 cp s3://rtdc.mdm.uploadarchive/RTDC4018/2016-09-26/ "%USERPROFILE%\AppData\Local\Temp\OnboardLogs"\RTDC4018\2016-09-26 --recursive &amp; "%USERPROFILE%\Documents\GitHub\mrs-test-scripts\Headless Mode &amp; Sideloading\WalkAndUnGZ.bat" "%USERPROFILE%\AppData\Local\Temp\OnboardLogs"\RTDC4018\2016-09-26 &amp; 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</v>
      </c>
      <c r="AF102" s="92" t="str">
        <f t="shared" si="51"/>
        <v>"C:\Program Files (x86)\AstroGrep\AstroGrep.exe" /spath="%USERPROFILE%\AppData\Local\Temp\OnboardLogs" /stypes="app*4018*20160926*" /stext=" 21:.+((SYSTEM_STATE.+slice.+state.+changed )|(ment ac)|(system.+state.+changed )|(\|lc)|(penalty)|(\[timeout)|(PRM\|1\|D)|(kpr)|(kdp))" /e /r /s</v>
      </c>
      <c r="AG102" s="1" t="str">
        <f t="shared" si="52"/>
        <v>EC</v>
      </c>
      <c r="AH102" s="96" t="str">
        <f t="shared" si="38"/>
        <v>"%USERPROFILE%\Documents\GitHub\eaglep3\Utilities\RefineRTDCRunTimes.py" --tripid 189-26 --locoid 4018 --swversion DE.1.0.7.0 --startMP 204:449 --initTime 2016-09-26T14:37:52 --startdatetime 2016-09-26T14:45:38 --delay 1 --endMP 204:233311 --enddatetime 2016-09-26T15:21:50 --enforcementcount 0 &gt;&gt;C:\Users\stu\Documents\GitHub\eaglep3-reporting\EC\2016-09-26-refined-times.txt</v>
      </c>
      <c r="AI102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{"issue":{"subject":"","project_id":79,"tracker_id":40,"status_id":1,"priority_id":2,"assigned_to_id":23,"start_date":"2016-09-26","description":"","custom_fields":[{"id":1,"name":"Subdivision","value":"EC"},{"id":4,"name":"Milepost","value":"23.3311"},{"id":17,"name":"Train ID","value":"189-26"},{"id":16,"name":"Locomotive ID","value":"4018"},{"id":130,"name":"Impact","value":""},{"id":150,"name":"Time of Event (Mountain Time)","value":"15:21:50"},{"id":151,"name":"Denver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497</v>
      </c>
      <c r="B103" s="7">
        <v>4017</v>
      </c>
      <c r="C103" s="24" t="s">
        <v>106</v>
      </c>
      <c r="D103" s="24" t="s">
        <v>323</v>
      </c>
      <c r="E103" s="15">
        <v>42639.649942129632</v>
      </c>
      <c r="F103" s="15">
        <v>42639.653738425928</v>
      </c>
      <c r="G103" s="7">
        <v>1</v>
      </c>
      <c r="H103" s="15" t="s">
        <v>127</v>
      </c>
      <c r="I103" s="15">
        <v>42639.68109953704</v>
      </c>
      <c r="J103" s="7">
        <v>0</v>
      </c>
      <c r="K103" s="117" t="str">
        <f t="shared" si="40"/>
        <v>4017/4018</v>
      </c>
      <c r="L103" s="24" t="str">
        <f>VLOOKUP(A103,'Trips&amp;Operators'!$C$1:$E$10000,3,FALSE)</f>
        <v>BARTLETT</v>
      </c>
      <c r="M103" s="6">
        <f t="shared" si="41"/>
        <v>2.73611111115315E-2</v>
      </c>
      <c r="N103" s="7">
        <f t="shared" si="53"/>
        <v>39.40000000060536</v>
      </c>
      <c r="O103" s="7"/>
      <c r="P103" s="7"/>
      <c r="Q103" s="25"/>
      <c r="R103" s="25"/>
      <c r="S103" s="37">
        <f t="shared" si="42"/>
        <v>1</v>
      </c>
      <c r="T103" s="52" t="str">
        <f t="shared" si="43"/>
        <v>Southbound</v>
      </c>
      <c r="U103" s="15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14:35:55-0600',mode:absolute,to:'2016-09-26 17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3" s="54" t="str">
        <f t="shared" si="45"/>
        <v>N</v>
      </c>
      <c r="X103" s="164">
        <f t="shared" si="37"/>
        <v>1</v>
      </c>
      <c r="Y103" s="69">
        <f t="shared" si="46"/>
        <v>23.298400000000001</v>
      </c>
      <c r="Z103" s="69">
        <f t="shared" si="47"/>
        <v>1.54E-2</v>
      </c>
      <c r="AA103" s="69">
        <f t="shared" si="48"/>
        <v>23.283000000000001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49"/>
        <v>0190-26</v>
      </c>
      <c r="AE103" s="95" t="str">
        <f t="shared" si="50"/>
        <v>aws s3 cp s3://rtdc.mdm.uploadarchive/RTDC4017/2016-09-26/ "%USERPROFILE%\AppData\Local\Temp\OnboardLogs"\RTDC4017\2016-09-26 --recursive &amp; "%USERPROFILE%\Documents\GitHub\mrs-test-scripts\Headless Mode &amp; Sideloading\WalkAndUnGZ.bat" "%USERPROFILE%\AppData\Local\Temp\OnboardLogs"\RTDC4017\2016-09-26 &amp; 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</v>
      </c>
      <c r="AF103" s="92" t="str">
        <f t="shared" si="51"/>
        <v>"C:\Program Files (x86)\AstroGrep\AstroGrep.exe" /spath="%USERPROFILE%\AppData\Local\Temp\OnboardLogs" /stypes="app*4017*20160926*" /stext=" 22:.+((SYSTEM_STATE.+slice.+state.+changed )|(ment ac)|(system.+state.+changed )|(\|lc)|(penalty)|(\[timeout)|(PRM\|1\|D)|(kpr)|(kdp))" /e /r /s</v>
      </c>
      <c r="AG103" s="1" t="str">
        <f t="shared" si="52"/>
        <v>EC</v>
      </c>
      <c r="AH103" s="96" t="str">
        <f t="shared" si="38"/>
        <v>"%USERPROFILE%\Documents\GitHub\eaglep3\Utilities\RefineRTDCRunTimes.py" --tripid 190-26 --locoid 4017 --swversion DE.1.0.7.0 --startMP 204:232984 --initTime 2016-09-26T15:35:55 --startdatetime 2016-09-26T15:41:23 --delay 1 --endMP 204:154 --enddatetime 2016-09-26T16:20:47 --enforcementcount 0 &gt;&gt;C:\Users\stu\Documents\GitHub\eaglep3-reporting\EC\2016-09-26-refined-times.txt</v>
      </c>
      <c r="AI103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{"issue":{"subject":"","project_id":79,"tracker_id":40,"status_id":1,"priority_id":2,"assigned_to_id":23,"start_date":"2016-09-26","description":"","custom_fields":[{"id":1,"name":"Subdivision","value":"EC"},{"id":4,"name":"Milepost","value":"0.0154"},{"id":17,"name":"Train ID","value":"190-26"},{"id":16,"name":"Locomotive ID","value":"4017"},{"id":130,"name":"Impact","value":""},{"id":150,"name":"Time of Event (Mountain Time)","value":"16:20:47"},{"id":151,"name":"Denver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498</v>
      </c>
      <c r="B104" s="7">
        <v>4025</v>
      </c>
      <c r="C104" s="24" t="s">
        <v>106</v>
      </c>
      <c r="D104" s="24" t="s">
        <v>231</v>
      </c>
      <c r="E104" s="15">
        <v>42639.621157407404</v>
      </c>
      <c r="F104" s="15">
        <v>42639.625405092593</v>
      </c>
      <c r="G104" s="7">
        <v>1</v>
      </c>
      <c r="H104" s="15" t="s">
        <v>265</v>
      </c>
      <c r="I104" s="15">
        <v>42639.650671296295</v>
      </c>
      <c r="J104" s="7">
        <v>0</v>
      </c>
      <c r="K104" s="117" t="str">
        <f t="shared" si="40"/>
        <v>4025/4026</v>
      </c>
      <c r="L104" s="24" t="str">
        <f>VLOOKUP(A104,'Trips&amp;Operators'!$C$1:$E$10000,3,FALSE)</f>
        <v>BONDS</v>
      </c>
      <c r="M104" s="6">
        <f t="shared" si="41"/>
        <v>2.5266203701903578E-2</v>
      </c>
      <c r="N104" s="7">
        <f t="shared" si="53"/>
        <v>36.383333330741152</v>
      </c>
      <c r="O104" s="7"/>
      <c r="P104" s="7"/>
      <c r="Q104" s="25"/>
      <c r="R104" s="25"/>
      <c r="S104" s="37">
        <f t="shared" si="42"/>
        <v>1</v>
      </c>
      <c r="T104" s="52" t="str">
        <f t="shared" si="43"/>
        <v>NorthBound</v>
      </c>
      <c r="U104" s="15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13:54:28-0600',mode:absolute,to:'2016-09-26 16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04" s="54" t="str">
        <f t="shared" si="45"/>
        <v>N</v>
      </c>
      <c r="X104" s="164">
        <f t="shared" si="37"/>
        <v>1</v>
      </c>
      <c r="Y104" s="69">
        <f t="shared" si="46"/>
        <v>4.5999999999999999E-2</v>
      </c>
      <c r="Z104" s="69">
        <f t="shared" si="47"/>
        <v>23.33</v>
      </c>
      <c r="AA104" s="69">
        <f t="shared" si="48"/>
        <v>23.283999999999999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49"/>
        <v>0191-26</v>
      </c>
      <c r="AE104" s="95" t="str">
        <f t="shared" si="50"/>
        <v>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 &amp; aws s3 cp s3://rtdc.mdm.uploadarchive/RTDC4025/2016-09-27/ "%USERPROFILE%\AppData\Local\Temp\OnboardLogs"\RTDC4025\2016-09-27 --recursive &amp; "%USERPROFILE%\Documents\GitHub\mrs-test-scripts\Headless Mode &amp; Sideloading\WalkAndUnGZ.bat" "%USERPROFILE%\AppData\Local\Temp\OnboardLogs"\RTDC4025\2016-09-27</v>
      </c>
      <c r="AF104" s="92" t="str">
        <f t="shared" si="51"/>
        <v>"C:\Program Files (x86)\AstroGrep\AstroGrep.exe" /spath="%USERPROFILE%\AppData\Local\Temp\OnboardLogs" /stypes="app*4025*20160926*" /stext=" 21:.+((SYSTEM_STATE.+slice.+state.+changed )|(ment ac)|(system.+state.+changed )|(\|lc)|(penalty)|(\[timeout)|(PRM\|1\|D)|(kpr)|(kdp))" /e /r /s</v>
      </c>
      <c r="AG104" s="1" t="str">
        <f t="shared" si="52"/>
        <v>EC</v>
      </c>
      <c r="AH104" s="96" t="str">
        <f t="shared" si="38"/>
        <v>"%USERPROFILE%\Documents\GitHub\eaglep3\Utilities\RefineRTDCRunTimes.py" --tripid 191-26 --locoid 4025 --swversion DE.1.0.7.0 --startMP 204:460 --initTime 2016-09-26T14:54:28 --startdatetime 2016-09-26T15:00:35 --delay 1 --endMP 204:233300 --enddatetime 2016-09-26T15:36:58 --enforcementcount 0 &gt;&gt;C:\Users\stu\Documents\GitHub\eaglep3-reporting\EC\2016-09-26-refined-times.txt</v>
      </c>
      <c r="AI104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{"issue":{"subject":"","project_id":79,"tracker_id":40,"status_id":1,"priority_id":2,"assigned_to_id":23,"start_date":"2016-09-26","description":"","custom_fields":[{"id":1,"name":"Subdivision","value":"EC"},{"id":4,"name":"Milepost","value":"23.33"},{"id":17,"name":"Train ID","value":"191-26"},{"id":16,"name":"Locomotive ID","value":"4025"},{"id":130,"name":"Impact","value":""},{"id":150,"name":"Time of Event (Mountain Time)","value":"15:36:58"},{"id":151,"name":"Denver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499</v>
      </c>
      <c r="B105" s="7">
        <v>4026</v>
      </c>
      <c r="C105" s="24" t="s">
        <v>106</v>
      </c>
      <c r="D105" s="24" t="s">
        <v>281</v>
      </c>
      <c r="E105" s="15">
        <v>42639.6562037037</v>
      </c>
      <c r="F105" s="15">
        <v>42639.664386574077</v>
      </c>
      <c r="G105" s="7">
        <v>1</v>
      </c>
      <c r="H105" s="15" t="s">
        <v>253</v>
      </c>
      <c r="I105" s="15">
        <v>42639.692175925928</v>
      </c>
      <c r="J105" s="7">
        <v>0</v>
      </c>
      <c r="K105" s="117" t="str">
        <f t="shared" si="40"/>
        <v>4025/4026</v>
      </c>
      <c r="L105" s="24" t="str">
        <f>VLOOKUP(A105,'Trips&amp;Operators'!$C$1:$E$10000,3,FALSE)</f>
        <v>BONDS</v>
      </c>
      <c r="M105" s="6">
        <f t="shared" si="41"/>
        <v>2.7789351850515231E-2</v>
      </c>
      <c r="N105" s="7">
        <f t="shared" si="53"/>
        <v>40.016666664741933</v>
      </c>
      <c r="O105" s="7"/>
      <c r="P105" s="7"/>
      <c r="Q105" s="25"/>
      <c r="R105" s="25"/>
      <c r="S105" s="37">
        <f t="shared" si="42"/>
        <v>1</v>
      </c>
      <c r="T105" s="52" t="str">
        <f t="shared" si="43"/>
        <v>Southbound</v>
      </c>
      <c r="U105" s="15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14:44:56-0600',mode:absolute,to:'2016-09-26 17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05" s="54" t="str">
        <f t="shared" si="45"/>
        <v>N</v>
      </c>
      <c r="X105" s="164">
        <f t="shared" si="37"/>
        <v>1</v>
      </c>
      <c r="Y105" s="69">
        <f t="shared" si="46"/>
        <v>23.297699999999999</v>
      </c>
      <c r="Z105" s="69">
        <f t="shared" si="47"/>
        <v>1.4500000000000001E-2</v>
      </c>
      <c r="AA105" s="69">
        <f t="shared" si="48"/>
        <v>23.283199999999997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49"/>
        <v>0192-26</v>
      </c>
      <c r="AE105" s="95" t="str">
        <f t="shared" si="50"/>
        <v>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 &amp; 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</v>
      </c>
      <c r="AF105" s="92" t="str">
        <f t="shared" si="51"/>
        <v>"C:\Program Files (x86)\AstroGrep\AstroGrep.exe" /spath="%USERPROFILE%\AppData\Local\Temp\OnboardLogs" /stypes="app*4026*20160926*" /stext=" 22:.+((SYSTEM_STATE.+slice.+state.+changed )|(ment ac)|(system.+state.+changed )|(\|lc)|(penalty)|(\[timeout)|(PRM\|1\|D)|(kpr)|(kdp))" /e /r /s</v>
      </c>
      <c r="AG105" s="1" t="str">
        <f t="shared" si="52"/>
        <v>EC</v>
      </c>
      <c r="AH105" s="96" t="str">
        <f t="shared" si="38"/>
        <v>"%USERPROFILE%\Documents\GitHub\eaglep3\Utilities\RefineRTDCRunTimes.py" --tripid 192-26 --locoid 4026 --swversion DE.1.0.7.0 --startMP 204:232977 --initTime 2016-09-26T15:44:56 --startdatetime 2016-09-26T15:56:43 --delay 1 --endMP 204:145 --enddatetime 2016-09-26T16:36:44 --enforcementcount 0 &gt;&gt;C:\Users\stu\Documents\GitHub\eaglep3-reporting\EC\2016-09-26-refined-times.txt</v>
      </c>
      <c r="AI105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{"issue":{"subject":"","project_id":79,"tracker_id":40,"status_id":1,"priority_id":2,"assigned_to_id":23,"start_date":"2016-09-26","description":"","custom_fields":[{"id":1,"name":"Subdivision","value":"EC"},{"id":4,"name":"Milepost","value":"0.0145"},{"id":17,"name":"Train ID","value":"192-26"},{"id":16,"name":"Locomotive ID","value":"4026"},{"id":130,"name":"Impact","value":""},{"id":150,"name":"Time of Event (Mountain Time)","value":"16:36:44"},{"id":151,"name":"Denver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500</v>
      </c>
      <c r="B106" s="7">
        <v>4016</v>
      </c>
      <c r="C106" s="24" t="s">
        <v>106</v>
      </c>
      <c r="D106" s="24" t="s">
        <v>315</v>
      </c>
      <c r="E106" s="15">
        <v>42639.632025462961</v>
      </c>
      <c r="F106" s="15">
        <v>42639.635613425926</v>
      </c>
      <c r="G106" s="7">
        <v>1</v>
      </c>
      <c r="H106" s="15" t="s">
        <v>334</v>
      </c>
      <c r="I106" s="15">
        <v>42639.660914351851</v>
      </c>
      <c r="J106" s="7">
        <v>0</v>
      </c>
      <c r="K106" s="117" t="str">
        <f t="shared" si="40"/>
        <v>4015/4016</v>
      </c>
      <c r="L106" s="24" t="str">
        <f>VLOOKUP(A106,'Trips&amp;Operators'!$C$1:$E$10000,3,FALSE)</f>
        <v>CLARK</v>
      </c>
      <c r="M106" s="6">
        <f t="shared" si="41"/>
        <v>2.5300925924966577E-2</v>
      </c>
      <c r="N106" s="7">
        <f t="shared" si="53"/>
        <v>36.433333331951872</v>
      </c>
      <c r="O106" s="7"/>
      <c r="P106" s="7"/>
      <c r="Q106" s="25"/>
      <c r="R106" s="25"/>
      <c r="S106" s="37">
        <f t="shared" si="42"/>
        <v>1</v>
      </c>
      <c r="T106" s="52" t="str">
        <f t="shared" si="43"/>
        <v>NorthBound</v>
      </c>
      <c r="U106" s="15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14:10:07-0600',mode:absolute,to:'2016-09-26 16:51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06" s="54" t="str">
        <f t="shared" si="45"/>
        <v>N</v>
      </c>
      <c r="X106" s="164">
        <f t="shared" si="37"/>
        <v>1</v>
      </c>
      <c r="Y106" s="69">
        <f t="shared" si="46"/>
        <v>4.8599999999999997E-2</v>
      </c>
      <c r="Z106" s="69">
        <f t="shared" si="47"/>
        <v>23.328900000000001</v>
      </c>
      <c r="AA106" s="69">
        <f t="shared" si="48"/>
        <v>23.2803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49"/>
        <v>0193-26</v>
      </c>
      <c r="AE106" s="95" t="str">
        <f t="shared" si="50"/>
        <v>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 &amp; 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</v>
      </c>
      <c r="AF106" s="92" t="str">
        <f t="shared" si="51"/>
        <v>"C:\Program Files (x86)\AstroGrep\AstroGrep.exe" /spath="%USERPROFILE%\AppData\Local\Temp\OnboardLogs" /stypes="app*4016*20160926*" /stext=" 21:.+((SYSTEM_STATE.+slice.+state.+changed )|(ment ac)|(system.+state.+changed )|(\|lc)|(penalty)|(\[timeout)|(PRM\|1\|D)|(kpr)|(kdp))" /e /r /s</v>
      </c>
      <c r="AG106" s="1" t="str">
        <f t="shared" si="52"/>
        <v>EC</v>
      </c>
      <c r="AH106" s="96" t="str">
        <f t="shared" si="38"/>
        <v>"%USERPROFILE%\Documents\GitHub\eaglep3\Utilities\RefineRTDCRunTimes.py" --tripid 193-26 --locoid 4016 --swversion DE.1.0.7.0 --startMP 204:486 --initTime 2016-09-26T15:10:07 --startdatetime 2016-09-26T15:15:17 --delay 1 --endMP 204:233289 --enddatetime 2016-09-26T15:51:43 --enforcementcount 0 &gt;&gt;C:\Users\stu\Documents\GitHub\eaglep3-reporting\EC\2016-09-26-refined-times.txt</v>
      </c>
      <c r="AI106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{"issue":{"subject":"","project_id":79,"tracker_id":40,"status_id":1,"priority_id":2,"assigned_to_id":23,"start_date":"2016-09-26","description":"","custom_fields":[{"id":1,"name":"Subdivision","value":"EC"},{"id":4,"name":"Milepost","value":"23.3289"},{"id":17,"name":"Train ID","value":"193-26"},{"id":16,"name":"Locomotive ID","value":"4016"},{"id":130,"name":"Impact","value":""},{"id":150,"name":"Time of Event (Mountain Time)","value":"15:51:43"},{"id":151,"name":"Denver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501</v>
      </c>
      <c r="B107" s="7">
        <v>4015</v>
      </c>
      <c r="C107" s="24" t="s">
        <v>106</v>
      </c>
      <c r="D107" s="24" t="s">
        <v>413</v>
      </c>
      <c r="E107" s="15">
        <v>42639.666620370372</v>
      </c>
      <c r="F107" s="15">
        <v>42639.674479166664</v>
      </c>
      <c r="G107" s="7">
        <v>1</v>
      </c>
      <c r="H107" s="15" t="s">
        <v>502</v>
      </c>
      <c r="I107" s="15">
        <v>42639.703449074077</v>
      </c>
      <c r="J107" s="7">
        <v>0</v>
      </c>
      <c r="K107" s="117" t="str">
        <f t="shared" si="40"/>
        <v>4015/4016</v>
      </c>
      <c r="L107" s="24" t="str">
        <f>VLOOKUP(A107,'Trips&amp;Operators'!$C$1:$E$10000,3,FALSE)</f>
        <v>CLARK</v>
      </c>
      <c r="M107" s="6">
        <f t="shared" si="41"/>
        <v>2.8969907412829343E-2</v>
      </c>
      <c r="N107" s="7">
        <f t="shared" si="53"/>
        <v>41.716666674474254</v>
      </c>
      <c r="O107" s="7"/>
      <c r="P107" s="7"/>
      <c r="Q107" s="25"/>
      <c r="R107" s="25"/>
      <c r="S107" s="37">
        <f t="shared" si="42"/>
        <v>1</v>
      </c>
      <c r="T107" s="52" t="str">
        <f t="shared" si="43"/>
        <v>Southbound</v>
      </c>
      <c r="U107" s="15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14:59:56-0600',mode:absolute,to:'2016-09-26 17:52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07" s="54" t="str">
        <f t="shared" si="45"/>
        <v>N</v>
      </c>
      <c r="X107" s="164">
        <f t="shared" ref="X107:X138" si="54">VALUE(LEFT(AD107,4))-VALUE(LEFT(AD106,4))</f>
        <v>1</v>
      </c>
      <c r="Y107" s="69">
        <f t="shared" si="46"/>
        <v>23.2959</v>
      </c>
      <c r="Z107" s="69">
        <f t="shared" si="47"/>
        <v>1.9400000000000001E-2</v>
      </c>
      <c r="AA107" s="69">
        <f t="shared" si="48"/>
        <v>23.276499999999999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49"/>
        <v>0194-26</v>
      </c>
      <c r="AE107" s="95" t="str">
        <f t="shared" si="50"/>
        <v>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 &amp; 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</v>
      </c>
      <c r="AF107" s="92" t="str">
        <f t="shared" si="51"/>
        <v>"C:\Program Files (x86)\AstroGrep\AstroGrep.exe" /spath="%USERPROFILE%\AppData\Local\Temp\OnboardLogs" /stypes="app*4015*20160926*" /stext=" 22:.+((SYSTEM_STATE.+slice.+state.+changed )|(ment ac)|(system.+state.+changed )|(\|lc)|(penalty)|(\[timeout)|(PRM\|1\|D)|(kpr)|(kdp))" /e /r /s</v>
      </c>
      <c r="AG107" s="1" t="str">
        <f t="shared" si="52"/>
        <v>EC</v>
      </c>
      <c r="AH107" s="96" t="str">
        <f t="shared" si="38"/>
        <v>"%USERPROFILE%\Documents\GitHub\eaglep3\Utilities\RefineRTDCRunTimes.py" --tripid 194-26 --locoid 4015 --swversion DE.1.0.7.0 --startMP 204:232959 --initTime 2016-09-26T15:59:56 --startdatetime 2016-09-26T16:11:15 --delay 1 --endMP 204:194 --enddatetime 2016-09-26T16:52:58 --enforcementcount 0 &gt;&gt;C:\Users\stu\Documents\GitHub\eaglep3-reporting\EC\2016-09-26-refined-times.txt</v>
      </c>
      <c r="AI107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{"issue":{"subject":"","project_id":79,"tracker_id":40,"status_id":1,"priority_id":2,"assigned_to_id":23,"start_date":"2016-09-26","description":"","custom_fields":[{"id":1,"name":"Subdivision","value":"EC"},{"id":4,"name":"Milepost","value":"0.0194"},{"id":17,"name":"Train ID","value":"194-26"},{"id":16,"name":"Locomotive ID","value":"4015"},{"id":130,"name":"Impact","value":""},{"id":150,"name":"Time of Event (Mountain Time)","value":"16:52:58"},{"id":151,"name":"Denver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503</v>
      </c>
      <c r="B108" s="7">
        <v>4007</v>
      </c>
      <c r="C108" s="24" t="s">
        <v>106</v>
      </c>
      <c r="D108" s="24" t="s">
        <v>342</v>
      </c>
      <c r="E108" s="15">
        <v>42639.642361111109</v>
      </c>
      <c r="F108" s="15">
        <v>42639.646099537036</v>
      </c>
      <c r="G108" s="7">
        <v>1</v>
      </c>
      <c r="H108" s="15" t="s">
        <v>283</v>
      </c>
      <c r="I108" s="15">
        <v>42639.672800925924</v>
      </c>
      <c r="J108" s="7">
        <v>0</v>
      </c>
      <c r="K108" s="117" t="str">
        <f t="shared" si="40"/>
        <v>4007/4008</v>
      </c>
      <c r="L108" s="24" t="str">
        <f>VLOOKUP(A108,'Trips&amp;Operators'!$C$1:$E$10000,3,FALSE)</f>
        <v>YOUNG</v>
      </c>
      <c r="M108" s="6">
        <f t="shared" si="41"/>
        <v>2.6701388887886424E-2</v>
      </c>
      <c r="N108" s="7">
        <f t="shared" si="53"/>
        <v>38.44999999855645</v>
      </c>
      <c r="O108" s="7"/>
      <c r="P108" s="7"/>
      <c r="Q108" s="25"/>
      <c r="R108" s="25"/>
      <c r="S108" s="37">
        <f t="shared" si="42"/>
        <v>1</v>
      </c>
      <c r="T108" s="52" t="str">
        <f t="shared" si="43"/>
        <v>NorthBound</v>
      </c>
      <c r="U108" s="15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2" t="str">
        <f t="shared" si="44"/>
        <v>https://search-rtdc-monitor-bjffxe2xuh6vdkpspy63sjmuny.us-east-1.es.amazonaws.com/_plugin/kibana/#/discover/Steve-Slow-Train-Analysis-(2080s-and-2083s)?_g=(refreshInterval:(display:Off,section:0,value:0),time:(from:'2016-09-26 14:25:00-0600',mode:absolute,to:'2016-09-26 17:08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08" s="54" t="str">
        <f t="shared" si="45"/>
        <v>N</v>
      </c>
      <c r="X108" s="164">
        <f t="shared" si="54"/>
        <v>1</v>
      </c>
      <c r="Y108" s="69">
        <f t="shared" si="46"/>
        <v>5.04E-2</v>
      </c>
      <c r="Z108" s="69">
        <f t="shared" si="47"/>
        <v>23.3306</v>
      </c>
      <c r="AA108" s="69">
        <f t="shared" si="48"/>
        <v>23.280200000000001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49"/>
        <v>0195-26</v>
      </c>
      <c r="AE108" s="95" t="str">
        <f t="shared" si="50"/>
        <v>aws s3 cp s3://rtdc.mdm.uploadarchive/RTDC4007/2016-09-26/ "%USERPROFILE%\AppData\Local\Temp\OnboardLogs"\RTDC4007\2016-09-26 --recursive &amp; "%USERPROFILE%\Documents\GitHub\mrs-test-scripts\Headless Mode &amp; Sideloading\WalkAndUnGZ.bat" "%USERPROFILE%\AppData\Local\Temp\OnboardLogs"\RTDC4007\2016-09-26 &amp; aws s3 cp s3://rtdc.mdm.uploadarchive/RTDC4007/2016-09-27/ "%USERPROFILE%\AppData\Local\Temp\OnboardLogs"\RTDC4007\2016-09-27 --recursive &amp; "%USERPROFILE%\Documents\GitHub\mrs-test-scripts\Headless Mode &amp; Sideloading\WalkAndUnGZ.bat" "%USERPROFILE%\AppData\Local\Temp\OnboardLogs"\RTDC4007\2016-09-27</v>
      </c>
      <c r="AF108" s="92" t="str">
        <f t="shared" si="51"/>
        <v>"C:\Program Files (x86)\AstroGrep\AstroGrep.exe" /spath="%USERPROFILE%\AppData\Local\Temp\OnboardLogs" /stypes="app*4007*20160926*" /stext=" 22:.+((SYSTEM_STATE.+slice.+state.+changed )|(ment ac)|(system.+state.+changed )|(\|lc)|(penalty)|(\[timeout)|(PRM\|1\|D)|(kpr)|(kdp))" /e /r /s</v>
      </c>
      <c r="AG108" s="1" t="str">
        <f t="shared" si="52"/>
        <v>EC</v>
      </c>
      <c r="AH108" s="96" t="str">
        <f t="shared" si="38"/>
        <v>"%USERPROFILE%\Documents\GitHub\eaglep3\Utilities\RefineRTDCRunTimes.py" --tripid 195-26 --locoid 4007 --swversion DE.1.0.7.0 --startMP 204:504 --initTime 2016-09-26T15:25:00 --startdatetime 2016-09-26T15:30:23 --delay 1 --endMP 204:233306 --enddatetime 2016-09-26T16:08:50 --enforcementcount 0 &gt;&gt;C:\Users\stu\Documents\GitHub\eaglep3-reporting\EC\2016-09-26-refined-times.txt</v>
      </c>
      <c r="AI108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{"issue":{"subject":"","project_id":79,"tracker_id":40,"status_id":1,"priority_id":2,"assigned_to_id":23,"start_date":"2016-09-26","description":"","custom_fields":[{"id":1,"name":"Subdivision","value":"EC"},{"id":4,"name":"Milepost","value":"23.3306"},{"id":17,"name":"Train ID","value":"195-26"},{"id":16,"name":"Locomotive ID","value":"4007"},{"id":130,"name":"Impact","value":""},{"id":150,"name":"Time of Event (Mountain Time)","value":"16:08:50"},{"id":151,"name":"Denver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504</v>
      </c>
      <c r="B109" s="7">
        <v>4008</v>
      </c>
      <c r="C109" s="24" t="s">
        <v>106</v>
      </c>
      <c r="D109" s="24" t="s">
        <v>317</v>
      </c>
      <c r="E109" s="15">
        <v>42639.680798611109</v>
      </c>
      <c r="F109" s="15">
        <v>42639.685428240744</v>
      </c>
      <c r="G109" s="7">
        <v>2</v>
      </c>
      <c r="H109" s="15" t="s">
        <v>214</v>
      </c>
      <c r="I109" s="15">
        <v>42639.713842592595</v>
      </c>
      <c r="J109" s="7">
        <v>0</v>
      </c>
      <c r="K109" s="117" t="str">
        <f t="shared" ref="K109:K140" si="55">IF(ISEVEN(B109),(B109-1)&amp;"/"&amp;B109,B109&amp;"/"&amp;(B109+1))</f>
        <v>4007/4008</v>
      </c>
      <c r="L109" s="24" t="str">
        <f>VLOOKUP(A109,'Trips&amp;Operators'!$C$1:$E$10000,3,FALSE)</f>
        <v>YOUNG</v>
      </c>
      <c r="M109" s="6">
        <f t="shared" ref="M109:M140" si="56">I109-F109</f>
        <v>2.8414351851097308E-2</v>
      </c>
      <c r="N109" s="7">
        <f t="shared" si="53"/>
        <v>40.916666665580124</v>
      </c>
      <c r="O109" s="7"/>
      <c r="P109" s="7"/>
      <c r="Q109" s="25"/>
      <c r="R109" s="25"/>
      <c r="S109" s="37">
        <f t="shared" ref="S109:S140" si="57">SUM(U109:U109)/IF(AG109="EC",12,1)</f>
        <v>1</v>
      </c>
      <c r="T109" s="52" t="str">
        <f t="shared" ref="T109:T140" si="58">IF(ISEVEN(LEFT(AD109,4)),"Southbound","NorthBound")</f>
        <v>Southbound</v>
      </c>
      <c r="U109" s="15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2" t="str">
        <f t="shared" ref="V109:V140" si="59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https://search-rtdc-monitor-bjffxe2xuh6vdkpspy63sjmuny.us-east-1.es.amazonaws.com/_plugin/kibana/#/discover/Steve-Slow-Train-Analysis-(2080s-and-2083s)?_g=(refreshInterval:(display:Off,section:0,value:0),time:(from:'2016-09-26 15:20:21-0600',mode:absolute,to:'2016-09-26 18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09" s="54" t="str">
        <f t="shared" ref="W109:W140" si="60">IF(AA109&lt;IF(AG109="EC",23,5.65),"Y","N")</f>
        <v>N</v>
      </c>
      <c r="X109" s="164">
        <f t="shared" si="54"/>
        <v>1</v>
      </c>
      <c r="Y109" s="69">
        <f t="shared" ref="Y109:Y140" si="61">RIGHT(D109,LEN(D109)-4)/10000</f>
        <v>23.298500000000001</v>
      </c>
      <c r="Z109" s="69">
        <f t="shared" ref="Z109:Z140" si="62">RIGHT(H109,LEN(H109)-4)/10000</f>
        <v>1.6E-2</v>
      </c>
      <c r="AA109" s="69">
        <f t="shared" ref="AA109:AA140" si="63">ABS(Z109-Y109)</f>
        <v>23.282500000000002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 t="shared" ref="AD109:AD140" si="64">IF(LEN(A109)=6,"0"&amp;A109,A109)</f>
        <v>0196-26</v>
      </c>
      <c r="AE109" s="95" t="str">
        <f t="shared" ref="AE109:AE140" si="65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s3://rtdc.mdm.uploadarchive/RTDC4008/2016-09-26/ "%USERPROFILE%\AppData\Local\Temp\OnboardLogs"\RTDC4008\2016-09-26 --recursive &amp; "%USERPROFILE%\Documents\GitHub\mrs-test-scripts\Headless Mode &amp; Sideloading\WalkAndUnGZ.bat" "%USERPROFILE%\AppData\Local\Temp\OnboardLogs"\RTDC4008\2016-09-26 &amp; aws s3 cp s3://rtdc.mdm.uploadarchive/RTDC4008/2016-09-27/ "%USERPROFILE%\AppData\Local\Temp\OnboardLogs"\RTDC4008\2016-09-27 --recursive &amp; "%USERPROFILE%\Documents\GitHub\mrs-test-scripts\Headless Mode &amp; Sideloading\WalkAndUnGZ.bat" "%USERPROFILE%\AppData\Local\Temp\OnboardLogs"\RTDC4008\2016-09-27</v>
      </c>
      <c r="AF109" s="92" t="str">
        <f t="shared" ref="AF109:AF140" si="66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/stypes="app*4008*20160926*" /stext=" 23:.+((SYSTEM_STATE.+slice.+state.+changed )|(ment ac)|(system.+state.+changed )|(\|lc)|(penalty)|(\[timeout)|(PRM\|1\|D)|(kpr)|(kdp))" /e /r /s</v>
      </c>
      <c r="AG109" s="1" t="str">
        <f t="shared" ref="AG109:AG140" si="67">IFERROR(IF(VALUE(LEFT(AD109,2))&lt;=2,"EC",IF(OR(VALUE(LEFT(AD109,2))=8,VALUE(LEFT(AD109,2))=18),"NW","Other")),"Other")</f>
        <v>EC</v>
      </c>
      <c r="AH109" s="96" t="str">
        <f t="shared" si="38"/>
        <v>"%USERPROFILE%\Documents\GitHub\eaglep3\Utilities\RefineRTDCRunTimes.py" --tripid 196-26 --locoid 4008 --swversion DE.1.0.7.0 --startMP 204:232985 --initTime 2016-09-26T16:20:21 --startdatetime 2016-09-26T16:27:01 --delay 2 --endMP 204:160 --enddatetime 2016-09-26T17:07:56 --enforcementcount 0 &gt;&gt;C:\Users\stu\Documents\GitHub\eaglep3-reporting\EC\2016-09-26-refined-times.txt</v>
      </c>
      <c r="AI109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{"issue":{"subject":"","project_id":79,"tracker_id":40,"status_id":1,"priority_id":2,"assigned_to_id":23,"start_date":"2016-09-26","description":"","custom_fields":[{"id":1,"name":"Subdivision","value":"EC"},{"id":4,"name":"Milepost","value":"0.016"},{"id":17,"name":"Train ID","value":"196-26"},{"id":16,"name":"Locomotive ID","value":"4008"},{"id":130,"name":"Impact","value":""},{"id":150,"name":"Time of Event (Mountain Time)","value":"17:07:56"},{"id":151,"name":"Denver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505</v>
      </c>
      <c r="B110" s="7">
        <v>4014</v>
      </c>
      <c r="C110" s="24" t="s">
        <v>106</v>
      </c>
      <c r="D110" s="24" t="s">
        <v>344</v>
      </c>
      <c r="E110" s="15">
        <v>42639.654942129629</v>
      </c>
      <c r="F110" s="15">
        <v>42639.656643518516</v>
      </c>
      <c r="G110" s="7">
        <v>2</v>
      </c>
      <c r="H110" s="15" t="s">
        <v>334</v>
      </c>
      <c r="I110" s="15">
        <v>42639.682187500002</v>
      </c>
      <c r="J110" s="7">
        <v>0</v>
      </c>
      <c r="K110" s="117" t="str">
        <f t="shared" si="55"/>
        <v>4013/4014</v>
      </c>
      <c r="L110" s="24" t="str">
        <f>VLOOKUP(A110,'Trips&amp;Operators'!$C$1:$E$10000,3,FALSE)</f>
        <v>HELVIE</v>
      </c>
      <c r="M110" s="6">
        <f t="shared" si="56"/>
        <v>2.5543981486407574E-2</v>
      </c>
      <c r="N110" s="7">
        <f t="shared" si="53"/>
        <v>36.783333340426907</v>
      </c>
      <c r="O110" s="7"/>
      <c r="P110" s="7"/>
      <c r="Q110" s="25"/>
      <c r="R110" s="25"/>
      <c r="S110" s="37">
        <f t="shared" si="57"/>
        <v>1</v>
      </c>
      <c r="T110" s="52" t="str">
        <f t="shared" si="58"/>
        <v>NorthBound</v>
      </c>
      <c r="U110" s="15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14:43:07-0600',mode:absolute,to:'2016-09-26 17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0" s="54" t="str">
        <f t="shared" si="60"/>
        <v>N</v>
      </c>
      <c r="X110" s="164">
        <f t="shared" si="54"/>
        <v>1</v>
      </c>
      <c r="Y110" s="69">
        <f t="shared" si="61"/>
        <v>4.8899999999999999E-2</v>
      </c>
      <c r="Z110" s="69">
        <f t="shared" si="62"/>
        <v>23.328900000000001</v>
      </c>
      <c r="AA110" s="69">
        <f t="shared" si="63"/>
        <v>23.28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 t="shared" si="64"/>
        <v>0197-26</v>
      </c>
      <c r="AE110" s="95" t="str">
        <f t="shared" si="65"/>
        <v>aws s3 cp s3://rtdc.mdm.uploadarchive/RTDC4014/2016-09-26/ "%USERPROFILE%\AppData\Local\Temp\OnboardLogs"\RTDC4014\2016-09-26 --recursive &amp; "%USERPROFILE%\Documents\GitHub\mrs-test-scripts\Headless Mode &amp; Sideloading\WalkAndUnGZ.bat" "%USERPROFILE%\AppData\Local\Temp\OnboardLogs"\RTDC4014\2016-09-26 &amp; 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</v>
      </c>
      <c r="AF110" s="92" t="str">
        <f t="shared" si="66"/>
        <v>"C:\Program Files (x86)\AstroGrep\AstroGrep.exe" /spath="%USERPROFILE%\AppData\Local\Temp\OnboardLogs" /stypes="app*4014*20160926*" /stext=" 22:.+((SYSTEM_STATE.+slice.+state.+changed )|(ment ac)|(system.+state.+changed )|(\|lc)|(penalty)|(\[timeout)|(PRM\|1\|D)|(kpr)|(kdp))" /e /r /s</v>
      </c>
      <c r="AG110" s="1" t="str">
        <f t="shared" si="67"/>
        <v>EC</v>
      </c>
      <c r="AH110" s="96" t="str">
        <f t="shared" si="38"/>
        <v>"%USERPROFILE%\Documents\GitHub\eaglep3\Utilities\RefineRTDCRunTimes.py" --tripid 197-26 --locoid 4014 --swversion DE.1.0.7.0 --startMP 204:489 --initTime 2016-09-26T15:43:07 --startdatetime 2016-09-26T15:45:34 --delay 2 --endMP 204:233289 --enddatetime 2016-09-26T16:22:21 --enforcementcount 0 &gt;&gt;C:\Users\stu\Documents\GitHub\eaglep3-reporting\EC\2016-09-26-refined-times.txt</v>
      </c>
      <c r="AI110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{"issue":{"subject":"","project_id":79,"tracker_id":40,"status_id":1,"priority_id":2,"assigned_to_id":23,"start_date":"2016-09-26","description":"","custom_fields":[{"id":1,"name":"Subdivision","value":"EC"},{"id":4,"name":"Milepost","value":"23.3289"},{"id":17,"name":"Train ID","value":"197-26"},{"id":16,"name":"Locomotive ID","value":"4014"},{"id":130,"name":"Impact","value":""},{"id":150,"name":"Time of Event (Mountain Time)","value":"16:22:21"},{"id":151,"name":"Denver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506</v>
      </c>
      <c r="B111" s="7">
        <v>4013</v>
      </c>
      <c r="C111" s="24" t="s">
        <v>106</v>
      </c>
      <c r="D111" s="24" t="s">
        <v>333</v>
      </c>
      <c r="E111" s="15">
        <v>42639.689062500001</v>
      </c>
      <c r="F111" s="15">
        <v>42639.695706018516</v>
      </c>
      <c r="G111" s="7">
        <v>1</v>
      </c>
      <c r="H111" s="15" t="s">
        <v>280</v>
      </c>
      <c r="I111" s="15">
        <v>42639.726157407407</v>
      </c>
      <c r="J111" s="7">
        <v>0</v>
      </c>
      <c r="K111" s="117" t="str">
        <f t="shared" si="55"/>
        <v>4013/4014</v>
      </c>
      <c r="L111" s="24" t="str">
        <f>VLOOKUP(A111,'Trips&amp;Operators'!$C$1:$E$10000,3,FALSE)</f>
        <v>HELVIE</v>
      </c>
      <c r="M111" s="6">
        <f t="shared" si="56"/>
        <v>3.0451388891378883E-2</v>
      </c>
      <c r="N111" s="7">
        <f t="shared" si="53"/>
        <v>43.850000003585592</v>
      </c>
      <c r="O111" s="7"/>
      <c r="P111" s="7"/>
      <c r="Q111" s="25"/>
      <c r="R111" s="25"/>
      <c r="S111" s="37">
        <f t="shared" si="57"/>
        <v>1</v>
      </c>
      <c r="T111" s="52" t="str">
        <f t="shared" si="58"/>
        <v>Southbound</v>
      </c>
      <c r="U111" s="15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15:32:15-0600',mode:absolute,to:'2016-09-26 18:25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1" s="54" t="str">
        <f t="shared" si="60"/>
        <v>N</v>
      </c>
      <c r="X111" s="164">
        <f t="shared" si="54"/>
        <v>1</v>
      </c>
      <c r="Y111" s="69">
        <f t="shared" si="61"/>
        <v>23.296099999999999</v>
      </c>
      <c r="Z111" s="69">
        <f t="shared" si="62"/>
        <v>1.43E-2</v>
      </c>
      <c r="AA111" s="69">
        <f t="shared" si="63"/>
        <v>23.2818</v>
      </c>
      <c r="AB111" s="66" t="str">
        <f>VLOOKUP(A111,Enforcements!$C$7:$K$20,8,0)</f>
        <v>Bulletin (2)</v>
      </c>
      <c r="AC111" s="62" t="str">
        <f>VLOOKUP(A111,Enforcements!$C$7:$E$20,3,0)</f>
        <v>GRADE CROSSING</v>
      </c>
      <c r="AD111" s="63" t="str">
        <f t="shared" si="64"/>
        <v>0198-26</v>
      </c>
      <c r="AE111" s="95" t="str">
        <f t="shared" si="65"/>
        <v>aws s3 cp s3://rtdc.mdm.uploadarchive/RTDC4013/2016-09-26/ "%USERPROFILE%\AppData\Local\Temp\OnboardLogs"\RTDC4013\2016-09-26 --recursive &amp; "%USERPROFILE%\Documents\GitHub\mrs-test-scripts\Headless Mode &amp; Sideloading\WalkAndUnGZ.bat" "%USERPROFILE%\AppData\Local\Temp\OnboardLogs"\RTDC4013\2016-09-26 &amp; 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</v>
      </c>
      <c r="AF111" s="92" t="str">
        <f t="shared" si="66"/>
        <v>"C:\Program Files (x86)\AstroGrep\AstroGrep.exe" /spath="%USERPROFILE%\AppData\Local\Temp\OnboardLogs" /stypes="app*4013*20160926*" /stext=" 23:.+((SYSTEM_STATE.+slice.+state.+changed )|(ment ac)|(system.+state.+changed )|(\|lc)|(penalty)|(\[timeout)|(PRM\|1\|D)|(kpr)|(kdp))" /e /r /s</v>
      </c>
      <c r="AG111" s="1" t="str">
        <f t="shared" si="67"/>
        <v>EC</v>
      </c>
      <c r="AH111" s="96" t="str">
        <f t="shared" si="38"/>
        <v>"%USERPROFILE%\Documents\GitHub\eaglep3\Utilities\RefineRTDCRunTimes.py" --tripid 198-26 --locoid 4013 --swversion DE.1.0.7.0 --startMP 204:232961 --initTime 2016-09-26T16:32:15 --startdatetime 2016-09-26T16:41:49 --delay 1 --endMP 204:143 --enddatetime 2016-09-26T17:25:40 --enforcementcount 0 &gt;&gt;C:\Users\stu\Documents\GitHub\eaglep3-reporting\EC\2016-09-26-refined-times.txt</v>
      </c>
      <c r="AI111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{"issue":{"subject":"","project_id":79,"tracker_id":40,"status_id":1,"priority_id":2,"assigned_to_id":23,"start_date":"2016-09-26","description":"","custom_fields":[{"id":1,"name":"Subdivision","value":"EC"},{"id":4,"name":"Milepost","value":"0.0143"},{"id":17,"name":"Train ID","value":"198-26"},{"id":16,"name":"Locomotive ID","value":"4013"},{"id":130,"name":"Impact","value":""},{"id":150,"name":"Time of Event (Mountain Time)","value":"17:25:40"},{"id":151,"name":"Denver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507</v>
      </c>
      <c r="B112" s="7">
        <v>4011</v>
      </c>
      <c r="C112" s="24" t="s">
        <v>106</v>
      </c>
      <c r="D112" s="24" t="s">
        <v>224</v>
      </c>
      <c r="E112" s="15">
        <v>42639.66133101852</v>
      </c>
      <c r="F112" s="15">
        <v>42639.666875000003</v>
      </c>
      <c r="G112" s="7">
        <v>1</v>
      </c>
      <c r="H112" s="15" t="s">
        <v>347</v>
      </c>
      <c r="I112" s="15">
        <v>42639.692442129628</v>
      </c>
      <c r="J112" s="7">
        <v>0</v>
      </c>
      <c r="K112" s="117" t="str">
        <f t="shared" si="55"/>
        <v>4011/4012</v>
      </c>
      <c r="L112" s="24" t="str">
        <f>VLOOKUP(A112,'Trips&amp;Operators'!$C$1:$E$10000,3,FALSE)</f>
        <v>OUN</v>
      </c>
      <c r="M112" s="6">
        <f t="shared" si="56"/>
        <v>2.5567129625414964E-2</v>
      </c>
      <c r="N112" s="7">
        <f t="shared" si="53"/>
        <v>36.816666660597548</v>
      </c>
      <c r="O112" s="7"/>
      <c r="P112" s="7"/>
      <c r="Q112" s="25"/>
      <c r="R112" s="25"/>
      <c r="S112" s="37">
        <f t="shared" si="57"/>
        <v>1</v>
      </c>
      <c r="T112" s="52" t="str">
        <f t="shared" si="58"/>
        <v>NorthBound</v>
      </c>
      <c r="U112" s="15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14:52:19-0600',mode:absolute,to:'2016-09-26 17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12" s="54" t="str">
        <f t="shared" si="60"/>
        <v>N</v>
      </c>
      <c r="X112" s="164">
        <f t="shared" si="54"/>
        <v>1</v>
      </c>
      <c r="Y112" s="69">
        <f t="shared" si="61"/>
        <v>4.4699999999999997E-2</v>
      </c>
      <c r="Z112" s="69">
        <f t="shared" si="62"/>
        <v>23.331499999999998</v>
      </c>
      <c r="AA112" s="69">
        <f t="shared" si="63"/>
        <v>23.286799999999999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 t="shared" si="64"/>
        <v>0199-26</v>
      </c>
      <c r="AE112" s="95" t="str">
        <f t="shared" si="65"/>
        <v>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 &amp; 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</v>
      </c>
      <c r="AF112" s="92" t="str">
        <f t="shared" si="66"/>
        <v>"C:\Program Files (x86)\AstroGrep\AstroGrep.exe" /spath="%USERPROFILE%\AppData\Local\Temp\OnboardLogs" /stypes="app*4011*20160926*" /stext=" 22:.+((SYSTEM_STATE.+slice.+state.+changed )|(ment ac)|(system.+state.+changed )|(\|lc)|(penalty)|(\[timeout)|(PRM\|1\|D)|(kpr)|(kdp))" /e /r /s</v>
      </c>
      <c r="AG112" s="1" t="str">
        <f t="shared" si="67"/>
        <v>EC</v>
      </c>
      <c r="AH112" s="96" t="str">
        <f t="shared" si="38"/>
        <v>"%USERPROFILE%\Documents\GitHub\eaglep3\Utilities\RefineRTDCRunTimes.py" --tripid 199-26 --locoid 4011 --swversion DE.1.0.7.0 --startMP 204:447 --initTime 2016-09-26T15:52:19 --startdatetime 2016-09-26T16:00:18 --delay 1 --endMP 204:233315 --enddatetime 2016-09-26T16:37:07 --enforcementcount 0 &gt;&gt;C:\Users\stu\Documents\GitHub\eaglep3-reporting\EC\2016-09-26-refined-times.txt</v>
      </c>
      <c r="AI112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{"issue":{"subject":"","project_id":79,"tracker_id":40,"status_id":1,"priority_id":2,"assigned_to_id":23,"start_date":"2016-09-26","description":"","custom_fields":[{"id":1,"name":"Subdivision","value":"EC"},{"id":4,"name":"Milepost","value":"23.3315"},{"id":17,"name":"Train ID","value":"199-26"},{"id":16,"name":"Locomotive ID","value":"4011"},{"id":130,"name":"Impact","value":""},{"id":150,"name":"Time of Event (Mountain Time)","value":"16:37:07"},{"id":151,"name":"Denver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508</v>
      </c>
      <c r="B113" s="7">
        <v>4012</v>
      </c>
      <c r="C113" s="24" t="s">
        <v>106</v>
      </c>
      <c r="D113" s="24" t="s">
        <v>349</v>
      </c>
      <c r="E113" s="15">
        <v>42639.701261574075</v>
      </c>
      <c r="F113" s="15">
        <v>42639.705752314818</v>
      </c>
      <c r="G113" s="7">
        <v>0</v>
      </c>
      <c r="H113" s="15" t="s">
        <v>218</v>
      </c>
      <c r="I113" s="15">
        <v>42639.732615740744</v>
      </c>
      <c r="J113" s="7">
        <v>0</v>
      </c>
      <c r="K113" s="117" t="str">
        <f t="shared" si="55"/>
        <v>4011/4012</v>
      </c>
      <c r="L113" s="24" t="str">
        <f>VLOOKUP(A113,'Trips&amp;Operators'!$C$1:$E$10000,3,FALSE)</f>
        <v>OUN</v>
      </c>
      <c r="M113" s="6">
        <f t="shared" si="56"/>
        <v>2.6863425926421769E-2</v>
      </c>
      <c r="N113" s="7">
        <f t="shared" si="53"/>
        <v>38.683333334047347</v>
      </c>
      <c r="O113" s="7"/>
      <c r="P113" s="7"/>
      <c r="Q113" s="25"/>
      <c r="R113" s="25"/>
      <c r="S113" s="37">
        <f t="shared" si="57"/>
        <v>1</v>
      </c>
      <c r="T113" s="52" t="str">
        <f t="shared" si="58"/>
        <v>Southbound</v>
      </c>
      <c r="U113" s="15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15:49:49-0600',mode:absolute,to:'2016-09-26 18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13" s="54" t="str">
        <f t="shared" si="60"/>
        <v>N</v>
      </c>
      <c r="X113" s="164">
        <f t="shared" si="54"/>
        <v>1</v>
      </c>
      <c r="Y113" s="69">
        <f t="shared" si="61"/>
        <v>23.3002</v>
      </c>
      <c r="Z113" s="69">
        <f t="shared" si="62"/>
        <v>1.47E-2</v>
      </c>
      <c r="AA113" s="69">
        <f t="shared" si="63"/>
        <v>23.285499999999999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64"/>
        <v>0200-26</v>
      </c>
      <c r="AE113" s="95" t="str">
        <f t="shared" si="65"/>
        <v>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 &amp; 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</v>
      </c>
      <c r="AF113" s="92" t="str">
        <f t="shared" si="66"/>
        <v>"C:\Program Files (x86)\AstroGrep\AstroGrep.exe" /spath="%USERPROFILE%\AppData\Local\Temp\OnboardLogs" /stypes="app*4012*20160926*" /stext=" 23:.+((SYSTEM_STATE.+slice.+state.+changed )|(ment ac)|(system.+state.+changed )|(\|lc)|(penalty)|(\[timeout)|(PRM\|1\|D)|(kpr)|(kdp))" /e /r /s</v>
      </c>
      <c r="AG113" s="1" t="str">
        <f t="shared" si="67"/>
        <v>EC</v>
      </c>
      <c r="AH113" s="96" t="str">
        <f t="shared" si="38"/>
        <v>"%USERPROFILE%\Documents\GitHub\eaglep3\Utilities\RefineRTDCRunTimes.py" --tripid 200-26 --locoid 4012 --swversion DE.1.0.7.0 --startMP 204:233002 --initTime 2016-09-26T16:49:49 --startdatetime 2016-09-26T16:56:17 --delay 0 --endMP 204:147 --enddatetime 2016-09-26T17:34:58 --enforcementcount 0 &gt;&gt;C:\Users\stu\Documents\GitHub\eaglep3-reporting\EC\2016-09-26-refined-times.txt</v>
      </c>
      <c r="AI113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{"issue":{"subject":"","project_id":79,"tracker_id":40,"status_id":1,"priority_id":2,"assigned_to_id":23,"start_date":"2016-09-26","description":"","custom_fields":[{"id":1,"name":"Subdivision","value":"EC"},{"id":4,"name":"Milepost","value":"0.0147"},{"id":17,"name":"Train ID","value":"200-26"},{"id":16,"name":"Locomotive ID","value":"4012"},{"id":130,"name":"Impact","value":""},{"id":150,"name":"Time of Event (Mountain Time)","value":"17:34:58"},{"id":151,"name":"Denver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509</v>
      </c>
      <c r="B114" s="7">
        <v>4053</v>
      </c>
      <c r="C114" s="24" t="s">
        <v>106</v>
      </c>
      <c r="D114" s="24" t="s">
        <v>225</v>
      </c>
      <c r="E114" s="15">
        <v>42639.673020833332</v>
      </c>
      <c r="F114" s="15">
        <v>42639.672962962963</v>
      </c>
      <c r="G114" s="7">
        <v>3</v>
      </c>
      <c r="H114" s="15" t="s">
        <v>225</v>
      </c>
      <c r="I114" s="15">
        <v>42639.69972222222</v>
      </c>
      <c r="J114" s="7">
        <v>0</v>
      </c>
      <c r="K114" s="117" t="str">
        <f t="shared" si="55"/>
        <v>4053/4054</v>
      </c>
      <c r="L114" s="24" t="str">
        <f>VLOOKUP(A114,'Trips&amp;Operators'!$C$1:$E$10000,3,FALSE)</f>
        <v>STEWART</v>
      </c>
      <c r="M114" s="6">
        <f t="shared" si="56"/>
        <v>2.675925925723277E-2</v>
      </c>
      <c r="N114" s="7"/>
      <c r="O114" s="7"/>
      <c r="P114" s="7">
        <f>24*60*SUM($M114:$M114)</f>
        <v>38.533333330415189</v>
      </c>
      <c r="Q114" s="25"/>
      <c r="R114" s="25" t="s">
        <v>327</v>
      </c>
      <c r="S114" s="37">
        <f t="shared" si="57"/>
        <v>0</v>
      </c>
      <c r="T114" s="52" t="str">
        <f t="shared" si="58"/>
        <v>NorthBound</v>
      </c>
      <c r="U114" s="15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0</v>
      </c>
      <c r="V11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15:09:09-0600',mode:absolute,to:'2016-09-26 17:47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14" s="54" t="str">
        <f t="shared" si="60"/>
        <v>Y</v>
      </c>
      <c r="X114" s="164">
        <f t="shared" si="54"/>
        <v>1</v>
      </c>
      <c r="Y114" s="69">
        <f t="shared" si="61"/>
        <v>4.6600000000000003E-2</v>
      </c>
      <c r="Z114" s="69">
        <f t="shared" si="62"/>
        <v>4.6600000000000003E-2</v>
      </c>
      <c r="AA114" s="69">
        <f t="shared" si="63"/>
        <v>0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64"/>
        <v>0201-26</v>
      </c>
      <c r="AE114" s="95" t="str">
        <f t="shared" si="65"/>
        <v>aws s3 cp s3://rtdc.mdm.uploadarchive/RTDC4053/2016-09-26/ "%USERPROFILE%\AppData\Local\Temp\OnboardLogs"\RTDC4053\2016-09-26 --recursive &amp; "%USERPROFILE%\Documents\GitHub\mrs-test-scripts\Headless Mode &amp; Sideloading\WalkAndUnGZ.bat" "%USERPROFILE%\AppData\Local\Temp\OnboardLogs"\RTDC4053\2016-09-26 &amp; aws s3 cp s3://rtdc.mdm.uploadarchive/RTDC4053/2016-09-27/ "%USERPROFILE%\AppData\Local\Temp\OnboardLogs"\RTDC4053\2016-09-27 --recursive &amp; "%USERPROFILE%\Documents\GitHub\mrs-test-scripts\Headless Mode &amp; Sideloading\WalkAndUnGZ.bat" "%USERPROFILE%\AppData\Local\Temp\OnboardLogs"\RTDC4053\2016-09-27</v>
      </c>
      <c r="AF114" s="92" t="str">
        <f t="shared" si="66"/>
        <v>"C:\Program Files (x86)\AstroGrep\AstroGrep.exe" /spath="%USERPROFILE%\AppData\Local\Temp\OnboardLogs" /stypes="app*4053*20160926*" /stext=" 22:.+((SYSTEM_STATE.+slice.+state.+changed )|(ment ac)|(system.+state.+changed )|(\|lc)|(penalty)|(\[timeout)|(PRM\|1\|D)|(kpr)|(kdp))" /e /r /s</v>
      </c>
      <c r="AG114" s="1" t="str">
        <f t="shared" si="67"/>
        <v>EC</v>
      </c>
      <c r="AH114" s="96" t="str">
        <f t="shared" si="38"/>
        <v>"%USERPROFILE%\Documents\GitHub\eaglep3\Utilities\RefineRTDCRunTimes.py" --tripid 201-26 --locoid 4053 --swversion DE.1.0.7.0 --startMP 204:466 --initTime 2016-09-26T16:09:09 --startdatetime 2016-09-26T16:09:04 --delay 3 --endMP 204:466 --enddatetime 2016-09-26T16:47:36 --enforcementcount 0 &gt;&gt;C:\Users\stu\Documents\GitHub\eaglep3-reporting\EC\2016-09-26-refined-times.txt</v>
      </c>
      <c r="AI114" s="130" t="str">
        <f t="shared" si="39"/>
        <v>echo {"issue":{"subject":"Onboard in-route failure","project_id":79,"tracker_id":40,"status_id":1,"priority_id":2,"assigned_to_id":23,"start_date":"2016-09-26","description":"Multiple CPU Faults at 16:12:05","custom_fields":[{"id":1,"name":"Subdivision","value":"EC"},{"id":4,"name":"Milepost","value":"0.0466"},{"id":17,"name":"Train ID","value":"201-26"},{"id":16,"name":"Locomotive ID","value":"4053"},{"id":130,"name":"Impact","value":"Failed State"},{"id":150,"name":"Time of Event (Mountain Time)","value":"16:47:36"},{"id":151,"name":"Denver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14" s="55" t="s">
        <v>726</v>
      </c>
      <c r="AK114" s="55" t="s">
        <v>141</v>
      </c>
      <c r="AL114" s="55" t="s">
        <v>240</v>
      </c>
    </row>
    <row r="115" spans="1:38" x14ac:dyDescent="0.25">
      <c r="A115" s="39" t="s">
        <v>510</v>
      </c>
      <c r="B115" s="7">
        <v>4054</v>
      </c>
      <c r="C115" s="24" t="s">
        <v>106</v>
      </c>
      <c r="D115" s="24" t="s">
        <v>322</v>
      </c>
      <c r="E115" s="15">
        <v>42639.713506944441</v>
      </c>
      <c r="F115" s="15">
        <v>42639.716238425928</v>
      </c>
      <c r="G115" s="7">
        <v>1</v>
      </c>
      <c r="H115" s="15" t="s">
        <v>511</v>
      </c>
      <c r="I115" s="15">
        <v>42639.744085648148</v>
      </c>
      <c r="J115" s="7">
        <v>0</v>
      </c>
      <c r="K115" s="117" t="str">
        <f t="shared" si="55"/>
        <v>4053/4054</v>
      </c>
      <c r="L115" s="24" t="str">
        <f>VLOOKUP(A115,'Trips&amp;Operators'!$C$1:$E$10000,3,FALSE)</f>
        <v>STEWART</v>
      </c>
      <c r="M115" s="6">
        <f t="shared" si="56"/>
        <v>2.7847222219861578E-2</v>
      </c>
      <c r="N115" s="7">
        <f t="shared" ref="N115:N146" si="68">24*60*SUM($M115:$M115)</f>
        <v>40.099999996600673</v>
      </c>
      <c r="O115" s="7"/>
      <c r="P115" s="7"/>
      <c r="Q115" s="25"/>
      <c r="R115" s="25"/>
      <c r="S115" s="37">
        <f t="shared" si="57"/>
        <v>1</v>
      </c>
      <c r="T115" s="52" t="str">
        <f t="shared" si="58"/>
        <v>Southbound</v>
      </c>
      <c r="U115" s="15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16:07:27-0600',mode:absolute,to:'2016-09-26 18:51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15" s="54" t="str">
        <f t="shared" si="60"/>
        <v>N</v>
      </c>
      <c r="X115" s="164">
        <f t="shared" si="54"/>
        <v>1</v>
      </c>
      <c r="Y115" s="69">
        <f t="shared" si="61"/>
        <v>23.297999999999998</v>
      </c>
      <c r="Z115" s="69">
        <f t="shared" si="62"/>
        <v>1.61E-2</v>
      </c>
      <c r="AA115" s="69">
        <f t="shared" si="63"/>
        <v>23.281899999999997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64"/>
        <v>0202-26</v>
      </c>
      <c r="AE115" s="95" t="str">
        <f t="shared" si="65"/>
        <v>aws s3 cp s3://rtdc.mdm.uploadarchive/RTDC4054/2016-09-26/ "%USERPROFILE%\AppData\Local\Temp\OnboardLogs"\RTDC4054\2016-09-26 --recursive &amp; "%USERPROFILE%\Documents\GitHub\mrs-test-scripts\Headless Mode &amp; Sideloading\WalkAndUnGZ.bat" "%USERPROFILE%\AppData\Local\Temp\OnboardLogs"\RTDC4054\2016-09-26 &amp; aws s3 cp s3://rtdc.mdm.uploadarchive/RTDC4054/2016-09-27/ "%USERPROFILE%\AppData\Local\Temp\OnboardLogs"\RTDC4054\2016-09-27 --recursive &amp; "%USERPROFILE%\Documents\GitHub\mrs-test-scripts\Headless Mode &amp; Sideloading\WalkAndUnGZ.bat" "%USERPROFILE%\AppData\Local\Temp\OnboardLogs"\RTDC4054\2016-09-27</v>
      </c>
      <c r="AF115" s="92" t="str">
        <f t="shared" si="66"/>
        <v>"C:\Program Files (x86)\AstroGrep\AstroGrep.exe" /spath="%USERPROFILE%\AppData\Local\Temp\OnboardLogs" /stypes="app*4054*20160926*" /stext=" 23:.+((SYSTEM_STATE.+slice.+state.+changed )|(ment ac)|(system.+state.+changed )|(\|lc)|(penalty)|(\[timeout)|(PRM\|1\|D)|(kpr)|(kdp))" /e /r /s</v>
      </c>
      <c r="AG115" s="1" t="str">
        <f t="shared" si="67"/>
        <v>EC</v>
      </c>
      <c r="AH115" s="96" t="str">
        <f t="shared" si="38"/>
        <v>"%USERPROFILE%\Documents\GitHub\eaglep3\Utilities\RefineRTDCRunTimes.py" --tripid 202-26 --locoid 4054 --swversion DE.1.0.7.0 --startMP 204:232980 --initTime 2016-09-26T17:07:27 --startdatetime 2016-09-26T17:11:23 --delay 1 --endMP 204:161 --enddatetime 2016-09-26T17:51:29 --enforcementcount 0 &gt;&gt;C:\Users\stu\Documents\GitHub\eaglep3-reporting\EC\2016-09-26-refined-times.txt</v>
      </c>
      <c r="AI115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{"issue":{"subject":"","project_id":79,"tracker_id":40,"status_id":1,"priority_id":2,"assigned_to_id":23,"start_date":"2016-09-26","description":"","custom_fields":[{"id":1,"name":"Subdivision","value":"EC"},{"id":4,"name":"Milepost","value":"0.0161"},{"id":17,"name":"Train ID","value":"202-26"},{"id":16,"name":"Locomotive ID","value":"4054"},{"id":130,"name":"Impact","value":""},{"id":150,"name":"Time of Event (Mountain Time)","value":"17:51:29"},{"id":151,"name":"Denver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512</v>
      </c>
      <c r="B116" s="7">
        <v>4018</v>
      </c>
      <c r="C116" s="24" t="s">
        <v>106</v>
      </c>
      <c r="D116" s="24" t="s">
        <v>513</v>
      </c>
      <c r="E116" s="15">
        <v>42639.682962962965</v>
      </c>
      <c r="F116" s="15">
        <v>42639.688032407408</v>
      </c>
      <c r="G116" s="7">
        <v>0</v>
      </c>
      <c r="H116" s="15" t="s">
        <v>448</v>
      </c>
      <c r="I116" s="15">
        <v>42639.71334490741</v>
      </c>
      <c r="J116" s="7">
        <v>0</v>
      </c>
      <c r="K116" s="117" t="str">
        <f t="shared" si="55"/>
        <v>4017/4018</v>
      </c>
      <c r="L116" s="24" t="str">
        <f>VLOOKUP(A116,'Trips&amp;Operators'!$C$1:$E$10000,3,FALSE)</f>
        <v>BARTLETT</v>
      </c>
      <c r="M116" s="6">
        <f t="shared" si="56"/>
        <v>2.531250000174623E-2</v>
      </c>
      <c r="N116" s="7">
        <f t="shared" si="68"/>
        <v>36.450000002514571</v>
      </c>
      <c r="O116" s="7"/>
      <c r="P116" s="7"/>
      <c r="Q116" s="25"/>
      <c r="R116" s="25"/>
      <c r="S116" s="37">
        <f t="shared" si="57"/>
        <v>1</v>
      </c>
      <c r="T116" s="52" t="str">
        <f t="shared" si="58"/>
        <v>NorthBound</v>
      </c>
      <c r="U116" s="15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15:23:28-0600',mode:absolute,to:'2016-09-26 18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16" s="54" t="str">
        <f t="shared" si="60"/>
        <v>N</v>
      </c>
      <c r="X116" s="164">
        <f t="shared" si="54"/>
        <v>1</v>
      </c>
      <c r="Y116" s="69">
        <f t="shared" si="61"/>
        <v>4.82E-2</v>
      </c>
      <c r="Z116" s="69">
        <f t="shared" si="62"/>
        <v>23.330400000000001</v>
      </c>
      <c r="AA116" s="69">
        <f t="shared" si="63"/>
        <v>23.2822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64"/>
        <v>0203-26</v>
      </c>
      <c r="AE116" s="95" t="str">
        <f t="shared" si="65"/>
        <v>aws s3 cp s3://rtdc.mdm.uploadarchive/RTDC4018/2016-09-26/ "%USERPROFILE%\AppData\Local\Temp\OnboardLogs"\RTDC4018\2016-09-26 --recursive &amp; "%USERPROFILE%\Documents\GitHub\mrs-test-scripts\Headless Mode &amp; Sideloading\WalkAndUnGZ.bat" "%USERPROFILE%\AppData\Local\Temp\OnboardLogs"\RTDC4018\2016-09-26 &amp; 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</v>
      </c>
      <c r="AF116" s="92" t="str">
        <f t="shared" si="66"/>
        <v>"C:\Program Files (x86)\AstroGrep\AstroGrep.exe" /spath="%USERPROFILE%\AppData\Local\Temp\OnboardLogs" /stypes="app*4018*20160926*" /stext=" 23:.+((SYSTEM_STATE.+slice.+state.+changed )|(ment ac)|(system.+state.+changed )|(\|lc)|(penalty)|(\[timeout)|(PRM\|1\|D)|(kpr)|(kdp))" /e /r /s</v>
      </c>
      <c r="AG116" s="1" t="str">
        <f t="shared" si="67"/>
        <v>EC</v>
      </c>
      <c r="AH116" s="96" t="str">
        <f t="shared" si="38"/>
        <v>"%USERPROFILE%\Documents\GitHub\eaglep3\Utilities\RefineRTDCRunTimes.py" --tripid 203-26 --locoid 4018 --swversion DE.1.0.7.0 --startMP 204:482 --initTime 2016-09-26T16:23:28 --startdatetime 2016-09-26T16:30:46 --delay 0 --endMP 204:233304 --enddatetime 2016-09-26T17:07:13 --enforcementcount 0 &gt;&gt;C:\Users\stu\Documents\GitHub\eaglep3-reporting\EC\2016-09-26-refined-times.txt</v>
      </c>
      <c r="AI116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{"issue":{"subject":"","project_id":79,"tracker_id":40,"status_id":1,"priority_id":2,"assigned_to_id":23,"start_date":"2016-09-26","description":"","custom_fields":[{"id":1,"name":"Subdivision","value":"EC"},{"id":4,"name":"Milepost","value":"23.3304"},{"id":17,"name":"Train ID","value":"203-26"},{"id":16,"name":"Locomotive ID","value":"4018"},{"id":130,"name":"Impact","value":""},{"id":150,"name":"Time of Event (Mountain Time)","value":"17:07:13"},{"id":151,"name":"Denver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514</v>
      </c>
      <c r="B117" s="7">
        <v>4017</v>
      </c>
      <c r="C117" s="24" t="s">
        <v>106</v>
      </c>
      <c r="D117" s="24" t="s">
        <v>317</v>
      </c>
      <c r="E117" s="15">
        <v>42639.716273148151</v>
      </c>
      <c r="F117" s="15">
        <v>42639.726770833331</v>
      </c>
      <c r="G117" s="7">
        <v>1</v>
      </c>
      <c r="H117" s="15" t="s">
        <v>247</v>
      </c>
      <c r="I117" s="15">
        <v>42639.754895833335</v>
      </c>
      <c r="J117" s="7">
        <v>0</v>
      </c>
      <c r="K117" s="117" t="str">
        <f t="shared" si="55"/>
        <v>4017/4018</v>
      </c>
      <c r="L117" s="24" t="str">
        <f>VLOOKUP(A117,'Trips&amp;Operators'!$C$1:$E$10000,3,FALSE)</f>
        <v>BARTLETT</v>
      </c>
      <c r="M117" s="6">
        <f t="shared" si="56"/>
        <v>2.8125000004365575E-2</v>
      </c>
      <c r="N117" s="7">
        <f t="shared" si="68"/>
        <v>40.500000006286427</v>
      </c>
      <c r="O117" s="7"/>
      <c r="P117" s="7"/>
      <c r="Q117" s="25"/>
      <c r="R117" s="25"/>
      <c r="S117" s="37">
        <f t="shared" si="57"/>
        <v>1</v>
      </c>
      <c r="T117" s="52" t="str">
        <f t="shared" si="58"/>
        <v>Southbound</v>
      </c>
      <c r="U117" s="15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16:11:26-0600',mode:absolute,to:'2016-09-26 19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17" s="54" t="str">
        <f t="shared" si="60"/>
        <v>N</v>
      </c>
      <c r="X117" s="164">
        <f t="shared" si="54"/>
        <v>1</v>
      </c>
      <c r="Y117" s="69">
        <f t="shared" si="61"/>
        <v>23.298500000000001</v>
      </c>
      <c r="Z117" s="69">
        <f t="shared" si="62"/>
        <v>1.5599999999999999E-2</v>
      </c>
      <c r="AA117" s="69">
        <f t="shared" si="63"/>
        <v>23.282900000000001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 t="shared" si="64"/>
        <v>0204-26</v>
      </c>
      <c r="AE117" s="95" t="str">
        <f t="shared" si="65"/>
        <v>aws s3 cp s3://rtdc.mdm.uploadarchive/RTDC4017/2016-09-26/ "%USERPROFILE%\AppData\Local\Temp\OnboardLogs"\RTDC4017\2016-09-26 --recursive &amp; "%USERPROFILE%\Documents\GitHub\mrs-test-scripts\Headless Mode &amp; Sideloading\WalkAndUnGZ.bat" "%USERPROFILE%\AppData\Local\Temp\OnboardLogs"\RTDC4017\2016-09-26 &amp; 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</v>
      </c>
      <c r="AF117" s="92" t="str">
        <f t="shared" si="66"/>
        <v>"C:\Program Files (x86)\AstroGrep\AstroGrep.exe" /spath="%USERPROFILE%\AppData\Local\Temp\OnboardLogs" /stypes="app*4017*20160927*" /stext=" 00:.+((SYSTEM_STATE.+slice.+state.+changed )|(ment ac)|(system.+state.+changed )|(\|lc)|(penalty)|(\[timeout)|(PRM\|1\|D)|(kpr)|(kdp))" /e /r /s</v>
      </c>
      <c r="AG117" s="1" t="str">
        <f t="shared" si="67"/>
        <v>EC</v>
      </c>
      <c r="AH117" s="96" t="str">
        <f t="shared" si="38"/>
        <v>"%USERPROFILE%\Documents\GitHub\eaglep3\Utilities\RefineRTDCRunTimes.py" --tripid 204-26 --locoid 4017 --swversion DE.1.0.7.0 --startMP 204:232985 --initTime 2016-09-26T17:11:26 --startdatetime 2016-09-26T17:26:33 --delay 1 --endMP 204:156 --enddatetime 2016-09-26T18:07:03 --enforcementcount 0 &gt;&gt;C:\Users\stu\Documents\GitHub\eaglep3-reporting\EC\2016-09-26-refined-times.txt</v>
      </c>
      <c r="AI117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{"issue":{"subject":"","project_id":79,"tracker_id":40,"status_id":1,"priority_id":2,"assigned_to_id":23,"start_date":"2016-09-26","description":"","custom_fields":[{"id":1,"name":"Subdivision","value":"EC"},{"id":4,"name":"Milepost","value":"0.0156"},{"id":17,"name":"Train ID","value":"204-26"},{"id":16,"name":"Locomotive ID","value":"4017"},{"id":130,"name":"Impact","value":""},{"id":150,"name":"Time of Event (Mountain Time)","value":"18:07:03"},{"id":151,"name":"Denver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515</v>
      </c>
      <c r="B118" s="7">
        <v>4025</v>
      </c>
      <c r="C118" s="24" t="s">
        <v>106</v>
      </c>
      <c r="D118" s="24" t="s">
        <v>224</v>
      </c>
      <c r="E118" s="15">
        <v>42639.693784722222</v>
      </c>
      <c r="F118" s="15">
        <v>42639.698506944442</v>
      </c>
      <c r="G118" s="7">
        <v>1</v>
      </c>
      <c r="H118" s="15" t="s">
        <v>284</v>
      </c>
      <c r="I118" s="15">
        <v>42639.724189814813</v>
      </c>
      <c r="J118" s="7">
        <v>0</v>
      </c>
      <c r="K118" s="117" t="str">
        <f t="shared" si="55"/>
        <v>4025/4026</v>
      </c>
      <c r="L118" s="24" t="str">
        <f>VLOOKUP(A118,'Trips&amp;Operators'!$C$1:$E$10000,3,FALSE)</f>
        <v>BONDS</v>
      </c>
      <c r="M118" s="6">
        <f t="shared" si="56"/>
        <v>2.5682870371383615E-2</v>
      </c>
      <c r="N118" s="7">
        <f t="shared" si="68"/>
        <v>36.983333334792405</v>
      </c>
      <c r="O118" s="7"/>
      <c r="P118" s="7"/>
      <c r="Q118" s="25"/>
      <c r="R118" s="25"/>
      <c r="S118" s="37">
        <f t="shared" si="57"/>
        <v>1</v>
      </c>
      <c r="T118" s="52" t="str">
        <f t="shared" si="58"/>
        <v>NorthBound</v>
      </c>
      <c r="U118" s="15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15:39:03-0600',mode:absolute,to:'2016-09-26 18:22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18" s="54" t="str">
        <f t="shared" si="60"/>
        <v>N</v>
      </c>
      <c r="X118" s="164">
        <f t="shared" si="54"/>
        <v>1</v>
      </c>
      <c r="Y118" s="69">
        <f t="shared" si="61"/>
        <v>4.4699999999999997E-2</v>
      </c>
      <c r="Z118" s="69">
        <f t="shared" si="62"/>
        <v>23.329899999999999</v>
      </c>
      <c r="AA118" s="69">
        <f t="shared" si="63"/>
        <v>23.2852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 t="shared" si="64"/>
        <v>0205-26</v>
      </c>
      <c r="AE118" s="95" t="str">
        <f t="shared" si="65"/>
        <v>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 &amp; aws s3 cp s3://rtdc.mdm.uploadarchive/RTDC4025/2016-09-27/ "%USERPROFILE%\AppData\Local\Temp\OnboardLogs"\RTDC4025\2016-09-27 --recursive &amp; "%USERPROFILE%\Documents\GitHub\mrs-test-scripts\Headless Mode &amp; Sideloading\WalkAndUnGZ.bat" "%USERPROFILE%\AppData\Local\Temp\OnboardLogs"\RTDC4025\2016-09-27</v>
      </c>
      <c r="AF118" s="92" t="str">
        <f t="shared" si="66"/>
        <v>"C:\Program Files (x86)\AstroGrep\AstroGrep.exe" /spath="%USERPROFILE%\AppData\Local\Temp\OnboardLogs" /stypes="app*4025*20160926*" /stext=" 23:.+((SYSTEM_STATE.+slice.+state.+changed )|(ment ac)|(system.+state.+changed )|(\|lc)|(penalty)|(\[timeout)|(PRM\|1\|D)|(kpr)|(kdp))" /e /r /s</v>
      </c>
      <c r="AG118" s="1" t="str">
        <f t="shared" si="67"/>
        <v>EC</v>
      </c>
      <c r="AH118" s="96" t="str">
        <f t="shared" si="38"/>
        <v>"%USERPROFILE%\Documents\GitHub\eaglep3\Utilities\RefineRTDCRunTimes.py" --tripid 205-26 --locoid 4025 --swversion DE.1.0.7.0 --startMP 204:447 --initTime 2016-09-26T16:39:03 --startdatetime 2016-09-26T16:45:51 --delay 1 --endMP 204:233299 --enddatetime 2016-09-26T17:22:50 --enforcementcount 0 &gt;&gt;C:\Users\stu\Documents\GitHub\eaglep3-reporting\EC\2016-09-26-refined-times.txt</v>
      </c>
      <c r="AI118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{"issue":{"subject":"","project_id":79,"tracker_id":40,"status_id":1,"priority_id":2,"assigned_to_id":23,"start_date":"2016-09-26","description":"","custom_fields":[{"id":1,"name":"Subdivision","value":"EC"},{"id":4,"name":"Milepost","value":"23.3299"},{"id":17,"name":"Train ID","value":"205-26"},{"id":16,"name":"Locomotive ID","value":"4025"},{"id":130,"name":"Impact","value":""},{"id":150,"name":"Time of Event (Mountain Time)","value":"17:22:50"},{"id":151,"name":"Denver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516</v>
      </c>
      <c r="B119" s="7">
        <v>4026</v>
      </c>
      <c r="C119" s="24" t="s">
        <v>106</v>
      </c>
      <c r="D119" s="24" t="s">
        <v>322</v>
      </c>
      <c r="E119" s="15">
        <v>42639.728159722225</v>
      </c>
      <c r="F119" s="15">
        <v>42639.737129629626</v>
      </c>
      <c r="G119" s="7">
        <v>1</v>
      </c>
      <c r="H119" s="15" t="s">
        <v>247</v>
      </c>
      <c r="I119" s="15">
        <v>42639.765370370369</v>
      </c>
      <c r="J119" s="7">
        <v>0</v>
      </c>
      <c r="K119" s="117" t="str">
        <f t="shared" si="55"/>
        <v>4025/4026</v>
      </c>
      <c r="L119" s="24" t="str">
        <f>VLOOKUP(A119,'Trips&amp;Operators'!$C$1:$E$10000,3,FALSE)</f>
        <v>BONDS</v>
      </c>
      <c r="M119" s="6">
        <f t="shared" si="56"/>
        <v>2.8240740743058268E-2</v>
      </c>
      <c r="N119" s="7">
        <f t="shared" si="68"/>
        <v>40.666666670003906</v>
      </c>
      <c r="O119" s="7"/>
      <c r="P119" s="7"/>
      <c r="Q119" s="25"/>
      <c r="R119" s="25"/>
      <c r="S119" s="37">
        <f t="shared" si="57"/>
        <v>1</v>
      </c>
      <c r="T119" s="52" t="str">
        <f t="shared" si="58"/>
        <v>Southbound</v>
      </c>
      <c r="U119" s="15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16:28:33-0600',mode:absolute,to:'2016-09-26 19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19" s="54" t="str">
        <f t="shared" si="60"/>
        <v>N</v>
      </c>
      <c r="X119" s="164">
        <f t="shared" si="54"/>
        <v>1</v>
      </c>
      <c r="Y119" s="69">
        <f t="shared" si="61"/>
        <v>23.297999999999998</v>
      </c>
      <c r="Z119" s="69">
        <f t="shared" si="62"/>
        <v>1.5599999999999999E-2</v>
      </c>
      <c r="AA119" s="69">
        <f t="shared" si="63"/>
        <v>23.282399999999999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64"/>
        <v>0206-26</v>
      </c>
      <c r="AE119" s="95" t="str">
        <f t="shared" si="65"/>
        <v>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 &amp; 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</v>
      </c>
      <c r="AF119" s="92" t="str">
        <f t="shared" si="66"/>
        <v>"C:\Program Files (x86)\AstroGrep\AstroGrep.exe" /spath="%USERPROFILE%\AppData\Local\Temp\OnboardLogs" /stypes="app*4026*20160927*" /stext=" 00:.+((SYSTEM_STATE.+slice.+state.+changed )|(ment ac)|(system.+state.+changed )|(\|lc)|(penalty)|(\[timeout)|(PRM\|1\|D)|(kpr)|(kdp))" /e /r /s</v>
      </c>
      <c r="AG119" s="1" t="str">
        <f t="shared" si="67"/>
        <v>EC</v>
      </c>
      <c r="AH119" s="96" t="str">
        <f t="shared" si="38"/>
        <v>"%USERPROFILE%\Documents\GitHub\eaglep3\Utilities\RefineRTDCRunTimes.py" --tripid 206-26 --locoid 4026 --swversion DE.1.0.7.0 --startMP 204:232980 --initTime 2016-09-26T17:28:33 --startdatetime 2016-09-26T17:41:28 --delay 1 --endMP 204:156 --enddatetime 2016-09-26T18:22:08 --enforcementcount 0 &gt;&gt;C:\Users\stu\Documents\GitHub\eaglep3-reporting\EC\2016-09-26-refined-times.txt</v>
      </c>
      <c r="AI119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{"issue":{"subject":"","project_id":79,"tracker_id":40,"status_id":1,"priority_id":2,"assigned_to_id":23,"start_date":"2016-09-26","description":"","custom_fields":[{"id":1,"name":"Subdivision","value":"EC"},{"id":4,"name":"Milepost","value":"0.0156"},{"id":17,"name":"Train ID","value":"206-26"},{"id":16,"name":"Locomotive ID","value":"4026"},{"id":130,"name":"Impact","value":""},{"id":150,"name":"Time of Event (Mountain Time)","value":"18:22:08"},{"id":151,"name":"Denver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517</v>
      </c>
      <c r="B120" s="7">
        <v>4016</v>
      </c>
      <c r="C120" s="24" t="s">
        <v>106</v>
      </c>
      <c r="D120" s="24" t="s">
        <v>518</v>
      </c>
      <c r="E120" s="15">
        <v>42639.704791666663</v>
      </c>
      <c r="F120" s="15">
        <v>42639.708518518521</v>
      </c>
      <c r="G120" s="7">
        <v>1</v>
      </c>
      <c r="H120" s="15" t="s">
        <v>408</v>
      </c>
      <c r="I120" s="15">
        <v>42639.735474537039</v>
      </c>
      <c r="J120" s="7">
        <v>0</v>
      </c>
      <c r="K120" s="117" t="str">
        <f t="shared" si="55"/>
        <v>4015/4016</v>
      </c>
      <c r="L120" s="24" t="str">
        <f>VLOOKUP(A120,'Trips&amp;Operators'!$C$1:$E$10000,3,FALSE)</f>
        <v>CLARK</v>
      </c>
      <c r="M120" s="6">
        <f t="shared" si="56"/>
        <v>2.6956018518831115E-2</v>
      </c>
      <c r="N120" s="7">
        <f t="shared" si="68"/>
        <v>38.816666667116806</v>
      </c>
      <c r="O120" s="7"/>
      <c r="P120" s="7"/>
      <c r="Q120" s="25"/>
      <c r="R120" s="25"/>
      <c r="S120" s="37">
        <f t="shared" si="57"/>
        <v>1</v>
      </c>
      <c r="T120" s="52" t="str">
        <f t="shared" si="58"/>
        <v>NorthBound</v>
      </c>
      <c r="U120" s="15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15:54:54-0600',mode:absolute,to:'2016-09-26 18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20" s="54" t="str">
        <f t="shared" si="60"/>
        <v>N</v>
      </c>
      <c r="X120" s="164">
        <f t="shared" si="54"/>
        <v>1</v>
      </c>
      <c r="Y120" s="69">
        <f t="shared" si="61"/>
        <v>4.9799999999999997E-2</v>
      </c>
      <c r="Z120" s="69">
        <f t="shared" si="62"/>
        <v>23.328299999999999</v>
      </c>
      <c r="AA120" s="69">
        <f t="shared" si="63"/>
        <v>23.278499999999998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64"/>
        <v>0207-26</v>
      </c>
      <c r="AE120" s="95" t="str">
        <f t="shared" si="65"/>
        <v>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 &amp; 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</v>
      </c>
      <c r="AF120" s="92" t="str">
        <f t="shared" si="66"/>
        <v>"C:\Program Files (x86)\AstroGrep\AstroGrep.exe" /spath="%USERPROFILE%\AppData\Local\Temp\OnboardLogs" /stypes="app*4016*20160926*" /stext=" 23:.+((SYSTEM_STATE.+slice.+state.+changed )|(ment ac)|(system.+state.+changed )|(\|lc)|(penalty)|(\[timeout)|(PRM\|1\|D)|(kpr)|(kdp))" /e /r /s</v>
      </c>
      <c r="AG120" s="1" t="str">
        <f t="shared" si="67"/>
        <v>EC</v>
      </c>
      <c r="AH120" s="96" t="str">
        <f t="shared" si="38"/>
        <v>"%USERPROFILE%\Documents\GitHub\eaglep3\Utilities\RefineRTDCRunTimes.py" --tripid 207-26 --locoid 4016 --swversion DE.1.0.7.0 --startMP 204:498 --initTime 2016-09-26T16:54:54 --startdatetime 2016-09-26T17:00:16 --delay 1 --endMP 204:233283 --enddatetime 2016-09-26T17:39:05 --enforcementcount 0 &gt;&gt;C:\Users\stu\Documents\GitHub\eaglep3-reporting\EC\2016-09-26-refined-times.txt</v>
      </c>
      <c r="AI120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{"issue":{"subject":"","project_id":79,"tracker_id":40,"status_id":1,"priority_id":2,"assigned_to_id":23,"start_date":"2016-09-26","description":"","custom_fields":[{"id":1,"name":"Subdivision","value":"EC"},{"id":4,"name":"Milepost","value":"23.3283"},{"id":17,"name":"Train ID","value":"207-26"},{"id":16,"name":"Locomotive ID","value":"4016"},{"id":130,"name":"Impact","value":""},{"id":150,"name":"Time of Event (Mountain Time)","value":"17:39:05"},{"id":151,"name":"Denver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519</v>
      </c>
      <c r="B121" s="7">
        <v>4015</v>
      </c>
      <c r="C121" s="24" t="s">
        <v>106</v>
      </c>
      <c r="D121" s="24" t="s">
        <v>306</v>
      </c>
      <c r="E121" s="15">
        <v>42639.742881944447</v>
      </c>
      <c r="F121" s="15">
        <v>42639.747430555559</v>
      </c>
      <c r="G121" s="7">
        <v>1</v>
      </c>
      <c r="H121" s="15" t="s">
        <v>520</v>
      </c>
      <c r="I121" s="15">
        <v>42639.77847222222</v>
      </c>
      <c r="J121" s="7">
        <v>0</v>
      </c>
      <c r="K121" s="117" t="str">
        <f t="shared" si="55"/>
        <v>4015/4016</v>
      </c>
      <c r="L121" s="24" t="str">
        <f>VLOOKUP(A121,'Trips&amp;Operators'!$C$1:$E$10000,3,FALSE)</f>
        <v>CLARK</v>
      </c>
      <c r="M121" s="6">
        <f t="shared" si="56"/>
        <v>3.1041666661622003E-2</v>
      </c>
      <c r="N121" s="7">
        <f t="shared" si="68"/>
        <v>44.699999992735684</v>
      </c>
      <c r="O121" s="7"/>
      <c r="P121" s="7"/>
      <c r="Q121" s="25"/>
      <c r="R121" s="25"/>
      <c r="S121" s="37">
        <f t="shared" si="57"/>
        <v>1</v>
      </c>
      <c r="T121" s="52" t="str">
        <f t="shared" si="58"/>
        <v>Southbound</v>
      </c>
      <c r="U121" s="15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16:49:45-0600',mode:absolute,to:'2016-09-26 19:41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21" s="54" t="str">
        <f t="shared" si="60"/>
        <v>N</v>
      </c>
      <c r="X121" s="164">
        <f t="shared" si="54"/>
        <v>1</v>
      </c>
      <c r="Y121" s="69">
        <f t="shared" si="61"/>
        <v>23.297899999999998</v>
      </c>
      <c r="Z121" s="69">
        <f t="shared" si="62"/>
        <v>1.67E-2</v>
      </c>
      <c r="AA121" s="69">
        <f t="shared" si="63"/>
        <v>23.281199999999998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64"/>
        <v>0208-26</v>
      </c>
      <c r="AE121" s="95" t="str">
        <f t="shared" si="65"/>
        <v>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 &amp; 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</v>
      </c>
      <c r="AF121" s="92" t="str">
        <f t="shared" si="66"/>
        <v>"C:\Program Files (x86)\AstroGrep\AstroGrep.exe" /spath="%USERPROFILE%\AppData\Local\Temp\OnboardLogs" /stypes="app*4015*20160927*" /stext=" 00:.+((SYSTEM_STATE.+slice.+state.+changed )|(ment ac)|(system.+state.+changed )|(\|lc)|(penalty)|(\[timeout)|(PRM\|1\|D)|(kpr)|(kdp))" /e /r /s</v>
      </c>
      <c r="AG121" s="1" t="str">
        <f t="shared" si="67"/>
        <v>EC</v>
      </c>
      <c r="AH121" s="96" t="str">
        <f t="shared" si="38"/>
        <v>"%USERPROFILE%\Documents\GitHub\eaglep3\Utilities\RefineRTDCRunTimes.py" --tripid 208-26 --locoid 4015 --swversion DE.1.0.7.0 --startMP 204:232979 --initTime 2016-09-26T17:49:45 --startdatetime 2016-09-26T17:56:18 --delay 1 --endMP 204:167 --enddatetime 2016-09-26T18:41:00 --enforcementcount 0 &gt;&gt;C:\Users\stu\Documents\GitHub\eaglep3-reporting\EC\2016-09-26-refined-times.txt</v>
      </c>
      <c r="AI121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{"issue":{"subject":"","project_id":79,"tracker_id":40,"status_id":1,"priority_id":2,"assigned_to_id":23,"start_date":"2016-09-26","description":"","custom_fields":[{"id":1,"name":"Subdivision","value":"EC"},{"id":4,"name":"Milepost","value":"0.0167"},{"id":17,"name":"Train ID","value":"208-26"},{"id":16,"name":"Locomotive ID","value":"4015"},{"id":130,"name":"Impact","value":""},{"id":150,"name":"Time of Event (Mountain Time)","value":"18:41:00"},{"id":151,"name":"Denver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521</v>
      </c>
      <c r="B122" s="7">
        <v>4007</v>
      </c>
      <c r="C122" s="24" t="s">
        <v>106</v>
      </c>
      <c r="D122" s="24" t="s">
        <v>236</v>
      </c>
      <c r="E122" s="15">
        <v>42639.716053240743</v>
      </c>
      <c r="F122" s="15">
        <v>42639.719178240739</v>
      </c>
      <c r="G122" s="7">
        <v>1</v>
      </c>
      <c r="H122" s="15" t="s">
        <v>433</v>
      </c>
      <c r="I122" s="15">
        <v>42639.744583333333</v>
      </c>
      <c r="J122" s="7">
        <v>0</v>
      </c>
      <c r="K122" s="117" t="str">
        <f t="shared" si="55"/>
        <v>4007/4008</v>
      </c>
      <c r="L122" s="24" t="str">
        <f>VLOOKUP(A122,'Trips&amp;Operators'!$C$1:$E$10000,3,FALSE)</f>
        <v>LEVERE</v>
      </c>
      <c r="M122" s="6">
        <f t="shared" si="56"/>
        <v>2.5405092594155576E-2</v>
      </c>
      <c r="N122" s="7">
        <f t="shared" si="68"/>
        <v>36.58333333558403</v>
      </c>
      <c r="O122" s="7"/>
      <c r="P122" s="7"/>
      <c r="Q122" s="25"/>
      <c r="R122" s="25"/>
      <c r="S122" s="37">
        <f t="shared" si="57"/>
        <v>1</v>
      </c>
      <c r="T122" s="52" t="str">
        <f t="shared" si="58"/>
        <v>NorthBound</v>
      </c>
      <c r="U122" s="15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16:11:07-0600',mode:absolute,to:'2016-09-26 18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22" s="54" t="str">
        <f t="shared" si="60"/>
        <v>N</v>
      </c>
      <c r="X122" s="164">
        <f t="shared" si="54"/>
        <v>1</v>
      </c>
      <c r="Y122" s="69">
        <f t="shared" si="61"/>
        <v>4.6199999999999998E-2</v>
      </c>
      <c r="Z122" s="69">
        <f t="shared" si="62"/>
        <v>23.3293</v>
      </c>
      <c r="AA122" s="69">
        <f t="shared" si="63"/>
        <v>23.283100000000001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64"/>
        <v>0209-26</v>
      </c>
      <c r="AE122" s="95" t="str">
        <f t="shared" si="65"/>
        <v>aws s3 cp s3://rtdc.mdm.uploadarchive/RTDC4007/2016-09-26/ "%USERPROFILE%\AppData\Local\Temp\OnboardLogs"\RTDC4007\2016-09-26 --recursive &amp; "%USERPROFILE%\Documents\GitHub\mrs-test-scripts\Headless Mode &amp; Sideloading\WalkAndUnGZ.bat" "%USERPROFILE%\AppData\Local\Temp\OnboardLogs"\RTDC4007\2016-09-26 &amp; aws s3 cp s3://rtdc.mdm.uploadarchive/RTDC4007/2016-09-27/ "%USERPROFILE%\AppData\Local\Temp\OnboardLogs"\RTDC4007\2016-09-27 --recursive &amp; "%USERPROFILE%\Documents\GitHub\mrs-test-scripts\Headless Mode &amp; Sideloading\WalkAndUnGZ.bat" "%USERPROFILE%\AppData\Local\Temp\OnboardLogs"\RTDC4007\2016-09-27</v>
      </c>
      <c r="AF122" s="92" t="str">
        <f t="shared" si="66"/>
        <v>"C:\Program Files (x86)\AstroGrep\AstroGrep.exe" /spath="%USERPROFILE%\AppData\Local\Temp\OnboardLogs" /stypes="app*4007*20160926*" /stext=" 23:.+((SYSTEM_STATE.+slice.+state.+changed )|(ment ac)|(system.+state.+changed )|(\|lc)|(penalty)|(\[timeout)|(PRM\|1\|D)|(kpr)|(kdp))" /e /r /s</v>
      </c>
      <c r="AG122" s="1" t="str">
        <f t="shared" si="67"/>
        <v>EC</v>
      </c>
      <c r="AH122" s="96" t="str">
        <f t="shared" si="38"/>
        <v>"%USERPROFILE%\Documents\GitHub\eaglep3\Utilities\RefineRTDCRunTimes.py" --tripid 209-26 --locoid 4007 --swversion DE.1.0.7.0 --startMP 204:462 --initTime 2016-09-26T17:11:07 --startdatetime 2016-09-26T17:15:37 --delay 1 --endMP 204:233293 --enddatetime 2016-09-26T17:52:12 --enforcementcount 0 &gt;&gt;C:\Users\stu\Documents\GitHub\eaglep3-reporting\EC\2016-09-26-refined-times.txt</v>
      </c>
      <c r="AI122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{"issue":{"subject":"","project_id":79,"tracker_id":40,"status_id":1,"priority_id":2,"assigned_to_id":23,"start_date":"2016-09-26","description":"","custom_fields":[{"id":1,"name":"Subdivision","value":"EC"},{"id":4,"name":"Milepost","value":"23.3293"},{"id":17,"name":"Train ID","value":"209-26"},{"id":16,"name":"Locomotive ID","value":"4007"},{"id":130,"name":"Impact","value":""},{"id":150,"name":"Time of Event (Mountain Time)","value":"17:52:12"},{"id":151,"name":"Denver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522</v>
      </c>
      <c r="B123" s="7">
        <v>4008</v>
      </c>
      <c r="C123" s="24" t="s">
        <v>106</v>
      </c>
      <c r="D123" s="24" t="s">
        <v>428</v>
      </c>
      <c r="E123" s="15">
        <v>42639.752060185187</v>
      </c>
      <c r="F123" s="15">
        <v>42639.757905092592</v>
      </c>
      <c r="G123" s="7">
        <v>1</v>
      </c>
      <c r="H123" s="15" t="s">
        <v>233</v>
      </c>
      <c r="I123" s="15">
        <v>42639.785104166665</v>
      </c>
      <c r="J123" s="7">
        <v>0</v>
      </c>
      <c r="K123" s="117" t="str">
        <f t="shared" si="55"/>
        <v>4007/4008</v>
      </c>
      <c r="L123" s="24" t="str">
        <f>VLOOKUP(A123,'Trips&amp;Operators'!$C$1:$E$10000,3,FALSE)</f>
        <v>LEVERE</v>
      </c>
      <c r="M123" s="6">
        <f t="shared" si="56"/>
        <v>2.7199074072996154E-2</v>
      </c>
      <c r="N123" s="7">
        <f t="shared" si="68"/>
        <v>39.166666665114462</v>
      </c>
      <c r="O123" s="7"/>
      <c r="P123" s="7"/>
      <c r="Q123" s="25"/>
      <c r="R123" s="25"/>
      <c r="S123" s="37">
        <f t="shared" si="57"/>
        <v>1</v>
      </c>
      <c r="T123" s="52" t="str">
        <f t="shared" si="58"/>
        <v>Southbound</v>
      </c>
      <c r="U123" s="15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17:02:58-0600',mode:absolute,to:'2016-09-26 19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23" s="54" t="str">
        <f t="shared" si="60"/>
        <v>N</v>
      </c>
      <c r="X123" s="164">
        <f t="shared" si="54"/>
        <v>1</v>
      </c>
      <c r="Y123" s="69">
        <f t="shared" si="61"/>
        <v>23.297799999999999</v>
      </c>
      <c r="Z123" s="69">
        <f t="shared" si="62"/>
        <v>1.38E-2</v>
      </c>
      <c r="AA123" s="69">
        <f t="shared" si="63"/>
        <v>23.283999999999999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64"/>
        <v>0210-26</v>
      </c>
      <c r="AE123" s="95" t="str">
        <f t="shared" si="65"/>
        <v>aws s3 cp s3://rtdc.mdm.uploadarchive/RTDC4008/2016-09-26/ "%USERPROFILE%\AppData\Local\Temp\OnboardLogs"\RTDC4008\2016-09-26 --recursive &amp; "%USERPROFILE%\Documents\GitHub\mrs-test-scripts\Headless Mode &amp; Sideloading\WalkAndUnGZ.bat" "%USERPROFILE%\AppData\Local\Temp\OnboardLogs"\RTDC4008\2016-09-26 &amp; aws s3 cp s3://rtdc.mdm.uploadarchive/RTDC4008/2016-09-27/ "%USERPROFILE%\AppData\Local\Temp\OnboardLogs"\RTDC4008\2016-09-27 --recursive &amp; "%USERPROFILE%\Documents\GitHub\mrs-test-scripts\Headless Mode &amp; Sideloading\WalkAndUnGZ.bat" "%USERPROFILE%\AppData\Local\Temp\OnboardLogs"\RTDC4008\2016-09-27</v>
      </c>
      <c r="AF123" s="92" t="str">
        <f t="shared" si="66"/>
        <v>"C:\Program Files (x86)\AstroGrep\AstroGrep.exe" /spath="%USERPROFILE%\AppData\Local\Temp\OnboardLogs" /stypes="app*4008*20160927*" /stext=" 00:.+((SYSTEM_STATE.+slice.+state.+changed )|(ment ac)|(system.+state.+changed )|(\|lc)|(penalty)|(\[timeout)|(PRM\|1\|D)|(kpr)|(kdp))" /e /r /s</v>
      </c>
      <c r="AG123" s="1" t="str">
        <f t="shared" si="67"/>
        <v>EC</v>
      </c>
      <c r="AH123" s="96" t="str">
        <f t="shared" si="38"/>
        <v>"%USERPROFILE%\Documents\GitHub\eaglep3\Utilities\RefineRTDCRunTimes.py" --tripid 210-26 --locoid 4008 --swversion DE.1.0.7.0 --startMP 204:232978 --initTime 2016-09-26T18:02:58 --startdatetime 2016-09-26T18:11:23 --delay 1 --endMP 204:138 --enddatetime 2016-09-26T18:50:33 --enforcementcount 0 &gt;&gt;C:\Users\stu\Documents\GitHub\eaglep3-reporting\EC\2016-09-26-refined-times.txt</v>
      </c>
      <c r="AI123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{"issue":{"subject":"","project_id":79,"tracker_id":40,"status_id":1,"priority_id":2,"assigned_to_id":23,"start_date":"2016-09-26","description":"","custom_fields":[{"id":1,"name":"Subdivision","value":"EC"},{"id":4,"name":"Milepost","value":"0.0138"},{"id":17,"name":"Train ID","value":"210-26"},{"id":16,"name":"Locomotive ID","value":"4008"},{"id":130,"name":"Impact","value":""},{"id":150,"name":"Time of Event (Mountain Time)","value":"18:50:33"},{"id":151,"name":"Denver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523</v>
      </c>
      <c r="B124" s="7">
        <v>4014</v>
      </c>
      <c r="C124" s="24" t="s">
        <v>106</v>
      </c>
      <c r="D124" s="24" t="s">
        <v>227</v>
      </c>
      <c r="E124" s="15">
        <v>42639.72859953704</v>
      </c>
      <c r="F124" s="15">
        <v>42639.730243055557</v>
      </c>
      <c r="G124" s="7">
        <v>1</v>
      </c>
      <c r="H124" s="15" t="s">
        <v>265</v>
      </c>
      <c r="I124" s="15">
        <v>42639.757453703707</v>
      </c>
      <c r="J124" s="7">
        <v>0</v>
      </c>
      <c r="K124" s="117" t="str">
        <f t="shared" si="55"/>
        <v>4013/4014</v>
      </c>
      <c r="L124" s="24" t="str">
        <f>VLOOKUP(A124,'Trips&amp;Operators'!$C$1:$E$10000,3,FALSE)</f>
        <v>YOUNG</v>
      </c>
      <c r="M124" s="6">
        <f t="shared" si="56"/>
        <v>2.7210648149775807E-2</v>
      </c>
      <c r="N124" s="7">
        <f t="shared" si="68"/>
        <v>39.183333335677162</v>
      </c>
      <c r="O124" s="7"/>
      <c r="P124" s="7"/>
      <c r="Q124" s="25"/>
      <c r="R124" s="25"/>
      <c r="S124" s="37">
        <f t="shared" si="57"/>
        <v>1</v>
      </c>
      <c r="T124" s="52" t="str">
        <f t="shared" si="58"/>
        <v>NorthBound</v>
      </c>
      <c r="U124" s="15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16:29:11-0600',mode:absolute,to:'2016-09-26 19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24" s="54" t="str">
        <f t="shared" si="60"/>
        <v>N</v>
      </c>
      <c r="X124" s="164">
        <f t="shared" si="54"/>
        <v>1</v>
      </c>
      <c r="Y124" s="69">
        <f t="shared" si="61"/>
        <v>4.5499999999999999E-2</v>
      </c>
      <c r="Z124" s="69">
        <f t="shared" si="62"/>
        <v>23.33</v>
      </c>
      <c r="AA124" s="69">
        <f t="shared" si="63"/>
        <v>23.284499999999998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64"/>
        <v>0211-26</v>
      </c>
      <c r="AE124" s="95" t="str">
        <f t="shared" si="65"/>
        <v>aws s3 cp s3://rtdc.mdm.uploadarchive/RTDC4014/2016-09-26/ "%USERPROFILE%\AppData\Local\Temp\OnboardLogs"\RTDC4014\2016-09-26 --recursive &amp; "%USERPROFILE%\Documents\GitHub\mrs-test-scripts\Headless Mode &amp; Sideloading\WalkAndUnGZ.bat" "%USERPROFILE%\AppData\Local\Temp\OnboardLogs"\RTDC4014\2016-09-26 &amp; 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</v>
      </c>
      <c r="AF124" s="92" t="str">
        <f t="shared" si="66"/>
        <v>"C:\Program Files (x86)\AstroGrep\AstroGrep.exe" /spath="%USERPROFILE%\AppData\Local\Temp\OnboardLogs" /stypes="app*4014*20160927*" /stext=" 00:.+((SYSTEM_STATE.+slice.+state.+changed )|(ment ac)|(system.+state.+changed )|(\|lc)|(penalty)|(\[timeout)|(PRM\|1\|D)|(kpr)|(kdp))" /e /r /s</v>
      </c>
      <c r="AG124" s="1" t="str">
        <f t="shared" si="67"/>
        <v>EC</v>
      </c>
      <c r="AH124" s="96" t="str">
        <f t="shared" si="38"/>
        <v>"%USERPROFILE%\Documents\GitHub\eaglep3\Utilities\RefineRTDCRunTimes.py" --tripid 211-26 --locoid 4014 --swversion DE.1.0.7.0 --startMP 204:455 --initTime 2016-09-26T17:29:11 --startdatetime 2016-09-26T17:31:33 --delay 1 --endMP 204:233300 --enddatetime 2016-09-26T18:10:44 --enforcementcount 0 &gt;&gt;C:\Users\stu\Documents\GitHub\eaglep3-reporting\EC\2016-09-26-refined-times.txt</v>
      </c>
      <c r="AI124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{"issue":{"subject":"","project_id":79,"tracker_id":40,"status_id":1,"priority_id":2,"assigned_to_id":23,"start_date":"2016-09-26","description":"","custom_fields":[{"id":1,"name":"Subdivision","value":"EC"},{"id":4,"name":"Milepost","value":"23.33"},{"id":17,"name":"Train ID","value":"211-26"},{"id":16,"name":"Locomotive ID","value":"4014"},{"id":130,"name":"Impact","value":""},{"id":150,"name":"Time of Event (Mountain Time)","value":"18:10:44"},{"id":151,"name":"Denver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x14ac:dyDescent="0.25">
      <c r="A125" s="39" t="s">
        <v>524</v>
      </c>
      <c r="B125" s="7">
        <v>4013</v>
      </c>
      <c r="C125" s="24" t="s">
        <v>106</v>
      </c>
      <c r="D125" s="24" t="s">
        <v>525</v>
      </c>
      <c r="E125" s="15">
        <v>42639.76253472222</v>
      </c>
      <c r="F125" s="15">
        <v>42639.768391203703</v>
      </c>
      <c r="G125" s="7">
        <v>1</v>
      </c>
      <c r="H125" s="15" t="s">
        <v>526</v>
      </c>
      <c r="I125" s="15">
        <v>42639.7969212963</v>
      </c>
      <c r="J125" s="7">
        <v>0</v>
      </c>
      <c r="K125" s="117" t="str">
        <f t="shared" si="55"/>
        <v>4013/4014</v>
      </c>
      <c r="L125" s="24" t="str">
        <f>VLOOKUP(A125,'Trips&amp;Operators'!$C$1:$E$10000,3,FALSE)</f>
        <v>YOUNG</v>
      </c>
      <c r="M125" s="6">
        <f t="shared" si="56"/>
        <v>2.8530092597065959E-2</v>
      </c>
      <c r="N125" s="7">
        <f t="shared" si="68"/>
        <v>41.083333339774981</v>
      </c>
      <c r="O125" s="7"/>
      <c r="P125" s="7"/>
      <c r="Q125" s="25"/>
      <c r="R125" s="25"/>
      <c r="S125" s="37">
        <f t="shared" si="57"/>
        <v>1</v>
      </c>
      <c r="T125" s="52" t="str">
        <f t="shared" si="58"/>
        <v>Southbound</v>
      </c>
      <c r="U125" s="15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17:18:03-0600',mode:absolute,to:'2016-09-26 20:07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25" s="54" t="str">
        <f t="shared" si="60"/>
        <v>N</v>
      </c>
      <c r="X125" s="164">
        <f t="shared" si="54"/>
        <v>1</v>
      </c>
      <c r="Y125" s="69">
        <f t="shared" si="61"/>
        <v>23.298300000000001</v>
      </c>
      <c r="Z125" s="69">
        <f t="shared" si="62"/>
        <v>1.23E-2</v>
      </c>
      <c r="AA125" s="69">
        <f t="shared" si="63"/>
        <v>23.286000000000001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64"/>
        <v>0212-26</v>
      </c>
      <c r="AE125" s="95" t="str">
        <f t="shared" si="65"/>
        <v>aws s3 cp s3://rtdc.mdm.uploadarchive/RTDC4013/2016-09-26/ "%USERPROFILE%\AppData\Local\Temp\OnboardLogs"\RTDC4013\2016-09-26 --recursive &amp; "%USERPROFILE%\Documents\GitHub\mrs-test-scripts\Headless Mode &amp; Sideloading\WalkAndUnGZ.bat" "%USERPROFILE%\AppData\Local\Temp\OnboardLogs"\RTDC4013\2016-09-26 &amp; 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</v>
      </c>
      <c r="AF125" s="92" t="str">
        <f t="shared" si="66"/>
        <v>"C:\Program Files (x86)\AstroGrep\AstroGrep.exe" /spath="%USERPROFILE%\AppData\Local\Temp\OnboardLogs" /stypes="app*4013*20160927*" /stext=" 01:.+((SYSTEM_STATE.+slice.+state.+changed )|(ment ac)|(system.+state.+changed )|(\|lc)|(penalty)|(\[timeout)|(PRM\|1\|D)|(kpr)|(kdp))" /e /r /s</v>
      </c>
      <c r="AG125" s="1" t="str">
        <f t="shared" si="67"/>
        <v>EC</v>
      </c>
      <c r="AH125" s="96" t="str">
        <f t="shared" si="38"/>
        <v>"%USERPROFILE%\Documents\GitHub\eaglep3\Utilities\RefineRTDCRunTimes.py" --tripid 212-26 --locoid 4013 --swversion DE.1.0.7.0 --startMP 204:232983 --initTime 2016-09-26T18:18:03 --startdatetime 2016-09-26T18:26:29 --delay 1 --endMP 204:123 --enddatetime 2016-09-26T19:07:34 --enforcementcount 0 &gt;&gt;C:\Users\stu\Documents\GitHub\eaglep3-reporting\EC\2016-09-26-refined-times.txt</v>
      </c>
      <c r="AI125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{"issue":{"subject":"","project_id":79,"tracker_id":40,"status_id":1,"priority_id":2,"assigned_to_id":23,"start_date":"2016-09-26","description":"","custom_fields":[{"id":1,"name":"Subdivision","value":"EC"},{"id":4,"name":"Milepost","value":"0.0123"},{"id":17,"name":"Train ID","value":"212-26"},{"id":16,"name":"Locomotive ID","value":"4013"},{"id":130,"name":"Impact","value":""},{"id":150,"name":"Time of Event (Mountain Time)","value":"19:07:34"},{"id":151,"name":"Denver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527</v>
      </c>
      <c r="B126" s="7">
        <v>4011</v>
      </c>
      <c r="C126" s="24" t="s">
        <v>106</v>
      </c>
      <c r="D126" s="24" t="s">
        <v>320</v>
      </c>
      <c r="E126" s="15">
        <v>42639.736863425926</v>
      </c>
      <c r="F126" s="15">
        <v>42639.74009259259</v>
      </c>
      <c r="G126" s="7">
        <v>2</v>
      </c>
      <c r="H126" s="15" t="s">
        <v>242</v>
      </c>
      <c r="I126" s="15">
        <v>42639.76462962963</v>
      </c>
      <c r="J126" s="7">
        <v>0</v>
      </c>
      <c r="K126" s="117" t="str">
        <f t="shared" si="55"/>
        <v>4011/4012</v>
      </c>
      <c r="L126" s="24" t="str">
        <f>VLOOKUP(A126,'Trips&amp;Operators'!$C$1:$E$10000,3,FALSE)</f>
        <v>NEWELL</v>
      </c>
      <c r="M126" s="6">
        <f t="shared" si="56"/>
        <v>2.453703703940846E-2</v>
      </c>
      <c r="N126" s="7">
        <f t="shared" si="68"/>
        <v>35.333333336748183</v>
      </c>
      <c r="O126" s="7"/>
      <c r="P126" s="7"/>
      <c r="Q126" s="25"/>
      <c r="R126" s="25"/>
      <c r="S126" s="37">
        <f t="shared" si="57"/>
        <v>1</v>
      </c>
      <c r="T126" s="52" t="str">
        <f t="shared" si="58"/>
        <v>NorthBound</v>
      </c>
      <c r="U126" s="15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16:41:05-0600',mode:absolute,to:'2016-09-26 19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6" s="54" t="str">
        <f t="shared" si="60"/>
        <v>N</v>
      </c>
      <c r="X126" s="164">
        <f t="shared" si="54"/>
        <v>1</v>
      </c>
      <c r="Y126" s="69">
        <f t="shared" si="61"/>
        <v>4.4900000000000002E-2</v>
      </c>
      <c r="Z126" s="69">
        <f t="shared" si="62"/>
        <v>23.329699999999999</v>
      </c>
      <c r="AA126" s="69">
        <f t="shared" si="63"/>
        <v>23.284800000000001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64"/>
        <v>0213-26</v>
      </c>
      <c r="AE126" s="95" t="str">
        <f t="shared" si="65"/>
        <v>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 &amp; 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</v>
      </c>
      <c r="AF126" s="92" t="str">
        <f t="shared" si="66"/>
        <v>"C:\Program Files (x86)\AstroGrep\AstroGrep.exe" /spath="%USERPROFILE%\AppData\Local\Temp\OnboardLogs" /stypes="app*4011*20160927*" /stext=" 00:.+((SYSTEM_STATE.+slice.+state.+changed )|(ment ac)|(system.+state.+changed )|(\|lc)|(penalty)|(\[timeout)|(PRM\|1\|D)|(kpr)|(kdp))" /e /r /s</v>
      </c>
      <c r="AG126" s="1" t="str">
        <f t="shared" si="67"/>
        <v>EC</v>
      </c>
      <c r="AH126" s="96" t="str">
        <f t="shared" si="38"/>
        <v>"%USERPROFILE%\Documents\GitHub\eaglep3\Utilities\RefineRTDCRunTimes.py" --tripid 213-26 --locoid 4011 --swversion DE.1.0.7.0 --startMP 204:449 --initTime 2016-09-26T17:41:05 --startdatetime 2016-09-26T17:45:44 --delay 2 --endMP 204:233297 --enddatetime 2016-09-26T18:21:04 --enforcementcount 0 &gt;&gt;C:\Users\stu\Documents\GitHub\eaglep3-reporting\EC\2016-09-26-refined-times.txt</v>
      </c>
      <c r="AI126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{"issue":{"subject":"","project_id":79,"tracker_id":40,"status_id":1,"priority_id":2,"assigned_to_id":23,"start_date":"2016-09-26","description":"","custom_fields":[{"id":1,"name":"Subdivision","value":"EC"},{"id":4,"name":"Milepost","value":"23.3297"},{"id":17,"name":"Train ID","value":"213-26"},{"id":16,"name":"Locomotive ID","value":"4011"},{"id":130,"name":"Impact","value":""},{"id":150,"name":"Time of Event (Mountain Time)","value":"18:21:04"},{"id":151,"name":"Denver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528</v>
      </c>
      <c r="B127" s="7">
        <v>4012</v>
      </c>
      <c r="C127" s="24" t="s">
        <v>106</v>
      </c>
      <c r="D127" s="24" t="s">
        <v>322</v>
      </c>
      <c r="E127" s="15">
        <v>42639.766215277778</v>
      </c>
      <c r="F127" s="15">
        <v>42639.778622685182</v>
      </c>
      <c r="G127" s="7">
        <v>1</v>
      </c>
      <c r="H127" s="15" t="s">
        <v>529</v>
      </c>
      <c r="I127" s="15">
        <v>42639.805243055554</v>
      </c>
      <c r="J127" s="7">
        <v>0</v>
      </c>
      <c r="K127" s="117" t="str">
        <f t="shared" si="55"/>
        <v>4011/4012</v>
      </c>
      <c r="L127" s="24" t="str">
        <f>VLOOKUP(A127,'Trips&amp;Operators'!$C$1:$E$10000,3,FALSE)</f>
        <v>NEWELL</v>
      </c>
      <c r="M127" s="6">
        <f t="shared" si="56"/>
        <v>2.662037037225673E-2</v>
      </c>
      <c r="N127" s="7">
        <f t="shared" si="68"/>
        <v>38.333333336049691</v>
      </c>
      <c r="O127" s="7"/>
      <c r="P127" s="7"/>
      <c r="Q127" s="25"/>
      <c r="R127" s="25"/>
      <c r="S127" s="37">
        <f t="shared" si="57"/>
        <v>1</v>
      </c>
      <c r="T127" s="52" t="str">
        <f t="shared" si="58"/>
        <v>Southbound</v>
      </c>
      <c r="U127" s="15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17:23:21-0600',mode:absolute,to:'2016-09-26 20:19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27" s="54" t="str">
        <f t="shared" si="60"/>
        <v>N</v>
      </c>
      <c r="X127" s="164">
        <f t="shared" si="54"/>
        <v>1</v>
      </c>
      <c r="Y127" s="69">
        <f t="shared" si="61"/>
        <v>23.297999999999998</v>
      </c>
      <c r="Z127" s="69">
        <f t="shared" si="62"/>
        <v>1.72E-2</v>
      </c>
      <c r="AA127" s="69">
        <f t="shared" si="63"/>
        <v>23.280799999999999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64"/>
        <v>0214-26</v>
      </c>
      <c r="AE127" s="95" t="str">
        <f t="shared" si="65"/>
        <v>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 &amp; 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</v>
      </c>
      <c r="AF127" s="92" t="str">
        <f t="shared" si="66"/>
        <v>"C:\Program Files (x86)\AstroGrep\AstroGrep.exe" /spath="%USERPROFILE%\AppData\Local\Temp\OnboardLogs" /stypes="app*4012*20160927*" /stext=" 01:.+((SYSTEM_STATE.+slice.+state.+changed )|(ment ac)|(system.+state.+changed )|(\|lc)|(penalty)|(\[timeout)|(PRM\|1\|D)|(kpr)|(kdp))" /e /r /s</v>
      </c>
      <c r="AG127" s="1" t="str">
        <f t="shared" si="67"/>
        <v>EC</v>
      </c>
      <c r="AH127" s="96" t="str">
        <f t="shared" si="38"/>
        <v>"%USERPROFILE%\Documents\GitHub\eaglep3\Utilities\RefineRTDCRunTimes.py" --tripid 214-26 --locoid 4012 --swversion DE.1.0.7.0 --startMP 204:232980 --initTime 2016-09-26T18:23:21 --startdatetime 2016-09-26T18:41:13 --delay 1 --endMP 204:172 --enddatetime 2016-09-26T19:19:33 --enforcementcount 0 &gt;&gt;C:\Users\stu\Documents\GitHub\eaglep3-reporting\EC\2016-09-26-refined-times.txt</v>
      </c>
      <c r="AI127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{"issue":{"subject":"","project_id":79,"tracker_id":40,"status_id":1,"priority_id":2,"assigned_to_id":23,"start_date":"2016-09-26","description":"","custom_fields":[{"id":1,"name":"Subdivision","value":"EC"},{"id":4,"name":"Milepost","value":"0.0172"},{"id":17,"name":"Train ID","value":"214-26"},{"id":16,"name":"Locomotive ID","value":"4012"},{"id":130,"name":"Impact","value":""},{"id":150,"name":"Time of Event (Mountain Time)","value":"19:19:33"},{"id":151,"name":"Denver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530</v>
      </c>
      <c r="B128" s="7">
        <v>4053</v>
      </c>
      <c r="C128" s="24" t="s">
        <v>106</v>
      </c>
      <c r="D128" s="24" t="s">
        <v>224</v>
      </c>
      <c r="E128" s="15">
        <v>42639.746458333335</v>
      </c>
      <c r="F128" s="15">
        <v>42639.750196759262</v>
      </c>
      <c r="G128" s="7">
        <v>1</v>
      </c>
      <c r="H128" s="15" t="s">
        <v>337</v>
      </c>
      <c r="I128" s="15">
        <v>42639.775173611109</v>
      </c>
      <c r="J128" s="7">
        <v>0</v>
      </c>
      <c r="K128" s="117" t="str">
        <f t="shared" si="55"/>
        <v>4053/4054</v>
      </c>
      <c r="L128" s="24" t="str">
        <f>VLOOKUP(A128,'Trips&amp;Operators'!$C$1:$E$10000,3,FALSE)</f>
        <v>OUN</v>
      </c>
      <c r="M128" s="6">
        <f t="shared" si="56"/>
        <v>2.4976851847895887E-2</v>
      </c>
      <c r="N128" s="7">
        <f t="shared" si="68"/>
        <v>35.966666660970077</v>
      </c>
      <c r="O128" s="7"/>
      <c r="P128" s="7"/>
      <c r="Q128" s="25"/>
      <c r="R128" s="25"/>
      <c r="S128" s="37">
        <f t="shared" si="57"/>
        <v>1</v>
      </c>
      <c r="T128" s="52" t="str">
        <f t="shared" si="58"/>
        <v>NorthBound</v>
      </c>
      <c r="U128" s="15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16:54:54-0600',mode:absolute,to:'2016-09-26 19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28" s="54" t="str">
        <f t="shared" si="60"/>
        <v>N</v>
      </c>
      <c r="X128" s="164">
        <f t="shared" si="54"/>
        <v>1</v>
      </c>
      <c r="Y128" s="69">
        <f t="shared" si="61"/>
        <v>4.4699999999999997E-2</v>
      </c>
      <c r="Z128" s="69">
        <f t="shared" si="62"/>
        <v>23.3325</v>
      </c>
      <c r="AA128" s="69">
        <f t="shared" si="63"/>
        <v>23.287800000000001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 t="shared" si="64"/>
        <v>0215-26</v>
      </c>
      <c r="AE128" s="95" t="str">
        <f t="shared" si="65"/>
        <v>aws s3 cp s3://rtdc.mdm.uploadarchive/RTDC4053/2016-09-26/ "%USERPROFILE%\AppData\Local\Temp\OnboardLogs"\RTDC4053\2016-09-26 --recursive &amp; "%USERPROFILE%\Documents\GitHub\mrs-test-scripts\Headless Mode &amp; Sideloading\WalkAndUnGZ.bat" "%USERPROFILE%\AppData\Local\Temp\OnboardLogs"\RTDC4053\2016-09-26 &amp; aws s3 cp s3://rtdc.mdm.uploadarchive/RTDC4053/2016-09-27/ "%USERPROFILE%\AppData\Local\Temp\OnboardLogs"\RTDC4053\2016-09-27 --recursive &amp; "%USERPROFILE%\Documents\GitHub\mrs-test-scripts\Headless Mode &amp; Sideloading\WalkAndUnGZ.bat" "%USERPROFILE%\AppData\Local\Temp\OnboardLogs"\RTDC4053\2016-09-27</v>
      </c>
      <c r="AF128" s="92" t="str">
        <f t="shared" si="66"/>
        <v>"C:\Program Files (x86)\AstroGrep\AstroGrep.exe" /spath="%USERPROFILE%\AppData\Local\Temp\OnboardLogs" /stypes="app*4053*20160927*" /stext=" 00:.+((SYSTEM_STATE.+slice.+state.+changed )|(ment ac)|(system.+state.+changed )|(\|lc)|(penalty)|(\[timeout)|(PRM\|1\|D)|(kpr)|(kdp))" /e /r /s</v>
      </c>
      <c r="AG128" s="1" t="str">
        <f t="shared" si="67"/>
        <v>EC</v>
      </c>
      <c r="AH128" s="96" t="str">
        <f t="shared" si="38"/>
        <v>"%USERPROFILE%\Documents\GitHub\eaglep3\Utilities\RefineRTDCRunTimes.py" --tripid 215-26 --locoid 4053 --swversion DE.1.0.7.0 --startMP 204:447 --initTime 2016-09-26T17:54:54 --startdatetime 2016-09-26T18:00:17 --delay 1 --endMP 204:233325 --enddatetime 2016-09-26T18:36:15 --enforcementcount 0 &gt;&gt;C:\Users\stu\Documents\GitHub\eaglep3-reporting\EC\2016-09-26-refined-times.txt</v>
      </c>
      <c r="AI128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{"issue":{"subject":"","project_id":79,"tracker_id":40,"status_id":1,"priority_id":2,"assigned_to_id":23,"start_date":"2016-09-26","description":"","custom_fields":[{"id":1,"name":"Subdivision","value":"EC"},{"id":4,"name":"Milepost","value":"23.3325"},{"id":17,"name":"Train ID","value":"215-26"},{"id":16,"name":"Locomotive ID","value":"4053"},{"id":130,"name":"Impact","value":""},{"id":150,"name":"Time of Event (Mountain Time)","value":"18:36:15"},{"id":151,"name":"Denver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531</v>
      </c>
      <c r="B129" s="7">
        <v>4054</v>
      </c>
      <c r="C129" s="24" t="s">
        <v>106</v>
      </c>
      <c r="D129" s="24" t="s">
        <v>335</v>
      </c>
      <c r="E129" s="15">
        <v>42639.784548611111</v>
      </c>
      <c r="F129" s="15">
        <v>42639.789131944446</v>
      </c>
      <c r="G129" s="7">
        <v>1</v>
      </c>
      <c r="H129" s="15" t="s">
        <v>357</v>
      </c>
      <c r="I129" s="15">
        <v>42639.878217592595</v>
      </c>
      <c r="J129" s="7">
        <v>0</v>
      </c>
      <c r="K129" s="117" t="str">
        <f t="shared" si="55"/>
        <v>4053/4054</v>
      </c>
      <c r="L129" s="24" t="str">
        <f>VLOOKUP(A129,'Trips&amp;Operators'!$C$1:$E$10000,3,FALSE)</f>
        <v>OUN</v>
      </c>
      <c r="M129" s="6">
        <f t="shared" si="56"/>
        <v>8.908564814919373E-2</v>
      </c>
      <c r="N129" s="7">
        <f t="shared" si="68"/>
        <v>128.28333333483897</v>
      </c>
      <c r="O129" s="7"/>
      <c r="P129" s="7"/>
      <c r="Q129" s="25"/>
      <c r="R129" s="25" t="s">
        <v>727</v>
      </c>
      <c r="S129" s="37">
        <f t="shared" si="57"/>
        <v>1</v>
      </c>
      <c r="T129" s="52" t="str">
        <f t="shared" si="58"/>
        <v>Southbound</v>
      </c>
      <c r="U129" s="15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17:49:45-0600',mode:absolute,to:'2016-09-26 22:04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29" s="54" t="str">
        <f t="shared" si="60"/>
        <v>N</v>
      </c>
      <c r="X129" s="164">
        <f t="shared" si="54"/>
        <v>1</v>
      </c>
      <c r="Y129" s="69">
        <f t="shared" si="61"/>
        <v>23.300599999999999</v>
      </c>
      <c r="Z129" s="69">
        <f t="shared" si="62"/>
        <v>1.1299999999999999E-2</v>
      </c>
      <c r="AA129" s="69">
        <f t="shared" si="63"/>
        <v>23.289300000000001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64"/>
        <v>0216-26</v>
      </c>
      <c r="AE129" s="95" t="str">
        <f t="shared" si="65"/>
        <v>aws s3 cp s3://rtdc.mdm.uploadarchive/RTDC4054/2016-09-26/ "%USERPROFILE%\AppData\Local\Temp\OnboardLogs"\RTDC4054\2016-09-26 --recursive &amp; "%USERPROFILE%\Documents\GitHub\mrs-test-scripts\Headless Mode &amp; Sideloading\WalkAndUnGZ.bat" "%USERPROFILE%\AppData\Local\Temp\OnboardLogs"\RTDC4054\2016-09-26 &amp; aws s3 cp s3://rtdc.mdm.uploadarchive/RTDC4054/2016-09-27/ "%USERPROFILE%\AppData\Local\Temp\OnboardLogs"\RTDC4054\2016-09-27 --recursive &amp; "%USERPROFILE%\Documents\GitHub\mrs-test-scripts\Headless Mode &amp; Sideloading\WalkAndUnGZ.bat" "%USERPROFILE%\AppData\Local\Temp\OnboardLogs"\RTDC4054\2016-09-27</v>
      </c>
      <c r="AF129" s="92" t="str">
        <f t="shared" si="66"/>
        <v>"C:\Program Files (x86)\AstroGrep\AstroGrep.exe" /spath="%USERPROFILE%\AppData\Local\Temp\OnboardLogs" /stypes="app*4054*20160927*" /stext=" 03:.+((SYSTEM_STATE.+slice.+state.+changed )|(ment ac)|(system.+state.+changed )|(\|lc)|(penalty)|(\[timeout)|(PRM\|1\|D)|(kpr)|(kdp))" /e /r /s</v>
      </c>
      <c r="AG129" s="1" t="str">
        <f t="shared" si="67"/>
        <v>EC</v>
      </c>
      <c r="AH129" s="96" t="str">
        <f t="shared" si="38"/>
        <v>"%USERPROFILE%\Documents\GitHub\eaglep3\Utilities\RefineRTDCRunTimes.py" --tripid 216-26 --locoid 4054 --swversion DE.1.0.7.0 --startMP 204:233006 --initTime 2016-09-26T18:49:45 --startdatetime 2016-09-26T18:56:21 --delay 1 --endMP 204:113 --enddatetime 2016-09-26T21:04:38 --enforcementcount 0 &gt;&gt;C:\Users\stu\Documents\GitHub\eaglep3-reporting\EC\2016-09-26-refined-times.txt</v>
      </c>
      <c r="AI129" s="130" t="str">
        <f t="shared" si="39"/>
        <v>echo {"issue":{"subject":"Mechanical failure","project_id":79,"tracker_id":40,"status_id":1,"priority_id":2,"assigned_to_id":23,"start_date":"2016-09-26","description":"","custom_fields":[{"id":1,"name":"Subdivision","value":"EC"},{"id":4,"name":"Milepost","value":"0.0113"},{"id":17,"name":"Train ID","value":"216-26"},{"id":16,"name":"Locomotive ID","value":"4054"},{"id":130,"name":"Impact","value":""},{"id":150,"name":"Time of Event (Mountain Time)","value":"21:04:38"},{"id":151,"name":"Denver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532</v>
      </c>
      <c r="B130" s="7">
        <v>4018</v>
      </c>
      <c r="C130" s="24" t="s">
        <v>106</v>
      </c>
      <c r="D130" s="24" t="s">
        <v>533</v>
      </c>
      <c r="E130" s="15">
        <v>42639.760162037041</v>
      </c>
      <c r="F130" s="15">
        <v>42639.76116898148</v>
      </c>
      <c r="G130" s="7">
        <v>1</v>
      </c>
      <c r="H130" s="15" t="s">
        <v>433</v>
      </c>
      <c r="I130" s="15">
        <v>42639.785995370374</v>
      </c>
      <c r="J130" s="7">
        <v>0</v>
      </c>
      <c r="K130" s="117" t="str">
        <f t="shared" si="55"/>
        <v>4017/4018</v>
      </c>
      <c r="L130" s="24" t="str">
        <f>VLOOKUP(A130,'Trips&amp;Operators'!$C$1:$E$10000,3,FALSE)</f>
        <v>CHANDLER</v>
      </c>
      <c r="M130" s="6">
        <f t="shared" si="56"/>
        <v>2.4826388893416151E-2</v>
      </c>
      <c r="N130" s="7">
        <f t="shared" si="68"/>
        <v>35.750000006519258</v>
      </c>
      <c r="O130" s="7"/>
      <c r="P130" s="7"/>
      <c r="Q130" s="25"/>
      <c r="R130" s="25"/>
      <c r="S130" s="37">
        <f t="shared" si="57"/>
        <v>1</v>
      </c>
      <c r="T130" s="52" t="str">
        <f t="shared" si="58"/>
        <v>NorthBound</v>
      </c>
      <c r="U130" s="15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17:14:38-0600',mode:absolute,to:'2016-09-26 19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0" s="54" t="str">
        <f t="shared" si="60"/>
        <v>N</v>
      </c>
      <c r="X130" s="164">
        <f t="shared" si="54"/>
        <v>1</v>
      </c>
      <c r="Y130" s="69">
        <f t="shared" si="61"/>
        <v>4.8000000000000001E-2</v>
      </c>
      <c r="Z130" s="69">
        <f t="shared" si="62"/>
        <v>23.3293</v>
      </c>
      <c r="AA130" s="69">
        <f t="shared" si="63"/>
        <v>23.281300000000002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64"/>
        <v>0217-26</v>
      </c>
      <c r="AE130" s="95" t="str">
        <f t="shared" si="65"/>
        <v>aws s3 cp s3://rtdc.mdm.uploadarchive/RTDC4018/2016-09-26/ "%USERPROFILE%\AppData\Local\Temp\OnboardLogs"\RTDC4018\2016-09-26 --recursive &amp; "%USERPROFILE%\Documents\GitHub\mrs-test-scripts\Headless Mode &amp; Sideloading\WalkAndUnGZ.bat" "%USERPROFILE%\AppData\Local\Temp\OnboardLogs"\RTDC4018\2016-09-26 &amp; 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</v>
      </c>
      <c r="AF130" s="92" t="str">
        <f t="shared" si="66"/>
        <v>"C:\Program Files (x86)\AstroGrep\AstroGrep.exe" /spath="%USERPROFILE%\AppData\Local\Temp\OnboardLogs" /stypes="app*4018*20160927*" /stext=" 00:.+((SYSTEM_STATE.+slice.+state.+changed )|(ment ac)|(system.+state.+changed )|(\|lc)|(penalty)|(\[timeout)|(PRM\|1\|D)|(kpr)|(kdp))" /e /r /s</v>
      </c>
      <c r="AG130" s="1" t="str">
        <f t="shared" si="67"/>
        <v>EC</v>
      </c>
      <c r="AH130" s="96" t="str">
        <f t="shared" si="38"/>
        <v>"%USERPROFILE%\Documents\GitHub\eaglep3\Utilities\RefineRTDCRunTimes.py" --tripid 217-26 --locoid 4018 --swversion DE.1.0.7.0 --startMP 204:480 --initTime 2016-09-26T18:14:38 --startdatetime 2016-09-26T18:16:05 --delay 1 --endMP 204:233293 --enddatetime 2016-09-26T18:51:50 --enforcementcount 0 &gt;&gt;C:\Users\stu\Documents\GitHub\eaglep3-reporting\EC\2016-09-26-refined-times.txt</v>
      </c>
      <c r="AI130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{"issue":{"subject":"","project_id":79,"tracker_id":40,"status_id":1,"priority_id":2,"assigned_to_id":23,"start_date":"2016-09-26","description":"","custom_fields":[{"id":1,"name":"Subdivision","value":"EC"},{"id":4,"name":"Milepost","value":"23.3293"},{"id":17,"name":"Train ID","value":"217-26"},{"id":16,"name":"Locomotive ID","value":"4018"},{"id":130,"name":"Impact","value":""},{"id":150,"name":"Time of Event (Mountain Time)","value":"18:51:50"},{"id":151,"name":"Denver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534</v>
      </c>
      <c r="B131" s="7">
        <v>4017</v>
      </c>
      <c r="C131" s="24" t="s">
        <v>106</v>
      </c>
      <c r="D131" s="24" t="s">
        <v>535</v>
      </c>
      <c r="E131" s="15">
        <v>42639.795717592591</v>
      </c>
      <c r="F131" s="15">
        <v>42639.799710648149</v>
      </c>
      <c r="G131" s="7">
        <v>1</v>
      </c>
      <c r="H131" s="15" t="s">
        <v>256</v>
      </c>
      <c r="I131" s="15">
        <v>42639.827199074076</v>
      </c>
      <c r="J131" s="7">
        <v>0</v>
      </c>
      <c r="K131" s="117" t="str">
        <f t="shared" si="55"/>
        <v>4017/4018</v>
      </c>
      <c r="L131" s="24" t="str">
        <f>VLOOKUP(A131,'Trips&amp;Operators'!$C$1:$E$10000,3,FALSE)</f>
        <v>CHANDLER</v>
      </c>
      <c r="M131" s="6">
        <f t="shared" si="56"/>
        <v>2.7488425927003846E-2</v>
      </c>
      <c r="N131" s="7">
        <f t="shared" si="68"/>
        <v>39.583333334885538</v>
      </c>
      <c r="O131" s="7"/>
      <c r="P131" s="7"/>
      <c r="Q131" s="25"/>
      <c r="R131" s="25"/>
      <c r="S131" s="37">
        <f t="shared" si="57"/>
        <v>1</v>
      </c>
      <c r="T131" s="52" t="str">
        <f t="shared" si="58"/>
        <v>Southbound</v>
      </c>
      <c r="U131" s="15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18:05:50-0600',mode:absolute,to:'2016-09-26 20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31" s="54" t="str">
        <f t="shared" si="60"/>
        <v>N</v>
      </c>
      <c r="X131" s="164">
        <f t="shared" si="54"/>
        <v>1</v>
      </c>
      <c r="Y131" s="69">
        <f t="shared" si="61"/>
        <v>23.296500000000002</v>
      </c>
      <c r="Z131" s="69">
        <f t="shared" si="62"/>
        <v>1.41E-2</v>
      </c>
      <c r="AA131" s="69">
        <f t="shared" si="63"/>
        <v>23.282400000000003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64"/>
        <v>0218-26</v>
      </c>
      <c r="AE131" s="95" t="str">
        <f t="shared" si="65"/>
        <v>aws s3 cp s3://rtdc.mdm.uploadarchive/RTDC4017/2016-09-26/ "%USERPROFILE%\AppData\Local\Temp\OnboardLogs"\RTDC4017\2016-09-26 --recursive &amp; "%USERPROFILE%\Documents\GitHub\mrs-test-scripts\Headless Mode &amp; Sideloading\WalkAndUnGZ.bat" "%USERPROFILE%\AppData\Local\Temp\OnboardLogs"\RTDC4017\2016-09-26 &amp; 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</v>
      </c>
      <c r="AF131" s="92" t="str">
        <f t="shared" si="66"/>
        <v>"C:\Program Files (x86)\AstroGrep\AstroGrep.exe" /spath="%USERPROFILE%\AppData\Local\Temp\OnboardLogs" /stypes="app*4017*20160927*" /stext=" 01:.+((SYSTEM_STATE.+slice.+state.+changed )|(ment ac)|(system.+state.+changed )|(\|lc)|(penalty)|(\[timeout)|(PRM\|1\|D)|(kpr)|(kdp))" /e /r /s</v>
      </c>
      <c r="AG131" s="1" t="str">
        <f t="shared" si="67"/>
        <v>EC</v>
      </c>
      <c r="AH131" s="96" t="str">
        <f t="shared" si="38"/>
        <v>"%USERPROFILE%\Documents\GitHub\eaglep3\Utilities\RefineRTDCRunTimes.py" --tripid 218-26 --locoid 4017 --swversion DE.1.0.7.0 --startMP 204:232965 --initTime 2016-09-26T19:05:50 --startdatetime 2016-09-26T19:11:35 --delay 1 --endMP 204:141 --enddatetime 2016-09-26T19:51:10 --enforcementcount 0 &gt;&gt;C:\Users\stu\Documents\GitHub\eaglep3-reporting\EC\2016-09-26-refined-times.txt</v>
      </c>
      <c r="AI131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{"issue":{"subject":"","project_id":79,"tracker_id":40,"status_id":1,"priority_id":2,"assigned_to_id":23,"start_date":"2016-09-26","description":"","custom_fields":[{"id":1,"name":"Subdivision","value":"EC"},{"id":4,"name":"Milepost","value":"0.0141"},{"id":17,"name":"Train ID","value":"218-26"},{"id":16,"name":"Locomotive ID","value":"4017"},{"id":130,"name":"Impact","value":""},{"id":150,"name":"Time of Event (Mountain Time)","value":"19:51:10"},{"id":151,"name":"Denver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536</v>
      </c>
      <c r="B132" s="7">
        <v>4025</v>
      </c>
      <c r="C132" s="24" t="s">
        <v>106</v>
      </c>
      <c r="D132" s="24" t="s">
        <v>216</v>
      </c>
      <c r="E132" s="15">
        <v>42639.767025462963</v>
      </c>
      <c r="F132" s="15">
        <v>42639.771053240744</v>
      </c>
      <c r="G132" s="7">
        <v>2</v>
      </c>
      <c r="H132" s="15" t="s">
        <v>309</v>
      </c>
      <c r="I132" s="15">
        <v>42639.797384259262</v>
      </c>
      <c r="J132" s="7">
        <v>0</v>
      </c>
      <c r="K132" s="117" t="str">
        <f t="shared" si="55"/>
        <v>4025/4026</v>
      </c>
      <c r="L132" s="24" t="str">
        <f>VLOOKUP(A132,'Trips&amp;Operators'!$C$1:$E$10000,3,FALSE)</f>
        <v>YANAI</v>
      </c>
      <c r="M132" s="6">
        <f t="shared" si="56"/>
        <v>2.6331018518249039E-2</v>
      </c>
      <c r="N132" s="7">
        <f t="shared" si="68"/>
        <v>37.916666666278616</v>
      </c>
      <c r="O132" s="7"/>
      <c r="P132" s="7"/>
      <c r="Q132" s="25"/>
      <c r="R132" s="25"/>
      <c r="S132" s="37">
        <f t="shared" si="57"/>
        <v>1</v>
      </c>
      <c r="T132" s="52" t="str">
        <f t="shared" si="58"/>
        <v>NorthBound</v>
      </c>
      <c r="U132" s="15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17:24:31-0600',mode:absolute,to:'2016-09-26 20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32" s="54" t="str">
        <f t="shared" si="60"/>
        <v>N</v>
      </c>
      <c r="X132" s="164">
        <f t="shared" si="54"/>
        <v>1</v>
      </c>
      <c r="Y132" s="69">
        <f t="shared" si="61"/>
        <v>4.7100000000000003E-2</v>
      </c>
      <c r="Z132" s="69">
        <f t="shared" si="62"/>
        <v>23.326599999999999</v>
      </c>
      <c r="AA132" s="69">
        <f t="shared" si="63"/>
        <v>23.279499999999999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64"/>
        <v>0219-26</v>
      </c>
      <c r="AE132" s="95" t="str">
        <f t="shared" si="65"/>
        <v>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 &amp; aws s3 cp s3://rtdc.mdm.uploadarchive/RTDC4025/2016-09-27/ "%USERPROFILE%\AppData\Local\Temp\OnboardLogs"\RTDC4025\2016-09-27 --recursive &amp; "%USERPROFILE%\Documents\GitHub\mrs-test-scripts\Headless Mode &amp; Sideloading\WalkAndUnGZ.bat" "%USERPROFILE%\AppData\Local\Temp\OnboardLogs"\RTDC4025\2016-09-27</v>
      </c>
      <c r="AF132" s="92" t="str">
        <f t="shared" si="66"/>
        <v>"C:\Program Files (x86)\AstroGrep\AstroGrep.exe" /spath="%USERPROFILE%\AppData\Local\Temp\OnboardLogs" /stypes="app*4025*20160927*" /stext=" 01:.+((SYSTEM_STATE.+slice.+state.+changed )|(ment ac)|(system.+state.+changed )|(\|lc)|(penalty)|(\[timeout)|(PRM\|1\|D)|(kpr)|(kdp))" /e /r /s</v>
      </c>
      <c r="AG132" s="1" t="str">
        <f t="shared" si="67"/>
        <v>EC</v>
      </c>
      <c r="AH132" s="96" t="str">
        <f t="shared" si="38"/>
        <v>"%USERPROFILE%\Documents\GitHub\eaglep3\Utilities\RefineRTDCRunTimes.py" --tripid 219-26 --locoid 4025 --swversion DE.1.0.7.0 --startMP 204:471 --initTime 2016-09-26T18:24:31 --startdatetime 2016-09-26T18:30:19 --delay 2 --endMP 204:233266 --enddatetime 2016-09-26T19:08:14 --enforcementcount 0 &gt;&gt;C:\Users\stu\Documents\GitHub\eaglep3-reporting\EC\2016-09-26-refined-times.txt</v>
      </c>
      <c r="AI132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{"issue":{"subject":"","project_id":79,"tracker_id":40,"status_id":1,"priority_id":2,"assigned_to_id":23,"start_date":"2016-09-26","description":"","custom_fields":[{"id":1,"name":"Subdivision","value":"EC"},{"id":4,"name":"Milepost","value":"23.3266"},{"id":17,"name":"Train ID","value":"219-26"},{"id":16,"name":"Locomotive ID","value":"4025"},{"id":130,"name":"Impact","value":""},{"id":150,"name":"Time of Event (Mountain Time)","value":"19:08:14"},{"id":151,"name":"Denver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537</v>
      </c>
      <c r="B133" s="7">
        <v>4026</v>
      </c>
      <c r="C133" s="24" t="s">
        <v>106</v>
      </c>
      <c r="D133" s="24" t="s">
        <v>343</v>
      </c>
      <c r="E133" s="15">
        <v>42639.803136574075</v>
      </c>
      <c r="F133" s="15">
        <v>42639.810439814813</v>
      </c>
      <c r="G133" s="7">
        <v>9</v>
      </c>
      <c r="H133" s="15" t="s">
        <v>256</v>
      </c>
      <c r="I133" s="15">
        <v>42639.838437500002</v>
      </c>
      <c r="J133" s="7">
        <v>0</v>
      </c>
      <c r="K133" s="117" t="str">
        <f t="shared" si="55"/>
        <v>4025/4026</v>
      </c>
      <c r="L133" s="24" t="str">
        <f>VLOOKUP(A133,'Trips&amp;Operators'!$C$1:$E$10000,3,FALSE)</f>
        <v>YANAI</v>
      </c>
      <c r="M133" s="6">
        <f t="shared" si="56"/>
        <v>2.7997685188893229E-2</v>
      </c>
      <c r="N133" s="7">
        <f t="shared" si="68"/>
        <v>40.316666672006249</v>
      </c>
      <c r="O133" s="7"/>
      <c r="P133" s="7"/>
      <c r="Q133" s="25"/>
      <c r="R133" s="25"/>
      <c r="S133" s="37">
        <f t="shared" si="57"/>
        <v>1</v>
      </c>
      <c r="T133" s="52" t="str">
        <f t="shared" si="58"/>
        <v>Southbound</v>
      </c>
      <c r="U133" s="15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18:16:31-0600',mode:absolute,to:'2016-09-26 21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33" s="54" t="str">
        <f t="shared" si="60"/>
        <v>N</v>
      </c>
      <c r="X133" s="164">
        <f t="shared" si="54"/>
        <v>1</v>
      </c>
      <c r="Y133" s="69">
        <f t="shared" si="61"/>
        <v>23.2957</v>
      </c>
      <c r="Z133" s="69">
        <f t="shared" si="62"/>
        <v>1.41E-2</v>
      </c>
      <c r="AA133" s="69">
        <f t="shared" si="63"/>
        <v>23.281600000000001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64"/>
        <v>0220-26</v>
      </c>
      <c r="AE133" s="95" t="str">
        <f t="shared" si="65"/>
        <v>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 &amp; 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</v>
      </c>
      <c r="AF133" s="92" t="str">
        <f t="shared" si="66"/>
        <v>"C:\Program Files (x86)\AstroGrep\AstroGrep.exe" /spath="%USERPROFILE%\AppData\Local\Temp\OnboardLogs" /stypes="app*4026*20160927*" /stext=" 02:.+((SYSTEM_STATE.+slice.+state.+changed )|(ment ac)|(system.+state.+changed )|(\|lc)|(penalty)|(\[timeout)|(PRM\|1\|D)|(kpr)|(kdp))" /e /r /s</v>
      </c>
      <c r="AG133" s="1" t="str">
        <f t="shared" si="67"/>
        <v>EC</v>
      </c>
      <c r="AH133" s="96" t="str">
        <f t="shared" si="38"/>
        <v>"%USERPROFILE%\Documents\GitHub\eaglep3\Utilities\RefineRTDCRunTimes.py" --tripid 220-26 --locoid 4026 --swversion DE.1.0.7.0 --startMP 204:232957 --initTime 2016-09-26T19:16:31 --startdatetime 2016-09-26T19:27:02 --delay 9 --endMP 204:141 --enddatetime 2016-09-26T20:07:21 --enforcementcount 0 &gt;&gt;C:\Users\stu\Documents\GitHub\eaglep3-reporting\EC\2016-09-26-refined-times.txt</v>
      </c>
      <c r="AI133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{"issue":{"subject":"","project_id":79,"tracker_id":40,"status_id":1,"priority_id":2,"assigned_to_id":23,"start_date":"2016-09-26","description":"","custom_fields":[{"id":1,"name":"Subdivision","value":"EC"},{"id":4,"name":"Milepost","value":"0.0141"},{"id":17,"name":"Train ID","value":"220-26"},{"id":16,"name":"Locomotive ID","value":"4026"},{"id":130,"name":"Impact","value":""},{"id":150,"name":"Time of Event (Mountain Time)","value":"20:07:21"},{"id":151,"name":"Denver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538</v>
      </c>
      <c r="B134" s="7">
        <v>4007</v>
      </c>
      <c r="C134" s="24" t="s">
        <v>106</v>
      </c>
      <c r="D134" s="24" t="s">
        <v>226</v>
      </c>
      <c r="E134" s="15">
        <v>42639.787129629629</v>
      </c>
      <c r="F134" s="15">
        <v>42639.791944444441</v>
      </c>
      <c r="G134" s="7">
        <v>1</v>
      </c>
      <c r="H134" s="15" t="s">
        <v>265</v>
      </c>
      <c r="I134" s="15">
        <v>42639.818182870367</v>
      </c>
      <c r="J134" s="7">
        <v>0</v>
      </c>
      <c r="K134" s="117" t="str">
        <f t="shared" si="55"/>
        <v>4007/4008</v>
      </c>
      <c r="L134" s="24" t="str">
        <f>VLOOKUP(A134,'Trips&amp;Operators'!$C$1:$E$10000,3,FALSE)</f>
        <v>LEVERE</v>
      </c>
      <c r="M134" s="6">
        <f t="shared" si="56"/>
        <v>2.6238425925839692E-2</v>
      </c>
      <c r="N134" s="7">
        <f t="shared" si="68"/>
        <v>37.783333333209157</v>
      </c>
      <c r="O134" s="7"/>
      <c r="P134" s="7"/>
      <c r="Q134" s="25"/>
      <c r="R134" s="25"/>
      <c r="S134" s="37">
        <f t="shared" si="57"/>
        <v>1</v>
      </c>
      <c r="T134" s="52" t="str">
        <f t="shared" si="58"/>
        <v>NorthBound</v>
      </c>
      <c r="U134" s="15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17:53:28-0600',mode:absolute,to:'2016-09-26 20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34" s="54" t="str">
        <f t="shared" si="60"/>
        <v>N</v>
      </c>
      <c r="X134" s="164">
        <f t="shared" si="54"/>
        <v>1</v>
      </c>
      <c r="Y134" s="69">
        <f t="shared" si="61"/>
        <v>4.5100000000000001E-2</v>
      </c>
      <c r="Z134" s="69">
        <f t="shared" si="62"/>
        <v>23.33</v>
      </c>
      <c r="AA134" s="69">
        <f t="shared" si="63"/>
        <v>23.284899999999997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64"/>
        <v>0221-26</v>
      </c>
      <c r="AE134" s="95" t="str">
        <f t="shared" si="65"/>
        <v>aws s3 cp s3://rtdc.mdm.uploadarchive/RTDC4007/2016-09-26/ "%USERPROFILE%\AppData\Local\Temp\OnboardLogs"\RTDC4007\2016-09-26 --recursive &amp; "%USERPROFILE%\Documents\GitHub\mrs-test-scripts\Headless Mode &amp; Sideloading\WalkAndUnGZ.bat" "%USERPROFILE%\AppData\Local\Temp\OnboardLogs"\RTDC4007\2016-09-26 &amp; aws s3 cp s3://rtdc.mdm.uploadarchive/RTDC4007/2016-09-27/ "%USERPROFILE%\AppData\Local\Temp\OnboardLogs"\RTDC4007\2016-09-27 --recursive &amp; "%USERPROFILE%\Documents\GitHub\mrs-test-scripts\Headless Mode &amp; Sideloading\WalkAndUnGZ.bat" "%USERPROFILE%\AppData\Local\Temp\OnboardLogs"\RTDC4007\2016-09-27</v>
      </c>
      <c r="AF134" s="92" t="str">
        <f t="shared" si="66"/>
        <v>"C:\Program Files (x86)\AstroGrep\AstroGrep.exe" /spath="%USERPROFILE%\AppData\Local\Temp\OnboardLogs" /stypes="app*4007*20160927*" /stext=" 01:.+((SYSTEM_STATE.+slice.+state.+changed )|(ment ac)|(system.+state.+changed )|(\|lc)|(penalty)|(\[timeout)|(PRM\|1\|D)|(kpr)|(kdp))" /e /r /s</v>
      </c>
      <c r="AG134" s="1" t="str">
        <f t="shared" si="67"/>
        <v>EC</v>
      </c>
      <c r="AH134" s="96" t="str">
        <f t="shared" si="38"/>
        <v>"%USERPROFILE%\Documents\GitHub\eaglep3\Utilities\RefineRTDCRunTimes.py" --tripid 221-26 --locoid 4007 --swversion DE.1.0.7.0 --startMP 204:451 --initTime 2016-09-26T18:53:28 --startdatetime 2016-09-26T19:00:24 --delay 1 --endMP 204:233300 --enddatetime 2016-09-26T19:38:11 --enforcementcount 0 &gt;&gt;C:\Users\stu\Documents\GitHub\eaglep3-reporting\EC\2016-09-26-refined-times.txt</v>
      </c>
      <c r="AI134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{"issue":{"subject":"","project_id":79,"tracker_id":40,"status_id":1,"priority_id":2,"assigned_to_id":23,"start_date":"2016-09-26","description":"","custom_fields":[{"id":1,"name":"Subdivision","value":"EC"},{"id":4,"name":"Milepost","value":"23.33"},{"id":17,"name":"Train ID","value":"221-26"},{"id":16,"name":"Locomotive ID","value":"4007"},{"id":130,"name":"Impact","value":""},{"id":150,"name":"Time of Event (Mountain Time)","value":"19:38:11"},{"id":151,"name":"Denver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539</v>
      </c>
      <c r="B135" s="7">
        <v>4008</v>
      </c>
      <c r="C135" s="24" t="s">
        <v>106</v>
      </c>
      <c r="D135" s="24" t="s">
        <v>317</v>
      </c>
      <c r="E135" s="15">
        <v>42639.823009259257</v>
      </c>
      <c r="F135" s="15">
        <v>42639.830925925926</v>
      </c>
      <c r="G135" s="7">
        <v>1</v>
      </c>
      <c r="H135" s="15" t="s">
        <v>540</v>
      </c>
      <c r="I135" s="15">
        <v>42639.859259259261</v>
      </c>
      <c r="J135" s="7">
        <v>0</v>
      </c>
      <c r="K135" s="117" t="str">
        <f t="shared" si="55"/>
        <v>4007/4008</v>
      </c>
      <c r="L135" s="24" t="str">
        <f>VLOOKUP(A135,'Trips&amp;Operators'!$C$1:$E$10000,3,FALSE)</f>
        <v>LEVERE</v>
      </c>
      <c r="M135" s="6">
        <f t="shared" si="56"/>
        <v>2.8333333335467614E-2</v>
      </c>
      <c r="N135" s="7">
        <f t="shared" si="68"/>
        <v>40.800000003073364</v>
      </c>
      <c r="O135" s="7"/>
      <c r="P135" s="7"/>
      <c r="Q135" s="25"/>
      <c r="R135" s="25"/>
      <c r="S135" s="37">
        <f t="shared" si="57"/>
        <v>1</v>
      </c>
      <c r="T135" s="52" t="str">
        <f t="shared" si="58"/>
        <v>Southbound</v>
      </c>
      <c r="U135" s="15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18:45:08-0600',mode:absolute,to:'2016-09-26 21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35" s="54" t="str">
        <f t="shared" si="60"/>
        <v>N</v>
      </c>
      <c r="X135" s="164">
        <f t="shared" si="54"/>
        <v>1</v>
      </c>
      <c r="Y135" s="69">
        <f t="shared" si="61"/>
        <v>23.298500000000001</v>
      </c>
      <c r="Z135" s="69">
        <f t="shared" si="62"/>
        <v>1.89E-2</v>
      </c>
      <c r="AA135" s="69">
        <f t="shared" si="63"/>
        <v>23.279600000000002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64"/>
        <v>0222-26</v>
      </c>
      <c r="AE135" s="95" t="str">
        <f t="shared" si="65"/>
        <v>aws s3 cp s3://rtdc.mdm.uploadarchive/RTDC4008/2016-09-26/ "%USERPROFILE%\AppData\Local\Temp\OnboardLogs"\RTDC4008\2016-09-26 --recursive &amp; "%USERPROFILE%\Documents\GitHub\mrs-test-scripts\Headless Mode &amp; Sideloading\WalkAndUnGZ.bat" "%USERPROFILE%\AppData\Local\Temp\OnboardLogs"\RTDC4008\2016-09-26 &amp; aws s3 cp s3://rtdc.mdm.uploadarchive/RTDC4008/2016-09-27/ "%USERPROFILE%\AppData\Local\Temp\OnboardLogs"\RTDC4008\2016-09-27 --recursive &amp; "%USERPROFILE%\Documents\GitHub\mrs-test-scripts\Headless Mode &amp; Sideloading\WalkAndUnGZ.bat" "%USERPROFILE%\AppData\Local\Temp\OnboardLogs"\RTDC4008\2016-09-27</v>
      </c>
      <c r="AF135" s="92" t="str">
        <f t="shared" si="66"/>
        <v>"C:\Program Files (x86)\AstroGrep\AstroGrep.exe" /spath="%USERPROFILE%\AppData\Local\Temp\OnboardLogs" /stypes="app*4008*20160927*" /stext=" 02:.+((SYSTEM_STATE.+slice.+state.+changed )|(ment ac)|(system.+state.+changed )|(\|lc)|(penalty)|(\[timeout)|(PRM\|1\|D)|(kpr)|(kdp))" /e /r /s</v>
      </c>
      <c r="AG135" s="1" t="str">
        <f t="shared" si="67"/>
        <v>EC</v>
      </c>
      <c r="AH135" s="96" t="str">
        <f t="shared" si="38"/>
        <v>"%USERPROFILE%\Documents\GitHub\eaglep3\Utilities\RefineRTDCRunTimes.py" --tripid 222-26 --locoid 4008 --swversion DE.1.0.7.0 --startMP 204:232985 --initTime 2016-09-26T19:45:08 --startdatetime 2016-09-26T19:56:32 --delay 1 --endMP 204:189 --enddatetime 2016-09-26T20:37:20 --enforcementcount 0 &gt;&gt;C:\Users\stu\Documents\GitHub\eaglep3-reporting\EC\2016-09-26-refined-times.txt</v>
      </c>
      <c r="AI135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{"issue":{"subject":"","project_id":79,"tracker_id":40,"status_id":1,"priority_id":2,"assigned_to_id":23,"start_date":"2016-09-26","description":"","custom_fields":[{"id":1,"name":"Subdivision","value":"EC"},{"id":4,"name":"Milepost","value":"0.0189"},{"id":17,"name":"Train ID","value":"222-26"},{"id":16,"name":"Locomotive ID","value":"4008"},{"id":130,"name":"Impact","value":""},{"id":150,"name":"Time of Event (Mountain Time)","value":"20:37:20"},{"id":151,"name":"Denver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541</v>
      </c>
      <c r="B136" s="7">
        <v>4011</v>
      </c>
      <c r="C136" s="24" t="s">
        <v>106</v>
      </c>
      <c r="D136" s="24" t="s">
        <v>264</v>
      </c>
      <c r="E136" s="15">
        <v>42639.807025462964</v>
      </c>
      <c r="F136" s="15">
        <v>42639.812939814816</v>
      </c>
      <c r="G136" s="7">
        <v>1</v>
      </c>
      <c r="H136" s="15" t="s">
        <v>304</v>
      </c>
      <c r="I136" s="15">
        <v>42639.844027777777</v>
      </c>
      <c r="J136" s="7">
        <v>0</v>
      </c>
      <c r="K136" s="117" t="str">
        <f t="shared" si="55"/>
        <v>4011/4012</v>
      </c>
      <c r="L136" s="24" t="str">
        <f>VLOOKUP(A136,'Trips&amp;Operators'!$C$1:$E$10000,3,FALSE)</f>
        <v>NEWELL</v>
      </c>
      <c r="M136" s="6">
        <f t="shared" si="56"/>
        <v>3.1087962961464655E-2</v>
      </c>
      <c r="N136" s="7">
        <f t="shared" si="68"/>
        <v>44.766666664509103</v>
      </c>
      <c r="O136" s="7"/>
      <c r="P136" s="7"/>
      <c r="Q136" s="25"/>
      <c r="R136" s="25"/>
      <c r="S136" s="37">
        <f t="shared" si="57"/>
        <v>1</v>
      </c>
      <c r="T136" s="52" t="str">
        <f t="shared" si="58"/>
        <v>NorthBound</v>
      </c>
      <c r="U136" s="15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18:22:07-0600',mode:absolute,to:'2016-09-26 21:15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36" s="54" t="str">
        <f t="shared" si="60"/>
        <v>N</v>
      </c>
      <c r="X136" s="164">
        <f t="shared" si="54"/>
        <v>1</v>
      </c>
      <c r="Y136" s="69">
        <f t="shared" si="61"/>
        <v>4.4600000000000001E-2</v>
      </c>
      <c r="Z136" s="69">
        <f t="shared" si="62"/>
        <v>23.328099999999999</v>
      </c>
      <c r="AA136" s="69">
        <f t="shared" si="63"/>
        <v>23.2835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64"/>
        <v>0223-26</v>
      </c>
      <c r="AE136" s="95" t="str">
        <f t="shared" si="65"/>
        <v>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 &amp; 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</v>
      </c>
      <c r="AF136" s="92" t="str">
        <f t="shared" si="66"/>
        <v>"C:\Program Files (x86)\AstroGrep\AstroGrep.exe" /spath="%USERPROFILE%\AppData\Local\Temp\OnboardLogs" /stypes="app*4011*20160927*" /stext=" 02:.+((SYSTEM_STATE.+slice.+state.+changed )|(ment ac)|(system.+state.+changed )|(\|lc)|(penalty)|(\[timeout)|(PRM\|1\|D)|(kpr)|(kdp))" /e /r /s</v>
      </c>
      <c r="AG136" s="1" t="str">
        <f t="shared" si="67"/>
        <v>EC</v>
      </c>
      <c r="AH136" s="96" t="str">
        <f t="shared" si="38"/>
        <v>"%USERPROFILE%\Documents\GitHub\eaglep3\Utilities\RefineRTDCRunTimes.py" --tripid 223-26 --locoid 4011 --swversion DE.1.0.7.0 --startMP 204:446 --initTime 2016-09-26T19:22:07 --startdatetime 2016-09-26T19:30:38 --delay 1 --endMP 204:233281 --enddatetime 2016-09-26T20:15:24 --enforcementcount 0 &gt;&gt;C:\Users\stu\Documents\GitHub\eaglep3-reporting\EC\2016-09-26-refined-times.txt</v>
      </c>
      <c r="AI136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{"issue":{"subject":"","project_id":79,"tracker_id":40,"status_id":1,"priority_id":2,"assigned_to_id":23,"start_date":"2016-09-26","description":"","custom_fields":[{"id":1,"name":"Subdivision","value":"EC"},{"id":4,"name":"Milepost","value":"23.3281"},{"id":17,"name":"Train ID","value":"223-26"},{"id":16,"name":"Locomotive ID","value":"4011"},{"id":130,"name":"Impact","value":""},{"id":150,"name":"Time of Event (Mountain Time)","value":"20:15:24"},{"id":151,"name":"Denver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542</v>
      </c>
      <c r="B137" s="7">
        <v>4012</v>
      </c>
      <c r="C137" s="24" t="s">
        <v>106</v>
      </c>
      <c r="D137" s="24" t="s">
        <v>543</v>
      </c>
      <c r="E137" s="15">
        <v>42639.845752314817</v>
      </c>
      <c r="F137" s="15">
        <v>42639.851631944446</v>
      </c>
      <c r="G137" s="7">
        <v>1</v>
      </c>
      <c r="H137" s="15" t="s">
        <v>217</v>
      </c>
      <c r="I137" s="15">
        <v>42639.880231481482</v>
      </c>
      <c r="J137" s="7">
        <v>0</v>
      </c>
      <c r="K137" s="117" t="str">
        <f t="shared" si="55"/>
        <v>4011/4012</v>
      </c>
      <c r="L137" s="24" t="str">
        <f>VLOOKUP(A137,'Trips&amp;Operators'!$C$1:$E$10000,3,FALSE)</f>
        <v>NEWELL</v>
      </c>
      <c r="M137" s="6">
        <f t="shared" si="56"/>
        <v>2.8599537035916001E-2</v>
      </c>
      <c r="N137" s="7">
        <f t="shared" si="68"/>
        <v>41.183333331719041</v>
      </c>
      <c r="O137" s="7"/>
      <c r="P137" s="7"/>
      <c r="Q137" s="25"/>
      <c r="R137" s="25"/>
      <c r="S137" s="37">
        <f t="shared" si="57"/>
        <v>1</v>
      </c>
      <c r="T137" s="52" t="str">
        <f t="shared" si="58"/>
        <v>Southbound</v>
      </c>
      <c r="U137" s="15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19:17:53-0600',mode:absolute,to:'2016-09-26 22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37" s="54" t="str">
        <f t="shared" si="60"/>
        <v>N</v>
      </c>
      <c r="X137" s="164">
        <f t="shared" si="54"/>
        <v>1</v>
      </c>
      <c r="Y137" s="69">
        <f t="shared" si="61"/>
        <v>23.295999999999999</v>
      </c>
      <c r="Z137" s="69">
        <f t="shared" si="62"/>
        <v>1.5800000000000002E-2</v>
      </c>
      <c r="AA137" s="69">
        <f t="shared" si="63"/>
        <v>23.280200000000001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 t="shared" si="64"/>
        <v>0224-26</v>
      </c>
      <c r="AE137" s="95" t="str">
        <f t="shared" si="65"/>
        <v>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 &amp; 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</v>
      </c>
      <c r="AF137" s="92" t="str">
        <f t="shared" si="66"/>
        <v>"C:\Program Files (x86)\AstroGrep\AstroGrep.exe" /spath="%USERPROFILE%\AppData\Local\Temp\OnboardLogs" /stypes="app*4012*20160927*" /stext=" 03:.+((SYSTEM_STATE.+slice.+state.+changed )|(ment ac)|(system.+state.+changed )|(\|lc)|(penalty)|(\[timeout)|(PRM\|1\|D)|(kpr)|(kdp))" /e /r /s</v>
      </c>
      <c r="AG137" s="1" t="str">
        <f t="shared" si="67"/>
        <v>EC</v>
      </c>
      <c r="AH137" s="96" t="str">
        <f t="shared" si="38"/>
        <v>"%USERPROFILE%\Documents\GitHub\eaglep3\Utilities\RefineRTDCRunTimes.py" --tripid 224-26 --locoid 4012 --swversion DE.1.0.7.0 --startMP 204:232960 --initTime 2016-09-26T20:17:53 --startdatetime 2016-09-26T20:26:21 --delay 1 --endMP 204:158 --enddatetime 2016-09-26T21:07:32 --enforcementcount 0 &gt;&gt;C:\Users\stu\Documents\GitHub\eaglep3-reporting\EC\2016-09-26-refined-times.txt</v>
      </c>
      <c r="AI137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{"issue":{"subject":"","project_id":79,"tracker_id":40,"status_id":1,"priority_id":2,"assigned_to_id":23,"start_date":"2016-09-26","description":"","custom_fields":[{"id":1,"name":"Subdivision","value":"EC"},{"id":4,"name":"Milepost","value":"0.0158"},{"id":17,"name":"Train ID","value":"224-26"},{"id":16,"name":"Locomotive ID","value":"4012"},{"id":130,"name":"Impact","value":""},{"id":150,"name":"Time of Event (Mountain Time)","value":"21:07:32"},{"id":151,"name":"Denver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544</v>
      </c>
      <c r="B138" s="7">
        <v>4018</v>
      </c>
      <c r="C138" s="24" t="s">
        <v>106</v>
      </c>
      <c r="D138" s="24" t="s">
        <v>231</v>
      </c>
      <c r="E138" s="15">
        <v>42639.832881944443</v>
      </c>
      <c r="F138" s="15">
        <v>42639.833923611113</v>
      </c>
      <c r="G138" s="7">
        <v>1</v>
      </c>
      <c r="H138" s="15" t="s">
        <v>338</v>
      </c>
      <c r="I138" s="15">
        <v>42639.865266203706</v>
      </c>
      <c r="J138" s="7">
        <v>0</v>
      </c>
      <c r="K138" s="117" t="str">
        <f t="shared" si="55"/>
        <v>4017/4018</v>
      </c>
      <c r="L138" s="24" t="str">
        <f>VLOOKUP(A138,'Trips&amp;Operators'!$C$1:$E$10000,3,FALSE)</f>
        <v>CHANDLER</v>
      </c>
      <c r="M138" s="6">
        <f t="shared" si="56"/>
        <v>3.1342592592409346E-2</v>
      </c>
      <c r="N138" s="7">
        <f t="shared" si="68"/>
        <v>45.133333333069459</v>
      </c>
      <c r="O138" s="7"/>
      <c r="P138" s="7"/>
      <c r="Q138" s="25"/>
      <c r="R138" s="25"/>
      <c r="S138" s="37">
        <f t="shared" si="57"/>
        <v>1</v>
      </c>
      <c r="T138" s="52" t="str">
        <f t="shared" si="58"/>
        <v>NorthBound</v>
      </c>
      <c r="U138" s="15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18:59:21-0600',mode:absolute,to:'2016-09-26 21:45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8" s="54" t="str">
        <f t="shared" si="60"/>
        <v>N</v>
      </c>
      <c r="X138" s="164">
        <f t="shared" si="54"/>
        <v>1</v>
      </c>
      <c r="Y138" s="69">
        <f t="shared" si="61"/>
        <v>4.5999999999999999E-2</v>
      </c>
      <c r="Z138" s="69">
        <f t="shared" si="62"/>
        <v>23.329799999999999</v>
      </c>
      <c r="AA138" s="69">
        <f t="shared" si="63"/>
        <v>23.283799999999999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64"/>
        <v>0225-26</v>
      </c>
      <c r="AE138" s="95" t="str">
        <f t="shared" si="65"/>
        <v>aws s3 cp s3://rtdc.mdm.uploadarchive/RTDC4018/2016-09-26/ "%USERPROFILE%\AppData\Local\Temp\OnboardLogs"\RTDC4018\2016-09-26 --recursive &amp; "%USERPROFILE%\Documents\GitHub\mrs-test-scripts\Headless Mode &amp; Sideloading\WalkAndUnGZ.bat" "%USERPROFILE%\AppData\Local\Temp\OnboardLogs"\RTDC4018\2016-09-26 &amp; 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</v>
      </c>
      <c r="AF138" s="92" t="str">
        <f t="shared" si="66"/>
        <v>"C:\Program Files (x86)\AstroGrep\AstroGrep.exe" /spath="%USERPROFILE%\AppData\Local\Temp\OnboardLogs" /stypes="app*4018*20160927*" /stext=" 02:.+((SYSTEM_STATE.+slice.+state.+changed )|(ment ac)|(system.+state.+changed )|(\|lc)|(penalty)|(\[timeout)|(PRM\|1\|D)|(kpr)|(kdp))" /e /r /s</v>
      </c>
      <c r="AG138" s="1" t="str">
        <f t="shared" si="67"/>
        <v>EC</v>
      </c>
      <c r="AH138" s="96" t="str">
        <f t="shared" si="38"/>
        <v>"%USERPROFILE%\Documents\GitHub\eaglep3\Utilities\RefineRTDCRunTimes.py" --tripid 225-26 --locoid 4018 --swversion DE.1.0.7.0 --startMP 204:460 --initTime 2016-09-26T19:59:21 --startdatetime 2016-09-26T20:00:51 --delay 1 --endMP 204:233298 --enddatetime 2016-09-26T20:45:59 --enforcementcount 0 &gt;&gt;C:\Users\stu\Documents\GitHub\eaglep3-reporting\EC\2016-09-26-refined-times.txt</v>
      </c>
      <c r="AI138" s="130" t="str">
        <f t="shared" si="39"/>
        <v>echo {"issue":{"subject":"","project_id":79,"tracker_id":40,"status_id":1,"priority_id":2,"assigned_to_id":23,"start_date":"2016-09-26","description":"","custom_fields":[{"id":1,"name":"Subdivision","value":"EC"},{"id":4,"name":"Milepost","value":"23.3298"},{"id":17,"name":"Train ID","value":"225-26"},{"id":16,"name":"Locomotive ID","value":"4018"},{"id":130,"name":"Impact","value":""},{"id":150,"name":"Time of Event (Mountain Time)","value":"20:45:59"},{"id":151,"name":"Denver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545</v>
      </c>
      <c r="B139" s="7">
        <v>4017</v>
      </c>
      <c r="C139" s="24" t="s">
        <v>106</v>
      </c>
      <c r="D139" s="24" t="s">
        <v>332</v>
      </c>
      <c r="E139" s="15">
        <v>42639.870567129627</v>
      </c>
      <c r="F139" s="15">
        <v>42639.872546296298</v>
      </c>
      <c r="G139" s="7">
        <v>1</v>
      </c>
      <c r="H139" s="15" t="s">
        <v>301</v>
      </c>
      <c r="I139" s="15">
        <v>42639.901284722226</v>
      </c>
      <c r="J139" s="7">
        <v>0</v>
      </c>
      <c r="K139" s="117" t="str">
        <f t="shared" si="55"/>
        <v>4017/4018</v>
      </c>
      <c r="L139" s="24" t="str">
        <f>VLOOKUP(A139,'Trips&amp;Operators'!$C$1:$E$10000,3,FALSE)</f>
        <v>CHANDLER</v>
      </c>
      <c r="M139" s="6">
        <f t="shared" si="56"/>
        <v>2.8738425928167999E-2</v>
      </c>
      <c r="N139" s="7">
        <f t="shared" si="68"/>
        <v>41.383333336561918</v>
      </c>
      <c r="O139" s="7"/>
      <c r="P139" s="7"/>
      <c r="Q139" s="25"/>
      <c r="R139" s="25"/>
      <c r="S139" s="37">
        <f t="shared" si="57"/>
        <v>1</v>
      </c>
      <c r="T139" s="52" t="str">
        <f t="shared" si="58"/>
        <v>Southbound</v>
      </c>
      <c r="U139" s="15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19:53:37-0600',mode:absolute,to:'2016-09-26 22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39" s="54" t="str">
        <f t="shared" si="60"/>
        <v>N</v>
      </c>
      <c r="X139" s="164">
        <f t="shared" ref="X139:X170" si="69">VALUE(LEFT(AD139,4))-VALUE(LEFT(AD138,4))</f>
        <v>1</v>
      </c>
      <c r="Y139" s="69">
        <f t="shared" si="61"/>
        <v>23.297599999999999</v>
      </c>
      <c r="Z139" s="69">
        <f t="shared" si="62"/>
        <v>1.6500000000000001E-2</v>
      </c>
      <c r="AA139" s="69">
        <f t="shared" si="63"/>
        <v>23.281099999999999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64"/>
        <v>0226-26</v>
      </c>
      <c r="AE139" s="95" t="str">
        <f t="shared" si="65"/>
        <v>aws s3 cp s3://rtdc.mdm.uploadarchive/RTDC4017/2016-09-26/ "%USERPROFILE%\AppData\Local\Temp\OnboardLogs"\RTDC4017\2016-09-26 --recursive &amp; "%USERPROFILE%\Documents\GitHub\mrs-test-scripts\Headless Mode &amp; Sideloading\WalkAndUnGZ.bat" "%USERPROFILE%\AppData\Local\Temp\OnboardLogs"\RTDC4017\2016-09-26 &amp; 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</v>
      </c>
      <c r="AF139" s="92" t="str">
        <f t="shared" si="66"/>
        <v>"C:\Program Files (x86)\AstroGrep\AstroGrep.exe" /spath="%USERPROFILE%\AppData\Local\Temp\OnboardLogs" /stypes="app*4017*20160927*" /stext=" 03:.+((SYSTEM_STATE.+slice.+state.+changed )|(ment ac)|(system.+state.+changed )|(\|lc)|(penalty)|(\[timeout)|(PRM\|1\|D)|(kpr)|(kdp))" /e /r /s</v>
      </c>
      <c r="AG139" s="1" t="str">
        <f t="shared" si="67"/>
        <v>EC</v>
      </c>
      <c r="AH139" s="96" t="str">
        <f t="shared" ref="AH139:AH202" si="70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226-26 --locoid 4017 --swversion DE.1.0.7.0 --startMP 204:232976 --initTime 2016-09-26T20:53:37 --startdatetime 2016-09-26T20:56:28 --delay 1 --endMP 204:165 --enddatetime 2016-09-26T21:37:51 --enforcementcount 0 &gt;&gt;C:\Users\stu\Documents\GitHub\eaglep3-reporting\EC\2016-09-26-refined-times.txt</v>
      </c>
      <c r="AI139" s="130" t="str">
        <f t="shared" ref="AI139:AI202" si="71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{"issue":{"subject":"","project_id":79,"tracker_id":40,"status_id":1,"priority_id":2,"assigned_to_id":23,"start_date":"2016-09-26","description":"","custom_fields":[{"id":1,"name":"Subdivision","value":"EC"},{"id":4,"name":"Milepost","value":"0.0165"},{"id":17,"name":"Train ID","value":"226-26"},{"id":16,"name":"Locomotive ID","value":"4017"},{"id":130,"name":"Impact","value":""},{"id":150,"name":"Time of Event (Mountain Time)","value":"21:37:51"},{"id":151,"name":"Denver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546</v>
      </c>
      <c r="B140" s="7">
        <v>4025</v>
      </c>
      <c r="C140" s="24" t="s">
        <v>106</v>
      </c>
      <c r="D140" s="24" t="s">
        <v>223</v>
      </c>
      <c r="E140" s="15">
        <v>42639.839826388888</v>
      </c>
      <c r="F140" s="15">
        <v>42639.854456018518</v>
      </c>
      <c r="G140" s="7">
        <v>1</v>
      </c>
      <c r="H140" s="15" t="s">
        <v>307</v>
      </c>
      <c r="I140" s="15">
        <v>42639.881168981483</v>
      </c>
      <c r="J140" s="7">
        <v>0</v>
      </c>
      <c r="K140" s="117" t="str">
        <f t="shared" si="55"/>
        <v>4025/4026</v>
      </c>
      <c r="L140" s="24" t="str">
        <f>VLOOKUP(A140,'Trips&amp;Operators'!$C$1:$E$10000,3,FALSE)</f>
        <v>YANAI</v>
      </c>
      <c r="M140" s="6">
        <f t="shared" si="56"/>
        <v>2.6712962964666076E-2</v>
      </c>
      <c r="N140" s="7">
        <f t="shared" si="68"/>
        <v>38.466666669119149</v>
      </c>
      <c r="O140" s="7"/>
      <c r="P140" s="7"/>
      <c r="Q140" s="25"/>
      <c r="R140" s="25"/>
      <c r="S140" s="37">
        <f t="shared" si="57"/>
        <v>1</v>
      </c>
      <c r="T140" s="52" t="str">
        <f t="shared" si="58"/>
        <v>NorthBound</v>
      </c>
      <c r="U140" s="15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https://search-rtdc-monitor-bjffxe2xuh6vdkpspy63sjmuny.us-east-1.es.amazonaws.com/_plugin/kibana/#/discover/Steve-Slow-Train-Analysis-(2080s-and-2083s)?_g=(refreshInterval:(display:Off,section:0,value:0),time:(from:'2016-09-26 19:09:21-0600',mode:absolute,to:'2016-09-26 22:08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0" s="54" t="str">
        <f t="shared" si="60"/>
        <v>N</v>
      </c>
      <c r="X140" s="164">
        <f t="shared" si="69"/>
        <v>1</v>
      </c>
      <c r="Y140" s="69">
        <f t="shared" si="61"/>
        <v>4.5699999999999998E-2</v>
      </c>
      <c r="Z140" s="69">
        <f t="shared" si="62"/>
        <v>23.327400000000001</v>
      </c>
      <c r="AA140" s="69">
        <f t="shared" si="63"/>
        <v>23.281700000000001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64"/>
        <v>0227-26</v>
      </c>
      <c r="AE140" s="95" t="str">
        <f t="shared" si="65"/>
        <v>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 &amp; aws s3 cp s3://rtdc.mdm.uploadarchive/RTDC4025/2016-09-27/ "%USERPROFILE%\AppData\Local\Temp\OnboardLogs"\RTDC4025\2016-09-27 --recursive &amp; "%USERPROFILE%\Documents\GitHub\mrs-test-scripts\Headless Mode &amp; Sideloading\WalkAndUnGZ.bat" "%USERPROFILE%\AppData\Local\Temp\OnboardLogs"\RTDC4025\2016-09-27</v>
      </c>
      <c r="AF140" s="92" t="str">
        <f t="shared" si="66"/>
        <v>"C:\Program Files (x86)\AstroGrep\AstroGrep.exe" /spath="%USERPROFILE%\AppData\Local\Temp\OnboardLogs" /stypes="app*4025*20160927*" /stext=" 03:.+((SYSTEM_STATE.+slice.+state.+changed )|(ment ac)|(system.+state.+changed )|(\|lc)|(penalty)|(\[timeout)|(PRM\|1\|D)|(kpr)|(kdp))" /e /r /s</v>
      </c>
      <c r="AG140" s="1" t="str">
        <f t="shared" si="67"/>
        <v>EC</v>
      </c>
      <c r="AH140" s="96" t="str">
        <f t="shared" si="70"/>
        <v>"%USERPROFILE%\Documents\GitHub\eaglep3\Utilities\RefineRTDCRunTimes.py" --tripid 227-26 --locoid 4025 --swversion DE.1.0.7.0 --startMP 204:457 --initTime 2016-09-26T20:09:21 --startdatetime 2016-09-26T20:30:25 --delay 1 --endMP 204:233274 --enddatetime 2016-09-26T21:08:53 --enforcementcount 0 &gt;&gt;C:\Users\stu\Documents\GitHub\eaglep3-reporting\EC\2016-09-26-refined-times.txt</v>
      </c>
      <c r="AI140" s="130" t="str">
        <f t="shared" si="71"/>
        <v>echo {"issue":{"subject":"","project_id":79,"tracker_id":40,"status_id":1,"priority_id":2,"assigned_to_id":23,"start_date":"2016-09-26","description":"","custom_fields":[{"id":1,"name":"Subdivision","value":"EC"},{"id":4,"name":"Milepost","value":"23.3274"},{"id":17,"name":"Train ID","value":"227-26"},{"id":16,"name":"Locomotive ID","value":"4025"},{"id":130,"name":"Impact","value":""},{"id":150,"name":"Time of Event (Mountain Time)","value":"21:08:53"},{"id":151,"name":"Denver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547</v>
      </c>
      <c r="B141" s="7">
        <v>4026</v>
      </c>
      <c r="C141" s="24" t="s">
        <v>106</v>
      </c>
      <c r="D141" s="24" t="s">
        <v>404</v>
      </c>
      <c r="E141" s="15">
        <v>42639.886365740742</v>
      </c>
      <c r="F141" s="15">
        <v>42639.893217592595</v>
      </c>
      <c r="G141" s="7">
        <v>3</v>
      </c>
      <c r="H141" s="15" t="s">
        <v>548</v>
      </c>
      <c r="I141" s="15">
        <v>42639.921423611115</v>
      </c>
      <c r="J141" s="7">
        <v>0</v>
      </c>
      <c r="K141" s="117" t="str">
        <f t="shared" ref="K141:K172" si="72">IF(ISEVEN(B141),(B141-1)&amp;"/"&amp;B141,B141&amp;"/"&amp;(B141+1))</f>
        <v>4025/4026</v>
      </c>
      <c r="L141" s="24" t="str">
        <f>VLOOKUP(A141,'Trips&amp;Operators'!$C$1:$E$10000,3,FALSE)</f>
        <v>YANAI</v>
      </c>
      <c r="M141" s="6">
        <f t="shared" ref="M141:M172" si="73">I141-F141</f>
        <v>2.8206018519995268E-2</v>
      </c>
      <c r="N141" s="7">
        <f t="shared" si="68"/>
        <v>40.616666668793187</v>
      </c>
      <c r="O141" s="7"/>
      <c r="P141" s="7"/>
      <c r="Q141" s="25"/>
      <c r="R141" s="25"/>
      <c r="S141" s="37">
        <f t="shared" ref="S141:S172" si="74">SUM(U141:U141)/IF(AG141="EC",12,1)</f>
        <v>1</v>
      </c>
      <c r="T141" s="52" t="str">
        <f t="shared" ref="T141:T172" si="75">IF(ISEVEN(LEFT(AD141,4)),"Southbound","NorthBound")</f>
        <v>Southbound</v>
      </c>
      <c r="U141" s="15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2" t="str">
        <f t="shared" ref="V141:V172" si="76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https://search-rtdc-monitor-bjffxe2xuh6vdkpspy63sjmuny.us-east-1.es.amazonaws.com/_plugin/kibana/#/discover/Steve-Slow-Train-Analysis-(2080s-and-2083s)?_g=(refreshInterval:(display:Off,section:0,value:0),time:(from:'2016-09-26 20:16:22-0600',mode:absolute,to:'2016-09-26 23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41" s="54" t="str">
        <f t="shared" ref="W141:W172" si="77">IF(AA141&lt;IF(AG141="EC",23,5.65),"Y","N")</f>
        <v>N</v>
      </c>
      <c r="X141" s="164">
        <f t="shared" si="69"/>
        <v>1</v>
      </c>
      <c r="Y141" s="69">
        <f t="shared" ref="Y141:Y172" si="78">RIGHT(D141,LEN(D141)-4)/10000</f>
        <v>23.2989</v>
      </c>
      <c r="Z141" s="69">
        <f t="shared" ref="Z141:Z172" si="79">RIGHT(H141,LEN(H141)-4)/10000</f>
        <v>2.1999999999999999E-2</v>
      </c>
      <c r="AA141" s="69">
        <f t="shared" ref="AA141:AA172" si="80">ABS(Z141-Y141)</f>
        <v>23.276900000000001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172" si="81">IF(LEN(A141)=6,"0"&amp;A141,A141)</f>
        <v>0228-26</v>
      </c>
      <c r="AE141" s="95" t="str">
        <f t="shared" ref="AE141:AE172" si="82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 &amp; 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</v>
      </c>
      <c r="AF141" s="92" t="str">
        <f t="shared" ref="AF141:AF172" si="83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/stypes="app*4026*20160927*" /stext=" 04:.+((SYSTEM_STATE.+slice.+state.+changed )|(ment ac)|(system.+state.+changed )|(\|lc)|(penalty)|(\[timeout)|(PRM\|1\|D)|(kpr)|(kdp))" /e /r /s</v>
      </c>
      <c r="AG141" s="1" t="str">
        <f t="shared" ref="AG141:AG172" si="84">IFERROR(IF(VALUE(LEFT(AD141,2))&lt;=2,"EC",IF(OR(VALUE(LEFT(AD141,2))=8,VALUE(LEFT(AD141,2))=18),"NW","Other")),"Other")</f>
        <v>EC</v>
      </c>
      <c r="AH141" s="96" t="str">
        <f t="shared" si="70"/>
        <v>"%USERPROFILE%\Documents\GitHub\eaglep3\Utilities\RefineRTDCRunTimes.py" --tripid 228-26 --locoid 4026 --swversion DE.1.0.7.0 --startMP 204:232989 --initTime 2016-09-26T21:16:22 --startdatetime 2016-09-26T21:26:14 --delay 3 --endMP 204:220 --enddatetime 2016-09-26T22:06:51 --enforcementcount 0 &gt;&gt;C:\Users\stu\Documents\GitHub\eaglep3-reporting\EC\2016-09-26-refined-times.txt</v>
      </c>
      <c r="AI141" s="130" t="str">
        <f t="shared" si="71"/>
        <v>echo {"issue":{"subject":"","project_id":79,"tracker_id":40,"status_id":1,"priority_id":2,"assigned_to_id":23,"start_date":"2016-09-26","description":"","custom_fields":[{"id":1,"name":"Subdivision","value":"EC"},{"id":4,"name":"Milepost","value":"0.022"},{"id":17,"name":"Train ID","value":"228-26"},{"id":16,"name":"Locomotive ID","value":"4026"},{"id":130,"name":"Impact","value":""},{"id":150,"name":"Time of Event (Mountain Time)","value":"22:06:51"},{"id":151,"name":"Denver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549</v>
      </c>
      <c r="B142" s="7">
        <v>4007</v>
      </c>
      <c r="C142" s="24" t="s">
        <v>106</v>
      </c>
      <c r="D142" s="24" t="s">
        <v>224</v>
      </c>
      <c r="E142" s="15">
        <v>42639.866168981483</v>
      </c>
      <c r="F142" s="15">
        <v>42639.875231481485</v>
      </c>
      <c r="G142" s="7">
        <v>1</v>
      </c>
      <c r="H142" s="15" t="s">
        <v>242</v>
      </c>
      <c r="I142" s="15">
        <v>42639.901030092595</v>
      </c>
      <c r="J142" s="7">
        <v>0</v>
      </c>
      <c r="K142" s="117" t="str">
        <f t="shared" si="72"/>
        <v>4007/4008</v>
      </c>
      <c r="L142" s="24" t="str">
        <f>VLOOKUP(A142,'Trips&amp;Operators'!$C$1:$E$10000,3,FALSE)</f>
        <v>LEVERE</v>
      </c>
      <c r="M142" s="6">
        <f t="shared" si="73"/>
        <v>2.5798611110076308E-2</v>
      </c>
      <c r="N142" s="7">
        <f t="shared" si="68"/>
        <v>37.149999998509884</v>
      </c>
      <c r="O142" s="7"/>
      <c r="P142" s="7"/>
      <c r="Q142" s="25"/>
      <c r="R142" s="25"/>
      <c r="S142" s="37">
        <f t="shared" si="74"/>
        <v>1</v>
      </c>
      <c r="T142" s="52" t="str">
        <f t="shared" si="75"/>
        <v>NorthBound</v>
      </c>
      <c r="U142" s="15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19:47:17-0600',mode:absolute,to:'2016-09-26 22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42" s="54" t="str">
        <f t="shared" si="77"/>
        <v>N</v>
      </c>
      <c r="X142" s="164">
        <f t="shared" si="69"/>
        <v>1</v>
      </c>
      <c r="Y142" s="69">
        <f t="shared" si="78"/>
        <v>4.4699999999999997E-2</v>
      </c>
      <c r="Z142" s="69">
        <f t="shared" si="79"/>
        <v>23.329699999999999</v>
      </c>
      <c r="AA142" s="69">
        <f t="shared" si="80"/>
        <v>23.285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81"/>
        <v>0229-26</v>
      </c>
      <c r="AE142" s="95" t="str">
        <f t="shared" si="82"/>
        <v>aws s3 cp s3://rtdc.mdm.uploadarchive/RTDC4007/2016-09-26/ "%USERPROFILE%\AppData\Local\Temp\OnboardLogs"\RTDC4007\2016-09-26 --recursive &amp; "%USERPROFILE%\Documents\GitHub\mrs-test-scripts\Headless Mode &amp; Sideloading\WalkAndUnGZ.bat" "%USERPROFILE%\AppData\Local\Temp\OnboardLogs"\RTDC4007\2016-09-26 &amp; aws s3 cp s3://rtdc.mdm.uploadarchive/RTDC4007/2016-09-27/ "%USERPROFILE%\AppData\Local\Temp\OnboardLogs"\RTDC4007\2016-09-27 --recursive &amp; "%USERPROFILE%\Documents\GitHub\mrs-test-scripts\Headless Mode &amp; Sideloading\WalkAndUnGZ.bat" "%USERPROFILE%\AppData\Local\Temp\OnboardLogs"\RTDC4007\2016-09-27</v>
      </c>
      <c r="AF142" s="92" t="str">
        <f t="shared" si="83"/>
        <v>"C:\Program Files (x86)\AstroGrep\AstroGrep.exe" /spath="%USERPROFILE%\AppData\Local\Temp\OnboardLogs" /stypes="app*4007*20160927*" /stext=" 03:.+((SYSTEM_STATE.+slice.+state.+changed )|(ment ac)|(system.+state.+changed )|(\|lc)|(penalty)|(\[timeout)|(PRM\|1\|D)|(kpr)|(kdp))" /e /r /s</v>
      </c>
      <c r="AG142" s="1" t="str">
        <f t="shared" si="84"/>
        <v>EC</v>
      </c>
      <c r="AH142" s="96" t="str">
        <f t="shared" si="70"/>
        <v>"%USERPROFILE%\Documents\GitHub\eaglep3\Utilities\RefineRTDCRunTimes.py" --tripid 229-26 --locoid 4007 --swversion DE.1.0.7.0 --startMP 204:447 --initTime 2016-09-26T20:47:17 --startdatetime 2016-09-26T21:00:20 --delay 1 --endMP 204:233297 --enddatetime 2016-09-26T21:37:29 --enforcementcount 0 &gt;&gt;C:\Users\stu\Documents\GitHub\eaglep3-reporting\EC\2016-09-26-refined-times.txt</v>
      </c>
      <c r="AI142" s="130" t="str">
        <f t="shared" si="71"/>
        <v>echo {"issue":{"subject":"","project_id":79,"tracker_id":40,"status_id":1,"priority_id":2,"assigned_to_id":23,"start_date":"2016-09-26","description":"","custom_fields":[{"id":1,"name":"Subdivision","value":"EC"},{"id":4,"name":"Milepost","value":"23.3297"},{"id":17,"name":"Train ID","value":"229-26"},{"id":16,"name":"Locomotive ID","value":"4007"},{"id":130,"name":"Impact","value":""},{"id":150,"name":"Time of Event (Mountain Time)","value":"21:37:29"},{"id":151,"name":"Denver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550</v>
      </c>
      <c r="B143" s="7">
        <v>4008</v>
      </c>
      <c r="C143" s="24" t="s">
        <v>106</v>
      </c>
      <c r="D143" s="24" t="s">
        <v>332</v>
      </c>
      <c r="E143" s="15">
        <v>42639.907534722224</v>
      </c>
      <c r="F143" s="15">
        <v>42639.914618055554</v>
      </c>
      <c r="G143" s="7">
        <v>1</v>
      </c>
      <c r="H143" s="15" t="s">
        <v>551</v>
      </c>
      <c r="I143" s="15">
        <v>42639.941608796296</v>
      </c>
      <c r="J143" s="7">
        <v>0</v>
      </c>
      <c r="K143" s="117" t="str">
        <f t="shared" si="72"/>
        <v>4007/4008</v>
      </c>
      <c r="L143" s="24" t="str">
        <f>VLOOKUP(A143,'Trips&amp;Operators'!$C$1:$E$10000,3,FALSE)</f>
        <v>LEVERE</v>
      </c>
      <c r="M143" s="6">
        <f t="shared" si="73"/>
        <v>2.6990740741894115E-2</v>
      </c>
      <c r="N143" s="7">
        <f t="shared" si="68"/>
        <v>38.866666668327525</v>
      </c>
      <c r="O143" s="7"/>
      <c r="P143" s="7"/>
      <c r="Q143" s="25"/>
      <c r="R143" s="25"/>
      <c r="S143" s="37">
        <f t="shared" si="74"/>
        <v>1</v>
      </c>
      <c r="T143" s="52" t="str">
        <f t="shared" si="75"/>
        <v>Southbound</v>
      </c>
      <c r="U143" s="15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20:46:51-0600',mode:absolute,to:'2016-09-26 23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43" s="54" t="str">
        <f t="shared" si="77"/>
        <v>N</v>
      </c>
      <c r="X143" s="164">
        <f t="shared" si="69"/>
        <v>1</v>
      </c>
      <c r="Y143" s="69">
        <f t="shared" si="78"/>
        <v>23.297599999999999</v>
      </c>
      <c r="Z143" s="69">
        <f t="shared" si="79"/>
        <v>2.1399999999999999E-2</v>
      </c>
      <c r="AA143" s="69">
        <f t="shared" si="80"/>
        <v>23.276199999999999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81"/>
        <v>0230-26</v>
      </c>
      <c r="AE143" s="95" t="str">
        <f t="shared" si="82"/>
        <v>aws s3 cp s3://rtdc.mdm.uploadarchive/RTDC4008/2016-09-26/ "%USERPROFILE%\AppData\Local\Temp\OnboardLogs"\RTDC4008\2016-09-26 --recursive &amp; "%USERPROFILE%\Documents\GitHub\mrs-test-scripts\Headless Mode &amp; Sideloading\WalkAndUnGZ.bat" "%USERPROFILE%\AppData\Local\Temp\OnboardLogs"\RTDC4008\2016-09-26 &amp; aws s3 cp s3://rtdc.mdm.uploadarchive/RTDC4008/2016-09-27/ "%USERPROFILE%\AppData\Local\Temp\OnboardLogs"\RTDC4008\2016-09-27 --recursive &amp; "%USERPROFILE%\Documents\GitHub\mrs-test-scripts\Headless Mode &amp; Sideloading\WalkAndUnGZ.bat" "%USERPROFILE%\AppData\Local\Temp\OnboardLogs"\RTDC4008\2016-09-27</v>
      </c>
      <c r="AF143" s="92" t="str">
        <f t="shared" si="83"/>
        <v>"C:\Program Files (x86)\AstroGrep\AstroGrep.exe" /spath="%USERPROFILE%\AppData\Local\Temp\OnboardLogs" /stypes="app*4008*20160927*" /stext=" 04:.+((SYSTEM_STATE.+slice.+state.+changed )|(ment ac)|(system.+state.+changed )|(\|lc)|(penalty)|(\[timeout)|(PRM\|1\|D)|(kpr)|(kdp))" /e /r /s</v>
      </c>
      <c r="AG143" s="1" t="str">
        <f t="shared" si="84"/>
        <v>EC</v>
      </c>
      <c r="AH143" s="96" t="str">
        <f t="shared" si="70"/>
        <v>"%USERPROFILE%\Documents\GitHub\eaglep3\Utilities\RefineRTDCRunTimes.py" --tripid 230-26 --locoid 4008 --swversion DE.1.0.7.0 --startMP 204:232976 --initTime 2016-09-26T21:46:51 --startdatetime 2016-09-26T21:57:03 --delay 1 --endMP 204:214 --enddatetime 2016-09-26T22:35:55 --enforcementcount 0 &gt;&gt;C:\Users\stu\Documents\GitHub\eaglep3-reporting\EC\2016-09-26-refined-times.txt</v>
      </c>
      <c r="AI143" s="130" t="str">
        <f t="shared" si="71"/>
        <v>echo {"issue":{"subject":"","project_id":79,"tracker_id":40,"status_id":1,"priority_id":2,"assigned_to_id":23,"start_date":"2016-09-26","description":"","custom_fields":[{"id":1,"name":"Subdivision","value":"EC"},{"id":4,"name":"Milepost","value":"0.0214"},{"id":17,"name":"Train ID","value":"230-26"},{"id":16,"name":"Locomotive ID","value":"4008"},{"id":130,"name":"Impact","value":""},{"id":150,"name":"Time of Event (Mountain Time)","value":"22:35:55"},{"id":151,"name":"Denver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552</v>
      </c>
      <c r="B144" s="7">
        <v>4011</v>
      </c>
      <c r="C144" s="24" t="s">
        <v>106</v>
      </c>
      <c r="D144" s="24" t="s">
        <v>223</v>
      </c>
      <c r="E144" s="15">
        <v>42639.893113425926</v>
      </c>
      <c r="F144" s="15">
        <v>42639.896006944444</v>
      </c>
      <c r="G144" s="7">
        <v>1</v>
      </c>
      <c r="H144" s="15" t="s">
        <v>329</v>
      </c>
      <c r="I144" s="15">
        <v>42639.921770833331</v>
      </c>
      <c r="J144" s="7">
        <v>0</v>
      </c>
      <c r="K144" s="117" t="str">
        <f t="shared" si="72"/>
        <v>4011/4012</v>
      </c>
      <c r="L144" s="24" t="str">
        <f>VLOOKUP(A144,'Trips&amp;Operators'!$C$1:$E$10000,3,FALSE)</f>
        <v>NEWELL</v>
      </c>
      <c r="M144" s="6">
        <f t="shared" si="73"/>
        <v>2.5763888887013309E-2</v>
      </c>
      <c r="N144" s="7">
        <f t="shared" si="68"/>
        <v>37.099999997299165</v>
      </c>
      <c r="O144" s="7"/>
      <c r="P144" s="7"/>
      <c r="Q144" s="25"/>
      <c r="R144" s="25"/>
      <c r="S144" s="37">
        <f t="shared" si="74"/>
        <v>1</v>
      </c>
      <c r="T144" s="52" t="str">
        <f t="shared" si="75"/>
        <v>NorthBound</v>
      </c>
      <c r="U144" s="15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20:26:05-0600',mode:absolute,to:'2016-09-26 23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44" s="54" t="str">
        <f t="shared" si="77"/>
        <v>N</v>
      </c>
      <c r="X144" s="164">
        <f t="shared" si="69"/>
        <v>1</v>
      </c>
      <c r="Y144" s="69">
        <f t="shared" si="78"/>
        <v>4.5699999999999998E-2</v>
      </c>
      <c r="Z144" s="69">
        <f t="shared" si="79"/>
        <v>23.327200000000001</v>
      </c>
      <c r="AA144" s="69">
        <f t="shared" si="80"/>
        <v>23.281500000000001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81"/>
        <v>0231-26</v>
      </c>
      <c r="AE144" s="95" t="str">
        <f t="shared" si="82"/>
        <v>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 &amp; 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</v>
      </c>
      <c r="AF144" s="92" t="str">
        <f t="shared" si="83"/>
        <v>"C:\Program Files (x86)\AstroGrep\AstroGrep.exe" /spath="%USERPROFILE%\AppData\Local\Temp\OnboardLogs" /stypes="app*4011*20160927*" /stext=" 04:.+((SYSTEM_STATE.+slice.+state.+changed )|(ment ac)|(system.+state.+changed )|(\|lc)|(penalty)|(\[timeout)|(PRM\|1\|D)|(kpr)|(kdp))" /e /r /s</v>
      </c>
      <c r="AG144" s="1" t="str">
        <f t="shared" si="84"/>
        <v>EC</v>
      </c>
      <c r="AH144" s="96" t="str">
        <f t="shared" si="70"/>
        <v>"%USERPROFILE%\Documents\GitHub\eaglep3\Utilities\RefineRTDCRunTimes.py" --tripid 231-26 --locoid 4011 --swversion DE.1.0.7.0 --startMP 204:457 --initTime 2016-09-26T21:26:05 --startdatetime 2016-09-26T21:30:15 --delay 1 --endMP 204:233272 --enddatetime 2016-09-26T22:07:21 --enforcementcount 0 &gt;&gt;C:\Users\stu\Documents\GitHub\eaglep3-reporting\EC\2016-09-26-refined-times.txt</v>
      </c>
      <c r="AI144" s="130" t="str">
        <f t="shared" si="71"/>
        <v>echo {"issue":{"subject":"","project_id":79,"tracker_id":40,"status_id":1,"priority_id":2,"assigned_to_id":23,"start_date":"2016-09-26","description":"","custom_fields":[{"id":1,"name":"Subdivision","value":"EC"},{"id":4,"name":"Milepost","value":"23.3272"},{"id":17,"name":"Train ID","value":"231-26"},{"id":16,"name":"Locomotive ID","value":"4011"},{"id":130,"name":"Impact","value":""},{"id":150,"name":"Time of Event (Mountain Time)","value":"22:07:21"},{"id":151,"name":"Denver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553</v>
      </c>
      <c r="B145" s="7">
        <v>4012</v>
      </c>
      <c r="C145" s="24" t="s">
        <v>106</v>
      </c>
      <c r="D145" s="24" t="s">
        <v>416</v>
      </c>
      <c r="E145" s="15">
        <v>42639.930462962962</v>
      </c>
      <c r="F145" s="15">
        <v>42639.934907407405</v>
      </c>
      <c r="G145" s="7">
        <v>1</v>
      </c>
      <c r="H145" s="15" t="s">
        <v>330</v>
      </c>
      <c r="I145" s="15">
        <v>42639.963726851849</v>
      </c>
      <c r="J145" s="7">
        <v>0</v>
      </c>
      <c r="K145" s="117" t="str">
        <f t="shared" si="72"/>
        <v>4011/4012</v>
      </c>
      <c r="L145" s="24" t="str">
        <f>VLOOKUP(A145,'Trips&amp;Operators'!$C$1:$E$10000,3,FALSE)</f>
        <v>NEWELL</v>
      </c>
      <c r="M145" s="6">
        <f t="shared" si="73"/>
        <v>2.8819444443797693E-2</v>
      </c>
      <c r="N145" s="7">
        <f t="shared" si="68"/>
        <v>41.499999999068677</v>
      </c>
      <c r="O145" s="7"/>
      <c r="P145" s="7"/>
      <c r="Q145" s="25"/>
      <c r="R145" s="25"/>
      <c r="S145" s="37">
        <f t="shared" si="74"/>
        <v>1</v>
      </c>
      <c r="T145" s="52" t="str">
        <f t="shared" si="75"/>
        <v>Southbound</v>
      </c>
      <c r="U145" s="15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21:19:52-0600',mode:absolute,to:'2016-09-27 00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45" s="54" t="str">
        <f t="shared" si="77"/>
        <v>N</v>
      </c>
      <c r="X145" s="164">
        <f t="shared" si="69"/>
        <v>1</v>
      </c>
      <c r="Y145" s="69">
        <f t="shared" si="78"/>
        <v>23.2987</v>
      </c>
      <c r="Z145" s="69">
        <f t="shared" si="79"/>
        <v>1.2699999999999999E-2</v>
      </c>
      <c r="AA145" s="69">
        <f t="shared" si="80"/>
        <v>23.286000000000001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 t="shared" si="81"/>
        <v>0232-26</v>
      </c>
      <c r="AE145" s="95" t="str">
        <f t="shared" si="82"/>
        <v>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 &amp; 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</v>
      </c>
      <c r="AF145" s="92" t="str">
        <f t="shared" si="83"/>
        <v>"C:\Program Files (x86)\AstroGrep\AstroGrep.exe" /spath="%USERPROFILE%\AppData\Local\Temp\OnboardLogs" /stypes="app*4012*20160927*" /stext=" 05:.+((SYSTEM_STATE.+slice.+state.+changed )|(ment ac)|(system.+state.+changed )|(\|lc)|(penalty)|(\[timeout)|(PRM\|1\|D)|(kpr)|(kdp))" /e /r /s</v>
      </c>
      <c r="AG145" s="1" t="str">
        <f t="shared" si="84"/>
        <v>EC</v>
      </c>
      <c r="AH145" s="96" t="str">
        <f t="shared" si="70"/>
        <v>"%USERPROFILE%\Documents\GitHub\eaglep3\Utilities\RefineRTDCRunTimes.py" --tripid 232-26 --locoid 4012 --swversion DE.1.0.7.0 --startMP 204:232987 --initTime 2016-09-26T22:19:52 --startdatetime 2016-09-26T22:26:16 --delay 1 --endMP 204:127 --enddatetime 2016-09-26T23:07:46 --enforcementcount 0 &gt;&gt;C:\Users\stu\Documents\GitHub\eaglep3-reporting\EC\2016-09-26-refined-times.txt</v>
      </c>
      <c r="AI145" s="130" t="str">
        <f t="shared" si="71"/>
        <v>echo {"issue":{"subject":"","project_id":79,"tracker_id":40,"status_id":1,"priority_id":2,"assigned_to_id":23,"start_date":"2016-09-26","description":"","custom_fields":[{"id":1,"name":"Subdivision","value":"EC"},{"id":4,"name":"Milepost","value":"0.0127"},{"id":17,"name":"Train ID","value":"232-26"},{"id":16,"name":"Locomotive ID","value":"4012"},{"id":130,"name":"Impact","value":""},{"id":150,"name":"Time of Event (Mountain Time)","value":"23:07:46"},{"id":151,"name":"Denver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554</v>
      </c>
      <c r="B146" s="7">
        <v>4018</v>
      </c>
      <c r="C146" s="24" t="s">
        <v>106</v>
      </c>
      <c r="D146" s="24" t="s">
        <v>348</v>
      </c>
      <c r="E146" s="15">
        <v>42639.915798611109</v>
      </c>
      <c r="F146" s="15">
        <v>42639.916967592595</v>
      </c>
      <c r="G146" s="7">
        <v>1</v>
      </c>
      <c r="H146" s="15" t="s">
        <v>334</v>
      </c>
      <c r="I146" s="15">
        <v>42639.942835648151</v>
      </c>
      <c r="J146" s="7">
        <v>0</v>
      </c>
      <c r="K146" s="117" t="str">
        <f t="shared" si="72"/>
        <v>4017/4018</v>
      </c>
      <c r="L146" s="24" t="str">
        <f>VLOOKUP(A146,'Trips&amp;Operators'!$C$1:$E$10000,3,FALSE)</f>
        <v>CHANDLER</v>
      </c>
      <c r="M146" s="6">
        <f t="shared" si="73"/>
        <v>2.5868055556202307E-2</v>
      </c>
      <c r="N146" s="7">
        <f t="shared" si="68"/>
        <v>37.250000000931323</v>
      </c>
      <c r="O146" s="7"/>
      <c r="P146" s="7"/>
      <c r="Q146" s="25"/>
      <c r="R146" s="25"/>
      <c r="S146" s="37">
        <f t="shared" si="74"/>
        <v>1</v>
      </c>
      <c r="T146" s="52" t="str">
        <f t="shared" si="75"/>
        <v>NorthBound</v>
      </c>
      <c r="U146" s="15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20:58:45-0600',mode:absolute,to:'2016-09-26 23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46" s="54" t="str">
        <f t="shared" si="77"/>
        <v>N</v>
      </c>
      <c r="X146" s="164">
        <f t="shared" si="69"/>
        <v>1</v>
      </c>
      <c r="Y146" s="69">
        <f t="shared" si="78"/>
        <v>4.8800000000000003E-2</v>
      </c>
      <c r="Z146" s="69">
        <f t="shared" si="79"/>
        <v>23.328900000000001</v>
      </c>
      <c r="AA146" s="69">
        <f t="shared" si="80"/>
        <v>23.280100000000001</v>
      </c>
      <c r="AB146" s="66" t="str">
        <f>VLOOKUP(A146,Enforcements!$C$7:$K$20,8,0)</f>
        <v>Bulletin (2)</v>
      </c>
      <c r="AC146" s="62" t="str">
        <f>VLOOKUP(A146,Enforcements!$C$7:$E$20,3,0)</f>
        <v>GRADE CROSSING</v>
      </c>
      <c r="AD146" s="63" t="str">
        <f t="shared" si="81"/>
        <v>0233-26</v>
      </c>
      <c r="AE146" s="95" t="str">
        <f t="shared" si="82"/>
        <v>aws s3 cp s3://rtdc.mdm.uploadarchive/RTDC4018/2016-09-26/ "%USERPROFILE%\AppData\Local\Temp\OnboardLogs"\RTDC4018\2016-09-26 --recursive &amp; "%USERPROFILE%\Documents\GitHub\mrs-test-scripts\Headless Mode &amp; Sideloading\WalkAndUnGZ.bat" "%USERPROFILE%\AppData\Local\Temp\OnboardLogs"\RTDC4018\2016-09-26 &amp; 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</v>
      </c>
      <c r="AF146" s="92" t="str">
        <f t="shared" si="83"/>
        <v>"C:\Program Files (x86)\AstroGrep\AstroGrep.exe" /spath="%USERPROFILE%\AppData\Local\Temp\OnboardLogs" /stypes="app*4018*20160927*" /stext=" 04:.+((SYSTEM_STATE.+slice.+state.+changed )|(ment ac)|(system.+state.+changed )|(\|lc)|(penalty)|(\[timeout)|(PRM\|1\|D)|(kpr)|(kdp))" /e /r /s</v>
      </c>
      <c r="AG146" s="1" t="str">
        <f t="shared" si="84"/>
        <v>EC</v>
      </c>
      <c r="AH146" s="96" t="str">
        <f t="shared" si="70"/>
        <v>"%USERPROFILE%\Documents\GitHub\eaglep3\Utilities\RefineRTDCRunTimes.py" --tripid 233-26 --locoid 4018 --swversion DE.1.0.7.0 --startMP 204:488 --initTime 2016-09-26T21:58:45 --startdatetime 2016-09-26T22:00:26 --delay 1 --endMP 204:233289 --enddatetime 2016-09-26T22:37:41 --enforcementcount 0 &gt;&gt;C:\Users\stu\Documents\GitHub\eaglep3-reporting\EC\2016-09-26-refined-times.txt</v>
      </c>
      <c r="AI146" s="130" t="str">
        <f t="shared" si="71"/>
        <v>echo {"issue":{"subject":"","project_id":79,"tracker_id":40,"status_id":1,"priority_id":2,"assigned_to_id":23,"start_date":"2016-09-26","description":"","custom_fields":[{"id":1,"name":"Subdivision","value":"EC"},{"id":4,"name":"Milepost","value":"23.3289"},{"id":17,"name":"Train ID","value":"233-26"},{"id":16,"name":"Locomotive ID","value":"4018"},{"id":130,"name":"Impact","value":""},{"id":150,"name":"Time of Event (Mountain Time)","value":"22:37:41"},{"id":151,"name":"Denver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555</v>
      </c>
      <c r="B147" s="7">
        <v>4017</v>
      </c>
      <c r="C147" s="24" t="s">
        <v>106</v>
      </c>
      <c r="D147" s="24" t="s">
        <v>343</v>
      </c>
      <c r="E147" s="15">
        <v>42639.954571759263</v>
      </c>
      <c r="F147" s="15">
        <v>42639.955810185187</v>
      </c>
      <c r="G147" s="7">
        <v>1</v>
      </c>
      <c r="H147" s="15" t="s">
        <v>253</v>
      </c>
      <c r="I147" s="15">
        <v>42639.983611111114</v>
      </c>
      <c r="J147" s="7">
        <v>0</v>
      </c>
      <c r="K147" s="117" t="str">
        <f t="shared" si="72"/>
        <v>4017/4018</v>
      </c>
      <c r="L147" s="24" t="str">
        <f>VLOOKUP(A147,'Trips&amp;Operators'!$C$1:$E$10000,3,FALSE)</f>
        <v>CHANDLER</v>
      </c>
      <c r="M147" s="6">
        <f t="shared" si="73"/>
        <v>2.7800925927294884E-2</v>
      </c>
      <c r="N147" s="7">
        <f t="shared" ref="N147:N170" si="85">24*60*SUM($M147:$M147)</f>
        <v>40.033333335304633</v>
      </c>
      <c r="O147" s="7"/>
      <c r="P147" s="7"/>
      <c r="Q147" s="25"/>
      <c r="R147" s="25"/>
      <c r="S147" s="37">
        <f t="shared" si="74"/>
        <v>1</v>
      </c>
      <c r="T147" s="52" t="str">
        <f t="shared" si="75"/>
        <v>Southbound</v>
      </c>
      <c r="U147" s="15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21:54:35-0600',mode:absolute,to:'2016-09-27 00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7" s="54" t="str">
        <f t="shared" si="77"/>
        <v>N</v>
      </c>
      <c r="X147" s="164">
        <f t="shared" si="69"/>
        <v>1</v>
      </c>
      <c r="Y147" s="69">
        <f t="shared" si="78"/>
        <v>23.2957</v>
      </c>
      <c r="Z147" s="69">
        <f t="shared" si="79"/>
        <v>1.4500000000000001E-2</v>
      </c>
      <c r="AA147" s="69">
        <f t="shared" si="80"/>
        <v>23.281199999999998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81"/>
        <v>0234-26</v>
      </c>
      <c r="AE147" s="95" t="str">
        <f t="shared" si="82"/>
        <v>aws s3 cp s3://rtdc.mdm.uploadarchive/RTDC4017/2016-09-26/ "%USERPROFILE%\AppData\Local\Temp\OnboardLogs"\RTDC4017\2016-09-26 --recursive &amp; "%USERPROFILE%\Documents\GitHub\mrs-test-scripts\Headless Mode &amp; Sideloading\WalkAndUnGZ.bat" "%USERPROFILE%\AppData\Local\Temp\OnboardLogs"\RTDC4017\2016-09-26 &amp; 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</v>
      </c>
      <c r="AF147" s="92" t="str">
        <f t="shared" si="83"/>
        <v>"C:\Program Files (x86)\AstroGrep\AstroGrep.exe" /spath="%USERPROFILE%\AppData\Local\Temp\OnboardLogs" /stypes="app*4017*20160927*" /stext=" 05:.+((SYSTEM_STATE.+slice.+state.+changed )|(ment ac)|(system.+state.+changed )|(\|lc)|(penalty)|(\[timeout)|(PRM\|1\|D)|(kpr)|(kdp))" /e /r /s</v>
      </c>
      <c r="AG147" s="1" t="str">
        <f t="shared" si="84"/>
        <v>EC</v>
      </c>
      <c r="AH147" s="96" t="str">
        <f t="shared" si="70"/>
        <v>"%USERPROFILE%\Documents\GitHub\eaglep3\Utilities\RefineRTDCRunTimes.py" --tripid 234-26 --locoid 4017 --swversion DE.1.0.7.0 --startMP 204:232957 --initTime 2016-09-26T22:54:35 --startdatetime 2016-09-26T22:56:22 --delay 1 --endMP 204:145 --enddatetime 2016-09-26T23:36:24 --enforcementcount 0 &gt;&gt;C:\Users\stu\Documents\GitHub\eaglep3-reporting\EC\2016-09-26-refined-times.txt</v>
      </c>
      <c r="AI147" s="130" t="str">
        <f t="shared" si="71"/>
        <v>echo {"issue":{"subject":"","project_id":79,"tracker_id":40,"status_id":1,"priority_id":2,"assigned_to_id":23,"start_date":"2016-09-26","description":"","custom_fields":[{"id":1,"name":"Subdivision","value":"EC"},{"id":4,"name":"Milepost","value":"0.0145"},{"id":17,"name":"Train ID","value":"234-26"},{"id":16,"name":"Locomotive ID","value":"4017"},{"id":130,"name":"Impact","value":""},{"id":150,"name":"Time of Event (Mountain Time)","value":"23:36:24"},{"id":151,"name":"Denver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556</v>
      </c>
      <c r="B148" s="7">
        <v>4025</v>
      </c>
      <c r="C148" s="24" t="s">
        <v>106</v>
      </c>
      <c r="D148" s="24" t="s">
        <v>557</v>
      </c>
      <c r="E148" s="15">
        <v>42639.923159722224</v>
      </c>
      <c r="F148" s="15">
        <v>42639.937754629631</v>
      </c>
      <c r="G148" s="7">
        <v>1</v>
      </c>
      <c r="H148" s="15" t="s">
        <v>302</v>
      </c>
      <c r="I148" s="15">
        <v>42639.962094907409</v>
      </c>
      <c r="J148" s="7">
        <v>0</v>
      </c>
      <c r="K148" s="117" t="str">
        <f t="shared" si="72"/>
        <v>4025/4026</v>
      </c>
      <c r="L148" s="24" t="str">
        <f>VLOOKUP(A148,'Trips&amp;Operators'!$C$1:$E$10000,3,FALSE)</f>
        <v>YANAI</v>
      </c>
      <c r="M148" s="6">
        <f t="shared" si="73"/>
        <v>2.4340277777810115E-2</v>
      </c>
      <c r="N148" s="7">
        <f t="shared" si="85"/>
        <v>35.050000000046566</v>
      </c>
      <c r="O148" s="7"/>
      <c r="P148" s="7"/>
      <c r="Q148" s="25"/>
      <c r="R148" s="25"/>
      <c r="S148" s="37">
        <f t="shared" si="74"/>
        <v>1</v>
      </c>
      <c r="T148" s="52" t="str">
        <f t="shared" si="75"/>
        <v>NorthBound</v>
      </c>
      <c r="U148" s="15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21:09:21-0600',mode:absolute,to:'2016-09-27 00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8" s="54" t="str">
        <f t="shared" si="77"/>
        <v>N</v>
      </c>
      <c r="X148" s="164">
        <f t="shared" si="69"/>
        <v>1</v>
      </c>
      <c r="Y148" s="69">
        <f t="shared" si="78"/>
        <v>5.1499999999999997E-2</v>
      </c>
      <c r="Z148" s="69">
        <f t="shared" si="79"/>
        <v>23.330100000000002</v>
      </c>
      <c r="AA148" s="69">
        <f t="shared" si="80"/>
        <v>23.278600000000001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81"/>
        <v>0235-26</v>
      </c>
      <c r="AE148" s="95" t="str">
        <f t="shared" si="82"/>
        <v>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 &amp; aws s3 cp s3://rtdc.mdm.uploadarchive/RTDC4025/2016-09-27/ "%USERPROFILE%\AppData\Local\Temp\OnboardLogs"\RTDC4025\2016-09-27 --recursive &amp; "%USERPROFILE%\Documents\GitHub\mrs-test-scripts\Headless Mode &amp; Sideloading\WalkAndUnGZ.bat" "%USERPROFILE%\AppData\Local\Temp\OnboardLogs"\RTDC4025\2016-09-27</v>
      </c>
      <c r="AF148" s="92" t="str">
        <f t="shared" si="83"/>
        <v>"C:\Program Files (x86)\AstroGrep\AstroGrep.exe" /spath="%USERPROFILE%\AppData\Local\Temp\OnboardLogs" /stypes="app*4025*20160927*" /stext=" 05:.+((SYSTEM_STATE.+slice.+state.+changed )|(ment ac)|(system.+state.+changed )|(\|lc)|(penalty)|(\[timeout)|(PRM\|1\|D)|(kpr)|(kdp))" /e /r /s</v>
      </c>
      <c r="AG148" s="1" t="str">
        <f t="shared" si="84"/>
        <v>EC</v>
      </c>
      <c r="AH148" s="96" t="str">
        <f t="shared" si="70"/>
        <v>"%USERPROFILE%\Documents\GitHub\eaglep3\Utilities\RefineRTDCRunTimes.py" --tripid 235-26 --locoid 4025 --swversion DE.1.0.7.0 --startMP 204:515 --initTime 2016-09-26T22:09:21 --startdatetime 2016-09-26T22:30:22 --delay 1 --endMP 204:233301 --enddatetime 2016-09-26T23:05:25 --enforcementcount 0 &gt;&gt;C:\Users\stu\Documents\GitHub\eaglep3-reporting\EC\2016-09-26-refined-times.txt</v>
      </c>
      <c r="AI148" s="130" t="str">
        <f t="shared" si="71"/>
        <v>echo {"issue":{"subject":"","project_id":79,"tracker_id":40,"status_id":1,"priority_id":2,"assigned_to_id":23,"start_date":"2016-09-26","description":"","custom_fields":[{"id":1,"name":"Subdivision","value":"EC"},{"id":4,"name":"Milepost","value":"23.3301"},{"id":17,"name":"Train ID","value":"235-26"},{"id":16,"name":"Locomotive ID","value":"4025"},{"id":130,"name":"Impact","value":""},{"id":150,"name":"Time of Event (Mountain Time)","value":"23:05:25"},{"id":151,"name":"Denver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558</v>
      </c>
      <c r="B149" s="7">
        <v>4026</v>
      </c>
      <c r="C149" s="24" t="s">
        <v>106</v>
      </c>
      <c r="D149" s="24" t="s">
        <v>325</v>
      </c>
      <c r="E149" s="15">
        <v>42639.97315972222</v>
      </c>
      <c r="F149" s="15">
        <v>42639.976631944446</v>
      </c>
      <c r="G149" s="7">
        <v>1</v>
      </c>
      <c r="H149" s="15" t="s">
        <v>218</v>
      </c>
      <c r="I149" s="15">
        <v>42640.002615740741</v>
      </c>
      <c r="J149" s="7">
        <v>0</v>
      </c>
      <c r="K149" s="117" t="str">
        <f t="shared" si="72"/>
        <v>4025/4026</v>
      </c>
      <c r="L149" s="24" t="str">
        <f>VLOOKUP(A149,'Trips&amp;Operators'!$C$1:$E$10000,3,FALSE)</f>
        <v>YANAI</v>
      </c>
      <c r="M149" s="6">
        <f t="shared" si="73"/>
        <v>2.5983796294895001E-2</v>
      </c>
      <c r="N149" s="7">
        <f t="shared" si="85"/>
        <v>37.416666664648801</v>
      </c>
      <c r="O149" s="7"/>
      <c r="P149" s="7"/>
      <c r="Q149" s="25"/>
      <c r="R149" s="25"/>
      <c r="S149" s="37">
        <f t="shared" si="74"/>
        <v>1</v>
      </c>
      <c r="T149" s="52" t="str">
        <f t="shared" si="75"/>
        <v>Southbound</v>
      </c>
      <c r="U149" s="15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22:21:21-0600',mode:absolute,to:'2016-09-27 01:03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49" s="54" t="str">
        <f t="shared" si="77"/>
        <v>N</v>
      </c>
      <c r="X149" s="164">
        <f t="shared" si="69"/>
        <v>1</v>
      </c>
      <c r="Y149" s="69">
        <f t="shared" si="78"/>
        <v>23.2971</v>
      </c>
      <c r="Z149" s="69">
        <f t="shared" si="79"/>
        <v>1.47E-2</v>
      </c>
      <c r="AA149" s="69">
        <f t="shared" si="80"/>
        <v>23.282399999999999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81"/>
        <v>0236-26</v>
      </c>
      <c r="AE149" s="95" t="str">
        <f t="shared" si="82"/>
        <v>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 &amp; 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</v>
      </c>
      <c r="AF149" s="92" t="str">
        <f t="shared" si="83"/>
        <v>"C:\Program Files (x86)\AstroGrep\AstroGrep.exe" /spath="%USERPROFILE%\AppData\Local\Temp\OnboardLogs" /stypes="app*4026*20160927*" /stext=" 06:.+((SYSTEM_STATE.+slice.+state.+changed )|(ment ac)|(system.+state.+changed )|(\|lc)|(penalty)|(\[timeout)|(PRM\|1\|D)|(kpr)|(kdp))" /e /r /s</v>
      </c>
      <c r="AG149" s="1" t="str">
        <f t="shared" si="84"/>
        <v>EC</v>
      </c>
      <c r="AH149" s="96" t="str">
        <f t="shared" si="70"/>
        <v>"%USERPROFILE%\Documents\GitHub\eaglep3\Utilities\RefineRTDCRunTimes.py" --tripid 236-26 --locoid 4026 --swversion DE.1.0.7.0 --startMP 204:232971 --initTime 2016-09-26T23:21:21 --startdatetime 2016-09-26T23:26:21 --delay 1 --endMP 204:147 --enddatetime 2016-09-27T00:03:46 --enforcementcount 0 &gt;&gt;C:\Users\stu\Documents\GitHub\eaglep3-reporting\EC\2016-09-26-refined-times.txt</v>
      </c>
      <c r="AI149" s="130" t="str">
        <f t="shared" si="71"/>
        <v>echo {"issue":{"subject":"","project_id":79,"tracker_id":40,"status_id":1,"priority_id":2,"assigned_to_id":23,"start_date":"2016-09-27","description":"","custom_fields":[{"id":1,"name":"Subdivision","value":"EC"},{"id":4,"name":"Milepost","value":"0.0147"},{"id":17,"name":"Train ID","value":"236-26"},{"id":16,"name":"Locomotive ID","value":"4026"},{"id":130,"name":"Impact","value":""},{"id":150,"name":"Time of Event (Mountain Time)","value":"00:03:46"},{"id":151,"name":"Denver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559</v>
      </c>
      <c r="B150" s="7">
        <v>4007</v>
      </c>
      <c r="C150" s="24" t="s">
        <v>106</v>
      </c>
      <c r="D150" s="24" t="s">
        <v>560</v>
      </c>
      <c r="E150" s="15">
        <v>42639.952870370369</v>
      </c>
      <c r="F150" s="15">
        <v>42639.958738425928</v>
      </c>
      <c r="G150" s="7">
        <v>1</v>
      </c>
      <c r="H150" s="15" t="s">
        <v>252</v>
      </c>
      <c r="I150" s="15">
        <v>42639.984166666669</v>
      </c>
      <c r="J150" s="7">
        <v>0</v>
      </c>
      <c r="K150" s="117" t="str">
        <f t="shared" si="72"/>
        <v>4007/4008</v>
      </c>
      <c r="L150" s="24" t="str">
        <f>VLOOKUP(A150,'Trips&amp;Operators'!$C$1:$E$10000,3,FALSE)</f>
        <v>LEVERE</v>
      </c>
      <c r="M150" s="6">
        <f t="shared" si="73"/>
        <v>2.5428240740438923E-2</v>
      </c>
      <c r="N150" s="7">
        <f t="shared" si="85"/>
        <v>36.616666666232049</v>
      </c>
      <c r="O150" s="7"/>
      <c r="P150" s="7"/>
      <c r="Q150" s="25"/>
      <c r="R150" s="25"/>
      <c r="S150" s="37">
        <f t="shared" si="74"/>
        <v>1</v>
      </c>
      <c r="T150" s="52" t="str">
        <f t="shared" si="75"/>
        <v>NorthBound</v>
      </c>
      <c r="U150" s="15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21:52:08-0600',mode:absolute,to:'2016-09-27 00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50" s="54" t="str">
        <f t="shared" si="77"/>
        <v>N</v>
      </c>
      <c r="X150" s="164">
        <f t="shared" si="69"/>
        <v>1</v>
      </c>
      <c r="Y150" s="69">
        <f t="shared" si="78"/>
        <v>5.11E-2</v>
      </c>
      <c r="Z150" s="69">
        <f t="shared" si="79"/>
        <v>23.329499999999999</v>
      </c>
      <c r="AA150" s="69">
        <f t="shared" si="80"/>
        <v>23.278399999999998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81"/>
        <v>0237-26</v>
      </c>
      <c r="AE150" s="95" t="str">
        <f t="shared" si="82"/>
        <v>aws s3 cp s3://rtdc.mdm.uploadarchive/RTDC4007/2016-09-26/ "%USERPROFILE%\AppData\Local\Temp\OnboardLogs"\RTDC4007\2016-09-26 --recursive &amp; "%USERPROFILE%\Documents\GitHub\mrs-test-scripts\Headless Mode &amp; Sideloading\WalkAndUnGZ.bat" "%USERPROFILE%\AppData\Local\Temp\OnboardLogs"\RTDC4007\2016-09-26 &amp; aws s3 cp s3://rtdc.mdm.uploadarchive/RTDC4007/2016-09-27/ "%USERPROFILE%\AppData\Local\Temp\OnboardLogs"\RTDC4007\2016-09-27 --recursive &amp; "%USERPROFILE%\Documents\GitHub\mrs-test-scripts\Headless Mode &amp; Sideloading\WalkAndUnGZ.bat" "%USERPROFILE%\AppData\Local\Temp\OnboardLogs"\RTDC4007\2016-09-27</v>
      </c>
      <c r="AF150" s="92" t="str">
        <f t="shared" si="83"/>
        <v>"C:\Program Files (x86)\AstroGrep\AstroGrep.exe" /spath="%USERPROFILE%\AppData\Local\Temp\OnboardLogs" /stypes="app*4007*20160927*" /stext=" 05:.+((SYSTEM_STATE.+slice.+state.+changed )|(ment ac)|(system.+state.+changed )|(\|lc)|(penalty)|(\[timeout)|(PRM\|1\|D)|(kpr)|(kdp))" /e /r /s</v>
      </c>
      <c r="AG150" s="1" t="str">
        <f t="shared" si="84"/>
        <v>EC</v>
      </c>
      <c r="AH150" s="96" t="str">
        <f t="shared" si="70"/>
        <v>"%USERPROFILE%\Documents\GitHub\eaglep3\Utilities\RefineRTDCRunTimes.py" --tripid 237-26 --locoid 4007 --swversion DE.1.0.7.0 --startMP 204:511 --initTime 2016-09-26T22:52:08 --startdatetime 2016-09-26T23:00:35 --delay 1 --endMP 204:233295 --enddatetime 2016-09-26T23:37:12 --enforcementcount 0 &gt;&gt;C:\Users\stu\Documents\GitHub\eaglep3-reporting\EC\2016-09-26-refined-times.txt</v>
      </c>
      <c r="AI150" s="130" t="str">
        <f t="shared" si="71"/>
        <v>echo {"issue":{"subject":"","project_id":79,"tracker_id":40,"status_id":1,"priority_id":2,"assigned_to_id":23,"start_date":"2016-09-26","description":"","custom_fields":[{"id":1,"name":"Subdivision","value":"EC"},{"id":4,"name":"Milepost","value":"23.3295"},{"id":17,"name":"Train ID","value":"237-26"},{"id":16,"name":"Locomotive ID","value":"4007"},{"id":130,"name":"Impact","value":""},{"id":150,"name":"Time of Event (Mountain Time)","value":"23:37:12"},{"id":151,"name":"Denver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561</v>
      </c>
      <c r="B151" s="7">
        <v>4008</v>
      </c>
      <c r="C151" s="24" t="s">
        <v>106</v>
      </c>
      <c r="D151" s="24" t="s">
        <v>333</v>
      </c>
      <c r="E151" s="15">
        <v>42639.990844907406</v>
      </c>
      <c r="F151" s="15">
        <v>42639.997430555559</v>
      </c>
      <c r="G151" s="7">
        <v>1</v>
      </c>
      <c r="H151" s="15" t="s">
        <v>253</v>
      </c>
      <c r="I151" s="15">
        <v>42640.025127314817</v>
      </c>
      <c r="J151" s="7">
        <v>0</v>
      </c>
      <c r="K151" s="117" t="str">
        <f t="shared" si="72"/>
        <v>4007/4008</v>
      </c>
      <c r="L151" s="24" t="str">
        <f>VLOOKUP(A151,'Trips&amp;Operators'!$C$1:$E$10000,3,FALSE)</f>
        <v>LEVERE</v>
      </c>
      <c r="M151" s="6">
        <f t="shared" si="73"/>
        <v>2.7696759258105885E-2</v>
      </c>
      <c r="N151" s="7">
        <f t="shared" si="85"/>
        <v>39.883333331672475</v>
      </c>
      <c r="O151" s="7"/>
      <c r="P151" s="7"/>
      <c r="Q151" s="25"/>
      <c r="R151" s="25"/>
      <c r="S151" s="37">
        <f t="shared" si="74"/>
        <v>1</v>
      </c>
      <c r="T151" s="52" t="str">
        <f t="shared" si="75"/>
        <v>Southbound</v>
      </c>
      <c r="U151" s="15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22:46:49-0600',mode:absolute,to:'2016-09-27 01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51" s="54" t="str">
        <f t="shared" si="77"/>
        <v>N</v>
      </c>
      <c r="X151" s="164">
        <f t="shared" si="69"/>
        <v>1</v>
      </c>
      <c r="Y151" s="69">
        <f t="shared" si="78"/>
        <v>23.296099999999999</v>
      </c>
      <c r="Z151" s="69">
        <f t="shared" si="79"/>
        <v>1.4500000000000001E-2</v>
      </c>
      <c r="AA151" s="69">
        <f t="shared" si="80"/>
        <v>23.281599999999997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81"/>
        <v>0238-26</v>
      </c>
      <c r="AE151" s="95" t="str">
        <f t="shared" si="82"/>
        <v>aws s3 cp s3://rtdc.mdm.uploadarchive/RTDC4008/2016-09-26/ "%USERPROFILE%\AppData\Local\Temp\OnboardLogs"\RTDC4008\2016-09-26 --recursive &amp; "%USERPROFILE%\Documents\GitHub\mrs-test-scripts\Headless Mode &amp; Sideloading\WalkAndUnGZ.bat" "%USERPROFILE%\AppData\Local\Temp\OnboardLogs"\RTDC4008\2016-09-26 &amp; aws s3 cp s3://rtdc.mdm.uploadarchive/RTDC4008/2016-09-27/ "%USERPROFILE%\AppData\Local\Temp\OnboardLogs"\RTDC4008\2016-09-27 --recursive &amp; "%USERPROFILE%\Documents\GitHub\mrs-test-scripts\Headless Mode &amp; Sideloading\WalkAndUnGZ.bat" "%USERPROFILE%\AppData\Local\Temp\OnboardLogs"\RTDC4008\2016-09-27</v>
      </c>
      <c r="AF151" s="92" t="str">
        <f t="shared" si="83"/>
        <v>"C:\Program Files (x86)\AstroGrep\AstroGrep.exe" /spath="%USERPROFILE%\AppData\Local\Temp\OnboardLogs" /stypes="app*4008*20160927*" /stext=" 06:.+((SYSTEM_STATE.+slice.+state.+changed )|(ment ac)|(system.+state.+changed )|(\|lc)|(penalty)|(\[timeout)|(PRM\|1\|D)|(kpr)|(kdp))" /e /r /s</v>
      </c>
      <c r="AG151" s="1" t="str">
        <f t="shared" si="84"/>
        <v>EC</v>
      </c>
      <c r="AH151" s="96" t="str">
        <f t="shared" si="70"/>
        <v>"%USERPROFILE%\Documents\GitHub\eaglep3\Utilities\RefineRTDCRunTimes.py" --tripid 238-26 --locoid 4008 --swversion DE.1.0.7.0 --startMP 204:232961 --initTime 2016-09-26T23:46:49 --startdatetime 2016-09-26T23:56:18 --delay 1 --endMP 204:145 --enddatetime 2016-09-27T00:36:11 --enforcementcount 0 &gt;&gt;C:\Users\stu\Documents\GitHub\eaglep3-reporting\EC\2016-09-26-refined-times.txt</v>
      </c>
      <c r="AI151" s="130" t="str">
        <f t="shared" si="71"/>
        <v>echo {"issue":{"subject":"","project_id":79,"tracker_id":40,"status_id":1,"priority_id":2,"assigned_to_id":23,"start_date":"2016-09-27","description":"","custom_fields":[{"id":1,"name":"Subdivision","value":"EC"},{"id":4,"name":"Milepost","value":"0.0145"},{"id":17,"name":"Train ID","value":"238-26"},{"id":16,"name":"Locomotive ID","value":"4008"},{"id":130,"name":"Impact","value":""},{"id":150,"name":"Time of Event (Mountain Time)","value":"00:36:11"},{"id":151,"name":"Denver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562</v>
      </c>
      <c r="B152" s="7">
        <v>4011</v>
      </c>
      <c r="C152" s="24" t="s">
        <v>106</v>
      </c>
      <c r="D152" s="24" t="s">
        <v>331</v>
      </c>
      <c r="E152" s="15">
        <v>42639.97384259259</v>
      </c>
      <c r="F152" s="15">
        <v>42639.979375000003</v>
      </c>
      <c r="G152" s="7">
        <v>1</v>
      </c>
      <c r="H152" s="15" t="s">
        <v>319</v>
      </c>
      <c r="I152" s="15">
        <v>42640.00508101852</v>
      </c>
      <c r="J152" s="7">
        <v>0</v>
      </c>
      <c r="K152" s="117" t="str">
        <f t="shared" si="72"/>
        <v>4011/4012</v>
      </c>
      <c r="L152" s="24" t="str">
        <f>VLOOKUP(A152,'Trips&amp;Operators'!$C$1:$E$10000,3,FALSE)</f>
        <v>NEWELL</v>
      </c>
      <c r="M152" s="6">
        <f t="shared" si="73"/>
        <v>2.5706018517666962E-2</v>
      </c>
      <c r="N152" s="7">
        <f t="shared" si="85"/>
        <v>37.016666665440425</v>
      </c>
      <c r="O152" s="7"/>
      <c r="P152" s="7"/>
      <c r="Q152" s="25"/>
      <c r="R152" s="25"/>
      <c r="S152" s="37">
        <f t="shared" si="74"/>
        <v>1</v>
      </c>
      <c r="T152" s="52" t="str">
        <f t="shared" si="75"/>
        <v>NorthBound</v>
      </c>
      <c r="U152" s="15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22:22:20-0600',mode:absolute,to:'2016-09-27 01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2" s="54" t="str">
        <f t="shared" si="77"/>
        <v>N</v>
      </c>
      <c r="X152" s="164">
        <f t="shared" si="69"/>
        <v>1</v>
      </c>
      <c r="Y152" s="69">
        <f t="shared" si="78"/>
        <v>4.2200000000000001E-2</v>
      </c>
      <c r="Z152" s="69">
        <f t="shared" si="79"/>
        <v>23.333600000000001</v>
      </c>
      <c r="AA152" s="69">
        <f t="shared" si="80"/>
        <v>23.291399999999999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81"/>
        <v>0239-26</v>
      </c>
      <c r="AE152" s="95" t="str">
        <f t="shared" si="82"/>
        <v>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 &amp; 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</v>
      </c>
      <c r="AF152" s="92" t="str">
        <f t="shared" si="83"/>
        <v>"C:\Program Files (x86)\AstroGrep\AstroGrep.exe" /spath="%USERPROFILE%\AppData\Local\Temp\OnboardLogs" /stypes="app*4011*20160927*" /stext=" 06:.+((SYSTEM_STATE.+slice.+state.+changed )|(ment ac)|(system.+state.+changed )|(\|lc)|(penalty)|(\[timeout)|(PRM\|1\|D)|(kpr)|(kdp))" /e /r /s</v>
      </c>
      <c r="AG152" s="1" t="str">
        <f t="shared" si="84"/>
        <v>EC</v>
      </c>
      <c r="AH152" s="96" t="str">
        <f t="shared" si="70"/>
        <v>"%USERPROFILE%\Documents\GitHub\eaglep3\Utilities\RefineRTDCRunTimes.py" --tripid 239-26 --locoid 4011 --swversion DE.1.0.7.0 --startMP 204:422 --initTime 2016-09-26T23:22:20 --startdatetime 2016-09-26T23:30:18 --delay 1 --endMP 204:233336 --enddatetime 2016-09-27T00:07:19 --enforcementcount 0 &gt;&gt;C:\Users\stu\Documents\GitHub\eaglep3-reporting\EC\2016-09-26-refined-times.txt</v>
      </c>
      <c r="AI152" s="130" t="str">
        <f t="shared" si="71"/>
        <v>echo {"issue":{"subject":"","project_id":79,"tracker_id":40,"status_id":1,"priority_id":2,"assigned_to_id":23,"start_date":"2016-09-27","description":"","custom_fields":[{"id":1,"name":"Subdivision","value":"EC"},{"id":4,"name":"Milepost","value":"23.3336"},{"id":17,"name":"Train ID","value":"239-26"},{"id":16,"name":"Locomotive ID","value":"4011"},{"id":130,"name":"Impact","value":""},{"id":150,"name":"Time of Event (Mountain Time)","value":"00:07:19"},{"id":151,"name":"Denver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563</v>
      </c>
      <c r="B153" s="7">
        <v>4012</v>
      </c>
      <c r="C153" s="24" t="s">
        <v>106</v>
      </c>
      <c r="D153" s="24" t="s">
        <v>308</v>
      </c>
      <c r="E153" s="15">
        <v>42640.015416666669</v>
      </c>
      <c r="F153" s="15">
        <v>42640.018217592595</v>
      </c>
      <c r="G153" s="7">
        <v>1</v>
      </c>
      <c r="H153" s="15" t="s">
        <v>222</v>
      </c>
      <c r="I153" s="15">
        <v>42640.044363425928</v>
      </c>
      <c r="J153" s="7">
        <v>0</v>
      </c>
      <c r="K153" s="117" t="str">
        <f t="shared" si="72"/>
        <v>4011/4012</v>
      </c>
      <c r="L153" s="24" t="str">
        <f>VLOOKUP(A153,'Trips&amp;Operators'!$C$1:$E$10000,3,FALSE)</f>
        <v>NEWELL</v>
      </c>
      <c r="M153" s="6">
        <f t="shared" si="73"/>
        <v>2.6145833333430346E-2</v>
      </c>
      <c r="N153" s="7">
        <f t="shared" si="85"/>
        <v>37.650000000139698</v>
      </c>
      <c r="O153" s="7"/>
      <c r="P153" s="7"/>
      <c r="Q153" s="25"/>
      <c r="R153" s="25"/>
      <c r="S153" s="37">
        <f t="shared" si="74"/>
        <v>1</v>
      </c>
      <c r="T153" s="52" t="str">
        <f t="shared" si="75"/>
        <v>Southbound</v>
      </c>
      <c r="U153" s="15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23:22:12-0600',mode:absolute,to:'2016-09-27 02:03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53" s="54" t="str">
        <f t="shared" si="77"/>
        <v>N</v>
      </c>
      <c r="X153" s="164">
        <f t="shared" si="69"/>
        <v>1</v>
      </c>
      <c r="Y153" s="69">
        <f t="shared" si="78"/>
        <v>23.2986</v>
      </c>
      <c r="Z153" s="69">
        <f t="shared" si="79"/>
        <v>1.52E-2</v>
      </c>
      <c r="AA153" s="69">
        <f t="shared" si="80"/>
        <v>23.2834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81"/>
        <v>0240-26</v>
      </c>
      <c r="AE153" s="95" t="str">
        <f t="shared" si="82"/>
        <v>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 &amp; aws s3 cp s3://rtdc.mdm.uploadarchive/RTDC4012/2016-09-28/ "%USERPROFILE%\AppData\Local\Temp\OnboardLogs"\RTDC4012\2016-09-28 --recursive &amp; "%USERPROFILE%\Documents\GitHub\mrs-test-scripts\Headless Mode &amp; Sideloading\WalkAndUnGZ.bat" "%USERPROFILE%\AppData\Local\Temp\OnboardLogs"\RTDC4012\2016-09-28</v>
      </c>
      <c r="AF153" s="92" t="str">
        <f t="shared" si="83"/>
        <v>"C:\Program Files (x86)\AstroGrep\AstroGrep.exe" /spath="%USERPROFILE%\AppData\Local\Temp\OnboardLogs" /stypes="app*4012*20160927*" /stext=" 07:.+((SYSTEM_STATE.+slice.+state.+changed )|(ment ac)|(system.+state.+changed )|(\|lc)|(penalty)|(\[timeout)|(PRM\|1\|D)|(kpr)|(kdp))" /e /r /s</v>
      </c>
      <c r="AG153" s="1" t="str">
        <f t="shared" si="84"/>
        <v>EC</v>
      </c>
      <c r="AH153" s="96" t="str">
        <f t="shared" si="70"/>
        <v>"%USERPROFILE%\Documents\GitHub\eaglep3\Utilities\RefineRTDCRunTimes.py" --tripid 240-26 --locoid 4012 --swversion DE.1.0.7.0 --startMP 204:232986 --initTime 2016-09-27T00:22:12 --startdatetime 2016-09-27T00:26:14 --delay 1 --endMP 204:152 --enddatetime 2016-09-27T01:03:53 --enforcementcount 0 &gt;&gt;C:\Users\stu\Documents\GitHub\eaglep3-reporting\EC\2016-09-26-refined-times.txt</v>
      </c>
      <c r="AI153" s="130" t="str">
        <f t="shared" si="71"/>
        <v>echo {"issue":{"subject":"","project_id":79,"tracker_id":40,"status_id":1,"priority_id":2,"assigned_to_id":23,"start_date":"2016-09-27","description":"","custom_fields":[{"id":1,"name":"Subdivision","value":"EC"},{"id":4,"name":"Milepost","value":"0.0152"},{"id":17,"name":"Train ID","value":"240-26"},{"id":16,"name":"Locomotive ID","value":"4012"},{"id":130,"name":"Impact","value":""},{"id":150,"name":"Time of Event (Mountain Time)","value":"01:03:53"},{"id":151,"name":"Denver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564</v>
      </c>
      <c r="B154" s="7">
        <v>4018</v>
      </c>
      <c r="C154" s="24" t="s">
        <v>106</v>
      </c>
      <c r="D154" s="24" t="s">
        <v>272</v>
      </c>
      <c r="E154" s="15">
        <v>42639.995520833334</v>
      </c>
      <c r="F154" s="15">
        <v>42640.000347222223</v>
      </c>
      <c r="G154" s="7">
        <v>1</v>
      </c>
      <c r="H154" s="15" t="s">
        <v>324</v>
      </c>
      <c r="I154" s="15">
        <v>42640.025358796294</v>
      </c>
      <c r="J154" s="7">
        <v>0</v>
      </c>
      <c r="K154" s="117" t="str">
        <f t="shared" si="72"/>
        <v>4017/4018</v>
      </c>
      <c r="L154" s="24" t="str">
        <f>VLOOKUP(A154,'Trips&amp;Operators'!$C$1:$E$10000,3,FALSE)</f>
        <v>CHANDLER</v>
      </c>
      <c r="M154" s="6">
        <f t="shared" si="73"/>
        <v>2.5011574070958886E-2</v>
      </c>
      <c r="N154" s="7">
        <f t="shared" si="85"/>
        <v>36.016666662180796</v>
      </c>
      <c r="O154" s="7"/>
      <c r="P154" s="7"/>
      <c r="Q154" s="25"/>
      <c r="R154" s="25"/>
      <c r="S154" s="37">
        <f t="shared" si="74"/>
        <v>1</v>
      </c>
      <c r="T154" s="52" t="str">
        <f t="shared" si="75"/>
        <v>NorthBound</v>
      </c>
      <c r="U154" s="15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22:53:33-0600',mode:absolute,to:'2016-09-27 01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54" s="54" t="str">
        <f t="shared" si="77"/>
        <v>N</v>
      </c>
      <c r="X154" s="164">
        <f t="shared" si="69"/>
        <v>1</v>
      </c>
      <c r="Y154" s="69">
        <f t="shared" si="78"/>
        <v>4.6399999999999997E-2</v>
      </c>
      <c r="Z154" s="69">
        <f t="shared" si="79"/>
        <v>23.330300000000001</v>
      </c>
      <c r="AA154" s="69">
        <f t="shared" si="80"/>
        <v>23.283900000000003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81"/>
        <v>0241-26</v>
      </c>
      <c r="AE154" s="95" t="str">
        <f t="shared" si="82"/>
        <v>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 &amp; aws s3 cp s3://rtdc.mdm.uploadarchive/RTDC4018/2016-09-28/ "%USERPROFILE%\AppData\Local\Temp\OnboardLogs"\RTDC4018\2016-09-28 --recursive &amp; "%USERPROFILE%\Documents\GitHub\mrs-test-scripts\Headless Mode &amp; Sideloading\WalkAndUnGZ.bat" "%USERPROFILE%\AppData\Local\Temp\OnboardLogs"\RTDC4018\2016-09-28</v>
      </c>
      <c r="AF154" s="92" t="str">
        <f t="shared" si="83"/>
        <v>"C:\Program Files (x86)\AstroGrep\AstroGrep.exe" /spath="%USERPROFILE%\AppData\Local\Temp\OnboardLogs" /stypes="app*4018*20160927*" /stext=" 06:.+((SYSTEM_STATE.+slice.+state.+changed )|(ment ac)|(system.+state.+changed )|(\|lc)|(penalty)|(\[timeout)|(PRM\|1\|D)|(kpr)|(kdp))" /e /r /s</v>
      </c>
      <c r="AG154" s="1" t="str">
        <f t="shared" si="84"/>
        <v>EC</v>
      </c>
      <c r="AH154" s="96" t="str">
        <f t="shared" si="70"/>
        <v>"%USERPROFILE%\Documents\GitHub\eaglep3\Utilities\RefineRTDCRunTimes.py" --tripid 241-26 --locoid 4018 --swversion DE.1.0.7.0 --startMP 204:464 --initTime 2016-09-26T23:53:33 --startdatetime 2016-09-27T00:00:30 --delay 1 --endMP 204:233303 --enddatetime 2016-09-27T00:36:31 --enforcementcount 0 &gt;&gt;C:\Users\stu\Documents\GitHub\eaglep3-reporting\EC\2016-09-26-refined-times.txt</v>
      </c>
      <c r="AI154" s="130" t="str">
        <f t="shared" si="71"/>
        <v>echo {"issue":{"subject":"","project_id":79,"tracker_id":40,"status_id":1,"priority_id":2,"assigned_to_id":23,"start_date":"2016-09-27","description":"","custom_fields":[{"id":1,"name":"Subdivision","value":"EC"},{"id":4,"name":"Milepost","value":"23.3303"},{"id":17,"name":"Train ID","value":"241-26"},{"id":16,"name":"Locomotive ID","value":"4018"},{"id":130,"name":"Impact","value":""},{"id":150,"name":"Time of Event (Mountain Time)","value":"00:36:31"},{"id":151,"name":"Denver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565</v>
      </c>
      <c r="B155" s="7">
        <v>4017</v>
      </c>
      <c r="C155" s="24" t="s">
        <v>106</v>
      </c>
      <c r="D155" s="24" t="s">
        <v>428</v>
      </c>
      <c r="E155" s="15">
        <v>42640.037534722222</v>
      </c>
      <c r="F155" s="15">
        <v>42640.0393287037</v>
      </c>
      <c r="G155" s="7">
        <v>1</v>
      </c>
      <c r="H155" s="15" t="s">
        <v>566</v>
      </c>
      <c r="I155" s="15">
        <v>42640.067986111113</v>
      </c>
      <c r="J155" s="7">
        <v>0</v>
      </c>
      <c r="K155" s="117" t="str">
        <f t="shared" si="72"/>
        <v>4017/4018</v>
      </c>
      <c r="L155" s="24" t="str">
        <f>VLOOKUP(A155,'Trips&amp;Operators'!$C$1:$E$10000,3,FALSE)</f>
        <v>CHANDLER</v>
      </c>
      <c r="M155" s="6">
        <f t="shared" si="73"/>
        <v>2.8657407412538305E-2</v>
      </c>
      <c r="N155" s="7">
        <f t="shared" si="85"/>
        <v>41.266666674055159</v>
      </c>
      <c r="O155" s="7"/>
      <c r="P155" s="7"/>
      <c r="Q155" s="25"/>
      <c r="R155" s="25"/>
      <c r="S155" s="37">
        <f t="shared" si="74"/>
        <v>1</v>
      </c>
      <c r="T155" s="52" t="str">
        <f t="shared" si="75"/>
        <v>Southbound</v>
      </c>
      <c r="U155" s="15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23:54:03-0600',mode:absolute,to:'2016-09-27 02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55" s="54" t="str">
        <f t="shared" si="77"/>
        <v>N</v>
      </c>
      <c r="X155" s="164">
        <f t="shared" si="69"/>
        <v>1</v>
      </c>
      <c r="Y155" s="69">
        <f t="shared" si="78"/>
        <v>23.297799999999999</v>
      </c>
      <c r="Z155" s="69">
        <f t="shared" si="79"/>
        <v>6.7999999999999996E-3</v>
      </c>
      <c r="AA155" s="69">
        <f t="shared" si="80"/>
        <v>23.291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81"/>
        <v>0242-26</v>
      </c>
      <c r="AE155" s="95" t="str">
        <f t="shared" si="82"/>
        <v>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 &amp; aws s3 cp s3://rtdc.mdm.uploadarchive/RTDC4017/2016-09-28/ "%USERPROFILE%\AppData\Local\Temp\OnboardLogs"\RTDC4017\2016-09-28 --recursive &amp; "%USERPROFILE%\Documents\GitHub\mrs-test-scripts\Headless Mode &amp; Sideloading\WalkAndUnGZ.bat" "%USERPROFILE%\AppData\Local\Temp\OnboardLogs"\RTDC4017\2016-09-28</v>
      </c>
      <c r="AF155" s="92" t="str">
        <f t="shared" si="83"/>
        <v>"C:\Program Files (x86)\AstroGrep\AstroGrep.exe" /spath="%USERPROFILE%\AppData\Local\Temp\OnboardLogs" /stypes="app*4017*20160927*" /stext=" 07:.+((SYSTEM_STATE.+slice.+state.+changed )|(ment ac)|(system.+state.+changed )|(\|lc)|(penalty)|(\[timeout)|(PRM\|1\|D)|(kpr)|(kdp))" /e /r /s</v>
      </c>
      <c r="AG155" s="1" t="str">
        <f t="shared" si="84"/>
        <v>EC</v>
      </c>
      <c r="AH155" s="96" t="str">
        <f t="shared" si="70"/>
        <v>"%USERPROFILE%\Documents\GitHub\eaglep3\Utilities\RefineRTDCRunTimes.py" --tripid 242-26 --locoid 4017 --swversion DE.1.0.7.0 --startMP 204:232978 --initTime 2016-09-27T00:54:03 --startdatetime 2016-09-27T00:56:38 --delay 1 --endMP 204:68 --enddatetime 2016-09-27T01:37:54 --enforcementcount 0 &gt;&gt;C:\Users\stu\Documents\GitHub\eaglep3-reporting\EC\2016-09-26-refined-times.txt</v>
      </c>
      <c r="AI155" s="130" t="str">
        <f t="shared" si="71"/>
        <v>echo {"issue":{"subject":"","project_id":79,"tracker_id":40,"status_id":1,"priority_id":2,"assigned_to_id":23,"start_date":"2016-09-27","description":"","custom_fields":[{"id":1,"name":"Subdivision","value":"EC"},{"id":4,"name":"Milepost","value":"0.0068"},{"id":17,"name":"Train ID","value":"242-26"},{"id":16,"name":"Locomotive ID","value":"4017"},{"id":130,"name":"Impact","value":""},{"id":150,"name":"Time of Event (Mountain Time)","value":"01:37:54"},{"id":151,"name":"Denver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567</v>
      </c>
      <c r="B156" s="7">
        <v>4025</v>
      </c>
      <c r="C156" s="24" t="s">
        <v>106</v>
      </c>
      <c r="D156" s="24" t="s">
        <v>226</v>
      </c>
      <c r="E156" s="15">
        <v>42640.003981481481</v>
      </c>
      <c r="F156" s="15">
        <v>42640.021018518521</v>
      </c>
      <c r="G156" s="7">
        <v>1</v>
      </c>
      <c r="H156" s="15" t="s">
        <v>221</v>
      </c>
      <c r="I156" s="15">
        <v>42640.045254629629</v>
      </c>
      <c r="J156" s="7">
        <v>0</v>
      </c>
      <c r="K156" s="117" t="str">
        <f t="shared" si="72"/>
        <v>4025/4026</v>
      </c>
      <c r="L156" s="24" t="str">
        <f>VLOOKUP(A156,'Trips&amp;Operators'!$C$1:$E$10000,3,FALSE)</f>
        <v>YANAI</v>
      </c>
      <c r="M156" s="6">
        <f t="shared" si="73"/>
        <v>2.4236111108621117E-2</v>
      </c>
      <c r="N156" s="7">
        <f t="shared" si="85"/>
        <v>34.899999996414408</v>
      </c>
      <c r="O156" s="7"/>
      <c r="P156" s="7"/>
      <c r="Q156" s="25"/>
      <c r="R156" s="25"/>
      <c r="S156" s="37">
        <f t="shared" si="74"/>
        <v>1</v>
      </c>
      <c r="T156" s="52" t="str">
        <f t="shared" si="75"/>
        <v>NorthBound</v>
      </c>
      <c r="U156" s="15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23:05:44-0600',mode:absolute,to:'2016-09-27 02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6" s="54" t="str">
        <f t="shared" si="77"/>
        <v>N</v>
      </c>
      <c r="X156" s="164">
        <f t="shared" si="69"/>
        <v>1</v>
      </c>
      <c r="Y156" s="69">
        <f t="shared" si="78"/>
        <v>4.5100000000000001E-2</v>
      </c>
      <c r="Z156" s="69">
        <f t="shared" si="79"/>
        <v>23.3291</v>
      </c>
      <c r="AA156" s="69">
        <f t="shared" si="80"/>
        <v>23.283999999999999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81"/>
        <v>0243-26</v>
      </c>
      <c r="AE156" s="95" t="str">
        <f t="shared" si="82"/>
        <v>aws s3 cp s3://rtdc.mdm.uploadarchive/RTDC4025/2016-09-27/ "%USERPROFILE%\AppData\Local\Temp\OnboardLogs"\RTDC4025\2016-09-27 --recursive &amp; "%USERPROFILE%\Documents\GitHub\mrs-test-scripts\Headless Mode &amp; Sideloading\WalkAndUnGZ.bat" "%USERPROFILE%\AppData\Local\Temp\OnboardLogs"\RTDC4025\2016-09-27 &amp; aws s3 cp s3://rtdc.mdm.uploadarchive/RTDC4025/2016-09-28/ "%USERPROFILE%\AppData\Local\Temp\OnboardLogs"\RTDC4025\2016-09-28 --recursive &amp; "%USERPROFILE%\Documents\GitHub\mrs-test-scripts\Headless Mode &amp; Sideloading\WalkAndUnGZ.bat" "%USERPROFILE%\AppData\Local\Temp\OnboardLogs"\RTDC4025\2016-09-28</v>
      </c>
      <c r="AF156" s="92" t="str">
        <f t="shared" si="83"/>
        <v>"C:\Program Files (x86)\AstroGrep\AstroGrep.exe" /spath="%USERPROFILE%\AppData\Local\Temp\OnboardLogs" /stypes="app*4025*20160927*" /stext=" 07:.+((SYSTEM_STATE.+slice.+state.+changed )|(ment ac)|(system.+state.+changed )|(\|lc)|(penalty)|(\[timeout)|(PRM\|1\|D)|(kpr)|(kdp))" /e /r /s</v>
      </c>
      <c r="AG156" s="1" t="str">
        <f t="shared" si="84"/>
        <v>EC</v>
      </c>
      <c r="AH156" s="96" t="str">
        <f t="shared" si="70"/>
        <v>"%USERPROFILE%\Documents\GitHub\eaglep3\Utilities\RefineRTDCRunTimes.py" --tripid 243-26 --locoid 4025 --swversion DE.1.0.7.0 --startMP 204:451 --initTime 2016-09-27T00:05:44 --startdatetime 2016-09-27T00:30:16 --delay 1 --endMP 204:233291 --enddatetime 2016-09-27T01:05:10 --enforcementcount 0 &gt;&gt;C:\Users\stu\Documents\GitHub\eaglep3-reporting\EC\2016-09-26-refined-times.txt</v>
      </c>
      <c r="AI156" s="130" t="str">
        <f t="shared" si="71"/>
        <v>echo {"issue":{"subject":"","project_id":79,"tracker_id":40,"status_id":1,"priority_id":2,"assigned_to_id":23,"start_date":"2016-09-27","description":"","custom_fields":[{"id":1,"name":"Subdivision","value":"EC"},{"id":4,"name":"Milepost","value":"23.3291"},{"id":17,"name":"Train ID","value":"243-26"},{"id":16,"name":"Locomotive ID","value":"4025"},{"id":130,"name":"Impact","value":""},{"id":150,"name":"Time of Event (Mountain Time)","value":"01:05:10"},{"id":151,"name":"Denver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568</v>
      </c>
      <c r="B157" s="7">
        <v>4026</v>
      </c>
      <c r="C157" s="24" t="s">
        <v>106</v>
      </c>
      <c r="D157" s="24" t="s">
        <v>282</v>
      </c>
      <c r="E157" s="15">
        <v>42640.056064814817</v>
      </c>
      <c r="F157" s="15">
        <v>42640.059988425928</v>
      </c>
      <c r="G157" s="7">
        <v>1</v>
      </c>
      <c r="H157" s="15" t="s">
        <v>569</v>
      </c>
      <c r="I157" s="15">
        <v>42640.085868055554</v>
      </c>
      <c r="J157" s="7">
        <v>0</v>
      </c>
      <c r="K157" s="117" t="str">
        <f t="shared" si="72"/>
        <v>4025/4026</v>
      </c>
      <c r="L157" s="24" t="str">
        <f>VLOOKUP(A157,'Trips&amp;Operators'!$C$1:$E$10000,3,FALSE)</f>
        <v>YANAI</v>
      </c>
      <c r="M157" s="6">
        <f t="shared" si="73"/>
        <v>2.5879629625706002E-2</v>
      </c>
      <c r="N157" s="7">
        <f t="shared" si="85"/>
        <v>37.266666661016643</v>
      </c>
      <c r="O157" s="7"/>
      <c r="P157" s="7"/>
      <c r="Q157" s="25"/>
      <c r="R157" s="25"/>
      <c r="S157" s="37">
        <f t="shared" si="74"/>
        <v>1</v>
      </c>
      <c r="T157" s="52" t="str">
        <f t="shared" si="75"/>
        <v>Southbound</v>
      </c>
      <c r="U157" s="15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https://search-rtdc-monitor-bjffxe2xuh6vdkpspy63sjmuny.us-east-1.es.amazonaws.com/_plugin/kibana/#/discover/Steve-Slow-Train-Analysis-(2080s-and-2083s)?_g=(refreshInterval:(display:Off,section:0,value:0),time:(from:'2016-09-27 00:20:44-0600',mode:absolute,to:'2016-09-27 03:03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7" s="54" t="str">
        <f t="shared" si="77"/>
        <v>N</v>
      </c>
      <c r="X157" s="164">
        <f t="shared" si="69"/>
        <v>1</v>
      </c>
      <c r="Y157" s="69">
        <f t="shared" si="78"/>
        <v>23.297499999999999</v>
      </c>
      <c r="Z157" s="69">
        <f t="shared" si="79"/>
        <v>1.4E-2</v>
      </c>
      <c r="AA157" s="69">
        <f t="shared" si="80"/>
        <v>23.2835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81"/>
        <v>0244-26</v>
      </c>
      <c r="AE157" s="95" t="str">
        <f t="shared" si="82"/>
        <v>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 &amp; aws s3 cp s3://rtdc.mdm.uploadarchive/RTDC4026/2016-09-28/ "%USERPROFILE%\AppData\Local\Temp\OnboardLogs"\RTDC4026\2016-09-28 --recursive &amp; "%USERPROFILE%\Documents\GitHub\mrs-test-scripts\Headless Mode &amp; Sideloading\WalkAndUnGZ.bat" "%USERPROFILE%\AppData\Local\Temp\OnboardLogs"\RTDC4026\2016-09-28</v>
      </c>
      <c r="AF157" s="92" t="str">
        <f t="shared" si="83"/>
        <v>"C:\Program Files (x86)\AstroGrep\AstroGrep.exe" /spath="%USERPROFILE%\AppData\Local\Temp\OnboardLogs" /stypes="app*4026*20160927*" /stext=" 08:.+((SYSTEM_STATE.+slice.+state.+changed )|(ment ac)|(system.+state.+changed )|(\|lc)|(penalty)|(\[timeout)|(PRM\|1\|D)|(kpr)|(kdp))" /e /r /s</v>
      </c>
      <c r="AG157" s="1" t="str">
        <f t="shared" si="84"/>
        <v>EC</v>
      </c>
      <c r="AH157" s="96" t="str">
        <f t="shared" si="70"/>
        <v>"%USERPROFILE%\Documents\GitHub\eaglep3\Utilities\RefineRTDCRunTimes.py" --tripid 244-26 --locoid 4026 --swversion DE.1.0.7.0 --startMP 204:232975 --initTime 2016-09-27T01:20:44 --startdatetime 2016-09-27T01:26:23 --delay 1 --endMP 204:140 --enddatetime 2016-09-27T02:03:39 --enforcementcount 0 &gt;&gt;C:\Users\stu\Documents\GitHub\eaglep3-reporting\EC\2016-09-26-refined-times.txt</v>
      </c>
      <c r="AI157" s="130" t="str">
        <f t="shared" si="71"/>
        <v>echo {"issue":{"subject":"","project_id":79,"tracker_id":40,"status_id":1,"priority_id":2,"assigned_to_id":23,"start_date":"2016-09-27","description":"","custom_fields":[{"id":1,"name":"Subdivision","value":"EC"},{"id":4,"name":"Milepost","value":"0.014"},{"id":17,"name":"Train ID","value":"244-26"},{"id":16,"name":"Locomotive ID","value":"4026"},{"id":130,"name":"Impact","value":""},{"id":150,"name":"Time of Event (Mountain Time)","value":"02:03:39"},{"id":151,"name":"Denver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583</v>
      </c>
      <c r="B158" s="7">
        <v>4030</v>
      </c>
      <c r="C158" s="24" t="s">
        <v>106</v>
      </c>
      <c r="D158" s="24" t="s">
        <v>584</v>
      </c>
      <c r="E158" s="15">
        <v>42639.217719907407</v>
      </c>
      <c r="F158" s="15">
        <v>42639.219317129631</v>
      </c>
      <c r="G158" s="7">
        <v>1</v>
      </c>
      <c r="H158" s="15" t="s">
        <v>585</v>
      </c>
      <c r="I158" s="15">
        <v>42639.229513888888</v>
      </c>
      <c r="J158" s="7">
        <v>0</v>
      </c>
      <c r="K158" s="117" t="str">
        <f t="shared" si="72"/>
        <v>4029/4030</v>
      </c>
      <c r="L158" s="24" t="str">
        <f>VLOOKUP(A158,'Trips&amp;Operators'!$C$1:$E$10000,3,FALSE)</f>
        <v>DAVIS</v>
      </c>
      <c r="M158" s="6">
        <f t="shared" si="73"/>
        <v>1.0196759256359655E-2</v>
      </c>
      <c r="N158" s="7">
        <f t="shared" si="85"/>
        <v>14.683333329157904</v>
      </c>
      <c r="O158" s="7"/>
      <c r="P158" s="7"/>
      <c r="Q158" s="25"/>
      <c r="R158" s="25"/>
      <c r="S158" s="37">
        <f t="shared" si="74"/>
        <v>1</v>
      </c>
      <c r="T158" s="52" t="str">
        <f t="shared" si="75"/>
        <v>Southbound</v>
      </c>
      <c r="U158" s="15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04:13:31-0600',mode:absolute,to:'2016-09-26 06:30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58" s="54" t="str">
        <f t="shared" si="77"/>
        <v>N</v>
      </c>
      <c r="X158" s="164">
        <f t="shared" si="69"/>
        <v>556</v>
      </c>
      <c r="Y158" s="69">
        <f t="shared" si="78"/>
        <v>5.7336999999999998</v>
      </c>
      <c r="Z158" s="69">
        <f t="shared" si="79"/>
        <v>6.3299999999999995E-2</v>
      </c>
      <c r="AA158" s="69">
        <f t="shared" si="80"/>
        <v>5.6703999999999999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 t="shared" si="81"/>
        <v>0800-26</v>
      </c>
      <c r="AE158" s="95" t="str">
        <f t="shared" si="82"/>
        <v>aws s3 cp s3://rtdc.mdm.uploadarchive/RTDC4030/2016-09-26/ "%USERPROFILE%\AppData\Local\Temp\OnboardLogs"\RTDC4030\2016-09-26 --recursive &amp; "%USERPROFILE%\Documents\GitHub\mrs-test-scripts\Headless Mode &amp; Sideloading\WalkAndUnGZ.bat" "%USERPROFILE%\AppData\Local\Temp\OnboardLogs"\RTDC4030\2016-09-26 &amp; 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</v>
      </c>
      <c r="AF158" s="92" t="str">
        <f t="shared" si="83"/>
        <v>"C:\Program Files (x86)\AstroGrep\AstroGrep.exe" /spath="%USERPROFILE%\AppData\Local\Temp\OnboardLogs" /stypes="app*4030*20160926*" /stext=" 11:.+((SYSTEM_STATE.+slice.+state.+changed )|(ment ac)|(system.+state.+changed )|(\|lc)|(penalty)|(\[timeout)|(PRM\|1\|D)|(kpr)|(kdp))" /e /r /s</v>
      </c>
      <c r="AG158" s="1" t="str">
        <f t="shared" si="84"/>
        <v>NW</v>
      </c>
      <c r="AH158" s="96" t="str">
        <f t="shared" si="70"/>
        <v>"%USERPROFILE%\Documents\GitHub\eaglep3\Utilities\RefineRTDCRunTimes.py" --tripid 800-26 --locoid 4030 --swversion DE.1.0.7.0 --startMP 300:57337 --initTime 2016-09-26T05:13:31 --startdatetime 2016-09-26T05:15:49 --delay 1 --endMP 204:633 --enddatetime 2016-09-26T05:30:30 --enforcementcount 0 &gt;&gt;C:\Users\stu\Documents\GitHub\eaglep3-reporting\EC\2016-09-26-refined-times.txt</v>
      </c>
      <c r="AI158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{"issue":{"subject":"","project_id":79,"tracker_id":40,"status_id":1,"priority_id":2,"assigned_to_id":23,"start_date":"2016-09-26","description":"","custom_fields":[{"id":1,"name":"Subdivision","value":"NW"},{"id":4,"name":"Milepost","value":"0.0633"},{"id":17,"name":"Train ID","value":"800-26"},{"id":16,"name":"Locomotive ID","value":"4030"},{"id":130,"name":"Impact","value":""},{"id":150,"name":"Time of Event (Mountain Time)","value":"05:30:30"},{"id":151,"name":"Denver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586</v>
      </c>
      <c r="B159" s="7">
        <v>4029</v>
      </c>
      <c r="C159" s="24" t="s">
        <v>106</v>
      </c>
      <c r="D159" s="24" t="s">
        <v>587</v>
      </c>
      <c r="E159" s="15">
        <v>42639.236377314817</v>
      </c>
      <c r="F159" s="15">
        <v>42639.243900462963</v>
      </c>
      <c r="G159" s="7">
        <v>1</v>
      </c>
      <c r="H159" s="15" t="s">
        <v>588</v>
      </c>
      <c r="I159" s="15">
        <v>42639.254293981481</v>
      </c>
      <c r="J159" s="7">
        <v>0</v>
      </c>
      <c r="K159" s="117" t="str">
        <f t="shared" si="72"/>
        <v>4029/4030</v>
      </c>
      <c r="L159" s="24" t="str">
        <f>VLOOKUP(A159,'Trips&amp;Operators'!$C$1:$E$10000,3,FALSE)</f>
        <v>DAVIS</v>
      </c>
      <c r="M159" s="6">
        <f t="shared" si="73"/>
        <v>1.0393518517958E-2</v>
      </c>
      <c r="N159" s="7">
        <f t="shared" si="85"/>
        <v>14.96666666585952</v>
      </c>
      <c r="O159" s="7"/>
      <c r="P159" s="7"/>
      <c r="Q159" s="25"/>
      <c r="R159" s="25"/>
      <c r="S159" s="37">
        <f t="shared" si="74"/>
        <v>1</v>
      </c>
      <c r="T159" s="52" t="str">
        <f t="shared" si="75"/>
        <v>NorthBound</v>
      </c>
      <c r="U159" s="15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04:40:23-0600',mode:absolute,to:'2016-09-26 07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59" s="54" t="str">
        <f t="shared" si="77"/>
        <v>N</v>
      </c>
      <c r="X159" s="164">
        <f t="shared" si="69"/>
        <v>1</v>
      </c>
      <c r="Y159" s="69">
        <f t="shared" si="78"/>
        <v>9.5299999999999996E-2</v>
      </c>
      <c r="Z159" s="69">
        <f t="shared" si="79"/>
        <v>5.8071000000000002</v>
      </c>
      <c r="AA159" s="69">
        <f t="shared" si="80"/>
        <v>5.7118000000000002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81"/>
        <v>0801-26</v>
      </c>
      <c r="AE159" s="95" t="str">
        <f t="shared" si="82"/>
        <v>aws s3 cp s3://rtdc.mdm.uploadarchive/RTDC4029/2016-09-26/ "%USERPROFILE%\AppData\Local\Temp\OnboardLogs"\RTDC4029\2016-09-26 --recursive &amp; "%USERPROFILE%\Documents\GitHub\mrs-test-scripts\Headless Mode &amp; Sideloading\WalkAndUnGZ.bat" "%USERPROFILE%\AppData\Local\Temp\OnboardLogs"\RTDC4029\2016-09-26 &amp; 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</v>
      </c>
      <c r="AF159" s="92" t="str">
        <f t="shared" si="83"/>
        <v>"C:\Program Files (x86)\AstroGrep\AstroGrep.exe" /spath="%USERPROFILE%\AppData\Local\Temp\OnboardLogs" /stypes="app*4029*20160926*" /stext=" 12:.+((SYSTEM_STATE.+slice.+state.+changed )|(ment ac)|(system.+state.+changed )|(\|lc)|(penalty)|(\[timeout)|(PRM\|1\|D)|(kpr)|(kdp))" /e /r /s</v>
      </c>
      <c r="AG159" s="1" t="str">
        <f t="shared" si="84"/>
        <v>NW</v>
      </c>
      <c r="AH159" s="96" t="str">
        <f t="shared" si="70"/>
        <v>"%USERPROFILE%\Documents\GitHub\eaglep3\Utilities\RefineRTDCRunTimes.py" --tripid 801-26 --locoid 4029 --swversion DE.1.0.7.0 --startMP 204:953 --initTime 2016-09-26T05:40:23 --startdatetime 2016-09-26T05:51:13 --delay 1 --endMP 300:58071 --enddatetime 2016-09-26T06:06:11 --enforcementcount 0 &gt;&gt;C:\Users\stu\Documents\GitHub\eaglep3-reporting\EC\2016-09-26-refined-times.txt</v>
      </c>
      <c r="AI159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{"issue":{"subject":"","project_id":79,"tracker_id":40,"status_id":1,"priority_id":2,"assigned_to_id":23,"start_date":"2016-09-26","description":"","custom_fields":[{"id":1,"name":"Subdivision","value":"NW"},{"id":4,"name":"Milepost","value":"5.8071"},{"id":17,"name":"Train ID","value":"801-26"},{"id":16,"name":"Locomotive ID","value":"4029"},{"id":130,"name":"Impact","value":""},{"id":150,"name":"Time of Event (Mountain Time)","value":"06:06:11"},{"id":151,"name":"Denver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589</v>
      </c>
      <c r="B160" s="7">
        <v>4030</v>
      </c>
      <c r="C160" s="24" t="s">
        <v>106</v>
      </c>
      <c r="D160" s="24" t="s">
        <v>590</v>
      </c>
      <c r="E160" s="15">
        <v>42639.255370370367</v>
      </c>
      <c r="F160" s="15">
        <v>42639.256550925929</v>
      </c>
      <c r="G160" s="7">
        <v>0</v>
      </c>
      <c r="H160" s="15" t="s">
        <v>591</v>
      </c>
      <c r="I160" s="15">
        <v>42639.269814814812</v>
      </c>
      <c r="J160" s="7">
        <v>0</v>
      </c>
      <c r="K160" s="117" t="str">
        <f t="shared" si="72"/>
        <v>4029/4030</v>
      </c>
      <c r="L160" s="24" t="str">
        <f>VLOOKUP(A160,'Trips&amp;Operators'!$C$1:$E$10000,3,FALSE)</f>
        <v>DAVIS</v>
      </c>
      <c r="M160" s="6">
        <f t="shared" si="73"/>
        <v>1.3263888882647734E-2</v>
      </c>
      <c r="N160" s="7">
        <f t="shared" si="85"/>
        <v>19.099999991012737</v>
      </c>
      <c r="O160" s="7"/>
      <c r="P160" s="7"/>
      <c r="Q160" s="25"/>
      <c r="R160" s="25"/>
      <c r="S160" s="37">
        <f t="shared" si="74"/>
        <v>1</v>
      </c>
      <c r="T160" s="52" t="str">
        <f t="shared" si="75"/>
        <v>Southbound</v>
      </c>
      <c r="U160" s="15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05:07:44-0600',mode:absolute,to:'2016-09-26 07:28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0" s="54" t="str">
        <f t="shared" si="77"/>
        <v>N</v>
      </c>
      <c r="X160" s="164">
        <f t="shared" si="69"/>
        <v>1</v>
      </c>
      <c r="Y160" s="69">
        <f t="shared" si="78"/>
        <v>5.8707000000000003</v>
      </c>
      <c r="Z160" s="69">
        <f t="shared" si="79"/>
        <v>6.5600000000000006E-2</v>
      </c>
      <c r="AA160" s="69">
        <f t="shared" si="80"/>
        <v>5.8051000000000004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81"/>
        <v>0802-26</v>
      </c>
      <c r="AE160" s="95" t="str">
        <f t="shared" si="82"/>
        <v>aws s3 cp s3://rtdc.mdm.uploadarchive/RTDC4030/2016-09-26/ "%USERPROFILE%\AppData\Local\Temp\OnboardLogs"\RTDC4030\2016-09-26 --recursive &amp; "%USERPROFILE%\Documents\GitHub\mrs-test-scripts\Headless Mode &amp; Sideloading\WalkAndUnGZ.bat" "%USERPROFILE%\AppData\Local\Temp\OnboardLogs"\RTDC4030\2016-09-26 &amp; 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</v>
      </c>
      <c r="AF160" s="92" t="str">
        <f t="shared" si="83"/>
        <v>"C:\Program Files (x86)\AstroGrep\AstroGrep.exe" /spath="%USERPROFILE%\AppData\Local\Temp\OnboardLogs" /stypes="app*4030*20160926*" /stext=" 12:.+((SYSTEM_STATE.+slice.+state.+changed )|(ment ac)|(system.+state.+changed )|(\|lc)|(penalty)|(\[timeout)|(PRM\|1\|D)|(kpr)|(kdp))" /e /r /s</v>
      </c>
      <c r="AG160" s="1" t="str">
        <f t="shared" si="84"/>
        <v>NW</v>
      </c>
      <c r="AH160" s="96" t="str">
        <f t="shared" si="70"/>
        <v>"%USERPROFILE%\Documents\GitHub\eaglep3\Utilities\RefineRTDCRunTimes.py" --tripid 802-26 --locoid 4030 --swversion DE.1.0.7.0 --startMP 300:58707 --initTime 2016-09-26T06:07:44 --startdatetime 2016-09-26T06:09:26 --delay 0 --endMP 204:656 --enddatetime 2016-09-26T06:28:32 --enforcementcount 0 &gt;&gt;C:\Users\stu\Documents\GitHub\eaglep3-reporting\EC\2016-09-26-refined-times.txt</v>
      </c>
      <c r="AI160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{"issue":{"subject":"","project_id":79,"tracker_id":40,"status_id":1,"priority_id":2,"assigned_to_id":23,"start_date":"2016-09-26","description":"","custom_fields":[{"id":1,"name":"Subdivision","value":"NW"},{"id":4,"name":"Milepost","value":"0.0656"},{"id":17,"name":"Train ID","value":"802-26"},{"id":16,"name":"Locomotive ID","value":"4030"},{"id":130,"name":"Impact","value":""},{"id":150,"name":"Time of Event (Mountain Time)","value":"06:28:32"},{"id":151,"name":"Denver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592</v>
      </c>
      <c r="B161" s="7">
        <v>4044</v>
      </c>
      <c r="C161" s="24" t="s">
        <v>106</v>
      </c>
      <c r="D161" s="24" t="s">
        <v>593</v>
      </c>
      <c r="E161" s="15">
        <v>42639.256273148145</v>
      </c>
      <c r="F161" s="15">
        <v>42639.264907407407</v>
      </c>
      <c r="G161" s="7">
        <v>1</v>
      </c>
      <c r="H161" s="15" t="s">
        <v>594</v>
      </c>
      <c r="I161" s="15">
        <v>42639.275243055556</v>
      </c>
      <c r="J161" s="7">
        <v>0</v>
      </c>
      <c r="K161" s="117" t="str">
        <f t="shared" si="72"/>
        <v>4043/4044</v>
      </c>
      <c r="L161" s="24" t="str">
        <f>VLOOKUP(A161,'Trips&amp;Operators'!$C$1:$E$10000,3,FALSE)</f>
        <v>ISHMAEL</v>
      </c>
      <c r="M161" s="6">
        <f t="shared" si="73"/>
        <v>1.0335648148611654E-2</v>
      </c>
      <c r="N161" s="7">
        <f t="shared" si="85"/>
        <v>14.883333334000781</v>
      </c>
      <c r="O161" s="7"/>
      <c r="P161" s="7"/>
      <c r="Q161" s="25"/>
      <c r="R161" s="25"/>
      <c r="S161" s="37">
        <f t="shared" si="74"/>
        <v>1</v>
      </c>
      <c r="T161" s="52" t="str">
        <f t="shared" si="75"/>
        <v>NorthBound</v>
      </c>
      <c r="U161" s="15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05:09:02-0600',mode:absolute,to:'2016-09-26 07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61" s="54" t="str">
        <f t="shared" si="77"/>
        <v>N</v>
      </c>
      <c r="X161" s="164">
        <f t="shared" si="69"/>
        <v>1</v>
      </c>
      <c r="Y161" s="69">
        <f t="shared" si="78"/>
        <v>0.10390000000000001</v>
      </c>
      <c r="Z161" s="69">
        <f t="shared" si="79"/>
        <v>5.8939000000000004</v>
      </c>
      <c r="AA161" s="69">
        <f t="shared" si="80"/>
        <v>5.79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81"/>
        <v>0803-26</v>
      </c>
      <c r="AE161" s="95" t="str">
        <f t="shared" si="82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161" s="92" t="str">
        <f t="shared" si="83"/>
        <v>"C:\Program Files (x86)\AstroGrep\AstroGrep.exe" /spath="%USERPROFILE%\AppData\Local\Temp\OnboardLogs" /stypes="app*4044*20160926*" /stext=" 12:.+((SYSTEM_STATE.+slice.+state.+changed )|(ment ac)|(system.+state.+changed )|(\|lc)|(penalty)|(\[timeout)|(PRM\|1\|D)|(kpr)|(kdp))" /e /r /s</v>
      </c>
      <c r="AG161" s="1" t="str">
        <f t="shared" si="84"/>
        <v>NW</v>
      </c>
      <c r="AH161" s="96" t="str">
        <f t="shared" si="70"/>
        <v>"%USERPROFILE%\Documents\GitHub\eaglep3\Utilities\RefineRTDCRunTimes.py" --tripid 803-26 --locoid 4044 --swversion DE.1.0.7.0 --startMP 204:1039 --initTime 2016-09-26T06:09:02 --startdatetime 2016-09-26T06:21:28 --delay 1 --endMP 300:58939 --enddatetime 2016-09-26T06:36:21 --enforcementcount 0 &gt;&gt;C:\Users\stu\Documents\GitHub\eaglep3-reporting\EC\2016-09-26-refined-times.txt</v>
      </c>
      <c r="AI161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{"issue":{"subject":"","project_id":79,"tracker_id":40,"status_id":1,"priority_id":2,"assigned_to_id":23,"start_date":"2016-09-26","description":"","custom_fields":[{"id":1,"name":"Subdivision","value":"NW"},{"id":4,"name":"Milepost","value":"5.8939"},{"id":17,"name":"Train ID","value":"803-26"},{"id":16,"name":"Locomotive ID","value":"4044"},{"id":130,"name":"Impact","value":""},{"id":150,"name":"Time of Event (Mountain Time)","value":"06:36:21"},{"id":151,"name":"Denver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595</v>
      </c>
      <c r="B162" s="7">
        <v>4043</v>
      </c>
      <c r="C162" s="24" t="s">
        <v>106</v>
      </c>
      <c r="D162" s="24" t="s">
        <v>596</v>
      </c>
      <c r="E162" s="15">
        <v>42639.276458333334</v>
      </c>
      <c r="F162" s="15">
        <v>42639.277997685182</v>
      </c>
      <c r="G162" s="7">
        <v>1</v>
      </c>
      <c r="H162" s="15" t="s">
        <v>597</v>
      </c>
      <c r="I162" s="15">
        <v>42639.290034722224</v>
      </c>
      <c r="J162" s="7">
        <v>0</v>
      </c>
      <c r="K162" s="117" t="str">
        <f t="shared" si="72"/>
        <v>4043/4044</v>
      </c>
      <c r="L162" s="24" t="str">
        <f>VLOOKUP(A162,'Trips&amp;Operators'!$C$1:$E$10000,3,FALSE)</f>
        <v>ISHMAEL</v>
      </c>
      <c r="M162" s="6">
        <f t="shared" si="73"/>
        <v>1.2037037042318843E-2</v>
      </c>
      <c r="N162" s="7">
        <f t="shared" si="85"/>
        <v>17.333333340939134</v>
      </c>
      <c r="O162" s="7"/>
      <c r="P162" s="7"/>
      <c r="Q162" s="25"/>
      <c r="R162" s="25"/>
      <c r="S162" s="37">
        <f t="shared" si="74"/>
        <v>1</v>
      </c>
      <c r="T162" s="52" t="str">
        <f t="shared" si="75"/>
        <v>Southbound</v>
      </c>
      <c r="U162" s="15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05:38:06-0600',mode:absolute,to:'2016-09-26 07:57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62" s="54" t="str">
        <f t="shared" si="77"/>
        <v>N</v>
      </c>
      <c r="X162" s="164">
        <f t="shared" si="69"/>
        <v>1</v>
      </c>
      <c r="Y162" s="69">
        <f t="shared" si="78"/>
        <v>5.8616999999999999</v>
      </c>
      <c r="Z162" s="69">
        <f t="shared" si="79"/>
        <v>6.9400000000000003E-2</v>
      </c>
      <c r="AA162" s="69">
        <f t="shared" si="80"/>
        <v>5.7923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81"/>
        <v>0804-26</v>
      </c>
      <c r="AE162" s="95" t="str">
        <f t="shared" si="82"/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AF162" s="92" t="str">
        <f t="shared" si="83"/>
        <v>"C:\Program Files (x86)\AstroGrep\AstroGrep.exe" /spath="%USERPROFILE%\AppData\Local\Temp\OnboardLogs" /stypes="app*4043*20160926*" /stext=" 12:.+((SYSTEM_STATE.+slice.+state.+changed )|(ment ac)|(system.+state.+changed )|(\|lc)|(penalty)|(\[timeout)|(PRM\|1\|D)|(kpr)|(kdp))" /e /r /s</v>
      </c>
      <c r="AG162" s="1" t="str">
        <f t="shared" si="84"/>
        <v>NW</v>
      </c>
      <c r="AH162" s="96" t="str">
        <f t="shared" si="70"/>
        <v>"%USERPROFILE%\Documents\GitHub\eaglep3\Utilities\RefineRTDCRunTimes.py" --tripid 804-26 --locoid 4043 --swversion DE.1.0.7.0 --startMP 300:58617 --initTime 2016-09-26T06:38:06 --startdatetime 2016-09-26T06:40:19 --delay 1 --endMP 204:694 --enddatetime 2016-09-26T06:57:39 --enforcementcount 0 &gt;&gt;C:\Users\stu\Documents\GitHub\eaglep3-reporting\EC\2016-09-26-refined-times.txt</v>
      </c>
      <c r="AI162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{"issue":{"subject":"","project_id":79,"tracker_id":40,"status_id":1,"priority_id":2,"assigned_to_id":23,"start_date":"2016-09-26","description":"","custom_fields":[{"id":1,"name":"Subdivision","value":"NW"},{"id":4,"name":"Milepost","value":"0.0694"},{"id":17,"name":"Train ID","value":"804-26"},{"id":16,"name":"Locomotive ID","value":"4043"},{"id":130,"name":"Impact","value":""},{"id":150,"name":"Time of Event (Mountain Time)","value":"06:57:39"},{"id":151,"name":"Denver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598</v>
      </c>
      <c r="B163" s="7">
        <v>4029</v>
      </c>
      <c r="C163" s="24" t="s">
        <v>106</v>
      </c>
      <c r="D163" s="24" t="s">
        <v>599</v>
      </c>
      <c r="E163" s="15">
        <v>42639.281817129631</v>
      </c>
      <c r="F163" s="15">
        <v>42639.285555555558</v>
      </c>
      <c r="G163" s="7">
        <v>1</v>
      </c>
      <c r="H163" s="15" t="s">
        <v>600</v>
      </c>
      <c r="I163" s="15">
        <v>42639.29587962963</v>
      </c>
      <c r="J163" s="7">
        <v>0</v>
      </c>
      <c r="K163" s="117" t="str">
        <f t="shared" si="72"/>
        <v>4029/4030</v>
      </c>
      <c r="L163" s="24" t="str">
        <f>VLOOKUP(A163,'Trips&amp;Operators'!$C$1:$E$10000,3,FALSE)</f>
        <v>DAVIS</v>
      </c>
      <c r="M163" s="6">
        <f t="shared" si="73"/>
        <v>1.0324074071832001E-2</v>
      </c>
      <c r="N163" s="7">
        <f t="shared" si="85"/>
        <v>14.866666663438082</v>
      </c>
      <c r="O163" s="7"/>
      <c r="P163" s="7"/>
      <c r="Q163" s="25"/>
      <c r="R163" s="25"/>
      <c r="S163" s="37">
        <f t="shared" si="74"/>
        <v>1</v>
      </c>
      <c r="T163" s="52" t="str">
        <f t="shared" si="75"/>
        <v>NorthBound</v>
      </c>
      <c r="U163" s="15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05:45:49-0600',mode:absolute,to:'2016-09-26 08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63" s="54" t="str">
        <f t="shared" si="77"/>
        <v>N</v>
      </c>
      <c r="X163" s="164">
        <f t="shared" si="69"/>
        <v>1</v>
      </c>
      <c r="Y163" s="69">
        <f t="shared" si="78"/>
        <v>9.4399999999999998E-2</v>
      </c>
      <c r="Z163" s="69">
        <f t="shared" si="79"/>
        <v>5.8070000000000004</v>
      </c>
      <c r="AA163" s="69">
        <f t="shared" si="80"/>
        <v>5.7126000000000001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81"/>
        <v>0805-26</v>
      </c>
      <c r="AE163" s="95" t="str">
        <f t="shared" si="82"/>
        <v>aws s3 cp s3://rtdc.mdm.uploadarchive/RTDC4029/2016-09-26/ "%USERPROFILE%\AppData\Local\Temp\OnboardLogs"\RTDC4029\2016-09-26 --recursive &amp; "%USERPROFILE%\Documents\GitHub\mrs-test-scripts\Headless Mode &amp; Sideloading\WalkAndUnGZ.bat" "%USERPROFILE%\AppData\Local\Temp\OnboardLogs"\RTDC4029\2016-09-26 &amp; 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</v>
      </c>
      <c r="AF163" s="92" t="str">
        <f t="shared" si="83"/>
        <v>"C:\Program Files (x86)\AstroGrep\AstroGrep.exe" /spath="%USERPROFILE%\AppData\Local\Temp\OnboardLogs" /stypes="app*4029*20160926*" /stext=" 13:.+((SYSTEM_STATE.+slice.+state.+changed )|(ment ac)|(system.+state.+changed )|(\|lc)|(penalty)|(\[timeout)|(PRM\|1\|D)|(kpr)|(kdp))" /e /r /s</v>
      </c>
      <c r="AG163" s="1" t="str">
        <f t="shared" si="84"/>
        <v>NW</v>
      </c>
      <c r="AH163" s="96" t="str">
        <f t="shared" si="70"/>
        <v>"%USERPROFILE%\Documents\GitHub\eaglep3\Utilities\RefineRTDCRunTimes.py" --tripid 805-26 --locoid 4029 --swversion DE.1.0.7.0 --startMP 204:944 --initTime 2016-09-26T06:45:49 --startdatetime 2016-09-26T06:51:12 --delay 1 --endMP 300:58070 --enddatetime 2016-09-26T07:06:04 --enforcementcount 0 &gt;&gt;C:\Users\stu\Documents\GitHub\eaglep3-reporting\EC\2016-09-26-refined-times.txt</v>
      </c>
      <c r="AI163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{"issue":{"subject":"","project_id":79,"tracker_id":40,"status_id":1,"priority_id":2,"assigned_to_id":23,"start_date":"2016-09-26","description":"","custom_fields":[{"id":1,"name":"Subdivision","value":"NW"},{"id":4,"name":"Milepost","value":"5.807"},{"id":17,"name":"Train ID","value":"805-26"},{"id":16,"name":"Locomotive ID","value":"4029"},{"id":130,"name":"Impact","value":""},{"id":150,"name":"Time of Event (Mountain Time)","value":"07:06:04"},{"id":151,"name":"Denver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601</v>
      </c>
      <c r="B164" s="7">
        <v>4030</v>
      </c>
      <c r="C164" s="24" t="s">
        <v>106</v>
      </c>
      <c r="D164" s="24" t="s">
        <v>602</v>
      </c>
      <c r="E164" s="15">
        <v>42639.296840277777</v>
      </c>
      <c r="F164" s="15">
        <v>42639.298067129632</v>
      </c>
      <c r="G164" s="7">
        <v>1</v>
      </c>
      <c r="H164" s="15" t="s">
        <v>603</v>
      </c>
      <c r="I164" s="15">
        <v>42639.309942129628</v>
      </c>
      <c r="J164" s="7">
        <v>0</v>
      </c>
      <c r="K164" s="117" t="str">
        <f t="shared" si="72"/>
        <v>4029/4030</v>
      </c>
      <c r="L164" s="24" t="str">
        <f>VLOOKUP(A164,'Trips&amp;Operators'!$C$1:$E$10000,3,FALSE)</f>
        <v>DAVIS</v>
      </c>
      <c r="M164" s="6">
        <f t="shared" si="73"/>
        <v>1.187499999650754E-2</v>
      </c>
      <c r="N164" s="7">
        <f t="shared" si="85"/>
        <v>17.099999994970858</v>
      </c>
      <c r="O164" s="7"/>
      <c r="P164" s="7"/>
      <c r="Q164" s="25"/>
      <c r="R164" s="25"/>
      <c r="S164" s="37">
        <f t="shared" si="74"/>
        <v>1</v>
      </c>
      <c r="T164" s="52" t="str">
        <f t="shared" si="75"/>
        <v>Southbound</v>
      </c>
      <c r="U164" s="15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06:07:27-0600',mode:absolute,to:'2016-09-26 08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4" s="54" t="str">
        <f t="shared" si="77"/>
        <v>N</v>
      </c>
      <c r="X164" s="164">
        <f t="shared" si="69"/>
        <v>1</v>
      </c>
      <c r="Y164" s="69">
        <f t="shared" si="78"/>
        <v>5.8704000000000001</v>
      </c>
      <c r="Z164" s="69">
        <f t="shared" si="79"/>
        <v>6.6100000000000006E-2</v>
      </c>
      <c r="AA164" s="69">
        <f t="shared" si="80"/>
        <v>5.8043000000000005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81"/>
        <v>0806-26</v>
      </c>
      <c r="AE164" s="95" t="str">
        <f t="shared" si="82"/>
        <v>aws s3 cp s3://rtdc.mdm.uploadarchive/RTDC4030/2016-09-26/ "%USERPROFILE%\AppData\Local\Temp\OnboardLogs"\RTDC4030\2016-09-26 --recursive &amp; "%USERPROFILE%\Documents\GitHub\mrs-test-scripts\Headless Mode &amp; Sideloading\WalkAndUnGZ.bat" "%USERPROFILE%\AppData\Local\Temp\OnboardLogs"\RTDC4030\2016-09-26 &amp; 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</v>
      </c>
      <c r="AF164" s="92" t="str">
        <f t="shared" si="83"/>
        <v>"C:\Program Files (x86)\AstroGrep\AstroGrep.exe" /spath="%USERPROFILE%\AppData\Local\Temp\OnboardLogs" /stypes="app*4030*20160926*" /stext=" 13:.+((SYSTEM_STATE.+slice.+state.+changed )|(ment ac)|(system.+state.+changed )|(\|lc)|(penalty)|(\[timeout)|(PRM\|1\|D)|(kpr)|(kdp))" /e /r /s</v>
      </c>
      <c r="AG164" s="1" t="str">
        <f t="shared" si="84"/>
        <v>NW</v>
      </c>
      <c r="AH164" s="96" t="str">
        <f t="shared" si="70"/>
        <v>"%USERPROFILE%\Documents\GitHub\eaglep3\Utilities\RefineRTDCRunTimes.py" --tripid 806-26 --locoid 4030 --swversion DE.1.0.7.0 --startMP 300:58704 --initTime 2016-09-26T07:07:27 --startdatetime 2016-09-26T07:09:13 --delay 1 --endMP 204:661 --enddatetime 2016-09-26T07:26:19 --enforcementcount 0 &gt;&gt;C:\Users\stu\Documents\GitHub\eaglep3-reporting\EC\2016-09-26-refined-times.txt</v>
      </c>
      <c r="AI164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{"issue":{"subject":"","project_id":79,"tracker_id":40,"status_id":1,"priority_id":2,"assigned_to_id":23,"start_date":"2016-09-26","description":"","custom_fields":[{"id":1,"name":"Subdivision","value":"NW"},{"id":4,"name":"Milepost","value":"0.0661"},{"id":17,"name":"Train ID","value":"806-26"},{"id":16,"name":"Locomotive ID","value":"4030"},{"id":130,"name":"Impact","value":""},{"id":150,"name":"Time of Event (Mountain Time)","value":"07:26:19"},{"id":151,"name":"Denver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604</v>
      </c>
      <c r="B165" s="7">
        <v>4044</v>
      </c>
      <c r="C165" s="24" t="s">
        <v>106</v>
      </c>
      <c r="D165" s="24" t="s">
        <v>605</v>
      </c>
      <c r="E165" s="15">
        <v>42639.30300925926</v>
      </c>
      <c r="F165" s="15">
        <v>42639.306446759256</v>
      </c>
      <c r="G165" s="7">
        <v>1</v>
      </c>
      <c r="H165" s="15" t="s">
        <v>606</v>
      </c>
      <c r="I165" s="15">
        <v>42639.316469907404</v>
      </c>
      <c r="J165" s="7">
        <v>0</v>
      </c>
      <c r="K165" s="117" t="str">
        <f t="shared" si="72"/>
        <v>4043/4044</v>
      </c>
      <c r="L165" s="24" t="str">
        <f>VLOOKUP(A165,'Trips&amp;Operators'!$C$1:$E$10000,3,FALSE)</f>
        <v>ISHMAEL</v>
      </c>
      <c r="M165" s="6">
        <f t="shared" si="73"/>
        <v>1.0023148148320615E-2</v>
      </c>
      <c r="N165" s="7">
        <f t="shared" si="85"/>
        <v>14.433333333581686</v>
      </c>
      <c r="O165" s="7"/>
      <c r="P165" s="7"/>
      <c r="Q165" s="25"/>
      <c r="R165" s="25"/>
      <c r="S165" s="37">
        <f t="shared" si="74"/>
        <v>1</v>
      </c>
      <c r="T165" s="52" t="str">
        <f t="shared" si="75"/>
        <v>NorthBound</v>
      </c>
      <c r="U165" s="15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06:16:20-0600',mode:absolute,to:'2016-09-26 08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65" s="54" t="str">
        <f t="shared" si="77"/>
        <v>N</v>
      </c>
      <c r="X165" s="164">
        <f t="shared" si="69"/>
        <v>1</v>
      </c>
      <c r="Y165" s="69">
        <f t="shared" si="78"/>
        <v>9.8100000000000007E-2</v>
      </c>
      <c r="Z165" s="69">
        <f t="shared" si="79"/>
        <v>5.8920000000000003</v>
      </c>
      <c r="AA165" s="69">
        <f t="shared" si="80"/>
        <v>5.7939000000000007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81"/>
        <v>0807-26</v>
      </c>
      <c r="AE165" s="95" t="str">
        <f t="shared" si="82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165" s="92" t="str">
        <f t="shared" si="83"/>
        <v>"C:\Program Files (x86)\AstroGrep\AstroGrep.exe" /spath="%USERPROFILE%\AppData\Local\Temp\OnboardLogs" /stypes="app*4044*20160926*" /stext=" 13:.+((SYSTEM_STATE.+slice.+state.+changed )|(ment ac)|(system.+state.+changed )|(\|lc)|(penalty)|(\[timeout)|(PRM\|1\|D)|(kpr)|(kdp))" /e /r /s</v>
      </c>
      <c r="AG165" s="1" t="str">
        <f t="shared" si="84"/>
        <v>NW</v>
      </c>
      <c r="AH165" s="96" t="str">
        <f t="shared" si="70"/>
        <v>"%USERPROFILE%\Documents\GitHub\eaglep3\Utilities\RefineRTDCRunTimes.py" --tripid 807-26 --locoid 4044 --swversion DE.1.0.7.0 --startMP 204:981 --initTime 2016-09-26T07:16:20 --startdatetime 2016-09-26T07:21:17 --delay 1 --endMP 300:58920 --enddatetime 2016-09-26T07:35:43 --enforcementcount 0 &gt;&gt;C:\Users\stu\Documents\GitHub\eaglep3-reporting\EC\2016-09-26-refined-times.txt</v>
      </c>
      <c r="AI165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{"issue":{"subject":"","project_id":79,"tracker_id":40,"status_id":1,"priority_id":2,"assigned_to_id":23,"start_date":"2016-09-26","description":"","custom_fields":[{"id":1,"name":"Subdivision","value":"NW"},{"id":4,"name":"Milepost","value":"5.892"},{"id":17,"name":"Train ID","value":"807-26"},{"id":16,"name":"Locomotive ID","value":"4044"},{"id":130,"name":"Impact","value":""},{"id":150,"name":"Time of Event (Mountain Time)","value":"07:35:43"},{"id":151,"name":"Denver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607</v>
      </c>
      <c r="B166" s="7">
        <v>4043</v>
      </c>
      <c r="C166" s="24" t="s">
        <v>106</v>
      </c>
      <c r="D166" s="24" t="s">
        <v>608</v>
      </c>
      <c r="E166" s="15">
        <v>42639.317418981482</v>
      </c>
      <c r="F166" s="15">
        <v>42639.318865740737</v>
      </c>
      <c r="G166" s="7">
        <v>1</v>
      </c>
      <c r="H166" s="15" t="s">
        <v>609</v>
      </c>
      <c r="I166" s="15">
        <v>42639.331469907411</v>
      </c>
      <c r="J166" s="7">
        <v>0</v>
      </c>
      <c r="K166" s="117" t="str">
        <f t="shared" si="72"/>
        <v>4043/4044</v>
      </c>
      <c r="L166" s="24" t="str">
        <f>VLOOKUP(A166,'Trips&amp;Operators'!$C$1:$E$10000,3,FALSE)</f>
        <v>ISHMAEL</v>
      </c>
      <c r="M166" s="6">
        <f t="shared" si="73"/>
        <v>1.2604166673554573E-2</v>
      </c>
      <c r="N166" s="7">
        <f t="shared" si="85"/>
        <v>18.150000009918585</v>
      </c>
      <c r="O166" s="7"/>
      <c r="P166" s="7"/>
      <c r="Q166" s="25"/>
      <c r="R166" s="25"/>
      <c r="S166" s="37">
        <f t="shared" si="74"/>
        <v>1</v>
      </c>
      <c r="T166" s="52" t="str">
        <f t="shared" si="75"/>
        <v>Southbound</v>
      </c>
      <c r="U166" s="15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06:37:05-0600',mode:absolute,to:'2016-09-26 08:57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66" s="54" t="str">
        <f t="shared" si="77"/>
        <v>N</v>
      </c>
      <c r="X166" s="164">
        <f t="shared" si="69"/>
        <v>1</v>
      </c>
      <c r="Y166" s="69">
        <f t="shared" si="78"/>
        <v>5.8608000000000002</v>
      </c>
      <c r="Z166" s="69">
        <f t="shared" si="79"/>
        <v>6.9199999999999998E-2</v>
      </c>
      <c r="AA166" s="69">
        <f t="shared" si="80"/>
        <v>5.7915999999999999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81"/>
        <v>0808-26</v>
      </c>
      <c r="AE166" s="95" t="str">
        <f t="shared" si="82"/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AF166" s="92" t="str">
        <f t="shared" si="83"/>
        <v>"C:\Program Files (x86)\AstroGrep\AstroGrep.exe" /spath="%USERPROFILE%\AppData\Local\Temp\OnboardLogs" /stypes="app*4043*20160926*" /stext=" 13:.+((SYSTEM_STATE.+slice.+state.+changed )|(ment ac)|(system.+state.+changed )|(\|lc)|(penalty)|(\[timeout)|(PRM\|1\|D)|(kpr)|(kdp))" /e /r /s</v>
      </c>
      <c r="AG166" s="1" t="str">
        <f t="shared" si="84"/>
        <v>NW</v>
      </c>
      <c r="AH166" s="96" t="str">
        <f t="shared" si="70"/>
        <v>"%USERPROFILE%\Documents\GitHub\eaglep3\Utilities\RefineRTDCRunTimes.py" --tripid 808-26 --locoid 4043 --swversion DE.1.0.7.0 --startMP 300:58608 --initTime 2016-09-26T07:37:05 --startdatetime 2016-09-26T07:39:10 --delay 1 --endMP 204:692 --enddatetime 2016-09-26T07:57:19 --enforcementcount 0 &gt;&gt;C:\Users\stu\Documents\GitHub\eaglep3-reporting\EC\2016-09-26-refined-times.txt</v>
      </c>
      <c r="AI166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{"issue":{"subject":"","project_id":79,"tracker_id":40,"status_id":1,"priority_id":2,"assigned_to_id":23,"start_date":"2016-09-26","description":"","custom_fields":[{"id":1,"name":"Subdivision","value":"NW"},{"id":4,"name":"Milepost","value":"0.0692"},{"id":17,"name":"Train ID","value":"808-26"},{"id":16,"name":"Locomotive ID","value":"4043"},{"id":130,"name":"Impact","value":""},{"id":150,"name":"Time of Event (Mountain Time)","value":"07:57:19"},{"id":151,"name":"Denver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610</v>
      </c>
      <c r="B167" s="7">
        <v>4029</v>
      </c>
      <c r="C167" s="24" t="s">
        <v>106</v>
      </c>
      <c r="D167" s="24" t="s">
        <v>611</v>
      </c>
      <c r="E167" s="15">
        <v>42639.321620370371</v>
      </c>
      <c r="F167" s="15">
        <v>42639.327268518522</v>
      </c>
      <c r="G167" s="7">
        <v>1</v>
      </c>
      <c r="H167" s="15" t="s">
        <v>612</v>
      </c>
      <c r="I167" s="15">
        <v>42639.338518518518</v>
      </c>
      <c r="J167" s="7">
        <v>0</v>
      </c>
      <c r="K167" s="117" t="str">
        <f t="shared" si="72"/>
        <v>4029/4030</v>
      </c>
      <c r="L167" s="24" t="str">
        <f>VLOOKUP(A167,'Trips&amp;Operators'!$C$1:$E$10000,3,FALSE)</f>
        <v>DAVIS</v>
      </c>
      <c r="M167" s="6">
        <f t="shared" si="73"/>
        <v>1.1249999995925464E-2</v>
      </c>
      <c r="N167" s="7">
        <f t="shared" si="85"/>
        <v>16.199999994132668</v>
      </c>
      <c r="O167" s="7"/>
      <c r="P167" s="7"/>
      <c r="Q167" s="25"/>
      <c r="R167" s="25"/>
      <c r="S167" s="37">
        <f t="shared" si="74"/>
        <v>1</v>
      </c>
      <c r="T167" s="52" t="str">
        <f t="shared" si="75"/>
        <v>NorthBound</v>
      </c>
      <c r="U167" s="15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06:43:08-0600',mode:absolute,to:'2016-09-26 09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67" s="54" t="str">
        <f t="shared" si="77"/>
        <v>N</v>
      </c>
      <c r="X167" s="164">
        <f t="shared" si="69"/>
        <v>1</v>
      </c>
      <c r="Y167" s="69">
        <f t="shared" si="78"/>
        <v>9.4100000000000003E-2</v>
      </c>
      <c r="Z167" s="69">
        <f t="shared" si="79"/>
        <v>5.8093000000000004</v>
      </c>
      <c r="AA167" s="69">
        <f t="shared" si="80"/>
        <v>5.7152000000000003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81"/>
        <v>0809-26</v>
      </c>
      <c r="AE167" s="95" t="str">
        <f t="shared" si="82"/>
        <v>aws s3 cp s3://rtdc.mdm.uploadarchive/RTDC4029/2016-09-26/ "%USERPROFILE%\AppData\Local\Temp\OnboardLogs"\RTDC4029\2016-09-26 --recursive &amp; "%USERPROFILE%\Documents\GitHub\mrs-test-scripts\Headless Mode &amp; Sideloading\WalkAndUnGZ.bat" "%USERPROFILE%\AppData\Local\Temp\OnboardLogs"\RTDC4029\2016-09-26 &amp; 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</v>
      </c>
      <c r="AF167" s="92" t="str">
        <f t="shared" si="83"/>
        <v>"C:\Program Files (x86)\AstroGrep\AstroGrep.exe" /spath="%USERPROFILE%\AppData\Local\Temp\OnboardLogs" /stypes="app*4029*20160926*" /stext=" 14:.+((SYSTEM_STATE.+slice.+state.+changed )|(ment ac)|(system.+state.+changed )|(\|lc)|(penalty)|(\[timeout)|(PRM\|1\|D)|(kpr)|(kdp))" /e /r /s</v>
      </c>
      <c r="AG167" s="1" t="str">
        <f t="shared" si="84"/>
        <v>NW</v>
      </c>
      <c r="AH167" s="96" t="str">
        <f t="shared" si="70"/>
        <v>"%USERPROFILE%\Documents\GitHub\eaglep3\Utilities\RefineRTDCRunTimes.py" --tripid 809-26 --locoid 4029 --swversion DE.1.0.7.0 --startMP 204:941 --initTime 2016-09-26T07:43:08 --startdatetime 2016-09-26T07:51:16 --delay 1 --endMP 300:58093 --enddatetime 2016-09-26T08:07:28 --enforcementcount 0 &gt;&gt;C:\Users\stu\Documents\GitHub\eaglep3-reporting\EC\2016-09-26-refined-times.txt</v>
      </c>
      <c r="AI167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{"issue":{"subject":"","project_id":79,"tracker_id":40,"status_id":1,"priority_id":2,"assigned_to_id":23,"start_date":"2016-09-26","description":"","custom_fields":[{"id":1,"name":"Subdivision","value":"NW"},{"id":4,"name":"Milepost","value":"5.8093"},{"id":17,"name":"Train ID","value":"809-26"},{"id":16,"name":"Locomotive ID","value":"4029"},{"id":130,"name":"Impact","value":""},{"id":150,"name":"Time of Event (Mountain Time)","value":"08:07:28"},{"id":151,"name":"Denver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613</v>
      </c>
      <c r="B168" s="7">
        <v>4030</v>
      </c>
      <c r="C168" s="24" t="s">
        <v>106</v>
      </c>
      <c r="D168" s="24" t="s">
        <v>590</v>
      </c>
      <c r="E168" s="15">
        <v>42639.339386574073</v>
      </c>
      <c r="F168" s="15">
        <v>42639.340717592589</v>
      </c>
      <c r="G168" s="7">
        <v>1</v>
      </c>
      <c r="H168" s="15" t="s">
        <v>614</v>
      </c>
      <c r="I168" s="15">
        <v>42639.351620370369</v>
      </c>
      <c r="J168" s="7">
        <v>0</v>
      </c>
      <c r="K168" s="117" t="str">
        <f t="shared" si="72"/>
        <v>4029/4030</v>
      </c>
      <c r="L168" s="24" t="str">
        <f>VLOOKUP(A168,'Trips&amp;Operators'!$C$1:$E$10000,3,FALSE)</f>
        <v>DAVIS</v>
      </c>
      <c r="M168" s="6">
        <f t="shared" si="73"/>
        <v>1.0902777779847383E-2</v>
      </c>
      <c r="N168" s="7">
        <f t="shared" si="85"/>
        <v>15.700000002980232</v>
      </c>
      <c r="O168" s="7"/>
      <c r="P168" s="7"/>
      <c r="Q168" s="25"/>
      <c r="R168" s="25"/>
      <c r="S168" s="37">
        <f t="shared" si="74"/>
        <v>1</v>
      </c>
      <c r="T168" s="52" t="str">
        <f t="shared" si="75"/>
        <v>Southbound</v>
      </c>
      <c r="U168" s="15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07:08:43-0600',mode:absolute,to:'2016-09-26 09:26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8" s="54" t="str">
        <f t="shared" si="77"/>
        <v>N</v>
      </c>
      <c r="X168" s="164">
        <f t="shared" si="69"/>
        <v>1</v>
      </c>
      <c r="Y168" s="69">
        <f t="shared" si="78"/>
        <v>5.8707000000000003</v>
      </c>
      <c r="Z168" s="69">
        <f t="shared" si="79"/>
        <v>8.2500000000000004E-2</v>
      </c>
      <c r="AA168" s="69">
        <f t="shared" si="80"/>
        <v>5.7882000000000007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81"/>
        <v>0810-26</v>
      </c>
      <c r="AE168" s="95" t="str">
        <f t="shared" si="82"/>
        <v>aws s3 cp s3://rtdc.mdm.uploadarchive/RTDC4030/2016-09-26/ "%USERPROFILE%\AppData\Local\Temp\OnboardLogs"\RTDC4030\2016-09-26 --recursive &amp; "%USERPROFILE%\Documents\GitHub\mrs-test-scripts\Headless Mode &amp; Sideloading\WalkAndUnGZ.bat" "%USERPROFILE%\AppData\Local\Temp\OnboardLogs"\RTDC4030\2016-09-26 &amp; 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</v>
      </c>
      <c r="AF168" s="92" t="str">
        <f t="shared" si="83"/>
        <v>"C:\Program Files (x86)\AstroGrep\AstroGrep.exe" /spath="%USERPROFILE%\AppData\Local\Temp\OnboardLogs" /stypes="app*4030*20160926*" /stext=" 14:.+((SYSTEM_STATE.+slice.+state.+changed )|(ment ac)|(system.+state.+changed )|(\|lc)|(penalty)|(\[timeout)|(PRM\|1\|D)|(kpr)|(kdp))" /e /r /s</v>
      </c>
      <c r="AG168" s="1" t="str">
        <f t="shared" si="84"/>
        <v>NW</v>
      </c>
      <c r="AH168" s="96" t="str">
        <f t="shared" si="70"/>
        <v>"%USERPROFILE%\Documents\GitHub\eaglep3\Utilities\RefineRTDCRunTimes.py" --tripid 810-26 --locoid 4030 --swversion DE.1.0.7.0 --startMP 300:58707 --initTime 2016-09-26T08:08:43 --startdatetime 2016-09-26T08:10:38 --delay 1 --endMP 204:825 --enddatetime 2016-09-26T08:26:20 --enforcementcount 0 &gt;&gt;C:\Users\stu\Documents\GitHub\eaglep3-reporting\EC\2016-09-26-refined-times.txt</v>
      </c>
      <c r="AI168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{"issue":{"subject":"","project_id":79,"tracker_id":40,"status_id":1,"priority_id":2,"assigned_to_id":23,"start_date":"2016-09-26","description":"","custom_fields":[{"id":1,"name":"Subdivision","value":"NW"},{"id":4,"name":"Milepost","value":"0.0825"},{"id":17,"name":"Train ID","value":"810-26"},{"id":16,"name":"Locomotive ID","value":"4030"},{"id":130,"name":"Impact","value":""},{"id":150,"name":"Time of Event (Mountain Time)","value":"08:26:20"},{"id":151,"name":"Denver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615</v>
      </c>
      <c r="B169" s="7">
        <v>4044</v>
      </c>
      <c r="C169" s="24" t="s">
        <v>106</v>
      </c>
      <c r="D169" s="24" t="s">
        <v>616</v>
      </c>
      <c r="E169" s="15">
        <v>42639.345023148147</v>
      </c>
      <c r="F169" s="15">
        <v>42639.348124999997</v>
      </c>
      <c r="G169" s="7">
        <v>1</v>
      </c>
      <c r="H169" s="15" t="s">
        <v>617</v>
      </c>
      <c r="I169" s="15">
        <v>42639.35837962963</v>
      </c>
      <c r="J169" s="7">
        <v>0</v>
      </c>
      <c r="K169" s="117" t="str">
        <f t="shared" si="72"/>
        <v>4043/4044</v>
      </c>
      <c r="L169" s="24" t="str">
        <f>VLOOKUP(A169,'Trips&amp;Operators'!$C$1:$E$10000,3,FALSE)</f>
        <v>ISHMAEL</v>
      </c>
      <c r="M169" s="6">
        <f t="shared" si="73"/>
        <v>1.025462963298196E-2</v>
      </c>
      <c r="N169" s="7">
        <f t="shared" si="85"/>
        <v>14.766666671494022</v>
      </c>
      <c r="O169" s="7"/>
      <c r="P169" s="7"/>
      <c r="Q169" s="25"/>
      <c r="R169" s="25"/>
      <c r="S169" s="37">
        <f t="shared" si="74"/>
        <v>1</v>
      </c>
      <c r="T169" s="52" t="str">
        <f t="shared" si="75"/>
        <v>NorthBound</v>
      </c>
      <c r="U169" s="15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07:16:50-0600',mode:absolute,to:'2016-09-26 09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69" s="54" t="str">
        <f t="shared" si="77"/>
        <v>N</v>
      </c>
      <c r="X169" s="164">
        <f t="shared" si="69"/>
        <v>1</v>
      </c>
      <c r="Y169" s="69">
        <f t="shared" si="78"/>
        <v>9.64E-2</v>
      </c>
      <c r="Z169" s="69">
        <f t="shared" si="79"/>
        <v>5.8928000000000003</v>
      </c>
      <c r="AA169" s="69">
        <f t="shared" si="80"/>
        <v>5.7964000000000002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81"/>
        <v>0811-26</v>
      </c>
      <c r="AE169" s="95" t="str">
        <f t="shared" si="82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169" s="92" t="str">
        <f t="shared" si="83"/>
        <v>"C:\Program Files (x86)\AstroGrep\AstroGrep.exe" /spath="%USERPROFILE%\AppData\Local\Temp\OnboardLogs" /stypes="app*4044*20160926*" /stext=" 14:.+((SYSTEM_STATE.+slice.+state.+changed )|(ment ac)|(system.+state.+changed )|(\|lc)|(penalty)|(\[timeout)|(PRM\|1\|D)|(kpr)|(kdp))" /e /r /s</v>
      </c>
      <c r="AG169" s="1" t="str">
        <f t="shared" si="84"/>
        <v>NW</v>
      </c>
      <c r="AH169" s="96" t="str">
        <f t="shared" si="70"/>
        <v>"%USERPROFILE%\Documents\GitHub\eaglep3\Utilities\RefineRTDCRunTimes.py" --tripid 811-26 --locoid 4044 --swversion DE.1.0.7.0 --startMP 204:964 --initTime 2016-09-26T08:16:50 --startdatetime 2016-09-26T08:21:18 --delay 1 --endMP 300:58928 --enddatetime 2016-09-26T08:36:04 --enforcementcount 0 &gt;&gt;C:\Users\stu\Documents\GitHub\eaglep3-reporting\EC\2016-09-26-refined-times.txt</v>
      </c>
      <c r="AI169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{"issue":{"subject":"","project_id":79,"tracker_id":40,"status_id":1,"priority_id":2,"assigned_to_id":23,"start_date":"2016-09-26","description":"","custom_fields":[{"id":1,"name":"Subdivision","value":"NW"},{"id":4,"name":"Milepost","value":"5.8928"},{"id":17,"name":"Train ID","value":"811-26"},{"id":16,"name":"Locomotive ID","value":"4044"},{"id":130,"name":"Impact","value":""},{"id":150,"name":"Time of Event (Mountain Time)","value":"08:36:04"},{"id":151,"name":"Denver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618</v>
      </c>
      <c r="B170" s="7">
        <v>4043</v>
      </c>
      <c r="C170" s="24" t="s">
        <v>106</v>
      </c>
      <c r="D170" s="24" t="s">
        <v>619</v>
      </c>
      <c r="E170" s="15">
        <v>42639.3593287037</v>
      </c>
      <c r="F170" s="15">
        <v>42639.360844907409</v>
      </c>
      <c r="G170" s="7">
        <v>1</v>
      </c>
      <c r="H170" s="15" t="s">
        <v>620</v>
      </c>
      <c r="I170" s="15">
        <v>42639.372476851851</v>
      </c>
      <c r="J170" s="7">
        <v>0</v>
      </c>
      <c r="K170" s="117" t="str">
        <f t="shared" si="72"/>
        <v>4043/4044</v>
      </c>
      <c r="L170" s="24" t="str">
        <f>VLOOKUP(A170,'Trips&amp;Operators'!$C$1:$E$10000,3,FALSE)</f>
        <v>ISHMAEL</v>
      </c>
      <c r="M170" s="6">
        <f t="shared" si="73"/>
        <v>1.1631944442342501E-2</v>
      </c>
      <c r="N170" s="7">
        <f t="shared" si="85"/>
        <v>16.749999996973202</v>
      </c>
      <c r="O170" s="7"/>
      <c r="P170" s="7"/>
      <c r="Q170" s="25"/>
      <c r="R170" s="25"/>
      <c r="S170" s="37">
        <f t="shared" si="74"/>
        <v>1</v>
      </c>
      <c r="T170" s="52" t="str">
        <f t="shared" si="75"/>
        <v>Southbound</v>
      </c>
      <c r="U170" s="15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07:37:26-0600',mode:absolute,to:'2016-09-26 09:56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0" s="54" t="str">
        <f t="shared" si="77"/>
        <v>N</v>
      </c>
      <c r="X170" s="164">
        <f t="shared" si="69"/>
        <v>1</v>
      </c>
      <c r="Y170" s="69">
        <f t="shared" si="78"/>
        <v>5.8615000000000004</v>
      </c>
      <c r="Z170" s="69">
        <f t="shared" si="79"/>
        <v>7.3400000000000007E-2</v>
      </c>
      <c r="AA170" s="69">
        <f t="shared" si="80"/>
        <v>5.7881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81"/>
        <v>0812-26</v>
      </c>
      <c r="AE170" s="95" t="str">
        <f t="shared" si="82"/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AF170" s="92" t="str">
        <f t="shared" si="83"/>
        <v>"C:\Program Files (x86)\AstroGrep\AstroGrep.exe" /spath="%USERPROFILE%\AppData\Local\Temp\OnboardLogs" /stypes="app*4043*20160926*" /stext=" 14:.+((SYSTEM_STATE.+slice.+state.+changed )|(ment ac)|(system.+state.+changed )|(\|lc)|(penalty)|(\[timeout)|(PRM\|1\|D)|(kpr)|(kdp))" /e /r /s</v>
      </c>
      <c r="AG170" s="1" t="str">
        <f t="shared" si="84"/>
        <v>NW</v>
      </c>
      <c r="AH170" s="96" t="str">
        <f t="shared" si="70"/>
        <v>"%USERPROFILE%\Documents\GitHub\eaglep3\Utilities\RefineRTDCRunTimes.py" --tripid 812-26 --locoid 4043 --swversion DE.1.0.7.0 --startMP 300:58615 --initTime 2016-09-26T08:37:26 --startdatetime 2016-09-26T08:39:37 --delay 1 --endMP 204:734 --enddatetime 2016-09-26T08:56:22 --enforcementcount 0 &gt;&gt;C:\Users\stu\Documents\GitHub\eaglep3-reporting\EC\2016-09-26-refined-times.txt</v>
      </c>
      <c r="AI170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{"issue":{"subject":"","project_id":79,"tracker_id":40,"status_id":1,"priority_id":2,"assigned_to_id":23,"start_date":"2016-09-26","description":"","custom_fields":[{"id":1,"name":"Subdivision","value":"NW"},{"id":4,"name":"Milepost","value":"0.0734"},{"id":17,"name":"Train ID","value":"812-26"},{"id":16,"name":"Locomotive ID","value":"4043"},{"id":130,"name":"Impact","value":""},{"id":150,"name":"Time of Event (Mountain Time)","value":"08:56:22"},{"id":151,"name":"Denver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621</v>
      </c>
      <c r="B171" s="7">
        <v>4044</v>
      </c>
      <c r="C171" s="24" t="s">
        <v>106</v>
      </c>
      <c r="D171" s="24" t="s">
        <v>622</v>
      </c>
      <c r="E171" s="15">
        <v>42639.384756944448</v>
      </c>
      <c r="F171" s="15">
        <v>42639.389780092592</v>
      </c>
      <c r="G171" s="7">
        <v>1</v>
      </c>
      <c r="H171" s="15" t="s">
        <v>623</v>
      </c>
      <c r="I171" s="15">
        <v>42639.396331018521</v>
      </c>
      <c r="J171" s="7">
        <v>0</v>
      </c>
      <c r="K171" s="117" t="str">
        <f t="shared" si="72"/>
        <v>4043/4044</v>
      </c>
      <c r="L171" s="24" t="str">
        <f>VLOOKUP(A171,'Trips&amp;Operators'!$C$1:$E$10000,3,FALSE)</f>
        <v>ISHMAEL</v>
      </c>
      <c r="M171" s="6">
        <f t="shared" si="73"/>
        <v>6.550925929332152E-3</v>
      </c>
      <c r="N171" s="7"/>
      <c r="O171" s="7"/>
      <c r="P171" s="7">
        <f>24*60*SUM($M171:$M171)</f>
        <v>9.4333333382382989</v>
      </c>
      <c r="Q171" s="25"/>
      <c r="R171" s="25" t="s">
        <v>730</v>
      </c>
      <c r="S171" s="37">
        <f t="shared" si="74"/>
        <v>1</v>
      </c>
      <c r="T171" s="52" t="str">
        <f t="shared" si="75"/>
        <v>NorthBound</v>
      </c>
      <c r="U171" s="15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08:14:03-0600',mode:absolute,to:'2016-09-26 10:30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1" s="54" t="str">
        <f t="shared" si="77"/>
        <v>Y</v>
      </c>
      <c r="X171" s="164">
        <f t="shared" ref="X171:X202" si="86">VALUE(LEFT(AD171,4))-VALUE(LEFT(AD170,4))</f>
        <v>1</v>
      </c>
      <c r="Y171" s="69">
        <f t="shared" si="78"/>
        <v>0.1028</v>
      </c>
      <c r="Z171" s="69">
        <f t="shared" si="79"/>
        <v>3.9716</v>
      </c>
      <c r="AA171" s="69">
        <f t="shared" si="80"/>
        <v>3.8688000000000002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81"/>
        <v>0813-26</v>
      </c>
      <c r="AE171" s="95" t="str">
        <f t="shared" si="82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171" s="92" t="str">
        <f t="shared" si="83"/>
        <v>"C:\Program Files (x86)\AstroGrep\AstroGrep.exe" /spath="%USERPROFILE%\AppData\Local\Temp\OnboardLogs" /stypes="app*4044*20160926*" /stext=" 15:.+((SYSTEM_STATE.+slice.+state.+changed )|(ment ac)|(system.+state.+changed )|(\|lc)|(penalty)|(\[timeout)|(PRM\|1\|D)|(kpr)|(kdp))" /e /r /s</v>
      </c>
      <c r="AG171" s="1" t="str">
        <f t="shared" si="84"/>
        <v>NW</v>
      </c>
      <c r="AH171" s="96" t="str">
        <f t="shared" si="70"/>
        <v>"%USERPROFILE%\Documents\GitHub\eaglep3\Utilities\RefineRTDCRunTimes.py" --tripid 813-26 --locoid 4044 --swversion DE.1.0.7.0 --startMP 204:1028 --initTime 2016-09-26T09:14:03 --startdatetime 2016-09-26T09:21:17 --delay 1 --endMP 300:39716 --enddatetime 2016-09-26T09:30:43 --enforcementcount 0 &gt;&gt;C:\Users\stu\Documents\GitHub\eaglep3-reporting\EC\2016-09-26-refined-times.txt</v>
      </c>
      <c r="AI171" s="130" t="str">
        <f t="shared" si="71"/>
        <v>echo {"issue":{"subject":"Track circuit issue caused Pecos 4N to stay stuck at STOP","project_id":79,"tracker_id":40,"status_id":1,"priority_id":2,"assigned_to_id":23,"start_date":"2016-09-26","description":"At ~09:30:30, it seems that Pecos 4N unexpectedly changed to STOP. Do you see anything related to that?","custom_fields":[{"id":1,"name":"Subdivision","value":"NW"},{"id":4,"name":"Milepost","value":"3.9716"},{"id":17,"name":"Train ID","value":"813-26"},{"id":16,"name":"Locomotive ID","value":"4044"},{"id":130,"name":"Impact","value":"Enforcement"},{"id":150,"name":"Time of Event (Mountain Time)","value":"09:30:43"},{"id":151,"name":"Denver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71" s="55" t="s">
        <v>728</v>
      </c>
      <c r="AK171" s="55" t="s">
        <v>138</v>
      </c>
      <c r="AL171" s="55" t="s">
        <v>143</v>
      </c>
    </row>
    <row r="172" spans="1:38" x14ac:dyDescent="0.25">
      <c r="A172" s="39" t="s">
        <v>624</v>
      </c>
      <c r="B172" s="7">
        <v>4043</v>
      </c>
      <c r="C172" s="24" t="s">
        <v>106</v>
      </c>
      <c r="D172" s="24" t="s">
        <v>625</v>
      </c>
      <c r="E172" s="15">
        <v>42639.405057870368</v>
      </c>
      <c r="F172" s="15">
        <v>42639.4065162037</v>
      </c>
      <c r="G172" s="7">
        <v>1</v>
      </c>
      <c r="H172" s="15" t="s">
        <v>626</v>
      </c>
      <c r="I172" s="15">
        <v>42639.417175925926</v>
      </c>
      <c r="J172" s="7">
        <v>0</v>
      </c>
      <c r="K172" s="117" t="str">
        <f t="shared" si="72"/>
        <v>4043/4044</v>
      </c>
      <c r="L172" s="24" t="str">
        <f>VLOOKUP(A172,'Trips&amp;Operators'!$C$1:$E$10000,3,FALSE)</f>
        <v>ISHMAEL</v>
      </c>
      <c r="M172" s="6">
        <f t="shared" si="73"/>
        <v>1.0659722225682344E-2</v>
      </c>
      <c r="N172" s="7">
        <f t="shared" ref="N172:N211" si="87">24*60*SUM($M172:$M172)</f>
        <v>15.350000004982576</v>
      </c>
      <c r="O172" s="7"/>
      <c r="P172" s="7"/>
      <c r="Q172" s="25"/>
      <c r="R172" s="25"/>
      <c r="S172" s="37">
        <f t="shared" si="74"/>
        <v>1</v>
      </c>
      <c r="T172" s="52" t="str">
        <f t="shared" si="75"/>
        <v>Southbound</v>
      </c>
      <c r="U172" s="15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2" t="str">
        <f t="shared" si="76"/>
        <v>https://search-rtdc-monitor-bjffxe2xuh6vdkpspy63sjmuny.us-east-1.es.amazonaws.com/_plugin/kibana/#/discover/Steve-Slow-Train-Analysis-(2080s-and-2083s)?_g=(refreshInterval:(display:Off,section:0,value:0),time:(from:'2016-09-26 08:43:17-0600',mode:absolute,to:'2016-09-26 11:00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2" s="54" t="str">
        <f t="shared" si="77"/>
        <v>N</v>
      </c>
      <c r="X172" s="164">
        <f t="shared" si="86"/>
        <v>1</v>
      </c>
      <c r="Y172" s="69">
        <f t="shared" si="78"/>
        <v>5.8620999999999999</v>
      </c>
      <c r="Z172" s="69">
        <f t="shared" si="79"/>
        <v>6.9599999999999995E-2</v>
      </c>
      <c r="AA172" s="69">
        <f t="shared" si="80"/>
        <v>5.7924999999999995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81"/>
        <v>0814-26</v>
      </c>
      <c r="AE172" s="95" t="str">
        <f t="shared" si="82"/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AF172" s="92" t="str">
        <f t="shared" si="83"/>
        <v>"C:\Program Files (x86)\AstroGrep\AstroGrep.exe" /spath="%USERPROFILE%\AppData\Local\Temp\OnboardLogs" /stypes="app*4043*20160926*" /stext=" 16:.+((SYSTEM_STATE.+slice.+state.+changed )|(ment ac)|(system.+state.+changed )|(\|lc)|(penalty)|(\[timeout)|(PRM\|1\|D)|(kpr)|(kdp))" /e /r /s</v>
      </c>
      <c r="AG172" s="1" t="str">
        <f t="shared" si="84"/>
        <v>NW</v>
      </c>
      <c r="AH172" s="96" t="str">
        <f t="shared" si="70"/>
        <v>"%USERPROFILE%\Documents\GitHub\eaglep3\Utilities\RefineRTDCRunTimes.py" --tripid 814-26 --locoid 4043 --swversion DE.1.0.7.0 --startMP 300:58621 --initTime 2016-09-26T09:43:17 --startdatetime 2016-09-26T09:45:23 --delay 1 --endMP 204:696 --enddatetime 2016-09-26T10:00:44 --enforcementcount 0 &gt;&gt;C:\Users\stu\Documents\GitHub\eaglep3-reporting\EC\2016-09-26-refined-times.txt</v>
      </c>
      <c r="AI172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{"issue":{"subject":"","project_id":79,"tracker_id":40,"status_id":1,"priority_id":2,"assigned_to_id":23,"start_date":"2016-09-26","description":"","custom_fields":[{"id":1,"name":"Subdivision","value":"NW"},{"id":4,"name":"Milepost","value":"0.0696"},{"id":17,"name":"Train ID","value":"814-26"},{"id":16,"name":"Locomotive ID","value":"4043"},{"id":130,"name":"Impact","value":""},{"id":150,"name":"Time of Event (Mountain Time)","value":"10:00:44"},{"id":151,"name":"Denver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627</v>
      </c>
      <c r="B173" s="7">
        <v>4044</v>
      </c>
      <c r="C173" s="24" t="s">
        <v>106</v>
      </c>
      <c r="D173" s="24" t="s">
        <v>628</v>
      </c>
      <c r="E173" s="15">
        <v>42639.427256944444</v>
      </c>
      <c r="F173" s="15">
        <v>42639.431423611109</v>
      </c>
      <c r="G173" s="7">
        <v>1</v>
      </c>
      <c r="H173" s="15" t="s">
        <v>629</v>
      </c>
      <c r="I173" s="15">
        <v>42639.441990740743</v>
      </c>
      <c r="J173" s="7">
        <v>0</v>
      </c>
      <c r="K173" s="117" t="str">
        <f t="shared" ref="K173:K204" si="88">IF(ISEVEN(B173),(B173-1)&amp;"/"&amp;B173,B173&amp;"/"&amp;(B173+1))</f>
        <v>4043/4044</v>
      </c>
      <c r="L173" s="24" t="str">
        <f>VLOOKUP(A173,'Trips&amp;Operators'!$C$1:$E$10000,3,FALSE)</f>
        <v>ISHMAEL</v>
      </c>
      <c r="M173" s="6">
        <f t="shared" ref="M173:M204" si="89">I173-F173</f>
        <v>1.0567129633272998E-2</v>
      </c>
      <c r="N173" s="7">
        <f t="shared" si="87"/>
        <v>15.216666671913117</v>
      </c>
      <c r="O173" s="7"/>
      <c r="P173" s="7"/>
      <c r="Q173" s="25"/>
      <c r="R173" s="25"/>
      <c r="S173" s="37">
        <f t="shared" ref="S173:S204" si="90">SUM(U173:U173)/IF(AG173="EC",12,1)</f>
        <v>1</v>
      </c>
      <c r="T173" s="52" t="str">
        <f t="shared" ref="T173:T204" si="91">IF(ISEVEN(LEFT(AD173,4)),"Southbound","NorthBound")</f>
        <v>NorthBound</v>
      </c>
      <c r="U173" s="15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2" t="str">
        <f t="shared" ref="V173:V204" si="92"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https://search-rtdc-monitor-bjffxe2xuh6vdkpspy63sjmuny.us-east-1.es.amazonaws.com/_plugin/kibana/#/discover/Steve-Slow-Train-Analysis-(2080s-and-2083s)?_g=(refreshInterval:(display:Off,section:0,value:0),time:(from:'2016-09-26 09:15:15-0600',mode:absolute,to:'2016-09-26 11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3" s="54" t="str">
        <f t="shared" ref="W173:W204" si="93">IF(AA173&lt;IF(AG173="EC",23,5.65),"Y","N")</f>
        <v>N</v>
      </c>
      <c r="X173" s="164">
        <f t="shared" si="86"/>
        <v>1</v>
      </c>
      <c r="Y173" s="69">
        <f t="shared" ref="Y173:Y204" si="94">RIGHT(D173,LEN(D173)-4)/10000</f>
        <v>9.8599999999999993E-2</v>
      </c>
      <c r="Z173" s="69">
        <f t="shared" ref="Z173:Z204" si="95">RIGHT(H173,LEN(H173)-4)/10000</f>
        <v>5.8925999999999998</v>
      </c>
      <c r="AA173" s="69">
        <f t="shared" ref="AA173:AA204" si="96">ABS(Z173-Y173)</f>
        <v>5.7939999999999996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ref="AD173:AD204" si="97">IF(LEN(A173)=6,"0"&amp;A173,A173)</f>
        <v>0815-26</v>
      </c>
      <c r="AE173" s="95" t="str">
        <f t="shared" ref="AE173:AE204" si="98"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173" s="92" t="str">
        <f t="shared" ref="AF173:AF204" si="99"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/stypes="app*4044*20160926*" /stext=" 16:.+((SYSTEM_STATE.+slice.+state.+changed )|(ment ac)|(system.+state.+changed )|(\|lc)|(penalty)|(\[timeout)|(PRM\|1\|D)|(kpr)|(kdp))" /e /r /s</v>
      </c>
      <c r="AG173" s="1" t="str">
        <f t="shared" ref="AG173:AG204" si="100">IFERROR(IF(VALUE(LEFT(AD173,2))&lt;=2,"EC",IF(OR(VALUE(LEFT(AD173,2))=8,VALUE(LEFT(AD173,2))=18),"NW","Other")),"Other")</f>
        <v>NW</v>
      </c>
      <c r="AH173" s="96" t="str">
        <f t="shared" si="70"/>
        <v>"%USERPROFILE%\Documents\GitHub\eaglep3\Utilities\RefineRTDCRunTimes.py" --tripid 815-26 --locoid 4044 --swversion DE.1.0.7.0 --startMP 204:986 --initTime 2016-09-26T10:15:15 --startdatetime 2016-09-26T10:21:15 --delay 1 --endMP 300:58926 --enddatetime 2016-09-26T10:36:28 --enforcementcount 0 &gt;&gt;C:\Users\stu\Documents\GitHub\eaglep3-reporting\EC\2016-09-26-refined-times.txt</v>
      </c>
      <c r="AI173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{"issue":{"subject":"","project_id":79,"tracker_id":40,"status_id":1,"priority_id":2,"assigned_to_id":23,"start_date":"2016-09-26","description":"","custom_fields":[{"id":1,"name":"Subdivision","value":"NW"},{"id":4,"name":"Milepost","value":"5.8926"},{"id":17,"name":"Train ID","value":"815-26"},{"id":16,"name":"Locomotive ID","value":"4044"},{"id":130,"name":"Impact","value":""},{"id":150,"name":"Time of Event (Mountain Time)","value":"10:36:28"},{"id":151,"name":"Denver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630</v>
      </c>
      <c r="B174" s="7">
        <v>4043</v>
      </c>
      <c r="C174" s="24" t="s">
        <v>106</v>
      </c>
      <c r="D174" s="24" t="s">
        <v>631</v>
      </c>
      <c r="E174" s="15">
        <v>42639.442685185182</v>
      </c>
      <c r="F174" s="15">
        <v>42639.44394675926</v>
      </c>
      <c r="G174" s="7">
        <v>1</v>
      </c>
      <c r="H174" s="15" t="s">
        <v>632</v>
      </c>
      <c r="I174" s="15">
        <v>42639.45553240741</v>
      </c>
      <c r="J174" s="7">
        <v>0</v>
      </c>
      <c r="K174" s="117" t="str">
        <f t="shared" si="88"/>
        <v>4043/4044</v>
      </c>
      <c r="L174" s="24" t="str">
        <f>VLOOKUP(A174,'Trips&amp;Operators'!$C$1:$E$10000,3,FALSE)</f>
        <v>ISHMAEL</v>
      </c>
      <c r="M174" s="6">
        <f t="shared" si="89"/>
        <v>1.1585648149775807E-2</v>
      </c>
      <c r="N174" s="7">
        <f t="shared" si="87"/>
        <v>16.683333335677162</v>
      </c>
      <c r="O174" s="7"/>
      <c r="P174" s="7"/>
      <c r="Q174" s="25"/>
      <c r="R174" s="25"/>
      <c r="S174" s="37">
        <f t="shared" si="90"/>
        <v>1</v>
      </c>
      <c r="T174" s="52" t="str">
        <f t="shared" si="91"/>
        <v>Southbound</v>
      </c>
      <c r="U174" s="15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09:37:28-0600',mode:absolute,to:'2016-09-26 11:55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4" s="54" t="str">
        <f t="shared" si="93"/>
        <v>N</v>
      </c>
      <c r="X174" s="164">
        <f t="shared" si="86"/>
        <v>1</v>
      </c>
      <c r="Y174" s="69">
        <f t="shared" si="94"/>
        <v>5.8601999999999999</v>
      </c>
      <c r="Z174" s="69">
        <f t="shared" si="95"/>
        <v>7.0300000000000001E-2</v>
      </c>
      <c r="AA174" s="69">
        <f t="shared" si="96"/>
        <v>5.7899000000000003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97"/>
        <v>0816-26</v>
      </c>
      <c r="AE174" s="95" t="str">
        <f t="shared" si="98"/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AF174" s="92" t="str">
        <f t="shared" si="99"/>
        <v>"C:\Program Files (x86)\AstroGrep\AstroGrep.exe" /spath="%USERPROFILE%\AppData\Local\Temp\OnboardLogs" /stypes="app*4043*20160926*" /stext=" 16:.+((SYSTEM_STATE.+slice.+state.+changed )|(ment ac)|(system.+state.+changed )|(\|lc)|(penalty)|(\[timeout)|(PRM\|1\|D)|(kpr)|(kdp))" /e /r /s</v>
      </c>
      <c r="AG174" s="1" t="str">
        <f t="shared" si="100"/>
        <v>NW</v>
      </c>
      <c r="AH174" s="96" t="str">
        <f t="shared" si="70"/>
        <v>"%USERPROFILE%\Documents\GitHub\eaglep3\Utilities\RefineRTDCRunTimes.py" --tripid 816-26 --locoid 4043 --swversion DE.1.0.7.0 --startMP 300:58602 --initTime 2016-09-26T10:37:28 --startdatetime 2016-09-26T10:39:17 --delay 1 --endMP 204:703 --enddatetime 2016-09-26T10:55:58 --enforcementcount 0 &gt;&gt;C:\Users\stu\Documents\GitHub\eaglep3-reporting\EC\2016-09-26-refined-times.txt</v>
      </c>
      <c r="AI174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{"issue":{"subject":"","project_id":79,"tracker_id":40,"status_id":1,"priority_id":2,"assigned_to_id":23,"start_date":"2016-09-26","description":"","custom_fields":[{"id":1,"name":"Subdivision","value":"NW"},{"id":4,"name":"Milepost","value":"0.0703"},{"id":17,"name":"Train ID","value":"816-26"},{"id":16,"name":"Locomotive ID","value":"4043"},{"id":130,"name":"Impact","value":""},{"id":150,"name":"Time of Event (Mountain Time)","value":"10:55:58"},{"id":151,"name":"Denver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633</v>
      </c>
      <c r="B175" s="7">
        <v>4044</v>
      </c>
      <c r="C175" s="24" t="s">
        <v>106</v>
      </c>
      <c r="D175" s="24" t="s">
        <v>634</v>
      </c>
      <c r="E175" s="15">
        <v>42639.465868055559</v>
      </c>
      <c r="F175" s="15">
        <v>42639.47314814815</v>
      </c>
      <c r="G175" s="7">
        <v>1</v>
      </c>
      <c r="H175" s="15" t="s">
        <v>635</v>
      </c>
      <c r="I175" s="15">
        <v>42639.485555555555</v>
      </c>
      <c r="J175" s="7">
        <v>0</v>
      </c>
      <c r="K175" s="117" t="str">
        <f t="shared" si="88"/>
        <v>4043/4044</v>
      </c>
      <c r="L175" s="24" t="str">
        <f>VLOOKUP(A175,'Trips&amp;Operators'!$C$1:$E$10000,3,FALSE)</f>
        <v>ISHMAEL</v>
      </c>
      <c r="M175" s="6">
        <f t="shared" si="89"/>
        <v>1.2407407404680271E-2</v>
      </c>
      <c r="N175" s="7">
        <f t="shared" si="87"/>
        <v>17.86666666273959</v>
      </c>
      <c r="O175" s="7"/>
      <c r="P175" s="7"/>
      <c r="Q175" s="25"/>
      <c r="R175" s="25"/>
      <c r="S175" s="37">
        <f t="shared" si="90"/>
        <v>1</v>
      </c>
      <c r="T175" s="52" t="str">
        <f t="shared" si="91"/>
        <v>NorthBound</v>
      </c>
      <c r="U175" s="15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10:10:51-0600',mode:absolute,to:'2016-09-26 12:39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5" s="54" t="str">
        <f t="shared" si="93"/>
        <v>N</v>
      </c>
      <c r="X175" s="164">
        <f t="shared" si="86"/>
        <v>1</v>
      </c>
      <c r="Y175" s="69">
        <f t="shared" si="94"/>
        <v>9.8799999999999999E-2</v>
      </c>
      <c r="Z175" s="69">
        <f t="shared" si="95"/>
        <v>5.8944000000000001</v>
      </c>
      <c r="AA175" s="69">
        <f t="shared" si="96"/>
        <v>5.7956000000000003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97"/>
        <v>0817-26</v>
      </c>
      <c r="AE175" s="95" t="str">
        <f t="shared" si="98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175" s="92" t="str">
        <f t="shared" si="99"/>
        <v>"C:\Program Files (x86)\AstroGrep\AstroGrep.exe" /spath="%USERPROFILE%\AppData\Local\Temp\OnboardLogs" /stypes="app*4044*20160926*" /stext=" 17:.+((SYSTEM_STATE.+slice.+state.+changed )|(ment ac)|(system.+state.+changed )|(\|lc)|(penalty)|(\[timeout)|(PRM\|1\|D)|(kpr)|(kdp))" /e /r /s</v>
      </c>
      <c r="AG175" s="1" t="str">
        <f t="shared" si="100"/>
        <v>NW</v>
      </c>
      <c r="AH175" s="96" t="str">
        <f t="shared" si="70"/>
        <v>"%USERPROFILE%\Documents\GitHub\eaglep3\Utilities\RefineRTDCRunTimes.py" --tripid 817-26 --locoid 4044 --swversion DE.1.0.7.0 --startMP 204:988 --initTime 2016-09-26T11:10:51 --startdatetime 2016-09-26T11:21:20 --delay 1 --endMP 300:58944 --enddatetime 2016-09-26T11:39:12 --enforcementcount 0 &gt;&gt;C:\Users\stu\Documents\GitHub\eaglep3-reporting\EC\2016-09-26-refined-times.txt</v>
      </c>
      <c r="AI175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{"issue":{"subject":"","project_id":79,"tracker_id":40,"status_id":1,"priority_id":2,"assigned_to_id":23,"start_date":"2016-09-26","description":"","custom_fields":[{"id":1,"name":"Subdivision","value":"NW"},{"id":4,"name":"Milepost","value":"5.8944"},{"id":17,"name":"Train ID","value":"817-26"},{"id":16,"name":"Locomotive ID","value":"4044"},{"id":130,"name":"Impact","value":""},{"id":150,"name":"Time of Event (Mountain Time)","value":"11:39:12"},{"id":151,"name":"Denver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636</v>
      </c>
      <c r="B176" s="7">
        <v>4043</v>
      </c>
      <c r="C176" s="24" t="s">
        <v>106</v>
      </c>
      <c r="D176" s="24" t="s">
        <v>608</v>
      </c>
      <c r="E176" s="15">
        <v>42639.487013888887</v>
      </c>
      <c r="F176" s="15">
        <v>42639.488564814812</v>
      </c>
      <c r="G176" s="7">
        <v>1</v>
      </c>
      <c r="H176" s="15" t="s">
        <v>637</v>
      </c>
      <c r="I176" s="15">
        <v>42639.499745370369</v>
      </c>
      <c r="J176" s="7">
        <v>0</v>
      </c>
      <c r="K176" s="117" t="str">
        <f t="shared" si="88"/>
        <v>4043/4044</v>
      </c>
      <c r="L176" s="24" t="str">
        <f>VLOOKUP(A176,'Trips&amp;Operators'!$C$1:$E$10000,3,FALSE)</f>
        <v>ISHMAEL</v>
      </c>
      <c r="M176" s="6">
        <f t="shared" si="89"/>
        <v>1.1180555557075422E-2</v>
      </c>
      <c r="N176" s="7">
        <f t="shared" si="87"/>
        <v>16.100000002188608</v>
      </c>
      <c r="O176" s="7"/>
      <c r="P176" s="7"/>
      <c r="Q176" s="25"/>
      <c r="R176" s="25"/>
      <c r="S176" s="37">
        <f t="shared" si="90"/>
        <v>1</v>
      </c>
      <c r="T176" s="52" t="str">
        <f t="shared" si="91"/>
        <v>Southbound</v>
      </c>
      <c r="U176" s="15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10:41:18-0600',mode:absolute,to:'2016-09-26 12:59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6" s="54" t="str">
        <f t="shared" si="93"/>
        <v>N</v>
      </c>
      <c r="X176" s="164">
        <f t="shared" si="86"/>
        <v>1</v>
      </c>
      <c r="Y176" s="69">
        <f t="shared" si="94"/>
        <v>5.8608000000000002</v>
      </c>
      <c r="Z176" s="69">
        <f t="shared" si="95"/>
        <v>7.4499999999999997E-2</v>
      </c>
      <c r="AA176" s="69">
        <f t="shared" si="96"/>
        <v>5.7863000000000007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97"/>
        <v>0818-26</v>
      </c>
      <c r="AE176" s="95" t="str">
        <f t="shared" si="98"/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AF176" s="92" t="str">
        <f t="shared" si="99"/>
        <v>"C:\Program Files (x86)\AstroGrep\AstroGrep.exe" /spath="%USERPROFILE%\AppData\Local\Temp\OnboardLogs" /stypes="app*4043*20160926*" /stext=" 17:.+((SYSTEM_STATE.+slice.+state.+changed )|(ment ac)|(system.+state.+changed )|(\|lc)|(penalty)|(\[timeout)|(PRM\|1\|D)|(kpr)|(kdp))" /e /r /s</v>
      </c>
      <c r="AG176" s="1" t="str">
        <f t="shared" si="100"/>
        <v>NW</v>
      </c>
      <c r="AH176" s="96" t="str">
        <f t="shared" si="70"/>
        <v>"%USERPROFILE%\Documents\GitHub\eaglep3\Utilities\RefineRTDCRunTimes.py" --tripid 818-26 --locoid 4043 --swversion DE.1.0.7.0 --startMP 300:58608 --initTime 2016-09-26T11:41:18 --startdatetime 2016-09-26T11:43:32 --delay 1 --endMP 204:745 --enddatetime 2016-09-26T11:59:38 --enforcementcount 0 &gt;&gt;C:\Users\stu\Documents\GitHub\eaglep3-reporting\EC\2016-09-26-refined-times.txt</v>
      </c>
      <c r="AI176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{"issue":{"subject":"","project_id":79,"tracker_id":40,"status_id":1,"priority_id":2,"assigned_to_id":23,"start_date":"2016-09-26","description":"","custom_fields":[{"id":1,"name":"Subdivision","value":"NW"},{"id":4,"name":"Milepost","value":"0.0745"},{"id":17,"name":"Train ID","value":"818-26"},{"id":16,"name":"Locomotive ID","value":"4043"},{"id":130,"name":"Impact","value":""},{"id":150,"name":"Time of Event (Mountain Time)","value":"11:59:38"},{"id":151,"name":"Denver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638</v>
      </c>
      <c r="B177" s="7">
        <v>4044</v>
      </c>
      <c r="C177" s="24" t="s">
        <v>106</v>
      </c>
      <c r="D177" s="24" t="s">
        <v>639</v>
      </c>
      <c r="E177" s="15">
        <v>42639.508067129631</v>
      </c>
      <c r="F177" s="15">
        <v>42639.514791666668</v>
      </c>
      <c r="G177" s="7">
        <v>1</v>
      </c>
      <c r="H177" s="15" t="s">
        <v>640</v>
      </c>
      <c r="I177" s="15">
        <v>42639.525347222225</v>
      </c>
      <c r="J177" s="7">
        <v>0</v>
      </c>
      <c r="K177" s="117" t="str">
        <f t="shared" si="88"/>
        <v>4043/4044</v>
      </c>
      <c r="L177" s="24" t="str">
        <f>VLOOKUP(A177,'Trips&amp;Operators'!$C$1:$E$10000,3,FALSE)</f>
        <v>ISHMAEL</v>
      </c>
      <c r="M177" s="6">
        <f t="shared" si="89"/>
        <v>1.0555555556493346E-2</v>
      </c>
      <c r="N177" s="7">
        <f t="shared" si="87"/>
        <v>15.200000001350418</v>
      </c>
      <c r="O177" s="7"/>
      <c r="P177" s="7"/>
      <c r="Q177" s="25"/>
      <c r="R177" s="25"/>
      <c r="S177" s="37">
        <f t="shared" si="90"/>
        <v>1</v>
      </c>
      <c r="T177" s="52" t="str">
        <f t="shared" si="91"/>
        <v>NorthBound</v>
      </c>
      <c r="U177" s="15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11:11:37-0600',mode:absolute,to:'2016-09-26 13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7" s="54" t="str">
        <f t="shared" si="93"/>
        <v>N</v>
      </c>
      <c r="X177" s="164">
        <f t="shared" si="86"/>
        <v>1</v>
      </c>
      <c r="Y177" s="69">
        <f t="shared" si="94"/>
        <v>0.1021</v>
      </c>
      <c r="Z177" s="69">
        <f t="shared" si="95"/>
        <v>5.8924000000000003</v>
      </c>
      <c r="AA177" s="69">
        <f t="shared" si="96"/>
        <v>5.7903000000000002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97"/>
        <v>0819-26</v>
      </c>
      <c r="AE177" s="95" t="str">
        <f t="shared" si="98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177" s="92" t="str">
        <f t="shared" si="99"/>
        <v>"C:\Program Files (x86)\AstroGrep\AstroGrep.exe" /spath="%USERPROFILE%\AppData\Local\Temp\OnboardLogs" /stypes="app*4044*20160926*" /stext=" 18:.+((SYSTEM_STATE.+slice.+state.+changed )|(ment ac)|(system.+state.+changed )|(\|lc)|(penalty)|(\[timeout)|(PRM\|1\|D)|(kpr)|(kdp))" /e /r /s</v>
      </c>
      <c r="AG177" s="1" t="str">
        <f t="shared" si="100"/>
        <v>NW</v>
      </c>
      <c r="AH177" s="96" t="str">
        <f t="shared" si="70"/>
        <v>"%USERPROFILE%\Documents\GitHub\eaglep3\Utilities\RefineRTDCRunTimes.py" --tripid 819-26 --locoid 4044 --swversion DE.1.0.7.0 --startMP 204:1021 --initTime 2016-09-26T12:11:37 --startdatetime 2016-09-26T12:21:18 --delay 1 --endMP 300:58924 --enddatetime 2016-09-26T12:36:30 --enforcementcount 0 &gt;&gt;C:\Users\stu\Documents\GitHub\eaglep3-reporting\EC\2016-09-26-refined-times.txt</v>
      </c>
      <c r="AI177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{"issue":{"subject":"","project_id":79,"tracker_id":40,"status_id":1,"priority_id":2,"assigned_to_id":23,"start_date":"2016-09-26","description":"","custom_fields":[{"id":1,"name":"Subdivision","value":"NW"},{"id":4,"name":"Milepost","value":"5.8924"},{"id":17,"name":"Train ID","value":"819-26"},{"id":16,"name":"Locomotive ID","value":"4044"},{"id":130,"name":"Impact","value":""},{"id":150,"name":"Time of Event (Mountain Time)","value":"12:36:30"},{"id":151,"name":"Denver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641</v>
      </c>
      <c r="B178" s="7">
        <v>4043</v>
      </c>
      <c r="C178" s="24" t="s">
        <v>106</v>
      </c>
      <c r="D178" s="24" t="s">
        <v>642</v>
      </c>
      <c r="E178" s="15">
        <v>42639.526296296295</v>
      </c>
      <c r="F178" s="15">
        <v>42639.527673611112</v>
      </c>
      <c r="G178" s="7">
        <v>1</v>
      </c>
      <c r="H178" s="15" t="s">
        <v>643</v>
      </c>
      <c r="I178" s="15">
        <v>42639.541168981479</v>
      </c>
      <c r="J178" s="7">
        <v>0</v>
      </c>
      <c r="K178" s="117" t="str">
        <f t="shared" si="88"/>
        <v>4043/4044</v>
      </c>
      <c r="L178" s="24" t="str">
        <f>VLOOKUP(A178,'Trips&amp;Operators'!$C$1:$E$10000,3,FALSE)</f>
        <v>ISHMAEL</v>
      </c>
      <c r="M178" s="6">
        <f t="shared" si="89"/>
        <v>1.3495370367309079E-2</v>
      </c>
      <c r="N178" s="7">
        <f t="shared" si="87"/>
        <v>19.433333328925073</v>
      </c>
      <c r="O178" s="7"/>
      <c r="P178" s="7"/>
      <c r="Q178" s="25"/>
      <c r="R178" s="25"/>
      <c r="S178" s="37">
        <f t="shared" si="90"/>
        <v>1</v>
      </c>
      <c r="T178" s="52" t="str">
        <f t="shared" si="91"/>
        <v>Southbound</v>
      </c>
      <c r="U178" s="15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11:37:52-0600',mode:absolute,to:'2016-09-26 13:59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8" s="54" t="str">
        <f t="shared" si="93"/>
        <v>N</v>
      </c>
      <c r="X178" s="164">
        <f t="shared" si="86"/>
        <v>1</v>
      </c>
      <c r="Y178" s="69">
        <f t="shared" si="94"/>
        <v>5.8609</v>
      </c>
      <c r="Z178" s="69">
        <f t="shared" si="95"/>
        <v>6.9900000000000004E-2</v>
      </c>
      <c r="AA178" s="69">
        <f t="shared" si="96"/>
        <v>5.7910000000000004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97"/>
        <v>0820-26</v>
      </c>
      <c r="AE178" s="95" t="str">
        <f t="shared" si="98"/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AF178" s="92" t="str">
        <f t="shared" si="99"/>
        <v>"C:\Program Files (x86)\AstroGrep\AstroGrep.exe" /spath="%USERPROFILE%\AppData\Local\Temp\OnboardLogs" /stypes="app*4043*20160926*" /stext=" 18:.+((SYSTEM_STATE.+slice.+state.+changed )|(ment ac)|(system.+state.+changed )|(\|lc)|(penalty)|(\[timeout)|(PRM\|1\|D)|(kpr)|(kdp))" /e /r /s</v>
      </c>
      <c r="AG178" s="1" t="str">
        <f t="shared" si="100"/>
        <v>NW</v>
      </c>
      <c r="AH178" s="96" t="str">
        <f t="shared" si="70"/>
        <v>"%USERPROFILE%\Documents\GitHub\eaglep3\Utilities\RefineRTDCRunTimes.py" --tripid 820-26 --locoid 4043 --swversion DE.1.0.7.0 --startMP 300:58609 --initTime 2016-09-26T12:37:52 --startdatetime 2016-09-26T12:39:51 --delay 1 --endMP 204:699 --enddatetime 2016-09-26T12:59:17 --enforcementcount 0 &gt;&gt;C:\Users\stu\Documents\GitHub\eaglep3-reporting\EC\2016-09-26-refined-times.txt</v>
      </c>
      <c r="AI178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{"issue":{"subject":"","project_id":79,"tracker_id":40,"status_id":1,"priority_id":2,"assigned_to_id":23,"start_date":"2016-09-26","description":"","custom_fields":[{"id":1,"name":"Subdivision","value":"NW"},{"id":4,"name":"Milepost","value":"0.0699"},{"id":17,"name":"Train ID","value":"820-26"},{"id":16,"name":"Locomotive ID","value":"4043"},{"id":130,"name":"Impact","value":""},{"id":150,"name":"Time of Event (Mountain Time)","value":"12:59:17"},{"id":151,"name":"Denver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644</v>
      </c>
      <c r="B179" s="7">
        <v>4044</v>
      </c>
      <c r="C179" s="24" t="s">
        <v>106</v>
      </c>
      <c r="D179" s="24" t="s">
        <v>645</v>
      </c>
      <c r="E179" s="15">
        <v>42639.548113425924</v>
      </c>
      <c r="F179" s="15">
        <v>42639.556527777779</v>
      </c>
      <c r="G179" s="7">
        <v>2</v>
      </c>
      <c r="H179" s="15" t="s">
        <v>646</v>
      </c>
      <c r="I179" s="15">
        <v>42639.56621527778</v>
      </c>
      <c r="J179" s="7">
        <v>0</v>
      </c>
      <c r="K179" s="117" t="str">
        <f t="shared" si="88"/>
        <v>4043/4044</v>
      </c>
      <c r="L179" s="24" t="str">
        <f>VLOOKUP(A179,'Trips&amp;Operators'!$C$1:$E$10000,3,FALSE)</f>
        <v>BRUDER</v>
      </c>
      <c r="M179" s="6">
        <f t="shared" si="89"/>
        <v>9.6875000017462298E-3</v>
      </c>
      <c r="N179" s="7">
        <f t="shared" si="87"/>
        <v>13.950000002514571</v>
      </c>
      <c r="O179" s="7"/>
      <c r="P179" s="7"/>
      <c r="Q179" s="25"/>
      <c r="R179" s="25"/>
      <c r="S179" s="37">
        <f t="shared" si="90"/>
        <v>1</v>
      </c>
      <c r="T179" s="52" t="str">
        <f t="shared" si="91"/>
        <v>NorthBound</v>
      </c>
      <c r="U179" s="15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12:09:17-0600',mode:absolute,to:'2016-09-26 14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9" s="54" t="str">
        <f t="shared" si="93"/>
        <v>N</v>
      </c>
      <c r="X179" s="164">
        <f t="shared" si="86"/>
        <v>1</v>
      </c>
      <c r="Y179" s="69">
        <f t="shared" si="94"/>
        <v>9.9900000000000003E-2</v>
      </c>
      <c r="Z179" s="69">
        <f t="shared" si="95"/>
        <v>5.8963000000000001</v>
      </c>
      <c r="AA179" s="69">
        <f t="shared" si="96"/>
        <v>5.7964000000000002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97"/>
        <v>0821-26</v>
      </c>
      <c r="AE179" s="95" t="str">
        <f t="shared" si="98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179" s="92" t="str">
        <f t="shared" si="99"/>
        <v>"C:\Program Files (x86)\AstroGrep\AstroGrep.exe" /spath="%USERPROFILE%\AppData\Local\Temp\OnboardLogs" /stypes="app*4044*20160926*" /stext=" 19:.+((SYSTEM_STATE.+slice.+state.+changed )|(ment ac)|(system.+state.+changed )|(\|lc)|(penalty)|(\[timeout)|(PRM\|1\|D)|(kpr)|(kdp))" /e /r /s</v>
      </c>
      <c r="AG179" s="1" t="str">
        <f t="shared" si="100"/>
        <v>NW</v>
      </c>
      <c r="AH179" s="96" t="str">
        <f t="shared" si="70"/>
        <v>"%USERPROFILE%\Documents\GitHub\eaglep3\Utilities\RefineRTDCRunTimes.py" --tripid 821-26 --locoid 4044 --swversion DE.1.0.7.0 --startMP 204:999 --initTime 2016-09-26T13:09:17 --startdatetime 2016-09-26T13:21:24 --delay 2 --endMP 300:58963 --enddatetime 2016-09-26T13:35:21 --enforcementcount 0 &gt;&gt;C:\Users\stu\Documents\GitHub\eaglep3-reporting\EC\2016-09-26-refined-times.txt</v>
      </c>
      <c r="AI179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{"issue":{"subject":"","project_id":79,"tracker_id":40,"status_id":1,"priority_id":2,"assigned_to_id":23,"start_date":"2016-09-26","description":"","custom_fields":[{"id":1,"name":"Subdivision","value":"NW"},{"id":4,"name":"Milepost","value":"5.8963"},{"id":17,"name":"Train ID","value":"821-26"},{"id":16,"name":"Locomotive ID","value":"4044"},{"id":130,"name":"Impact","value":""},{"id":150,"name":"Time of Event (Mountain Time)","value":"13:35:21"},{"id":151,"name":"Denver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647</v>
      </c>
      <c r="B180" s="7">
        <v>4043</v>
      </c>
      <c r="C180" s="24" t="s">
        <v>106</v>
      </c>
      <c r="D180" s="24" t="s">
        <v>648</v>
      </c>
      <c r="E180" s="15">
        <v>42639.56790509259</v>
      </c>
      <c r="F180" s="15">
        <v>42639.570115740738</v>
      </c>
      <c r="G180" s="7">
        <v>2</v>
      </c>
      <c r="H180" s="15" t="s">
        <v>649</v>
      </c>
      <c r="I180" s="15">
        <v>42639.579652777778</v>
      </c>
      <c r="J180" s="7">
        <v>0</v>
      </c>
      <c r="K180" s="117" t="str">
        <f t="shared" si="88"/>
        <v>4043/4044</v>
      </c>
      <c r="L180" s="24" t="str">
        <f>VLOOKUP(A180,'Trips&amp;Operators'!$C$1:$E$10000,3,FALSE)</f>
        <v>BRUDER</v>
      </c>
      <c r="M180" s="6">
        <f t="shared" si="89"/>
        <v>9.5370370399905369E-3</v>
      </c>
      <c r="N180" s="7">
        <f t="shared" si="87"/>
        <v>13.733333337586373</v>
      </c>
      <c r="O180" s="7"/>
      <c r="P180" s="7"/>
      <c r="Q180" s="25"/>
      <c r="R180" s="25"/>
      <c r="S180" s="37">
        <f t="shared" si="90"/>
        <v>1</v>
      </c>
      <c r="T180" s="52" t="str">
        <f t="shared" si="91"/>
        <v>Southbound</v>
      </c>
      <c r="U180" s="15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12:37:47-0600',mode:absolute,to:'2016-09-26 14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0" s="54" t="str">
        <f t="shared" si="93"/>
        <v>N</v>
      </c>
      <c r="X180" s="164">
        <f t="shared" si="86"/>
        <v>1</v>
      </c>
      <c r="Y180" s="69">
        <f t="shared" si="94"/>
        <v>5.8643000000000001</v>
      </c>
      <c r="Z180" s="69">
        <f t="shared" si="95"/>
        <v>6.7699999999999996E-2</v>
      </c>
      <c r="AA180" s="69">
        <f t="shared" si="96"/>
        <v>5.7965999999999998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97"/>
        <v>0822-26</v>
      </c>
      <c r="AE180" s="95" t="str">
        <f t="shared" si="98"/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AF180" s="92" t="str">
        <f t="shared" si="99"/>
        <v>"C:\Program Files (x86)\AstroGrep\AstroGrep.exe" /spath="%USERPROFILE%\AppData\Local\Temp\OnboardLogs" /stypes="app*4043*20160926*" /stext=" 19:.+((SYSTEM_STATE.+slice.+state.+changed )|(ment ac)|(system.+state.+changed )|(\|lc)|(penalty)|(\[timeout)|(PRM\|1\|D)|(kpr)|(kdp))" /e /r /s</v>
      </c>
      <c r="AG180" s="1" t="str">
        <f t="shared" si="100"/>
        <v>NW</v>
      </c>
      <c r="AH180" s="96" t="str">
        <f t="shared" si="70"/>
        <v>"%USERPROFILE%\Documents\GitHub\eaglep3\Utilities\RefineRTDCRunTimes.py" --tripid 822-26 --locoid 4043 --swversion DE.1.0.7.0 --startMP 300:58643 --initTime 2016-09-26T13:37:47 --startdatetime 2016-09-26T13:40:58 --delay 2 --endMP 204:677 --enddatetime 2016-09-26T13:54:42 --enforcementcount 0 &gt;&gt;C:\Users\stu\Documents\GitHub\eaglep3-reporting\EC\2016-09-26-refined-times.txt</v>
      </c>
      <c r="AI180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{"issue":{"subject":"","project_id":79,"tracker_id":40,"status_id":1,"priority_id":2,"assigned_to_id":23,"start_date":"2016-09-26","description":"","custom_fields":[{"id":1,"name":"Subdivision","value":"NW"},{"id":4,"name":"Milepost","value":"0.0677"},{"id":17,"name":"Train ID","value":"822-26"},{"id":16,"name":"Locomotive ID","value":"4043"},{"id":130,"name":"Impact","value":""},{"id":150,"name":"Time of Event (Mountain Time)","value":"13:54:42"},{"id":151,"name":"Denver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650</v>
      </c>
      <c r="B181" s="7">
        <v>4044</v>
      </c>
      <c r="C181" s="24" t="s">
        <v>106</v>
      </c>
      <c r="D181" s="24" t="s">
        <v>651</v>
      </c>
      <c r="E181" s="15">
        <v>42639.593599537038</v>
      </c>
      <c r="F181" s="15">
        <v>42639.59814814815</v>
      </c>
      <c r="G181" s="7">
        <v>1</v>
      </c>
      <c r="H181" s="15" t="s">
        <v>652</v>
      </c>
      <c r="I181" s="15">
        <v>42639.607881944445</v>
      </c>
      <c r="J181" s="7">
        <v>0</v>
      </c>
      <c r="K181" s="117" t="str">
        <f t="shared" si="88"/>
        <v>4043/4044</v>
      </c>
      <c r="L181" s="24" t="str">
        <f>VLOOKUP(A181,'Trips&amp;Operators'!$C$1:$E$10000,3,FALSE)</f>
        <v>BRUDER</v>
      </c>
      <c r="M181" s="6">
        <f t="shared" si="89"/>
        <v>9.7337962943129241E-3</v>
      </c>
      <c r="N181" s="7">
        <f t="shared" si="87"/>
        <v>14.016666663810611</v>
      </c>
      <c r="O181" s="7"/>
      <c r="P181" s="7"/>
      <c r="Q181" s="25"/>
      <c r="R181" s="25"/>
      <c r="S181" s="37">
        <f t="shared" si="90"/>
        <v>1</v>
      </c>
      <c r="T181" s="52" t="str">
        <f t="shared" si="91"/>
        <v>NorthBound</v>
      </c>
      <c r="U181" s="15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13:14:47-0600',mode:absolute,to:'2016-09-26 15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81" s="54" t="str">
        <f t="shared" si="93"/>
        <v>N</v>
      </c>
      <c r="X181" s="164">
        <f t="shared" si="86"/>
        <v>1</v>
      </c>
      <c r="Y181" s="69">
        <f t="shared" si="94"/>
        <v>9.6199999999999994E-2</v>
      </c>
      <c r="Z181" s="69">
        <f t="shared" si="95"/>
        <v>5.8954000000000004</v>
      </c>
      <c r="AA181" s="69">
        <f t="shared" si="96"/>
        <v>5.7992000000000008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97"/>
        <v>0823-26</v>
      </c>
      <c r="AE181" s="95" t="str">
        <f t="shared" si="98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181" s="92" t="str">
        <f t="shared" si="99"/>
        <v>"C:\Program Files (x86)\AstroGrep\AstroGrep.exe" /spath="%USERPROFILE%\AppData\Local\Temp\OnboardLogs" /stypes="app*4044*20160926*" /stext=" 20:.+((SYSTEM_STATE.+slice.+state.+changed )|(ment ac)|(system.+state.+changed )|(\|lc)|(penalty)|(\[timeout)|(PRM\|1\|D)|(kpr)|(kdp))" /e /r /s</v>
      </c>
      <c r="AG181" s="1" t="str">
        <f t="shared" si="100"/>
        <v>NW</v>
      </c>
      <c r="AH181" s="96" t="str">
        <f t="shared" si="70"/>
        <v>"%USERPROFILE%\Documents\GitHub\eaglep3\Utilities\RefineRTDCRunTimes.py" --tripid 823-26 --locoid 4044 --swversion DE.1.0.7.0 --startMP 204:962 --initTime 2016-09-26T14:14:47 --startdatetime 2016-09-26T14:21:20 --delay 1 --endMP 300:58954 --enddatetime 2016-09-26T14:35:21 --enforcementcount 0 &gt;&gt;C:\Users\stu\Documents\GitHub\eaglep3-reporting\EC\2016-09-26-refined-times.txt</v>
      </c>
      <c r="AI181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{"issue":{"subject":"","project_id":79,"tracker_id":40,"status_id":1,"priority_id":2,"assigned_to_id":23,"start_date":"2016-09-26","description":"","custom_fields":[{"id":1,"name":"Subdivision","value":"NW"},{"id":4,"name":"Milepost","value":"5.8954"},{"id":17,"name":"Train ID","value":"823-26"},{"id":16,"name":"Locomotive ID","value":"4044"},{"id":130,"name":"Impact","value":""},{"id":150,"name":"Time of Event (Mountain Time)","value":"14:35:21"},{"id":151,"name":"Denver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653</v>
      </c>
      <c r="B182" s="7">
        <v>4043</v>
      </c>
      <c r="C182" s="24" t="s">
        <v>106</v>
      </c>
      <c r="D182" s="24" t="s">
        <v>654</v>
      </c>
      <c r="E182" s="15">
        <v>42639.609884259262</v>
      </c>
      <c r="F182" s="15">
        <v>42639.611770833333</v>
      </c>
      <c r="G182" s="7">
        <v>1</v>
      </c>
      <c r="H182" s="15" t="s">
        <v>597</v>
      </c>
      <c r="I182" s="15">
        <v>42639.621666666666</v>
      </c>
      <c r="J182" s="7">
        <v>0</v>
      </c>
      <c r="K182" s="117" t="str">
        <f t="shared" si="88"/>
        <v>4043/4044</v>
      </c>
      <c r="L182" s="24" t="str">
        <f>VLOOKUP(A182,'Trips&amp;Operators'!$C$1:$E$10000,3,FALSE)</f>
        <v>BRUDER</v>
      </c>
      <c r="M182" s="6">
        <f t="shared" si="89"/>
        <v>9.8958333328482695E-3</v>
      </c>
      <c r="N182" s="7">
        <f t="shared" si="87"/>
        <v>14.249999999301508</v>
      </c>
      <c r="O182" s="7"/>
      <c r="P182" s="7"/>
      <c r="Q182" s="25"/>
      <c r="R182" s="25"/>
      <c r="S182" s="37">
        <f t="shared" si="90"/>
        <v>1</v>
      </c>
      <c r="T182" s="52" t="str">
        <f t="shared" si="91"/>
        <v>Southbound</v>
      </c>
      <c r="U182" s="15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13:38:14-0600',mode:absolute,to:'2016-09-26 15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2" s="54" t="str">
        <f t="shared" si="93"/>
        <v>N</v>
      </c>
      <c r="X182" s="164">
        <f t="shared" si="86"/>
        <v>1</v>
      </c>
      <c r="Y182" s="69">
        <f t="shared" si="94"/>
        <v>5.8639999999999999</v>
      </c>
      <c r="Z182" s="69">
        <f t="shared" si="95"/>
        <v>6.9400000000000003E-2</v>
      </c>
      <c r="AA182" s="69">
        <f t="shared" si="96"/>
        <v>5.7946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97"/>
        <v>0824-26</v>
      </c>
      <c r="AE182" s="95" t="str">
        <f t="shared" si="98"/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AF182" s="92" t="str">
        <f t="shared" si="99"/>
        <v>"C:\Program Files (x86)\AstroGrep\AstroGrep.exe" /spath="%USERPROFILE%\AppData\Local\Temp\OnboardLogs" /stypes="app*4043*20160926*" /stext=" 20:.+((SYSTEM_STATE.+slice.+state.+changed )|(ment ac)|(system.+state.+changed )|(\|lc)|(penalty)|(\[timeout)|(PRM\|1\|D)|(kpr)|(kdp))" /e /r /s</v>
      </c>
      <c r="AG182" s="1" t="str">
        <f t="shared" si="100"/>
        <v>NW</v>
      </c>
      <c r="AH182" s="96" t="str">
        <f t="shared" si="70"/>
        <v>"%USERPROFILE%\Documents\GitHub\eaglep3\Utilities\RefineRTDCRunTimes.py" --tripid 824-26 --locoid 4043 --swversion DE.1.0.7.0 --startMP 300:58640 --initTime 2016-09-26T14:38:14 --startdatetime 2016-09-26T14:40:57 --delay 1 --endMP 204:694 --enddatetime 2016-09-26T14:55:12 --enforcementcount 0 &gt;&gt;C:\Users\stu\Documents\GitHub\eaglep3-reporting\EC\2016-09-26-refined-times.txt</v>
      </c>
      <c r="AI182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{"issue":{"subject":"","project_id":79,"tracker_id":40,"status_id":1,"priority_id":2,"assigned_to_id":23,"start_date":"2016-09-26","description":"","custom_fields":[{"id":1,"name":"Subdivision","value":"NW"},{"id":4,"name":"Milepost","value":"0.0694"},{"id":17,"name":"Train ID","value":"824-26"},{"id":16,"name":"Locomotive ID","value":"4043"},{"id":130,"name":"Impact","value":""},{"id":150,"name":"Time of Event (Mountain Time)","value":"14:55:12"},{"id":151,"name":"Denver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655</v>
      </c>
      <c r="B183" s="7">
        <v>4044</v>
      </c>
      <c r="C183" s="24" t="s">
        <v>106</v>
      </c>
      <c r="D183" s="24" t="s">
        <v>656</v>
      </c>
      <c r="E183" s="15">
        <v>42639.634722222225</v>
      </c>
      <c r="F183" s="15">
        <v>42639.639791666668</v>
      </c>
      <c r="G183" s="7">
        <v>2</v>
      </c>
      <c r="H183" s="15" t="s">
        <v>657</v>
      </c>
      <c r="I183" s="15">
        <v>42639.649398148147</v>
      </c>
      <c r="J183" s="7">
        <v>0</v>
      </c>
      <c r="K183" s="117" t="str">
        <f t="shared" si="88"/>
        <v>4043/4044</v>
      </c>
      <c r="L183" s="24" t="str">
        <f>VLOOKUP(A183,'Trips&amp;Operators'!$C$1:$E$10000,3,FALSE)</f>
        <v>BRUDER</v>
      </c>
      <c r="M183" s="6">
        <f t="shared" si="89"/>
        <v>9.6064814788405783E-3</v>
      </c>
      <c r="N183" s="7">
        <f t="shared" si="87"/>
        <v>13.833333329530433</v>
      </c>
      <c r="O183" s="7"/>
      <c r="P183" s="7"/>
      <c r="Q183" s="25"/>
      <c r="R183" s="25"/>
      <c r="S183" s="37">
        <f t="shared" si="90"/>
        <v>1</v>
      </c>
      <c r="T183" s="52" t="str">
        <f t="shared" si="91"/>
        <v>NorthBound</v>
      </c>
      <c r="U183" s="15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14:14:00-0600',mode:absolute,to:'2016-09-26 16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83" s="54" t="str">
        <f t="shared" si="93"/>
        <v>N</v>
      </c>
      <c r="X183" s="164">
        <f t="shared" si="86"/>
        <v>1</v>
      </c>
      <c r="Y183" s="69">
        <f t="shared" si="94"/>
        <v>9.69E-2</v>
      </c>
      <c r="Z183" s="69">
        <f t="shared" si="95"/>
        <v>5.8960999999999997</v>
      </c>
      <c r="AA183" s="69">
        <f t="shared" si="96"/>
        <v>5.7991999999999999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97"/>
        <v>0825-26</v>
      </c>
      <c r="AE183" s="95" t="str">
        <f t="shared" si="98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183" s="92" t="str">
        <f t="shared" si="99"/>
        <v>"C:\Program Files (x86)\AstroGrep\AstroGrep.exe" /spath="%USERPROFILE%\AppData\Local\Temp\OnboardLogs" /stypes="app*4044*20160926*" /stext=" 21:.+((SYSTEM_STATE.+slice.+state.+changed )|(ment ac)|(system.+state.+changed )|(\|lc)|(penalty)|(\[timeout)|(PRM\|1\|D)|(kpr)|(kdp))" /e /r /s</v>
      </c>
      <c r="AG183" s="1" t="str">
        <f t="shared" si="100"/>
        <v>NW</v>
      </c>
      <c r="AH183" s="96" t="str">
        <f t="shared" si="70"/>
        <v>"%USERPROFILE%\Documents\GitHub\eaglep3\Utilities\RefineRTDCRunTimes.py" --tripid 825-26 --locoid 4044 --swversion DE.1.0.7.0 --startMP 204:969 --initTime 2016-09-26T15:14:00 --startdatetime 2016-09-26T15:21:18 --delay 2 --endMP 300:58961 --enddatetime 2016-09-26T15:35:08 --enforcementcount 0 &gt;&gt;C:\Users\stu\Documents\GitHub\eaglep3-reporting\EC\2016-09-26-refined-times.txt</v>
      </c>
      <c r="AI183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{"issue":{"subject":"","project_id":79,"tracker_id":40,"status_id":1,"priority_id":2,"assigned_to_id":23,"start_date":"2016-09-26","description":"","custom_fields":[{"id":1,"name":"Subdivision","value":"NW"},{"id":4,"name":"Milepost","value":"5.8961"},{"id":17,"name":"Train ID","value":"825-26"},{"id":16,"name":"Locomotive ID","value":"4044"},{"id":130,"name":"Impact","value":""},{"id":150,"name":"Time of Event (Mountain Time)","value":"15:35:08"},{"id":151,"name":"Denver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658</v>
      </c>
      <c r="B184" s="7">
        <v>4043</v>
      </c>
      <c r="C184" s="24" t="s">
        <v>106</v>
      </c>
      <c r="D184" s="24" t="s">
        <v>659</v>
      </c>
      <c r="E184" s="15">
        <v>42639.651076388887</v>
      </c>
      <c r="F184" s="15">
        <v>42639.652731481481</v>
      </c>
      <c r="G184" s="7">
        <v>1</v>
      </c>
      <c r="H184" s="15" t="s">
        <v>660</v>
      </c>
      <c r="I184" s="15">
        <v>42639.664212962962</v>
      </c>
      <c r="J184" s="7">
        <v>0</v>
      </c>
      <c r="K184" s="117" t="str">
        <f t="shared" si="88"/>
        <v>4043/4044</v>
      </c>
      <c r="L184" s="24" t="str">
        <f>VLOOKUP(A184,'Trips&amp;Operators'!$C$1:$E$10000,3,FALSE)</f>
        <v>BRUDER</v>
      </c>
      <c r="M184" s="6">
        <f t="shared" si="89"/>
        <v>1.1481481480586808E-2</v>
      </c>
      <c r="N184" s="7">
        <f t="shared" si="87"/>
        <v>16.533333332045004</v>
      </c>
      <c r="O184" s="7"/>
      <c r="P184" s="7"/>
      <c r="Q184" s="25"/>
      <c r="R184" s="25"/>
      <c r="S184" s="37">
        <f t="shared" si="90"/>
        <v>1</v>
      </c>
      <c r="T184" s="52" t="str">
        <f t="shared" si="91"/>
        <v>Southbound</v>
      </c>
      <c r="U184" s="15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14:37:33-0600',mode:absolute,to:'2016-09-26 16:56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4" s="54" t="str">
        <f t="shared" si="93"/>
        <v>N</v>
      </c>
      <c r="X184" s="164">
        <f t="shared" si="86"/>
        <v>1</v>
      </c>
      <c r="Y184" s="69">
        <f t="shared" si="94"/>
        <v>5.8632</v>
      </c>
      <c r="Z184" s="69">
        <f t="shared" si="95"/>
        <v>6.8699999999999997E-2</v>
      </c>
      <c r="AA184" s="69">
        <f t="shared" si="96"/>
        <v>5.7945000000000002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97"/>
        <v>0826-26</v>
      </c>
      <c r="AE184" s="95" t="str">
        <f t="shared" si="98"/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AF184" s="92" t="str">
        <f t="shared" si="99"/>
        <v>"C:\Program Files (x86)\AstroGrep\AstroGrep.exe" /spath="%USERPROFILE%\AppData\Local\Temp\OnboardLogs" /stypes="app*4043*20160926*" /stext=" 21:.+((SYSTEM_STATE.+slice.+state.+changed )|(ment ac)|(system.+state.+changed )|(\|lc)|(penalty)|(\[timeout)|(PRM\|1\|D)|(kpr)|(kdp))" /e /r /s</v>
      </c>
      <c r="AG184" s="1" t="str">
        <f t="shared" si="100"/>
        <v>NW</v>
      </c>
      <c r="AH184" s="96" t="str">
        <f t="shared" si="70"/>
        <v>"%USERPROFILE%\Documents\GitHub\eaglep3\Utilities\RefineRTDCRunTimes.py" --tripid 826-26 --locoid 4043 --swversion DE.1.0.7.0 --startMP 300:58632 --initTime 2016-09-26T15:37:33 --startdatetime 2016-09-26T15:39:56 --delay 1 --endMP 204:687 --enddatetime 2016-09-26T15:56:28 --enforcementcount 0 &gt;&gt;C:\Users\stu\Documents\GitHub\eaglep3-reporting\EC\2016-09-26-refined-times.txt</v>
      </c>
      <c r="AI184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{"issue":{"subject":"","project_id":79,"tracker_id":40,"status_id":1,"priority_id":2,"assigned_to_id":23,"start_date":"2016-09-26","description":"","custom_fields":[{"id":1,"name":"Subdivision","value":"NW"},{"id":4,"name":"Milepost","value":"0.0687"},{"id":17,"name":"Train ID","value":"826-26"},{"id":16,"name":"Locomotive ID","value":"4043"},{"id":130,"name":"Impact","value":""},{"id":150,"name":"Time of Event (Mountain Time)","value":"15:56:28"},{"id":151,"name":"Denver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661</v>
      </c>
      <c r="B185" s="7">
        <v>4029</v>
      </c>
      <c r="C185" s="24" t="s">
        <v>106</v>
      </c>
      <c r="D185" s="24" t="s">
        <v>662</v>
      </c>
      <c r="E185" s="15">
        <v>42639.656770833331</v>
      </c>
      <c r="F185" s="15">
        <v>42639.66070601852</v>
      </c>
      <c r="G185" s="7">
        <v>2</v>
      </c>
      <c r="H185" s="15" t="s">
        <v>663</v>
      </c>
      <c r="I185" s="15">
        <v>42639.67019675926</v>
      </c>
      <c r="J185" s="7">
        <v>0</v>
      </c>
      <c r="K185" s="117" t="str">
        <f t="shared" si="88"/>
        <v>4029/4030</v>
      </c>
      <c r="L185" s="24" t="str">
        <f>VLOOKUP(A185,'Trips&amp;Operators'!$C$1:$E$10000,3,FALSE)</f>
        <v>COOLAHAN</v>
      </c>
      <c r="M185" s="6">
        <f t="shared" si="89"/>
        <v>9.4907407401478849E-3</v>
      </c>
      <c r="N185" s="7">
        <f t="shared" si="87"/>
        <v>13.666666665812954</v>
      </c>
      <c r="O185" s="7"/>
      <c r="P185" s="7"/>
      <c r="Q185" s="25"/>
      <c r="R185" s="25"/>
      <c r="S185" s="37">
        <f t="shared" si="90"/>
        <v>1</v>
      </c>
      <c r="T185" s="52" t="str">
        <f t="shared" si="91"/>
        <v>NorthBound</v>
      </c>
      <c r="U185" s="15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14:45:45-0600',mode:absolute,to:'2016-09-26 17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5" s="54" t="str">
        <f t="shared" si="93"/>
        <v>N</v>
      </c>
      <c r="X185" s="164">
        <f t="shared" si="86"/>
        <v>1</v>
      </c>
      <c r="Y185" s="69">
        <f t="shared" si="94"/>
        <v>8.9200000000000002E-2</v>
      </c>
      <c r="Z185" s="69">
        <f t="shared" si="95"/>
        <v>5.8971</v>
      </c>
      <c r="AA185" s="69">
        <f t="shared" si="96"/>
        <v>5.8079000000000001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97"/>
        <v>0827-26</v>
      </c>
      <c r="AE185" s="95" t="str">
        <f t="shared" si="98"/>
        <v>aws s3 cp s3://rtdc.mdm.uploadarchive/RTDC4029/2016-09-26/ "%USERPROFILE%\AppData\Local\Temp\OnboardLogs"\RTDC4029\2016-09-26 --recursive &amp; "%USERPROFILE%\Documents\GitHub\mrs-test-scripts\Headless Mode &amp; Sideloading\WalkAndUnGZ.bat" "%USERPROFILE%\AppData\Local\Temp\OnboardLogs"\RTDC4029\2016-09-26 &amp; 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</v>
      </c>
      <c r="AF185" s="92" t="str">
        <f t="shared" si="99"/>
        <v>"C:\Program Files (x86)\AstroGrep\AstroGrep.exe" /spath="%USERPROFILE%\AppData\Local\Temp\OnboardLogs" /stypes="app*4029*20160926*" /stext=" 22:.+((SYSTEM_STATE.+slice.+state.+changed )|(ment ac)|(system.+state.+changed )|(\|lc)|(penalty)|(\[timeout)|(PRM\|1\|D)|(kpr)|(kdp))" /e /r /s</v>
      </c>
      <c r="AG185" s="1" t="str">
        <f t="shared" si="100"/>
        <v>NW</v>
      </c>
      <c r="AH185" s="96" t="str">
        <f t="shared" si="70"/>
        <v>"%USERPROFILE%\Documents\GitHub\eaglep3\Utilities\RefineRTDCRunTimes.py" --tripid 827-26 --locoid 4029 --swversion DE.1.0.7.0 --startMP 204:892 --initTime 2016-09-26T15:45:45 --startdatetime 2016-09-26T15:51:25 --delay 2 --endMP 300:58971 --enddatetime 2016-09-26T16:05:05 --enforcementcount 0 &gt;&gt;C:\Users\stu\Documents\GitHub\eaglep3-reporting\EC\2016-09-26-refined-times.txt</v>
      </c>
      <c r="AI185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{"issue":{"subject":"","project_id":79,"tracker_id":40,"status_id":1,"priority_id":2,"assigned_to_id":23,"start_date":"2016-09-26","description":"","custom_fields":[{"id":1,"name":"Subdivision","value":"NW"},{"id":4,"name":"Milepost","value":"5.8971"},{"id":17,"name":"Train ID","value":"827-26"},{"id":16,"name":"Locomotive ID","value":"4029"},{"id":130,"name":"Impact","value":""},{"id":150,"name":"Time of Event (Mountain Time)","value":"16:05:05"},{"id":151,"name":"Denver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664</v>
      </c>
      <c r="B186" s="7">
        <v>4030</v>
      </c>
      <c r="C186" s="24" t="s">
        <v>106</v>
      </c>
      <c r="D186" s="24" t="s">
        <v>665</v>
      </c>
      <c r="E186" s="15">
        <v>42639.671597222223</v>
      </c>
      <c r="F186" s="15">
        <v>42639.673518518517</v>
      </c>
      <c r="G186" s="7">
        <v>1</v>
      </c>
      <c r="H186" s="15" t="s">
        <v>666</v>
      </c>
      <c r="I186" s="15">
        <v>42639.684513888889</v>
      </c>
      <c r="J186" s="7">
        <v>0</v>
      </c>
      <c r="K186" s="117" t="str">
        <f t="shared" si="88"/>
        <v>4029/4030</v>
      </c>
      <c r="L186" s="24" t="str">
        <f>VLOOKUP(A186,'Trips&amp;Operators'!$C$1:$E$10000,3,FALSE)</f>
        <v>COOLAHAN</v>
      </c>
      <c r="M186" s="6">
        <f t="shared" si="89"/>
        <v>1.099537037225673E-2</v>
      </c>
      <c r="N186" s="7">
        <f t="shared" si="87"/>
        <v>15.833333336049691</v>
      </c>
      <c r="O186" s="7"/>
      <c r="P186" s="7"/>
      <c r="Q186" s="25"/>
      <c r="R186" s="25"/>
      <c r="S186" s="37">
        <f t="shared" si="90"/>
        <v>1</v>
      </c>
      <c r="T186" s="52" t="str">
        <f t="shared" si="91"/>
        <v>Southbound</v>
      </c>
      <c r="U186" s="15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15:07:06-0600',mode:absolute,to:'2016-09-26 17:25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6" s="54" t="str">
        <f t="shared" si="93"/>
        <v>N</v>
      </c>
      <c r="X186" s="164">
        <f t="shared" si="86"/>
        <v>1</v>
      </c>
      <c r="Y186" s="69">
        <f t="shared" si="94"/>
        <v>5.8672000000000004</v>
      </c>
      <c r="Z186" s="69">
        <f t="shared" si="95"/>
        <v>7.3999999999999996E-2</v>
      </c>
      <c r="AA186" s="69">
        <f t="shared" si="96"/>
        <v>5.7932000000000006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97"/>
        <v>0828-26</v>
      </c>
      <c r="AE186" s="95" t="str">
        <f t="shared" si="98"/>
        <v>aws s3 cp s3://rtdc.mdm.uploadarchive/RTDC4030/2016-09-26/ "%USERPROFILE%\AppData\Local\Temp\OnboardLogs"\RTDC4030\2016-09-26 --recursive &amp; "%USERPROFILE%\Documents\GitHub\mrs-test-scripts\Headless Mode &amp; Sideloading\WalkAndUnGZ.bat" "%USERPROFILE%\AppData\Local\Temp\OnboardLogs"\RTDC4030\2016-09-26 &amp; 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</v>
      </c>
      <c r="AF186" s="92" t="str">
        <f t="shared" si="99"/>
        <v>"C:\Program Files (x86)\AstroGrep\AstroGrep.exe" /spath="%USERPROFILE%\AppData\Local\Temp\OnboardLogs" /stypes="app*4030*20160926*" /stext=" 22:.+((SYSTEM_STATE.+slice.+state.+changed )|(ment ac)|(system.+state.+changed )|(\|lc)|(penalty)|(\[timeout)|(PRM\|1\|D)|(kpr)|(kdp))" /e /r /s</v>
      </c>
      <c r="AG186" s="1" t="str">
        <f t="shared" si="100"/>
        <v>NW</v>
      </c>
      <c r="AH186" s="96" t="str">
        <f t="shared" si="70"/>
        <v>"%USERPROFILE%\Documents\GitHub\eaglep3\Utilities\RefineRTDCRunTimes.py" --tripid 828-26 --locoid 4030 --swversion DE.1.0.7.0 --startMP 300:58672 --initTime 2016-09-26T16:07:06 --startdatetime 2016-09-26T16:09:52 --delay 1 --endMP 204:740 --enddatetime 2016-09-26T16:25:42 --enforcementcount 0 &gt;&gt;C:\Users\stu\Documents\GitHub\eaglep3-reporting\EC\2016-09-26-refined-times.txt</v>
      </c>
      <c r="AI186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{"issue":{"subject":"","project_id":79,"tracker_id":40,"status_id":1,"priority_id":2,"assigned_to_id":23,"start_date":"2016-09-26","description":"","custom_fields":[{"id":1,"name":"Subdivision","value":"NW"},{"id":4,"name":"Milepost","value":"0.074"},{"id":17,"name":"Train ID","value":"828-26"},{"id":16,"name":"Locomotive ID","value":"4030"},{"id":130,"name":"Impact","value":""},{"id":150,"name":"Time of Event (Mountain Time)","value":"16:25:42"},{"id":151,"name":"Denver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667</v>
      </c>
      <c r="B187" s="7">
        <v>4044</v>
      </c>
      <c r="C187" s="24" t="s">
        <v>106</v>
      </c>
      <c r="D187" s="24" t="s">
        <v>668</v>
      </c>
      <c r="E187" s="15">
        <v>42639.676157407404</v>
      </c>
      <c r="F187" s="15">
        <v>42639.681435185186</v>
      </c>
      <c r="G187" s="7">
        <v>1</v>
      </c>
      <c r="H187" s="15" t="s">
        <v>669</v>
      </c>
      <c r="I187" s="15">
        <v>42639.690694444442</v>
      </c>
      <c r="J187" s="7">
        <v>0</v>
      </c>
      <c r="K187" s="117" t="str">
        <f t="shared" si="88"/>
        <v>4043/4044</v>
      </c>
      <c r="L187" s="24" t="str">
        <f>VLOOKUP(A187,'Trips&amp;Operators'!$C$1:$E$10000,3,FALSE)</f>
        <v>BRUDER</v>
      </c>
      <c r="M187" s="6">
        <f t="shared" si="89"/>
        <v>9.2592592554865405E-3</v>
      </c>
      <c r="N187" s="7">
        <f t="shared" si="87"/>
        <v>13.333333327900618</v>
      </c>
      <c r="O187" s="7"/>
      <c r="P187" s="7"/>
      <c r="Q187" s="25"/>
      <c r="R187" s="25"/>
      <c r="S187" s="37">
        <f t="shared" si="90"/>
        <v>1</v>
      </c>
      <c r="T187" s="52" t="str">
        <f t="shared" si="91"/>
        <v>NorthBound</v>
      </c>
      <c r="U187" s="15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15:13:40-0600',mode:absolute,to:'2016-09-26 17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87" s="54" t="str">
        <f t="shared" si="93"/>
        <v>N</v>
      </c>
      <c r="X187" s="164">
        <f t="shared" si="86"/>
        <v>1</v>
      </c>
      <c r="Y187" s="69">
        <f t="shared" si="94"/>
        <v>9.7199999999999995E-2</v>
      </c>
      <c r="Z187" s="69">
        <f t="shared" si="95"/>
        <v>5.8964999999999996</v>
      </c>
      <c r="AA187" s="69">
        <f t="shared" si="96"/>
        <v>5.7992999999999997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97"/>
        <v>0829-26</v>
      </c>
      <c r="AE187" s="95" t="str">
        <f t="shared" si="98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187" s="92" t="str">
        <f t="shared" si="99"/>
        <v>"C:\Program Files (x86)\AstroGrep\AstroGrep.exe" /spath="%USERPROFILE%\AppData\Local\Temp\OnboardLogs" /stypes="app*4044*20160926*" /stext=" 22:.+((SYSTEM_STATE.+slice.+state.+changed )|(ment ac)|(system.+state.+changed )|(\|lc)|(penalty)|(\[timeout)|(PRM\|1\|D)|(kpr)|(kdp))" /e /r /s</v>
      </c>
      <c r="AG187" s="1" t="str">
        <f t="shared" si="100"/>
        <v>NW</v>
      </c>
      <c r="AH187" s="96" t="str">
        <f t="shared" si="70"/>
        <v>"%USERPROFILE%\Documents\GitHub\eaglep3\Utilities\RefineRTDCRunTimes.py" --tripid 829-26 --locoid 4044 --swversion DE.1.0.7.0 --startMP 204:972 --initTime 2016-09-26T16:13:40 --startdatetime 2016-09-26T16:21:16 --delay 1 --endMP 300:58965 --enddatetime 2016-09-26T16:34:36 --enforcementcount 0 &gt;&gt;C:\Users\stu\Documents\GitHub\eaglep3-reporting\EC\2016-09-26-refined-times.txt</v>
      </c>
      <c r="AI187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{"issue":{"subject":"","project_id":79,"tracker_id":40,"status_id":1,"priority_id":2,"assigned_to_id":23,"start_date":"2016-09-26","description":"","custom_fields":[{"id":1,"name":"Subdivision","value":"NW"},{"id":4,"name":"Milepost","value":"5.8965"},{"id":17,"name":"Train ID","value":"829-26"},{"id":16,"name":"Locomotive ID","value":"4044"},{"id":130,"name":"Impact","value":""},{"id":150,"name":"Time of Event (Mountain Time)","value":"16:34:36"},{"id":151,"name":"Denver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670</v>
      </c>
      <c r="B188" s="7">
        <v>4043</v>
      </c>
      <c r="C188" s="24" t="s">
        <v>106</v>
      </c>
      <c r="D188" s="24" t="s">
        <v>671</v>
      </c>
      <c r="E188" s="15">
        <v>42639.692175925928</v>
      </c>
      <c r="F188" s="15">
        <v>42639.693912037037</v>
      </c>
      <c r="G188" s="7">
        <v>1</v>
      </c>
      <c r="H188" s="15" t="s">
        <v>672</v>
      </c>
      <c r="I188" s="15">
        <v>42639.70585648148</v>
      </c>
      <c r="J188" s="7">
        <v>0</v>
      </c>
      <c r="K188" s="117" t="str">
        <f t="shared" si="88"/>
        <v>4043/4044</v>
      </c>
      <c r="L188" s="24" t="str">
        <f>VLOOKUP(A188,'Trips&amp;Operators'!$C$1:$E$10000,3,FALSE)</f>
        <v>BRUDER</v>
      </c>
      <c r="M188" s="6">
        <f t="shared" si="89"/>
        <v>1.1944444442633539E-2</v>
      </c>
      <c r="N188" s="7">
        <f t="shared" si="87"/>
        <v>17.199999997392297</v>
      </c>
      <c r="O188" s="7"/>
      <c r="P188" s="7"/>
      <c r="Q188" s="25"/>
      <c r="R188" s="25"/>
      <c r="S188" s="37">
        <f t="shared" si="90"/>
        <v>1</v>
      </c>
      <c r="T188" s="52" t="str">
        <f t="shared" si="91"/>
        <v>Southbound</v>
      </c>
      <c r="U188" s="15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15:36:44-0600',mode:absolute,to:'2016-09-26 17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8" s="54" t="str">
        <f t="shared" si="93"/>
        <v>N</v>
      </c>
      <c r="X188" s="164">
        <f t="shared" si="86"/>
        <v>1</v>
      </c>
      <c r="Y188" s="69">
        <f t="shared" si="94"/>
        <v>5.8648999999999996</v>
      </c>
      <c r="Z188" s="69">
        <f t="shared" si="95"/>
        <v>7.5399999999999995E-2</v>
      </c>
      <c r="AA188" s="69">
        <f t="shared" si="96"/>
        <v>5.7894999999999994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97"/>
        <v>0830-26</v>
      </c>
      <c r="AE188" s="95" t="str">
        <f t="shared" si="98"/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AF188" s="92" t="str">
        <f t="shared" si="99"/>
        <v>"C:\Program Files (x86)\AstroGrep\AstroGrep.exe" /spath="%USERPROFILE%\AppData\Local\Temp\OnboardLogs" /stypes="app*4043*20160926*" /stext=" 22:.+((SYSTEM_STATE.+slice.+state.+changed )|(ment ac)|(system.+state.+changed )|(\|lc)|(penalty)|(\[timeout)|(PRM\|1\|D)|(kpr)|(kdp))" /e /r /s</v>
      </c>
      <c r="AG188" s="1" t="str">
        <f t="shared" si="100"/>
        <v>NW</v>
      </c>
      <c r="AH188" s="96" t="str">
        <f t="shared" si="70"/>
        <v>"%USERPROFILE%\Documents\GitHub\eaglep3\Utilities\RefineRTDCRunTimes.py" --tripid 830-26 --locoid 4043 --swversion DE.1.0.7.0 --startMP 300:58649 --initTime 2016-09-26T16:36:44 --startdatetime 2016-09-26T16:39:14 --delay 1 --endMP 204:754 --enddatetime 2016-09-26T16:56:26 --enforcementcount 0 &gt;&gt;C:\Users\stu\Documents\GitHub\eaglep3-reporting\EC\2016-09-26-refined-times.txt</v>
      </c>
      <c r="AI188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{"issue":{"subject":"","project_id":79,"tracker_id":40,"status_id":1,"priority_id":2,"assigned_to_id":23,"start_date":"2016-09-26","description":"","custom_fields":[{"id":1,"name":"Subdivision","value":"NW"},{"id":4,"name":"Milepost","value":"0.0754"},{"id":17,"name":"Train ID","value":"830-26"},{"id":16,"name":"Locomotive ID","value":"4043"},{"id":130,"name":"Impact","value":""},{"id":150,"name":"Time of Event (Mountain Time)","value":"16:56:26"},{"id":151,"name":"Denver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673</v>
      </c>
      <c r="B189" s="7">
        <v>4029</v>
      </c>
      <c r="C189" s="24" t="s">
        <v>106</v>
      </c>
      <c r="D189" s="24" t="s">
        <v>674</v>
      </c>
      <c r="E189" s="15">
        <v>42639.693449074075</v>
      </c>
      <c r="F189" s="15">
        <v>42639.702337962961</v>
      </c>
      <c r="G189" s="7">
        <v>2</v>
      </c>
      <c r="H189" s="15" t="s">
        <v>359</v>
      </c>
      <c r="I189" s="15">
        <v>42639.711736111109</v>
      </c>
      <c r="J189" s="7">
        <v>0</v>
      </c>
      <c r="K189" s="117" t="str">
        <f t="shared" si="88"/>
        <v>4029/4030</v>
      </c>
      <c r="L189" s="24" t="str">
        <f>VLOOKUP(A189,'Trips&amp;Operators'!$C$1:$E$10000,3,FALSE)</f>
        <v>COOLAHAN</v>
      </c>
      <c r="M189" s="6">
        <f t="shared" si="89"/>
        <v>9.3981481477385387E-3</v>
      </c>
      <c r="N189" s="7">
        <f t="shared" si="87"/>
        <v>13.533333332743496</v>
      </c>
      <c r="O189" s="7"/>
      <c r="P189" s="7"/>
      <c r="Q189" s="25"/>
      <c r="R189" s="25"/>
      <c r="S189" s="37">
        <f t="shared" si="90"/>
        <v>1</v>
      </c>
      <c r="T189" s="52" t="str">
        <f t="shared" si="91"/>
        <v>NorthBound</v>
      </c>
      <c r="U189" s="15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15:38:34-0600',mode:absolute,to:'2016-09-26 18:04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9" s="54" t="str">
        <f t="shared" si="93"/>
        <v>N</v>
      </c>
      <c r="X189" s="164">
        <f t="shared" si="86"/>
        <v>1</v>
      </c>
      <c r="Y189" s="69">
        <f t="shared" si="94"/>
        <v>0.1027</v>
      </c>
      <c r="Z189" s="69">
        <f t="shared" si="95"/>
        <v>5.8992000000000004</v>
      </c>
      <c r="AA189" s="69">
        <f t="shared" si="96"/>
        <v>5.7965000000000009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97"/>
        <v>0831-26</v>
      </c>
      <c r="AE189" s="95" t="str">
        <f t="shared" si="98"/>
        <v>aws s3 cp s3://rtdc.mdm.uploadarchive/RTDC4029/2016-09-26/ "%USERPROFILE%\AppData\Local\Temp\OnboardLogs"\RTDC4029\2016-09-26 --recursive &amp; "%USERPROFILE%\Documents\GitHub\mrs-test-scripts\Headless Mode &amp; Sideloading\WalkAndUnGZ.bat" "%USERPROFILE%\AppData\Local\Temp\OnboardLogs"\RTDC4029\2016-09-26 &amp; 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</v>
      </c>
      <c r="AF189" s="92" t="str">
        <f t="shared" si="99"/>
        <v>"C:\Program Files (x86)\AstroGrep\AstroGrep.exe" /spath="%USERPROFILE%\AppData\Local\Temp\OnboardLogs" /stypes="app*4029*20160926*" /stext=" 23:.+((SYSTEM_STATE.+slice.+state.+changed )|(ment ac)|(system.+state.+changed )|(\|lc)|(penalty)|(\[timeout)|(PRM\|1\|D)|(kpr)|(kdp))" /e /r /s</v>
      </c>
      <c r="AG189" s="1" t="str">
        <f t="shared" si="100"/>
        <v>NW</v>
      </c>
      <c r="AH189" s="96" t="str">
        <f t="shared" si="70"/>
        <v>"%USERPROFILE%\Documents\GitHub\eaglep3\Utilities\RefineRTDCRunTimes.py" --tripid 831-26 --locoid 4029 --swversion DE.1.0.7.0 --startMP 204:1027 --initTime 2016-09-26T16:38:34 --startdatetime 2016-09-26T16:51:22 --delay 2 --endMP 300:58992 --enddatetime 2016-09-26T17:04:54 --enforcementcount 0 &gt;&gt;C:\Users\stu\Documents\GitHub\eaglep3-reporting\EC\2016-09-26-refined-times.txt</v>
      </c>
      <c r="AI189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{"issue":{"subject":"","project_id":79,"tracker_id":40,"status_id":1,"priority_id":2,"assigned_to_id":23,"start_date":"2016-09-26","description":"","custom_fields":[{"id":1,"name":"Subdivision","value":"NW"},{"id":4,"name":"Milepost","value":"5.8992"},{"id":17,"name":"Train ID","value":"831-26"},{"id":16,"name":"Locomotive ID","value":"4029"},{"id":130,"name":"Impact","value":""},{"id":150,"name":"Time of Event (Mountain Time)","value":"17:04:54"},{"id":151,"name":"Denver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675</v>
      </c>
      <c r="B190" s="7">
        <v>4030</v>
      </c>
      <c r="C190" s="24" t="s">
        <v>106</v>
      </c>
      <c r="D190" s="24" t="s">
        <v>676</v>
      </c>
      <c r="E190" s="15">
        <v>42639.712835648148</v>
      </c>
      <c r="F190" s="15">
        <v>42639.714513888888</v>
      </c>
      <c r="G190" s="7">
        <v>1</v>
      </c>
      <c r="H190" s="15" t="s">
        <v>677</v>
      </c>
      <c r="I190" s="15">
        <v>42639.726377314815</v>
      </c>
      <c r="J190" s="7">
        <v>0</v>
      </c>
      <c r="K190" s="117" t="str">
        <f t="shared" si="88"/>
        <v>4029/4030</v>
      </c>
      <c r="L190" s="24" t="str">
        <f>VLOOKUP(A190,'Trips&amp;Operators'!$C$1:$E$10000,3,FALSE)</f>
        <v>COOLAHAN</v>
      </c>
      <c r="M190" s="6">
        <f t="shared" si="89"/>
        <v>1.1863425927003846E-2</v>
      </c>
      <c r="N190" s="7">
        <f t="shared" si="87"/>
        <v>17.083333334885538</v>
      </c>
      <c r="O190" s="7"/>
      <c r="P190" s="7"/>
      <c r="Q190" s="25"/>
      <c r="R190" s="25"/>
      <c r="S190" s="37">
        <f t="shared" si="90"/>
        <v>1</v>
      </c>
      <c r="T190" s="52" t="str">
        <f t="shared" si="91"/>
        <v>Southbound</v>
      </c>
      <c r="U190" s="15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16:06:29-0600',mode:absolute,to:'2016-09-26 18:25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90" s="54" t="str">
        <f t="shared" si="93"/>
        <v>N</v>
      </c>
      <c r="X190" s="164">
        <f t="shared" si="86"/>
        <v>1</v>
      </c>
      <c r="Y190" s="69">
        <f t="shared" si="94"/>
        <v>5.8677000000000001</v>
      </c>
      <c r="Z190" s="69">
        <f t="shared" si="95"/>
        <v>6.8400000000000002E-2</v>
      </c>
      <c r="AA190" s="69">
        <f t="shared" si="96"/>
        <v>5.7993000000000006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97"/>
        <v>0832-26</v>
      </c>
      <c r="AE190" s="95" t="str">
        <f t="shared" si="98"/>
        <v>aws s3 cp s3://rtdc.mdm.uploadarchive/RTDC4030/2016-09-26/ "%USERPROFILE%\AppData\Local\Temp\OnboardLogs"\RTDC4030\2016-09-26 --recursive &amp; "%USERPROFILE%\Documents\GitHub\mrs-test-scripts\Headless Mode &amp; Sideloading\WalkAndUnGZ.bat" "%USERPROFILE%\AppData\Local\Temp\OnboardLogs"\RTDC4030\2016-09-26 &amp; 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</v>
      </c>
      <c r="AF190" s="92" t="str">
        <f t="shared" si="99"/>
        <v>"C:\Program Files (x86)\AstroGrep\AstroGrep.exe" /spath="%USERPROFILE%\AppData\Local\Temp\OnboardLogs" /stypes="app*4030*20160926*" /stext=" 23:.+((SYSTEM_STATE.+slice.+state.+changed )|(ment ac)|(system.+state.+changed )|(\|lc)|(penalty)|(\[timeout)|(PRM\|1\|D)|(kpr)|(kdp))" /e /r /s</v>
      </c>
      <c r="AG190" s="1" t="str">
        <f t="shared" si="100"/>
        <v>NW</v>
      </c>
      <c r="AH190" s="96" t="str">
        <f t="shared" si="70"/>
        <v>"%USERPROFILE%\Documents\GitHub\eaglep3\Utilities\RefineRTDCRunTimes.py" --tripid 832-26 --locoid 4030 --swversion DE.1.0.7.0 --startMP 300:58677 --initTime 2016-09-26T17:06:29 --startdatetime 2016-09-26T17:08:54 --delay 1 --endMP 204:684 --enddatetime 2016-09-26T17:25:59 --enforcementcount 0 &gt;&gt;C:\Users\stu\Documents\GitHub\eaglep3-reporting\EC\2016-09-26-refined-times.txt</v>
      </c>
      <c r="AI190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{"issue":{"subject":"","project_id":79,"tracker_id":40,"status_id":1,"priority_id":2,"assigned_to_id":23,"start_date":"2016-09-26","description":"","custom_fields":[{"id":1,"name":"Subdivision","value":"NW"},{"id":4,"name":"Milepost","value":"0.0684"},{"id":17,"name":"Train ID","value":"832-26"},{"id":16,"name":"Locomotive ID","value":"4030"},{"id":130,"name":"Impact","value":""},{"id":150,"name":"Time of Event (Mountain Time)","value":"17:25:59"},{"id":151,"name":"Denver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678</v>
      </c>
      <c r="B191" s="7">
        <v>4044</v>
      </c>
      <c r="C191" s="24" t="s">
        <v>106</v>
      </c>
      <c r="D191" s="24" t="s">
        <v>679</v>
      </c>
      <c r="E191" s="15">
        <v>42639.716192129628</v>
      </c>
      <c r="F191" s="15">
        <v>42639.723113425927</v>
      </c>
      <c r="G191" s="7">
        <v>1</v>
      </c>
      <c r="H191" s="15" t="s">
        <v>680</v>
      </c>
      <c r="I191" s="15">
        <v>42639.732800925929</v>
      </c>
      <c r="J191" s="7">
        <v>0</v>
      </c>
      <c r="K191" s="117" t="str">
        <f t="shared" si="88"/>
        <v>4043/4044</v>
      </c>
      <c r="L191" s="24" t="str">
        <f>VLOOKUP(A191,'Trips&amp;Operators'!$C$1:$E$10000,3,FALSE)</f>
        <v>BRUDER</v>
      </c>
      <c r="M191" s="6">
        <f t="shared" si="89"/>
        <v>9.6875000017462298E-3</v>
      </c>
      <c r="N191" s="7">
        <f t="shared" si="87"/>
        <v>13.950000002514571</v>
      </c>
      <c r="O191" s="7"/>
      <c r="P191" s="7"/>
      <c r="Q191" s="25"/>
      <c r="R191" s="25"/>
      <c r="S191" s="37">
        <f t="shared" si="90"/>
        <v>1</v>
      </c>
      <c r="T191" s="52" t="str">
        <f t="shared" si="91"/>
        <v>NorthBound</v>
      </c>
      <c r="U191" s="15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16:11:19-0600',mode:absolute,to:'2016-09-26 18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1" s="54" t="str">
        <f t="shared" si="93"/>
        <v>N</v>
      </c>
      <c r="X191" s="164">
        <f t="shared" si="86"/>
        <v>1</v>
      </c>
      <c r="Y191" s="69">
        <f t="shared" si="94"/>
        <v>9.6500000000000002E-2</v>
      </c>
      <c r="Z191" s="69">
        <f t="shared" si="95"/>
        <v>5.8982000000000001</v>
      </c>
      <c r="AA191" s="69">
        <f t="shared" si="96"/>
        <v>5.8017000000000003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97"/>
        <v>0833-26</v>
      </c>
      <c r="AE191" s="95" t="str">
        <f t="shared" si="98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191" s="92" t="str">
        <f t="shared" si="99"/>
        <v>"C:\Program Files (x86)\AstroGrep\AstroGrep.exe" /spath="%USERPROFILE%\AppData\Local\Temp\OnboardLogs" /stypes="app*4044*20160926*" /stext=" 23:.+((SYSTEM_STATE.+slice.+state.+changed )|(ment ac)|(system.+state.+changed )|(\|lc)|(penalty)|(\[timeout)|(PRM\|1\|D)|(kpr)|(kdp))" /e /r /s</v>
      </c>
      <c r="AG191" s="1" t="str">
        <f t="shared" si="100"/>
        <v>NW</v>
      </c>
      <c r="AH191" s="96" t="str">
        <f t="shared" si="70"/>
        <v>"%USERPROFILE%\Documents\GitHub\eaglep3\Utilities\RefineRTDCRunTimes.py" --tripid 833-26 --locoid 4044 --swversion DE.1.0.7.0 --startMP 204:965 --initTime 2016-09-26T17:11:19 --startdatetime 2016-09-26T17:21:17 --delay 1 --endMP 300:58982 --enddatetime 2016-09-26T17:35:14 --enforcementcount 0 &gt;&gt;C:\Users\stu\Documents\GitHub\eaglep3-reporting\EC\2016-09-26-refined-times.txt</v>
      </c>
      <c r="AI191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{"issue":{"subject":"","project_id":79,"tracker_id":40,"status_id":1,"priority_id":2,"assigned_to_id":23,"start_date":"2016-09-26","description":"","custom_fields":[{"id":1,"name":"Subdivision","value":"NW"},{"id":4,"name":"Milepost","value":"5.8982"},{"id":17,"name":"Train ID","value":"833-26"},{"id":16,"name":"Locomotive ID","value":"4044"},{"id":130,"name":"Impact","value":""},{"id":150,"name":"Time of Event (Mountain Time)","value":"17:35:14"},{"id":151,"name":"Denver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681</v>
      </c>
      <c r="B192" s="7">
        <v>4043</v>
      </c>
      <c r="C192" s="24" t="s">
        <v>106</v>
      </c>
      <c r="D192" s="24" t="s">
        <v>682</v>
      </c>
      <c r="E192" s="15">
        <v>42639.734456018516</v>
      </c>
      <c r="F192" s="15">
        <v>42639.73646990741</v>
      </c>
      <c r="G192" s="7">
        <v>1</v>
      </c>
      <c r="H192" s="15" t="s">
        <v>660</v>
      </c>
      <c r="I192" s="15">
        <v>42639.747407407405</v>
      </c>
      <c r="J192" s="7">
        <v>0</v>
      </c>
      <c r="K192" s="117" t="str">
        <f t="shared" si="88"/>
        <v>4043/4044</v>
      </c>
      <c r="L192" s="24" t="str">
        <f>VLOOKUP(A192,'Trips&amp;Operators'!$C$1:$E$10000,3,FALSE)</f>
        <v>BRUDER</v>
      </c>
      <c r="M192" s="6">
        <f t="shared" si="89"/>
        <v>1.0937499995634425E-2</v>
      </c>
      <c r="N192" s="7">
        <f t="shared" si="87"/>
        <v>15.749999993713573</v>
      </c>
      <c r="O192" s="7"/>
      <c r="P192" s="7"/>
      <c r="Q192" s="25"/>
      <c r="R192" s="25"/>
      <c r="S192" s="37">
        <f t="shared" si="90"/>
        <v>1</v>
      </c>
      <c r="T192" s="52" t="str">
        <f t="shared" si="91"/>
        <v>Southbound</v>
      </c>
      <c r="U192" s="15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16:37:37-0600',mode:absolute,to:'2016-09-26 18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2" s="54" t="str">
        <f t="shared" si="93"/>
        <v>N</v>
      </c>
      <c r="X192" s="164">
        <f t="shared" si="86"/>
        <v>1</v>
      </c>
      <c r="Y192" s="69">
        <f t="shared" si="94"/>
        <v>5.8666</v>
      </c>
      <c r="Z192" s="69">
        <f t="shared" si="95"/>
        <v>6.8699999999999997E-2</v>
      </c>
      <c r="AA192" s="69">
        <f t="shared" si="96"/>
        <v>5.7979000000000003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97"/>
        <v>0834-26</v>
      </c>
      <c r="AE192" s="95" t="str">
        <f t="shared" si="98"/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AF192" s="92" t="str">
        <f t="shared" si="99"/>
        <v>"C:\Program Files (x86)\AstroGrep\AstroGrep.exe" /spath="%USERPROFILE%\AppData\Local\Temp\OnboardLogs" /stypes="app*4043*20160926*" /stext=" 23:.+((SYSTEM_STATE.+slice.+state.+changed )|(ment ac)|(system.+state.+changed )|(\|lc)|(penalty)|(\[timeout)|(PRM\|1\|D)|(kpr)|(kdp))" /e /r /s</v>
      </c>
      <c r="AG192" s="1" t="str">
        <f t="shared" si="100"/>
        <v>NW</v>
      </c>
      <c r="AH192" s="96" t="str">
        <f t="shared" si="70"/>
        <v>"%USERPROFILE%\Documents\GitHub\eaglep3\Utilities\RefineRTDCRunTimes.py" --tripid 834-26 --locoid 4043 --swversion DE.1.0.7.0 --startMP 300:58666 --initTime 2016-09-26T17:37:37 --startdatetime 2016-09-26T17:40:31 --delay 1 --endMP 204:687 --enddatetime 2016-09-26T17:56:16 --enforcementcount 0 &gt;&gt;C:\Users\stu\Documents\GitHub\eaglep3-reporting\EC\2016-09-26-refined-times.txt</v>
      </c>
      <c r="AI192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{"issue":{"subject":"","project_id":79,"tracker_id":40,"status_id":1,"priority_id":2,"assigned_to_id":23,"start_date":"2016-09-26","description":"","custom_fields":[{"id":1,"name":"Subdivision","value":"NW"},{"id":4,"name":"Milepost","value":"0.0687"},{"id":17,"name":"Train ID","value":"834-26"},{"id":16,"name":"Locomotive ID","value":"4043"},{"id":130,"name":"Impact","value":""},{"id":150,"name":"Time of Event (Mountain Time)","value":"17:56:16"},{"id":151,"name":"Denver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683</v>
      </c>
      <c r="B193" s="7">
        <v>4029</v>
      </c>
      <c r="C193" s="24" t="s">
        <v>106</v>
      </c>
      <c r="D193" s="24" t="s">
        <v>651</v>
      </c>
      <c r="E193" s="15">
        <v>42639.73982638889</v>
      </c>
      <c r="F193" s="15">
        <v>42639.743981481479</v>
      </c>
      <c r="G193" s="7">
        <v>1</v>
      </c>
      <c r="H193" s="15" t="s">
        <v>684</v>
      </c>
      <c r="I193" s="15">
        <v>42639.753576388888</v>
      </c>
      <c r="J193" s="7">
        <v>0</v>
      </c>
      <c r="K193" s="117" t="str">
        <f t="shared" si="88"/>
        <v>4029/4030</v>
      </c>
      <c r="L193" s="24" t="str">
        <f>VLOOKUP(A193,'Trips&amp;Operators'!$C$1:$E$10000,3,FALSE)</f>
        <v>COOLAHAN</v>
      </c>
      <c r="M193" s="6">
        <f t="shared" si="89"/>
        <v>9.5949074093368836E-3</v>
      </c>
      <c r="N193" s="7">
        <f t="shared" si="87"/>
        <v>13.816666669445112</v>
      </c>
      <c r="O193" s="7"/>
      <c r="P193" s="7"/>
      <c r="Q193" s="25"/>
      <c r="R193" s="25"/>
      <c r="S193" s="37">
        <f t="shared" si="90"/>
        <v>1</v>
      </c>
      <c r="T193" s="52" t="str">
        <f t="shared" si="91"/>
        <v>NorthBound</v>
      </c>
      <c r="U193" s="15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16:45:21-0600',mode:absolute,to:'2016-09-26 19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3" s="54" t="str">
        <f t="shared" si="93"/>
        <v>N</v>
      </c>
      <c r="X193" s="164">
        <f t="shared" si="86"/>
        <v>1</v>
      </c>
      <c r="Y193" s="69">
        <f t="shared" si="94"/>
        <v>9.6199999999999994E-2</v>
      </c>
      <c r="Z193" s="69">
        <f t="shared" si="95"/>
        <v>5.8968999999999996</v>
      </c>
      <c r="AA193" s="69">
        <f t="shared" si="96"/>
        <v>5.8007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97"/>
        <v>0835-26</v>
      </c>
      <c r="AE193" s="95" t="str">
        <f t="shared" si="98"/>
        <v>aws s3 cp s3://rtdc.mdm.uploadarchive/RTDC4029/2016-09-26/ "%USERPROFILE%\AppData\Local\Temp\OnboardLogs"\RTDC4029\2016-09-26 --recursive &amp; "%USERPROFILE%\Documents\GitHub\mrs-test-scripts\Headless Mode &amp; Sideloading\WalkAndUnGZ.bat" "%USERPROFILE%\AppData\Local\Temp\OnboardLogs"\RTDC4029\2016-09-26 &amp; 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</v>
      </c>
      <c r="AF193" s="92" t="str">
        <f t="shared" si="99"/>
        <v>"C:\Program Files (x86)\AstroGrep\AstroGrep.exe" /spath="%USERPROFILE%\AppData\Local\Temp\OnboardLogs" /stypes="app*4029*20160927*" /stext=" 00:.+((SYSTEM_STATE.+slice.+state.+changed )|(ment ac)|(system.+state.+changed )|(\|lc)|(penalty)|(\[timeout)|(PRM\|1\|D)|(kpr)|(kdp))" /e /r /s</v>
      </c>
      <c r="AG193" s="1" t="str">
        <f t="shared" si="100"/>
        <v>NW</v>
      </c>
      <c r="AH193" s="96" t="str">
        <f t="shared" si="70"/>
        <v>"%USERPROFILE%\Documents\GitHub\eaglep3\Utilities\RefineRTDCRunTimes.py" --tripid 835-26 --locoid 4029 --swversion DE.1.0.7.0 --startMP 204:962 --initTime 2016-09-26T17:45:21 --startdatetime 2016-09-26T17:51:20 --delay 1 --endMP 300:58969 --enddatetime 2016-09-26T18:05:09 --enforcementcount 0 &gt;&gt;C:\Users\stu\Documents\GitHub\eaglep3-reporting\EC\2016-09-26-refined-times.txt</v>
      </c>
      <c r="AI193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{"issue":{"subject":"","project_id":79,"tracker_id":40,"status_id":1,"priority_id":2,"assigned_to_id":23,"start_date":"2016-09-26","description":"","custom_fields":[{"id":1,"name":"Subdivision","value":"NW"},{"id":4,"name":"Milepost","value":"5.8969"},{"id":17,"name":"Train ID","value":"835-26"},{"id":16,"name":"Locomotive ID","value":"4029"},{"id":130,"name":"Impact","value":""},{"id":150,"name":"Time of Event (Mountain Time)","value":"18:05:09"},{"id":151,"name":"Denver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685</v>
      </c>
      <c r="B194" s="7">
        <v>4030</v>
      </c>
      <c r="C194" s="24" t="s">
        <v>106</v>
      </c>
      <c r="D194" s="24" t="s">
        <v>686</v>
      </c>
      <c r="E194" s="15">
        <v>42639.754444444443</v>
      </c>
      <c r="F194" s="15">
        <v>42639.75582175926</v>
      </c>
      <c r="G194" s="7">
        <v>1</v>
      </c>
      <c r="H194" s="15" t="s">
        <v>591</v>
      </c>
      <c r="I194" s="15">
        <v>42639.767997685187</v>
      </c>
      <c r="J194" s="7">
        <v>0</v>
      </c>
      <c r="K194" s="117" t="str">
        <f t="shared" si="88"/>
        <v>4029/4030</v>
      </c>
      <c r="L194" s="24" t="str">
        <f>VLOOKUP(A194,'Trips&amp;Operators'!$C$1:$E$10000,3,FALSE)</f>
        <v>COOLAHAN</v>
      </c>
      <c r="M194" s="6">
        <f t="shared" si="89"/>
        <v>1.2175925927294884E-2</v>
      </c>
      <c r="N194" s="7">
        <f t="shared" si="87"/>
        <v>17.533333335304633</v>
      </c>
      <c r="O194" s="7"/>
      <c r="P194" s="7"/>
      <c r="Q194" s="25"/>
      <c r="R194" s="25"/>
      <c r="S194" s="37">
        <f t="shared" si="90"/>
        <v>1</v>
      </c>
      <c r="T194" s="52" t="str">
        <f t="shared" si="91"/>
        <v>Southbound</v>
      </c>
      <c r="U194" s="15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17:06:24-0600',mode:absolute,to:'2016-09-26 19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94" s="54" t="str">
        <f t="shared" si="93"/>
        <v>N</v>
      </c>
      <c r="X194" s="164">
        <f t="shared" si="86"/>
        <v>1</v>
      </c>
      <c r="Y194" s="69">
        <f t="shared" si="94"/>
        <v>5.8658000000000001</v>
      </c>
      <c r="Z194" s="69">
        <f t="shared" si="95"/>
        <v>6.5600000000000006E-2</v>
      </c>
      <c r="AA194" s="69">
        <f t="shared" si="96"/>
        <v>5.8002000000000002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97"/>
        <v>0836-26</v>
      </c>
      <c r="AE194" s="95" t="str">
        <f t="shared" si="98"/>
        <v>aws s3 cp s3://rtdc.mdm.uploadarchive/RTDC4030/2016-09-26/ "%USERPROFILE%\AppData\Local\Temp\OnboardLogs"\RTDC4030\2016-09-26 --recursive &amp; "%USERPROFILE%\Documents\GitHub\mrs-test-scripts\Headless Mode &amp; Sideloading\WalkAndUnGZ.bat" "%USERPROFILE%\AppData\Local\Temp\OnboardLogs"\RTDC4030\2016-09-26 &amp; 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</v>
      </c>
      <c r="AF194" s="92" t="str">
        <f t="shared" si="99"/>
        <v>"C:\Program Files (x86)\AstroGrep\AstroGrep.exe" /spath="%USERPROFILE%\AppData\Local\Temp\OnboardLogs" /stypes="app*4030*20160927*" /stext=" 00:.+((SYSTEM_STATE.+slice.+state.+changed )|(ment ac)|(system.+state.+changed )|(\|lc)|(penalty)|(\[timeout)|(PRM\|1\|D)|(kpr)|(kdp))" /e /r /s</v>
      </c>
      <c r="AG194" s="1" t="str">
        <f t="shared" si="100"/>
        <v>NW</v>
      </c>
      <c r="AH194" s="96" t="str">
        <f t="shared" si="70"/>
        <v>"%USERPROFILE%\Documents\GitHub\eaglep3\Utilities\RefineRTDCRunTimes.py" --tripid 836-26 --locoid 4030 --swversion DE.1.0.7.0 --startMP 300:58658 --initTime 2016-09-26T18:06:24 --startdatetime 2016-09-26T18:08:23 --delay 1 --endMP 204:656 --enddatetime 2016-09-26T18:25:55 --enforcementcount 0 &gt;&gt;C:\Users\stu\Documents\GitHub\eaglep3-reporting\EC\2016-09-26-refined-times.txt</v>
      </c>
      <c r="AI194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{"issue":{"subject":"","project_id":79,"tracker_id":40,"status_id":1,"priority_id":2,"assigned_to_id":23,"start_date":"2016-09-26","description":"","custom_fields":[{"id":1,"name":"Subdivision","value":"NW"},{"id":4,"name":"Milepost","value":"0.0656"},{"id":17,"name":"Train ID","value":"836-26"},{"id":16,"name":"Locomotive ID","value":"4030"},{"id":130,"name":"Impact","value":""},{"id":150,"name":"Time of Event (Mountain Time)","value":"18:25:55"},{"id":151,"name":"Denver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687</v>
      </c>
      <c r="B195" s="7">
        <v>4044</v>
      </c>
      <c r="C195" s="24" t="s">
        <v>106</v>
      </c>
      <c r="D195" s="24" t="s">
        <v>688</v>
      </c>
      <c r="E195" s="15">
        <v>42639.760162037041</v>
      </c>
      <c r="F195" s="15">
        <v>42639.764791666668</v>
      </c>
      <c r="G195" s="7">
        <v>1</v>
      </c>
      <c r="H195" s="15" t="s">
        <v>684</v>
      </c>
      <c r="I195" s="15">
        <v>42639.77443287037</v>
      </c>
      <c r="J195" s="7">
        <v>0</v>
      </c>
      <c r="K195" s="117" t="str">
        <f t="shared" si="88"/>
        <v>4043/4044</v>
      </c>
      <c r="L195" s="24" t="str">
        <f>VLOOKUP(A195,'Trips&amp;Operators'!$C$1:$E$10000,3,FALSE)</f>
        <v>BRUDER</v>
      </c>
      <c r="M195" s="6">
        <f t="shared" si="89"/>
        <v>9.6412037019035779E-3</v>
      </c>
      <c r="N195" s="7">
        <f t="shared" si="87"/>
        <v>13.883333330741152</v>
      </c>
      <c r="O195" s="7"/>
      <c r="P195" s="7"/>
      <c r="Q195" s="25"/>
      <c r="R195" s="25"/>
      <c r="S195" s="37">
        <f t="shared" si="90"/>
        <v>1</v>
      </c>
      <c r="T195" s="52" t="str">
        <f t="shared" si="91"/>
        <v>NorthBound</v>
      </c>
      <c r="U195" s="15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17:14:38-0600',mode:absolute,to:'2016-09-26 19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5" s="54" t="str">
        <f t="shared" si="93"/>
        <v>N</v>
      </c>
      <c r="X195" s="164">
        <f t="shared" si="86"/>
        <v>1</v>
      </c>
      <c r="Y195" s="69">
        <f t="shared" si="94"/>
        <v>9.74E-2</v>
      </c>
      <c r="Z195" s="69">
        <f t="shared" si="95"/>
        <v>5.8968999999999996</v>
      </c>
      <c r="AA195" s="69">
        <f t="shared" si="96"/>
        <v>5.7994999999999992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97"/>
        <v>0837-26</v>
      </c>
      <c r="AE195" s="95" t="str">
        <f t="shared" si="98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195" s="92" t="str">
        <f t="shared" si="99"/>
        <v>"C:\Program Files (x86)\AstroGrep\AstroGrep.exe" /spath="%USERPROFILE%\AppData\Local\Temp\OnboardLogs" /stypes="app*4044*20160927*" /stext=" 00:.+((SYSTEM_STATE.+slice.+state.+changed )|(ment ac)|(system.+state.+changed )|(\|lc)|(penalty)|(\[timeout)|(PRM\|1\|D)|(kpr)|(kdp))" /e /r /s</v>
      </c>
      <c r="AG195" s="1" t="str">
        <f t="shared" si="100"/>
        <v>NW</v>
      </c>
      <c r="AH195" s="96" t="str">
        <f t="shared" si="70"/>
        <v>"%USERPROFILE%\Documents\GitHub\eaglep3\Utilities\RefineRTDCRunTimes.py" --tripid 837-26 --locoid 4044 --swversion DE.1.0.7.0 --startMP 204:974 --initTime 2016-09-26T18:14:38 --startdatetime 2016-09-26T18:21:18 --delay 1 --endMP 300:58969 --enddatetime 2016-09-26T18:35:11 --enforcementcount 0 &gt;&gt;C:\Users\stu\Documents\GitHub\eaglep3-reporting\EC\2016-09-26-refined-times.txt</v>
      </c>
      <c r="AI195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{"issue":{"subject":"","project_id":79,"tracker_id":40,"status_id":1,"priority_id":2,"assigned_to_id":23,"start_date":"2016-09-26","description":"","custom_fields":[{"id":1,"name":"Subdivision","value":"NW"},{"id":4,"name":"Milepost","value":"5.8969"},{"id":17,"name":"Train ID","value":"837-26"},{"id":16,"name":"Locomotive ID","value":"4044"},{"id":130,"name":"Impact","value":""},{"id":150,"name":"Time of Event (Mountain Time)","value":"18:35:11"},{"id":151,"name":"Denver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689</v>
      </c>
      <c r="B196" s="7">
        <v>4043</v>
      </c>
      <c r="C196" s="24" t="s">
        <v>106</v>
      </c>
      <c r="D196" s="24" t="s">
        <v>690</v>
      </c>
      <c r="E196" s="15">
        <v>42639.775706018518</v>
      </c>
      <c r="F196" s="15">
        <v>42639.777141203704</v>
      </c>
      <c r="G196" s="7">
        <v>1</v>
      </c>
      <c r="H196" s="15" t="s">
        <v>691</v>
      </c>
      <c r="I196" s="15">
        <v>42639.788842592592</v>
      </c>
      <c r="J196" s="7">
        <v>0</v>
      </c>
      <c r="K196" s="117" t="str">
        <f t="shared" si="88"/>
        <v>4043/4044</v>
      </c>
      <c r="L196" s="24" t="str">
        <f>VLOOKUP(A196,'Trips&amp;Operators'!$C$1:$E$10000,3,FALSE)</f>
        <v>BRUDER</v>
      </c>
      <c r="M196" s="6">
        <f t="shared" si="89"/>
        <v>1.17013888884685E-2</v>
      </c>
      <c r="N196" s="7">
        <f t="shared" si="87"/>
        <v>16.84999999939464</v>
      </c>
      <c r="O196" s="7"/>
      <c r="P196" s="7"/>
      <c r="Q196" s="25"/>
      <c r="R196" s="25"/>
      <c r="S196" s="37">
        <f t="shared" si="90"/>
        <v>1</v>
      </c>
      <c r="T196" s="52" t="str">
        <f t="shared" si="91"/>
        <v>Southbound</v>
      </c>
      <c r="U196" s="15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17:37:01-0600',mode:absolute,to:'2016-09-26 19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6" s="54" t="str">
        <f t="shared" si="93"/>
        <v>N</v>
      </c>
      <c r="X196" s="164">
        <f t="shared" si="86"/>
        <v>1</v>
      </c>
      <c r="Y196" s="69">
        <f t="shared" si="94"/>
        <v>5.8654999999999999</v>
      </c>
      <c r="Z196" s="69">
        <f t="shared" si="95"/>
        <v>6.6799999999999998E-2</v>
      </c>
      <c r="AA196" s="69">
        <f t="shared" si="96"/>
        <v>5.7987000000000002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97"/>
        <v>0838-26</v>
      </c>
      <c r="AE196" s="95" t="str">
        <f t="shared" si="98"/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AF196" s="92" t="str">
        <f t="shared" si="99"/>
        <v>"C:\Program Files (x86)\AstroGrep\AstroGrep.exe" /spath="%USERPROFILE%\AppData\Local\Temp\OnboardLogs" /stypes="app*4043*20160927*" /stext=" 00:.+((SYSTEM_STATE.+slice.+state.+changed )|(ment ac)|(system.+state.+changed )|(\|lc)|(penalty)|(\[timeout)|(PRM\|1\|D)|(kpr)|(kdp))" /e /r /s</v>
      </c>
      <c r="AG196" s="1" t="str">
        <f t="shared" si="100"/>
        <v>NW</v>
      </c>
      <c r="AH196" s="96" t="str">
        <f t="shared" si="70"/>
        <v>"%USERPROFILE%\Documents\GitHub\eaglep3\Utilities\RefineRTDCRunTimes.py" --tripid 838-26 --locoid 4043 --swversion DE.1.0.7.0 --startMP 300:58655 --initTime 2016-09-26T18:37:01 --startdatetime 2016-09-26T18:39:05 --delay 1 --endMP 204:668 --enddatetime 2016-09-26T18:55:56 --enforcementcount 0 &gt;&gt;C:\Users\stu\Documents\GitHub\eaglep3-reporting\EC\2016-09-26-refined-times.txt</v>
      </c>
      <c r="AI196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{"issue":{"subject":"","project_id":79,"tracker_id":40,"status_id":1,"priority_id":2,"assigned_to_id":23,"start_date":"2016-09-26","description":"","custom_fields":[{"id":1,"name":"Subdivision","value":"NW"},{"id":4,"name":"Milepost","value":"0.0668"},{"id":17,"name":"Train ID","value":"838-26"},{"id":16,"name":"Locomotive ID","value":"4043"},{"id":130,"name":"Impact","value":""},{"id":150,"name":"Time of Event (Mountain Time)","value":"18:55:56"},{"id":151,"name":"Denver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692</v>
      </c>
      <c r="B197" s="7">
        <v>4029</v>
      </c>
      <c r="C197" s="24" t="s">
        <v>106</v>
      </c>
      <c r="D197" s="24" t="s">
        <v>693</v>
      </c>
      <c r="E197" s="15">
        <v>42639.78125</v>
      </c>
      <c r="F197" s="15">
        <v>42639.785671296297</v>
      </c>
      <c r="G197" s="7">
        <v>1</v>
      </c>
      <c r="H197" s="15" t="s">
        <v>694</v>
      </c>
      <c r="I197" s="15">
        <v>42639.795162037037</v>
      </c>
      <c r="J197" s="7">
        <v>0</v>
      </c>
      <c r="K197" s="117" t="str">
        <f t="shared" si="88"/>
        <v>4029/4030</v>
      </c>
      <c r="L197" s="24" t="str">
        <f>VLOOKUP(A197,'Trips&amp;Operators'!$C$1:$E$10000,3,FALSE)</f>
        <v>COOLAHAN</v>
      </c>
      <c r="M197" s="6">
        <f t="shared" si="89"/>
        <v>9.4907407401478849E-3</v>
      </c>
      <c r="N197" s="7">
        <f t="shared" si="87"/>
        <v>13.666666665812954</v>
      </c>
      <c r="O197" s="7"/>
      <c r="P197" s="7"/>
      <c r="Q197" s="25"/>
      <c r="R197" s="25"/>
      <c r="S197" s="37">
        <f t="shared" si="90"/>
        <v>1</v>
      </c>
      <c r="T197" s="52" t="str">
        <f t="shared" si="91"/>
        <v>NorthBound</v>
      </c>
      <c r="U197" s="15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17:45:00-0600',mode:absolute,to:'2016-09-26 20:05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7" s="54" t="str">
        <f t="shared" si="93"/>
        <v>N</v>
      </c>
      <c r="X197" s="164">
        <f t="shared" si="86"/>
        <v>1</v>
      </c>
      <c r="Y197" s="69">
        <f t="shared" si="94"/>
        <v>9.5000000000000001E-2</v>
      </c>
      <c r="Z197" s="69">
        <f t="shared" si="95"/>
        <v>5.8952</v>
      </c>
      <c r="AA197" s="69">
        <f t="shared" si="96"/>
        <v>5.8002000000000002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97"/>
        <v>0839-26</v>
      </c>
      <c r="AE197" s="95" t="str">
        <f t="shared" si="98"/>
        <v>aws s3 cp s3://rtdc.mdm.uploadarchive/RTDC4029/2016-09-26/ "%USERPROFILE%\AppData\Local\Temp\OnboardLogs"\RTDC4029\2016-09-26 --recursive &amp; "%USERPROFILE%\Documents\GitHub\mrs-test-scripts\Headless Mode &amp; Sideloading\WalkAndUnGZ.bat" "%USERPROFILE%\AppData\Local\Temp\OnboardLogs"\RTDC4029\2016-09-26 &amp; 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</v>
      </c>
      <c r="AF197" s="92" t="str">
        <f t="shared" si="99"/>
        <v>"C:\Program Files (x86)\AstroGrep\AstroGrep.exe" /spath="%USERPROFILE%\AppData\Local\Temp\OnboardLogs" /stypes="app*4029*20160927*" /stext=" 01:.+((SYSTEM_STATE.+slice.+state.+changed )|(ment ac)|(system.+state.+changed )|(\|lc)|(penalty)|(\[timeout)|(PRM\|1\|D)|(kpr)|(kdp))" /e /r /s</v>
      </c>
      <c r="AG197" s="1" t="str">
        <f t="shared" si="100"/>
        <v>NW</v>
      </c>
      <c r="AH197" s="96" t="str">
        <f t="shared" si="70"/>
        <v>"%USERPROFILE%\Documents\GitHub\eaglep3\Utilities\RefineRTDCRunTimes.py" --tripid 839-26 --locoid 4029 --swversion DE.1.0.7.0 --startMP 204:950 --initTime 2016-09-26T18:45:00 --startdatetime 2016-09-26T18:51:22 --delay 1 --endMP 300:58952 --enddatetime 2016-09-26T19:05:02 --enforcementcount 0 &gt;&gt;C:\Users\stu\Documents\GitHub\eaglep3-reporting\EC\2016-09-26-refined-times.txt</v>
      </c>
      <c r="AI197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{"issue":{"subject":"","project_id":79,"tracker_id":40,"status_id":1,"priority_id":2,"assigned_to_id":23,"start_date":"2016-09-26","description":"","custom_fields":[{"id":1,"name":"Subdivision","value":"NW"},{"id":4,"name":"Milepost","value":"5.8952"},{"id":17,"name":"Train ID","value":"839-26"},{"id":16,"name":"Locomotive ID","value":"4029"},{"id":130,"name":"Impact","value":""},{"id":150,"name":"Time of Event (Mountain Time)","value":"19:05:02"},{"id":151,"name":"Denver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695</v>
      </c>
      <c r="B198" s="7">
        <v>4043</v>
      </c>
      <c r="C198" s="24" t="s">
        <v>106</v>
      </c>
      <c r="D198" s="24" t="s">
        <v>360</v>
      </c>
      <c r="E198" s="15">
        <v>42639.817800925928</v>
      </c>
      <c r="F198" s="15">
        <v>42639.819421296299</v>
      </c>
      <c r="G198" s="7">
        <v>1</v>
      </c>
      <c r="H198" s="15" t="s">
        <v>660</v>
      </c>
      <c r="I198" s="15">
        <v>42639.829988425925</v>
      </c>
      <c r="J198" s="7">
        <v>0</v>
      </c>
      <c r="K198" s="117" t="str">
        <f t="shared" si="88"/>
        <v>4043/4044</v>
      </c>
      <c r="L198" s="24" t="str">
        <f>VLOOKUP(A198,'Trips&amp;Operators'!$C$1:$E$10000,3,FALSE)</f>
        <v>BRUDER</v>
      </c>
      <c r="M198" s="6">
        <f t="shared" si="89"/>
        <v>1.056712962599704E-2</v>
      </c>
      <c r="N198" s="7">
        <f t="shared" si="87"/>
        <v>15.216666661435738</v>
      </c>
      <c r="O198" s="7"/>
      <c r="P198" s="7"/>
      <c r="Q198" s="25"/>
      <c r="R198" s="25"/>
      <c r="S198" s="37">
        <f t="shared" si="90"/>
        <v>1</v>
      </c>
      <c r="T198" s="52" t="str">
        <f t="shared" si="91"/>
        <v>Southbound</v>
      </c>
      <c r="U198" s="15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18:37:38-0600',mode:absolute,to:'2016-09-26 20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8" s="54" t="str">
        <f t="shared" si="93"/>
        <v>N</v>
      </c>
      <c r="X198" s="164">
        <f t="shared" si="86"/>
        <v>1</v>
      </c>
      <c r="Y198" s="69">
        <f t="shared" si="94"/>
        <v>5.8678999999999997</v>
      </c>
      <c r="Z198" s="69">
        <f t="shared" si="95"/>
        <v>6.8699999999999997E-2</v>
      </c>
      <c r="AA198" s="69">
        <f t="shared" si="96"/>
        <v>5.7991999999999999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97"/>
        <v>0840-26</v>
      </c>
      <c r="AE198" s="95" t="str">
        <f t="shared" si="98"/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AF198" s="92" t="str">
        <f t="shared" si="99"/>
        <v>"C:\Program Files (x86)\AstroGrep\AstroGrep.exe" /spath="%USERPROFILE%\AppData\Local\Temp\OnboardLogs" /stypes="app*4043*20160927*" /stext=" 01:.+((SYSTEM_STATE.+slice.+state.+changed )|(ment ac)|(system.+state.+changed )|(\|lc)|(penalty)|(\[timeout)|(PRM\|1\|D)|(kpr)|(kdp))" /e /r /s</v>
      </c>
      <c r="AG198" s="1" t="str">
        <f t="shared" si="100"/>
        <v>NW</v>
      </c>
      <c r="AH198" s="96" t="str">
        <f t="shared" si="70"/>
        <v>"%USERPROFILE%\Documents\GitHub\eaglep3\Utilities\RefineRTDCRunTimes.py" --tripid 840-26 --locoid 4043 --swversion DE.1.0.7.0 --startMP 300:58679 --initTime 2016-09-26T19:37:38 --startdatetime 2016-09-26T19:39:58 --delay 1 --endMP 204:687 --enddatetime 2016-09-26T19:55:11 --enforcementcount 0 &gt;&gt;C:\Users\stu\Documents\GitHub\eaglep3-reporting\EC\2016-09-26-refined-times.txt</v>
      </c>
      <c r="AI198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{"issue":{"subject":"","project_id":79,"tracker_id":40,"status_id":1,"priority_id":2,"assigned_to_id":23,"start_date":"2016-09-26","description":"","custom_fields":[{"id":1,"name":"Subdivision","value":"NW"},{"id":4,"name":"Milepost","value":"0.0687"},{"id":17,"name":"Train ID","value":"840-26"},{"id":16,"name":"Locomotive ID","value":"4043"},{"id":130,"name":"Impact","value":""},{"id":150,"name":"Time of Event (Mountain Time)","value":"19:55:11"},{"id":151,"name":"Denver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696</v>
      </c>
      <c r="B199" s="7">
        <v>4044</v>
      </c>
      <c r="C199" s="24" t="s">
        <v>106</v>
      </c>
      <c r="D199" s="24" t="s">
        <v>697</v>
      </c>
      <c r="E199" s="15">
        <v>42639.799525462964</v>
      </c>
      <c r="F199" s="15">
        <v>42639.806504629632</v>
      </c>
      <c r="G199" s="7">
        <v>1</v>
      </c>
      <c r="H199" s="15" t="s">
        <v>698</v>
      </c>
      <c r="I199" s="15">
        <v>42639.816238425927</v>
      </c>
      <c r="J199" s="7">
        <v>0</v>
      </c>
      <c r="K199" s="117" t="str">
        <f t="shared" si="88"/>
        <v>4043/4044</v>
      </c>
      <c r="L199" s="24" t="str">
        <f>VLOOKUP(A199,'Trips&amp;Operators'!$C$1:$E$10000,3,FALSE)</f>
        <v>BRUDER</v>
      </c>
      <c r="M199" s="6">
        <f t="shared" si="89"/>
        <v>9.7337962943129241E-3</v>
      </c>
      <c r="N199" s="7">
        <f t="shared" si="87"/>
        <v>14.016666663810611</v>
      </c>
      <c r="O199" s="7"/>
      <c r="P199" s="7"/>
      <c r="Q199" s="25"/>
      <c r="R199" s="25"/>
      <c r="S199" s="37">
        <f t="shared" si="90"/>
        <v>1</v>
      </c>
      <c r="T199" s="52" t="str">
        <f t="shared" si="91"/>
        <v>NorthBound</v>
      </c>
      <c r="U199" s="15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18:11:19-0600',mode:absolute,to:'2016-09-26 20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9" s="54" t="str">
        <f t="shared" si="93"/>
        <v>N</v>
      </c>
      <c r="X199" s="164">
        <f t="shared" si="86"/>
        <v>1</v>
      </c>
      <c r="Y199" s="69">
        <f t="shared" si="94"/>
        <v>9.6699999999999994E-2</v>
      </c>
      <c r="Z199" s="69">
        <f t="shared" si="95"/>
        <v>5.8997000000000002</v>
      </c>
      <c r="AA199" s="69">
        <f t="shared" si="96"/>
        <v>5.8029999999999999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97"/>
        <v>0841-26</v>
      </c>
      <c r="AE199" s="95" t="str">
        <f t="shared" si="98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199" s="92" t="str">
        <f t="shared" si="99"/>
        <v>"C:\Program Files (x86)\AstroGrep\AstroGrep.exe" /spath="%USERPROFILE%\AppData\Local\Temp\OnboardLogs" /stypes="app*4044*20160927*" /stext=" 01:.+((SYSTEM_STATE.+slice.+state.+changed )|(ment ac)|(system.+state.+changed )|(\|lc)|(penalty)|(\[timeout)|(PRM\|1\|D)|(kpr)|(kdp))" /e /r /s</v>
      </c>
      <c r="AG199" s="1" t="str">
        <f t="shared" si="100"/>
        <v>NW</v>
      </c>
      <c r="AH199" s="96" t="str">
        <f t="shared" si="70"/>
        <v>"%USERPROFILE%\Documents\GitHub\eaglep3\Utilities\RefineRTDCRunTimes.py" --tripid 841-26 --locoid 4044 --swversion DE.1.0.7.0 --startMP 204:967 --initTime 2016-09-26T19:11:19 --startdatetime 2016-09-26T19:21:22 --delay 1 --endMP 300:58997 --enddatetime 2016-09-26T19:35:23 --enforcementcount 0 &gt;&gt;C:\Users\stu\Documents\GitHub\eaglep3-reporting\EC\2016-09-26-refined-times.txt</v>
      </c>
      <c r="AI199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{"issue":{"subject":"","project_id":79,"tracker_id":40,"status_id":1,"priority_id":2,"assigned_to_id":23,"start_date":"2016-09-26","description":"","custom_fields":[{"id":1,"name":"Subdivision","value":"NW"},{"id":4,"name":"Milepost","value":"5.8997"},{"id":17,"name":"Train ID","value":"841-26"},{"id":16,"name":"Locomotive ID","value":"4044"},{"id":130,"name":"Impact","value":""},{"id":150,"name":"Time of Event (Mountain Time)","value":"19:35:23"},{"id":151,"name":"Denver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699</v>
      </c>
      <c r="B200" s="7">
        <v>4043</v>
      </c>
      <c r="C200" s="24" t="s">
        <v>106</v>
      </c>
      <c r="D200" s="24" t="s">
        <v>700</v>
      </c>
      <c r="E200" s="15">
        <v>42639.859074074076</v>
      </c>
      <c r="F200" s="15">
        <v>42639.860636574071</v>
      </c>
      <c r="G200" s="7">
        <v>1</v>
      </c>
      <c r="H200" s="15" t="s">
        <v>597</v>
      </c>
      <c r="I200" s="15">
        <v>42639.871562499997</v>
      </c>
      <c r="J200" s="7">
        <v>0</v>
      </c>
      <c r="K200" s="117" t="str">
        <f t="shared" si="88"/>
        <v>4043/4044</v>
      </c>
      <c r="L200" s="24" t="str">
        <f>VLOOKUP(A200,'Trips&amp;Operators'!$C$1:$E$10000,3,FALSE)</f>
        <v>BRUDER</v>
      </c>
      <c r="M200" s="6">
        <f t="shared" si="89"/>
        <v>1.0925925926130731E-2</v>
      </c>
      <c r="N200" s="7">
        <f t="shared" si="87"/>
        <v>15.733333333628252</v>
      </c>
      <c r="O200" s="7"/>
      <c r="P200" s="7"/>
      <c r="Q200" s="25"/>
      <c r="R200" s="25"/>
      <c r="S200" s="37">
        <f t="shared" si="90"/>
        <v>1</v>
      </c>
      <c r="T200" s="52" t="str">
        <f t="shared" si="91"/>
        <v>Southbound</v>
      </c>
      <c r="U200" s="15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19:37:04-0600',mode:absolute,to:'2016-09-26 21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00" s="54" t="str">
        <f t="shared" si="93"/>
        <v>N</v>
      </c>
      <c r="X200" s="164">
        <f t="shared" si="86"/>
        <v>1</v>
      </c>
      <c r="Y200" s="69">
        <f t="shared" si="94"/>
        <v>5.8638000000000003</v>
      </c>
      <c r="Z200" s="69">
        <f t="shared" si="95"/>
        <v>6.9400000000000003E-2</v>
      </c>
      <c r="AA200" s="69">
        <f t="shared" si="96"/>
        <v>5.7944000000000004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97"/>
        <v>0842-26</v>
      </c>
      <c r="AE200" s="95" t="str">
        <f t="shared" si="98"/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AF200" s="92" t="str">
        <f t="shared" si="99"/>
        <v>"C:\Program Files (x86)\AstroGrep\AstroGrep.exe" /spath="%USERPROFILE%\AppData\Local\Temp\OnboardLogs" /stypes="app*4043*20160927*" /stext=" 02:.+((SYSTEM_STATE.+slice.+state.+changed )|(ment ac)|(system.+state.+changed )|(\|lc)|(penalty)|(\[timeout)|(PRM\|1\|D)|(kpr)|(kdp))" /e /r /s</v>
      </c>
      <c r="AG200" s="1" t="str">
        <f t="shared" si="100"/>
        <v>NW</v>
      </c>
      <c r="AH200" s="96" t="str">
        <f t="shared" si="70"/>
        <v>"%USERPROFILE%\Documents\GitHub\eaglep3\Utilities\RefineRTDCRunTimes.py" --tripid 842-26 --locoid 4043 --swversion DE.1.0.7.0 --startMP 300:58638 --initTime 2016-09-26T20:37:04 --startdatetime 2016-09-26T20:39:19 --delay 1 --endMP 204:694 --enddatetime 2016-09-26T20:55:03 --enforcementcount 0 &gt;&gt;C:\Users\stu\Documents\GitHub\eaglep3-reporting\EC\2016-09-26-refined-times.txt</v>
      </c>
      <c r="AI200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{"issue":{"subject":"","project_id":79,"tracker_id":40,"status_id":1,"priority_id":2,"assigned_to_id":23,"start_date":"2016-09-26","description":"","custom_fields":[{"id":1,"name":"Subdivision","value":"NW"},{"id":4,"name":"Milepost","value":"0.0694"},{"id":17,"name":"Train ID","value":"842-26"},{"id":16,"name":"Locomotive ID","value":"4043"},{"id":130,"name":"Impact","value":""},{"id":150,"name":"Time of Event (Mountain Time)","value":"20:55:03"},{"id":151,"name":"Denver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701</v>
      </c>
      <c r="B201" s="7">
        <v>4044</v>
      </c>
      <c r="C201" s="24" t="s">
        <v>106</v>
      </c>
      <c r="D201" s="24" t="s">
        <v>656</v>
      </c>
      <c r="E201" s="15">
        <v>42639.834907407407</v>
      </c>
      <c r="F201" s="15">
        <v>42639.848113425927</v>
      </c>
      <c r="G201" s="7">
        <v>1</v>
      </c>
      <c r="H201" s="15" t="s">
        <v>702</v>
      </c>
      <c r="I201" s="15">
        <v>42639.857569444444</v>
      </c>
      <c r="J201" s="7">
        <v>0</v>
      </c>
      <c r="K201" s="117" t="str">
        <f t="shared" si="88"/>
        <v>4043/4044</v>
      </c>
      <c r="L201" s="24" t="str">
        <f>VLOOKUP(A201,'Trips&amp;Operators'!$C$1:$E$10000,3,FALSE)</f>
        <v>BRUDER</v>
      </c>
      <c r="M201" s="6">
        <f t="shared" si="89"/>
        <v>9.4560185170848854E-3</v>
      </c>
      <c r="N201" s="7">
        <f t="shared" si="87"/>
        <v>13.616666664602235</v>
      </c>
      <c r="O201" s="7"/>
      <c r="P201" s="7"/>
      <c r="Q201" s="25"/>
      <c r="R201" s="25"/>
      <c r="S201" s="37">
        <f t="shared" si="90"/>
        <v>1</v>
      </c>
      <c r="T201" s="52" t="str">
        <f t="shared" si="91"/>
        <v>NorthBound</v>
      </c>
      <c r="U201" s="15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19:02:16-0600',mode:absolute,to:'2016-09-26 21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1" s="54" t="str">
        <f t="shared" si="93"/>
        <v>N</v>
      </c>
      <c r="X201" s="164">
        <f t="shared" si="86"/>
        <v>1</v>
      </c>
      <c r="Y201" s="69">
        <f t="shared" si="94"/>
        <v>9.69E-2</v>
      </c>
      <c r="Z201" s="69">
        <f t="shared" si="95"/>
        <v>5.8949999999999996</v>
      </c>
      <c r="AA201" s="69">
        <f t="shared" si="96"/>
        <v>5.7980999999999998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97"/>
        <v>0843-26</v>
      </c>
      <c r="AE201" s="95" t="str">
        <f t="shared" si="98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201" s="92" t="str">
        <f t="shared" si="99"/>
        <v>"C:\Program Files (x86)\AstroGrep\AstroGrep.exe" /spath="%USERPROFILE%\AppData\Local\Temp\OnboardLogs" /stypes="app*4044*20160927*" /stext=" 02:.+((SYSTEM_STATE.+slice.+state.+changed )|(ment ac)|(system.+state.+changed )|(\|lc)|(penalty)|(\[timeout)|(PRM\|1\|D)|(kpr)|(kdp))" /e /r /s</v>
      </c>
      <c r="AG201" s="1" t="str">
        <f t="shared" si="100"/>
        <v>NW</v>
      </c>
      <c r="AH201" s="96" t="str">
        <f t="shared" si="70"/>
        <v>"%USERPROFILE%\Documents\GitHub\eaglep3\Utilities\RefineRTDCRunTimes.py" --tripid 843-26 --locoid 4044 --swversion DE.1.0.7.0 --startMP 204:969 --initTime 2016-09-26T20:02:16 --startdatetime 2016-09-26T20:21:17 --delay 1 --endMP 300:58950 --enddatetime 2016-09-26T20:34:54 --enforcementcount 0 &gt;&gt;C:\Users\stu\Documents\GitHub\eaglep3-reporting\EC\2016-09-26-refined-times.txt</v>
      </c>
      <c r="AI201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{"issue":{"subject":"","project_id":79,"tracker_id":40,"status_id":1,"priority_id":2,"assigned_to_id":23,"start_date":"2016-09-26","description":"","custom_fields":[{"id":1,"name":"Subdivision","value":"NW"},{"id":4,"name":"Milepost","value":"5.895"},{"id":17,"name":"Train ID","value":"843-26"},{"id":16,"name":"Locomotive ID","value":"4044"},{"id":130,"name":"Impact","value":""},{"id":150,"name":"Time of Event (Mountain Time)","value":"20:34:54"},{"id":151,"name":"Denver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703</v>
      </c>
      <c r="B202" s="7">
        <v>4044</v>
      </c>
      <c r="C202" s="24" t="s">
        <v>106</v>
      </c>
      <c r="D202" s="24" t="s">
        <v>704</v>
      </c>
      <c r="E202" s="15">
        <v>42639.881863425922</v>
      </c>
      <c r="F202" s="15">
        <v>42639.890023148146</v>
      </c>
      <c r="G202" s="7">
        <v>1</v>
      </c>
      <c r="H202" s="15" t="s">
        <v>646</v>
      </c>
      <c r="I202" s="15">
        <v>42639.899328703701</v>
      </c>
      <c r="J202" s="7">
        <v>0</v>
      </c>
      <c r="K202" s="117" t="str">
        <f t="shared" si="88"/>
        <v>4043/4044</v>
      </c>
      <c r="L202" s="24" t="str">
        <f>VLOOKUP(A202,'Trips&amp;Operators'!$C$1:$E$10000,3,FALSE)</f>
        <v>COOLAHAN</v>
      </c>
      <c r="M202" s="6">
        <f t="shared" si="89"/>
        <v>9.3055555553291924E-3</v>
      </c>
      <c r="N202" s="7">
        <f t="shared" si="87"/>
        <v>13.399999999674037</v>
      </c>
      <c r="O202" s="7"/>
      <c r="P202" s="7"/>
      <c r="Q202" s="25"/>
      <c r="R202" s="25"/>
      <c r="S202" s="37">
        <f t="shared" si="90"/>
        <v>1</v>
      </c>
      <c r="T202" s="52" t="str">
        <f t="shared" si="91"/>
        <v>NorthBound</v>
      </c>
      <c r="U202" s="15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20:09:53-0600',mode:absolute,to:'2016-09-26 22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2" s="54" t="str">
        <f t="shared" si="93"/>
        <v>N</v>
      </c>
      <c r="X202" s="164">
        <f t="shared" si="86"/>
        <v>2</v>
      </c>
      <c r="Y202" s="69">
        <f t="shared" si="94"/>
        <v>9.7900000000000001E-2</v>
      </c>
      <c r="Z202" s="69">
        <f t="shared" si="95"/>
        <v>5.8963000000000001</v>
      </c>
      <c r="AA202" s="69">
        <f t="shared" si="96"/>
        <v>5.7984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97"/>
        <v>0845-26</v>
      </c>
      <c r="AE202" s="95" t="str">
        <f t="shared" si="98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202" s="92" t="str">
        <f t="shared" si="99"/>
        <v>"C:\Program Files (x86)\AstroGrep\AstroGrep.exe" /spath="%USERPROFILE%\AppData\Local\Temp\OnboardLogs" /stypes="app*4044*20160927*" /stext=" 03:.+((SYSTEM_STATE.+slice.+state.+changed )|(ment ac)|(system.+state.+changed )|(\|lc)|(penalty)|(\[timeout)|(PRM\|1\|D)|(kpr)|(kdp))" /e /r /s</v>
      </c>
      <c r="AG202" s="1" t="str">
        <f t="shared" si="100"/>
        <v>NW</v>
      </c>
      <c r="AH202" s="96" t="str">
        <f t="shared" si="70"/>
        <v>"%USERPROFILE%\Documents\GitHub\eaglep3\Utilities\RefineRTDCRunTimes.py" --tripid 845-26 --locoid 4044 --swversion DE.1.0.7.0 --startMP 204:979 --initTime 2016-09-26T21:09:53 --startdatetime 2016-09-26T21:21:38 --delay 1 --endMP 300:58963 --enddatetime 2016-09-26T21:35:02 --enforcementcount 0 &gt;&gt;C:\Users\stu\Documents\GitHub\eaglep3-reporting\EC\2016-09-26-refined-times.txt</v>
      </c>
      <c r="AI202" s="130" t="str">
        <f t="shared" si="71"/>
        <v>echo {"issue":{"subject":"","project_id":79,"tracker_id":40,"status_id":1,"priority_id":2,"assigned_to_id":23,"start_date":"2016-09-26","description":"","custom_fields":[{"id":1,"name":"Subdivision","value":"NW"},{"id":4,"name":"Milepost","value":"5.8963"},{"id":17,"name":"Train ID","value":"845-26"},{"id":16,"name":"Locomotive ID","value":"4044"},{"id":130,"name":"Impact","value":""},{"id":150,"name":"Time of Event (Mountain Time)","value":"21:35:02"},{"id":151,"name":"Denver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705</v>
      </c>
      <c r="B203" s="7">
        <v>4044</v>
      </c>
      <c r="C203" s="24" t="s">
        <v>106</v>
      </c>
      <c r="D203" s="24" t="s">
        <v>706</v>
      </c>
      <c r="E203" s="15">
        <v>42639.925879629627</v>
      </c>
      <c r="F203" s="15">
        <v>42639.931585648148</v>
      </c>
      <c r="G203" s="7">
        <v>1</v>
      </c>
      <c r="H203" s="15" t="s">
        <v>702</v>
      </c>
      <c r="I203" s="15">
        <v>42639.941018518519</v>
      </c>
      <c r="J203" s="7">
        <v>0</v>
      </c>
      <c r="K203" s="117" t="str">
        <f t="shared" si="88"/>
        <v>4043/4044</v>
      </c>
      <c r="L203" s="24" t="str">
        <f>VLOOKUP(A203,'Trips&amp;Operators'!$C$1:$E$10000,3,FALSE)</f>
        <v>COOLAHAN</v>
      </c>
      <c r="M203" s="6">
        <f t="shared" si="89"/>
        <v>9.4328703708015382E-3</v>
      </c>
      <c r="N203" s="7">
        <f t="shared" si="87"/>
        <v>13.583333333954215</v>
      </c>
      <c r="O203" s="7"/>
      <c r="P203" s="7"/>
      <c r="Q203" s="25"/>
      <c r="R203" s="25"/>
      <c r="S203" s="37">
        <f t="shared" si="90"/>
        <v>1</v>
      </c>
      <c r="T203" s="52" t="str">
        <f t="shared" si="91"/>
        <v>NorthBound</v>
      </c>
      <c r="U203" s="15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21:13:16-0600',mode:absolute,to:'2016-09-26 23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3" s="54" t="str">
        <f t="shared" si="93"/>
        <v>N</v>
      </c>
      <c r="X203" s="164">
        <f t="shared" ref="X203:X211" si="101">VALUE(LEFT(AD203,4))-VALUE(LEFT(AD202,4))</f>
        <v>2</v>
      </c>
      <c r="Y203" s="69">
        <f t="shared" si="94"/>
        <v>8.9399999999999993E-2</v>
      </c>
      <c r="Z203" s="69">
        <f t="shared" si="95"/>
        <v>5.8949999999999996</v>
      </c>
      <c r="AA203" s="69">
        <f t="shared" si="96"/>
        <v>5.8055999999999992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97"/>
        <v>0847-26</v>
      </c>
      <c r="AE203" s="95" t="str">
        <f t="shared" si="98"/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AF203" s="92" t="str">
        <f t="shared" si="99"/>
        <v>"C:\Program Files (x86)\AstroGrep\AstroGrep.exe" /spath="%USERPROFILE%\AppData\Local\Temp\OnboardLogs" /stypes="app*4044*20160927*" /stext=" 04:.+((SYSTEM_STATE.+slice.+state.+changed )|(ment ac)|(system.+state.+changed )|(\|lc)|(penalty)|(\[timeout)|(PRM\|1\|D)|(kpr)|(kdp))" /e /r /s</v>
      </c>
      <c r="AG203" s="1" t="str">
        <f t="shared" si="100"/>
        <v>NW</v>
      </c>
      <c r="AH203" s="96" t="str">
        <f t="shared" ref="AH203:AH211" si="102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847-26 --locoid 4044 --swversion DE.1.0.7.0 --startMP 204:894 --initTime 2016-09-26T22:13:16 --startdatetime 2016-09-26T22:21:29 --delay 1 --endMP 300:58950 --enddatetime 2016-09-26T22:35:04 --enforcementcount 0 &gt;&gt;C:\Users\stu\Documents\GitHub\eaglep3-reporting\EC\2016-09-26-refined-times.txt</v>
      </c>
      <c r="AI203" s="130" t="str">
        <f t="shared" ref="AI203:AI211" si="103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{"issue":{"subject":"","project_id":79,"tracker_id":40,"status_id":1,"priority_id":2,"assigned_to_id":23,"start_date":"2016-09-26","description":"","custom_fields":[{"id":1,"name":"Subdivision","value":"NW"},{"id":4,"name":"Milepost","value":"5.895"},{"id":17,"name":"Train ID","value":"847-26"},{"id":16,"name":"Locomotive ID","value":"4044"},{"id":130,"name":"Impact","value":""},{"id":150,"name":"Time of Event (Mountain Time)","value":"22:35:04"},{"id":151,"name":"Denver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570</v>
      </c>
      <c r="B204" s="7">
        <v>4016</v>
      </c>
      <c r="C204" s="24" t="s">
        <v>106</v>
      </c>
      <c r="D204" s="24" t="s">
        <v>513</v>
      </c>
      <c r="E204" s="15">
        <v>42639.77988425926</v>
      </c>
      <c r="F204" s="15">
        <v>25568.708333333332</v>
      </c>
      <c r="G204" s="7">
        <v>1</v>
      </c>
      <c r="H204" s="15" t="s">
        <v>352</v>
      </c>
      <c r="I204" s="15">
        <v>25568.708333333332</v>
      </c>
      <c r="J204" s="7">
        <v>0</v>
      </c>
      <c r="K204" s="117" t="str">
        <f t="shared" si="88"/>
        <v>4015/4016</v>
      </c>
      <c r="L204" s="24" t="str">
        <f>VLOOKUP(A204,'Trips&amp;Operators'!$C$1:$E$10000,3,FALSE)</f>
        <v>CLARK</v>
      </c>
      <c r="M204" s="6">
        <f t="shared" si="89"/>
        <v>0</v>
      </c>
      <c r="N204" s="7">
        <f t="shared" si="87"/>
        <v>0</v>
      </c>
      <c r="O204" s="7"/>
      <c r="P204" s="7"/>
      <c r="Q204" s="25"/>
      <c r="R204" s="25"/>
      <c r="S204" s="37">
        <f t="shared" si="90"/>
        <v>1</v>
      </c>
      <c r="T204" s="52" t="str">
        <f t="shared" si="91"/>
        <v>NorthBound</v>
      </c>
      <c r="U204" s="15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2" t="str">
        <f t="shared" si="92"/>
        <v>https://search-rtdc-monitor-bjffxe2xuh6vdkpspy63sjmuny.us-east-1.es.amazonaws.com/_plugin/kibana/#/discover/Steve-Slow-Train-Analysis-(2080s-and-2083s)?_g=(refreshInterval:(display:Off,section:0,value:0),time:(from:'2016-09-26 17:43:02-0600',mode:absolute,to:'1969-12-31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4" s="54" t="str">
        <f t="shared" si="93"/>
        <v>Y</v>
      </c>
      <c r="X204" s="164">
        <f t="shared" si="101"/>
        <v>-544</v>
      </c>
      <c r="Y204" s="69">
        <f t="shared" si="94"/>
        <v>4.82E-2</v>
      </c>
      <c r="Z204" s="69">
        <f t="shared" si="95"/>
        <v>2.3302</v>
      </c>
      <c r="AA204" s="69">
        <f t="shared" si="96"/>
        <v>2.282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97"/>
        <v>0303-26</v>
      </c>
      <c r="AE204" s="95" t="str">
        <f t="shared" si="98"/>
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</c>
      <c r="AF204" s="92" t="str">
        <f t="shared" si="99"/>
        <v>"C:\Program Files (x86)\AstroGrep\AstroGrep.exe" /spath="%USERPROFILE%\AppData\Local\Temp\OnboardLogs" /stypes="app*4016*19691231*" /stext=" 23:.+((SYSTEM_STATE.+slice.+state.+changed )|(ment ac)|(system.+state.+changed )|(\|lc)|(penalty)|(\[timeout)|(PRM\|1\|D)|(kpr)|(kdp))" /e /r /s</v>
      </c>
      <c r="AG204" s="1" t="str">
        <f t="shared" si="100"/>
        <v>Other</v>
      </c>
      <c r="AH204" s="96" t="str">
        <f t="shared" si="102"/>
        <v>"%USERPROFILE%\Documents\GitHub\eaglep3\Utilities\RefineRTDCRunTimes.py" --tripid 303-26 --locoid 4016 --swversion DE.1.0.7.0 --startMP 204:482 --initTime 2016-09-26T18:43:02 --startdatetime 1969-12-31T17:00:00 --delay 1 --endMP 300:23302 --enddatetime 1969-12-31T17:00:00 --enforcementcount 0 &gt;&gt;C:\Users\stu\Documents\GitHub\eaglep3-reporting\EC\2016-09-26-refined-times.txt</v>
      </c>
      <c r="AI204" s="130" t="str">
        <f t="shared" si="10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ID","value":"303-26"},{"id":16,"name":"Locomotive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s="23" customFormat="1" x14ac:dyDescent="0.25">
      <c r="A205" s="39" t="s">
        <v>571</v>
      </c>
      <c r="B205" s="7">
        <v>4007</v>
      </c>
      <c r="C205" s="24" t="s">
        <v>106</v>
      </c>
      <c r="D205" s="24" t="s">
        <v>223</v>
      </c>
      <c r="E205" s="15">
        <v>42640.028761574074</v>
      </c>
      <c r="F205" s="15">
        <v>42640.030752314815</v>
      </c>
      <c r="G205" s="7">
        <v>1</v>
      </c>
      <c r="H205" s="15" t="s">
        <v>572</v>
      </c>
      <c r="I205" s="15">
        <v>42640.036712962959</v>
      </c>
      <c r="J205" s="7">
        <v>0</v>
      </c>
      <c r="K205" s="117" t="str">
        <f t="shared" ref="K205:K211" si="104">IF(ISEVEN(B205),(B205-1)&amp;"/"&amp;B205,B205&amp;"/"&amp;(B205+1))</f>
        <v>4007/4008</v>
      </c>
      <c r="L205" s="24" t="str">
        <f>VLOOKUP(A205,'Trips&amp;Operators'!$C$1:$E$10000,3,FALSE)</f>
        <v>LEVERE</v>
      </c>
      <c r="M205" s="6">
        <f t="shared" ref="M205:M211" si="105">I205-F205</f>
        <v>5.9606481445371173E-3</v>
      </c>
      <c r="N205" s="7">
        <f t="shared" si="87"/>
        <v>8.583333328133449</v>
      </c>
      <c r="O205" s="7"/>
      <c r="P205" s="7"/>
      <c r="Q205" s="25"/>
      <c r="R205" s="25"/>
      <c r="S205" s="37">
        <f t="shared" ref="S205:S211" si="106">SUM(U205:U205)/IF(AG205="EC",12,1)</f>
        <v>1</v>
      </c>
      <c r="T205" s="52" t="str">
        <f t="shared" ref="T205:T211" si="107">IF(ISEVEN(LEFT(AD205,4)),"Southbound","NorthBound")</f>
        <v>NorthBound</v>
      </c>
      <c r="U205" s="15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2" t="str">
        <f t="shared" ref="V205:V211" si="108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https://search-rtdc-monitor-bjffxe2xuh6vdkpspy63sjmuny.us-east-1.es.amazonaws.com/_plugin/kibana/#/discover/Steve-Slow-Train-Analysis-(2080s-and-2083s)?_g=(refreshInterval:(display:Off,section:0,value:0),time:(from:'2016-09-26 23:41:25-0600',mode:absolute,to:'2016-09-27 01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205" s="54" t="str">
        <f t="shared" ref="W205:W211" si="109">IF(AA205&lt;IF(AG205="EC",23,5.65),"Y","N")</f>
        <v>Y</v>
      </c>
      <c r="X205" s="164">
        <f t="shared" si="101"/>
        <v>6</v>
      </c>
      <c r="Y205" s="69">
        <f t="shared" ref="Y205:Y211" si="110">RIGHT(D205,LEN(D205)-4)/10000</f>
        <v>4.5699999999999998E-2</v>
      </c>
      <c r="Z205" s="69">
        <f t="shared" ref="Z205:Z211" si="111">RIGHT(H205,LEN(H205)-4)/10000</f>
        <v>2.2846000000000002</v>
      </c>
      <c r="AA205" s="69">
        <f t="shared" ref="AA205:AA211" si="112">ABS(Z205-Y205)</f>
        <v>2.2389000000000001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ref="AD205:AD211" si="113">IF(LEN(A205)=6,"0"&amp;A205,A205)</f>
        <v>0309-26</v>
      </c>
      <c r="AE205" s="95" t="str">
        <f t="shared" ref="AE205:AE211" si="114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s3://rtdc.mdm.uploadarchive/RTDC4007/2016-09-27/ "%USERPROFILE%\AppData\Local\Temp\OnboardLogs"\RTDC4007\2016-09-27 --recursive &amp; "%USERPROFILE%\Documents\GitHub\mrs-test-scripts\Headless Mode &amp; Sideloading\WalkAndUnGZ.bat" "%USERPROFILE%\AppData\Local\Temp\OnboardLogs"\RTDC4007\2016-09-27 &amp; aws s3 cp s3://rtdc.mdm.uploadarchive/RTDC4007/2016-09-28/ "%USERPROFILE%\AppData\Local\Temp\OnboardLogs"\RTDC4007\2016-09-28 --recursive &amp; "%USERPROFILE%\Documents\GitHub\mrs-test-scripts\Headless Mode &amp; Sideloading\WalkAndUnGZ.bat" "%USERPROFILE%\AppData\Local\Temp\OnboardLogs"\RTDC4007\2016-09-28</v>
      </c>
      <c r="AF205" s="92" t="str">
        <f t="shared" ref="AF205:AF211" si="115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/stypes="app*4007*20160927*" /stext=" 06:.+((SYSTEM_STATE.+slice.+state.+changed )|(ment ac)|(system.+state.+changed )|(\|lc)|(penalty)|(\[timeout)|(PRM\|1\|D)|(kpr)|(kdp))" /e /r /s</v>
      </c>
      <c r="AG205" s="1" t="str">
        <f t="shared" ref="AG205:AG211" si="116">IFERROR(IF(VALUE(LEFT(AD205,2))&lt;=2,"EC",IF(OR(VALUE(LEFT(AD205,2))=8,VALUE(LEFT(AD205,2))=18),"NW","Other")),"Other")</f>
        <v>Other</v>
      </c>
      <c r="AH205" s="96" t="str">
        <f t="shared" si="102"/>
        <v>"%USERPROFILE%\Documents\GitHub\eaglep3\Utilities\RefineRTDCRunTimes.py" --tripid 309-26 --locoid 4007 --swversion DE.1.0.7.0 --startMP 204:457 --initTime 2016-09-27T00:41:25 --startdatetime 2016-09-27T00:44:17 --delay 1 --endMP 300:22846 --enddatetime 2016-09-27T00:52:52 --enforcementcount 0 &gt;&gt;C:\Users\stu\Documents\GitHub\eaglep3-reporting\EC\2016-09-26-refined-times.txt</v>
      </c>
      <c r="AI205" s="130" t="str">
        <f t="shared" si="103"/>
        <v>echo {"issue":{"subject":"","project_id":79,"tracker_id":40,"status_id":1,"priority_id":2,"assigned_to_id":23,"start_date":"2016-09-27","description":"","custom_fields":[{"id":1,"name":"Subdivision","value":"Other"},{"id":4,"name":"Milepost","value":"2.2846"},{"id":17,"name":"Train ID","value":"309-26"},{"id":16,"name":"Locomotive ID","value":"4007"},{"id":130,"name":"Impact","value":""},{"id":150,"name":"Time of Event (Mountain Time)","value":"00:52:52"},{"id":151,"name":"Denver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573</v>
      </c>
      <c r="B206" s="7">
        <v>4011</v>
      </c>
      <c r="C206" s="24" t="s">
        <v>106</v>
      </c>
      <c r="D206" s="24" t="s">
        <v>216</v>
      </c>
      <c r="E206" s="15">
        <v>42640.048090277778</v>
      </c>
      <c r="F206" s="15">
        <v>25568.708333333332</v>
      </c>
      <c r="G206" s="7">
        <v>1</v>
      </c>
      <c r="H206" s="15" t="s">
        <v>574</v>
      </c>
      <c r="I206" s="15">
        <v>25568.708333333332</v>
      </c>
      <c r="J206" s="7">
        <v>0</v>
      </c>
      <c r="K206" s="117" t="str">
        <f t="shared" si="104"/>
        <v>4011/4012</v>
      </c>
      <c r="L206" s="24" t="str">
        <f>VLOOKUP(A206,'Trips&amp;Operators'!$C$1:$E$10000,3,FALSE)</f>
        <v>NEWELL</v>
      </c>
      <c r="M206" s="6">
        <f t="shared" si="105"/>
        <v>0</v>
      </c>
      <c r="N206" s="7">
        <f t="shared" si="87"/>
        <v>0</v>
      </c>
      <c r="O206" s="7"/>
      <c r="P206" s="7"/>
      <c r="Q206" s="25"/>
      <c r="R206" s="25"/>
      <c r="S206" s="37">
        <f t="shared" si="106"/>
        <v>1</v>
      </c>
      <c r="T206" s="52" t="str">
        <f t="shared" si="107"/>
        <v>NorthBound</v>
      </c>
      <c r="U206" s="15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2" t="str">
        <f t="shared" si="108"/>
        <v>https://search-rtdc-monitor-bjffxe2xuh6vdkpspy63sjmuny.us-east-1.es.amazonaws.com/_plugin/kibana/#/discover/Steve-Slow-Train-Analysis-(2080s-and-2083s)?_g=(refreshInterval:(display:Off,section:0,value:0),time:(from:'2016-09-27 00:09:15-0600',mode:absolute,to:'1969-12-31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06" s="54" t="str">
        <f t="shared" si="109"/>
        <v>Y</v>
      </c>
      <c r="X206" s="164">
        <f t="shared" si="101"/>
        <v>2</v>
      </c>
      <c r="Y206" s="69">
        <f t="shared" si="110"/>
        <v>4.7100000000000003E-2</v>
      </c>
      <c r="Z206" s="69">
        <f t="shared" si="111"/>
        <v>2.3058000000000001</v>
      </c>
      <c r="AA206" s="69">
        <f t="shared" si="112"/>
        <v>2.2587000000000002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113"/>
        <v>0311-26</v>
      </c>
      <c r="AE206" s="95" t="str">
        <f t="shared" si="114"/>
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</c>
      <c r="AF206" s="92" t="str">
        <f t="shared" si="115"/>
        <v>"C:\Program Files (x86)\AstroGrep\AstroGrep.exe" /spath="%USERPROFILE%\AppData\Local\Temp\OnboardLogs" /stypes="app*4011*19691231*" /stext=" 23:.+((SYSTEM_STATE.+slice.+state.+changed )|(ment ac)|(system.+state.+changed )|(\|lc)|(penalty)|(\[timeout)|(PRM\|1\|D)|(kpr)|(kdp))" /e /r /s</v>
      </c>
      <c r="AG206" s="1" t="str">
        <f t="shared" si="116"/>
        <v>Other</v>
      </c>
      <c r="AH206" s="96" t="str">
        <f t="shared" si="102"/>
        <v>"%USERPROFILE%\Documents\GitHub\eaglep3\Utilities\RefineRTDCRunTimes.py" --tripid 311-26 --locoid 4011 --swversion DE.1.0.7.0 --startMP 204:471 --initTime 2016-09-27T01:09:15 --startdatetime 1969-12-31T17:00:00 --delay 1 --endMP 300:23058 --enddatetime 1969-12-31T17:00:00 --enforcementcount 0 &gt;&gt;C:\Users\stu\Documents\GitHub\eaglep3-reporting\EC\2016-09-26-refined-times.txt</v>
      </c>
      <c r="AI206" s="130" t="str">
        <f t="shared" si="103"/>
        <v>echo {"issue":{"subject":"","project_id":79,"tracker_id":40,"status_id":1,"priority_id":2,"assigned_to_id":23,"start_date":"1969-12-31","description":"","custom_fields":[{"id":1,"name":"Subdivision","value":"Other"},{"id":4,"name":"Milepost","value":"2.3058"},{"id":17,"name":"Train ID","value":"311-26"},{"id":16,"name":"Locomotive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575</v>
      </c>
      <c r="B207" s="7">
        <v>4018</v>
      </c>
      <c r="C207" s="24" t="s">
        <v>106</v>
      </c>
      <c r="D207" s="24" t="s">
        <v>576</v>
      </c>
      <c r="E207" s="15">
        <v>42640.072951388887</v>
      </c>
      <c r="F207" s="15">
        <v>42640.074432870373</v>
      </c>
      <c r="G207" s="7">
        <v>1</v>
      </c>
      <c r="H207" s="15" t="s">
        <v>577</v>
      </c>
      <c r="I207" s="15">
        <v>42640.079953703702</v>
      </c>
      <c r="J207" s="7">
        <v>0</v>
      </c>
      <c r="K207" s="117" t="str">
        <f t="shared" si="104"/>
        <v>4017/4018</v>
      </c>
      <c r="L207" s="24" t="str">
        <f>VLOOKUP(A207,'Trips&amp;Operators'!$C$1:$E$10000,3,FALSE)</f>
        <v>CHANDLER</v>
      </c>
      <c r="M207" s="6">
        <f t="shared" si="105"/>
        <v>5.5208333287737332E-3</v>
      </c>
      <c r="N207" s="7">
        <f t="shared" si="87"/>
        <v>7.9499999934341758</v>
      </c>
      <c r="O207" s="7"/>
      <c r="P207" s="7"/>
      <c r="Q207" s="25"/>
      <c r="R207" s="25"/>
      <c r="S207" s="37">
        <f t="shared" si="106"/>
        <v>1</v>
      </c>
      <c r="T207" s="52" t="str">
        <f t="shared" si="107"/>
        <v>NorthBound</v>
      </c>
      <c r="U207" s="15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2" t="str">
        <f t="shared" si="108"/>
        <v>https://search-rtdc-monitor-bjffxe2xuh6vdkpspy63sjmuny.us-east-1.es.amazonaws.com/_plugin/kibana/#/discover/Steve-Slow-Train-Analysis-(2080s-and-2083s)?_g=(refreshInterval:(display:Off,section:0,value:0),time:(from:'2016-09-27 00:45:03-0600',mode:absolute,to:'2016-09-27 02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07" s="54" t="str">
        <f t="shared" si="109"/>
        <v>Y</v>
      </c>
      <c r="X207" s="164">
        <f t="shared" si="101"/>
        <v>2</v>
      </c>
      <c r="Y207" s="69">
        <f t="shared" si="110"/>
        <v>3.8100000000000002E-2</v>
      </c>
      <c r="Z207" s="69">
        <f t="shared" si="111"/>
        <v>2.2221000000000002</v>
      </c>
      <c r="AA207" s="69">
        <f t="shared" si="112"/>
        <v>2.1840000000000002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113"/>
        <v>0313-26</v>
      </c>
      <c r="AE207" s="95" t="str">
        <f t="shared" si="114"/>
        <v>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 &amp; aws s3 cp s3://rtdc.mdm.uploadarchive/RTDC4018/2016-09-28/ "%USERPROFILE%\AppData\Local\Temp\OnboardLogs"\RTDC4018\2016-09-28 --recursive &amp; "%USERPROFILE%\Documents\GitHub\mrs-test-scripts\Headless Mode &amp; Sideloading\WalkAndUnGZ.bat" "%USERPROFILE%\AppData\Local\Temp\OnboardLogs"\RTDC4018\2016-09-28</v>
      </c>
      <c r="AF207" s="92" t="str">
        <f t="shared" si="115"/>
        <v>"C:\Program Files (x86)\AstroGrep\AstroGrep.exe" /spath="%USERPROFILE%\AppData\Local\Temp\OnboardLogs" /stypes="app*4018*20160927*" /stext=" 07:.+((SYSTEM_STATE.+slice.+state.+changed )|(ment ac)|(system.+state.+changed )|(\|lc)|(penalty)|(\[timeout)|(PRM\|1\|D)|(kpr)|(kdp))" /e /r /s</v>
      </c>
      <c r="AG207" s="1" t="str">
        <f t="shared" si="116"/>
        <v>Other</v>
      </c>
      <c r="AH207" s="96" t="str">
        <f t="shared" si="102"/>
        <v>"%USERPROFILE%\Documents\GitHub\eaglep3\Utilities\RefineRTDCRunTimes.py" --tripid 313-26 --locoid 4018 --swversion DE.1.0.7.0 --startMP 204:381 --initTime 2016-09-27T01:45:03 --startdatetime 2016-09-27T01:47:11 --delay 1 --endMP 300:22221 --enddatetime 2016-09-27T01:55:08 --enforcementcount 0 &gt;&gt;C:\Users\stu\Documents\GitHub\eaglep3-reporting\EC\2016-09-26-refined-times.txt</v>
      </c>
      <c r="AI207" s="130" t="str">
        <f t="shared" si="103"/>
        <v>echo {"issue":{"subject":"","project_id":79,"tracker_id":40,"status_id":1,"priority_id":2,"assigned_to_id":23,"start_date":"2016-09-27","description":"","custom_fields":[{"id":1,"name":"Subdivision","value":"Other"},{"id":4,"name":"Milepost","value":"2.2221"},{"id":17,"name":"Train ID","value":"313-26"},{"id":16,"name":"Locomotive ID","value":"4018"},{"id":130,"name":"Impact","value":""},{"id":150,"name":"Time of Event (Mountain Time)","value":"01:55:08"},{"id":151,"name":"Denver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355</v>
      </c>
      <c r="B208" s="7">
        <v>4003</v>
      </c>
      <c r="C208" s="24" t="s">
        <v>106</v>
      </c>
      <c r="D208" s="24" t="s">
        <v>354</v>
      </c>
      <c r="E208" s="15">
        <v>42639.099259259259</v>
      </c>
      <c r="F208" s="15">
        <v>42639.100960648146</v>
      </c>
      <c r="G208" s="7">
        <v>1</v>
      </c>
      <c r="H208" s="15" t="s">
        <v>356</v>
      </c>
      <c r="I208" s="15">
        <v>42639.108067129629</v>
      </c>
      <c r="J208" s="7">
        <v>0</v>
      </c>
      <c r="K208" s="117" t="str">
        <f t="shared" si="104"/>
        <v>4003/4004</v>
      </c>
      <c r="L208" s="24" t="str">
        <f>VLOOKUP(A208,'Trips&amp;Operators'!$C$1:$E$10000,3,FALSE)</f>
        <v>CHANDLER</v>
      </c>
      <c r="M208" s="6">
        <f t="shared" si="105"/>
        <v>7.1064814837882295E-3</v>
      </c>
      <c r="N208" s="7">
        <f t="shared" si="87"/>
        <v>10.233333336655051</v>
      </c>
      <c r="O208" s="7"/>
      <c r="P208" s="7"/>
      <c r="Q208" s="25"/>
      <c r="R208" s="25"/>
      <c r="S208" s="37">
        <f t="shared" si="106"/>
        <v>1</v>
      </c>
      <c r="T208" s="52" t="str">
        <f t="shared" si="107"/>
        <v>NorthBound</v>
      </c>
      <c r="U208" s="15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2" t="str">
        <f t="shared" si="108"/>
        <v>https://search-rtdc-monitor-bjffxe2xuh6vdkpspy63sjmuny.us-east-1.es.amazonaws.com/_plugin/kibana/#/discover/Steve-Slow-Train-Analysis-(2080s-and-2083s)?_g=(refreshInterval:(display:Off,section:0,value:0),time:(from:'2016-09-26 01:22:56-0600',mode:absolute,to:'2016-09-26 03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08" s="54" t="str">
        <f t="shared" si="109"/>
        <v>Y</v>
      </c>
      <c r="X208" s="164">
        <f t="shared" si="101"/>
        <v>2</v>
      </c>
      <c r="Y208" s="69">
        <f t="shared" si="110"/>
        <v>4.7800000000000002E-2</v>
      </c>
      <c r="Z208" s="69">
        <f t="shared" si="111"/>
        <v>2.2273999999999998</v>
      </c>
      <c r="AA208" s="69">
        <f t="shared" si="112"/>
        <v>2.1795999999999998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 t="shared" si="113"/>
        <v>0315-25</v>
      </c>
      <c r="AE208" s="95" t="str">
        <f t="shared" si="114"/>
        <v>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 &amp; aws s3 cp s3://rtdc.mdm.uploadarchive/RTDC4003/2016-09-27/ "%USERPROFILE%\AppData\Local\Temp\OnboardLogs"\RTDC4003\2016-09-27 --recursive &amp; "%USERPROFILE%\Documents\GitHub\mrs-test-scripts\Headless Mode &amp; Sideloading\WalkAndUnGZ.bat" "%USERPROFILE%\AppData\Local\Temp\OnboardLogs"\RTDC4003\2016-09-27</v>
      </c>
      <c r="AF208" s="92" t="str">
        <f t="shared" si="115"/>
        <v>"C:\Program Files (x86)\AstroGrep\AstroGrep.exe" /spath="%USERPROFILE%\AppData\Local\Temp\OnboardLogs" /stypes="app*4003*20160926*" /stext=" 08:.+((SYSTEM_STATE.+slice.+state.+changed )|(ment ac)|(system.+state.+changed )|(\|lc)|(penalty)|(\[timeout)|(PRM\|1\|D)|(kpr)|(kdp))" /e /r /s</v>
      </c>
      <c r="AG208" s="1" t="str">
        <f t="shared" si="116"/>
        <v>Other</v>
      </c>
      <c r="AH208" s="96" t="str">
        <f t="shared" si="102"/>
        <v>"%USERPROFILE%\Documents\GitHub\eaglep3\Utilities\RefineRTDCRunTimes.py" --tripid 315-25 --locoid 4003 --swversion DE.1.0.7.0 --startMP 204:478 --initTime 2016-09-26T02:22:56 --startdatetime 2016-09-26T02:25:23 --delay 1 --endMP 300:22274 --enddatetime 2016-09-26T02:35:37 --enforcementcount 0 &gt;&gt;C:\Users\stu\Documents\GitHub\eaglep3-reporting\EC\2016-09-26-refined-times.txt</v>
      </c>
      <c r="AI208" s="130" t="str">
        <f t="shared" si="103"/>
        <v>echo {"issue":{"subject":"","project_id":79,"tracker_id":40,"status_id":1,"priority_id":2,"assigned_to_id":23,"start_date":"2016-09-26","description":"","custom_fields":[{"id":1,"name":"Subdivision","value":"Other"},{"id":4,"name":"Milepost","value":"2.2274"},{"id":17,"name":"Train ID","value":"315-25"},{"id":16,"name":"Locomotive ID","value":"4003"},{"id":130,"name":"Impact","value":""},{"id":150,"name":"Time of Event (Mountain Time)","value":"02:35:37"},{"id":151,"name":"Denver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578</v>
      </c>
      <c r="B209" s="7">
        <v>4025</v>
      </c>
      <c r="C209" s="24" t="s">
        <v>106</v>
      </c>
      <c r="D209" s="24" t="s">
        <v>579</v>
      </c>
      <c r="E209" s="15">
        <v>42640.08797453704</v>
      </c>
      <c r="F209" s="15">
        <v>25568.708333333332</v>
      </c>
      <c r="G209" s="7">
        <v>1</v>
      </c>
      <c r="H209" s="15" t="s">
        <v>580</v>
      </c>
      <c r="I209" s="15">
        <v>25568.708333333332</v>
      </c>
      <c r="J209" s="7">
        <v>0</v>
      </c>
      <c r="K209" s="117" t="str">
        <f t="shared" si="104"/>
        <v>4025/4026</v>
      </c>
      <c r="L209" s="24" t="str">
        <f>VLOOKUP(A209,'Trips&amp;Operators'!$C$1:$E$10000,3,FALSE)</f>
        <v>YANAI</v>
      </c>
      <c r="M209" s="6">
        <f t="shared" si="105"/>
        <v>0</v>
      </c>
      <c r="N209" s="7">
        <f t="shared" si="87"/>
        <v>0</v>
      </c>
      <c r="O209" s="7"/>
      <c r="P209" s="7"/>
      <c r="Q209" s="25"/>
      <c r="R209" s="25"/>
      <c r="S209" s="37">
        <f t="shared" si="106"/>
        <v>1</v>
      </c>
      <c r="T209" s="52" t="str">
        <f t="shared" si="107"/>
        <v>NorthBound</v>
      </c>
      <c r="U209" s="159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2" t="str">
        <f t="shared" si="108"/>
        <v>https://search-rtdc-monitor-bjffxe2xuh6vdkpspy63sjmuny.us-east-1.es.amazonaws.com/_plugin/kibana/#/discover/Steve-Slow-Train-Analysis-(2080s-and-2083s)?_g=(refreshInterval:(display:Off,section:0,value:0),time:(from:'2016-09-27 01:06:41-0600',mode:absolute,to:'1969-12-31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9" s="54" t="str">
        <f t="shared" si="109"/>
        <v>Y</v>
      </c>
      <c r="X209" s="164">
        <f t="shared" si="101"/>
        <v>0</v>
      </c>
      <c r="Y209" s="69">
        <f t="shared" si="110"/>
        <v>4.3900000000000002E-2</v>
      </c>
      <c r="Z209" s="69">
        <f t="shared" si="111"/>
        <v>2.3117000000000001</v>
      </c>
      <c r="AA209" s="69">
        <f t="shared" si="112"/>
        <v>2.2678000000000003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 t="shared" si="113"/>
        <v>0315-26</v>
      </c>
      <c r="AE209" s="95" t="str">
        <f t="shared" si="114"/>
        <v>aws s3 cp s3://rtdc.mdm.uploadarchive/RTDC4025/1969-12-31/ "%USERPROFILE%\AppData\Local\Temp\OnboardLogs"\RTDC4025\1969-12-31 --recursive &amp; "%USERPROFILE%\Documents\GitHub\mrs-test-scripts\Headless Mode &amp; Sideloading\WalkAndUnGZ.bat" "%USERPROFILE%\AppData\Local\Temp\OnboardLogs"\RTDC4025\1969-12-31 &amp; aws s3 cp s3://rtdc.mdm.uploadarchive/RTDC4025/1970-01-01/ "%USERPROFILE%\AppData\Local\Temp\OnboardLogs"\RTDC4025\1970-01-01 --recursive &amp; "%USERPROFILE%\Documents\GitHub\mrs-test-scripts\Headless Mode &amp; Sideloading\WalkAndUnGZ.bat" "%USERPROFILE%\AppData\Local\Temp\OnboardLogs"\RTDC4025\1970-01-01</v>
      </c>
      <c r="AF209" s="92" t="str">
        <f t="shared" si="115"/>
        <v>"C:\Program Files (x86)\AstroGrep\AstroGrep.exe" /spath="%USERPROFILE%\AppData\Local\Temp\OnboardLogs" /stypes="app*4025*19691231*" /stext=" 23:.+((SYSTEM_STATE.+slice.+state.+changed )|(ment ac)|(system.+state.+changed )|(\|lc)|(penalty)|(\[timeout)|(PRM\|1\|D)|(kpr)|(kdp))" /e /r /s</v>
      </c>
      <c r="AG209" s="1" t="str">
        <f t="shared" si="116"/>
        <v>Other</v>
      </c>
      <c r="AH209" s="96" t="str">
        <f t="shared" si="102"/>
        <v>"%USERPROFILE%\Documents\GitHub\eaglep3\Utilities\RefineRTDCRunTimes.py" --tripid 315-26 --locoid 4025 --swversion DE.1.0.7.0 --startMP 204:439 --initTime 2016-09-27T02:06:41 --startdatetime 1969-12-31T17:00:00 --delay 1 --endMP 300:23117 --enddatetime 1969-12-31T17:00:00 --enforcementcount 0 &gt;&gt;C:\Users\stu\Documents\GitHub\eaglep3-reporting\EC\2016-09-26-refined-times.txt</v>
      </c>
      <c r="AI209" s="130" t="str">
        <f t="shared" si="103"/>
        <v>echo {"issue":{"subject":"","project_id":79,"tracker_id":40,"status_id":1,"priority_id":2,"assigned_to_id":23,"start_date":"1969-12-31","description":"","custom_fields":[{"id":1,"name":"Subdivision","value":"Other"},{"id":4,"name":"Milepost","value":"2.3117"},{"id":17,"name":"Train ID","value":"315-26"},{"id":16,"name":"Locomotive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707</v>
      </c>
      <c r="B210" s="7">
        <v>4030</v>
      </c>
      <c r="C210" s="24" t="s">
        <v>106</v>
      </c>
      <c r="D210" s="24" t="s">
        <v>708</v>
      </c>
      <c r="E210" s="15">
        <v>42639.63789351852</v>
      </c>
      <c r="F210" s="15">
        <v>42639.640266203707</v>
      </c>
      <c r="G210" s="7">
        <v>3</v>
      </c>
      <c r="H210" s="15" t="s">
        <v>709</v>
      </c>
      <c r="I210" s="15">
        <v>42639.647673611114</v>
      </c>
      <c r="J210" s="7">
        <v>0</v>
      </c>
      <c r="K210" s="117" t="str">
        <f t="shared" si="104"/>
        <v>4029/4030</v>
      </c>
      <c r="L210" s="24" t="str">
        <f>VLOOKUP(A210,'Trips&amp;Operators'!$C$1:$E$10000,3,FALSE)</f>
        <v>COOLAHAN</v>
      </c>
      <c r="M210" s="6">
        <f t="shared" si="105"/>
        <v>7.4074074072996154E-3</v>
      </c>
      <c r="N210" s="7">
        <f t="shared" si="87"/>
        <v>10.666666666511446</v>
      </c>
      <c r="O210" s="7"/>
      <c r="P210" s="7"/>
      <c r="Q210" s="25"/>
      <c r="R210" s="25"/>
      <c r="S210" s="37">
        <f t="shared" si="106"/>
        <v>1</v>
      </c>
      <c r="T210" s="52" t="str">
        <f t="shared" si="107"/>
        <v>Southbound</v>
      </c>
      <c r="U210" s="159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2" t="str">
        <f t="shared" si="108"/>
        <v>https://search-rtdc-monitor-bjffxe2xuh6vdkpspy63sjmuny.us-east-1.es.amazonaws.com/_plugin/kibana/#/discover/Steve-Slow-Train-Analysis-(2080s-and-2083s)?_g=(refreshInterval:(display:Off,section:0,value:0),time:(from:'2016-09-26 14:18:34-0600',mode:absolute,to:'2016-09-26 16:32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10" s="54" t="str">
        <f t="shared" si="109"/>
        <v>Y</v>
      </c>
      <c r="X210" s="164">
        <f t="shared" si="101"/>
        <v>589</v>
      </c>
      <c r="Y210" s="69">
        <f t="shared" si="110"/>
        <v>2.2673000000000001</v>
      </c>
      <c r="Z210" s="69">
        <f t="shared" si="111"/>
        <v>6.0699999999999997E-2</v>
      </c>
      <c r="AA210" s="69">
        <f t="shared" si="112"/>
        <v>2.2065999999999999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 t="shared" si="113"/>
        <v>0904-26</v>
      </c>
      <c r="AE210" s="95" t="str">
        <f t="shared" si="114"/>
        <v>aws s3 cp s3://rtdc.mdm.uploadarchive/RTDC4030/2016-09-26/ "%USERPROFILE%\AppData\Local\Temp\OnboardLogs"\RTDC4030\2016-09-26 --recursive &amp; "%USERPROFILE%\Documents\GitHub\mrs-test-scripts\Headless Mode &amp; Sideloading\WalkAndUnGZ.bat" "%USERPROFILE%\AppData\Local\Temp\OnboardLogs"\RTDC4030\2016-09-26 &amp; 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</v>
      </c>
      <c r="AF210" s="92" t="str">
        <f t="shared" si="115"/>
        <v>"C:\Program Files (x86)\AstroGrep\AstroGrep.exe" /spath="%USERPROFILE%\AppData\Local\Temp\OnboardLogs" /stypes="app*4030*20160926*" /stext=" 21:.+((SYSTEM_STATE.+slice.+state.+changed )|(ment ac)|(system.+state.+changed )|(\|lc)|(penalty)|(\[timeout)|(PRM\|1\|D)|(kpr)|(kdp))" /e /r /s</v>
      </c>
      <c r="AG210" s="1" t="str">
        <f t="shared" si="116"/>
        <v>Other</v>
      </c>
      <c r="AH210" s="96" t="str">
        <f t="shared" si="102"/>
        <v>"%USERPROFILE%\Documents\GitHub\eaglep3\Utilities\RefineRTDCRunTimes.py" --tripid 904-26 --locoid 4030 --swversion DE.1.0.7.0 --startMP 300:22673 --initTime 2016-09-26T15:18:34 --startdatetime 2016-09-26T15:21:59 --delay 3 --endMP 204:607 --enddatetime 2016-09-26T15:32:39 --enforcementcount 0 &gt;&gt;C:\Users\stu\Documents\GitHub\eaglep3-reporting\EC\2016-09-26-refined-times.txt</v>
      </c>
      <c r="AI210" s="130" t="str">
        <f t="shared" si="103"/>
        <v>echo {"issue":{"subject":"","project_id":79,"tracker_id":40,"status_id":1,"priority_id":2,"assigned_to_id":23,"start_date":"2016-09-26","description":"","custom_fields":[{"id":1,"name":"Subdivision","value":"Other"},{"id":4,"name":"Milepost","value":"0.0607"},{"id":17,"name":"Train ID","value":"904-26"},{"id":16,"name":"Locomotive ID","value":"4030"},{"id":130,"name":"Impact","value":""},{"id":150,"name":"Time of Event (Mountain Time)","value":"15:32:39"},{"id":151,"name":"Denver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581</v>
      </c>
      <c r="B211" s="7">
        <v>4009</v>
      </c>
      <c r="C211" s="24" t="s">
        <v>106</v>
      </c>
      <c r="D211" s="24" t="s">
        <v>582</v>
      </c>
      <c r="E211" s="15">
        <v>42639.731724537036</v>
      </c>
      <c r="F211" s="15">
        <v>25568.708333333332</v>
      </c>
      <c r="G211" s="7">
        <v>1</v>
      </c>
      <c r="H211" s="15" t="s">
        <v>358</v>
      </c>
      <c r="I211" s="15">
        <v>25568.708333333332</v>
      </c>
      <c r="J211" s="7">
        <v>0</v>
      </c>
      <c r="K211" s="117" t="str">
        <f t="shared" si="104"/>
        <v>4009/4010</v>
      </c>
      <c r="L211" s="24" t="str">
        <f>VLOOKUP(A211,'Trips&amp;Operators'!$C$1:$E$10000,3,FALSE)</f>
        <v>SWANSON</v>
      </c>
      <c r="M211" s="6">
        <f t="shared" si="105"/>
        <v>0</v>
      </c>
      <c r="N211" s="7">
        <f t="shared" si="87"/>
        <v>0</v>
      </c>
      <c r="O211" s="7"/>
      <c r="P211" s="7"/>
      <c r="Q211" s="25"/>
      <c r="R211" s="25"/>
      <c r="S211" s="37">
        <f t="shared" si="106"/>
        <v>0</v>
      </c>
      <c r="T211" s="52" t="e">
        <f t="shared" si="107"/>
        <v>#VALUE!</v>
      </c>
      <c r="U211" s="159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2" t="str">
        <f t="shared" si="108"/>
        <v>https://search-rtdc-monitor-bjffxe2xuh6vdkpspy63sjmuny.us-east-1.es.amazonaws.com/_plugin/kibana/#/discover/Steve-Slow-Train-Analysis-(2080s-and-2083s)?_g=(refreshInterval:(display:Off,section:0,value:0),time:(from:'2016-09-26 16:33:41-0600',mode:absolute,to:'1969-12-31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1" s="54" t="str">
        <f t="shared" si="109"/>
        <v>Y</v>
      </c>
      <c r="X211" s="164" t="e">
        <f t="shared" si="101"/>
        <v>#VALUE!</v>
      </c>
      <c r="Y211" s="69">
        <f t="shared" si="110"/>
        <v>0.11600000000000001</v>
      </c>
      <c r="Z211" s="69">
        <f t="shared" si="111"/>
        <v>2.3306</v>
      </c>
      <c r="AA211" s="69">
        <f t="shared" si="112"/>
        <v>2.2145999999999999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 t="shared" si="113"/>
        <v>63-26</v>
      </c>
      <c r="AE211" s="95" t="str">
        <f t="shared" si="114"/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211" s="92" t="str">
        <f t="shared" si="115"/>
        <v>"C:\Program Files (x86)\AstroGrep\AstroGrep.exe" /spath="%USERPROFILE%\AppData\Local\Temp\OnboardLogs" /stypes="app*4009*19691231*" /stext=" 23:.+((SYSTEM_STATE.+slice.+state.+changed )|(ment ac)|(system.+state.+changed )|(\|lc)|(penalty)|(\[timeout)|(PRM\|1\|D)|(kpr)|(kdp))" /e /r /s</v>
      </c>
      <c r="AG211" s="1" t="str">
        <f t="shared" si="116"/>
        <v>Other</v>
      </c>
      <c r="AH211" s="96" t="str">
        <f t="shared" si="102"/>
        <v>"%USERPROFILE%\Documents\GitHub\eaglep3\Utilities\RefineRTDCRunTimes.py" --tripid 63-26 --locoid 4009 --swversion DE.1.0.7.0 --startMP 204:1160 --initTime 2016-09-26T17:33:41 --startdatetime 1969-12-31T17:00:00 --delay 1 --endMP 300:23306 --enddatetime 1969-12-31T17:00:00 --enforcementcount 0 &gt;&gt;C:\Users\stu\Documents\GitHub\eaglep3-reporting\EC\2016-09-26-refined-times.txt</v>
      </c>
      <c r="AI211" s="130" t="str">
        <f t="shared" si="10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ID","value":"63-26"},{"id":16,"name":"Locomotive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17"/>
      <c r="L212" s="24"/>
      <c r="M212" s="6"/>
      <c r="N212" s="7"/>
      <c r="O212" s="7"/>
      <c r="P212" s="7"/>
      <c r="Q212" s="25"/>
      <c r="R212" s="25"/>
      <c r="S212" s="37"/>
      <c r="T212" s="52"/>
      <c r="U212" s="159"/>
      <c r="V212" s="102"/>
      <c r="W212" s="54"/>
      <c r="X212" s="164"/>
      <c r="Y212" s="69"/>
      <c r="Z212" s="69"/>
      <c r="AA212" s="69"/>
      <c r="AB212" s="66"/>
      <c r="AC212" s="62"/>
      <c r="AD212" s="63"/>
      <c r="AE212" s="95"/>
      <c r="AF212" s="92"/>
      <c r="AG212" s="1"/>
      <c r="AI212" s="130"/>
      <c r="AJ212" s="55"/>
      <c r="AK212" s="55"/>
      <c r="AL212" s="55"/>
    </row>
    <row r="213" spans="1:38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17"/>
      <c r="L213" s="24"/>
      <c r="M213" s="6"/>
      <c r="N213" s="7"/>
      <c r="O213" s="7"/>
      <c r="P213" s="7"/>
      <c r="Q213" s="25"/>
      <c r="R213" s="25"/>
      <c r="S213" s="37"/>
      <c r="T213" s="52"/>
      <c r="U213" s="159"/>
      <c r="V213" s="102"/>
      <c r="W213" s="54"/>
      <c r="X213" s="164"/>
      <c r="Y213" s="69"/>
      <c r="Z213" s="69"/>
      <c r="AA213" s="69"/>
      <c r="AB213" s="66"/>
      <c r="AC213" s="62"/>
      <c r="AD213" s="63"/>
      <c r="AE213" s="95"/>
      <c r="AF213" s="92"/>
      <c r="AG213" s="1"/>
      <c r="AI213" s="130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17"/>
      <c r="L214" s="24"/>
      <c r="M214" s="6"/>
      <c r="N214" s="7"/>
      <c r="O214" s="7"/>
      <c r="P214" s="7"/>
      <c r="Q214" s="25"/>
      <c r="R214" s="25"/>
      <c r="S214" s="37"/>
      <c r="T214" s="52"/>
      <c r="U214" s="159"/>
      <c r="V214" s="102"/>
      <c r="W214" s="54"/>
      <c r="X214" s="164"/>
      <c r="Y214" s="69"/>
      <c r="Z214" s="69"/>
      <c r="AA214" s="69"/>
      <c r="AB214" s="66"/>
      <c r="AC214" s="62"/>
      <c r="AD214" s="63"/>
      <c r="AE214" s="95"/>
      <c r="AF214" s="92"/>
      <c r="AG214" s="1"/>
      <c r="AI214" s="130"/>
      <c r="AJ214" s="55"/>
      <c r="AK214" s="55"/>
      <c r="AL214" s="55"/>
    </row>
    <row r="215" spans="1:38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17"/>
      <c r="L215" s="24"/>
      <c r="M215" s="6"/>
      <c r="N215" s="7"/>
      <c r="O215" s="7"/>
      <c r="P215" s="7"/>
      <c r="Q215" s="25"/>
      <c r="R215" s="25"/>
      <c r="S215" s="37"/>
      <c r="T215" s="52"/>
      <c r="U215" s="159"/>
      <c r="V215" s="102"/>
      <c r="W215" s="54"/>
      <c r="X215" s="164"/>
      <c r="Y215" s="69"/>
      <c r="Z215" s="69"/>
      <c r="AA215" s="69"/>
      <c r="AB215" s="66"/>
      <c r="AC215" s="62"/>
      <c r="AD215" s="63"/>
      <c r="AE215" s="95"/>
      <c r="AF215" s="92"/>
      <c r="AG215" s="1"/>
      <c r="AI215" s="130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17"/>
      <c r="L216" s="24"/>
      <c r="M216" s="6"/>
      <c r="N216" s="7"/>
      <c r="O216" s="7"/>
      <c r="P216" s="7"/>
      <c r="Q216" s="25"/>
      <c r="R216" s="25"/>
      <c r="S216" s="37"/>
      <c r="T216" s="52"/>
      <c r="U216" s="159"/>
      <c r="V216" s="102"/>
      <c r="W216" s="54"/>
      <c r="X216" s="164"/>
      <c r="Y216" s="69"/>
      <c r="Z216" s="69"/>
      <c r="AA216" s="69"/>
      <c r="AB216" s="66"/>
      <c r="AC216" s="62"/>
      <c r="AD216" s="63"/>
      <c r="AE216" s="95"/>
      <c r="AF216" s="92"/>
      <c r="AG216" s="1"/>
      <c r="AI216" s="130"/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17"/>
      <c r="L217" s="24"/>
      <c r="M217" s="6"/>
      <c r="N217" s="7"/>
      <c r="O217" s="7"/>
      <c r="P217" s="7"/>
      <c r="Q217" s="25"/>
      <c r="R217" s="25"/>
      <c r="S217" s="37"/>
      <c r="T217" s="52"/>
      <c r="U217" s="159"/>
      <c r="V217" s="102"/>
      <c r="W217" s="54"/>
      <c r="X217" s="164"/>
      <c r="Y217" s="69"/>
      <c r="Z217" s="69"/>
      <c r="AA217" s="69"/>
      <c r="AB217" s="66"/>
      <c r="AC217" s="62"/>
      <c r="AD217" s="63"/>
      <c r="AE217" s="95"/>
      <c r="AF217" s="92"/>
      <c r="AG217" s="1"/>
      <c r="AI217" s="130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17"/>
      <c r="L218" s="24"/>
      <c r="M218" s="6"/>
      <c r="N218" s="7"/>
      <c r="O218" s="7"/>
      <c r="P218" s="7"/>
      <c r="Q218" s="25"/>
      <c r="R218" s="25"/>
      <c r="S218" s="37"/>
      <c r="T218" s="52"/>
      <c r="U218" s="159"/>
      <c r="V218" s="102"/>
      <c r="W218" s="54"/>
      <c r="X218" s="164"/>
      <c r="Y218" s="69"/>
      <c r="Z218" s="69"/>
      <c r="AA218" s="69"/>
      <c r="AB218" s="66"/>
      <c r="AC218" s="62"/>
      <c r="AD218" s="63"/>
      <c r="AE218" s="95"/>
      <c r="AF218" s="92"/>
      <c r="AG218" s="1"/>
      <c r="AI218" s="130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17"/>
      <c r="L219" s="24"/>
      <c r="M219" s="6"/>
      <c r="N219" s="7"/>
      <c r="O219" s="7"/>
      <c r="P219" s="7"/>
      <c r="Q219" s="25"/>
      <c r="R219" s="25"/>
      <c r="S219" s="37"/>
      <c r="T219" s="52"/>
      <c r="U219" s="159"/>
      <c r="V219" s="102"/>
      <c r="W219" s="54"/>
      <c r="X219" s="164"/>
      <c r="Y219" s="69"/>
      <c r="Z219" s="69"/>
      <c r="AA219" s="69"/>
      <c r="AB219" s="66"/>
      <c r="AC219" s="62"/>
      <c r="AD219" s="63"/>
      <c r="AE219" s="95"/>
      <c r="AF219" s="92"/>
      <c r="AG219" s="1"/>
      <c r="AI219" s="130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17"/>
      <c r="L220" s="24"/>
      <c r="M220" s="6"/>
      <c r="N220" s="7"/>
      <c r="O220" s="7"/>
      <c r="P220" s="7"/>
      <c r="Q220" s="25"/>
      <c r="R220" s="25"/>
      <c r="S220" s="37"/>
      <c r="T220" s="52"/>
      <c r="U220" s="159"/>
      <c r="V220" s="102"/>
      <c r="W220" s="54"/>
      <c r="X220" s="164"/>
      <c r="Y220" s="69"/>
      <c r="Z220" s="69"/>
      <c r="AA220" s="69"/>
      <c r="AB220" s="66"/>
      <c r="AC220" s="62"/>
      <c r="AD220" s="63"/>
      <c r="AE220" s="95"/>
      <c r="AF220" s="92"/>
      <c r="AG220" s="1"/>
      <c r="AI220" s="130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17"/>
      <c r="L221" s="24"/>
      <c r="M221" s="6"/>
      <c r="N221" s="7"/>
      <c r="O221" s="7"/>
      <c r="P221" s="7"/>
      <c r="Q221" s="25"/>
      <c r="R221" s="25"/>
      <c r="S221" s="37"/>
      <c r="T221" s="52"/>
      <c r="U221" s="159"/>
      <c r="V221" s="102"/>
      <c r="W221" s="54"/>
      <c r="X221" s="164"/>
      <c r="Y221" s="69"/>
      <c r="Z221" s="69"/>
      <c r="AA221" s="69"/>
      <c r="AB221" s="66"/>
      <c r="AC221" s="62"/>
      <c r="AD221" s="63"/>
      <c r="AE221" s="95"/>
      <c r="AF221" s="92"/>
      <c r="AG221" s="1"/>
      <c r="AI221" s="130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17"/>
      <c r="L222" s="24"/>
      <c r="M222" s="6"/>
      <c r="N222" s="7"/>
      <c r="O222" s="7"/>
      <c r="P222" s="7"/>
      <c r="Q222" s="25"/>
      <c r="R222" s="25"/>
      <c r="S222" s="37"/>
      <c r="T222" s="52"/>
      <c r="U222" s="159"/>
      <c r="V222" s="102"/>
      <c r="W222" s="54"/>
      <c r="X222" s="164"/>
      <c r="Y222" s="69"/>
      <c r="Z222" s="69"/>
      <c r="AA222" s="69"/>
      <c r="AB222" s="66"/>
      <c r="AC222" s="62"/>
      <c r="AD222" s="63"/>
      <c r="AE222" s="95"/>
      <c r="AF222" s="92"/>
      <c r="AG222" s="1"/>
      <c r="AI222" s="130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17"/>
      <c r="L223" s="24"/>
      <c r="M223" s="6"/>
      <c r="N223" s="7"/>
      <c r="O223" s="7"/>
      <c r="P223" s="7"/>
      <c r="Q223" s="25"/>
      <c r="R223" s="25"/>
      <c r="S223" s="37"/>
      <c r="T223" s="52"/>
      <c r="U223" s="159"/>
      <c r="V223" s="102"/>
      <c r="W223" s="54"/>
      <c r="X223" s="164"/>
      <c r="Y223" s="69"/>
      <c r="Z223" s="69"/>
      <c r="AA223" s="69"/>
      <c r="AB223" s="66"/>
      <c r="AC223" s="62"/>
      <c r="AD223" s="63"/>
      <c r="AE223" s="95"/>
      <c r="AF223" s="92"/>
      <c r="AG223" s="1"/>
      <c r="AI223" s="130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17"/>
      <c r="L224" s="24"/>
      <c r="M224" s="6"/>
      <c r="N224" s="7"/>
      <c r="O224" s="7"/>
      <c r="P224" s="7"/>
      <c r="Q224" s="25"/>
      <c r="R224" s="25"/>
      <c r="S224" s="37"/>
      <c r="T224" s="52"/>
      <c r="U224" s="159"/>
      <c r="V224" s="102"/>
      <c r="W224" s="54"/>
      <c r="X224" s="164"/>
      <c r="Y224" s="69"/>
      <c r="Z224" s="69"/>
      <c r="AA224" s="69"/>
      <c r="AB224" s="66"/>
      <c r="AC224" s="62"/>
      <c r="AD224" s="63"/>
      <c r="AE224" s="95"/>
      <c r="AF224" s="92"/>
      <c r="AG224" s="1"/>
      <c r="AI224" s="130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17"/>
      <c r="L225" s="24"/>
      <c r="M225" s="6"/>
      <c r="N225" s="7"/>
      <c r="O225" s="7"/>
      <c r="P225" s="7"/>
      <c r="Q225" s="25"/>
      <c r="R225" s="25"/>
      <c r="S225" s="37"/>
      <c r="T225" s="52"/>
      <c r="U225" s="159"/>
      <c r="V225" s="102"/>
      <c r="W225" s="54"/>
      <c r="X225" s="164"/>
      <c r="Y225" s="69"/>
      <c r="Z225" s="69"/>
      <c r="AA225" s="69"/>
      <c r="AB225" s="66"/>
      <c r="AC225" s="62"/>
      <c r="AD225" s="63"/>
      <c r="AE225" s="95"/>
      <c r="AF225" s="92"/>
      <c r="AG225" s="1"/>
      <c r="AI225" s="130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17"/>
      <c r="L226" s="24"/>
      <c r="M226" s="6"/>
      <c r="N226" s="7"/>
      <c r="O226" s="7"/>
      <c r="P226" s="7"/>
      <c r="Q226" s="25"/>
      <c r="R226" s="25"/>
      <c r="S226" s="37"/>
      <c r="T226" s="52"/>
      <c r="U226" s="159"/>
      <c r="V226" s="102"/>
      <c r="W226" s="54"/>
      <c r="X226" s="164"/>
      <c r="Y226" s="69"/>
      <c r="Z226" s="69"/>
      <c r="AA226" s="69"/>
      <c r="AB226" s="66"/>
      <c r="AC226" s="62"/>
      <c r="AD226" s="63"/>
      <c r="AE226" s="95"/>
      <c r="AF226" s="92"/>
      <c r="AG226" s="1"/>
      <c r="AI226" s="130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17"/>
      <c r="L227" s="24"/>
      <c r="M227" s="6"/>
      <c r="N227" s="7"/>
      <c r="O227" s="7"/>
      <c r="P227" s="7"/>
      <c r="Q227" s="25"/>
      <c r="R227" s="25"/>
      <c r="S227" s="37"/>
      <c r="T227" s="52"/>
      <c r="U227" s="159"/>
      <c r="V227" s="102"/>
      <c r="W227" s="54"/>
      <c r="X227" s="164"/>
      <c r="Y227" s="69"/>
      <c r="Z227" s="69"/>
      <c r="AA227" s="69"/>
      <c r="AB227" s="66"/>
      <c r="AC227" s="62"/>
      <c r="AD227" s="63"/>
      <c r="AE227" s="95"/>
      <c r="AF227" s="92"/>
      <c r="AG227" s="1"/>
      <c r="AI227" s="130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7"/>
      <c r="L228" s="24"/>
      <c r="M228" s="6"/>
      <c r="N228" s="7"/>
      <c r="O228" s="7"/>
      <c r="P228" s="7"/>
      <c r="Q228" s="25"/>
      <c r="R228" s="25"/>
      <c r="S228" s="37"/>
      <c r="T228" s="52"/>
      <c r="U228" s="159"/>
      <c r="V228" s="102"/>
      <c r="W228" s="54"/>
      <c r="X228" s="164"/>
      <c r="Y228" s="69"/>
      <c r="Z228" s="69"/>
      <c r="AA228" s="69"/>
      <c r="AB228" s="66"/>
      <c r="AC228" s="62"/>
      <c r="AD228" s="63"/>
      <c r="AE228" s="95"/>
      <c r="AF228" s="92"/>
      <c r="AG228" s="1"/>
      <c r="AI228" s="130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7"/>
      <c r="L229" s="24"/>
      <c r="M229" s="6"/>
      <c r="N229" s="7"/>
      <c r="O229" s="7"/>
      <c r="P229" s="7"/>
      <c r="Q229" s="25"/>
      <c r="R229" s="25"/>
      <c r="S229" s="37"/>
      <c r="T229" s="52"/>
      <c r="U229" s="159"/>
      <c r="V229" s="102"/>
      <c r="W229" s="54"/>
      <c r="X229" s="164"/>
      <c r="Y229" s="69"/>
      <c r="Z229" s="69"/>
      <c r="AA229" s="69"/>
      <c r="AB229" s="66"/>
      <c r="AC229" s="62"/>
      <c r="AD229" s="63"/>
      <c r="AE229" s="95"/>
      <c r="AF229" s="92"/>
      <c r="AG229" s="1"/>
      <c r="AI229" s="130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7"/>
      <c r="L230" s="24"/>
      <c r="M230" s="6"/>
      <c r="N230" s="7"/>
      <c r="O230" s="7"/>
      <c r="P230" s="7"/>
      <c r="Q230" s="25"/>
      <c r="R230" s="25"/>
      <c r="S230" s="37"/>
      <c r="T230" s="52"/>
      <c r="U230" s="159"/>
      <c r="V230" s="102"/>
      <c r="W230" s="54"/>
      <c r="X230" s="164"/>
      <c r="Y230" s="69"/>
      <c r="Z230" s="69"/>
      <c r="AA230" s="69"/>
      <c r="AB230" s="66"/>
      <c r="AC230" s="62"/>
      <c r="AD230" s="63"/>
      <c r="AE230" s="95"/>
      <c r="AF230" s="92"/>
      <c r="AG230" s="1"/>
      <c r="AI230" s="130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7"/>
      <c r="L231" s="24"/>
      <c r="M231" s="6"/>
      <c r="N231" s="7"/>
      <c r="O231" s="7"/>
      <c r="P231" s="7"/>
      <c r="Q231" s="25"/>
      <c r="R231" s="25"/>
      <c r="S231" s="37"/>
      <c r="T231" s="52"/>
      <c r="U231" s="159"/>
      <c r="V231" s="102"/>
      <c r="W231" s="54"/>
      <c r="X231" s="164"/>
      <c r="Y231" s="69"/>
      <c r="Z231" s="69"/>
      <c r="AA231" s="69"/>
      <c r="AB231" s="66"/>
      <c r="AC231" s="62"/>
      <c r="AD231" s="63"/>
      <c r="AE231" s="95"/>
      <c r="AF231" s="92"/>
      <c r="AG231" s="1"/>
      <c r="AI231" s="130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7"/>
      <c r="L232" s="24"/>
      <c r="M232" s="6"/>
      <c r="N232" s="7"/>
      <c r="O232" s="7"/>
      <c r="P232" s="7"/>
      <c r="Q232" s="25"/>
      <c r="R232" s="25"/>
      <c r="S232" s="37"/>
      <c r="T232" s="52"/>
      <c r="U232" s="159"/>
      <c r="V232" s="102"/>
      <c r="W232" s="54"/>
      <c r="X232" s="164"/>
      <c r="Y232" s="69"/>
      <c r="Z232" s="69"/>
      <c r="AA232" s="69"/>
      <c r="AB232" s="66"/>
      <c r="AC232" s="62"/>
      <c r="AD232" s="63"/>
      <c r="AE232" s="95"/>
      <c r="AF232" s="92"/>
      <c r="AG232" s="1"/>
      <c r="AI232" s="130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7"/>
      <c r="L233" s="24"/>
      <c r="M233" s="6"/>
      <c r="N233" s="7"/>
      <c r="O233" s="7"/>
      <c r="P233" s="7"/>
      <c r="Q233" s="25"/>
      <c r="R233" s="25"/>
      <c r="S233" s="37"/>
      <c r="T233" s="52"/>
      <c r="U233" s="159"/>
      <c r="V233" s="102"/>
      <c r="W233" s="54"/>
      <c r="X233" s="164"/>
      <c r="Y233" s="69"/>
      <c r="Z233" s="69"/>
      <c r="AA233" s="69"/>
      <c r="AB233" s="66"/>
      <c r="AC233" s="62"/>
      <c r="AD233" s="63"/>
      <c r="AE233" s="95"/>
      <c r="AF233" s="92"/>
      <c r="AG233" s="1"/>
      <c r="AI233" s="130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7"/>
      <c r="L234" s="24"/>
      <c r="M234" s="6"/>
      <c r="N234" s="7"/>
      <c r="O234" s="7"/>
      <c r="P234" s="7"/>
      <c r="Q234" s="25"/>
      <c r="R234" s="25"/>
      <c r="S234" s="37"/>
      <c r="T234" s="52"/>
      <c r="U234" s="159"/>
      <c r="V234" s="102"/>
      <c r="W234" s="54"/>
      <c r="X234" s="164"/>
      <c r="Y234" s="69"/>
      <c r="Z234" s="69"/>
      <c r="AA234" s="69"/>
      <c r="AB234" s="66"/>
      <c r="AC234" s="62"/>
      <c r="AD234" s="63"/>
      <c r="AE234" s="95"/>
      <c r="AF234" s="92"/>
      <c r="AG234" s="1"/>
      <c r="AI234" s="130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7"/>
      <c r="L235" s="24"/>
      <c r="M235" s="6"/>
      <c r="N235" s="7"/>
      <c r="O235" s="7"/>
      <c r="P235" s="7"/>
      <c r="Q235" s="25"/>
      <c r="R235" s="25"/>
      <c r="S235" s="37"/>
      <c r="T235" s="52"/>
      <c r="U235" s="159"/>
      <c r="V235" s="102"/>
      <c r="W235" s="54"/>
      <c r="X235" s="164"/>
      <c r="Y235" s="69"/>
      <c r="Z235" s="69"/>
      <c r="AA235" s="69"/>
      <c r="AB235" s="66"/>
      <c r="AC235" s="62"/>
      <c r="AD235" s="63"/>
      <c r="AE235" s="95"/>
      <c r="AF235" s="92"/>
      <c r="AG235" s="1"/>
      <c r="AI235" s="130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7"/>
      <c r="L236" s="24"/>
      <c r="M236" s="6"/>
      <c r="N236" s="7"/>
      <c r="O236" s="7"/>
      <c r="P236" s="7"/>
      <c r="Q236" s="25"/>
      <c r="R236" s="25"/>
      <c r="S236" s="37"/>
      <c r="T236" s="52"/>
      <c r="U236" s="159"/>
      <c r="V236" s="102"/>
      <c r="W236" s="54"/>
      <c r="X236" s="164"/>
      <c r="Y236" s="69"/>
      <c r="Z236" s="69"/>
      <c r="AA236" s="69"/>
      <c r="AB236" s="66"/>
      <c r="AC236" s="62"/>
      <c r="AD236" s="63"/>
      <c r="AE236" s="95"/>
      <c r="AF236" s="92"/>
      <c r="AG236" s="1"/>
      <c r="AI236" s="130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7"/>
      <c r="L237" s="24"/>
      <c r="M237" s="6"/>
      <c r="N237" s="7"/>
      <c r="O237" s="7"/>
      <c r="P237" s="7"/>
      <c r="Q237" s="25"/>
      <c r="R237" s="25"/>
      <c r="S237" s="37"/>
      <c r="T237" s="52"/>
      <c r="U237" s="159"/>
      <c r="V237" s="102"/>
      <c r="W237" s="54"/>
      <c r="X237" s="164"/>
      <c r="Y237" s="69"/>
      <c r="Z237" s="69"/>
      <c r="AA237" s="69"/>
      <c r="AB237" s="66"/>
      <c r="AC237" s="62"/>
      <c r="AD237" s="63"/>
      <c r="AE237" s="95"/>
      <c r="AF237" s="92"/>
      <c r="AG237" s="1"/>
      <c r="AI237" s="130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7"/>
      <c r="L238" s="24"/>
      <c r="M238" s="6"/>
      <c r="N238" s="7"/>
      <c r="O238" s="7"/>
      <c r="P238" s="7"/>
      <c r="Q238" s="25"/>
      <c r="R238" s="25"/>
      <c r="S238" s="37"/>
      <c r="T238" s="52"/>
      <c r="U238" s="159"/>
      <c r="V238" s="102"/>
      <c r="W238" s="54"/>
      <c r="X238" s="164"/>
      <c r="Y238" s="69"/>
      <c r="Z238" s="69"/>
      <c r="AA238" s="69"/>
      <c r="AB238" s="66"/>
      <c r="AC238" s="62"/>
      <c r="AD238" s="63"/>
      <c r="AE238" s="95"/>
      <c r="AF238" s="92"/>
      <c r="AG238" s="1"/>
      <c r="AI238" s="130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7"/>
      <c r="L239" s="24"/>
      <c r="M239" s="6"/>
      <c r="N239" s="7"/>
      <c r="O239" s="7"/>
      <c r="P239" s="7"/>
      <c r="Q239" s="25"/>
      <c r="R239" s="25"/>
      <c r="S239" s="37"/>
      <c r="T239" s="52"/>
      <c r="U239" s="159"/>
      <c r="V239" s="102"/>
      <c r="W239" s="54"/>
      <c r="X239" s="164"/>
      <c r="Y239" s="69"/>
      <c r="Z239" s="69"/>
      <c r="AA239" s="69"/>
      <c r="AB239" s="66"/>
      <c r="AC239" s="62"/>
      <c r="AD239" s="63"/>
      <c r="AE239" s="95"/>
      <c r="AF239" s="92"/>
      <c r="AG239" s="1"/>
      <c r="AI239" s="130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7"/>
      <c r="L240" s="24"/>
      <c r="M240" s="6"/>
      <c r="N240" s="7"/>
      <c r="O240" s="7"/>
      <c r="P240" s="7"/>
      <c r="Q240" s="25"/>
      <c r="R240" s="25"/>
      <c r="S240" s="37"/>
      <c r="T240" s="52"/>
      <c r="U240" s="159"/>
      <c r="V240" s="102"/>
      <c r="W240" s="54"/>
      <c r="X240" s="164"/>
      <c r="Y240" s="69"/>
      <c r="Z240" s="69"/>
      <c r="AA240" s="69"/>
      <c r="AB240" s="66"/>
      <c r="AC240" s="62"/>
      <c r="AD240" s="63"/>
      <c r="AE240" s="95"/>
      <c r="AF240" s="92"/>
      <c r="AG240" s="1"/>
      <c r="AI240" s="130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7"/>
      <c r="L241" s="24"/>
      <c r="M241" s="6"/>
      <c r="N241" s="7"/>
      <c r="O241" s="7"/>
      <c r="P241" s="7"/>
      <c r="Q241" s="25"/>
      <c r="R241" s="25"/>
      <c r="S241" s="37"/>
      <c r="T241" s="52"/>
      <c r="U241" s="159"/>
      <c r="V241" s="102"/>
      <c r="W241" s="54"/>
      <c r="X241" s="164"/>
      <c r="Y241" s="69"/>
      <c r="Z241" s="69"/>
      <c r="AA241" s="69"/>
      <c r="AB241" s="66"/>
      <c r="AC241" s="62"/>
      <c r="AD241" s="63"/>
      <c r="AE241" s="95"/>
      <c r="AF241" s="92"/>
      <c r="AG241" s="1"/>
      <c r="AI241" s="130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7"/>
      <c r="L242" s="24"/>
      <c r="M242" s="6"/>
      <c r="N242" s="7"/>
      <c r="O242" s="7"/>
      <c r="P242" s="7"/>
      <c r="Q242" s="25"/>
      <c r="R242" s="25"/>
      <c r="S242" s="37"/>
      <c r="T242" s="52"/>
      <c r="U242" s="159"/>
      <c r="V242" s="102"/>
      <c r="W242" s="54"/>
      <c r="X242" s="164"/>
      <c r="Y242" s="69"/>
      <c r="Z242" s="69"/>
      <c r="AA242" s="69"/>
      <c r="AB242" s="66"/>
      <c r="AC242" s="62"/>
      <c r="AD242" s="63"/>
      <c r="AE242" s="95"/>
      <c r="AF242" s="92"/>
      <c r="AG242" s="1"/>
      <c r="AI242" s="130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17"/>
      <c r="L243" s="24"/>
      <c r="M243" s="6"/>
      <c r="N243" s="7"/>
      <c r="O243" s="7"/>
      <c r="P243" s="7"/>
      <c r="Q243" s="25"/>
      <c r="R243" s="25"/>
      <c r="S243" s="37"/>
      <c r="T243" s="52"/>
      <c r="U243" s="159"/>
      <c r="V243" s="102"/>
      <c r="W243" s="54"/>
      <c r="X243" s="164"/>
      <c r="Y243" s="69"/>
      <c r="Z243" s="69"/>
      <c r="AA243" s="69"/>
      <c r="AB243" s="66"/>
      <c r="AC243" s="62"/>
      <c r="AD243" s="63"/>
      <c r="AE243" s="95"/>
      <c r="AF243" s="92"/>
      <c r="AG243" s="1"/>
      <c r="AI243" s="130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17"/>
      <c r="L244" s="24"/>
      <c r="M244" s="6"/>
      <c r="N244" s="7"/>
      <c r="O244" s="7"/>
      <c r="P244" s="7"/>
      <c r="Q244" s="25"/>
      <c r="R244" s="25"/>
      <c r="S244" s="37"/>
      <c r="T244" s="52"/>
      <c r="U244" s="159"/>
      <c r="V244" s="102"/>
      <c r="W244" s="54"/>
      <c r="X244" s="164"/>
      <c r="Y244" s="69"/>
      <c r="Z244" s="69"/>
      <c r="AA244" s="69"/>
      <c r="AB244" s="66"/>
      <c r="AC244" s="62"/>
      <c r="AD244" s="63"/>
      <c r="AE244" s="95"/>
      <c r="AF244" s="92"/>
      <c r="AG244" s="1"/>
      <c r="AI244" s="130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17"/>
      <c r="L245" s="24"/>
      <c r="M245" s="6"/>
      <c r="N245" s="7"/>
      <c r="O245" s="7"/>
      <c r="P245" s="7"/>
      <c r="Q245" s="25"/>
      <c r="R245" s="25"/>
      <c r="S245" s="37"/>
      <c r="T245" s="52"/>
      <c r="U245" s="159"/>
      <c r="V245" s="102"/>
      <c r="W245" s="54"/>
      <c r="X245" s="164"/>
      <c r="Y245" s="69"/>
      <c r="Z245" s="69"/>
      <c r="AA245" s="69"/>
      <c r="AB245" s="66"/>
      <c r="AC245" s="62"/>
      <c r="AD245" s="63"/>
      <c r="AE245" s="95"/>
      <c r="AF245" s="92"/>
      <c r="AG245" s="1"/>
      <c r="AI245" s="130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17"/>
      <c r="L246" s="24"/>
      <c r="M246" s="6"/>
      <c r="N246" s="7"/>
      <c r="O246" s="7"/>
      <c r="P246" s="7"/>
      <c r="Q246" s="25"/>
      <c r="R246" s="25"/>
      <c r="S246" s="37"/>
      <c r="T246" s="52"/>
      <c r="U246" s="159"/>
      <c r="V246" s="102"/>
      <c r="W246" s="54"/>
      <c r="X246" s="164"/>
      <c r="Y246" s="69"/>
      <c r="Z246" s="69"/>
      <c r="AA246" s="69"/>
      <c r="AB246" s="66"/>
      <c r="AC246" s="62"/>
      <c r="AD246" s="63"/>
      <c r="AE246" s="95"/>
      <c r="AF246" s="92"/>
      <c r="AG246" s="1"/>
      <c r="AI246" s="130"/>
      <c r="AJ246" s="55"/>
      <c r="AK246" s="55"/>
      <c r="AL246" s="55"/>
    </row>
  </sheetData>
  <autoFilter ref="A12:AG246">
    <sortState ref="A13:AG249">
      <sortCondition ref="AG13:AG214"/>
      <sortCondition ref="AD13:AD214"/>
    </sortState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326" operator="equal">
      <formula>"Y"</formula>
    </cfRule>
  </conditionalFormatting>
  <conditionalFormatting sqref="X13:X1048576">
    <cfRule type="cellIs" dxfId="7" priority="309" operator="greaterThan">
      <formula>1</formula>
    </cfRule>
  </conditionalFormatting>
  <conditionalFormatting sqref="X12:X1048576">
    <cfRule type="cellIs" dxfId="6" priority="306" operator="equal">
      <formula>0</formula>
    </cfRule>
  </conditionalFormatting>
  <conditionalFormatting sqref="A13:S211">
    <cfRule type="expression" dxfId="5" priority="300" stopIfTrue="1">
      <formula>$P13&gt;0</formula>
    </cfRule>
    <cfRule type="expression" dxfId="4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AK13:AK246</xm:sqref>
        </x14:dataValidation>
        <x14:dataValidation type="list" allowBlank="1" showInputMessage="1" showErrorMessage="1">
          <x14:formula1>
            <xm:f>'Redmine List Values'!$C$2:$C$20</xm:f>
          </x14:formula1>
          <xm:sqref>AL13:AL246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abSelected="1" topLeftCell="A2" workbookViewId="0">
      <selection activeCell="P21" sqref="P21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57" customWidth="1"/>
    <col min="16" max="16" width="30.7109375" customWidth="1"/>
    <col min="17" max="17" width="5" hidden="1" customWidth="1"/>
    <col min="18" max="18" width="5.5703125" style="93" customWidth="1"/>
    <col min="19" max="19" width="5.5703125" style="105" customWidth="1"/>
    <col min="20" max="20" width="6" style="90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1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57"/>
      <c r="R1" s="93"/>
      <c r="S1" s="105"/>
      <c r="T1" s="90"/>
      <c r="V1" s="50"/>
      <c r="AC1" s="171"/>
    </row>
    <row r="2" spans="1:29" s="23" customFormat="1" x14ac:dyDescent="0.25">
      <c r="A2" s="8"/>
      <c r="F2" s="2"/>
      <c r="G2" s="2"/>
      <c r="H2" s="2"/>
      <c r="I2" s="2"/>
      <c r="K2" s="2"/>
      <c r="L2" s="143" t="s">
        <v>87</v>
      </c>
      <c r="M2" s="147"/>
      <c r="N2" s="118"/>
      <c r="O2" s="167">
        <f>COUNTIF($O$7:$O$400,"=Y")</f>
        <v>3</v>
      </c>
      <c r="P2" s="119"/>
      <c r="R2" s="93"/>
      <c r="S2" s="105"/>
      <c r="T2" s="90"/>
      <c r="V2" s="50"/>
      <c r="AC2" s="172"/>
    </row>
    <row r="3" spans="1:29" s="23" customFormat="1" ht="15.75" thickBot="1" x14ac:dyDescent="0.3">
      <c r="A3" s="8"/>
      <c r="F3" s="2"/>
      <c r="G3" s="2"/>
      <c r="H3" s="2"/>
      <c r="I3" s="2"/>
      <c r="K3" s="2"/>
      <c r="L3" s="144" t="s">
        <v>88</v>
      </c>
      <c r="M3" s="148"/>
      <c r="N3" s="120"/>
      <c r="O3" s="168">
        <f>COUNTA($O$7:$O$400)-O2</f>
        <v>44</v>
      </c>
      <c r="P3" s="119"/>
      <c r="R3" s="93"/>
      <c r="S3" s="105"/>
      <c r="T3" s="90"/>
      <c r="V3" s="50"/>
      <c r="AC3" s="172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57"/>
      <c r="R4" s="93"/>
      <c r="S4" s="105"/>
      <c r="T4" s="90"/>
      <c r="V4" s="50"/>
      <c r="AC4" s="172"/>
    </row>
    <row r="5" spans="1:29" s="11" customFormat="1" ht="15" customHeight="1" x14ac:dyDescent="0.25">
      <c r="A5" s="179" t="str">
        <f>"Eagle P3 Braking Events - "&amp;TEXT(Variables!$A$2,"YYYY-mm-dd")</f>
        <v>Eagle P3 Braking Events - 2016-09-26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3"/>
      <c r="S5" s="106"/>
      <c r="T5" s="108"/>
      <c r="V5" s="51"/>
      <c r="AC5" s="173"/>
    </row>
    <row r="6" spans="1:29" s="142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179</v>
      </c>
      <c r="J6" s="132" t="s">
        <v>30</v>
      </c>
      <c r="K6" s="133" t="s">
        <v>29</v>
      </c>
      <c r="L6" s="145" t="s">
        <v>28</v>
      </c>
      <c r="M6" s="133" t="s">
        <v>180</v>
      </c>
      <c r="N6" s="134" t="s">
        <v>47</v>
      </c>
      <c r="O6" s="169" t="s">
        <v>27</v>
      </c>
      <c r="P6" s="132" t="s">
        <v>24</v>
      </c>
      <c r="Q6" s="135"/>
      <c r="R6" s="136" t="s">
        <v>96</v>
      </c>
      <c r="S6" s="137" t="s">
        <v>61</v>
      </c>
      <c r="T6" s="138" t="s">
        <v>95</v>
      </c>
      <c r="U6" s="132" t="s">
        <v>90</v>
      </c>
      <c r="V6" s="139" t="s">
        <v>91</v>
      </c>
      <c r="W6" s="135" t="s">
        <v>103</v>
      </c>
      <c r="X6" s="135" t="s">
        <v>104</v>
      </c>
      <c r="Y6" s="140" t="s">
        <v>161</v>
      </c>
      <c r="Z6" s="141" t="s">
        <v>162</v>
      </c>
      <c r="AA6" s="141" t="s">
        <v>135</v>
      </c>
      <c r="AB6" s="141" t="s">
        <v>163</v>
      </c>
      <c r="AC6" s="174" t="s">
        <v>251</v>
      </c>
    </row>
    <row r="7" spans="1:29" s="1" customFormat="1" x14ac:dyDescent="0.25">
      <c r="A7" s="38">
        <v>42639.610324074078</v>
      </c>
      <c r="B7" s="33" t="s">
        <v>310</v>
      </c>
      <c r="C7" s="33" t="s">
        <v>494</v>
      </c>
      <c r="D7" s="33" t="s">
        <v>328</v>
      </c>
      <c r="E7" s="33" t="s">
        <v>169</v>
      </c>
      <c r="F7" s="49">
        <v>370</v>
      </c>
      <c r="G7" s="49">
        <v>443</v>
      </c>
      <c r="H7" s="49">
        <v>33277</v>
      </c>
      <c r="I7" s="49">
        <v>34531</v>
      </c>
      <c r="J7" s="33" t="s">
        <v>168</v>
      </c>
      <c r="K7" s="49">
        <v>33137</v>
      </c>
      <c r="L7" s="146" t="s">
        <v>52</v>
      </c>
      <c r="M7" s="149">
        <f t="shared" ref="M7:M53" si="0">CONVERT((I7-K7)/10000,"mi","ft")*IF(L7="Increasing Mileposts (1)",-1,1)</f>
        <v>-736.03200000000004</v>
      </c>
      <c r="N7" s="88" t="str">
        <f>VLOOKUP(C7,'Trips&amp;Operators'!$C$1:$E$99999,3,FALSE)</f>
        <v>STEWART</v>
      </c>
      <c r="O7" s="170" t="s">
        <v>86</v>
      </c>
      <c r="P7" s="10" t="s">
        <v>259</v>
      </c>
      <c r="Q7" s="33"/>
      <c r="R7" s="104" t="str">
        <f>VLOOKUP(C7,'Train Runs'!$A$13:$AE$10009,31,0)</f>
        <v>aws s3 cp s3://rtdc.mdm.uploadarchive/RTDC4053/2016-09-26/ "%USERPROFILE%\AppData\Local\Temp\OnboardLogs"\RTDC4053\2016-09-26 --recursive &amp; "%USERPROFILE%\Documents\GitHub\mrs-test-scripts\Headless Mode &amp; Sideloading\WalkAndUnGZ.bat" "%USERPROFILE%\AppData\Local\Temp\OnboardLogs"\RTDC4053\2016-09-26 &amp; aws s3 cp s3://rtdc.mdm.uploadarchive/RTDC4053/2016-09-27/ "%USERPROFILE%\AppData\Local\Temp\OnboardLogs"\RTDC4053\2016-09-27 --recursive &amp; "%USERPROFILE%\Documents\GitHub\mrs-test-scripts\Headless Mode &amp; Sideloading\WalkAndUnGZ.bat" "%USERPROFILE%\AppData\Local\Temp\OnboardLogs"\RTDC4053\2016-09-27</v>
      </c>
      <c r="S7" s="107" t="str">
        <f>VLOOKUP(C7,'Train Runs'!$A$13:$AE$10009,22,0)</f>
        <v>https://search-rtdc-monitor-bjffxe2xuh6vdkpspy63sjmuny.us-east-1.es.amazonaws.com/_plugin/kibana/#/discover/Steve-Slow-Train-Analysis-(2080s-and-2083s)?_g=(refreshInterval:(display:Off,section:0,value:0),time:(from:'2016-09-26 13:23:42-0600',mode:absolute,to:'2016-09-26 16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7" s="109" t="str">
        <f t="shared" ref="T7:T53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/stypes="*4053*201609262*" /stext=" 20:.+((SYSTEM_STATE.+slice.+state.+changed )|(ment ac)|(system.+state.+changed )|(\|lc)|(penalty)|(\[timeout)|(PRM\|1\|D)|(kpr)|(kdp))" /e /r /s</v>
      </c>
      <c r="U7" s="9" t="str">
        <f t="shared" ref="U7:U53" si="2">MID(B7,13,4)</f>
        <v>4053</v>
      </c>
      <c r="V7" s="38">
        <f t="shared" ref="V7:V53" si="3">A7+6/24</f>
        <v>42639.860324074078</v>
      </c>
      <c r="W7" s="52" t="str">
        <f t="shared" ref="W7:W53" si="4">IF(VALUE(LEFT(IF(LEN(C7)=6,"0"&amp;C7,C7),2))&lt;=2,"EC",IF(OR(VALUE(LEFT(IF(LEN(C7)=6,"0"&amp;C7,C7),2))=8,VALUE(LEFT(IF(LEN(C7)=6,"0"&amp;C7,C7),2))=18),"NW","Other"))</f>
        <v>EC</v>
      </c>
      <c r="X7" s="52" t="str">
        <f t="shared" ref="X7:X53" si="5">IF(AND(E7="TRACK WARRANT AUTHORITY",G7&lt;10),"OMIT","KEEP")</f>
        <v>KEEP</v>
      </c>
      <c r="Y7" s="130" t="str">
        <f t="shared" ref="Y7:Y5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arrival","project_id":79,"tracker_id":40,"status_id":1,"priority_id":2,"assigned_to_id":23,"start_date":"2016-09-26","description":"","custom_fields":[{"id":1,"name":"Subdivision","value":"EC"},{"id":4,"name":"Milepost","value":"3.3137"},{"id":17,"name":"Train ID","value":"187-26"},{"id":16,"name":"Locomotive ID","value":"4053"},{"id":130,"name":"Impact","value":""},{"id":150,"name":"Time of Event (Mountain Time)","value":"14:38:52"},{"id":151,"name":"Denver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1" t="str">
        <f t="shared" ref="AC7:AC53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"%USERPROFILE%\AppData\Local\Temp\OnboardLogs"\RTDC4053\*4053*201609262* | grep -SE "((Enforcement Ac)|(PRM))" -</v>
      </c>
    </row>
    <row r="8" spans="1:29" s="1" customFormat="1" x14ac:dyDescent="0.25">
      <c r="A8" s="38">
        <v>42639.406099537038</v>
      </c>
      <c r="B8" s="33" t="s">
        <v>291</v>
      </c>
      <c r="C8" s="33" t="s">
        <v>427</v>
      </c>
      <c r="D8" s="33" t="s">
        <v>328</v>
      </c>
      <c r="E8" s="33" t="s">
        <v>169</v>
      </c>
      <c r="F8" s="49">
        <v>0</v>
      </c>
      <c r="G8" s="49">
        <v>187</v>
      </c>
      <c r="H8" s="49">
        <v>33213</v>
      </c>
      <c r="I8" s="49">
        <v>33116</v>
      </c>
      <c r="J8" s="33" t="s">
        <v>168</v>
      </c>
      <c r="K8" s="49">
        <v>33257</v>
      </c>
      <c r="L8" s="146" t="s">
        <v>53</v>
      </c>
      <c r="M8" s="149">
        <f t="shared" si="0"/>
        <v>-74.447999999999993</v>
      </c>
      <c r="N8" s="88" t="str">
        <f>VLOOKUP(C8,'Trips&amp;Operators'!$C$1:$E$99999,3,FALSE)</f>
        <v>YORK</v>
      </c>
      <c r="O8" s="170" t="s">
        <v>86</v>
      </c>
      <c r="P8" s="10" t="s">
        <v>259</v>
      </c>
      <c r="Q8" s="33"/>
      <c r="R8" s="104" t="str">
        <f>VLOOKUP(C8,'Train Runs'!$A$13:$AE$10009,31,0)</f>
        <v>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 &amp; 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</v>
      </c>
      <c r="S8" s="107" t="str">
        <f>VLOOKUP(C8,'Train Runs'!$A$13:$AE$10009,22,0)</f>
        <v>https://search-rtdc-monitor-bjffxe2xuh6vdkpspy63sjmuny.us-east-1.es.amazonaws.com/_plugin/kibana/#/discover/Steve-Slow-Train-Analysis-(2080s-and-2083s)?_g=(refreshInterval:(display:Off,section:0,value:0),time:(from:'2016-09-26 07:56:05-0600',mode:absolute,to:'2016-09-26 10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8" s="109" t="str">
        <f t="shared" si="1"/>
        <v>"C:\Program Files (x86)\AstroGrep\AstroGrep.exe" /spath="%USERPROFILE%\AppData\Local\Temp\OnboardLogs" /stypes="*4015*201609261*" /stext=" 15:.+((SYSTEM_STATE.+slice.+state.+changed )|(ment ac)|(system.+state.+changed )|(\|lc)|(penalty)|(\[timeout)|(PRM\|1\|D)|(kpr)|(kdp))" /e /r /s</v>
      </c>
      <c r="U8" s="9" t="str">
        <f t="shared" si="2"/>
        <v>4015</v>
      </c>
      <c r="V8" s="38">
        <f t="shared" si="3"/>
        <v>42639.656099537038</v>
      </c>
      <c r="W8" s="52" t="str">
        <f t="shared" si="4"/>
        <v>EC</v>
      </c>
      <c r="X8" s="52" t="str">
        <f t="shared" si="5"/>
        <v>KEEP</v>
      </c>
      <c r="Y8" s="130" t="str">
        <f t="shared" si="6"/>
        <v>echo {"issue":{"subject":"Early arrival","project_id":79,"tracker_id":40,"status_id":1,"priority_id":2,"assigned_to_id":23,"start_date":"2016-09-26","description":"","custom_fields":[{"id":1,"name":"Subdivision","value":"EC"},{"id":4,"name":"Milepost","value":"3.3257"},{"id":17,"name":"Train ID","value":"138-26"},{"id":16,"name":"Locomotive ID","value":"4015"},{"id":130,"name":"Impact","value":""},{"id":150,"name":"Time of Event (Mountain Time)","value":"09:44:47"},{"id":151,"name":"Denver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1" t="str">
        <f t="shared" si="7"/>
        <v>grep -hSE -A100 "Enforcement Action" "%USERPROFILE%\AppData\Local\Temp\OnboardLogs"\RTDC4015\*4015*201609261* | grep -SE "((Enforcement Ac)|(PRM))" -</v>
      </c>
    </row>
    <row r="9" spans="1:29" s="1" customFormat="1" x14ac:dyDescent="0.25">
      <c r="A9" s="38">
        <v>42639.352048611108</v>
      </c>
      <c r="B9" s="33" t="s">
        <v>710</v>
      </c>
      <c r="C9" s="33" t="s">
        <v>415</v>
      </c>
      <c r="D9" s="33" t="s">
        <v>49</v>
      </c>
      <c r="E9" s="33" t="s">
        <v>169</v>
      </c>
      <c r="F9" s="49">
        <v>0</v>
      </c>
      <c r="G9" s="49">
        <v>443</v>
      </c>
      <c r="H9" s="49">
        <v>44481</v>
      </c>
      <c r="I9" s="49">
        <v>43224</v>
      </c>
      <c r="J9" s="33" t="s">
        <v>168</v>
      </c>
      <c r="K9" s="49">
        <v>42961</v>
      </c>
      <c r="L9" s="146" t="s">
        <v>53</v>
      </c>
      <c r="M9" s="149">
        <f t="shared" si="0"/>
        <v>138.864</v>
      </c>
      <c r="N9" s="88" t="str">
        <f>VLOOKUP(C9,'Trips&amp;Operators'!$C$1:$E$99999,3,FALSE)</f>
        <v>KILLION</v>
      </c>
      <c r="O9" s="170" t="s">
        <v>86</v>
      </c>
      <c r="P9" s="10" t="s">
        <v>259</v>
      </c>
      <c r="Q9" s="33"/>
      <c r="R9" s="104" t="str">
        <f>VLOOKUP(C9,'Train Runs'!$A$13:$AE$10009,31,0)</f>
        <v>aws s3 cp s3://rtdc.mdm.uploadarchive/RTDC4045/2016-09-26/ "%USERPROFILE%\AppData\Local\Temp\OnboardLogs"\RTDC4045\2016-09-26 --recursive &amp; "%USERPROFILE%\Documents\GitHub\mrs-test-scripts\Headless Mode &amp; Sideloading\WalkAndUnGZ.bat" "%USERPROFILE%\AppData\Local\Temp\OnboardLogs"\RTDC4045\2016-09-26 &amp; 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</v>
      </c>
      <c r="S9" s="107" t="str">
        <f>VLOOKUP(C9,'Train Runs'!$A$13:$AE$10009,22,0)</f>
        <v>https://search-rtdc-monitor-bjffxe2xuh6vdkpspy63sjmuny.us-east-1.es.amazonaws.com/_plugin/kibana/#/discover/Steve-Slow-Train-Analysis-(2080s-and-2083s)?_g=(refreshInterval:(display:Off,section:0,value:0),time:(from:'2016-09-26 06:49:55-0600',mode:absolute,to:'2016-09-26 09:41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9" s="109" t="str">
        <f t="shared" si="1"/>
        <v>"C:\Program Files (x86)\AstroGrep\AstroGrep.exe" /spath="%USERPROFILE%\AppData\Local\Temp\OnboardLogs" /stypes="*4045*201609261*" /stext=" 14:.+((SYSTEM_STATE.+slice.+state.+changed )|(ment ac)|(system.+state.+changed )|(\|lc)|(penalty)|(\[timeout)|(PRM\|1\|D)|(kpr)|(kdp))" /e /r /s</v>
      </c>
      <c r="U9" s="9" t="str">
        <f t="shared" si="2"/>
        <v>4045</v>
      </c>
      <c r="V9" s="38">
        <f t="shared" si="3"/>
        <v>42639.602048611108</v>
      </c>
      <c r="W9" s="52" t="str">
        <f t="shared" si="4"/>
        <v>EC</v>
      </c>
      <c r="X9" s="52" t="str">
        <f t="shared" si="5"/>
        <v>KEEP</v>
      </c>
      <c r="Y9" s="130" t="str">
        <f t="shared" si="6"/>
        <v>echo {"issue":{"subject":"Early arrival","project_id":79,"tracker_id":40,"status_id":1,"priority_id":2,"assigned_to_id":23,"start_date":"2016-09-26","description":"","custom_fields":[{"id":1,"name":"Subdivision","value":"EC"},{"id":4,"name":"Milepost","value":"4.2961"},{"id":17,"name":"Train ID","value":"128-26"},{"id":16,"name":"Locomotive ID","value":"4045"},{"id":130,"name":"Impact","value":""},{"id":150,"name":"Time of Event (Mountain Time)","value":"08:26:57"},{"id":151,"name":"Denver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1" t="str">
        <f t="shared" si="7"/>
        <v>grep -hSE -A100 "Enforcement Action" "%USERPROFILE%\AppData\Local\Temp\OnboardLogs"\RTDC4045\*4045*201609261* | grep -SE "((Enforcement Ac)|(PRM))" -</v>
      </c>
    </row>
    <row r="10" spans="1:29" s="1" customFormat="1" x14ac:dyDescent="0.25">
      <c r="A10" s="38">
        <v>42639.352546296293</v>
      </c>
      <c r="B10" s="33" t="s">
        <v>710</v>
      </c>
      <c r="C10" s="33" t="s">
        <v>415</v>
      </c>
      <c r="D10" s="33" t="s">
        <v>49</v>
      </c>
      <c r="E10" s="33" t="s">
        <v>169</v>
      </c>
      <c r="F10" s="49">
        <v>30</v>
      </c>
      <c r="G10" s="49">
        <v>123</v>
      </c>
      <c r="H10" s="49">
        <v>43026</v>
      </c>
      <c r="I10" s="49">
        <v>42923</v>
      </c>
      <c r="J10" s="33" t="s">
        <v>168</v>
      </c>
      <c r="K10" s="49">
        <v>42961</v>
      </c>
      <c r="L10" s="146" t="s">
        <v>53</v>
      </c>
      <c r="M10" s="149">
        <f t="shared" si="0"/>
        <v>-20.064</v>
      </c>
      <c r="N10" s="88" t="str">
        <f>VLOOKUP(C10,'Trips&amp;Operators'!$C$1:$E$99999,3,FALSE)</f>
        <v>KILLION</v>
      </c>
      <c r="O10" s="170" t="s">
        <v>86</v>
      </c>
      <c r="P10" s="10" t="s">
        <v>259</v>
      </c>
      <c r="Q10" s="33"/>
      <c r="R10" s="104" t="str">
        <f>VLOOKUP(C10,'Train Runs'!$A$13:$AE$10009,31,0)</f>
        <v>aws s3 cp s3://rtdc.mdm.uploadarchive/RTDC4045/2016-09-26/ "%USERPROFILE%\AppData\Local\Temp\OnboardLogs"\RTDC4045\2016-09-26 --recursive &amp; "%USERPROFILE%\Documents\GitHub\mrs-test-scripts\Headless Mode &amp; Sideloading\WalkAndUnGZ.bat" "%USERPROFILE%\AppData\Local\Temp\OnboardLogs"\RTDC4045\2016-09-26 &amp; 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</v>
      </c>
      <c r="S10" s="107" t="str">
        <f>VLOOKUP(C10,'Train Runs'!$A$13:$AE$10009,22,0)</f>
        <v>https://search-rtdc-monitor-bjffxe2xuh6vdkpspy63sjmuny.us-east-1.es.amazonaws.com/_plugin/kibana/#/discover/Steve-Slow-Train-Analysis-(2080s-and-2083s)?_g=(refreshInterval:(display:Off,section:0,value:0),time:(from:'2016-09-26 06:49:55-0600',mode:absolute,to:'2016-09-26 09:41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10" s="109" t="str">
        <f t="shared" si="1"/>
        <v>"C:\Program Files (x86)\AstroGrep\AstroGrep.exe" /spath="%USERPROFILE%\AppData\Local\Temp\OnboardLogs" /stypes="*4045*201609261*" /stext=" 14:.+((SYSTEM_STATE.+slice.+state.+changed )|(ment ac)|(system.+state.+changed )|(\|lc)|(penalty)|(\[timeout)|(PRM\|1\|D)|(kpr)|(kdp))" /e /r /s</v>
      </c>
      <c r="U10" s="9" t="str">
        <f t="shared" si="2"/>
        <v>4045</v>
      </c>
      <c r="V10" s="38">
        <f t="shared" si="3"/>
        <v>42639.602546296293</v>
      </c>
      <c r="W10" s="52" t="str">
        <f t="shared" si="4"/>
        <v>EC</v>
      </c>
      <c r="X10" s="52" t="str">
        <f t="shared" si="5"/>
        <v>KEEP</v>
      </c>
      <c r="Y10" s="130" t="str">
        <f t="shared" si="6"/>
        <v>echo {"issue":{"subject":"Early arrival","project_id":79,"tracker_id":40,"status_id":1,"priority_id":2,"assigned_to_id":23,"start_date":"2016-09-26","description":"","custom_fields":[{"id":1,"name":"Subdivision","value":"EC"},{"id":4,"name":"Milepost","value":"4.2961"},{"id":17,"name":"Train ID","value":"128-26"},{"id":16,"name":"Locomotive ID","value":"4045"},{"id":130,"name":"Impact","value":""},{"id":150,"name":"Time of Event (Mountain Time)","value":"08:27:40"},{"id":151,"name":"Denver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1" t="str">
        <f t="shared" si="7"/>
        <v>grep -hSE -A100 "Enforcement Action" "%USERPROFILE%\AppData\Local\Temp\OnboardLogs"\RTDC4045\*4045*201609261* | grep -SE "((Enforcement Ac)|(PRM))" -</v>
      </c>
    </row>
    <row r="11" spans="1:29" s="1" customFormat="1" x14ac:dyDescent="0.25">
      <c r="A11" s="38">
        <v>42639.425185185188</v>
      </c>
      <c r="B11" s="33" t="s">
        <v>710</v>
      </c>
      <c r="C11" s="33" t="s">
        <v>435</v>
      </c>
      <c r="D11" s="33" t="s">
        <v>49</v>
      </c>
      <c r="E11" s="33" t="s">
        <v>169</v>
      </c>
      <c r="F11" s="49">
        <v>510</v>
      </c>
      <c r="G11" s="49">
        <v>574</v>
      </c>
      <c r="H11" s="49">
        <v>48563</v>
      </c>
      <c r="I11" s="49">
        <v>46299</v>
      </c>
      <c r="J11" s="33" t="s">
        <v>168</v>
      </c>
      <c r="K11" s="49">
        <v>48048</v>
      </c>
      <c r="L11" s="146" t="s">
        <v>53</v>
      </c>
      <c r="M11" s="149">
        <f t="shared" si="0"/>
        <v>-923.47199999999998</v>
      </c>
      <c r="N11" s="88" t="str">
        <f>VLOOKUP(C11,'Trips&amp;Operators'!$C$1:$E$99999,3,FALSE)</f>
        <v>KILLION</v>
      </c>
      <c r="O11" s="170" t="s">
        <v>86</v>
      </c>
      <c r="P11" s="10" t="s">
        <v>259</v>
      </c>
      <c r="Q11" s="33"/>
      <c r="R11" s="104" t="str">
        <f>VLOOKUP(C11,'Train Runs'!$A$13:$AE$10009,31,0)</f>
        <v>aws s3 cp s3://rtdc.mdm.uploadarchive/RTDC4045/2016-09-26/ "%USERPROFILE%\AppData\Local\Temp\OnboardLogs"\RTDC4045\2016-09-26 --recursive &amp; "%USERPROFILE%\Documents\GitHub\mrs-test-scripts\Headless Mode &amp; Sideloading\WalkAndUnGZ.bat" "%USERPROFILE%\AppData\Local\Temp\OnboardLogs"\RTDC4045\2016-09-26 &amp; 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</v>
      </c>
      <c r="S11" s="107" t="str">
        <f>VLOOKUP(C11,'Train Runs'!$A$13:$AE$10009,22,0)</f>
        <v>https://search-rtdc-monitor-bjffxe2xuh6vdkpspy63sjmuny.us-east-1.es.amazonaws.com/_plugin/kibana/#/discover/Steve-Slow-Train-Analysis-(2080s-and-2083s)?_g=(refreshInterval:(display:Off,section:0,value:0),time:(from:'2016-09-26 08:35:58-0600',mode:absolute,to:'2016-09-26 11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11" s="109" t="str">
        <f t="shared" si="1"/>
        <v>"C:\Program Files (x86)\AstroGrep\AstroGrep.exe" /spath="%USERPROFILE%\AppData\Local\Temp\OnboardLogs" /stypes="*4045*201609261*" /stext=" 16:.+((SYSTEM_STATE.+slice.+state.+changed )|(ment ac)|(system.+state.+changed )|(\|lc)|(penalty)|(\[timeout)|(PRM\|1\|D)|(kpr)|(kdp))" /e /r /s</v>
      </c>
      <c r="U11" s="9" t="str">
        <f t="shared" si="2"/>
        <v>4045</v>
      </c>
      <c r="V11" s="38">
        <f t="shared" si="3"/>
        <v>42639.675185185188</v>
      </c>
      <c r="W11" s="52" t="str">
        <f t="shared" si="4"/>
        <v>EC</v>
      </c>
      <c r="X11" s="52" t="str">
        <f t="shared" si="5"/>
        <v>KEEP</v>
      </c>
      <c r="Y11" s="130" t="str">
        <f t="shared" si="6"/>
        <v>echo {"issue":{"subject":"Early arrival","project_id":79,"tracker_id":40,"status_id":1,"priority_id":2,"assigned_to_id":23,"start_date":"2016-09-26","description":"","custom_fields":[{"id":1,"name":"Subdivision","value":"EC"},{"id":4,"name":"Milepost","value":"4.8048"},{"id":17,"name":"Train ID","value":"142-26"},{"id":16,"name":"Locomotive ID","value":"4045"},{"id":130,"name":"Impact","value":""},{"id":150,"name":"Time of Event (Mountain Time)","value":"10:12:16"},{"id":151,"name":"Denver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1" t="str">
        <f t="shared" si="7"/>
        <v>grep -hSE -A100 "Enforcement Action" "%USERPROFILE%\AppData\Local\Temp\OnboardLogs"\RTDC4045\*4045*201609261* | grep -SE "((Enforcement Ac)|(PRM))" -</v>
      </c>
    </row>
    <row r="12" spans="1:29" s="1" customFormat="1" x14ac:dyDescent="0.25">
      <c r="A12" s="38">
        <v>42639.926759259259</v>
      </c>
      <c r="B12" s="33" t="s">
        <v>292</v>
      </c>
      <c r="C12" s="33" t="s">
        <v>554</v>
      </c>
      <c r="D12" s="33" t="s">
        <v>328</v>
      </c>
      <c r="E12" s="33" t="s">
        <v>169</v>
      </c>
      <c r="F12" s="49">
        <v>0</v>
      </c>
      <c r="G12" s="49">
        <v>265</v>
      </c>
      <c r="H12" s="49">
        <v>63213</v>
      </c>
      <c r="I12" s="49">
        <v>63568</v>
      </c>
      <c r="J12" s="33" t="s">
        <v>168</v>
      </c>
      <c r="K12" s="49">
        <v>63069</v>
      </c>
      <c r="L12" s="146" t="s">
        <v>52</v>
      </c>
      <c r="M12" s="149">
        <f t="shared" si="0"/>
        <v>-263.47199999999998</v>
      </c>
      <c r="N12" s="88" t="str">
        <f>VLOOKUP(C12,'Trips&amp;Operators'!$C$1:$E$99999,3,FALSE)</f>
        <v>CHANDLER</v>
      </c>
      <c r="O12" s="170" t="s">
        <v>86</v>
      </c>
      <c r="P12" s="10" t="s">
        <v>259</v>
      </c>
      <c r="Q12" s="33"/>
      <c r="R12" s="104" t="str">
        <f>VLOOKUP(C12,'Train Runs'!$A$13:$AE$10009,31,0)</f>
        <v>aws s3 cp s3://rtdc.mdm.uploadarchive/RTDC4018/2016-09-26/ "%USERPROFILE%\AppData\Local\Temp\OnboardLogs"\RTDC4018\2016-09-26 --recursive &amp; "%USERPROFILE%\Documents\GitHub\mrs-test-scripts\Headless Mode &amp; Sideloading\WalkAndUnGZ.bat" "%USERPROFILE%\AppData\Local\Temp\OnboardLogs"\RTDC4018\2016-09-26 &amp; 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</v>
      </c>
      <c r="S12" s="107" t="str">
        <f>VLOOKUP(C12,'Train Runs'!$A$13:$AE$10009,22,0)</f>
        <v>https://search-rtdc-monitor-bjffxe2xuh6vdkpspy63sjmuny.us-east-1.es.amazonaws.com/_plugin/kibana/#/discover/Steve-Slow-Train-Analysis-(2080s-and-2083s)?_g=(refreshInterval:(display:Off,section:0,value:0),time:(from:'2016-09-26 20:58:45-0600',mode:absolute,to:'2016-09-26 23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12" s="109" t="str">
        <f t="shared" si="1"/>
        <v>"C:\Program Files (x86)\AstroGrep\AstroGrep.exe" /spath="%USERPROFILE%\AppData\Local\Temp\OnboardLogs" /stypes="*4018*201609270*" /stext=" 04:.+((SYSTEM_STATE.+slice.+state.+changed )|(ment ac)|(system.+state.+changed )|(\|lc)|(penalty)|(\[timeout)|(PRM\|1\|D)|(kpr)|(kdp))" /e /r /s</v>
      </c>
      <c r="U12" s="9" t="str">
        <f t="shared" si="2"/>
        <v>4018</v>
      </c>
      <c r="V12" s="38">
        <f t="shared" si="3"/>
        <v>42640.176759259259</v>
      </c>
      <c r="W12" s="52" t="str">
        <f t="shared" si="4"/>
        <v>EC</v>
      </c>
      <c r="X12" s="52" t="str">
        <f t="shared" si="5"/>
        <v>KEEP</v>
      </c>
      <c r="Y12" s="130" t="str">
        <f t="shared" si="6"/>
        <v>echo {"issue":{"subject":"Early arrival","project_id":79,"tracker_id":40,"status_id":1,"priority_id":2,"assigned_to_id":23,"start_date":"2016-09-26","description":"","custom_fields":[{"id":1,"name":"Subdivision","value":"EC"},{"id":4,"name":"Milepost","value":"6.3069"},{"id":17,"name":"Train ID","value":"233-26"},{"id":16,"name":"Locomotive ID","value":"4018"},{"id":130,"name":"Impact","value":""},{"id":150,"name":"Time of Event (Mountain Time)","value":"22:14:32"},{"id":151,"name":"Denver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1" t="str">
        <f t="shared" si="7"/>
        <v>grep -hSE -A100 "Enforcement Action" "%USERPROFILE%\AppData\Local\Temp\OnboardLogs"\RTDC4018\*4018*201609270* | grep -SE "((Enforcement Ac)|(PRM))" -</v>
      </c>
    </row>
    <row r="13" spans="1:29" s="1" customFormat="1" x14ac:dyDescent="0.25">
      <c r="A13" s="38">
        <v>42639.224097222221</v>
      </c>
      <c r="B13" s="33" t="s">
        <v>311</v>
      </c>
      <c r="C13" s="33" t="s">
        <v>389</v>
      </c>
      <c r="D13" s="33" t="s">
        <v>49</v>
      </c>
      <c r="E13" s="33" t="s">
        <v>169</v>
      </c>
      <c r="F13" s="49">
        <v>0</v>
      </c>
      <c r="G13" s="49">
        <v>61</v>
      </c>
      <c r="H13" s="49">
        <v>78057</v>
      </c>
      <c r="I13" s="49">
        <v>78171</v>
      </c>
      <c r="J13" s="33" t="s">
        <v>168</v>
      </c>
      <c r="K13" s="49">
        <v>78349</v>
      </c>
      <c r="L13" s="146" t="s">
        <v>52</v>
      </c>
      <c r="M13" s="149">
        <f t="shared" si="0"/>
        <v>93.983999999999995</v>
      </c>
      <c r="N13" s="88" t="str">
        <f>VLOOKUP(C13,'Trips&amp;Operators'!$C$1:$E$99999,3,FALSE)</f>
        <v>STARKS</v>
      </c>
      <c r="O13" s="170" t="s">
        <v>86</v>
      </c>
      <c r="P13" s="10" t="s">
        <v>274</v>
      </c>
      <c r="Q13" s="33"/>
      <c r="R13" s="104" t="str">
        <f>VLOOKUP(C13,'Train Runs'!$A$13:$AE$10009,31,0)</f>
        <v>aws s3 cp s3://rtdc.mdm.uploadarchive/RTDC4007/2016-09-26/ "%USERPROFILE%\AppData\Local\Temp\OnboardLogs"\RTDC4007\2016-09-26 --recursive &amp; "%USERPROFILE%\Documents\GitHub\mrs-test-scripts\Headless Mode &amp; Sideloading\WalkAndUnGZ.bat" "%USERPROFILE%\AppData\Local\Temp\OnboardLogs"\RTDC4007\2016-09-26 &amp; aws s3 cp s3://rtdc.mdm.uploadarchive/RTDC4007/2016-09-27/ "%USERPROFILE%\AppData\Local\Temp\OnboardLogs"\RTDC4007\2016-09-27 --recursive &amp; "%USERPROFILE%\Documents\GitHub\mrs-test-scripts\Headless Mode &amp; Sideloading\WalkAndUnGZ.bat" "%USERPROFILE%\AppData\Local\Temp\OnboardLogs"\RTDC4007\2016-09-27</v>
      </c>
      <c r="S13" s="107" t="str">
        <f>VLOOKUP(C13,'Train Runs'!$A$13:$AE$10009,22,0)</f>
        <v>https://search-rtdc-monitor-bjffxe2xuh6vdkpspy63sjmuny.us-east-1.es.amazonaws.com/_plugin/kibana/#/discover/Steve-Slow-Train-Analysis-(2080s-and-2083s)?_g=(refreshInterval:(display:Off,section:0,value:0),time:(from:'2016-09-26 04:01:35-0600',mode:absolute,to:'2016-09-26 06:47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T13" s="109" t="str">
        <f t="shared" si="1"/>
        <v>"C:\Program Files (x86)\AstroGrep\AstroGrep.exe" /spath="%USERPROFILE%\AppData\Local\Temp\OnboardLogs" /stypes="*4007*201609261*" /stext=" 11:.+((SYSTEM_STATE.+slice.+state.+changed )|(ment ac)|(system.+state.+changed )|(\|lc)|(penalty)|(\[timeout)|(PRM\|1\|D)|(kpr)|(kdp))" /e /r /s</v>
      </c>
      <c r="U13" s="9" t="str">
        <f t="shared" si="2"/>
        <v>4007</v>
      </c>
      <c r="V13" s="38">
        <f t="shared" si="3"/>
        <v>42639.474097222221</v>
      </c>
      <c r="W13" s="52" t="str">
        <f t="shared" si="4"/>
        <v>EC</v>
      </c>
      <c r="X13" s="52" t="str">
        <f t="shared" si="5"/>
        <v>KEEP</v>
      </c>
      <c r="Y13" s="130" t="str">
        <f t="shared" si="6"/>
        <v>echo {"issue":{"subject":"Form C","project_id":79,"tracker_id":40,"status_id":1,"priority_id":2,"assigned_to_id":23,"start_date":"2016-09-26","description":"","custom_fields":[{"id":1,"name":"Subdivision","value":"EC"},{"id":4,"name":"Milepost","value":"7.8349"},{"id":17,"name":"Train ID","value":"111-26"},{"id":16,"name":"Locomotive ID","value":"4007"},{"id":130,"name":"Impact","value":""},{"id":150,"name":"Time of Event (Mountain Time)","value":"05:22:42"},{"id":151,"name":"Denver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1" t="str">
        <f t="shared" si="7"/>
        <v>grep -hSE -A100 "Enforcement Action" "%USERPROFILE%\AppData\Local\Temp\OnboardLogs"\RTDC4007\*4007*201609261* | grep -SE "((Enforcement Ac)|(PRM))" -</v>
      </c>
    </row>
    <row r="14" spans="1:29" s="1" customFormat="1" x14ac:dyDescent="0.25">
      <c r="A14" s="38">
        <v>42639.314722222225</v>
      </c>
      <c r="B14" s="33" t="s">
        <v>248</v>
      </c>
      <c r="C14" s="33" t="s">
        <v>417</v>
      </c>
      <c r="D14" s="33" t="s">
        <v>49</v>
      </c>
      <c r="E14" s="33" t="s">
        <v>169</v>
      </c>
      <c r="F14" s="49">
        <v>0</v>
      </c>
      <c r="G14" s="49">
        <v>93</v>
      </c>
      <c r="H14" s="49">
        <v>78027</v>
      </c>
      <c r="I14" s="49">
        <v>78147</v>
      </c>
      <c r="J14" s="33" t="s">
        <v>168</v>
      </c>
      <c r="K14" s="49">
        <v>78349</v>
      </c>
      <c r="L14" s="146" t="s">
        <v>52</v>
      </c>
      <c r="M14" s="149">
        <f t="shared" si="0"/>
        <v>106.65600000000001</v>
      </c>
      <c r="N14" s="88" t="str">
        <f>VLOOKUP(C14,'Trips&amp;Operators'!$C$1:$E$99999,3,FALSE)</f>
        <v>MALAVE</v>
      </c>
      <c r="O14" s="170" t="s">
        <v>86</v>
      </c>
      <c r="P14" s="10" t="s">
        <v>274</v>
      </c>
      <c r="Q14" s="33"/>
      <c r="R14" s="104" t="str">
        <f>VLOOKUP(C14,'Train Runs'!$A$13:$AE$10009,31,0)</f>
        <v>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 &amp; 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</v>
      </c>
      <c r="S14" s="107" t="str">
        <f>VLOOKUP(C14,'Train Runs'!$A$13:$AE$10009,22,0)</f>
        <v>https://search-rtdc-monitor-bjffxe2xuh6vdkpspy63sjmuny.us-east-1.es.amazonaws.com/_plugin/kibana/#/discover/Steve-Slow-Train-Analysis-(2080s-and-2083s)?_g=(refreshInterval:(display:Off,section:0,value:0),time:(from:'2016-09-26 06:13:35-0600',mode:absolute,to:'2016-09-26 08:53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14" s="109" t="str">
        <f t="shared" si="1"/>
        <v>"C:\Program Files (x86)\AstroGrep\AstroGrep.exe" /spath="%USERPROFILE%\AppData\Local\Temp\OnboardLogs" /stypes="*4011*201609261*" /stext=" 13:.+((SYSTEM_STATE.+slice.+state.+changed )|(ment ac)|(system.+state.+changed )|(\|lc)|(penalty)|(\[timeout)|(PRM\|1\|D)|(kpr)|(kdp))" /e /r /s</v>
      </c>
      <c r="U14" s="9" t="str">
        <f t="shared" si="2"/>
        <v>4011</v>
      </c>
      <c r="V14" s="38">
        <f t="shared" si="3"/>
        <v>42639.564722222225</v>
      </c>
      <c r="W14" s="52" t="str">
        <f t="shared" si="4"/>
        <v>EC</v>
      </c>
      <c r="X14" s="52" t="str">
        <f t="shared" si="5"/>
        <v>KEEP</v>
      </c>
      <c r="Y14" s="130" t="str">
        <f t="shared" si="6"/>
        <v>echo {"issue":{"subject":"Form C","project_id":79,"tracker_id":40,"status_id":1,"priority_id":2,"assigned_to_id":23,"start_date":"2016-09-26","description":"","custom_fields":[{"id":1,"name":"Subdivision","value":"EC"},{"id":4,"name":"Milepost","value":"7.8349"},{"id":17,"name":"Train ID","value":"129-26"},{"id":16,"name":"Locomotive ID","value":"4011"},{"id":130,"name":"Impact","value":""},{"id":150,"name":"Time of Event (Mountain Time)","value":"07:33:12"},{"id":151,"name":"Denver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1" t="str">
        <f t="shared" si="7"/>
        <v>grep -hSE -A100 "Enforcement Action" "%USERPROFILE%\AppData\Local\Temp\OnboardLogs"\RTDC4011\*4011*201609261* | grep -SE "((Enforcement Ac)|(PRM))" -</v>
      </c>
    </row>
    <row r="15" spans="1:29" s="1" customFormat="1" x14ac:dyDescent="0.25">
      <c r="A15" s="38">
        <v>42639.508090277777</v>
      </c>
      <c r="B15" s="33" t="s">
        <v>249</v>
      </c>
      <c r="C15" s="33" t="s">
        <v>457</v>
      </c>
      <c r="D15" s="33" t="s">
        <v>49</v>
      </c>
      <c r="E15" s="33" t="s">
        <v>169</v>
      </c>
      <c r="F15" s="49">
        <v>0</v>
      </c>
      <c r="G15" s="49">
        <v>154</v>
      </c>
      <c r="H15" s="49">
        <v>78979</v>
      </c>
      <c r="I15" s="49">
        <v>71219</v>
      </c>
      <c r="J15" s="33" t="s">
        <v>168</v>
      </c>
      <c r="K15" s="49">
        <v>78469</v>
      </c>
      <c r="L15" s="146" t="s">
        <v>53</v>
      </c>
      <c r="M15" s="149">
        <f t="shared" si="0"/>
        <v>-3828</v>
      </c>
      <c r="N15" s="88" t="str">
        <f>VLOOKUP(C15,'Trips&amp;Operators'!$C$1:$E$99999,3,FALSE)</f>
        <v>MALAVE</v>
      </c>
      <c r="O15" s="170" t="s">
        <v>86</v>
      </c>
      <c r="P15" s="10" t="s">
        <v>274</v>
      </c>
      <c r="Q15" s="33"/>
      <c r="R15" s="104" t="str">
        <f>VLOOKUP(C15,'Train Runs'!$A$13:$AE$10009,31,0)</f>
        <v>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 &amp; 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</v>
      </c>
      <c r="S15" s="107" t="str">
        <f>VLOOKUP(C15,'Train Runs'!$A$13:$AE$10009,22,0)</f>
        <v>https://search-rtdc-monitor-bjffxe2xuh6vdkpspy63sjmuny.us-east-1.es.amazonaws.com/_plugin/kibana/#/discover/Steve-Slow-Train-Analysis-(2080s-and-2083s)?_g=(refreshInterval:(display:Off,section:0,value:0),time:(from:'2016-09-26 10:59:08-0600',mode:absolute,to:'2016-09-26 13:27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15" s="109" t="str">
        <f t="shared" si="1"/>
        <v>"C:\Program Files (x86)\AstroGrep\AstroGrep.exe" /spath="%USERPROFILE%\AppData\Local\Temp\OnboardLogs" /stypes="*4012*201609261*" /stext=" 18:.+((SYSTEM_STATE.+slice.+state.+changed )|(ment ac)|(system.+state.+changed )|(\|lc)|(penalty)|(\[timeout)|(PRM\|1\|D)|(kpr)|(kdp))" /e /r /s</v>
      </c>
      <c r="U15" s="9" t="str">
        <f t="shared" si="2"/>
        <v>4012</v>
      </c>
      <c r="V15" s="38">
        <f t="shared" si="3"/>
        <v>42639.758090277777</v>
      </c>
      <c r="W15" s="52" t="str">
        <f t="shared" si="4"/>
        <v>EC</v>
      </c>
      <c r="X15" s="52" t="str">
        <f t="shared" si="5"/>
        <v>KEEP</v>
      </c>
      <c r="Y15" s="130" t="str">
        <f t="shared" si="6"/>
        <v>echo {"issue":{"subject":"Form C","project_id":79,"tracker_id":40,"status_id":1,"priority_id":2,"assigned_to_id":23,"start_date":"2016-09-26","description":"","custom_fields":[{"id":1,"name":"Subdivision","value":"EC"},{"id":4,"name":"Milepost","value":"7.8469"},{"id":17,"name":"Train ID","value":"158-26"},{"id":16,"name":"Locomotive ID","value":"4012"},{"id":130,"name":"Impact","value":""},{"id":150,"name":"Time of Event (Mountain Time)","value":"12:11:39"},{"id":151,"name":"Denver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1" t="str">
        <f t="shared" si="7"/>
        <v>grep -hSE -A100 "Enforcement Action" "%USERPROFILE%\AppData\Local\Temp\OnboardLogs"\RTDC4012\*4012*201609261* | grep -SE "((Enforcement Ac)|(PRM))" -</v>
      </c>
    </row>
    <row r="16" spans="1:29" s="1" customFormat="1" x14ac:dyDescent="0.25">
      <c r="A16" s="38">
        <v>42639.709965277776</v>
      </c>
      <c r="B16" s="33" t="s">
        <v>711</v>
      </c>
      <c r="C16" s="33" t="s">
        <v>506</v>
      </c>
      <c r="D16" s="33" t="s">
        <v>328</v>
      </c>
      <c r="E16" s="33" t="s">
        <v>169</v>
      </c>
      <c r="F16" s="49">
        <v>0</v>
      </c>
      <c r="G16" s="49">
        <v>367</v>
      </c>
      <c r="H16" s="49">
        <v>108974</v>
      </c>
      <c r="I16" s="49">
        <v>108049</v>
      </c>
      <c r="J16" s="33" t="s">
        <v>168</v>
      </c>
      <c r="K16" s="49">
        <v>109135</v>
      </c>
      <c r="L16" s="146" t="s">
        <v>53</v>
      </c>
      <c r="M16" s="149">
        <f t="shared" si="0"/>
        <v>-573.40800000000002</v>
      </c>
      <c r="N16" s="88" t="str">
        <f>VLOOKUP(C16,'Trips&amp;Operators'!$C$1:$E$99999,3,FALSE)</f>
        <v>HELVIE</v>
      </c>
      <c r="O16" s="170" t="s">
        <v>86</v>
      </c>
      <c r="P16" s="10" t="s">
        <v>259</v>
      </c>
      <c r="Q16" s="33"/>
      <c r="R16" s="104" t="str">
        <f>VLOOKUP(C16,'Train Runs'!$A$13:$AE$10009,31,0)</f>
        <v>aws s3 cp s3://rtdc.mdm.uploadarchive/RTDC4013/2016-09-26/ "%USERPROFILE%\AppData\Local\Temp\OnboardLogs"\RTDC4013\2016-09-26 --recursive &amp; "%USERPROFILE%\Documents\GitHub\mrs-test-scripts\Headless Mode &amp; Sideloading\WalkAndUnGZ.bat" "%USERPROFILE%\AppData\Local\Temp\OnboardLogs"\RTDC4013\2016-09-26 &amp; 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</v>
      </c>
      <c r="S16" s="107" t="str">
        <f>VLOOKUP(C16,'Train Runs'!$A$13:$AE$10009,22,0)</f>
        <v>https://search-rtdc-monitor-bjffxe2xuh6vdkpspy63sjmuny.us-east-1.es.amazonaws.com/_plugin/kibana/#/discover/Steve-Slow-Train-Analysis-(2080s-and-2083s)?_g=(refreshInterval:(display:Off,section:0,value:0),time:(from:'2016-09-26 15:32:15-0600',mode:absolute,to:'2016-09-26 18:25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6" s="109" t="str">
        <f t="shared" si="1"/>
        <v>"C:\Program Files (x86)\AstroGrep\AstroGrep.exe" /spath="%USERPROFILE%\AppData\Local\Temp\OnboardLogs" /stypes="*4013*201609262*" /stext=" 23:.+((SYSTEM_STATE.+slice.+state.+changed )|(ment ac)|(system.+state.+changed )|(\|lc)|(penalty)|(\[timeout)|(PRM\|1\|D)|(kpr)|(kdp))" /e /r /s</v>
      </c>
      <c r="U16" s="9" t="str">
        <f t="shared" si="2"/>
        <v>4013</v>
      </c>
      <c r="V16" s="38">
        <f t="shared" si="3"/>
        <v>42639.959965277776</v>
      </c>
      <c r="W16" s="52" t="str">
        <f t="shared" si="4"/>
        <v>EC</v>
      </c>
      <c r="X16" s="52" t="str">
        <f t="shared" si="5"/>
        <v>KEEP</v>
      </c>
      <c r="Y16" s="130" t="str">
        <f t="shared" si="6"/>
        <v>echo {"issue":{"subject":"Early arrival","project_id":79,"tracker_id":40,"status_id":1,"priority_id":2,"assigned_to_id":23,"start_date":"2016-09-26","description":"","custom_fields":[{"id":1,"name":"Subdivision","value":"EC"},{"id":4,"name":"Milepost","value":"10.9135"},{"id":17,"name":"Train ID","value":"198-26"},{"id":16,"name":"Locomotive ID","value":"4013"},{"id":130,"name":"Impact","value":""},{"id":150,"name":"Time of Event (Mountain Time)","value":"17:02:21"},{"id":151,"name":"Denver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1" t="str">
        <f t="shared" si="7"/>
        <v>grep -hSE -A100 "Enforcement Action" "%USERPROFILE%\AppData\Local\Temp\OnboardLogs"\RTDC4013\*4013*201609262* | grep -SE "((Enforcement Ac)|(PRM))" -</v>
      </c>
    </row>
    <row r="17" spans="1:29" s="1" customFormat="1" x14ac:dyDescent="0.25">
      <c r="A17" s="38">
        <v>42639.360555555555</v>
      </c>
      <c r="B17" s="33" t="s">
        <v>710</v>
      </c>
      <c r="C17" s="33" t="s">
        <v>415</v>
      </c>
      <c r="D17" s="33" t="s">
        <v>105</v>
      </c>
      <c r="E17" s="33" t="s">
        <v>56</v>
      </c>
      <c r="F17" s="49">
        <v>150</v>
      </c>
      <c r="G17" s="49">
        <v>201</v>
      </c>
      <c r="H17" s="49">
        <v>3691</v>
      </c>
      <c r="I17" s="49">
        <v>3339</v>
      </c>
      <c r="J17" s="33" t="s">
        <v>57</v>
      </c>
      <c r="K17" s="49">
        <v>4677</v>
      </c>
      <c r="L17" s="146" t="s">
        <v>53</v>
      </c>
      <c r="M17" s="149">
        <f t="shared" si="0"/>
        <v>-706.46400000000006</v>
      </c>
      <c r="N17" s="88" t="str">
        <f>VLOOKUP(C17,'Trips&amp;Operators'!$C$1:$E$99999,3,FALSE)</f>
        <v>KILLION</v>
      </c>
      <c r="O17" s="170" t="s">
        <v>86</v>
      </c>
      <c r="P17" s="10"/>
      <c r="Q17" s="33"/>
      <c r="R17" s="104" t="str">
        <f>VLOOKUP(C17,'Train Runs'!$A$13:$AE$10009,31,0)</f>
        <v>aws s3 cp s3://rtdc.mdm.uploadarchive/RTDC4045/2016-09-26/ "%USERPROFILE%\AppData\Local\Temp\OnboardLogs"\RTDC4045\2016-09-26 --recursive &amp; "%USERPROFILE%\Documents\GitHub\mrs-test-scripts\Headless Mode &amp; Sideloading\WalkAndUnGZ.bat" "%USERPROFILE%\AppData\Local\Temp\OnboardLogs"\RTDC4045\2016-09-26 &amp; 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</v>
      </c>
      <c r="S17" s="107" t="str">
        <f>VLOOKUP(C17,'Train Runs'!$A$13:$AE$10009,22,0)</f>
        <v>https://search-rtdc-monitor-bjffxe2xuh6vdkpspy63sjmuny.us-east-1.es.amazonaws.com/_plugin/kibana/#/discover/Steve-Slow-Train-Analysis-(2080s-and-2083s)?_g=(refreshInterval:(display:Off,section:0,value:0),time:(from:'2016-09-26 06:49:55-0600',mode:absolute,to:'2016-09-26 09:41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17" s="109" t="str">
        <f t="shared" si="1"/>
        <v>"C:\Program Files (x86)\AstroGrep\AstroGrep.exe" /spath="%USERPROFILE%\AppData\Local\Temp\OnboardLogs" /stypes="*4045*201609261*" /stext=" 14:.+((SYSTEM_STATE.+slice.+state.+changed )|(ment ac)|(system.+state.+changed )|(\|lc)|(penalty)|(\[timeout)|(PRM\|1\|D)|(kpr)|(kdp))" /e /r /s</v>
      </c>
      <c r="U17" s="9" t="str">
        <f t="shared" si="2"/>
        <v>4045</v>
      </c>
      <c r="V17" s="38">
        <f t="shared" si="3"/>
        <v>42639.610555555555</v>
      </c>
      <c r="W17" s="52" t="str">
        <f t="shared" si="4"/>
        <v>EC</v>
      </c>
      <c r="X17" s="52" t="str">
        <f t="shared" si="5"/>
        <v>KEEP</v>
      </c>
      <c r="Y17" s="130" t="str">
        <f t="shared" si="6"/>
        <v>echo {"issue":{"subject":"","project_id":79,"tracker_id":40,"status_id":1,"priority_id":2,"assigned_to_id":23,"start_date":"2016-09-26","description":"","custom_fields":[{"id":1,"name":"Subdivision","value":"EC"},{"id":4,"name":"Milepost","value":"0.4677"},{"id":17,"name":"Train ID","value":"128-26"},{"id":16,"name":"Locomotive ID","value":"4045"},{"id":130,"name":"Impact","value":""},{"id":150,"name":"Time of Event (Mountain Time)","value":"08:39:12"},{"id":151,"name":"Denver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1" t="str">
        <f t="shared" si="7"/>
        <v>grep -hSE -A100 "Enforcement Action" "%USERPROFILE%\AppData\Local\Temp\OnboardLogs"\RTDC4045\*4045*201609261* | grep -SE "((Enforcement Ac)|(PRM))" -</v>
      </c>
    </row>
    <row r="18" spans="1:29" s="1" customFormat="1" x14ac:dyDescent="0.25">
      <c r="A18" s="38">
        <v>42639.25577546296</v>
      </c>
      <c r="B18" s="33" t="s">
        <v>172</v>
      </c>
      <c r="C18" s="33" t="s">
        <v>385</v>
      </c>
      <c r="D18" s="33" t="s">
        <v>49</v>
      </c>
      <c r="E18" s="33" t="s">
        <v>56</v>
      </c>
      <c r="F18" s="49">
        <v>200</v>
      </c>
      <c r="G18" s="49">
        <v>344</v>
      </c>
      <c r="H18" s="49">
        <v>6775</v>
      </c>
      <c r="I18" s="49">
        <v>5907</v>
      </c>
      <c r="J18" s="33" t="s">
        <v>57</v>
      </c>
      <c r="K18" s="49">
        <v>5439</v>
      </c>
      <c r="L18" s="146" t="s">
        <v>53</v>
      </c>
      <c r="M18" s="149">
        <f t="shared" si="0"/>
        <v>247.10400000000001</v>
      </c>
      <c r="N18" s="88" t="str">
        <f>VLOOKUP(C18,'Trips&amp;Operators'!$C$1:$E$99999,3,FALSE)</f>
        <v>SPECTOR</v>
      </c>
      <c r="O18" s="170" t="s">
        <v>86</v>
      </c>
      <c r="P18" s="10"/>
      <c r="Q18" s="33"/>
      <c r="R18" s="104" t="str">
        <f>VLOOKUP(C18,'Train Runs'!$A$13:$AE$10009,31,0)</f>
        <v>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 &amp; 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</v>
      </c>
      <c r="S18" s="107" t="str">
        <f>VLOOKUP(C18,'Train Runs'!$A$13:$AE$10009,22,0)</f>
        <v>https://search-rtdc-monitor-bjffxe2xuh6vdkpspy63sjmuny.us-east-1.es.amazonaws.com/_plugin/kibana/#/discover/Steve-Slow-Train-Analysis-(2080s-and-2083s)?_g=(refreshInterval:(display:Off,section:0,value:0),time:(from:'2016-09-26 04:19:46-0600',mode:absolute,to:'2016-09-26 07:11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18" s="109" t="str">
        <f t="shared" si="1"/>
        <v>"C:\Program Files (x86)\AstroGrep\AstroGrep.exe" /spath="%USERPROFILE%\AppData\Local\Temp\OnboardLogs" /stypes="*4026*201609261*" /stext=" 12:.+((SYSTEM_STATE.+slice.+state.+changed )|(ment ac)|(system.+state.+changed )|(\|lc)|(penalty)|(\[timeout)|(PRM\|1\|D)|(kpr)|(kdp))" /e /r /s</v>
      </c>
      <c r="U18" s="9" t="str">
        <f t="shared" si="2"/>
        <v>4026</v>
      </c>
      <c r="V18" s="38">
        <f t="shared" si="3"/>
        <v>42639.50577546296</v>
      </c>
      <c r="W18" s="52" t="str">
        <f t="shared" si="4"/>
        <v>EC</v>
      </c>
      <c r="X18" s="52" t="str">
        <f t="shared" si="5"/>
        <v>KEEP</v>
      </c>
      <c r="Y18" s="130" t="str">
        <f t="shared" si="6"/>
        <v>echo {"issue":{"subject":"","project_id":79,"tracker_id":40,"status_id":1,"priority_id":2,"assigned_to_id":23,"start_date":"2016-09-26","description":"","custom_fields":[{"id":1,"name":"Subdivision","value":"EC"},{"id":4,"name":"Milepost","value":"0.5439"},{"id":17,"name":"Train ID","value":"108-26"},{"id":16,"name":"Locomotive ID","value":"4026"},{"id":130,"name":"Impact","value":""},{"id":150,"name":"Time of Event (Mountain Time)","value":"06:08:19"},{"id":151,"name":"Denver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1" t="str">
        <f t="shared" si="7"/>
        <v>grep -hSE -A100 "Enforcement Action" "%USERPROFILE%\AppData\Local\Temp\OnboardLogs"\RTDC4026\*4026*201609261* | grep -SE "((Enforcement Ac)|(PRM))" -</v>
      </c>
    </row>
    <row r="19" spans="1:29" s="1" customFormat="1" x14ac:dyDescent="0.25">
      <c r="A19" s="38">
        <v>42639.359467592592</v>
      </c>
      <c r="B19" s="33" t="s">
        <v>710</v>
      </c>
      <c r="C19" s="33" t="s">
        <v>415</v>
      </c>
      <c r="D19" s="33" t="s">
        <v>49</v>
      </c>
      <c r="E19" s="33" t="s">
        <v>56</v>
      </c>
      <c r="F19" s="49">
        <v>200</v>
      </c>
      <c r="G19" s="49">
        <v>348</v>
      </c>
      <c r="H19" s="49">
        <v>6716</v>
      </c>
      <c r="I19" s="49">
        <v>5838</v>
      </c>
      <c r="J19" s="33" t="s">
        <v>57</v>
      </c>
      <c r="K19" s="49">
        <v>5457</v>
      </c>
      <c r="L19" s="146" t="s">
        <v>53</v>
      </c>
      <c r="M19" s="149">
        <f t="shared" si="0"/>
        <v>201.16800000000001</v>
      </c>
      <c r="N19" s="88" t="str">
        <f>VLOOKUP(C19,'Trips&amp;Operators'!$C$1:$E$99999,3,FALSE)</f>
        <v>KILLION</v>
      </c>
      <c r="O19" s="170" t="s">
        <v>86</v>
      </c>
      <c r="P19" s="10"/>
      <c r="Q19" s="33"/>
      <c r="R19" s="104" t="str">
        <f>VLOOKUP(C19,'Train Runs'!$A$13:$AE$10009,31,0)</f>
        <v>aws s3 cp s3://rtdc.mdm.uploadarchive/RTDC4045/2016-09-26/ "%USERPROFILE%\AppData\Local\Temp\OnboardLogs"\RTDC4045\2016-09-26 --recursive &amp; "%USERPROFILE%\Documents\GitHub\mrs-test-scripts\Headless Mode &amp; Sideloading\WalkAndUnGZ.bat" "%USERPROFILE%\AppData\Local\Temp\OnboardLogs"\RTDC4045\2016-09-26 &amp; 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</v>
      </c>
      <c r="S19" s="107" t="str">
        <f>VLOOKUP(C19,'Train Runs'!$A$13:$AE$10009,22,0)</f>
        <v>https://search-rtdc-monitor-bjffxe2xuh6vdkpspy63sjmuny.us-east-1.es.amazonaws.com/_plugin/kibana/#/discover/Steve-Slow-Train-Analysis-(2080s-and-2083s)?_g=(refreshInterval:(display:Off,section:0,value:0),time:(from:'2016-09-26 06:49:55-0600',mode:absolute,to:'2016-09-26 09:41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19" s="109" t="str">
        <f t="shared" si="1"/>
        <v>"C:\Program Files (x86)\AstroGrep\AstroGrep.exe" /spath="%USERPROFILE%\AppData\Local\Temp\OnboardLogs" /stypes="*4045*201609261*" /stext=" 14:.+((SYSTEM_STATE.+slice.+state.+changed )|(ment ac)|(system.+state.+changed )|(\|lc)|(penalty)|(\[timeout)|(PRM\|1\|D)|(kpr)|(kdp))" /e /r /s</v>
      </c>
      <c r="U19" s="9" t="str">
        <f t="shared" si="2"/>
        <v>4045</v>
      </c>
      <c r="V19" s="38">
        <f t="shared" si="3"/>
        <v>42639.609467592592</v>
      </c>
      <c r="W19" s="52" t="str">
        <f t="shared" si="4"/>
        <v>EC</v>
      </c>
      <c r="X19" s="52" t="str">
        <f t="shared" si="5"/>
        <v>KEEP</v>
      </c>
      <c r="Y19" s="130" t="str">
        <f t="shared" si="6"/>
        <v>echo {"issue":{"subject":"","project_id":79,"tracker_id":40,"status_id":1,"priority_id":2,"assigned_to_id":23,"start_date":"2016-09-26","description":"","custom_fields":[{"id":1,"name":"Subdivision","value":"EC"},{"id":4,"name":"Milepost","value":"0.5457"},{"id":17,"name":"Train ID","value":"128-26"},{"id":16,"name":"Locomotive ID","value":"4045"},{"id":130,"name":"Impact","value":""},{"id":150,"name":"Time of Event (Mountain Time)","value":"08:37:38"},{"id":151,"name":"Denver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1" t="str">
        <f t="shared" si="7"/>
        <v>grep -hSE -A100 "Enforcement Action" "%USERPROFILE%\AppData\Local\Temp\OnboardLogs"\RTDC4045\*4045*201609261* | grep -SE "((Enforcement Ac)|(PRM))" -</v>
      </c>
    </row>
    <row r="20" spans="1:29" s="1" customFormat="1" x14ac:dyDescent="0.25">
      <c r="A20" s="38">
        <v>42639.724027777775</v>
      </c>
      <c r="B20" s="33" t="s">
        <v>711</v>
      </c>
      <c r="C20" s="33" t="s">
        <v>506</v>
      </c>
      <c r="D20" s="33" t="s">
        <v>49</v>
      </c>
      <c r="E20" s="33" t="s">
        <v>56</v>
      </c>
      <c r="F20" s="49">
        <v>200</v>
      </c>
      <c r="G20" s="49">
        <v>285</v>
      </c>
      <c r="H20" s="49">
        <v>6247</v>
      </c>
      <c r="I20" s="49">
        <v>5705</v>
      </c>
      <c r="J20" s="33" t="s">
        <v>57</v>
      </c>
      <c r="K20" s="49">
        <v>5457</v>
      </c>
      <c r="L20" s="146" t="s">
        <v>53</v>
      </c>
      <c r="M20" s="149">
        <f t="shared" si="0"/>
        <v>130.94399999999999</v>
      </c>
      <c r="N20" s="88" t="str">
        <f>VLOOKUP(C20,'Trips&amp;Operators'!$C$1:$E$99999,3,FALSE)</f>
        <v>HELVIE</v>
      </c>
      <c r="O20" s="170" t="s">
        <v>86</v>
      </c>
      <c r="P20" s="10"/>
      <c r="Q20" s="33"/>
      <c r="R20" s="104" t="str">
        <f>VLOOKUP(C20,'Train Runs'!$A$13:$AE$10009,31,0)</f>
        <v>aws s3 cp s3://rtdc.mdm.uploadarchive/RTDC4013/2016-09-26/ "%USERPROFILE%\AppData\Local\Temp\OnboardLogs"\RTDC4013\2016-09-26 --recursive &amp; "%USERPROFILE%\Documents\GitHub\mrs-test-scripts\Headless Mode &amp; Sideloading\WalkAndUnGZ.bat" "%USERPROFILE%\AppData\Local\Temp\OnboardLogs"\RTDC4013\2016-09-26 &amp; 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</v>
      </c>
      <c r="S20" s="107" t="str">
        <f>VLOOKUP(C20,'Train Runs'!$A$13:$AE$10009,22,0)</f>
        <v>https://search-rtdc-monitor-bjffxe2xuh6vdkpspy63sjmuny.us-east-1.es.amazonaws.com/_plugin/kibana/#/discover/Steve-Slow-Train-Analysis-(2080s-and-2083s)?_g=(refreshInterval:(display:Off,section:0,value:0),time:(from:'2016-09-26 15:32:15-0600',mode:absolute,to:'2016-09-26 18:25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0" s="109" t="str">
        <f t="shared" si="1"/>
        <v>"C:\Program Files (x86)\AstroGrep\AstroGrep.exe" /spath="%USERPROFILE%\AppData\Local\Temp\OnboardLogs" /stypes="*4013*201609262*" /stext=" 23:.+((SYSTEM_STATE.+slice.+state.+changed )|(ment ac)|(system.+state.+changed )|(\|lc)|(penalty)|(\[timeout)|(PRM\|1\|D)|(kpr)|(kdp))" /e /r /s</v>
      </c>
      <c r="U20" s="9" t="str">
        <f t="shared" si="2"/>
        <v>4013</v>
      </c>
      <c r="V20" s="38">
        <f t="shared" si="3"/>
        <v>42639.974027777775</v>
      </c>
      <c r="W20" s="52" t="str">
        <f t="shared" si="4"/>
        <v>EC</v>
      </c>
      <c r="X20" s="52" t="str">
        <f t="shared" si="5"/>
        <v>KEEP</v>
      </c>
      <c r="Y20" s="130" t="str">
        <f t="shared" si="6"/>
        <v>echo {"issue":{"subject":"","project_id":79,"tracker_id":40,"status_id":1,"priority_id":2,"assigned_to_id":23,"start_date":"2016-09-26","description":"","custom_fields":[{"id":1,"name":"Subdivision","value":"EC"},{"id":4,"name":"Milepost","value":"0.5457"},{"id":17,"name":"Train ID","value":"198-26"},{"id":16,"name":"Locomotive ID","value":"4013"},{"id":130,"name":"Impact","value":""},{"id":150,"name":"Time of Event (Mountain Time)","value":"17:22:36"},{"id":151,"name":"Denver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1" t="str">
        <f t="shared" si="7"/>
        <v>grep -hSE -A100 "Enforcement Action" "%USERPROFILE%\AppData\Local\Temp\OnboardLogs"\RTDC4013\*4013*201609262* | grep -SE "((Enforcement Ac)|(PRM))" -</v>
      </c>
    </row>
    <row r="21" spans="1:29" x14ac:dyDescent="0.25">
      <c r="A21" s="38">
        <v>42639.439027777778</v>
      </c>
      <c r="B21" s="33" t="s">
        <v>249</v>
      </c>
      <c r="C21" s="33" t="s">
        <v>438</v>
      </c>
      <c r="D21" s="33" t="s">
        <v>105</v>
      </c>
      <c r="E21" s="33" t="s">
        <v>56</v>
      </c>
      <c r="F21" s="49">
        <v>200</v>
      </c>
      <c r="G21" s="49">
        <v>250</v>
      </c>
      <c r="H21" s="49">
        <v>30407</v>
      </c>
      <c r="I21" s="49">
        <v>29816</v>
      </c>
      <c r="J21" s="33" t="s">
        <v>57</v>
      </c>
      <c r="K21" s="49">
        <v>30562</v>
      </c>
      <c r="L21" s="146" t="s">
        <v>53</v>
      </c>
      <c r="M21" s="149">
        <f t="shared" si="0"/>
        <v>-393.88799999999998</v>
      </c>
      <c r="N21" s="88" t="str">
        <f>VLOOKUP(C21,'Trips&amp;Operators'!$C$1:$E$99999,3,FALSE)</f>
        <v>MALAVE</v>
      </c>
      <c r="O21" s="170" t="s">
        <v>86</v>
      </c>
      <c r="P21" s="10"/>
      <c r="Q21" s="33"/>
      <c r="R21" s="104" t="str">
        <f>VLOOKUP(C21,'Train Runs'!$A$13:$AE$10009,31,0)</f>
        <v>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 &amp; 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</v>
      </c>
      <c r="S21" s="107" t="str">
        <f>VLOOKUP(C21,'Train Runs'!$A$13:$AE$10009,22,0)</f>
        <v>https://search-rtdc-monitor-bjffxe2xuh6vdkpspy63sjmuny.us-east-1.es.amazonaws.com/_plugin/kibana/#/discover/Steve-Slow-Train-Analysis-(2080s-and-2083s)?_g=(refreshInterval:(display:Off,section:0,value:0),time:(from:'2016-09-26 08:53:48-0600',mode:absolute,to:'2016-09-26 11:40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21" s="109" t="str">
        <f t="shared" si="1"/>
        <v>"C:\Program Files (x86)\AstroGrep\AstroGrep.exe" /spath="%USERPROFILE%\AppData\Local\Temp\OnboardLogs" /stypes="*4012*201609261*" /stext=" 16:.+((SYSTEM_STATE.+slice.+state.+changed )|(ment ac)|(system.+state.+changed )|(\|lc)|(penalty)|(\[timeout)|(PRM\|1\|D)|(kpr)|(kdp))" /e /r /s</v>
      </c>
      <c r="U21" s="9" t="str">
        <f t="shared" si="2"/>
        <v>4012</v>
      </c>
      <c r="V21" s="38">
        <f t="shared" si="3"/>
        <v>42639.689027777778</v>
      </c>
      <c r="W21" s="52" t="str">
        <f t="shared" si="4"/>
        <v>EC</v>
      </c>
      <c r="X21" s="52" t="str">
        <f t="shared" si="5"/>
        <v>KEEP</v>
      </c>
      <c r="Y21" s="130" t="str">
        <f t="shared" si="6"/>
        <v>echo {"issue":{"subject":"","project_id":79,"tracker_id":40,"status_id":1,"priority_id":2,"assigned_to_id":23,"start_date":"2016-09-26","description":"","custom_fields":[{"id":1,"name":"Subdivision","value":"EC"},{"id":4,"name":"Milepost","value":"3.0562"},{"id":17,"name":"Train ID","value":"144-26"},{"id":16,"name":"Locomotive ID","value":"4012"},{"id":130,"name":"Impact","value":""},{"id":150,"name":"Time of Event (Mountain Time)","value":"10:32:12"},{"id":151,"name":"Denver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1" t="str">
        <f t="shared" si="7"/>
        <v>grep -hSE -A100 "Enforcement Action" "%USERPROFILE%\AppData\Local\Temp\OnboardLogs"\RTDC4012\*4012*201609261* | grep -SE "((Enforcement Ac)|(PRM))" -</v>
      </c>
    </row>
    <row r="22" spans="1:29" x14ac:dyDescent="0.25">
      <c r="A22" s="38">
        <v>42639.395219907405</v>
      </c>
      <c r="B22" s="33" t="s">
        <v>291</v>
      </c>
      <c r="C22" s="33" t="s">
        <v>427</v>
      </c>
      <c r="D22" s="33" t="s">
        <v>49</v>
      </c>
      <c r="E22" s="33" t="s">
        <v>56</v>
      </c>
      <c r="F22" s="49">
        <v>400</v>
      </c>
      <c r="G22" s="49">
        <v>483</v>
      </c>
      <c r="H22" s="49">
        <v>121075</v>
      </c>
      <c r="I22" s="49">
        <v>119609</v>
      </c>
      <c r="J22" s="33" t="s">
        <v>57</v>
      </c>
      <c r="K22" s="49">
        <v>119716</v>
      </c>
      <c r="L22" s="146" t="s">
        <v>53</v>
      </c>
      <c r="M22" s="149">
        <f t="shared" si="0"/>
        <v>-56.496000000000002</v>
      </c>
      <c r="N22" s="88" t="str">
        <f>VLOOKUP(C22,'Trips&amp;Operators'!$C$1:$E$99999,3,FALSE)</f>
        <v>YORK</v>
      </c>
      <c r="O22" s="170" t="s">
        <v>86</v>
      </c>
      <c r="P22" s="10"/>
      <c r="Q22" s="33"/>
      <c r="R22" s="104" t="str">
        <f>VLOOKUP(C22,'Train Runs'!$A$13:$AE$10009,31,0)</f>
        <v>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 &amp; 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</v>
      </c>
      <c r="S22" s="107" t="str">
        <f>VLOOKUP(C22,'Train Runs'!$A$13:$AE$10009,22,0)</f>
        <v>https://search-rtdc-monitor-bjffxe2xuh6vdkpspy63sjmuny.us-east-1.es.amazonaws.com/_plugin/kibana/#/discover/Steve-Slow-Train-Analysis-(2080s-and-2083s)?_g=(refreshInterval:(display:Off,section:0,value:0),time:(from:'2016-09-26 07:56:05-0600',mode:absolute,to:'2016-09-26 10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2" s="109" t="str">
        <f t="shared" si="1"/>
        <v>"C:\Program Files (x86)\AstroGrep\AstroGrep.exe" /spath="%USERPROFILE%\AppData\Local\Temp\OnboardLogs" /stypes="*4015*201609261*" /stext=" 15:.+((SYSTEM_STATE.+slice.+state.+changed )|(ment ac)|(system.+state.+changed )|(\|lc)|(penalty)|(\[timeout)|(PRM\|1\|D)|(kpr)|(kdp))" /e /r /s</v>
      </c>
      <c r="U22" s="9" t="str">
        <f t="shared" si="2"/>
        <v>4015</v>
      </c>
      <c r="V22" s="38">
        <f t="shared" si="3"/>
        <v>42639.645219907405</v>
      </c>
      <c r="W22" s="52" t="str">
        <f t="shared" si="4"/>
        <v>EC</v>
      </c>
      <c r="X22" s="52" t="str">
        <f t="shared" si="5"/>
        <v>KEEP</v>
      </c>
      <c r="Y22" s="130" t="str">
        <f t="shared" si="6"/>
        <v>echo {"issue":{"subject":"","project_id":79,"tracker_id":40,"status_id":1,"priority_id":2,"assigned_to_id":23,"start_date":"2016-09-26","description":"","custom_fields":[{"id":1,"name":"Subdivision","value":"EC"},{"id":4,"name":"Milepost","value":"11.9716"},{"id":17,"name":"Train ID","value":"138-26"},{"id":16,"name":"Locomotive ID","value":"4015"},{"id":130,"name":"Impact","value":""},{"id":150,"name":"Time of Event (Mountain Time)","value":"09:29:07"},{"id":151,"name":"Denver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1" t="str">
        <f t="shared" si="7"/>
        <v>grep -hSE -A100 "Enforcement Action" "%USERPROFILE%\AppData\Local\Temp\OnboardLogs"\RTDC4015\*4015*201609261* | grep -SE "((Enforcement Ac)|(PRM))" -</v>
      </c>
    </row>
    <row r="23" spans="1:29" x14ac:dyDescent="0.25">
      <c r="A23" s="38">
        <v>42639.90483796296</v>
      </c>
      <c r="B23" s="33" t="s">
        <v>172</v>
      </c>
      <c r="C23" s="33" t="s">
        <v>547</v>
      </c>
      <c r="D23" s="33" t="s">
        <v>49</v>
      </c>
      <c r="E23" s="33" t="s">
        <v>56</v>
      </c>
      <c r="F23" s="49">
        <v>400</v>
      </c>
      <c r="G23" s="49">
        <v>467</v>
      </c>
      <c r="H23" s="49">
        <v>120839</v>
      </c>
      <c r="I23" s="49">
        <v>119315</v>
      </c>
      <c r="J23" s="33" t="s">
        <v>57</v>
      </c>
      <c r="K23" s="49">
        <v>119716</v>
      </c>
      <c r="L23" s="146" t="s">
        <v>53</v>
      </c>
      <c r="M23" s="149">
        <f t="shared" si="0"/>
        <v>-211.72800000000001</v>
      </c>
      <c r="N23" s="88" t="str">
        <f>VLOOKUP(C23,'Trips&amp;Operators'!$C$1:$E$99999,3,FALSE)</f>
        <v>YANAI</v>
      </c>
      <c r="O23" s="170" t="s">
        <v>86</v>
      </c>
      <c r="P23" s="10"/>
      <c r="Q23" s="33"/>
      <c r="R23" s="104" t="str">
        <f>VLOOKUP(C23,'Train Runs'!$A$13:$AE$10009,31,0)</f>
        <v>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 &amp; 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</v>
      </c>
      <c r="S23" s="107" t="str">
        <f>VLOOKUP(C23,'Train Runs'!$A$13:$AE$10009,22,0)</f>
        <v>https://search-rtdc-monitor-bjffxe2xuh6vdkpspy63sjmuny.us-east-1.es.amazonaws.com/_plugin/kibana/#/discover/Steve-Slow-Train-Analysis-(2080s-and-2083s)?_g=(refreshInterval:(display:Off,section:0,value:0),time:(from:'2016-09-26 20:16:22-0600',mode:absolute,to:'2016-09-26 23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3" s="109" t="str">
        <f t="shared" si="1"/>
        <v>"C:\Program Files (x86)\AstroGrep\AstroGrep.exe" /spath="%USERPROFILE%\AppData\Local\Temp\OnboardLogs" /stypes="*4026*201609270*" /stext=" 03:.+((SYSTEM_STATE.+slice.+state.+changed )|(ment ac)|(system.+state.+changed )|(\|lc)|(penalty)|(\[timeout)|(PRM\|1\|D)|(kpr)|(kdp))" /e /r /s</v>
      </c>
      <c r="U23" s="9" t="str">
        <f t="shared" si="2"/>
        <v>4026</v>
      </c>
      <c r="V23" s="38">
        <f t="shared" si="3"/>
        <v>42640.15483796296</v>
      </c>
      <c r="W23" s="52" t="str">
        <f t="shared" si="4"/>
        <v>EC</v>
      </c>
      <c r="X23" s="52" t="str">
        <f t="shared" si="5"/>
        <v>KEEP</v>
      </c>
      <c r="Y23" s="130" t="str">
        <f t="shared" si="6"/>
        <v>echo {"issue":{"subject":"","project_id":79,"tracker_id":40,"status_id":1,"priority_id":2,"assigned_to_id":23,"start_date":"2016-09-26","description":"","custom_fields":[{"id":1,"name":"Subdivision","value":"EC"},{"id":4,"name":"Milepost","value":"11.9716"},{"id":17,"name":"Train ID","value":"228-26"},{"id":16,"name":"Locomotive ID","value":"4026"},{"id":130,"name":"Impact","value":""},{"id":150,"name":"Time of Event (Mountain Time)","value":"21:42:58"},{"id":151,"name":"Denver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1" t="str">
        <f t="shared" si="7"/>
        <v>grep -hSE -A100 "Enforcement Action" "%USERPROFILE%\AppData\Local\Temp\OnboardLogs"\RTDC4026\*4026*201609270* | grep -SE "((Enforcement Ac)|(PRM))" -</v>
      </c>
    </row>
    <row r="24" spans="1:29" ht="15" customHeight="1" x14ac:dyDescent="0.25">
      <c r="A24" s="38">
        <v>42639.46565972222</v>
      </c>
      <c r="B24" s="33" t="s">
        <v>248</v>
      </c>
      <c r="C24" s="33" t="s">
        <v>456</v>
      </c>
      <c r="D24" s="33" t="s">
        <v>105</v>
      </c>
      <c r="E24" s="33" t="s">
        <v>56</v>
      </c>
      <c r="F24" s="49">
        <v>600</v>
      </c>
      <c r="G24" s="49">
        <v>655</v>
      </c>
      <c r="H24" s="49">
        <v>125411</v>
      </c>
      <c r="I24" s="49">
        <v>128144</v>
      </c>
      <c r="J24" s="33" t="s">
        <v>57</v>
      </c>
      <c r="K24" s="49">
        <v>119716</v>
      </c>
      <c r="L24" s="146" t="s">
        <v>52</v>
      </c>
      <c r="M24" s="149">
        <f t="shared" si="0"/>
        <v>-4449.9840000000004</v>
      </c>
      <c r="N24" s="88" t="str">
        <f>VLOOKUP(C24,'Trips&amp;Operators'!$C$1:$E$99999,3,FALSE)</f>
        <v>MALAVE</v>
      </c>
      <c r="O24" s="170" t="s">
        <v>86</v>
      </c>
      <c r="P24" s="10"/>
      <c r="Q24" s="33"/>
      <c r="R24" s="104" t="str">
        <f>VLOOKUP(C24,'Train Runs'!$A$13:$AE$10009,31,0)</f>
        <v>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 &amp; 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</v>
      </c>
      <c r="S24" s="107" t="str">
        <f>VLOOKUP(C24,'Train Runs'!$A$13:$AE$10009,22,0)</f>
        <v>https://search-rtdc-monitor-bjffxe2xuh6vdkpspy63sjmuny.us-east-1.es.amazonaws.com/_plugin/kibana/#/discover/Steve-Slow-Train-Analysis-(2080s-and-2083s)?_g=(refreshInterval:(display:Off,section:0,value:0),time:(from:'2016-09-26 09:43:27-0600',mode:absolute,to:'2016-09-26 12:23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4" s="109" t="str">
        <f t="shared" si="1"/>
        <v>"C:\Program Files (x86)\AstroGrep\AstroGrep.exe" /spath="%USERPROFILE%\AppData\Local\Temp\OnboardLogs" /stypes="*4011*201609261*" /stext=" 17:.+((SYSTEM_STATE.+slice.+state.+changed )|(ment ac)|(system.+state.+changed )|(\|lc)|(penalty)|(\[timeout)|(PRM\|1\|D)|(kpr)|(kdp))" /e /r /s</v>
      </c>
      <c r="U24" s="9" t="str">
        <f t="shared" si="2"/>
        <v>4011</v>
      </c>
      <c r="V24" s="38">
        <f t="shared" si="3"/>
        <v>42639.71565972222</v>
      </c>
      <c r="W24" s="52" t="str">
        <f t="shared" si="4"/>
        <v>EC</v>
      </c>
      <c r="X24" s="52" t="str">
        <f t="shared" si="5"/>
        <v>KEEP</v>
      </c>
      <c r="Y24" s="130" t="str">
        <f t="shared" si="6"/>
        <v>echo {"issue":{"subject":"","project_id":79,"tracker_id":40,"status_id":1,"priority_id":2,"assigned_to_id":23,"start_date":"2016-09-26","description":"","custom_fields":[{"id":1,"name":"Subdivision","value":"EC"},{"id":4,"name":"Milepost","value":"11.9716"},{"id":17,"name":"Train ID","value":"157-26"},{"id":16,"name":"Locomotive ID","value":"4011"},{"id":130,"name":"Impact","value":""},{"id":150,"name":"Time of Event (Mountain Time)","value":"11:10:33"},{"id":151,"name":"Denver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1" t="str">
        <f t="shared" si="7"/>
        <v>grep -hSE -A100 "Enforcement Action" "%USERPROFILE%\AppData\Local\Temp\OnboardLogs"\RTDC4011\*4011*201609261* | grep -SE "((Enforcement Ac)|(PRM))" -</v>
      </c>
    </row>
    <row r="25" spans="1:29" x14ac:dyDescent="0.25">
      <c r="A25" s="38">
        <v>42639.283564814818</v>
      </c>
      <c r="B25" s="33" t="s">
        <v>311</v>
      </c>
      <c r="C25" s="33" t="s">
        <v>411</v>
      </c>
      <c r="D25" s="33" t="s">
        <v>49</v>
      </c>
      <c r="E25" s="33" t="s">
        <v>54</v>
      </c>
      <c r="F25" s="49">
        <v>0</v>
      </c>
      <c r="G25" s="49">
        <v>346</v>
      </c>
      <c r="H25" s="49">
        <v>9894</v>
      </c>
      <c r="I25" s="49">
        <v>10465</v>
      </c>
      <c r="J25" s="33" t="s">
        <v>55</v>
      </c>
      <c r="K25" s="49">
        <v>10800</v>
      </c>
      <c r="L25" s="146" t="s">
        <v>52</v>
      </c>
      <c r="M25" s="149">
        <f t="shared" si="0"/>
        <v>176.88000000000002</v>
      </c>
      <c r="N25" s="88" t="str">
        <f>VLOOKUP(C25,'Trips&amp;Operators'!$C$1:$E$99999,3,FALSE)</f>
        <v>STARKS</v>
      </c>
      <c r="O25" s="170" t="s">
        <v>300</v>
      </c>
      <c r="P25" s="10" t="s">
        <v>731</v>
      </c>
      <c r="Q25" s="33"/>
      <c r="R25" s="104" t="str">
        <f>VLOOKUP(C25,'Train Runs'!$A$13:$AE$10009,31,0)</f>
        <v>aws s3 cp s3://rtdc.mdm.uploadarchive/RTDC4007/2016-09-26/ "%USERPROFILE%\AppData\Local\Temp\OnboardLogs"\RTDC4007\2016-09-26 --recursive &amp; "%USERPROFILE%\Documents\GitHub\mrs-test-scripts\Headless Mode &amp; Sideloading\WalkAndUnGZ.bat" "%USERPROFILE%\AppData\Local\Temp\OnboardLogs"\RTDC4007\2016-09-26 &amp; aws s3 cp s3://rtdc.mdm.uploadarchive/RTDC4007/2016-09-27/ "%USERPROFILE%\AppData\Local\Temp\OnboardLogs"\RTDC4007\2016-09-27 --recursive &amp; "%USERPROFILE%\Documents\GitHub\mrs-test-scripts\Headless Mode &amp; Sideloading\WalkAndUnGZ.bat" "%USERPROFILE%\AppData\Local\Temp\OnboardLogs"\RTDC4007\2016-09-27</v>
      </c>
      <c r="S25" s="107" t="str">
        <f>VLOOKUP(C25,'Train Runs'!$A$13:$AE$10009,22,0)</f>
        <v>https://search-rtdc-monitor-bjffxe2xuh6vdkpspy63sjmuny.us-east-1.es.amazonaws.com/_plugin/kibana/#/discover/Steve-Slow-Train-Analysis-(2080s-and-2083s)?_g=(refreshInterval:(display:Off,section:0,value:0),time:(from:'2016-09-26 05:40:00-0600',mode:absolute,to:'2016-09-26 08:24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T25" s="109" t="str">
        <f t="shared" si="1"/>
        <v>"C:\Program Files (x86)\AstroGrep\AstroGrep.exe" /spath="%USERPROFILE%\AppData\Local\Temp\OnboardLogs" /stypes="*4007*201609261*" /stext=" 12:.+((SYSTEM_STATE.+slice.+state.+changed )|(ment ac)|(system.+state.+changed )|(\|lc)|(penalty)|(\[timeout)|(PRM\|1\|D)|(kpr)|(kdp))" /e /r /s</v>
      </c>
      <c r="U25" s="9" t="str">
        <f t="shared" si="2"/>
        <v>4007</v>
      </c>
      <c r="V25" s="38">
        <f t="shared" si="3"/>
        <v>42639.533564814818</v>
      </c>
      <c r="W25" s="52" t="str">
        <f t="shared" si="4"/>
        <v>EC</v>
      </c>
      <c r="X25" s="52" t="str">
        <f t="shared" si="5"/>
        <v>KEEP</v>
      </c>
      <c r="Y25" s="130" t="str">
        <f t="shared" si="6"/>
        <v>echo {"issue":{"subject":"Bright 2N sudden downgrade to STOP","project_id":79,"tracker_id":40,"status_id":1,"priority_id":2,"assigned_to_id":23,"start_date":"2016-09-26","description":"At 06:48:02, Bright 2N downgraded to STOP unexpectedly. Anything odd here?","custom_fields":[{"id":1,"name":"Subdivision","value":"EC"},{"id":4,"name":"Milepost","value":"1.08"},{"id":17,"name":"Train ID","value":"125-26"},{"id":16,"name":"Locomotive ID","value":"4007"},{"id":130,"name":"Impact","value":"Enforcement"},{"id":150,"name":"Time of Event (Mountain Time)","value":"06:48:20"},{"id":151,"name":"Denver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5" s="55" t="s">
        <v>732</v>
      </c>
      <c r="AA25" s="55" t="s">
        <v>138</v>
      </c>
      <c r="AB25" s="23" t="s">
        <v>143</v>
      </c>
      <c r="AC25" s="171" t="str">
        <f t="shared" si="7"/>
        <v>grep -hSE -A100 "Enforcement Action" "%USERPROFILE%\AppData\Local\Temp\OnboardLogs"\RTDC4007\*4007*201609261* | grep -SE "((Enforcement Ac)|(PRM))" -</v>
      </c>
    </row>
    <row r="26" spans="1:29" x14ac:dyDescent="0.25">
      <c r="A26" s="38">
        <v>42639.283078703702</v>
      </c>
      <c r="B26" s="33" t="s">
        <v>171</v>
      </c>
      <c r="C26" s="33" t="s">
        <v>405</v>
      </c>
      <c r="D26" s="33" t="s">
        <v>49</v>
      </c>
      <c r="E26" s="33" t="s">
        <v>54</v>
      </c>
      <c r="F26" s="49">
        <v>0</v>
      </c>
      <c r="G26" s="49">
        <v>518</v>
      </c>
      <c r="H26" s="49">
        <v>152310</v>
      </c>
      <c r="I26" s="49">
        <v>154086</v>
      </c>
      <c r="J26" s="33" t="s">
        <v>55</v>
      </c>
      <c r="K26" s="49">
        <v>155600</v>
      </c>
      <c r="L26" s="146" t="s">
        <v>52</v>
      </c>
      <c r="M26" s="149">
        <f t="shared" si="0"/>
        <v>799.39200000000005</v>
      </c>
      <c r="N26" s="88" t="str">
        <f>VLOOKUP(C26,'Trips&amp;Operators'!$C$1:$E$99999,3,FALSE)</f>
        <v>SPECTOR</v>
      </c>
      <c r="O26" s="170" t="s">
        <v>86</v>
      </c>
      <c r="P26" s="10" t="s">
        <v>368</v>
      </c>
      <c r="Q26" s="33"/>
      <c r="R26" s="104" t="str">
        <f>VLOOKUP(C26,'Train Runs'!$A$13:$AE$10009,31,0)</f>
        <v>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 &amp; aws s3 cp s3://rtdc.mdm.uploadarchive/RTDC4025/2016-09-27/ "%USERPROFILE%\AppData\Local\Temp\OnboardLogs"\RTDC4025\2016-09-27 --recursive &amp; "%USERPROFILE%\Documents\GitHub\mrs-test-scripts\Headless Mode &amp; Sideloading\WalkAndUnGZ.bat" "%USERPROFILE%\AppData\Local\Temp\OnboardLogs"\RTDC4025\2016-09-27</v>
      </c>
      <c r="S26" s="107" t="str">
        <f>VLOOKUP(C26,'Train Runs'!$A$13:$AE$10009,22,0)</f>
        <v>https://search-rtdc-monitor-bjffxe2xuh6vdkpspy63sjmuny.us-east-1.es.amazonaws.com/_plugin/kibana/#/discover/Steve-Slow-Train-Analysis-(2080s-and-2083s)?_g=(refreshInterval:(display:Off,section:0,value:0),time:(from:'2016-09-26 05:17:47-0600',mode:absolute,to:'2016-09-26 08:00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26" s="109" t="str">
        <f t="shared" si="1"/>
        <v>"C:\Program Files (x86)\AstroGrep\AstroGrep.exe" /spath="%USERPROFILE%\AppData\Local\Temp\OnboardLogs" /stypes="*4025*201609261*" /stext=" 12:.+((SYSTEM_STATE.+slice.+state.+changed )|(ment ac)|(system.+state.+changed )|(\|lc)|(penalty)|(\[timeout)|(PRM\|1\|D)|(kpr)|(kdp))" /e /r /s</v>
      </c>
      <c r="U26" s="9" t="str">
        <f t="shared" si="2"/>
        <v>4025</v>
      </c>
      <c r="V26" s="38">
        <f t="shared" si="3"/>
        <v>42639.533078703702</v>
      </c>
      <c r="W26" s="52" t="str">
        <f t="shared" si="4"/>
        <v>EC</v>
      </c>
      <c r="X26" s="52" t="str">
        <f t="shared" si="5"/>
        <v>KEEP</v>
      </c>
      <c r="Y26" s="130" t="str">
        <f t="shared" si="6"/>
        <v>echo {"issue":{"subject":"61st 2N STOP, cleared afterward","project_id":79,"tracker_id":40,"status_id":1,"priority_id":2,"assigned_to_id":23,"start_date":"2016-09-26","description":"","custom_fields":[{"id":1,"name":"Subdivision","value":"EC"},{"id":4,"name":"Milepost","value":"15.56"},{"id":17,"name":"Train ID","value":"121-26"},{"id":16,"name":"Locomotive ID","value":"4025"},{"id":130,"name":"Impact","value":""},{"id":150,"name":"Time of Event (Mountain Time)","value":"06:47:38"},{"id":151,"name":"Denver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1" t="str">
        <f t="shared" si="7"/>
        <v>grep -hSE -A100 "Enforcement Action" "%USERPROFILE%\AppData\Local\Temp\OnboardLogs"\RTDC4025\*4025*201609261* | grep -SE "((Enforcement Ac)|(PRM))" -</v>
      </c>
    </row>
    <row r="27" spans="1:29" x14ac:dyDescent="0.25">
      <c r="A27" s="38">
        <v>42639.386817129627</v>
      </c>
      <c r="B27" s="33" t="s">
        <v>181</v>
      </c>
      <c r="C27" s="33" t="s">
        <v>431</v>
      </c>
      <c r="D27" s="33" t="s">
        <v>49</v>
      </c>
      <c r="E27" s="33" t="s">
        <v>54</v>
      </c>
      <c r="F27" s="49">
        <v>0</v>
      </c>
      <c r="G27" s="49">
        <v>557</v>
      </c>
      <c r="H27" s="49">
        <v>152310</v>
      </c>
      <c r="I27" s="49">
        <v>154264</v>
      </c>
      <c r="J27" s="33" t="s">
        <v>55</v>
      </c>
      <c r="K27" s="49">
        <v>155600</v>
      </c>
      <c r="L27" s="146" t="s">
        <v>52</v>
      </c>
      <c r="M27" s="149">
        <f t="shared" si="0"/>
        <v>705.40800000000002</v>
      </c>
      <c r="N27" s="88" t="str">
        <f>VLOOKUP(C27,'Trips&amp;Operators'!$C$1:$E$99999,3,FALSE)</f>
        <v>KILLION</v>
      </c>
      <c r="O27" s="170" t="s">
        <v>86</v>
      </c>
      <c r="P27" s="10" t="s">
        <v>368</v>
      </c>
      <c r="Q27" s="33"/>
      <c r="R27" s="104" t="str">
        <f>VLOOKUP(C27,'Train Runs'!$A$13:$AE$10009,31,0)</f>
        <v>aws s3 cp s3://rtdc.mdm.uploadarchive/RTDC4046/2016-09-26/ "%USERPROFILE%\AppData\Local\Temp\OnboardLogs"\RTDC4046\2016-09-26 --recursive &amp; "%USERPROFILE%\Documents\GitHub\mrs-test-scripts\Headless Mode &amp; Sideloading\WalkAndUnGZ.bat" "%USERPROFILE%\AppData\Local\Temp\OnboardLogs"\RTDC4046\2016-09-26 &amp; 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</v>
      </c>
      <c r="S27" s="107" t="str">
        <f>VLOOKUP(C27,'Train Runs'!$A$13:$AE$10009,22,0)</f>
        <v>https://search-rtdc-monitor-bjffxe2xuh6vdkpspy63sjmuny.us-east-1.es.amazonaws.com/_plugin/kibana/#/discover/Steve-Slow-Train-Analysis-(2080s-and-2083s)?_g=(refreshInterval:(display:Off,section:0,value:0),time:(from:'2016-09-26 07:51:41-0600',mode:absolute,to:'2016-09-26 10:32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27" s="109" t="str">
        <f t="shared" si="1"/>
        <v>"C:\Program Files (x86)\AstroGrep\AstroGrep.exe" /spath="%USERPROFILE%\AppData\Local\Temp\OnboardLogs" /stypes="*4046*201609261*" /stext=" 15:.+((SYSTEM_STATE.+slice.+state.+changed )|(ment ac)|(system.+state.+changed )|(\|lc)|(penalty)|(\[timeout)|(PRM\|1\|D)|(kpr)|(kdp))" /e /r /s</v>
      </c>
      <c r="U27" s="9" t="str">
        <f t="shared" si="2"/>
        <v>4046</v>
      </c>
      <c r="V27" s="38">
        <f t="shared" si="3"/>
        <v>42639.636817129627</v>
      </c>
      <c r="W27" s="52" t="str">
        <f t="shared" si="4"/>
        <v>EC</v>
      </c>
      <c r="X27" s="52" t="str">
        <f t="shared" si="5"/>
        <v>KEEP</v>
      </c>
      <c r="Y27" s="130" t="str">
        <f t="shared" si="6"/>
        <v>echo {"issue":{"subject":"61st 2N STOP, cleared afterward","project_id":79,"tracker_id":40,"status_id":1,"priority_id":2,"assigned_to_id":23,"start_date":"2016-09-26","description":"","custom_fields":[{"id":1,"name":"Subdivision","value":"EC"},{"id":4,"name":"Milepost","value":"15.56"},{"id":17,"name":"Train ID","value":"141-26"},{"id":16,"name":"Locomotive ID","value":"4046"},{"id":130,"name":"Impact","value":""},{"id":150,"name":"Time of Event (Mountain Time)","value":"09:17:01"},{"id":151,"name":"Denver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1" t="str">
        <f t="shared" si="7"/>
        <v>grep -hSE -A100 "Enforcement Action" "%USERPROFILE%\AppData\Local\Temp\OnboardLogs"\RTDC4046\*4046*201609261* | grep -SE "((Enforcement Ac)|(PRM))" -</v>
      </c>
    </row>
    <row r="28" spans="1:29" x14ac:dyDescent="0.25">
      <c r="A28" s="38">
        <v>42639.324305555558</v>
      </c>
      <c r="B28" s="33" t="s">
        <v>255</v>
      </c>
      <c r="C28" s="33" t="s">
        <v>412</v>
      </c>
      <c r="D28" s="33" t="s">
        <v>49</v>
      </c>
      <c r="E28" s="33" t="s">
        <v>54</v>
      </c>
      <c r="F28" s="49">
        <v>0</v>
      </c>
      <c r="G28" s="49">
        <v>563</v>
      </c>
      <c r="H28" s="49">
        <v>195996</v>
      </c>
      <c r="I28" s="49">
        <v>194227</v>
      </c>
      <c r="J28" s="33" t="s">
        <v>55</v>
      </c>
      <c r="K28" s="49">
        <v>191723</v>
      </c>
      <c r="L28" s="146" t="s">
        <v>53</v>
      </c>
      <c r="M28" s="149">
        <f t="shared" si="0"/>
        <v>1322.1120000000001</v>
      </c>
      <c r="N28" s="88" t="str">
        <f>VLOOKUP(C28,'Trips&amp;Operators'!$C$1:$E$99999,3,FALSE)</f>
        <v>STARKS</v>
      </c>
      <c r="O28" s="170" t="s">
        <v>86</v>
      </c>
      <c r="P28" s="10" t="s">
        <v>367</v>
      </c>
      <c r="Q28" s="33"/>
      <c r="R28" s="104" t="str">
        <f>VLOOKUP(C28,'Train Runs'!$A$13:$AE$10009,31,0)</f>
        <v>aws s3 cp s3://rtdc.mdm.uploadarchive/RTDC4008/2016-09-26/ "%USERPROFILE%\AppData\Local\Temp\OnboardLogs"\RTDC4008\2016-09-26 --recursive &amp; "%USERPROFILE%\Documents\GitHub\mrs-test-scripts\Headless Mode &amp; Sideloading\WalkAndUnGZ.bat" "%USERPROFILE%\AppData\Local\Temp\OnboardLogs"\RTDC4008\2016-09-26 &amp; aws s3 cp s3://rtdc.mdm.uploadarchive/RTDC4008/2016-09-27/ "%USERPROFILE%\AppData\Local\Temp\OnboardLogs"\RTDC4008\2016-09-27 --recursive &amp; "%USERPROFILE%\Documents\GitHub\mrs-test-scripts\Headless Mode &amp; Sideloading\WalkAndUnGZ.bat" "%USERPROFILE%\AppData\Local\Temp\OnboardLogs"\RTDC4008\2016-09-27</v>
      </c>
      <c r="S28" s="107" t="str">
        <f>VLOOKUP(C28,'Train Runs'!$A$13:$AE$10009,22,0)</f>
        <v>https://search-rtdc-monitor-bjffxe2xuh6vdkpspy63sjmuny.us-east-1.es.amazonaws.com/_plugin/kibana/#/discover/Steve-Slow-Train-Analysis-(2080s-and-2083s)?_g=(refreshInterval:(display:Off,section:0,value:0),time:(from:'2016-09-26 06:37:41-0600',mode:absolute,to:'2016-09-26 09:24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28" s="109" t="str">
        <f t="shared" si="1"/>
        <v>"C:\Program Files (x86)\AstroGrep\AstroGrep.exe" /spath="%USERPROFILE%\AppData\Local\Temp\OnboardLogs" /stypes="*4008*201609261*" /stext=" 13:.+((SYSTEM_STATE.+slice.+state.+changed )|(ment ac)|(system.+state.+changed )|(\|lc)|(penalty)|(\[timeout)|(PRM\|1\|D)|(kpr)|(kdp))" /e /r /s</v>
      </c>
      <c r="U28" s="9" t="str">
        <f t="shared" si="2"/>
        <v>4008</v>
      </c>
      <c r="V28" s="38">
        <f t="shared" si="3"/>
        <v>42639.574305555558</v>
      </c>
      <c r="W28" s="52" t="str">
        <f t="shared" si="4"/>
        <v>EC</v>
      </c>
      <c r="X28" s="52" t="str">
        <f t="shared" si="5"/>
        <v>KEEP</v>
      </c>
      <c r="Y28" s="130" t="str">
        <f t="shared" si="6"/>
        <v>echo {"issue":{"subject":"Pena 4S STOP, cleared afterward","project_id":79,"tracker_id":40,"status_id":1,"priority_id":2,"assigned_to_id":23,"start_date":"2016-09-26","description":"","custom_fields":[{"id":1,"name":"Subdivision","value":"EC"},{"id":4,"name":"Milepost","value":"19.1723"},{"id":17,"name":"Train ID","value":"126-26"},{"id":16,"name":"Locomotive ID","value":"4008"},{"id":130,"name":"Impact","value":""},{"id":150,"name":"Time of Event (Mountain Time)","value":"07:47:00"},{"id":151,"name":"Denver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1" t="str">
        <f t="shared" si="7"/>
        <v>grep -hSE -A100 "Enforcement Action" "%USERPROFILE%\AppData\Local\Temp\OnboardLogs"\RTDC4008\*4008*201609261* | grep -SE "((Enforcement Ac)|(PRM))" -</v>
      </c>
    </row>
    <row r="29" spans="1:29" x14ac:dyDescent="0.25">
      <c r="A29" s="38">
        <v>42639.438356481478</v>
      </c>
      <c r="B29" s="33" t="s">
        <v>290</v>
      </c>
      <c r="C29" s="33" t="s">
        <v>443</v>
      </c>
      <c r="D29" s="33" t="s">
        <v>49</v>
      </c>
      <c r="E29" s="33" t="s">
        <v>54</v>
      </c>
      <c r="F29" s="49">
        <v>0</v>
      </c>
      <c r="G29" s="49">
        <v>343</v>
      </c>
      <c r="H29" s="49">
        <v>193410</v>
      </c>
      <c r="I29" s="49">
        <v>192566</v>
      </c>
      <c r="J29" s="33" t="s">
        <v>55</v>
      </c>
      <c r="K29" s="49">
        <v>191723</v>
      </c>
      <c r="L29" s="146" t="s">
        <v>53</v>
      </c>
      <c r="M29" s="149">
        <f t="shared" si="0"/>
        <v>445.10399999999998</v>
      </c>
      <c r="N29" s="88" t="str">
        <f>VLOOKUP(C29,'Trips&amp;Operators'!$C$1:$E$99999,3,FALSE)</f>
        <v>BRANNON</v>
      </c>
      <c r="O29" s="170" t="s">
        <v>86</v>
      </c>
      <c r="P29" s="10" t="s">
        <v>367</v>
      </c>
      <c r="Q29" s="33"/>
      <c r="R29" s="104" t="str">
        <f>VLOOKUP(C29,'Train Runs'!$A$13:$AE$10009,31,0)</f>
        <v>aws s3 cp s3://rtdc.mdm.uploadarchive/RTDC4017/2016-09-26/ "%USERPROFILE%\AppData\Local\Temp\OnboardLogs"\RTDC4017\2016-09-26 --recursive &amp; "%USERPROFILE%\Documents\GitHub\mrs-test-scripts\Headless Mode &amp; Sideloading\WalkAndUnGZ.bat" "%USERPROFILE%\AppData\Local\Temp\OnboardLogs"\RTDC4017\2016-09-26 &amp; 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</v>
      </c>
      <c r="S29" s="107" t="str">
        <f>VLOOKUP(C29,'Train Runs'!$A$13:$AE$10009,22,0)</f>
        <v>https://search-rtdc-monitor-bjffxe2xuh6vdkpspy63sjmuny.us-east-1.es.amazonaws.com/_plugin/kibana/#/discover/Steve-Slow-Train-Analysis-(2080s-and-2083s)?_g=(refreshInterval:(display:Off,section:0,value:0),time:(from:'2016-09-26 09:11:30-0600',mode:absolute,to:'2016-09-26 12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9" s="109" t="str">
        <f t="shared" si="1"/>
        <v>"C:\Program Files (x86)\AstroGrep\AstroGrep.exe" /spath="%USERPROFILE%\AppData\Local\Temp\OnboardLogs" /stypes="*4017*201609261*" /stext=" 16:.+((SYSTEM_STATE.+slice.+state.+changed )|(ment ac)|(system.+state.+changed )|(\|lc)|(penalty)|(\[timeout)|(PRM\|1\|D)|(kpr)|(kdp))" /e /r /s</v>
      </c>
      <c r="U29" s="9" t="str">
        <f t="shared" si="2"/>
        <v>4017</v>
      </c>
      <c r="V29" s="38">
        <f t="shared" si="3"/>
        <v>42639.688356481478</v>
      </c>
      <c r="W29" s="52" t="str">
        <f t="shared" si="4"/>
        <v>EC</v>
      </c>
      <c r="X29" s="52" t="str">
        <f t="shared" si="5"/>
        <v>KEEP</v>
      </c>
      <c r="Y29" s="130" t="str">
        <f t="shared" si="6"/>
        <v>echo {"issue":{"subject":"Pena 4S STOP, cleared afterward","project_id":79,"tracker_id":40,"status_id":1,"priority_id":2,"assigned_to_id":23,"start_date":"2016-09-26","description":"","custom_fields":[{"id":1,"name":"Subdivision","value":"EC"},{"id":4,"name":"Milepost","value":"19.1723"},{"id":17,"name":"Train ID","value":"148-26"},{"id":16,"name":"Locomotive ID","value":"4017"},{"id":130,"name":"Impact","value":""},{"id":150,"name":"Time of Event (Mountain Time)","value":"10:31:14"},{"id":151,"name":"Denver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1" t="str">
        <f t="shared" si="7"/>
        <v>grep -hSE -A100 "Enforcement Action" "%USERPROFILE%\AppData\Local\Temp\OnboardLogs"\RTDC4017\*4017*201609261* | grep -SE "((Enforcement Ac)|(PRM))" -</v>
      </c>
    </row>
    <row r="30" spans="1:29" x14ac:dyDescent="0.25">
      <c r="A30" s="38">
        <v>42639.227476851855</v>
      </c>
      <c r="B30" s="33" t="s">
        <v>277</v>
      </c>
      <c r="C30" s="33" t="s">
        <v>377</v>
      </c>
      <c r="D30" s="33" t="s">
        <v>49</v>
      </c>
      <c r="E30" s="33" t="s">
        <v>50</v>
      </c>
      <c r="F30" s="49">
        <v>0</v>
      </c>
      <c r="G30" s="49">
        <v>51</v>
      </c>
      <c r="H30" s="49">
        <v>196</v>
      </c>
      <c r="I30" s="49">
        <v>150</v>
      </c>
      <c r="J30" s="33" t="s">
        <v>51</v>
      </c>
      <c r="K30" s="49">
        <v>1</v>
      </c>
      <c r="L30" s="146" t="s">
        <v>53</v>
      </c>
      <c r="M30" s="149">
        <f t="shared" si="0"/>
        <v>78.671999999999997</v>
      </c>
      <c r="N30" s="88" t="str">
        <f>VLOOKUP(C30,'Trips&amp;Operators'!$C$1:$E$99999,3,FALSE)</f>
        <v>ACKERMAN</v>
      </c>
      <c r="O30" s="170" t="s">
        <v>86</v>
      </c>
      <c r="P30" s="10"/>
      <c r="Q30" s="33"/>
      <c r="R30" s="104" t="str">
        <f>VLOOKUP(C30,'Train Runs'!$A$13:$AE$10009,31,0)</f>
        <v>aws s3 cp s3://rtdc.mdm.uploadarchive/RTDC4054/2016-09-26/ "%USERPROFILE%\AppData\Local\Temp\OnboardLogs"\RTDC4054\2016-09-26 --recursive &amp; "%USERPROFILE%\Documents\GitHub\mrs-test-scripts\Headless Mode &amp; Sideloading\WalkAndUnGZ.bat" "%USERPROFILE%\AppData\Local\Temp\OnboardLogs"\RTDC4054\2016-09-26 &amp; aws s3 cp s3://rtdc.mdm.uploadarchive/RTDC4054/2016-09-27/ "%USERPROFILE%\AppData\Local\Temp\OnboardLogs"\RTDC4054\2016-09-27 --recursive &amp; "%USERPROFILE%\Documents\GitHub\mrs-test-scripts\Headless Mode &amp; Sideloading\WalkAndUnGZ.bat" "%USERPROFILE%\AppData\Local\Temp\OnboardLogs"\RTDC4054\2016-09-27</v>
      </c>
      <c r="S30" s="107" t="str">
        <f>VLOOKUP(C30,'Train Runs'!$A$13:$AE$10009,22,0)</f>
        <v>https://search-rtdc-monitor-bjffxe2xuh6vdkpspy63sjmuny.us-east-1.es.amazonaws.com/_plugin/kibana/#/discover/Steve-Slow-Train-Analysis-(2080s-and-2083s)?_g=(refreshInterval:(display:Off,section:0,value:0),time:(from:'2016-09-26 03:35:37-0600',mode:absolute,to:'2016-09-26 06:27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30" s="109" t="str">
        <f t="shared" si="1"/>
        <v>"C:\Program Files (x86)\AstroGrep\AstroGrep.exe" /spath="%USERPROFILE%\AppData\Local\Temp\OnboardLogs" /stypes="*4054*201609261*" /stext=" 11:.+((SYSTEM_STATE.+slice.+state.+changed )|(ment ac)|(system.+state.+changed )|(\|lc)|(penalty)|(\[timeout)|(PRM\|1\|D)|(kpr)|(kdp))" /e /r /s</v>
      </c>
      <c r="U30" s="9" t="str">
        <f t="shared" si="2"/>
        <v>4054</v>
      </c>
      <c r="V30" s="38">
        <f t="shared" si="3"/>
        <v>42639.477476851855</v>
      </c>
      <c r="W30" s="52" t="str">
        <f t="shared" si="4"/>
        <v>EC</v>
      </c>
      <c r="X30" s="52" t="str">
        <f t="shared" si="5"/>
        <v>KEEP</v>
      </c>
      <c r="Y30" s="130" t="str">
        <f t="shared" si="6"/>
        <v>echo {"issue":{"subject":"","project_id":79,"tracker_id":40,"status_id":1,"priority_id":2,"assigned_to_id":23,"start_date":"2016-09-26","description":"","custom_fields":[{"id":1,"name":"Subdivision","value":"EC"},{"id":4,"name":"Milepost","value":"0.0001"},{"id":17,"name":"Train ID","value":"104-26"},{"id":16,"name":"Locomotive ID","value":"4054"},{"id":130,"name":"Impact","value":""},{"id":150,"name":"Time of Event (Mountain Time)","value":"05:27:34"},{"id":151,"name":"Denver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1" t="str">
        <f t="shared" si="7"/>
        <v>grep -hSE -A100 "Enforcement Action" "%USERPROFILE%\AppData\Local\Temp\OnboardLogs"\RTDC4054\*4054*201609261* | grep -SE "((Enforcement Ac)|(PRM))" -</v>
      </c>
    </row>
    <row r="31" spans="1:29" ht="15" customHeight="1" x14ac:dyDescent="0.25">
      <c r="A31" s="38">
        <v>42639.402962962966</v>
      </c>
      <c r="B31" s="33" t="s">
        <v>172</v>
      </c>
      <c r="C31" s="33" t="s">
        <v>425</v>
      </c>
      <c r="D31" s="33" t="s">
        <v>49</v>
      </c>
      <c r="E31" s="33" t="s">
        <v>50</v>
      </c>
      <c r="F31" s="49">
        <v>0</v>
      </c>
      <c r="G31" s="49">
        <v>56</v>
      </c>
      <c r="H31" s="49">
        <v>218</v>
      </c>
      <c r="I31" s="49">
        <v>109</v>
      </c>
      <c r="J31" s="33" t="s">
        <v>51</v>
      </c>
      <c r="K31" s="49">
        <v>1</v>
      </c>
      <c r="L31" s="146" t="s">
        <v>53</v>
      </c>
      <c r="M31" s="149">
        <f t="shared" si="0"/>
        <v>57.024000000000001</v>
      </c>
      <c r="N31" s="88" t="str">
        <f>VLOOKUP(C31,'Trips&amp;Operators'!$C$1:$E$99999,3,FALSE)</f>
        <v>SPECTOR</v>
      </c>
      <c r="O31" s="170" t="s">
        <v>86</v>
      </c>
      <c r="P31" s="10"/>
      <c r="Q31" s="33"/>
      <c r="R31" s="104" t="str">
        <f>VLOOKUP(C31,'Train Runs'!$A$13:$AE$10009,31,0)</f>
        <v>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 &amp; 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</v>
      </c>
      <c r="S31" s="107" t="str">
        <f>VLOOKUP(C31,'Train Runs'!$A$13:$AE$10009,22,0)</f>
        <v>https://search-rtdc-monitor-bjffxe2xuh6vdkpspy63sjmuny.us-east-1.es.amazonaws.com/_plugin/kibana/#/discover/Steve-Slow-Train-Analysis-(2080s-and-2083s)?_g=(refreshInterval:(display:Off,section:0,value:0),time:(from:'2016-09-26 07:47:58-0600',mode:absolute,to:'2016-09-26 10:40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31" s="109" t="str">
        <f t="shared" si="1"/>
        <v>"C:\Program Files (x86)\AstroGrep\AstroGrep.exe" /spath="%USERPROFILE%\AppData\Local\Temp\OnboardLogs" /stypes="*4026*201609261*" /stext=" 15:.+((SYSTEM_STATE.+slice.+state.+changed )|(ment ac)|(system.+state.+changed )|(\|lc)|(penalty)|(\[timeout)|(PRM\|1\|D)|(kpr)|(kdp))" /e /r /s</v>
      </c>
      <c r="U31" s="9" t="str">
        <f t="shared" si="2"/>
        <v>4026</v>
      </c>
      <c r="V31" s="38">
        <f t="shared" si="3"/>
        <v>42639.652962962966</v>
      </c>
      <c r="W31" s="52" t="str">
        <f t="shared" si="4"/>
        <v>EC</v>
      </c>
      <c r="X31" s="52" t="str">
        <f t="shared" si="5"/>
        <v>KEEP</v>
      </c>
      <c r="Y31" s="130" t="str">
        <f t="shared" si="6"/>
        <v>echo {"issue":{"subject":"","project_id":79,"tracker_id":40,"status_id":1,"priority_id":2,"assigned_to_id":23,"start_date":"2016-09-26","description":"","custom_fields":[{"id":1,"name":"Subdivision","value":"EC"},{"id":4,"name":"Milepost","value":"0.0001"},{"id":17,"name":"Train ID","value":"136-26"},{"id":16,"name":"Locomotive ID","value":"4026"},{"id":130,"name":"Impact","value":""},{"id":150,"name":"Time of Event (Mountain Time)","value":"09:40:16"},{"id":151,"name":"Denver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1" t="str">
        <f t="shared" si="7"/>
        <v>grep -hSE -A100 "Enforcement Action" "%USERPROFILE%\AppData\Local\Temp\OnboardLogs"\RTDC4026\*4026*201609261* | grep -SE "((Enforcement Ac)|(PRM))" -</v>
      </c>
    </row>
    <row r="32" spans="1:29" x14ac:dyDescent="0.25">
      <c r="A32" s="38">
        <v>42639.43440972222</v>
      </c>
      <c r="B32" s="33" t="s">
        <v>710</v>
      </c>
      <c r="C32" s="33" t="s">
        <v>435</v>
      </c>
      <c r="D32" s="33" t="s">
        <v>49</v>
      </c>
      <c r="E32" s="33" t="s">
        <v>50</v>
      </c>
      <c r="F32" s="49">
        <v>0</v>
      </c>
      <c r="G32" s="49">
        <v>24</v>
      </c>
      <c r="H32" s="49">
        <v>41</v>
      </c>
      <c r="I32" s="49">
        <v>27</v>
      </c>
      <c r="J32" s="33" t="s">
        <v>51</v>
      </c>
      <c r="K32" s="49">
        <v>1</v>
      </c>
      <c r="L32" s="146" t="s">
        <v>53</v>
      </c>
      <c r="M32" s="149">
        <f t="shared" si="0"/>
        <v>13.728</v>
      </c>
      <c r="N32" s="88" t="str">
        <f>VLOOKUP(C32,'Trips&amp;Operators'!$C$1:$E$99999,3,FALSE)</f>
        <v>KILLION</v>
      </c>
      <c r="O32" s="170" t="s">
        <v>86</v>
      </c>
      <c r="P32" s="10"/>
      <c r="Q32" s="33"/>
      <c r="R32" s="104" t="str">
        <f>VLOOKUP(C32,'Train Runs'!$A$13:$AE$10009,31,0)</f>
        <v>aws s3 cp s3://rtdc.mdm.uploadarchive/RTDC4045/2016-09-26/ "%USERPROFILE%\AppData\Local\Temp\OnboardLogs"\RTDC4045\2016-09-26 --recursive &amp; "%USERPROFILE%\Documents\GitHub\mrs-test-scripts\Headless Mode &amp; Sideloading\WalkAndUnGZ.bat" "%USERPROFILE%\AppData\Local\Temp\OnboardLogs"\RTDC4045\2016-09-26 &amp; 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</v>
      </c>
      <c r="S32" s="107" t="str">
        <f>VLOOKUP(C32,'Train Runs'!$A$13:$AE$10009,22,0)</f>
        <v>https://search-rtdc-monitor-bjffxe2xuh6vdkpspy63sjmuny.us-east-1.es.amazonaws.com/_plugin/kibana/#/discover/Steve-Slow-Train-Analysis-(2080s-and-2083s)?_g=(refreshInterval:(display:Off,section:0,value:0),time:(from:'2016-09-26 08:35:58-0600',mode:absolute,to:'2016-09-26 11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2" s="109" t="str">
        <f t="shared" si="1"/>
        <v>"C:\Program Files (x86)\AstroGrep\AstroGrep.exe" /spath="%USERPROFILE%\AppData\Local\Temp\OnboardLogs" /stypes="*4045*201609261*" /stext=" 16:.+((SYSTEM_STATE.+slice.+state.+changed )|(ment ac)|(system.+state.+changed )|(\|lc)|(penalty)|(\[timeout)|(PRM\|1\|D)|(kpr)|(kdp))" /e /r /s</v>
      </c>
      <c r="U32" s="9" t="str">
        <f t="shared" si="2"/>
        <v>4045</v>
      </c>
      <c r="V32" s="38">
        <f t="shared" si="3"/>
        <v>42639.68440972222</v>
      </c>
      <c r="W32" s="52" t="str">
        <f t="shared" si="4"/>
        <v>EC</v>
      </c>
      <c r="X32" s="52" t="str">
        <f t="shared" si="5"/>
        <v>KEEP</v>
      </c>
      <c r="Y32" s="130" t="str">
        <f t="shared" si="6"/>
        <v>echo {"issue":{"subject":"","project_id":79,"tracker_id":40,"status_id":1,"priority_id":2,"assigned_to_id":23,"start_date":"2016-09-26","description":"","custom_fields":[{"id":1,"name":"Subdivision","value":"EC"},{"id":4,"name":"Milepost","value":"0.0001"},{"id":17,"name":"Train ID","value":"142-26"},{"id":16,"name":"Locomotive ID","value":"4045"},{"id":130,"name":"Impact","value":""},{"id":150,"name":"Time of Event (Mountain Time)","value":"10:25:33"},{"id":151,"name":"Denver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1" t="str">
        <f t="shared" si="7"/>
        <v>grep -hSE -A100 "Enforcement Action" "%USERPROFILE%\AppData\Local\Temp\OnboardLogs"\RTDC4045\*4045*201609261* | grep -SE "((Enforcement Ac)|(PRM))" -</v>
      </c>
    </row>
    <row r="33" spans="1:29" ht="15" customHeight="1" x14ac:dyDescent="0.25">
      <c r="A33" s="38">
        <v>42639.519108796296</v>
      </c>
      <c r="B33" s="33" t="s">
        <v>249</v>
      </c>
      <c r="C33" s="33" t="s">
        <v>457</v>
      </c>
      <c r="D33" s="33" t="s">
        <v>49</v>
      </c>
      <c r="E33" s="33" t="s">
        <v>50</v>
      </c>
      <c r="F33" s="49">
        <v>0</v>
      </c>
      <c r="G33" s="49">
        <v>155</v>
      </c>
      <c r="H33" s="49">
        <v>706</v>
      </c>
      <c r="I33" s="49">
        <v>116</v>
      </c>
      <c r="J33" s="33" t="s">
        <v>51</v>
      </c>
      <c r="K33" s="49">
        <v>1</v>
      </c>
      <c r="L33" s="146" t="s">
        <v>53</v>
      </c>
      <c r="M33" s="149">
        <f t="shared" si="0"/>
        <v>60.72</v>
      </c>
      <c r="N33" s="88" t="str">
        <f>VLOOKUP(C33,'Trips&amp;Operators'!$C$1:$E$99999,3,FALSE)</f>
        <v>MALAVE</v>
      </c>
      <c r="O33" s="170" t="s">
        <v>86</v>
      </c>
      <c r="P33" s="10"/>
      <c r="Q33" s="33"/>
      <c r="R33" s="104" t="str">
        <f>VLOOKUP(C33,'Train Runs'!$A$13:$AE$10009,31,0)</f>
        <v>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 &amp; 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</v>
      </c>
      <c r="S33" s="107" t="str">
        <f>VLOOKUP(C33,'Train Runs'!$A$13:$AE$10009,22,0)</f>
        <v>https://search-rtdc-monitor-bjffxe2xuh6vdkpspy63sjmuny.us-east-1.es.amazonaws.com/_plugin/kibana/#/discover/Steve-Slow-Train-Analysis-(2080s-and-2083s)?_g=(refreshInterval:(display:Off,section:0,value:0),time:(from:'2016-09-26 10:59:08-0600',mode:absolute,to:'2016-09-26 13:27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3" s="109" t="str">
        <f t="shared" si="1"/>
        <v>"C:\Program Files (x86)\AstroGrep\AstroGrep.exe" /spath="%USERPROFILE%\AppData\Local\Temp\OnboardLogs" /stypes="*4012*201609261*" /stext=" 18:.+((SYSTEM_STATE.+slice.+state.+changed )|(ment ac)|(system.+state.+changed )|(\|lc)|(penalty)|(\[timeout)|(PRM\|1\|D)|(kpr)|(kdp))" /e /r /s</v>
      </c>
      <c r="U33" s="9" t="str">
        <f t="shared" si="2"/>
        <v>4012</v>
      </c>
      <c r="V33" s="38">
        <f t="shared" si="3"/>
        <v>42639.769108796296</v>
      </c>
      <c r="W33" s="52" t="str">
        <f t="shared" si="4"/>
        <v>EC</v>
      </c>
      <c r="X33" s="52" t="str">
        <f t="shared" si="5"/>
        <v>KEEP</v>
      </c>
      <c r="Y33" s="130" t="str">
        <f t="shared" si="6"/>
        <v>echo {"issue":{"subject":"","project_id":79,"tracker_id":40,"status_id":1,"priority_id":2,"assigned_to_id":23,"start_date":"2016-09-26","description":"","custom_fields":[{"id":1,"name":"Subdivision","value":"EC"},{"id":4,"name":"Milepost","value":"0.0001"},{"id":17,"name":"Train ID","value":"158-26"},{"id":16,"name":"Locomotive ID","value":"4012"},{"id":130,"name":"Impact","value":""},{"id":150,"name":"Time of Event (Mountain Time)","value":"12:27:31"},{"id":151,"name":"Denver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1" t="str">
        <f t="shared" si="7"/>
        <v>grep -hSE -A100 "Enforcement Action" "%USERPROFILE%\AppData\Local\Temp\OnboardLogs"\RTDC4012\*4012*201609261* | grep -SE "((Enforcement Ac)|(PRM))" -</v>
      </c>
    </row>
    <row r="34" spans="1:29" x14ac:dyDescent="0.25">
      <c r="A34" s="38">
        <v>42639.921423611115</v>
      </c>
      <c r="B34" s="33" t="s">
        <v>172</v>
      </c>
      <c r="C34" s="33" t="s">
        <v>547</v>
      </c>
      <c r="D34" s="33" t="s">
        <v>49</v>
      </c>
      <c r="E34" s="33" t="s">
        <v>50</v>
      </c>
      <c r="F34" s="49">
        <v>0</v>
      </c>
      <c r="G34" s="49">
        <v>77</v>
      </c>
      <c r="H34" s="49">
        <v>249</v>
      </c>
      <c r="I34" s="49">
        <v>183</v>
      </c>
      <c r="J34" s="33" t="s">
        <v>51</v>
      </c>
      <c r="K34" s="49">
        <v>1</v>
      </c>
      <c r="L34" s="146" t="s">
        <v>53</v>
      </c>
      <c r="M34" s="149">
        <f t="shared" si="0"/>
        <v>96.096000000000004</v>
      </c>
      <c r="N34" s="88" t="str">
        <f>VLOOKUP(C34,'Trips&amp;Operators'!$C$1:$E$99999,3,FALSE)</f>
        <v>YANAI</v>
      </c>
      <c r="O34" s="170" t="s">
        <v>86</v>
      </c>
      <c r="P34" s="10"/>
      <c r="Q34" s="33"/>
      <c r="R34" s="104" t="str">
        <f>VLOOKUP(C34,'Train Runs'!$A$13:$AE$10009,31,0)</f>
        <v>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 &amp; 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</v>
      </c>
      <c r="S34" s="107" t="str">
        <f>VLOOKUP(C34,'Train Runs'!$A$13:$AE$10009,22,0)</f>
        <v>https://search-rtdc-monitor-bjffxe2xuh6vdkpspy63sjmuny.us-east-1.es.amazonaws.com/_plugin/kibana/#/discover/Steve-Slow-Train-Analysis-(2080s-and-2083s)?_g=(refreshInterval:(display:Off,section:0,value:0),time:(from:'2016-09-26 20:16:22-0600',mode:absolute,to:'2016-09-26 23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34" s="109" t="str">
        <f t="shared" si="1"/>
        <v>"C:\Program Files (x86)\AstroGrep\AstroGrep.exe" /spath="%USERPROFILE%\AppData\Local\Temp\OnboardLogs" /stypes="*4026*201609270*" /stext=" 04:.+((SYSTEM_STATE.+slice.+state.+changed )|(ment ac)|(system.+state.+changed )|(\|lc)|(penalty)|(\[timeout)|(PRM\|1\|D)|(kpr)|(kdp))" /e /r /s</v>
      </c>
      <c r="U34" s="9" t="str">
        <f t="shared" si="2"/>
        <v>4026</v>
      </c>
      <c r="V34" s="38">
        <f t="shared" si="3"/>
        <v>42640.171423611115</v>
      </c>
      <c r="W34" s="52" t="str">
        <f t="shared" si="4"/>
        <v>EC</v>
      </c>
      <c r="X34" s="52" t="str">
        <f t="shared" si="5"/>
        <v>KEEP</v>
      </c>
      <c r="Y34" s="130" t="str">
        <f t="shared" si="6"/>
        <v>echo {"issue":{"subject":"","project_id":79,"tracker_id":40,"status_id":1,"priority_id":2,"assigned_to_id":23,"start_date":"2016-09-26","description":"","custom_fields":[{"id":1,"name":"Subdivision","value":"EC"},{"id":4,"name":"Milepost","value":"0.0001"},{"id":17,"name":"Train ID","value":"228-26"},{"id":16,"name":"Locomotive ID","value":"4026"},{"id":130,"name":"Impact","value":""},{"id":150,"name":"Time of Event (Mountain Time)","value":"22:06:51"},{"id":151,"name":"Denver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1" t="str">
        <f t="shared" si="7"/>
        <v>grep -hSE -A100 "Enforcement Action" "%USERPROFILE%\AppData\Local\Temp\OnboardLogs"\RTDC4026\*4026*201609270* | grep -SE "((Enforcement Ac)|(PRM))" -</v>
      </c>
    </row>
    <row r="35" spans="1:29" x14ac:dyDescent="0.25">
      <c r="A35" s="38">
        <v>42639.941608796296</v>
      </c>
      <c r="B35" s="33" t="s">
        <v>255</v>
      </c>
      <c r="C35" s="33" t="s">
        <v>550</v>
      </c>
      <c r="D35" s="33" t="s">
        <v>49</v>
      </c>
      <c r="E35" s="33" t="s">
        <v>50</v>
      </c>
      <c r="F35" s="49">
        <v>0</v>
      </c>
      <c r="G35" s="49">
        <v>46</v>
      </c>
      <c r="H35" s="49">
        <v>231</v>
      </c>
      <c r="I35" s="49">
        <v>170</v>
      </c>
      <c r="J35" s="33" t="s">
        <v>51</v>
      </c>
      <c r="K35" s="49">
        <v>1</v>
      </c>
      <c r="L35" s="146" t="s">
        <v>53</v>
      </c>
      <c r="M35" s="149">
        <f t="shared" si="0"/>
        <v>89.231999999999985</v>
      </c>
      <c r="N35" s="88" t="str">
        <f>VLOOKUP(C35,'Trips&amp;Operators'!$C$1:$E$99999,3,FALSE)</f>
        <v>LEVERE</v>
      </c>
      <c r="O35" s="170" t="s">
        <v>86</v>
      </c>
      <c r="P35" s="10"/>
      <c r="Q35" s="33"/>
      <c r="R35" s="104" t="str">
        <f>VLOOKUP(C35,'Train Runs'!$A$13:$AE$10009,31,0)</f>
        <v>aws s3 cp s3://rtdc.mdm.uploadarchive/RTDC4008/2016-09-26/ "%USERPROFILE%\AppData\Local\Temp\OnboardLogs"\RTDC4008\2016-09-26 --recursive &amp; "%USERPROFILE%\Documents\GitHub\mrs-test-scripts\Headless Mode &amp; Sideloading\WalkAndUnGZ.bat" "%USERPROFILE%\AppData\Local\Temp\OnboardLogs"\RTDC4008\2016-09-26 &amp; aws s3 cp s3://rtdc.mdm.uploadarchive/RTDC4008/2016-09-27/ "%USERPROFILE%\AppData\Local\Temp\OnboardLogs"\RTDC4008\2016-09-27 --recursive &amp; "%USERPROFILE%\Documents\GitHub\mrs-test-scripts\Headless Mode &amp; Sideloading\WalkAndUnGZ.bat" "%USERPROFILE%\AppData\Local\Temp\OnboardLogs"\RTDC4008\2016-09-27</v>
      </c>
      <c r="S35" s="107" t="str">
        <f>VLOOKUP(C35,'Train Runs'!$A$13:$AE$10009,22,0)</f>
        <v>https://search-rtdc-monitor-bjffxe2xuh6vdkpspy63sjmuny.us-east-1.es.amazonaws.com/_plugin/kibana/#/discover/Steve-Slow-Train-Analysis-(2080s-and-2083s)?_g=(refreshInterval:(display:Off,section:0,value:0),time:(from:'2016-09-26 20:46:51-0600',mode:absolute,to:'2016-09-26 23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35" s="109" t="str">
        <f t="shared" si="1"/>
        <v>"C:\Program Files (x86)\AstroGrep\AstroGrep.exe" /spath="%USERPROFILE%\AppData\Local\Temp\OnboardLogs" /stypes="*4008*201609270*" /stext=" 04:.+((SYSTEM_STATE.+slice.+state.+changed )|(ment ac)|(system.+state.+changed )|(\|lc)|(penalty)|(\[timeout)|(PRM\|1\|D)|(kpr)|(kdp))" /e /r /s</v>
      </c>
      <c r="U35" s="9" t="str">
        <f t="shared" si="2"/>
        <v>4008</v>
      </c>
      <c r="V35" s="38">
        <f t="shared" si="3"/>
        <v>42640.191608796296</v>
      </c>
      <c r="W35" s="52" t="str">
        <f t="shared" si="4"/>
        <v>EC</v>
      </c>
      <c r="X35" s="52" t="str">
        <f t="shared" si="5"/>
        <v>KEEP</v>
      </c>
      <c r="Y35" s="130" t="str">
        <f t="shared" si="6"/>
        <v>echo {"issue":{"subject":"","project_id":79,"tracker_id":40,"status_id":1,"priority_id":2,"assigned_to_id":23,"start_date":"2016-09-26","description":"","custom_fields":[{"id":1,"name":"Subdivision","value":"EC"},{"id":4,"name":"Milepost","value":"0.0001"},{"id":17,"name":"Train ID","value":"230-26"},{"id":16,"name":"Locomotive ID","value":"4008"},{"id":130,"name":"Impact","value":""},{"id":150,"name":"Time of Event (Mountain Time)","value":"22:35:55"},{"id":151,"name":"Denver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1" t="str">
        <f t="shared" si="7"/>
        <v>grep -hSE -A100 "Enforcement Action" "%USERPROFILE%\AppData\Local\Temp\OnboardLogs"\RTDC4008\*4008*201609270* | grep -SE "((Enforcement Ac)|(PRM))" -</v>
      </c>
    </row>
    <row r="36" spans="1:29" x14ac:dyDescent="0.25">
      <c r="A36" s="38">
        <v>42639.334363425929</v>
      </c>
      <c r="B36" s="33" t="s">
        <v>275</v>
      </c>
      <c r="C36" s="33" t="s">
        <v>610</v>
      </c>
      <c r="D36" s="33" t="s">
        <v>49</v>
      </c>
      <c r="E36" s="33" t="s">
        <v>56</v>
      </c>
      <c r="F36" s="49">
        <v>400</v>
      </c>
      <c r="G36" s="49">
        <v>452</v>
      </c>
      <c r="H36" s="49">
        <v>47719</v>
      </c>
      <c r="I36" s="49">
        <v>48834</v>
      </c>
      <c r="J36" s="33" t="s">
        <v>57</v>
      </c>
      <c r="K36" s="49">
        <v>47808</v>
      </c>
      <c r="L36" s="146" t="s">
        <v>52</v>
      </c>
      <c r="M36" s="149">
        <f t="shared" si="0"/>
        <v>-541.72799999999995</v>
      </c>
      <c r="N36" s="88" t="str">
        <f>VLOOKUP(C36,'Trips&amp;Operators'!$C$1:$E$99999,3,FALSE)</f>
        <v>DAVIS</v>
      </c>
      <c r="O36" s="170" t="s">
        <v>86</v>
      </c>
      <c r="P36" s="10"/>
      <c r="Q36" s="33"/>
      <c r="R36" s="104" t="str">
        <f>VLOOKUP(C36,'Train Runs'!$A$13:$AE$10009,31,0)</f>
        <v>aws s3 cp s3://rtdc.mdm.uploadarchive/RTDC4029/2016-09-26/ "%USERPROFILE%\AppData\Local\Temp\OnboardLogs"\RTDC4029\2016-09-26 --recursive &amp; "%USERPROFILE%\Documents\GitHub\mrs-test-scripts\Headless Mode &amp; Sideloading\WalkAndUnGZ.bat" "%USERPROFILE%\AppData\Local\Temp\OnboardLogs"\RTDC4029\2016-09-26 &amp; 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</v>
      </c>
      <c r="S36" s="107" t="str">
        <f>VLOOKUP(C36,'Train Runs'!$A$13:$AE$10009,22,0)</f>
        <v>https://search-rtdc-monitor-bjffxe2xuh6vdkpspy63sjmuny.us-east-1.es.amazonaws.com/_plugin/kibana/#/discover/Steve-Slow-Train-Analysis-(2080s-and-2083s)?_g=(refreshInterval:(display:Off,section:0,value:0),time:(from:'2016-09-26 06:43:08-0600',mode:absolute,to:'2016-09-26 09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36" s="109" t="str">
        <f t="shared" si="1"/>
        <v>"C:\Program Files (x86)\AstroGrep\AstroGrep.exe" /spath="%USERPROFILE%\AppData\Local\Temp\OnboardLogs" /stypes="*4029*201609261*" /stext=" 14:.+((SYSTEM_STATE.+slice.+state.+changed )|(ment ac)|(system.+state.+changed )|(\|lc)|(penalty)|(\[timeout)|(PRM\|1\|D)|(kpr)|(kdp))" /e /r /s</v>
      </c>
      <c r="U36" s="9" t="str">
        <f t="shared" si="2"/>
        <v>4029</v>
      </c>
      <c r="V36" s="38">
        <f t="shared" si="3"/>
        <v>42639.584363425929</v>
      </c>
      <c r="W36" s="52" t="str">
        <f t="shared" si="4"/>
        <v>NW</v>
      </c>
      <c r="X36" s="52" t="str">
        <f t="shared" si="5"/>
        <v>KEEP</v>
      </c>
      <c r="Y36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{"issue":{"subject":"","project_id":79,"tracker_id":40,"status_id":1,"priority_id":2,"assigned_to_id":23,"start_date":"2016-09-26","description":"","custom_fields":[{"id":1,"name":"Subdivision","value":"NW"},{"id":4,"name":"Milepost","value":"4.7808"},{"id":17,"name":"Train ID","value":"809-26"},{"id":16,"name":"Locomotive ID","value":"4029"},{"id":130,"name":"Impact","value":""},{"id":150,"name":"Time of Event (Mountain Time)","value":"08:01:29"},{"id":151,"name":"Denver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1" t="str">
        <f t="shared" si="7"/>
        <v>grep -hSE -A100 "Enforcement Action" "%USERPROFILE%\AppData\Local\Temp\OnboardLogs"\RTDC4029\*4029*201609261* | grep -SE "((Enforcement Ac)|(PRM))" -</v>
      </c>
    </row>
    <row r="37" spans="1:29" ht="15" customHeight="1" x14ac:dyDescent="0.25">
      <c r="A37" s="38">
        <v>42639.29383101852</v>
      </c>
      <c r="B37" s="33" t="s">
        <v>275</v>
      </c>
      <c r="C37" s="33" t="s">
        <v>598</v>
      </c>
      <c r="D37" s="33" t="s">
        <v>49</v>
      </c>
      <c r="E37" s="33" t="s">
        <v>56</v>
      </c>
      <c r="F37" s="49">
        <v>150</v>
      </c>
      <c r="G37" s="49">
        <v>298</v>
      </c>
      <c r="H37" s="49">
        <v>56344</v>
      </c>
      <c r="I37" s="49">
        <v>56898</v>
      </c>
      <c r="J37" s="33" t="s">
        <v>57</v>
      </c>
      <c r="K37" s="49">
        <v>57008</v>
      </c>
      <c r="L37" s="146" t="s">
        <v>52</v>
      </c>
      <c r="M37" s="149">
        <f t="shared" si="0"/>
        <v>58.08</v>
      </c>
      <c r="N37" s="88" t="str">
        <f>VLOOKUP(C37,'Trips&amp;Operators'!$C$1:$E$99999,3,FALSE)</f>
        <v>DAVIS</v>
      </c>
      <c r="O37" s="170" t="s">
        <v>86</v>
      </c>
      <c r="P37" s="10"/>
      <c r="Q37" s="33"/>
      <c r="R37" s="104" t="str">
        <f>VLOOKUP(C37,'Train Runs'!$A$13:$AE$10009,31,0)</f>
        <v>aws s3 cp s3://rtdc.mdm.uploadarchive/RTDC4029/2016-09-26/ "%USERPROFILE%\AppData\Local\Temp\OnboardLogs"\RTDC4029\2016-09-26 --recursive &amp; "%USERPROFILE%\Documents\GitHub\mrs-test-scripts\Headless Mode &amp; Sideloading\WalkAndUnGZ.bat" "%USERPROFILE%\AppData\Local\Temp\OnboardLogs"\RTDC4029\2016-09-26 &amp; 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</v>
      </c>
      <c r="S37" s="107" t="str">
        <f>VLOOKUP(C37,'Train Runs'!$A$13:$AE$10009,22,0)</f>
        <v>https://search-rtdc-monitor-bjffxe2xuh6vdkpspy63sjmuny.us-east-1.es.amazonaws.com/_plugin/kibana/#/discover/Steve-Slow-Train-Analysis-(2080s-and-2083s)?_g=(refreshInterval:(display:Off,section:0,value:0),time:(from:'2016-09-26 05:45:49-0600',mode:absolute,to:'2016-09-26 08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37" s="109" t="str">
        <f t="shared" si="1"/>
        <v>"C:\Program Files (x86)\AstroGrep\AstroGrep.exe" /spath="%USERPROFILE%\AppData\Local\Temp\OnboardLogs" /stypes="*4029*201609261*" /stext=" 13:.+((SYSTEM_STATE.+slice.+state.+changed )|(ment ac)|(system.+state.+changed )|(\|lc)|(penalty)|(\[timeout)|(PRM\|1\|D)|(kpr)|(kdp))" /e /r /s</v>
      </c>
      <c r="U37" s="9" t="str">
        <f t="shared" si="2"/>
        <v>4029</v>
      </c>
      <c r="V37" s="38">
        <f t="shared" si="3"/>
        <v>42639.54383101852</v>
      </c>
      <c r="W37" s="52" t="str">
        <f t="shared" si="4"/>
        <v>NW</v>
      </c>
      <c r="X37" s="52" t="str">
        <f t="shared" si="5"/>
        <v>KEEP</v>
      </c>
      <c r="Y37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{"issue":{"subject":"","project_id":79,"tracker_id":40,"status_id":1,"priority_id":2,"assigned_to_id":23,"start_date":"2016-09-26","description":"","custom_fields":[{"id":1,"name":"Subdivision","value":"NW"},{"id":4,"name":"Milepost","value":"5.7008"},{"id":17,"name":"Train ID","value":"805-26"},{"id":16,"name":"Locomotive ID","value":"4029"},{"id":130,"name":"Impact","value":""},{"id":150,"name":"Time of Event (Mountain Time)","value":"07:03:07"},{"id":151,"name":"Denver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1" t="str">
        <f t="shared" si="7"/>
        <v>grep -hSE -A100 "Enforcement Action" "%USERPROFILE%\AppData\Local\Temp\OnboardLogs"\RTDC4029\*4029*201609261* | grep -SE "((Enforcement Ac)|(PRM))" -</v>
      </c>
    </row>
    <row r="38" spans="1:29" x14ac:dyDescent="0.25">
      <c r="A38" s="38">
        <v>42639.314525462964</v>
      </c>
      <c r="B38" s="33" t="s">
        <v>237</v>
      </c>
      <c r="C38" s="33" t="s">
        <v>604</v>
      </c>
      <c r="D38" s="33" t="s">
        <v>49</v>
      </c>
      <c r="E38" s="33" t="s">
        <v>56</v>
      </c>
      <c r="F38" s="49">
        <v>150</v>
      </c>
      <c r="G38" s="49">
        <v>308</v>
      </c>
      <c r="H38" s="49">
        <v>56242</v>
      </c>
      <c r="I38" s="49">
        <v>56788</v>
      </c>
      <c r="J38" s="33" t="s">
        <v>57</v>
      </c>
      <c r="K38" s="49">
        <v>57008</v>
      </c>
      <c r="L38" s="146" t="s">
        <v>52</v>
      </c>
      <c r="M38" s="149">
        <f t="shared" si="0"/>
        <v>116.16</v>
      </c>
      <c r="N38" s="88" t="str">
        <f>VLOOKUP(C38,'Trips&amp;Operators'!$C$1:$E$99999,3,FALSE)</f>
        <v>ISHMAEL</v>
      </c>
      <c r="O38" s="170" t="s">
        <v>86</v>
      </c>
      <c r="P38" s="10"/>
      <c r="Q38" s="33"/>
      <c r="R38" s="104" t="str">
        <f>VLOOKUP(C38,'Train Runs'!$A$13:$AE$10009,31,0)</f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S38" s="107" t="str">
        <f>VLOOKUP(C38,'Train Runs'!$A$13:$AE$10009,22,0)</f>
        <v>https://search-rtdc-monitor-bjffxe2xuh6vdkpspy63sjmuny.us-east-1.es.amazonaws.com/_plugin/kibana/#/discover/Steve-Slow-Train-Analysis-(2080s-and-2083s)?_g=(refreshInterval:(display:Off,section:0,value:0),time:(from:'2016-09-26 06:16:20-0600',mode:absolute,to:'2016-09-26 08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38" s="109" t="str">
        <f t="shared" si="1"/>
        <v>"C:\Program Files (x86)\AstroGrep\AstroGrep.exe" /spath="%USERPROFILE%\AppData\Local\Temp\OnboardLogs" /stypes="*4044*201609261*" /stext=" 13:.+((SYSTEM_STATE.+slice.+state.+changed )|(ment ac)|(system.+state.+changed )|(\|lc)|(penalty)|(\[timeout)|(PRM\|1\|D)|(kpr)|(kdp))" /e /r /s</v>
      </c>
      <c r="U38" s="9" t="str">
        <f t="shared" si="2"/>
        <v>4044</v>
      </c>
      <c r="V38" s="38">
        <f t="shared" si="3"/>
        <v>42639.564525462964</v>
      </c>
      <c r="W38" s="52" t="str">
        <f t="shared" si="4"/>
        <v>NW</v>
      </c>
      <c r="X38" s="52" t="str">
        <f t="shared" si="5"/>
        <v>KEEP</v>
      </c>
      <c r="Y38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{"issue":{"subject":"","project_id":79,"tracker_id":40,"status_id":1,"priority_id":2,"assigned_to_id":23,"start_date":"2016-09-26","description":"","custom_fields":[{"id":1,"name":"Subdivision","value":"NW"},{"id":4,"name":"Milepost","value":"5.7008"},{"id":17,"name":"Train ID","value":"807-26"},{"id":16,"name":"Locomotive ID","value":"4044"},{"id":130,"name":"Impact","value":""},{"id":150,"name":"Time of Event (Mountain Time)","value":"07:32:55"},{"id":151,"name":"Denver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1" t="str">
        <f t="shared" si="7"/>
        <v>grep -hSE -A100 "Enforcement Action" "%USERPROFILE%\AppData\Local\Temp\OnboardLogs"\RTDC4044\*4044*201609261* | grep -SE "((Enforcement Ac)|(PRM))" -</v>
      </c>
    </row>
    <row r="39" spans="1:29" x14ac:dyDescent="0.25">
      <c r="A39" s="38">
        <v>42639.709756944445</v>
      </c>
      <c r="B39" s="33" t="s">
        <v>275</v>
      </c>
      <c r="C39" s="33" t="s">
        <v>673</v>
      </c>
      <c r="D39" s="33" t="s">
        <v>49</v>
      </c>
      <c r="E39" s="33" t="s">
        <v>56</v>
      </c>
      <c r="F39" s="49">
        <v>150</v>
      </c>
      <c r="G39" s="49">
        <v>286</v>
      </c>
      <c r="H39" s="49">
        <v>56363</v>
      </c>
      <c r="I39" s="49">
        <v>56889</v>
      </c>
      <c r="J39" s="33" t="s">
        <v>57</v>
      </c>
      <c r="K39" s="49">
        <v>57008</v>
      </c>
      <c r="L39" s="146" t="s">
        <v>52</v>
      </c>
      <c r="M39" s="149">
        <f t="shared" si="0"/>
        <v>62.832000000000001</v>
      </c>
      <c r="N39" s="88" t="str">
        <f>VLOOKUP(C39,'Trips&amp;Operators'!$C$1:$E$99999,3,FALSE)</f>
        <v>COOLAHAN</v>
      </c>
      <c r="O39" s="170" t="s">
        <v>86</v>
      </c>
      <c r="P39" s="10"/>
      <c r="Q39" s="33"/>
      <c r="R39" s="104" t="str">
        <f>VLOOKUP(C39,'Train Runs'!$A$13:$AE$10009,31,0)</f>
        <v>aws s3 cp s3://rtdc.mdm.uploadarchive/RTDC4029/2016-09-26/ "%USERPROFILE%\AppData\Local\Temp\OnboardLogs"\RTDC4029\2016-09-26 --recursive &amp; "%USERPROFILE%\Documents\GitHub\mrs-test-scripts\Headless Mode &amp; Sideloading\WalkAndUnGZ.bat" "%USERPROFILE%\AppData\Local\Temp\OnboardLogs"\RTDC4029\2016-09-26 &amp; 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</v>
      </c>
      <c r="S39" s="107" t="str">
        <f>VLOOKUP(C39,'Train Runs'!$A$13:$AE$10009,22,0)</f>
        <v>https://search-rtdc-monitor-bjffxe2xuh6vdkpspy63sjmuny.us-east-1.es.amazonaws.com/_plugin/kibana/#/discover/Steve-Slow-Train-Analysis-(2080s-and-2083s)?_g=(refreshInterval:(display:Off,section:0,value:0),time:(from:'2016-09-26 15:38:34-0600',mode:absolute,to:'2016-09-26 18:04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39" s="109" t="str">
        <f t="shared" si="1"/>
        <v>"C:\Program Files (x86)\AstroGrep\AstroGrep.exe" /spath="%USERPROFILE%\AppData\Local\Temp\OnboardLogs" /stypes="*4029*201609262*" /stext=" 23:.+((SYSTEM_STATE.+slice.+state.+changed )|(ment ac)|(system.+state.+changed )|(\|lc)|(penalty)|(\[timeout)|(PRM\|1\|D)|(kpr)|(kdp))" /e /r /s</v>
      </c>
      <c r="U39" s="9" t="str">
        <f t="shared" si="2"/>
        <v>4029</v>
      </c>
      <c r="V39" s="38">
        <f t="shared" si="3"/>
        <v>42639.959756944445</v>
      </c>
      <c r="W39" s="52" t="str">
        <f t="shared" si="4"/>
        <v>NW</v>
      </c>
      <c r="X39" s="52" t="str">
        <f t="shared" si="5"/>
        <v>KEEP</v>
      </c>
      <c r="Y39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{"issue":{"subject":"","project_id":79,"tracker_id":40,"status_id":1,"priority_id":2,"assigned_to_id":23,"start_date":"2016-09-26","description":"","custom_fields":[{"id":1,"name":"Subdivision","value":"NW"},{"id":4,"name":"Milepost","value":"5.7008"},{"id":17,"name":"Train ID","value":"831-26"},{"id":16,"name":"Locomotive ID","value":"4029"},{"id":130,"name":"Impact","value":""},{"id":150,"name":"Time of Event (Mountain Time)","value":"17:02:03"},{"id":151,"name":"Denver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1" t="str">
        <f t="shared" si="7"/>
        <v>grep -hSE -A100 "Enforcement Action" "%USERPROFILE%\AppData\Local\Temp\OnboardLogs"\RTDC4029\*4029*201609262* | grep -SE "((Enforcement Ac)|(PRM))" -</v>
      </c>
    </row>
    <row r="40" spans="1:29" x14ac:dyDescent="0.25">
      <c r="A40" s="38">
        <v>42639.730567129627</v>
      </c>
      <c r="B40" s="33" t="s">
        <v>237</v>
      </c>
      <c r="C40" s="33" t="s">
        <v>678</v>
      </c>
      <c r="D40" s="33" t="s">
        <v>49</v>
      </c>
      <c r="E40" s="33" t="s">
        <v>56</v>
      </c>
      <c r="F40" s="49">
        <v>150</v>
      </c>
      <c r="G40" s="49">
        <v>407</v>
      </c>
      <c r="H40" s="49">
        <v>55609</v>
      </c>
      <c r="I40" s="49">
        <v>56638</v>
      </c>
      <c r="J40" s="33" t="s">
        <v>57</v>
      </c>
      <c r="K40" s="49">
        <v>57008</v>
      </c>
      <c r="L40" s="146" t="s">
        <v>52</v>
      </c>
      <c r="M40" s="149">
        <f t="shared" si="0"/>
        <v>195.36</v>
      </c>
      <c r="N40" s="88" t="str">
        <f>VLOOKUP(C40,'Trips&amp;Operators'!$C$1:$E$99999,3,FALSE)</f>
        <v>BRUDER</v>
      </c>
      <c r="O40" s="170" t="s">
        <v>86</v>
      </c>
      <c r="P40" s="10"/>
      <c r="Q40" s="33"/>
      <c r="R40" s="104" t="str">
        <f>VLOOKUP(C40,'Train Runs'!$A$13:$AE$10009,31,0)</f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S40" s="107" t="str">
        <f>VLOOKUP(C40,'Train Runs'!$A$13:$AE$10009,22,0)</f>
        <v>https://search-rtdc-monitor-bjffxe2xuh6vdkpspy63sjmuny.us-east-1.es.amazonaws.com/_plugin/kibana/#/discover/Steve-Slow-Train-Analysis-(2080s-and-2083s)?_g=(refreshInterval:(display:Off,section:0,value:0),time:(from:'2016-09-26 16:11:19-0600',mode:absolute,to:'2016-09-26 18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40" s="109" t="str">
        <f t="shared" si="1"/>
        <v>"C:\Program Files (x86)\AstroGrep\AstroGrep.exe" /spath="%USERPROFILE%\AppData\Local\Temp\OnboardLogs" /stypes="*4044*201609262*" /stext=" 23:.+((SYSTEM_STATE.+slice.+state.+changed )|(ment ac)|(system.+state.+changed )|(\|lc)|(penalty)|(\[timeout)|(PRM\|1\|D)|(kpr)|(kdp))" /e /r /s</v>
      </c>
      <c r="U40" s="9" t="str">
        <f t="shared" si="2"/>
        <v>4044</v>
      </c>
      <c r="V40" s="38">
        <f t="shared" si="3"/>
        <v>42639.980567129627</v>
      </c>
      <c r="W40" s="52" t="str">
        <f t="shared" si="4"/>
        <v>NW</v>
      </c>
      <c r="X40" s="52" t="str">
        <f t="shared" si="5"/>
        <v>KEEP</v>
      </c>
      <c r="Y40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{"issue":{"subject":"","project_id":79,"tracker_id":40,"status_id":1,"priority_id":2,"assigned_to_id":23,"start_date":"2016-09-26","description":"","custom_fields":[{"id":1,"name":"Subdivision","value":"NW"},{"id":4,"name":"Milepost","value":"5.7008"},{"id":17,"name":"Train ID","value":"833-26"},{"id":16,"name":"Locomotive ID","value":"4044"},{"id":130,"name":"Impact","value":""},{"id":150,"name":"Time of Event (Mountain Time)","value":"17:32:01"},{"id":151,"name":"Denver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1" t="str">
        <f t="shared" si="7"/>
        <v>grep -hSE -A100 "Enforcement Action" "%USERPROFILE%\AppData\Local\Temp\OnboardLogs"\RTDC4044\*4044*201609262* | grep -SE "((Enforcement Ac)|(PRM))" -</v>
      </c>
    </row>
    <row r="41" spans="1:29" x14ac:dyDescent="0.25">
      <c r="A41" s="38">
        <v>42639.53670138889</v>
      </c>
      <c r="B41" s="33" t="s">
        <v>238</v>
      </c>
      <c r="C41" s="33" t="s">
        <v>641</v>
      </c>
      <c r="D41" s="33" t="s">
        <v>49</v>
      </c>
      <c r="E41" s="33" t="s">
        <v>54</v>
      </c>
      <c r="F41" s="49">
        <v>0</v>
      </c>
      <c r="G41" s="49">
        <v>57</v>
      </c>
      <c r="H41" s="49">
        <v>11034</v>
      </c>
      <c r="I41" s="49">
        <v>10903</v>
      </c>
      <c r="J41" s="33" t="s">
        <v>55</v>
      </c>
      <c r="K41" s="49">
        <v>11016</v>
      </c>
      <c r="L41" s="146" t="s">
        <v>53</v>
      </c>
      <c r="M41" s="149">
        <f t="shared" si="0"/>
        <v>-59.664000000000001</v>
      </c>
      <c r="N41" s="88" t="str">
        <f>VLOOKUP(C41,'Trips&amp;Operators'!$C$1:$E$99999,3,FALSE)</f>
        <v>ISHMAEL</v>
      </c>
      <c r="O41" s="170" t="s">
        <v>300</v>
      </c>
      <c r="P41" s="10" t="s">
        <v>729</v>
      </c>
      <c r="Q41" s="33"/>
      <c r="R41" s="104" t="str">
        <f>VLOOKUP(C41,'Train Runs'!$A$13:$AE$10009,31,0)</f>
        <v>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 &amp; 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</v>
      </c>
      <c r="S41" s="107" t="str">
        <f>VLOOKUP(C41,'Train Runs'!$A$13:$AE$10009,22,0)</f>
        <v>https://search-rtdc-monitor-bjffxe2xuh6vdkpspy63sjmuny.us-east-1.es.amazonaws.com/_plugin/kibana/#/discover/Steve-Slow-Train-Analysis-(2080s-and-2083s)?_g=(refreshInterval:(display:Off,section:0,value:0),time:(from:'2016-09-26 11:37:52-0600',mode:absolute,to:'2016-09-26 13:59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41" s="109" t="str">
        <f t="shared" si="1"/>
        <v>"C:\Program Files (x86)\AstroGrep\AstroGrep.exe" /spath="%USERPROFILE%\AppData\Local\Temp\OnboardLogs" /stypes="*4043*201609261*" /stext=" 18:.+((SYSTEM_STATE.+slice.+state.+changed )|(ment ac)|(system.+state.+changed )|(\|lc)|(penalty)|(\[timeout)|(PRM\|1\|D)|(kpr)|(kdp))" /e /r /s</v>
      </c>
      <c r="U41" s="9" t="str">
        <f t="shared" si="2"/>
        <v>4043</v>
      </c>
      <c r="V41" s="38">
        <f t="shared" si="3"/>
        <v>42639.78670138889</v>
      </c>
      <c r="W41" s="52" t="str">
        <f t="shared" si="4"/>
        <v>NW</v>
      </c>
      <c r="X41" s="52" t="str">
        <f t="shared" si="5"/>
        <v>KEEP</v>
      </c>
      <c r="Y41" s="130" t="str">
        <f t="shared" si="6"/>
        <v>echo {"issue":{"subject":"Poor GPS at I-25 bridge","project_id":79,"tracker_id":40,"status_id":1,"priority_id":2,"assigned_to_id":23,"start_date":"2016-09-26","description":"","custom_fields":[{"id":1,"name":"Subdivision","value":"NW"},{"id":4,"name":"Milepost","value":"1.1016"},{"id":17,"name":"Train ID","value":"820-26"},{"id":16,"name":"Locomotive ID","value":"4043"},{"id":130,"name":"Impact","value":""},{"id":150,"name":"Time of Event (Mountain Time)","value":"12:52:51"},{"id":151,"name":"Denver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1" t="str">
        <f t="shared" si="7"/>
        <v>grep -hSE -A100 "Enforcement Action" "%USERPROFILE%\AppData\Local\Temp\OnboardLogs"\RTDC4043\*4043*201609261* | grep -SE "((Enforcement Ac)|(PRM))" -</v>
      </c>
    </row>
    <row r="42" spans="1:29" x14ac:dyDescent="0.25">
      <c r="A42" s="38">
        <v>42639.396331018521</v>
      </c>
      <c r="B42" s="33" t="s">
        <v>237</v>
      </c>
      <c r="C42" s="33" t="s">
        <v>621</v>
      </c>
      <c r="D42" s="33" t="s">
        <v>49</v>
      </c>
      <c r="E42" s="33" t="s">
        <v>54</v>
      </c>
      <c r="F42" s="49">
        <v>0</v>
      </c>
      <c r="G42" s="49">
        <v>304</v>
      </c>
      <c r="H42" s="49">
        <v>39226</v>
      </c>
      <c r="I42" s="49">
        <v>39758</v>
      </c>
      <c r="J42" s="33" t="s">
        <v>55</v>
      </c>
      <c r="K42" s="49">
        <v>39609</v>
      </c>
      <c r="L42" s="146" t="s">
        <v>52</v>
      </c>
      <c r="M42" s="149">
        <f t="shared" si="0"/>
        <v>-78.671999999999997</v>
      </c>
      <c r="N42" s="88" t="str">
        <f>VLOOKUP(C42,'Trips&amp;Operators'!$C$1:$E$99999,3,FALSE)</f>
        <v>ISHMAEL</v>
      </c>
      <c r="O42" s="170" t="s">
        <v>300</v>
      </c>
      <c r="P42" s="10" t="s">
        <v>730</v>
      </c>
      <c r="Q42" s="33"/>
      <c r="R42" s="104" t="str">
        <f>VLOOKUP(C42,'Train Runs'!$A$13:$AE$10009,31,0)</f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S42" s="107" t="str">
        <f>VLOOKUP(C42,'Train Runs'!$A$13:$AE$10009,22,0)</f>
        <v>https://search-rtdc-monitor-bjffxe2xuh6vdkpspy63sjmuny.us-east-1.es.amazonaws.com/_plugin/kibana/#/discover/Steve-Slow-Train-Analysis-(2080s-and-2083s)?_g=(refreshInterval:(display:Off,section:0,value:0),time:(from:'2016-09-26 08:14:03-0600',mode:absolute,to:'2016-09-26 10:30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42" s="109" t="str">
        <f t="shared" si="1"/>
        <v>"C:\Program Files (x86)\AstroGrep\AstroGrep.exe" /spath="%USERPROFILE%\AppData\Local\Temp\OnboardLogs" /stypes="*4044*201609261*" /stext=" 15:.+((SYSTEM_STATE.+slice.+state.+changed )|(ment ac)|(system.+state.+changed )|(\|lc)|(penalty)|(\[timeout)|(PRM\|1\|D)|(kpr)|(kdp))" /e /r /s</v>
      </c>
      <c r="U42" s="9" t="str">
        <f t="shared" si="2"/>
        <v>4044</v>
      </c>
      <c r="V42" s="38">
        <f t="shared" si="3"/>
        <v>42639.646331018521</v>
      </c>
      <c r="W42" s="52" t="str">
        <f t="shared" si="4"/>
        <v>NW</v>
      </c>
      <c r="X42" s="52" t="str">
        <f t="shared" si="5"/>
        <v>KEEP</v>
      </c>
      <c r="Y42" s="130" t="str">
        <f t="shared" si="6"/>
        <v>echo {"issue":{"subject":"Track circuit issue caused Pecos 4N to stay stuck at STOP","project_id":79,"tracker_id":40,"status_id":1,"priority_id":2,"assigned_to_id":23,"start_date":"2016-09-26","description":"","custom_fields":[{"id":1,"name":"Subdivision","value":"NW"},{"id":4,"name":"Milepost","value":"3.9609"},{"id":17,"name":"Train ID","value":"813-26"},{"id":16,"name":"Locomotive ID","value":"4044"},{"id":130,"name":"Impact","value":""},{"id":150,"name":"Time of Event (Mountain Time)","value":"09:30:43"},{"id":151,"name":"Denver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1" t="str">
        <f t="shared" si="7"/>
        <v>grep -hSE -A100 "Enforcement Action" "%USERPROFILE%\AppData\Local\Temp\OnboardLogs"\RTDC4044\*4044*201609261* | grep -SE "((Enforcement Ac)|(PRM))" -</v>
      </c>
    </row>
    <row r="43" spans="1:29" x14ac:dyDescent="0.25">
      <c r="A43" s="38">
        <v>42639.229502314818</v>
      </c>
      <c r="B43" s="33" t="s">
        <v>278</v>
      </c>
      <c r="C43" s="33" t="s">
        <v>583</v>
      </c>
      <c r="D43" s="33" t="s">
        <v>49</v>
      </c>
      <c r="E43" s="33" t="s">
        <v>50</v>
      </c>
      <c r="F43" s="49">
        <v>0</v>
      </c>
      <c r="G43" s="49">
        <v>20</v>
      </c>
      <c r="H43" s="49">
        <v>631</v>
      </c>
      <c r="I43" s="49">
        <v>619</v>
      </c>
      <c r="J43" s="33" t="s">
        <v>51</v>
      </c>
      <c r="K43" s="49">
        <v>575</v>
      </c>
      <c r="L43" s="146" t="s">
        <v>53</v>
      </c>
      <c r="M43" s="149">
        <f t="shared" si="0"/>
        <v>23.231999999999999</v>
      </c>
      <c r="N43" s="88" t="str">
        <f>VLOOKUP(C43,'Trips&amp;Operators'!$C$1:$E$99999,3,FALSE)</f>
        <v>DAVIS</v>
      </c>
      <c r="O43" s="170" t="s">
        <v>86</v>
      </c>
      <c r="P43" s="10"/>
      <c r="Q43" s="33"/>
      <c r="R43" s="104" t="str">
        <f>VLOOKUP(C43,'Train Runs'!$A$13:$AE$10009,31,0)</f>
        <v>aws s3 cp s3://rtdc.mdm.uploadarchive/RTDC4030/2016-09-26/ "%USERPROFILE%\AppData\Local\Temp\OnboardLogs"\RTDC4030\2016-09-26 --recursive &amp; "%USERPROFILE%\Documents\GitHub\mrs-test-scripts\Headless Mode &amp; Sideloading\WalkAndUnGZ.bat" "%USERPROFILE%\AppData\Local\Temp\OnboardLogs"\RTDC4030\2016-09-26 &amp; 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</v>
      </c>
      <c r="S43" s="107" t="str">
        <f>VLOOKUP(C43,'Train Runs'!$A$13:$AE$10009,22,0)</f>
        <v>https://search-rtdc-monitor-bjffxe2xuh6vdkpspy63sjmuny.us-east-1.es.amazonaws.com/_plugin/kibana/#/discover/Steve-Slow-Train-Analysis-(2080s-and-2083s)?_g=(refreshInterval:(display:Off,section:0,value:0),time:(from:'2016-09-26 04:13:31-0600',mode:absolute,to:'2016-09-26 06:30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3" s="109" t="str">
        <f t="shared" si="1"/>
        <v>"C:\Program Files (x86)\AstroGrep\AstroGrep.exe" /spath="%USERPROFILE%\AppData\Local\Temp\OnboardLogs" /stypes="*4030*201609261*" /stext=" 11:.+((SYSTEM_STATE.+slice.+state.+changed )|(ment ac)|(system.+state.+changed )|(\|lc)|(penalty)|(\[timeout)|(PRM\|1\|D)|(kpr)|(kdp))" /e /r /s</v>
      </c>
      <c r="U43" s="9" t="str">
        <f t="shared" si="2"/>
        <v>4030</v>
      </c>
      <c r="V43" s="38">
        <f t="shared" si="3"/>
        <v>42639.479502314818</v>
      </c>
      <c r="W43" s="52" t="str">
        <f t="shared" si="4"/>
        <v>NW</v>
      </c>
      <c r="X43" s="52" t="str">
        <f t="shared" si="5"/>
        <v>KEEP</v>
      </c>
      <c r="Y43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{"issue":{"subject":"","project_id":79,"tracker_id":40,"status_id":1,"priority_id":2,"assigned_to_id":23,"start_date":"2016-09-26","description":"","custom_fields":[{"id":1,"name":"Subdivision","value":"NW"},{"id":4,"name":"Milepost","value":"0.0575"},{"id":17,"name":"Train ID","value":"800-26"},{"id":16,"name":"Locomotive ID","value":"4030"},{"id":130,"name":"Impact","value":""},{"id":150,"name":"Time of Event (Mountain Time)","value":"05:30:29"},{"id":151,"name":"Denver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1" t="str">
        <f t="shared" si="7"/>
        <v>grep -hSE -A100 "Enforcement Action" "%USERPROFILE%\AppData\Local\Temp\OnboardLogs"\RTDC4030\*4030*201609261* | grep -SE "((Enforcement Ac)|(PRM))" -</v>
      </c>
    </row>
    <row r="44" spans="1:29" x14ac:dyDescent="0.25">
      <c r="A44" s="38">
        <v>42639.268657407411</v>
      </c>
      <c r="B44" s="33" t="s">
        <v>278</v>
      </c>
      <c r="C44" s="33" t="s">
        <v>589</v>
      </c>
      <c r="D44" s="33" t="s">
        <v>49</v>
      </c>
      <c r="E44" s="33" t="s">
        <v>50</v>
      </c>
      <c r="F44" s="49">
        <v>0</v>
      </c>
      <c r="G44" s="49">
        <v>39</v>
      </c>
      <c r="H44" s="49">
        <v>713</v>
      </c>
      <c r="I44" s="49">
        <v>684</v>
      </c>
      <c r="J44" s="33" t="s">
        <v>51</v>
      </c>
      <c r="K44" s="49">
        <v>575</v>
      </c>
      <c r="L44" s="146" t="s">
        <v>53</v>
      </c>
      <c r="M44" s="149">
        <f t="shared" si="0"/>
        <v>57.552</v>
      </c>
      <c r="N44" s="88" t="str">
        <f>VLOOKUP(C44,'Trips&amp;Operators'!$C$1:$E$99999,3,FALSE)</f>
        <v>DAVIS</v>
      </c>
      <c r="O44" s="170" t="s">
        <v>86</v>
      </c>
      <c r="P44" s="10"/>
      <c r="Q44" s="33"/>
      <c r="R44" s="104" t="str">
        <f>VLOOKUP(C44,'Train Runs'!$A$13:$AE$10009,31,0)</f>
        <v>aws s3 cp s3://rtdc.mdm.uploadarchive/RTDC4030/2016-09-26/ "%USERPROFILE%\AppData\Local\Temp\OnboardLogs"\RTDC4030\2016-09-26 --recursive &amp; "%USERPROFILE%\Documents\GitHub\mrs-test-scripts\Headless Mode &amp; Sideloading\WalkAndUnGZ.bat" "%USERPROFILE%\AppData\Local\Temp\OnboardLogs"\RTDC4030\2016-09-26 &amp; 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</v>
      </c>
      <c r="S44" s="107" t="str">
        <f>VLOOKUP(C44,'Train Runs'!$A$13:$AE$10009,22,0)</f>
        <v>https://search-rtdc-monitor-bjffxe2xuh6vdkpspy63sjmuny.us-east-1.es.amazonaws.com/_plugin/kibana/#/discover/Steve-Slow-Train-Analysis-(2080s-and-2083s)?_g=(refreshInterval:(display:Off,section:0,value:0),time:(from:'2016-09-26 05:07:44-0600',mode:absolute,to:'2016-09-26 07:28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4" s="109" t="str">
        <f t="shared" si="1"/>
        <v>"C:\Program Files (x86)\AstroGrep\AstroGrep.exe" /spath="%USERPROFILE%\AppData\Local\Temp\OnboardLogs" /stypes="*4030*201609261*" /stext=" 12:.+((SYSTEM_STATE.+slice.+state.+changed )|(ment ac)|(system.+state.+changed )|(\|lc)|(penalty)|(\[timeout)|(PRM\|1\|D)|(kpr)|(kdp))" /e /r /s</v>
      </c>
      <c r="U44" s="9" t="str">
        <f t="shared" si="2"/>
        <v>4030</v>
      </c>
      <c r="V44" s="38">
        <f t="shared" si="3"/>
        <v>42639.518657407411</v>
      </c>
      <c r="W44" s="52" t="str">
        <f t="shared" si="4"/>
        <v>NW</v>
      </c>
      <c r="X44" s="52" t="str">
        <f t="shared" si="5"/>
        <v>KEEP</v>
      </c>
      <c r="Y44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{"issue":{"subject":"","project_id":79,"tracker_id":40,"status_id":1,"priority_id":2,"assigned_to_id":23,"start_date":"2016-09-26","description":"","custom_fields":[{"id":1,"name":"Subdivision","value":"NW"},{"id":4,"name":"Milepost","value":"0.0575"},{"id":17,"name":"Train ID","value":"802-26"},{"id":16,"name":"Locomotive ID","value":"4030"},{"id":130,"name":"Impact","value":""},{"id":150,"name":"Time of Event (Mountain Time)","value":"06:26:52"},{"id":151,"name":"Denver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1" t="str">
        <f t="shared" si="7"/>
        <v>grep -hSE -A100 "Enforcement Action" "%USERPROFILE%\AppData\Local\Temp\OnboardLogs"\RTDC4030\*4030*201609261* | grep -SE "((Enforcement Ac)|(PRM))" -</v>
      </c>
    </row>
    <row r="45" spans="1:29" x14ac:dyDescent="0.25">
      <c r="A45" s="38">
        <v>42639.269803240742</v>
      </c>
      <c r="B45" s="33" t="s">
        <v>278</v>
      </c>
      <c r="C45" s="33" t="s">
        <v>589</v>
      </c>
      <c r="D45" s="33" t="s">
        <v>49</v>
      </c>
      <c r="E45" s="33" t="s">
        <v>50</v>
      </c>
      <c r="F45" s="49">
        <v>0</v>
      </c>
      <c r="G45" s="49">
        <v>22</v>
      </c>
      <c r="H45" s="49">
        <v>659</v>
      </c>
      <c r="I45" s="49">
        <v>649</v>
      </c>
      <c r="J45" s="33" t="s">
        <v>51</v>
      </c>
      <c r="K45" s="49">
        <v>575</v>
      </c>
      <c r="L45" s="146" t="s">
        <v>53</v>
      </c>
      <c r="M45" s="149">
        <f t="shared" si="0"/>
        <v>39.072000000000003</v>
      </c>
      <c r="N45" s="88" t="str">
        <f>VLOOKUP(C45,'Trips&amp;Operators'!$C$1:$E$99999,3,FALSE)</f>
        <v>DAVIS</v>
      </c>
      <c r="O45" s="170" t="s">
        <v>86</v>
      </c>
      <c r="P45" s="10"/>
      <c r="Q45" s="33"/>
      <c r="R45" s="104" t="str">
        <f>VLOOKUP(C45,'Train Runs'!$A$13:$AE$10009,31,0)</f>
        <v>aws s3 cp s3://rtdc.mdm.uploadarchive/RTDC4030/2016-09-26/ "%USERPROFILE%\AppData\Local\Temp\OnboardLogs"\RTDC4030\2016-09-26 --recursive &amp; "%USERPROFILE%\Documents\GitHub\mrs-test-scripts\Headless Mode &amp; Sideloading\WalkAndUnGZ.bat" "%USERPROFILE%\AppData\Local\Temp\OnboardLogs"\RTDC4030\2016-09-26 &amp; 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</v>
      </c>
      <c r="S45" s="107" t="str">
        <f>VLOOKUP(C45,'Train Runs'!$A$13:$AE$10009,22,0)</f>
        <v>https://search-rtdc-monitor-bjffxe2xuh6vdkpspy63sjmuny.us-east-1.es.amazonaws.com/_plugin/kibana/#/discover/Steve-Slow-Train-Analysis-(2080s-and-2083s)?_g=(refreshInterval:(display:Off,section:0,value:0),time:(from:'2016-09-26 05:07:44-0600',mode:absolute,to:'2016-09-26 07:28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5" s="109" t="str">
        <f t="shared" si="1"/>
        <v>"C:\Program Files (x86)\AstroGrep\AstroGrep.exe" /spath="%USERPROFILE%\AppData\Local\Temp\OnboardLogs" /stypes="*4030*201609261*" /stext=" 12:.+((SYSTEM_STATE.+slice.+state.+changed )|(ment ac)|(system.+state.+changed )|(\|lc)|(penalty)|(\[timeout)|(PRM\|1\|D)|(kpr)|(kdp))" /e /r /s</v>
      </c>
      <c r="U45" s="9" t="str">
        <f t="shared" si="2"/>
        <v>4030</v>
      </c>
      <c r="V45" s="38">
        <f t="shared" si="3"/>
        <v>42639.519803240742</v>
      </c>
      <c r="W45" s="52" t="str">
        <f t="shared" si="4"/>
        <v>NW</v>
      </c>
      <c r="X45" s="52" t="str">
        <f t="shared" si="5"/>
        <v>KEEP</v>
      </c>
      <c r="Y45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{"issue":{"subject":"","project_id":79,"tracker_id":40,"status_id":1,"priority_id":2,"assigned_to_id":23,"start_date":"2016-09-26","description":"","custom_fields":[{"id":1,"name":"Subdivision","value":"NW"},{"id":4,"name":"Milepost","value":"0.0575"},{"id":17,"name":"Train ID","value":"802-26"},{"id":16,"name":"Locomotive ID","value":"4030"},{"id":130,"name":"Impact","value":""},{"id":150,"name":"Time of Event (Mountain Time)","value":"06:28:31"},{"id":151,"name":"Denver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1" t="str">
        <f t="shared" si="7"/>
        <v>grep -hSE -A100 "Enforcement Action" "%USERPROFILE%\AppData\Local\Temp\OnboardLogs"\RTDC4030\*4030*201609261* | grep -SE "((Enforcement Ac)|(PRM))" -</v>
      </c>
    </row>
    <row r="46" spans="1:29" x14ac:dyDescent="0.25">
      <c r="A46" s="38">
        <v>42639.270208333335</v>
      </c>
      <c r="B46" s="33" t="s">
        <v>278</v>
      </c>
      <c r="C46" s="33" t="s">
        <v>589</v>
      </c>
      <c r="D46" s="33" t="s">
        <v>49</v>
      </c>
      <c r="E46" s="33" t="s">
        <v>50</v>
      </c>
      <c r="F46" s="49">
        <v>0</v>
      </c>
      <c r="G46" s="49">
        <v>13</v>
      </c>
      <c r="H46" s="49">
        <v>635</v>
      </c>
      <c r="I46" s="49">
        <v>628</v>
      </c>
      <c r="J46" s="33" t="s">
        <v>51</v>
      </c>
      <c r="K46" s="49">
        <v>575</v>
      </c>
      <c r="L46" s="146" t="s">
        <v>53</v>
      </c>
      <c r="M46" s="149">
        <f t="shared" si="0"/>
        <v>27.984000000000002</v>
      </c>
      <c r="N46" s="88" t="str">
        <f>VLOOKUP(C46,'Trips&amp;Operators'!$C$1:$E$99999,3,FALSE)</f>
        <v>DAVIS</v>
      </c>
      <c r="O46" s="170" t="s">
        <v>86</v>
      </c>
      <c r="P46" s="10"/>
      <c r="Q46" s="33"/>
      <c r="R46" s="104" t="str">
        <f>VLOOKUP(C46,'Train Runs'!$A$13:$AE$10009,31,0)</f>
        <v>aws s3 cp s3://rtdc.mdm.uploadarchive/RTDC4030/2016-09-26/ "%USERPROFILE%\AppData\Local\Temp\OnboardLogs"\RTDC4030\2016-09-26 --recursive &amp; "%USERPROFILE%\Documents\GitHub\mrs-test-scripts\Headless Mode &amp; Sideloading\WalkAndUnGZ.bat" "%USERPROFILE%\AppData\Local\Temp\OnboardLogs"\RTDC4030\2016-09-26 &amp; 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</v>
      </c>
      <c r="S46" s="107" t="str">
        <f>VLOOKUP(C46,'Train Runs'!$A$13:$AE$10009,22,0)</f>
        <v>https://search-rtdc-monitor-bjffxe2xuh6vdkpspy63sjmuny.us-east-1.es.amazonaws.com/_plugin/kibana/#/discover/Steve-Slow-Train-Analysis-(2080s-and-2083s)?_g=(refreshInterval:(display:Off,section:0,value:0),time:(from:'2016-09-26 05:07:44-0600',mode:absolute,to:'2016-09-26 07:28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6" s="109" t="str">
        <f t="shared" si="1"/>
        <v>"C:\Program Files (x86)\AstroGrep\AstroGrep.exe" /spath="%USERPROFILE%\AppData\Local\Temp\OnboardLogs" /stypes="*4030*201609261*" /stext=" 12:.+((SYSTEM_STATE.+slice.+state.+changed )|(ment ac)|(system.+state.+changed )|(\|lc)|(penalty)|(\[timeout)|(PRM\|1\|D)|(kpr)|(kdp))" /e /r /s</v>
      </c>
      <c r="U46" s="9" t="str">
        <f t="shared" si="2"/>
        <v>4030</v>
      </c>
      <c r="V46" s="38">
        <f t="shared" si="3"/>
        <v>42639.520208333335</v>
      </c>
      <c r="W46" s="52" t="str">
        <f t="shared" si="4"/>
        <v>NW</v>
      </c>
      <c r="X46" s="52" t="str">
        <f t="shared" si="5"/>
        <v>KEEP</v>
      </c>
      <c r="Y46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{"issue":{"subject":"","project_id":79,"tracker_id":40,"status_id":1,"priority_id":2,"assigned_to_id":23,"start_date":"2016-09-26","description":"","custom_fields":[{"id":1,"name":"Subdivision","value":"NW"},{"id":4,"name":"Milepost","value":"0.0575"},{"id":17,"name":"Train ID","value":"802-26"},{"id":16,"name":"Locomotive ID","value":"4030"},{"id":130,"name":"Impact","value":""},{"id":150,"name":"Time of Event (Mountain Time)","value":"06:29:06"},{"id":151,"name":"Denver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1" t="str">
        <f t="shared" si="7"/>
        <v>grep -hSE -A100 "Enforcement Action" "%USERPROFILE%\AppData\Local\Temp\OnboardLogs"\RTDC4030\*4030*201609261* | grep -SE "((Enforcement Ac)|(PRM))" -</v>
      </c>
    </row>
    <row r="47" spans="1:29" x14ac:dyDescent="0.25">
      <c r="A47" s="38">
        <v>42639.309930555559</v>
      </c>
      <c r="B47" s="33" t="s">
        <v>278</v>
      </c>
      <c r="C47" s="33" t="s">
        <v>601</v>
      </c>
      <c r="D47" s="33" t="s">
        <v>49</v>
      </c>
      <c r="E47" s="33" t="s">
        <v>50</v>
      </c>
      <c r="F47" s="49">
        <v>0</v>
      </c>
      <c r="G47" s="49">
        <v>21</v>
      </c>
      <c r="H47" s="49">
        <v>636</v>
      </c>
      <c r="I47" s="49">
        <v>622</v>
      </c>
      <c r="J47" s="33" t="s">
        <v>51</v>
      </c>
      <c r="K47" s="49">
        <v>575</v>
      </c>
      <c r="L47" s="146" t="s">
        <v>53</v>
      </c>
      <c r="M47" s="149">
        <f t="shared" si="0"/>
        <v>24.815999999999999</v>
      </c>
      <c r="N47" s="88" t="str">
        <f>VLOOKUP(C47,'Trips&amp;Operators'!$C$1:$E$99999,3,FALSE)</f>
        <v>DAVIS</v>
      </c>
      <c r="O47" s="170" t="s">
        <v>86</v>
      </c>
      <c r="P47" s="10"/>
      <c r="Q47" s="33"/>
      <c r="R47" s="104" t="str">
        <f>VLOOKUP(C47,'Train Runs'!$A$13:$AE$10009,31,0)</f>
        <v>aws s3 cp s3://rtdc.mdm.uploadarchive/RTDC4030/2016-09-26/ "%USERPROFILE%\AppData\Local\Temp\OnboardLogs"\RTDC4030\2016-09-26 --recursive &amp; "%USERPROFILE%\Documents\GitHub\mrs-test-scripts\Headless Mode &amp; Sideloading\WalkAndUnGZ.bat" "%USERPROFILE%\AppData\Local\Temp\OnboardLogs"\RTDC4030\2016-09-26 &amp; 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</v>
      </c>
      <c r="S47" s="107" t="str">
        <f>VLOOKUP(C47,'Train Runs'!$A$13:$AE$10009,22,0)</f>
        <v>https://search-rtdc-monitor-bjffxe2xuh6vdkpspy63sjmuny.us-east-1.es.amazonaws.com/_plugin/kibana/#/discover/Steve-Slow-Train-Analysis-(2080s-and-2083s)?_g=(refreshInterval:(display:Off,section:0,value:0),time:(from:'2016-09-26 06:07:27-0600',mode:absolute,to:'2016-09-26 08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7" s="109" t="str">
        <f t="shared" si="1"/>
        <v>"C:\Program Files (x86)\AstroGrep\AstroGrep.exe" /spath="%USERPROFILE%\AppData\Local\Temp\OnboardLogs" /stypes="*4030*201609261*" /stext=" 13:.+((SYSTEM_STATE.+slice.+state.+changed )|(ment ac)|(system.+state.+changed )|(\|lc)|(penalty)|(\[timeout)|(PRM\|1\|D)|(kpr)|(kdp))" /e /r /s</v>
      </c>
      <c r="U47" s="9" t="str">
        <f t="shared" si="2"/>
        <v>4030</v>
      </c>
      <c r="V47" s="38">
        <f t="shared" si="3"/>
        <v>42639.559930555559</v>
      </c>
      <c r="W47" s="52" t="str">
        <f t="shared" si="4"/>
        <v>NW</v>
      </c>
      <c r="X47" s="52" t="str">
        <f t="shared" si="5"/>
        <v>KEEP</v>
      </c>
      <c r="Y47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{"issue":{"subject":"","project_id":79,"tracker_id":40,"status_id":1,"priority_id":2,"assigned_to_id":23,"start_date":"2016-09-26","description":"","custom_fields":[{"id":1,"name":"Subdivision","value":"NW"},{"id":4,"name":"Milepost","value":"0.0575"},{"id":17,"name":"Train ID","value":"806-26"},{"id":16,"name":"Locomotive ID","value":"4030"},{"id":130,"name":"Impact","value":""},{"id":150,"name":"Time of Event (Mountain Time)","value":"07:26:18"},{"id":151,"name":"Denver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1" t="str">
        <f t="shared" si="7"/>
        <v>grep -hSE -A100 "Enforcement Action" "%USERPROFILE%\AppData\Local\Temp\OnboardLogs"\RTDC4030\*4030*201609261* | grep -SE "((Enforcement Ac)|(PRM))" -</v>
      </c>
    </row>
    <row r="48" spans="1:29" x14ac:dyDescent="0.25">
      <c r="A48" s="38">
        <v>42639.3516087963</v>
      </c>
      <c r="B48" s="33" t="s">
        <v>278</v>
      </c>
      <c r="C48" s="33" t="s">
        <v>613</v>
      </c>
      <c r="D48" s="33" t="s">
        <v>49</v>
      </c>
      <c r="E48" s="33" t="s">
        <v>50</v>
      </c>
      <c r="F48" s="49">
        <v>0</v>
      </c>
      <c r="G48" s="49">
        <v>62</v>
      </c>
      <c r="H48" s="49">
        <v>825</v>
      </c>
      <c r="I48" s="49">
        <v>778</v>
      </c>
      <c r="J48" s="33" t="s">
        <v>51</v>
      </c>
      <c r="K48" s="49">
        <v>575</v>
      </c>
      <c r="L48" s="146" t="s">
        <v>53</v>
      </c>
      <c r="M48" s="149">
        <f t="shared" si="0"/>
        <v>107.184</v>
      </c>
      <c r="N48" s="88" t="str">
        <f>VLOOKUP(C48,'Trips&amp;Operators'!$C$1:$E$99999,3,FALSE)</f>
        <v>DAVIS</v>
      </c>
      <c r="O48" s="170" t="s">
        <v>86</v>
      </c>
      <c r="P48" s="10"/>
      <c r="Q48" s="33"/>
      <c r="R48" s="104" t="str">
        <f>VLOOKUP(C48,'Train Runs'!$A$13:$AE$10009,31,0)</f>
        <v>aws s3 cp s3://rtdc.mdm.uploadarchive/RTDC4030/2016-09-26/ "%USERPROFILE%\AppData\Local\Temp\OnboardLogs"\RTDC4030\2016-09-26 --recursive &amp; "%USERPROFILE%\Documents\GitHub\mrs-test-scripts\Headless Mode &amp; Sideloading\WalkAndUnGZ.bat" "%USERPROFILE%\AppData\Local\Temp\OnboardLogs"\RTDC4030\2016-09-26 &amp; 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</v>
      </c>
      <c r="S48" s="107" t="str">
        <f>VLOOKUP(C48,'Train Runs'!$A$13:$AE$10009,22,0)</f>
        <v>https://search-rtdc-monitor-bjffxe2xuh6vdkpspy63sjmuny.us-east-1.es.amazonaws.com/_plugin/kibana/#/discover/Steve-Slow-Train-Analysis-(2080s-and-2083s)?_g=(refreshInterval:(display:Off,section:0,value:0),time:(from:'2016-09-26 07:08:43-0600',mode:absolute,to:'2016-09-26 09:26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8" s="109" t="str">
        <f t="shared" si="1"/>
        <v>"C:\Program Files (x86)\AstroGrep\AstroGrep.exe" /spath="%USERPROFILE%\AppData\Local\Temp\OnboardLogs" /stypes="*4030*201609261*" /stext=" 14:.+((SYSTEM_STATE.+slice.+state.+changed )|(ment ac)|(system.+state.+changed )|(\|lc)|(penalty)|(\[timeout)|(PRM\|1\|D)|(kpr)|(kdp))" /e /r /s</v>
      </c>
      <c r="U48" s="9" t="str">
        <f t="shared" si="2"/>
        <v>4030</v>
      </c>
      <c r="V48" s="38">
        <f t="shared" si="3"/>
        <v>42639.6016087963</v>
      </c>
      <c r="W48" s="52" t="str">
        <f t="shared" si="4"/>
        <v>NW</v>
      </c>
      <c r="X48" s="52" t="str">
        <f t="shared" si="5"/>
        <v>KEEP</v>
      </c>
      <c r="Y48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{"issue":{"subject":"","project_id":79,"tracker_id":40,"status_id":1,"priority_id":2,"assigned_to_id":23,"start_date":"2016-09-26","description":"","custom_fields":[{"id":1,"name":"Subdivision","value":"NW"},{"id":4,"name":"Milepost","value":"0.0575"},{"id":17,"name":"Train ID","value":"810-26"},{"id":16,"name":"Locomotive ID","value":"4030"},{"id":130,"name":"Impact","value":""},{"id":150,"name":"Time of Event (Mountain Time)","value":"08:26:19"},{"id":151,"name":"Denver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1" t="str">
        <f t="shared" si="7"/>
        <v>grep -hSE -A100 "Enforcement Action" "%USERPROFILE%\AppData\Local\Temp\OnboardLogs"\RTDC4030\*4030*201609261* | grep -SE "((Enforcement Ac)|(PRM))" -</v>
      </c>
    </row>
    <row r="49" spans="1:29" x14ac:dyDescent="0.25">
      <c r="A49" s="38">
        <v>42639.684502314813</v>
      </c>
      <c r="B49" s="33" t="s">
        <v>278</v>
      </c>
      <c r="C49" s="33" t="s">
        <v>664</v>
      </c>
      <c r="D49" s="33" t="s">
        <v>49</v>
      </c>
      <c r="E49" s="33" t="s">
        <v>50</v>
      </c>
      <c r="F49" s="49">
        <v>0</v>
      </c>
      <c r="G49" s="49">
        <v>59</v>
      </c>
      <c r="H49" s="49">
        <v>771</v>
      </c>
      <c r="I49" s="49">
        <v>712</v>
      </c>
      <c r="J49" s="33" t="s">
        <v>51</v>
      </c>
      <c r="K49" s="49">
        <v>575</v>
      </c>
      <c r="L49" s="146" t="s">
        <v>53</v>
      </c>
      <c r="M49" s="149">
        <f t="shared" si="0"/>
        <v>72.335999999999999</v>
      </c>
      <c r="N49" s="88" t="str">
        <f>VLOOKUP(C49,'Trips&amp;Operators'!$C$1:$E$99999,3,FALSE)</f>
        <v>COOLAHAN</v>
      </c>
      <c r="O49" s="170" t="s">
        <v>86</v>
      </c>
      <c r="P49" s="10"/>
      <c r="Q49" s="33"/>
      <c r="R49" s="104" t="str">
        <f>VLOOKUP(C49,'Train Runs'!$A$13:$AE$10009,31,0)</f>
        <v>aws s3 cp s3://rtdc.mdm.uploadarchive/RTDC4030/2016-09-26/ "%USERPROFILE%\AppData\Local\Temp\OnboardLogs"\RTDC4030\2016-09-26 --recursive &amp; "%USERPROFILE%\Documents\GitHub\mrs-test-scripts\Headless Mode &amp; Sideloading\WalkAndUnGZ.bat" "%USERPROFILE%\AppData\Local\Temp\OnboardLogs"\RTDC4030\2016-09-26 &amp; 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</v>
      </c>
      <c r="S49" s="107" t="str">
        <f>VLOOKUP(C49,'Train Runs'!$A$13:$AE$10009,22,0)</f>
        <v>https://search-rtdc-monitor-bjffxe2xuh6vdkpspy63sjmuny.us-east-1.es.amazonaws.com/_plugin/kibana/#/discover/Steve-Slow-Train-Analysis-(2080s-and-2083s)?_g=(refreshInterval:(display:Off,section:0,value:0),time:(from:'2016-09-26 15:07:06-0600',mode:absolute,to:'2016-09-26 17:25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9" s="109" t="str">
        <f t="shared" si="1"/>
        <v>"C:\Program Files (x86)\AstroGrep\AstroGrep.exe" /spath="%USERPROFILE%\AppData\Local\Temp\OnboardLogs" /stypes="*4030*201609262*" /stext=" 22:.+((SYSTEM_STATE.+slice.+state.+changed )|(ment ac)|(system.+state.+changed )|(\|lc)|(penalty)|(\[timeout)|(PRM\|1\|D)|(kpr)|(kdp))" /e /r /s</v>
      </c>
      <c r="U49" s="9" t="str">
        <f t="shared" si="2"/>
        <v>4030</v>
      </c>
      <c r="V49" s="38">
        <f t="shared" si="3"/>
        <v>42639.934502314813</v>
      </c>
      <c r="W49" s="52" t="str">
        <f t="shared" si="4"/>
        <v>NW</v>
      </c>
      <c r="X49" s="52" t="str">
        <f t="shared" si="5"/>
        <v>KEEP</v>
      </c>
      <c r="Y49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{"issue":{"subject":"","project_id":79,"tracker_id":40,"status_id":1,"priority_id":2,"assigned_to_id":23,"start_date":"2016-09-26","description":"","custom_fields":[{"id":1,"name":"Subdivision","value":"NW"},{"id":4,"name":"Milepost","value":"0.0575"},{"id":17,"name":"Train ID","value":"828-26"},{"id":16,"name":"Locomotive ID","value":"4030"},{"id":130,"name":"Impact","value":""},{"id":150,"name":"Time of Event (Mountain Time)","value":"16:25:41"},{"id":151,"name":"Denver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1" t="str">
        <f t="shared" si="7"/>
        <v>grep -hSE -A100 "Enforcement Action" "%USERPROFILE%\AppData\Local\Temp\OnboardLogs"\RTDC4030\*4030*201609262* | grep -SE "((Enforcement Ac)|(PRM))" -</v>
      </c>
    </row>
    <row r="50" spans="1:29" x14ac:dyDescent="0.25">
      <c r="A50" s="38">
        <v>42639.254293981481</v>
      </c>
      <c r="B50" s="33" t="s">
        <v>275</v>
      </c>
      <c r="C50" s="33" t="s">
        <v>586</v>
      </c>
      <c r="D50" s="33" t="s">
        <v>105</v>
      </c>
      <c r="E50" s="33" t="s">
        <v>50</v>
      </c>
      <c r="F50" s="49">
        <v>0</v>
      </c>
      <c r="G50" s="49">
        <v>6</v>
      </c>
      <c r="H50" s="49">
        <v>59048</v>
      </c>
      <c r="I50" s="49">
        <v>0</v>
      </c>
      <c r="J50" s="33" t="s">
        <v>51</v>
      </c>
      <c r="K50" s="49">
        <v>59048</v>
      </c>
      <c r="L50" s="146" t="s">
        <v>52</v>
      </c>
      <c r="M50" s="149">
        <f t="shared" si="0"/>
        <v>31177.344000000001</v>
      </c>
      <c r="N50" s="88" t="str">
        <f>VLOOKUP(C50,'Trips&amp;Operators'!$C$1:$E$99999,3,FALSE)</f>
        <v>DAVIS</v>
      </c>
      <c r="O50" s="170" t="s">
        <v>86</v>
      </c>
      <c r="P50" s="10"/>
      <c r="Q50" s="33"/>
      <c r="R50" s="104" t="str">
        <f>VLOOKUP(C50,'Train Runs'!$A$13:$AE$10009,31,0)</f>
        <v>aws s3 cp s3://rtdc.mdm.uploadarchive/RTDC4029/2016-09-26/ "%USERPROFILE%\AppData\Local\Temp\OnboardLogs"\RTDC4029\2016-09-26 --recursive &amp; "%USERPROFILE%\Documents\GitHub\mrs-test-scripts\Headless Mode &amp; Sideloading\WalkAndUnGZ.bat" "%USERPROFILE%\AppData\Local\Temp\OnboardLogs"\RTDC4029\2016-09-26 &amp; 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</v>
      </c>
      <c r="S50" s="107" t="str">
        <f>VLOOKUP(C50,'Train Runs'!$A$13:$AE$10009,22,0)</f>
        <v>https://search-rtdc-monitor-bjffxe2xuh6vdkpspy63sjmuny.us-east-1.es.amazonaws.com/_plugin/kibana/#/discover/Steve-Slow-Train-Analysis-(2080s-and-2083s)?_g=(refreshInterval:(display:Off,section:0,value:0),time:(from:'2016-09-26 04:40:23-0600',mode:absolute,to:'2016-09-26 07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0" s="109" t="str">
        <f t="shared" si="1"/>
        <v>"C:\Program Files (x86)\AstroGrep\AstroGrep.exe" /spath="%USERPROFILE%\AppData\Local\Temp\OnboardLogs" /stypes="*4029*201609261*" /stext=" 12:.+((SYSTEM_STATE.+slice.+state.+changed )|(ment ac)|(system.+state.+changed )|(\|lc)|(penalty)|(\[timeout)|(PRM\|1\|D)|(kpr)|(kdp))" /e /r /s</v>
      </c>
      <c r="U50" s="9" t="str">
        <f t="shared" si="2"/>
        <v>4029</v>
      </c>
      <c r="V50" s="38">
        <f t="shared" si="3"/>
        <v>42639.504293981481</v>
      </c>
      <c r="W50" s="52" t="str">
        <f t="shared" si="4"/>
        <v>NW</v>
      </c>
      <c r="X50" s="52" t="str">
        <f t="shared" si="5"/>
        <v>OMIT</v>
      </c>
      <c r="Y50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{"issue":{"subject":"","project_id":79,"tracker_id":40,"status_id":1,"priority_id":2,"assigned_to_id":23,"start_date":"2016-09-26","description":"","custom_fields":[{"id":1,"name":"Subdivision","value":"NW"},{"id":4,"name":"Milepost","value":"5.9048"},{"id":17,"name":"Train ID","value":"801-26"},{"id":16,"name":"Locomotive ID","value":"4029"},{"id":130,"name":"Impact","value":""},{"id":150,"name":"Time of Event (Mountain Time)","value":"06:06:11"},{"id":151,"name":"Denver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1" t="str">
        <f t="shared" si="7"/>
        <v>grep -hSE -A100 "Enforcement Action" "%USERPROFILE%\AppData\Local\Temp\OnboardLogs"\RTDC4029\*4029*201609261* | grep -SE "((Enforcement Ac)|(PRM))" -</v>
      </c>
    </row>
    <row r="51" spans="1:29" x14ac:dyDescent="0.25">
      <c r="A51" s="38">
        <v>42639.29587962963</v>
      </c>
      <c r="B51" s="33" t="s">
        <v>275</v>
      </c>
      <c r="C51" s="33" t="s">
        <v>598</v>
      </c>
      <c r="D51" s="33" t="s">
        <v>105</v>
      </c>
      <c r="E51" s="33" t="s">
        <v>50</v>
      </c>
      <c r="F51" s="49">
        <v>0</v>
      </c>
      <c r="G51" s="49">
        <v>6</v>
      </c>
      <c r="H51" s="49">
        <v>59048</v>
      </c>
      <c r="I51" s="49">
        <v>0</v>
      </c>
      <c r="J51" s="33" t="s">
        <v>51</v>
      </c>
      <c r="K51" s="49">
        <v>59048</v>
      </c>
      <c r="L51" s="146" t="s">
        <v>52</v>
      </c>
      <c r="M51" s="149">
        <f t="shared" si="0"/>
        <v>31177.344000000001</v>
      </c>
      <c r="N51" s="88" t="str">
        <f>VLOOKUP(C51,'Trips&amp;Operators'!$C$1:$E$99999,3,FALSE)</f>
        <v>DAVIS</v>
      </c>
      <c r="O51" s="170" t="s">
        <v>86</v>
      </c>
      <c r="P51" s="10"/>
      <c r="Q51" s="33"/>
      <c r="R51" s="104" t="str">
        <f>VLOOKUP(C51,'Train Runs'!$A$13:$AE$10009,31,0)</f>
        <v>aws s3 cp s3://rtdc.mdm.uploadarchive/RTDC4029/2016-09-26/ "%USERPROFILE%\AppData\Local\Temp\OnboardLogs"\RTDC4029\2016-09-26 --recursive &amp; "%USERPROFILE%\Documents\GitHub\mrs-test-scripts\Headless Mode &amp; Sideloading\WalkAndUnGZ.bat" "%USERPROFILE%\AppData\Local\Temp\OnboardLogs"\RTDC4029\2016-09-26 &amp; 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</v>
      </c>
      <c r="S51" s="107" t="str">
        <f>VLOOKUP(C51,'Train Runs'!$A$13:$AE$10009,22,0)</f>
        <v>https://search-rtdc-monitor-bjffxe2xuh6vdkpspy63sjmuny.us-east-1.es.amazonaws.com/_plugin/kibana/#/discover/Steve-Slow-Train-Analysis-(2080s-and-2083s)?_g=(refreshInterval:(display:Off,section:0,value:0),time:(from:'2016-09-26 05:45:49-0600',mode:absolute,to:'2016-09-26 08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1" s="109" t="str">
        <f t="shared" si="1"/>
        <v>"C:\Program Files (x86)\AstroGrep\AstroGrep.exe" /spath="%USERPROFILE%\AppData\Local\Temp\OnboardLogs" /stypes="*4029*201609261*" /stext=" 13:.+((SYSTEM_STATE.+slice.+state.+changed )|(ment ac)|(system.+state.+changed )|(\|lc)|(penalty)|(\[timeout)|(PRM\|1\|D)|(kpr)|(kdp))" /e /r /s</v>
      </c>
      <c r="U51" s="9" t="str">
        <f t="shared" si="2"/>
        <v>4029</v>
      </c>
      <c r="V51" s="38">
        <f t="shared" si="3"/>
        <v>42639.54587962963</v>
      </c>
      <c r="W51" s="52" t="str">
        <f t="shared" si="4"/>
        <v>NW</v>
      </c>
      <c r="X51" s="52" t="str">
        <f t="shared" si="5"/>
        <v>OMIT</v>
      </c>
      <c r="Y51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{"issue":{"subject":"","project_id":79,"tracker_id":40,"status_id":1,"priority_id":2,"assigned_to_id":23,"start_date":"2016-09-26","description":"","custom_fields":[{"id":1,"name":"Subdivision","value":"NW"},{"id":4,"name":"Milepost","value":"5.9048"},{"id":17,"name":"Train ID","value":"805-26"},{"id":16,"name":"Locomotive ID","value":"4029"},{"id":130,"name":"Impact","value":""},{"id":150,"name":"Time of Event (Mountain Time)","value":"07:06:04"},{"id":151,"name":"Denver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  <c r="AC51" s="171" t="str">
        <f t="shared" si="7"/>
        <v>grep -hSE -A100 "Enforcement Action" "%USERPROFILE%\AppData\Local\Temp\OnboardLogs"\RTDC4029\*4029*201609261* | grep -SE "((Enforcement Ac)|(PRM))" -</v>
      </c>
    </row>
    <row r="52" spans="1:29" x14ac:dyDescent="0.25">
      <c r="A52" s="38">
        <v>42639.338518518518</v>
      </c>
      <c r="B52" s="33" t="s">
        <v>275</v>
      </c>
      <c r="C52" s="33" t="s">
        <v>610</v>
      </c>
      <c r="D52" s="33" t="s">
        <v>105</v>
      </c>
      <c r="E52" s="33" t="s">
        <v>50</v>
      </c>
      <c r="F52" s="49">
        <v>0</v>
      </c>
      <c r="G52" s="49">
        <v>6</v>
      </c>
      <c r="H52" s="49">
        <v>59048</v>
      </c>
      <c r="I52" s="49">
        <v>0</v>
      </c>
      <c r="J52" s="33" t="s">
        <v>51</v>
      </c>
      <c r="K52" s="49">
        <v>59048</v>
      </c>
      <c r="L52" s="146" t="s">
        <v>52</v>
      </c>
      <c r="M52" s="149">
        <f t="shared" si="0"/>
        <v>31177.344000000001</v>
      </c>
      <c r="N52" s="88" t="str">
        <f>VLOOKUP(C52,'Trips&amp;Operators'!$C$1:$E$99999,3,FALSE)</f>
        <v>DAVIS</v>
      </c>
      <c r="O52" s="170" t="s">
        <v>86</v>
      </c>
      <c r="P52" s="10"/>
      <c r="Q52" s="33"/>
      <c r="R52" s="104" t="str">
        <f>VLOOKUP(C52,'Train Runs'!$A$13:$AE$10009,31,0)</f>
        <v>aws s3 cp s3://rtdc.mdm.uploadarchive/RTDC4029/2016-09-26/ "%USERPROFILE%\AppData\Local\Temp\OnboardLogs"\RTDC4029\2016-09-26 --recursive &amp; "%USERPROFILE%\Documents\GitHub\mrs-test-scripts\Headless Mode &amp; Sideloading\WalkAndUnGZ.bat" "%USERPROFILE%\AppData\Local\Temp\OnboardLogs"\RTDC4029\2016-09-26 &amp; 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</v>
      </c>
      <c r="S52" s="107" t="str">
        <f>VLOOKUP(C52,'Train Runs'!$A$13:$AE$10009,22,0)</f>
        <v>https://search-rtdc-monitor-bjffxe2xuh6vdkpspy63sjmuny.us-east-1.es.amazonaws.com/_plugin/kibana/#/discover/Steve-Slow-Train-Analysis-(2080s-and-2083s)?_g=(refreshInterval:(display:Off,section:0,value:0),time:(from:'2016-09-26 06:43:08-0600',mode:absolute,to:'2016-09-26 09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2" s="109" t="str">
        <f t="shared" si="1"/>
        <v>"C:\Program Files (x86)\AstroGrep\AstroGrep.exe" /spath="%USERPROFILE%\AppData\Local\Temp\OnboardLogs" /stypes="*4029*201609261*" /stext=" 14:.+((SYSTEM_STATE.+slice.+state.+changed )|(ment ac)|(system.+state.+changed )|(\|lc)|(penalty)|(\[timeout)|(PRM\|1\|D)|(kpr)|(kdp))" /e /r /s</v>
      </c>
      <c r="U52" s="9" t="str">
        <f t="shared" si="2"/>
        <v>4029</v>
      </c>
      <c r="V52" s="38">
        <f t="shared" si="3"/>
        <v>42639.588518518518</v>
      </c>
      <c r="W52" s="52" t="str">
        <f t="shared" si="4"/>
        <v>NW</v>
      </c>
      <c r="X52" s="52" t="str">
        <f t="shared" si="5"/>
        <v>OMIT</v>
      </c>
      <c r="Y52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{"issue":{"subject":"","project_id":79,"tracker_id":40,"status_id":1,"priority_id":2,"assigned_to_id":23,"start_date":"2016-09-26","description":"","custom_fields":[{"id":1,"name":"Subdivision","value":"NW"},{"id":4,"name":"Milepost","value":"5.9048"},{"id":17,"name":"Train ID","value":"809-26"},{"id":16,"name":"Locomotive ID","value":"4029"},{"id":130,"name":"Impact","value":""},{"id":150,"name":"Time of Event (Mountain Time)","value":"08:07:28"},{"id":151,"name":"Denver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  <c r="AC52" s="171" t="str">
        <f t="shared" si="7"/>
        <v>grep -hSE -A100 "Enforcement Action" "%USERPROFILE%\AppData\Local\Temp\OnboardLogs"\RTDC4029\*4029*201609261* | grep -SE "((Enforcement Ac)|(PRM))" -</v>
      </c>
    </row>
    <row r="53" spans="1:29" x14ac:dyDescent="0.25">
      <c r="A53" s="38">
        <v>42639.607881944445</v>
      </c>
      <c r="B53" s="33" t="s">
        <v>237</v>
      </c>
      <c r="C53" s="33" t="s">
        <v>650</v>
      </c>
      <c r="D53" s="33" t="s">
        <v>49</v>
      </c>
      <c r="E53" s="33" t="s">
        <v>50</v>
      </c>
      <c r="F53" s="49">
        <v>0</v>
      </c>
      <c r="G53" s="49">
        <v>40</v>
      </c>
      <c r="H53" s="49">
        <v>58958</v>
      </c>
      <c r="I53" s="49">
        <v>58988</v>
      </c>
      <c r="J53" s="33" t="s">
        <v>51</v>
      </c>
      <c r="K53" s="49">
        <v>59048</v>
      </c>
      <c r="L53" s="146" t="s">
        <v>52</v>
      </c>
      <c r="M53" s="149">
        <f t="shared" si="0"/>
        <v>31.68</v>
      </c>
      <c r="N53" s="88" t="str">
        <f>VLOOKUP(C53,'Trips&amp;Operators'!$C$1:$E$99999,3,FALSE)</f>
        <v>BRUDER</v>
      </c>
      <c r="O53" s="170" t="s">
        <v>86</v>
      </c>
      <c r="P53" s="10"/>
      <c r="Q53" s="33"/>
      <c r="R53" s="104" t="str">
        <f>VLOOKUP(C53,'Train Runs'!$A$13:$AE$10009,31,0)</f>
        <v>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 &amp; 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</v>
      </c>
      <c r="S53" s="107" t="str">
        <f>VLOOKUP(C53,'Train Runs'!$A$13:$AE$10009,22,0)</f>
        <v>https://search-rtdc-monitor-bjffxe2xuh6vdkpspy63sjmuny.us-east-1.es.amazonaws.com/_plugin/kibana/#/discover/Steve-Slow-Train-Analysis-(2080s-and-2083s)?_g=(refreshInterval:(display:Off,section:0,value:0),time:(from:'2016-09-26 13:14:47-0600',mode:absolute,to:'2016-09-26 15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53" s="109" t="str">
        <f t="shared" si="1"/>
        <v>"C:\Program Files (x86)\AstroGrep\AstroGrep.exe" /spath="%USERPROFILE%\AppData\Local\Temp\OnboardLogs" /stypes="*4044*201609262*" /stext=" 20:.+((SYSTEM_STATE.+slice.+state.+changed )|(ment ac)|(system.+state.+changed )|(\|lc)|(penalty)|(\[timeout)|(PRM\|1\|D)|(kpr)|(kdp))" /e /r /s</v>
      </c>
      <c r="U53" s="9" t="str">
        <f t="shared" si="2"/>
        <v>4044</v>
      </c>
      <c r="V53" s="38">
        <f t="shared" si="3"/>
        <v>42639.857881944445</v>
      </c>
      <c r="W53" s="52" t="str">
        <f t="shared" si="4"/>
        <v>NW</v>
      </c>
      <c r="X53" s="52" t="str">
        <f t="shared" si="5"/>
        <v>KEEP</v>
      </c>
      <c r="Y53" s="130" t="str">
        <f t="shared" si="6"/>
        <v>echo {"issue":{"subject":"","project_id":79,"tracker_id":40,"status_id":1,"priority_id":2,"assigned_to_id":23,"start_date":"2016-09-26","description":"","custom_fields":[{"id":1,"name":"Subdivision","value":"NW"},{"id":4,"name":"Milepost","value":"5.9048"},{"id":17,"name":"Train ID","value":"823-26"},{"id":16,"name":"Locomotive ID","value":"4044"},{"id":130,"name":"Impact","value":""},{"id":150,"name":"Time of Event (Mountain Time)","value":"14:35:21"},{"id":151,"name":"Denver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  <c r="AC53" s="171" t="str">
        <f t="shared" si="7"/>
        <v>grep -hSE -A100 "Enforcement Action" "%USERPROFILE%\AppData\Local\Temp\OnboardLogs"\RTDC4044\*4044*201609262* | grep -SE "((Enforcement Ac)|(PRM))" -</v>
      </c>
    </row>
    <row r="54" spans="1:29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46"/>
      <c r="M54" s="149"/>
      <c r="N54" s="88"/>
      <c r="O54" s="170"/>
      <c r="P54" s="10"/>
      <c r="Q54" s="33"/>
      <c r="R54" s="104"/>
      <c r="S54" s="107"/>
      <c r="T54" s="109"/>
      <c r="U54" s="9"/>
      <c r="V54" s="38"/>
      <c r="W54" s="52"/>
      <c r="X54" s="52"/>
      <c r="Y54" s="130"/>
      <c r="Z54" s="55"/>
      <c r="AA54" s="55"/>
      <c r="AB54" s="23"/>
    </row>
    <row r="55" spans="1:29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46"/>
      <c r="M55" s="149"/>
      <c r="N55" s="88"/>
      <c r="O55" s="170"/>
      <c r="P55" s="10"/>
      <c r="Q55" s="33"/>
      <c r="R55" s="104"/>
      <c r="S55" s="107"/>
      <c r="T55" s="109"/>
      <c r="U55" s="9"/>
      <c r="V55" s="38"/>
      <c r="W55" s="52"/>
      <c r="X55" s="52"/>
      <c r="Y55" s="130"/>
      <c r="Z55" s="55"/>
      <c r="AA55" s="55"/>
      <c r="AB55" s="23"/>
    </row>
    <row r="56" spans="1:29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46"/>
      <c r="M56" s="149"/>
      <c r="N56" s="88"/>
      <c r="O56" s="170"/>
      <c r="P56" s="10"/>
      <c r="Q56" s="33"/>
      <c r="R56" s="104"/>
      <c r="S56" s="107"/>
      <c r="T56" s="109"/>
      <c r="U56" s="9"/>
      <c r="V56" s="38"/>
      <c r="W56" s="52"/>
      <c r="X56" s="52"/>
      <c r="Y56" s="130"/>
      <c r="Z56" s="55"/>
      <c r="AA56" s="55"/>
      <c r="AB56" s="23"/>
    </row>
    <row r="57" spans="1:29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46"/>
      <c r="M57" s="149"/>
      <c r="N57" s="88"/>
      <c r="O57" s="170"/>
      <c r="P57" s="10"/>
      <c r="Q57" s="33"/>
      <c r="R57" s="104"/>
      <c r="S57" s="107"/>
      <c r="T57" s="109"/>
      <c r="U57" s="9"/>
      <c r="V57" s="38"/>
      <c r="W57" s="52"/>
      <c r="X57" s="52"/>
      <c r="Y57" s="130"/>
      <c r="Z57" s="55"/>
      <c r="AA57" s="55"/>
      <c r="AB57" s="23"/>
    </row>
    <row r="58" spans="1:29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46"/>
      <c r="M58" s="149"/>
      <c r="N58" s="88"/>
      <c r="O58" s="170"/>
      <c r="P58" s="10"/>
      <c r="Q58" s="33"/>
      <c r="R58" s="104"/>
      <c r="S58" s="107"/>
      <c r="T58" s="109"/>
      <c r="U58" s="9"/>
      <c r="V58" s="38"/>
      <c r="W58" s="52"/>
      <c r="X58" s="52"/>
      <c r="Y58" s="130"/>
      <c r="Z58" s="55"/>
      <c r="AA58" s="55"/>
      <c r="AB58" s="23"/>
    </row>
    <row r="59" spans="1:29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46"/>
      <c r="M59" s="149"/>
      <c r="N59" s="88"/>
      <c r="O59" s="170"/>
      <c r="P59" s="10"/>
      <c r="Q59" s="33"/>
      <c r="R59" s="104"/>
      <c r="S59" s="107"/>
      <c r="T59" s="109"/>
      <c r="U59" s="9"/>
      <c r="V59" s="38"/>
      <c r="W59" s="52"/>
      <c r="X59" s="52"/>
      <c r="Y59" s="130"/>
      <c r="Z59" s="55"/>
      <c r="AA59" s="55"/>
      <c r="AB59" s="23"/>
    </row>
    <row r="60" spans="1:29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46"/>
      <c r="M60" s="149"/>
      <c r="N60" s="88"/>
      <c r="O60" s="170"/>
      <c r="P60" s="10"/>
      <c r="Q60" s="33"/>
      <c r="R60" s="104"/>
      <c r="S60" s="107"/>
      <c r="T60" s="109"/>
      <c r="U60" s="9"/>
      <c r="V60" s="38"/>
      <c r="W60" s="52"/>
      <c r="X60" s="52"/>
      <c r="Y60" s="130"/>
      <c r="Z60" s="55"/>
      <c r="AA60" s="55"/>
      <c r="AB60" s="23"/>
    </row>
    <row r="61" spans="1:29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46"/>
      <c r="M61" s="149"/>
      <c r="N61" s="88"/>
      <c r="O61" s="170"/>
      <c r="P61" s="10"/>
      <c r="Q61" s="33"/>
      <c r="R61" s="104"/>
      <c r="S61" s="107"/>
      <c r="T61" s="109"/>
      <c r="U61" s="9"/>
      <c r="V61" s="38"/>
      <c r="W61" s="52"/>
      <c r="X61" s="52"/>
      <c r="Y61" s="130"/>
      <c r="Z61" s="55"/>
      <c r="AA61" s="55"/>
      <c r="AB61" s="23"/>
    </row>
    <row r="62" spans="1:29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46"/>
      <c r="M62" s="149"/>
      <c r="N62" s="88"/>
      <c r="O62" s="170"/>
      <c r="P62" s="10"/>
      <c r="Q62" s="33"/>
      <c r="R62" s="104"/>
      <c r="S62" s="107"/>
      <c r="T62" s="109"/>
      <c r="U62" s="9"/>
      <c r="V62" s="38"/>
      <c r="W62" s="52"/>
      <c r="X62" s="52"/>
      <c r="Y62" s="130"/>
      <c r="Z62" s="55"/>
      <c r="AA62" s="55"/>
      <c r="AB62" s="23"/>
    </row>
    <row r="63" spans="1:29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6"/>
      <c r="M63" s="149"/>
      <c r="N63" s="88"/>
      <c r="O63" s="170"/>
      <c r="P63" s="10"/>
      <c r="Q63" s="33"/>
      <c r="R63" s="104"/>
      <c r="S63" s="107"/>
      <c r="T63" s="109"/>
      <c r="U63" s="9"/>
      <c r="V63" s="38"/>
      <c r="W63" s="52"/>
      <c r="X63" s="52"/>
      <c r="Y63" s="130"/>
      <c r="Z63" s="55"/>
      <c r="AA63" s="55"/>
      <c r="AB63" s="23"/>
    </row>
    <row r="64" spans="1:29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6"/>
      <c r="M64" s="149"/>
      <c r="N64" s="88"/>
      <c r="O64" s="170"/>
      <c r="P64" s="10"/>
      <c r="Q64" s="33"/>
      <c r="R64" s="104"/>
      <c r="S64" s="107"/>
      <c r="T64" s="109"/>
      <c r="U64" s="9"/>
      <c r="V64" s="38"/>
      <c r="W64" s="52"/>
      <c r="X64" s="52"/>
      <c r="Y64" s="130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6"/>
      <c r="M65" s="149"/>
      <c r="N65" s="88"/>
      <c r="O65" s="170"/>
      <c r="P65" s="10"/>
      <c r="Q65" s="33"/>
      <c r="R65" s="104"/>
      <c r="S65" s="107"/>
      <c r="T65" s="109"/>
      <c r="U65" s="9"/>
      <c r="V65" s="38"/>
      <c r="W65" s="52"/>
      <c r="X65" s="52"/>
      <c r="Y65" s="130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6"/>
      <c r="M66" s="149"/>
      <c r="N66" s="88"/>
      <c r="O66" s="170"/>
      <c r="P66" s="10"/>
      <c r="Q66" s="33"/>
      <c r="R66" s="104"/>
      <c r="S66" s="107"/>
      <c r="T66" s="109"/>
      <c r="U66" s="9"/>
      <c r="V66" s="38"/>
      <c r="W66" s="52"/>
      <c r="X66" s="52"/>
      <c r="Y66" s="130"/>
      <c r="Z66" s="55"/>
      <c r="AA66" s="55"/>
      <c r="AB66" s="23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46"/>
      <c r="M67" s="149"/>
      <c r="N67" s="88"/>
      <c r="O67" s="170"/>
      <c r="P67" s="10"/>
      <c r="Q67" s="33"/>
      <c r="R67" s="104"/>
      <c r="S67" s="107"/>
      <c r="T67" s="109"/>
      <c r="U67" s="9"/>
      <c r="V67" s="38"/>
      <c r="W67" s="52"/>
      <c r="X67" s="52"/>
      <c r="Y67" s="130"/>
      <c r="Z67" s="55"/>
      <c r="AA67" s="55"/>
      <c r="AB67" s="23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46"/>
      <c r="M68" s="149"/>
      <c r="N68" s="88"/>
      <c r="O68" s="170"/>
      <c r="P68" s="10"/>
      <c r="Q68" s="33"/>
      <c r="R68" s="104"/>
      <c r="S68" s="107"/>
      <c r="T68" s="109"/>
      <c r="U68" s="9"/>
      <c r="V68" s="38"/>
      <c r="W68" s="52"/>
      <c r="X68" s="52"/>
      <c r="Y68" s="130"/>
      <c r="Z68" s="55"/>
      <c r="AA68" s="55"/>
      <c r="AB68" s="23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46"/>
      <c r="M69" s="149"/>
      <c r="N69" s="88"/>
      <c r="O69" s="170"/>
      <c r="P69" s="10"/>
      <c r="Q69" s="33"/>
      <c r="R69" s="104"/>
      <c r="S69" s="107"/>
      <c r="T69" s="109"/>
      <c r="U69" s="9"/>
      <c r="V69" s="38"/>
      <c r="W69" s="52"/>
      <c r="X69" s="52"/>
      <c r="Y69" s="130"/>
      <c r="Z69" s="55"/>
      <c r="AA69" s="55"/>
      <c r="AB69" s="23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46"/>
      <c r="M70" s="149"/>
      <c r="N70" s="88"/>
      <c r="O70" s="170"/>
      <c r="P70" s="10"/>
      <c r="Q70" s="33"/>
      <c r="R70" s="104"/>
      <c r="S70" s="107"/>
      <c r="T70" s="109"/>
      <c r="U70" s="9"/>
      <c r="V70" s="38"/>
      <c r="W70" s="52"/>
      <c r="X70" s="52"/>
      <c r="Y70" s="130"/>
      <c r="Z70" s="55"/>
      <c r="AA70" s="55"/>
      <c r="AB70" s="23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46"/>
      <c r="M71" s="149"/>
      <c r="N71" s="88"/>
      <c r="O71" s="170"/>
      <c r="P71" s="10"/>
      <c r="Q71" s="33"/>
      <c r="R71" s="104"/>
      <c r="S71" s="107"/>
      <c r="T71" s="109"/>
      <c r="U71" s="9"/>
      <c r="V71" s="38"/>
      <c r="W71" s="52"/>
      <c r="X71" s="52"/>
      <c r="Y71" s="130"/>
      <c r="Z71" s="55"/>
      <c r="AA71" s="55"/>
      <c r="AB71" s="23"/>
    </row>
    <row r="72" spans="1:28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46"/>
      <c r="M72" s="149"/>
      <c r="N72" s="88"/>
      <c r="O72" s="170"/>
      <c r="P72" s="10"/>
      <c r="Q72" s="33"/>
      <c r="R72" s="104"/>
      <c r="S72" s="107"/>
      <c r="T72" s="109"/>
      <c r="U72" s="9"/>
      <c r="V72" s="38"/>
      <c r="W72" s="52"/>
      <c r="X72" s="52"/>
      <c r="Y72" s="130"/>
      <c r="Z72" s="55"/>
      <c r="AA72" s="55"/>
      <c r="AB72" s="23"/>
    </row>
    <row r="73" spans="1:28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46"/>
      <c r="M73" s="149"/>
      <c r="N73" s="88"/>
      <c r="O73" s="170"/>
      <c r="P73" s="10"/>
      <c r="Q73" s="33"/>
      <c r="R73" s="104"/>
      <c r="S73" s="107"/>
      <c r="T73" s="109"/>
      <c r="U73" s="9"/>
      <c r="V73" s="38"/>
      <c r="W73" s="52"/>
      <c r="X73" s="52"/>
      <c r="Y73" s="130"/>
      <c r="Z73" s="55"/>
      <c r="AA73" s="55"/>
      <c r="AB73" s="23"/>
    </row>
    <row r="74" spans="1:28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46"/>
      <c r="M74" s="149"/>
      <c r="N74" s="88"/>
      <c r="O74" s="170"/>
      <c r="P74" s="10"/>
      <c r="Q74" s="33"/>
      <c r="R74" s="104"/>
      <c r="S74" s="107"/>
      <c r="T74" s="109"/>
      <c r="U74" s="9"/>
      <c r="V74" s="38"/>
      <c r="W74" s="52"/>
      <c r="X74" s="52"/>
      <c r="Y74" s="130"/>
      <c r="Z74" s="55"/>
      <c r="AA74" s="55"/>
      <c r="AB74" s="23"/>
    </row>
    <row r="75" spans="1:28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46"/>
      <c r="M75" s="149"/>
      <c r="N75" s="88"/>
      <c r="O75" s="170"/>
      <c r="P75" s="10"/>
      <c r="Q75" s="33"/>
      <c r="R75" s="104"/>
      <c r="S75" s="107"/>
      <c r="T75" s="109"/>
      <c r="U75" s="9"/>
      <c r="V75" s="38"/>
      <c r="W75" s="52"/>
      <c r="X75" s="52"/>
      <c r="Y75" s="130"/>
      <c r="Z75" s="55"/>
      <c r="AA75" s="55"/>
      <c r="AB75" s="23"/>
    </row>
    <row r="76" spans="1:28" x14ac:dyDescent="0.25">
      <c r="B76" s="23"/>
      <c r="C76" s="23"/>
      <c r="D76" s="23"/>
      <c r="E76" s="23"/>
      <c r="J76" s="23"/>
    </row>
  </sheetData>
  <autoFilter ref="A6:AC70">
    <sortState ref="A7:AC70">
      <sortCondition ref="W7:W53"/>
      <sortCondition ref="E7:E53"/>
      <sortCondition ref="K7:K53"/>
      <sortCondition ref="F7:F53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75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2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57"/>
    <col min="2" max="2" width="9.140625" style="2" customWidth="1"/>
    <col min="3" max="3" width="8" style="116" bestFit="1" customWidth="1"/>
    <col min="4" max="4" width="9.85546875" style="112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7"/>
      <c r="B1" s="180" t="str">
        <f>"Trips that did not appear in PTC Data "&amp;TEXT(Variables!$A$2,"YYYY-mm-dd")</f>
        <v>Trips that did not appear in PTC Data 2016-09-26</v>
      </c>
      <c r="C1" s="180"/>
      <c r="D1" s="180"/>
      <c r="E1" s="180"/>
      <c r="F1" s="180"/>
    </row>
    <row r="2" spans="1:11" s="26" customFormat="1" ht="45" x14ac:dyDescent="0.25">
      <c r="A2" s="166" t="s">
        <v>170</v>
      </c>
      <c r="B2" s="121" t="s">
        <v>64</v>
      </c>
      <c r="C2" s="113" t="s">
        <v>65</v>
      </c>
      <c r="D2" s="114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-26</v>
      </c>
      <c r="C3" s="115"/>
      <c r="D3" s="115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-26</v>
      </c>
      <c r="C4" s="115"/>
      <c r="D4" s="115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-26</v>
      </c>
      <c r="C5" s="115"/>
      <c r="D5" s="115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-26</v>
      </c>
      <c r="C6" s="115"/>
      <c r="D6" s="115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-26</v>
      </c>
      <c r="C7" s="115"/>
      <c r="D7" s="115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-26</v>
      </c>
      <c r="C8" s="115"/>
      <c r="D8" s="115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ref="I8:I14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8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-26</v>
      </c>
      <c r="C9" s="115"/>
      <c r="D9" s="115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-26</v>
      </c>
      <c r="C10" s="115"/>
      <c r="D10" s="115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-26</v>
      </c>
      <c r="C11" s="115"/>
      <c r="D11" s="115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-26</v>
      </c>
      <c r="C12" s="115"/>
      <c r="D12" s="115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-26</v>
      </c>
      <c r="C13" s="115"/>
      <c r="D13" s="115"/>
      <c r="E13" s="33"/>
      <c r="F13" s="24" t="e">
        <f>VLOOKUP(B13,'Trips&amp;Operators'!$C$2:$E$10000,3,FALSE)</f>
        <v>#N/A</v>
      </c>
      <c r="G13" s="24" t="e">
        <f>VLOOKUP(B13,'Trips&amp;Operators'!$C$1:$F$10000,4,FALSE)</f>
        <v>#N/A</v>
      </c>
      <c r="H13" s="32" t="e">
        <f>VLOOKUP(B13,'Trips&amp;Operators'!$C$1:$H$10000,5,FALSE)</f>
        <v>#N/A</v>
      </c>
      <c r="I13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3" s="23"/>
      <c r="K13" s="23"/>
    </row>
    <row r="14" spans="1:11" x14ac:dyDescent="0.25">
      <c r="B14" s="2" t="str">
        <f>A14&amp;"-"&amp;IF(DAY(Variables!$A$2)&lt;10,0,"")&amp;DAY(Variables!$A$2)</f>
        <v>-26</v>
      </c>
      <c r="C14" s="115"/>
      <c r="D14" s="115"/>
      <c r="E14" s="33"/>
      <c r="F14" s="24" t="e">
        <f>VLOOKUP(B14,'Trips&amp;Operators'!$C$2:$E$10000,3,FALSE)</f>
        <v>#N/A</v>
      </c>
      <c r="G14" s="24" t="e">
        <f>VLOOKUP(B14,'Trips&amp;Operators'!$C$1:$F$10000,4,FALSE)</f>
        <v>#N/A</v>
      </c>
      <c r="H14" s="32" t="e">
        <f>VLOOKUP(B14,'Trips&amp;Operators'!$C$1:$H$10000,5,FALSE)</f>
        <v>#N/A</v>
      </c>
      <c r="I14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4" s="23"/>
      <c r="K14" s="23"/>
    </row>
    <row r="15" spans="1:11" x14ac:dyDescent="0.25">
      <c r="C15" s="110"/>
      <c r="D15" s="110"/>
      <c r="I15" s="23"/>
      <c r="J15" s="23"/>
      <c r="K15" s="23"/>
    </row>
    <row r="16" spans="1:11" x14ac:dyDescent="0.25">
      <c r="C16" s="110"/>
      <c r="D16" s="110"/>
      <c r="I16" s="23"/>
      <c r="J16" s="23"/>
      <c r="K16" s="23"/>
    </row>
    <row r="17" spans="3:11" x14ac:dyDescent="0.25">
      <c r="C17" s="110"/>
      <c r="D17" s="110"/>
      <c r="I17" s="23"/>
      <c r="J17" s="23"/>
      <c r="K17" s="23"/>
    </row>
    <row r="18" spans="3:11" x14ac:dyDescent="0.25">
      <c r="C18" s="110"/>
      <c r="D18" s="110"/>
      <c r="I18" s="23"/>
      <c r="J18" s="23"/>
      <c r="K18" s="23"/>
    </row>
    <row r="19" spans="3:11" x14ac:dyDescent="0.25">
      <c r="C19" s="110"/>
      <c r="D19" s="110"/>
      <c r="I19" s="23"/>
      <c r="J19" s="23"/>
      <c r="K19" s="23"/>
    </row>
    <row r="20" spans="3:11" x14ac:dyDescent="0.25">
      <c r="C20" s="110"/>
      <c r="D20" s="110"/>
      <c r="I20" s="23"/>
      <c r="J20" s="23"/>
      <c r="K20" s="23"/>
    </row>
    <row r="21" spans="3:11" x14ac:dyDescent="0.25">
      <c r="C21" s="110"/>
      <c r="D21" s="110"/>
      <c r="I21" s="23"/>
      <c r="J21" s="23"/>
      <c r="K21" s="23"/>
    </row>
    <row r="22" spans="3:11" x14ac:dyDescent="0.25">
      <c r="C22" s="110"/>
      <c r="D22" s="110"/>
      <c r="I22" s="23"/>
      <c r="J22" s="23"/>
      <c r="K22" s="23"/>
    </row>
    <row r="23" spans="3:11" x14ac:dyDescent="0.25">
      <c r="C23" s="110"/>
      <c r="D23" s="110"/>
      <c r="I23" s="23"/>
      <c r="J23" s="23"/>
      <c r="K23" s="23"/>
    </row>
    <row r="24" spans="3:11" x14ac:dyDescent="0.25">
      <c r="C24" s="110"/>
      <c r="D24" s="110"/>
      <c r="I24" s="23"/>
      <c r="J24" s="23"/>
      <c r="K24" s="23"/>
    </row>
    <row r="25" spans="3:11" x14ac:dyDescent="0.25">
      <c r="C25" s="110"/>
      <c r="D25" s="110"/>
      <c r="I25" s="23"/>
      <c r="J25" s="23"/>
      <c r="K25" s="23"/>
    </row>
    <row r="26" spans="3:11" x14ac:dyDescent="0.25">
      <c r="C26" s="110"/>
      <c r="D26" s="110"/>
      <c r="I26" s="23"/>
      <c r="J26" s="23"/>
      <c r="K26" s="23"/>
    </row>
    <row r="27" spans="3:11" x14ac:dyDescent="0.25">
      <c r="C27" s="110"/>
      <c r="D27" s="110"/>
      <c r="I27" s="23"/>
      <c r="J27" s="23"/>
      <c r="K27" s="23"/>
    </row>
    <row r="28" spans="3:11" x14ac:dyDescent="0.25">
      <c r="C28" s="110"/>
      <c r="D28" s="110"/>
      <c r="I28" s="23"/>
      <c r="J28" s="23"/>
      <c r="K28" s="23"/>
    </row>
    <row r="29" spans="3:11" x14ac:dyDescent="0.25">
      <c r="C29" s="110"/>
      <c r="D29" s="110"/>
      <c r="I29" s="23"/>
      <c r="J29" s="23"/>
      <c r="K29" s="23"/>
    </row>
    <row r="30" spans="3:11" x14ac:dyDescent="0.25">
      <c r="C30" s="110"/>
      <c r="D30" s="110"/>
      <c r="I30" s="23"/>
      <c r="J30" s="23"/>
      <c r="K30" s="23"/>
    </row>
    <row r="31" spans="3:11" x14ac:dyDescent="0.25">
      <c r="C31" s="110"/>
      <c r="D31" s="110"/>
      <c r="I31" s="23"/>
      <c r="J31" s="23"/>
      <c r="K31" s="23"/>
    </row>
    <row r="32" spans="3:11" x14ac:dyDescent="0.25">
      <c r="I32" s="23"/>
      <c r="J32" s="23"/>
      <c r="K32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266</v>
      </c>
      <c r="B1" s="23" t="s">
        <v>267</v>
      </c>
      <c r="C1" s="23" t="s">
        <v>0</v>
      </c>
      <c r="D1" s="23" t="s">
        <v>268</v>
      </c>
      <c r="E1" s="23" t="s">
        <v>269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42639.033831018518</v>
      </c>
      <c r="B2" s="23" t="s">
        <v>176</v>
      </c>
      <c r="C2" s="23" t="s">
        <v>351</v>
      </c>
      <c r="D2" s="23">
        <v>1810000</v>
      </c>
      <c r="E2" s="23" t="s">
        <v>279</v>
      </c>
      <c r="F2" s="23" t="str">
        <f t="shared" ref="F2:F65" si="0">B2</f>
        <v>rtdc.l.rtdc.4041:itc</v>
      </c>
      <c r="G2" s="8">
        <f t="shared" ref="G2:G65" si="1">A2</f>
        <v>42639.033831018518</v>
      </c>
    </row>
    <row r="3" spans="1:7" x14ac:dyDescent="0.25">
      <c r="A3" s="8">
        <v>42639.050046296295</v>
      </c>
      <c r="B3" s="23" t="s">
        <v>165</v>
      </c>
      <c r="C3" s="23" t="s">
        <v>365</v>
      </c>
      <c r="D3" s="23">
        <v>1290000</v>
      </c>
      <c r="E3" s="23" t="s">
        <v>173</v>
      </c>
      <c r="F3" s="23" t="str">
        <f t="shared" si="0"/>
        <v>rtdc.l.rtdc.4020:itc</v>
      </c>
      <c r="G3" s="8">
        <f t="shared" si="1"/>
        <v>42639.050046296295</v>
      </c>
    </row>
    <row r="4" spans="1:7" x14ac:dyDescent="0.25">
      <c r="A4" s="8">
        <v>42639.05810185185</v>
      </c>
      <c r="B4" s="23" t="s">
        <v>244</v>
      </c>
      <c r="C4" s="23" t="s">
        <v>366</v>
      </c>
      <c r="D4" s="23">
        <v>1800000</v>
      </c>
      <c r="E4" s="23" t="s">
        <v>246</v>
      </c>
      <c r="F4" s="23" t="str">
        <f t="shared" si="0"/>
        <v>rtdc.l.rtdc.4004:itc</v>
      </c>
      <c r="G4" s="8">
        <f t="shared" si="1"/>
        <v>42639.05810185185</v>
      </c>
    </row>
    <row r="5" spans="1:7" x14ac:dyDescent="0.25">
      <c r="A5" s="8">
        <v>42639.06931712963</v>
      </c>
      <c r="B5" s="23" t="s">
        <v>178</v>
      </c>
      <c r="C5" s="23" t="s">
        <v>353</v>
      </c>
      <c r="D5" s="23">
        <v>1810000</v>
      </c>
      <c r="E5" s="23" t="s">
        <v>279</v>
      </c>
      <c r="F5" s="23" t="str">
        <f t="shared" si="0"/>
        <v>rtdc.l.rtdc.4042:itc</v>
      </c>
      <c r="G5" s="8">
        <f t="shared" si="1"/>
        <v>42639.06931712963</v>
      </c>
    </row>
    <row r="6" spans="1:7" x14ac:dyDescent="0.25">
      <c r="A6" s="8">
        <v>42639.070185185185</v>
      </c>
      <c r="B6" s="23" t="s">
        <v>178</v>
      </c>
      <c r="C6" s="23" t="s">
        <v>353</v>
      </c>
      <c r="D6" s="23">
        <v>1810000</v>
      </c>
      <c r="E6" s="23" t="s">
        <v>279</v>
      </c>
      <c r="F6" s="23" t="str">
        <f t="shared" si="0"/>
        <v>rtdc.l.rtdc.4042:itc</v>
      </c>
      <c r="G6" s="8">
        <f t="shared" si="1"/>
        <v>42639.070185185185</v>
      </c>
    </row>
    <row r="7" spans="1:7" x14ac:dyDescent="0.25">
      <c r="A7" s="8">
        <v>42639.099606481483</v>
      </c>
      <c r="B7" s="23" t="s">
        <v>243</v>
      </c>
      <c r="C7" s="23" t="s">
        <v>355</v>
      </c>
      <c r="D7" s="23">
        <v>1800000</v>
      </c>
      <c r="E7" s="23" t="s">
        <v>246</v>
      </c>
      <c r="F7" s="23" t="str">
        <f t="shared" si="0"/>
        <v>rtdc.l.rtdc.4003:itc</v>
      </c>
      <c r="G7" s="8">
        <f t="shared" si="1"/>
        <v>42639.099606481483</v>
      </c>
    </row>
    <row r="8" spans="1:7" x14ac:dyDescent="0.25">
      <c r="A8" s="8">
        <v>42639.1328125</v>
      </c>
      <c r="B8" s="23" t="s">
        <v>311</v>
      </c>
      <c r="C8" s="23" t="s">
        <v>369</v>
      </c>
      <c r="D8" s="23">
        <v>2030000</v>
      </c>
      <c r="E8" s="23" t="s">
        <v>361</v>
      </c>
      <c r="F8" s="23" t="str">
        <f t="shared" si="0"/>
        <v>rtdc.l.rtdc.4007:itc</v>
      </c>
      <c r="G8" s="8">
        <f t="shared" si="1"/>
        <v>42639.1328125</v>
      </c>
    </row>
    <row r="9" spans="1:7" ht="15.75" thickBot="1" x14ac:dyDescent="0.3">
      <c r="A9" s="27">
        <v>42639.153310185182</v>
      </c>
      <c r="B9" s="23" t="s">
        <v>248</v>
      </c>
      <c r="C9" s="23" t="s">
        <v>374</v>
      </c>
      <c r="D9" s="23">
        <v>1260000</v>
      </c>
      <c r="E9" s="23" t="s">
        <v>312</v>
      </c>
      <c r="F9" s="23" t="str">
        <f t="shared" si="0"/>
        <v>rtdc.l.rtdc.4011:itc</v>
      </c>
      <c r="G9" s="8">
        <f t="shared" si="1"/>
        <v>42639.153310185182</v>
      </c>
    </row>
    <row r="10" spans="1:7" x14ac:dyDescent="0.25">
      <c r="A10" s="8">
        <v>42639.170694444445</v>
      </c>
      <c r="B10" s="23" t="s">
        <v>710</v>
      </c>
      <c r="C10" s="23" t="s">
        <v>372</v>
      </c>
      <c r="D10" s="23">
        <v>2030000</v>
      </c>
      <c r="E10" s="23" t="s">
        <v>361</v>
      </c>
      <c r="F10" s="23" t="str">
        <f t="shared" si="0"/>
        <v>rtdc.l.rtdc.4045:itc</v>
      </c>
      <c r="G10" s="8">
        <f t="shared" si="1"/>
        <v>42639.170694444445</v>
      </c>
    </row>
    <row r="11" spans="1:7" x14ac:dyDescent="0.25">
      <c r="A11" s="8">
        <v>42639.172592592593</v>
      </c>
      <c r="B11" s="23" t="s">
        <v>292</v>
      </c>
      <c r="C11" s="23" t="s">
        <v>379</v>
      </c>
      <c r="D11" s="23">
        <v>1190000</v>
      </c>
      <c r="E11" s="23" t="s">
        <v>712</v>
      </c>
      <c r="F11" s="23" t="str">
        <f t="shared" si="0"/>
        <v>rtdc.l.rtdc.4018:itc</v>
      </c>
      <c r="G11" s="8">
        <f t="shared" si="1"/>
        <v>42639.172592592593</v>
      </c>
    </row>
    <row r="12" spans="1:7" x14ac:dyDescent="0.25">
      <c r="A12" s="8">
        <v>42639.180462962962</v>
      </c>
      <c r="B12" s="23" t="s">
        <v>171</v>
      </c>
      <c r="C12" s="23" t="s">
        <v>383</v>
      </c>
      <c r="D12" s="23">
        <v>1090000</v>
      </c>
      <c r="E12" s="23" t="s">
        <v>713</v>
      </c>
      <c r="F12" s="23" t="str">
        <f t="shared" si="0"/>
        <v>rtdc.l.rtdc.4025:itc</v>
      </c>
      <c r="G12" s="8">
        <f t="shared" si="1"/>
        <v>42639.180462962962</v>
      </c>
    </row>
    <row r="13" spans="1:7" x14ac:dyDescent="0.25">
      <c r="A13" s="8">
        <v>42639.189629629633</v>
      </c>
      <c r="B13" s="23" t="s">
        <v>277</v>
      </c>
      <c r="C13" s="23" t="s">
        <v>377</v>
      </c>
      <c r="D13" s="23">
        <v>1260000</v>
      </c>
      <c r="E13" s="23" t="s">
        <v>312</v>
      </c>
      <c r="F13" s="23" t="str">
        <f t="shared" si="0"/>
        <v>rtdc.l.rtdc.4054:itc</v>
      </c>
      <c r="G13" s="8">
        <f t="shared" si="1"/>
        <v>42639.189629629633</v>
      </c>
    </row>
    <row r="14" spans="1:7" x14ac:dyDescent="0.25">
      <c r="A14" s="8">
        <v>42639.190729166665</v>
      </c>
      <c r="B14" s="23" t="s">
        <v>277</v>
      </c>
      <c r="C14" s="23" t="s">
        <v>377</v>
      </c>
      <c r="D14" s="23">
        <v>1260000</v>
      </c>
      <c r="E14" s="23" t="s">
        <v>312</v>
      </c>
      <c r="F14" s="23" t="str">
        <f t="shared" si="0"/>
        <v>rtdc.l.rtdc.4054:itc</v>
      </c>
      <c r="G14" s="8">
        <f t="shared" si="1"/>
        <v>42639.190729166665</v>
      </c>
    </row>
    <row r="15" spans="1:7" x14ac:dyDescent="0.25">
      <c r="A15" s="8">
        <v>42639.191747685189</v>
      </c>
      <c r="B15" s="23" t="s">
        <v>277</v>
      </c>
      <c r="C15" s="23" t="s">
        <v>377</v>
      </c>
      <c r="D15" s="23">
        <v>1260000</v>
      </c>
      <c r="E15" s="23" t="s">
        <v>312</v>
      </c>
      <c r="F15" s="23" t="str">
        <f t="shared" si="0"/>
        <v>rtdc.l.rtdc.4054:itc</v>
      </c>
      <c r="G15" s="8">
        <f t="shared" si="1"/>
        <v>42639.191747685189</v>
      </c>
    </row>
    <row r="16" spans="1:7" x14ac:dyDescent="0.25">
      <c r="A16" s="8">
        <v>42639.192708333336</v>
      </c>
      <c r="B16" s="23" t="s">
        <v>270</v>
      </c>
      <c r="C16" s="23" t="s">
        <v>386</v>
      </c>
      <c r="D16" s="23">
        <v>1830000</v>
      </c>
      <c r="E16" s="23" t="s">
        <v>362</v>
      </c>
      <c r="F16" s="23" t="str">
        <f t="shared" si="0"/>
        <v>rtdc.l.rtdc.4016:itc</v>
      </c>
      <c r="G16" s="8">
        <f t="shared" si="1"/>
        <v>42639.192708333336</v>
      </c>
    </row>
    <row r="17" spans="1:7" x14ac:dyDescent="0.25">
      <c r="A17" s="8">
        <v>42639.208414351851</v>
      </c>
      <c r="B17" s="23" t="s">
        <v>311</v>
      </c>
      <c r="C17" s="23" t="s">
        <v>389</v>
      </c>
      <c r="D17" s="23">
        <v>1110000</v>
      </c>
      <c r="E17" s="23" t="s">
        <v>714</v>
      </c>
      <c r="F17" s="23" t="str">
        <f t="shared" si="0"/>
        <v>rtdc.l.rtdc.4007:itc</v>
      </c>
      <c r="G17" s="8">
        <f t="shared" si="1"/>
        <v>42639.208414351851</v>
      </c>
    </row>
    <row r="18" spans="1:7" x14ac:dyDescent="0.25">
      <c r="A18" s="8">
        <v>42639.209837962961</v>
      </c>
      <c r="B18" s="23" t="s">
        <v>181</v>
      </c>
      <c r="C18" s="23" t="s">
        <v>393</v>
      </c>
      <c r="D18" s="23">
        <v>2030000</v>
      </c>
      <c r="E18" s="23" t="s">
        <v>361</v>
      </c>
      <c r="F18" s="23" t="str">
        <f t="shared" si="0"/>
        <v>rtdc.l.rtdc.4046:itc</v>
      </c>
      <c r="G18" s="8">
        <f t="shared" si="1"/>
        <v>42639.209837962961</v>
      </c>
    </row>
    <row r="19" spans="1:7" x14ac:dyDescent="0.25">
      <c r="A19" s="8">
        <v>42639.209849537037</v>
      </c>
      <c r="B19" s="23" t="s">
        <v>311</v>
      </c>
      <c r="C19" s="23" t="s">
        <v>389</v>
      </c>
      <c r="D19" s="23">
        <v>1110000</v>
      </c>
      <c r="E19" s="23" t="s">
        <v>714</v>
      </c>
      <c r="F19" s="23" t="str">
        <f t="shared" si="0"/>
        <v>rtdc.l.rtdc.4007:itc</v>
      </c>
      <c r="G19" s="8">
        <f t="shared" si="1"/>
        <v>42639.209849537037</v>
      </c>
    </row>
    <row r="20" spans="1:7" x14ac:dyDescent="0.25">
      <c r="A20" s="8">
        <v>42639.213449074072</v>
      </c>
      <c r="B20" s="23" t="s">
        <v>711</v>
      </c>
      <c r="C20" s="23" t="s">
        <v>381</v>
      </c>
      <c r="D20" s="23">
        <v>1190000</v>
      </c>
      <c r="E20" s="23" t="s">
        <v>712</v>
      </c>
      <c r="F20" s="23" t="str">
        <f t="shared" si="0"/>
        <v>rtdc.l.rtdc.4013:itc</v>
      </c>
      <c r="G20" s="8">
        <f t="shared" si="1"/>
        <v>42639.213449074072</v>
      </c>
    </row>
    <row r="21" spans="1:7" x14ac:dyDescent="0.25">
      <c r="A21" s="8">
        <v>42639.214571759258</v>
      </c>
      <c r="B21" s="23" t="s">
        <v>711</v>
      </c>
      <c r="C21" s="23" t="s">
        <v>381</v>
      </c>
      <c r="D21" s="23">
        <v>1190000</v>
      </c>
      <c r="E21" s="23" t="s">
        <v>712</v>
      </c>
      <c r="F21" s="23" t="str">
        <f t="shared" si="0"/>
        <v>rtdc.l.rtdc.4013:itc</v>
      </c>
      <c r="G21" s="8">
        <f t="shared" si="1"/>
        <v>42639.214571759258</v>
      </c>
    </row>
    <row r="22" spans="1:7" x14ac:dyDescent="0.25">
      <c r="A22" s="29">
        <v>42639.214837962965</v>
      </c>
      <c r="B22" s="23" t="s">
        <v>278</v>
      </c>
      <c r="C22" s="23" t="s">
        <v>583</v>
      </c>
      <c r="D22" s="23">
        <v>1990000</v>
      </c>
      <c r="E22" s="23" t="s">
        <v>289</v>
      </c>
      <c r="F22" s="23" t="str">
        <f t="shared" si="0"/>
        <v>rtdc.l.rtdc.4030:itc</v>
      </c>
      <c r="G22" s="8">
        <f t="shared" si="1"/>
        <v>42639.214837962965</v>
      </c>
    </row>
    <row r="23" spans="1:7" x14ac:dyDescent="0.25">
      <c r="A23" s="8">
        <v>42639.21539351852</v>
      </c>
      <c r="B23" s="23" t="s">
        <v>181</v>
      </c>
      <c r="C23" s="23" t="s">
        <v>393</v>
      </c>
      <c r="D23" s="23">
        <v>2030000</v>
      </c>
      <c r="E23" s="23" t="s">
        <v>361</v>
      </c>
      <c r="F23" s="23" t="str">
        <f t="shared" si="0"/>
        <v>rtdc.l.rtdc.4046:itc</v>
      </c>
      <c r="G23" s="8">
        <f t="shared" si="1"/>
        <v>42639.21539351852</v>
      </c>
    </row>
    <row r="24" spans="1:7" x14ac:dyDescent="0.25">
      <c r="A24" s="8">
        <v>42639.215462962966</v>
      </c>
      <c r="B24" s="23" t="s">
        <v>278</v>
      </c>
      <c r="C24" s="23" t="s">
        <v>583</v>
      </c>
      <c r="D24" s="23">
        <v>1990000</v>
      </c>
      <c r="E24" s="23" t="s">
        <v>289</v>
      </c>
      <c r="F24" s="23" t="str">
        <f t="shared" si="0"/>
        <v>rtdc.l.rtdc.4030:itc</v>
      </c>
      <c r="G24" s="8">
        <f t="shared" si="1"/>
        <v>42639.215462962966</v>
      </c>
    </row>
    <row r="25" spans="1:7" x14ac:dyDescent="0.25">
      <c r="A25" s="8">
        <v>42639.218159722222</v>
      </c>
      <c r="B25" s="23" t="s">
        <v>278</v>
      </c>
      <c r="C25" s="23" t="s">
        <v>583</v>
      </c>
      <c r="D25" s="23">
        <v>1990000</v>
      </c>
      <c r="E25" s="23" t="s">
        <v>289</v>
      </c>
      <c r="F25" s="23" t="str">
        <f t="shared" si="0"/>
        <v>rtdc.l.rtdc.4030:itc</v>
      </c>
      <c r="G25" s="8">
        <f t="shared" si="1"/>
        <v>42639.218159722222</v>
      </c>
    </row>
    <row r="26" spans="1:7" x14ac:dyDescent="0.25">
      <c r="A26" s="8">
        <v>42639.222696759258</v>
      </c>
      <c r="B26" s="23" t="s">
        <v>172</v>
      </c>
      <c r="C26" s="23" t="s">
        <v>385</v>
      </c>
      <c r="D26" s="23">
        <v>1090000</v>
      </c>
      <c r="E26" s="23" t="s">
        <v>713</v>
      </c>
      <c r="F26" s="23" t="str">
        <f t="shared" si="0"/>
        <v>rtdc.l.rtdc.4026:itc</v>
      </c>
      <c r="G26" s="8">
        <f t="shared" si="1"/>
        <v>42639.222696759258</v>
      </c>
    </row>
    <row r="27" spans="1:7" x14ac:dyDescent="0.25">
      <c r="A27" s="8">
        <v>42639.224745370368</v>
      </c>
      <c r="B27" s="23" t="s">
        <v>291</v>
      </c>
      <c r="C27" s="23" t="s">
        <v>388</v>
      </c>
      <c r="D27" s="23">
        <v>1830000</v>
      </c>
      <c r="E27" s="23" t="s">
        <v>362</v>
      </c>
      <c r="F27" s="23" t="str">
        <f t="shared" si="0"/>
        <v>rtdc.l.rtdc.4015:itc</v>
      </c>
      <c r="G27" s="8">
        <f t="shared" si="1"/>
        <v>42639.224745370368</v>
      </c>
    </row>
    <row r="28" spans="1:7" x14ac:dyDescent="0.25">
      <c r="A28" s="8">
        <v>42639.230856481481</v>
      </c>
      <c r="B28" s="23" t="s">
        <v>248</v>
      </c>
      <c r="C28" s="23" t="s">
        <v>395</v>
      </c>
      <c r="D28" s="23">
        <v>1310000</v>
      </c>
      <c r="E28" s="23" t="s">
        <v>276</v>
      </c>
      <c r="F28" s="23" t="str">
        <f t="shared" si="0"/>
        <v>rtdc.l.rtdc.4011:itc</v>
      </c>
      <c r="G28" s="8">
        <f t="shared" si="1"/>
        <v>42639.230856481481</v>
      </c>
    </row>
    <row r="29" spans="1:7" x14ac:dyDescent="0.25">
      <c r="A29" s="8">
        <v>42639.234733796293</v>
      </c>
      <c r="B29" s="23" t="s">
        <v>310</v>
      </c>
      <c r="C29" s="23" t="s">
        <v>398</v>
      </c>
      <c r="D29" s="23">
        <v>1260000</v>
      </c>
      <c r="E29" s="23" t="s">
        <v>312</v>
      </c>
      <c r="F29" s="23" t="str">
        <f t="shared" si="0"/>
        <v>rtdc.l.rtdc.4053:itc</v>
      </c>
      <c r="G29" s="8">
        <f t="shared" si="1"/>
        <v>42639.234733796293</v>
      </c>
    </row>
    <row r="30" spans="1:7" x14ac:dyDescent="0.25">
      <c r="A30" s="8">
        <v>42639.236932870372</v>
      </c>
      <c r="B30" s="23" t="s">
        <v>275</v>
      </c>
      <c r="C30" s="23" t="s">
        <v>586</v>
      </c>
      <c r="D30" s="23">
        <v>1990000</v>
      </c>
      <c r="E30" s="23" t="s">
        <v>289</v>
      </c>
      <c r="F30" s="23" t="str">
        <f t="shared" si="0"/>
        <v>rtdc.l.rtdc.4029:itc</v>
      </c>
      <c r="G30" s="8">
        <f t="shared" si="1"/>
        <v>42639.236932870372</v>
      </c>
    </row>
    <row r="31" spans="1:7" x14ac:dyDescent="0.25">
      <c r="A31" s="8">
        <v>42639.244571759256</v>
      </c>
      <c r="B31" s="23" t="s">
        <v>238</v>
      </c>
      <c r="C31" s="23" t="s">
        <v>715</v>
      </c>
      <c r="D31" s="23">
        <v>2100000</v>
      </c>
      <c r="E31" s="23" t="s">
        <v>716</v>
      </c>
      <c r="F31" s="23" t="str">
        <f t="shared" si="0"/>
        <v>rtdc.l.rtdc.4043:itc</v>
      </c>
      <c r="G31" s="8">
        <f t="shared" si="1"/>
        <v>42639.244571759256</v>
      </c>
    </row>
    <row r="32" spans="1:7" x14ac:dyDescent="0.25">
      <c r="A32" s="8">
        <v>42639.246354166666</v>
      </c>
      <c r="B32" s="23" t="s">
        <v>255</v>
      </c>
      <c r="C32" s="23" t="s">
        <v>391</v>
      </c>
      <c r="D32" s="23">
        <v>1110000</v>
      </c>
      <c r="E32" s="23" t="s">
        <v>714</v>
      </c>
      <c r="F32" s="23" t="str">
        <f t="shared" si="0"/>
        <v>rtdc.l.rtdc.4008:itc</v>
      </c>
      <c r="G32" s="8">
        <f t="shared" si="1"/>
        <v>42639.246354166666</v>
      </c>
    </row>
    <row r="33" spans="1:7" x14ac:dyDescent="0.25">
      <c r="A33" s="8">
        <v>42639.248622685183</v>
      </c>
      <c r="B33" s="23" t="s">
        <v>292</v>
      </c>
      <c r="C33" s="23" t="s">
        <v>401</v>
      </c>
      <c r="D33" s="23">
        <v>1190000</v>
      </c>
      <c r="E33" s="23" t="s">
        <v>712</v>
      </c>
      <c r="F33" s="23" t="str">
        <f t="shared" si="0"/>
        <v>rtdc.l.rtdc.4018:itc</v>
      </c>
      <c r="G33" s="8">
        <f t="shared" si="1"/>
        <v>42639.248622685183</v>
      </c>
    </row>
    <row r="34" spans="1:7" x14ac:dyDescent="0.25">
      <c r="A34" s="8">
        <v>42639.253506944442</v>
      </c>
      <c r="B34" s="23" t="s">
        <v>710</v>
      </c>
      <c r="C34" s="23" t="s">
        <v>394</v>
      </c>
      <c r="D34" s="23">
        <v>2030000</v>
      </c>
      <c r="E34" s="23" t="s">
        <v>361</v>
      </c>
      <c r="F34" s="23" t="str">
        <f t="shared" si="0"/>
        <v>rtdc.l.rtdc.4045:itc</v>
      </c>
      <c r="G34" s="8">
        <f t="shared" si="1"/>
        <v>42639.253506944442</v>
      </c>
    </row>
    <row r="35" spans="1:7" x14ac:dyDescent="0.25">
      <c r="A35" s="8">
        <v>42639.255752314813</v>
      </c>
      <c r="B35" s="23" t="s">
        <v>278</v>
      </c>
      <c r="C35" s="23" t="s">
        <v>589</v>
      </c>
      <c r="D35" s="23">
        <v>1990000</v>
      </c>
      <c r="E35" s="23" t="s">
        <v>289</v>
      </c>
      <c r="F35" s="23" t="str">
        <f t="shared" si="0"/>
        <v>rtdc.l.rtdc.4030:itc</v>
      </c>
      <c r="G35" s="8">
        <f t="shared" si="1"/>
        <v>42639.255752314813</v>
      </c>
    </row>
    <row r="36" spans="1:7" x14ac:dyDescent="0.25">
      <c r="A36" s="8">
        <v>42639.256944444445</v>
      </c>
      <c r="B36" s="23" t="s">
        <v>237</v>
      </c>
      <c r="C36" s="23" t="s">
        <v>592</v>
      </c>
      <c r="D36" s="23">
        <v>2100000</v>
      </c>
      <c r="E36" s="23" t="s">
        <v>716</v>
      </c>
      <c r="F36" s="23" t="str">
        <f t="shared" si="0"/>
        <v>rtdc.l.rtdc.4044:itc</v>
      </c>
      <c r="G36" s="8">
        <f t="shared" si="1"/>
        <v>42639.256944444445</v>
      </c>
    </row>
    <row r="37" spans="1:7" x14ac:dyDescent="0.25">
      <c r="A37" s="8">
        <v>42639.262696759259</v>
      </c>
      <c r="B37" s="23" t="s">
        <v>171</v>
      </c>
      <c r="C37" s="23" t="s">
        <v>405</v>
      </c>
      <c r="D37" s="23">
        <v>1090000</v>
      </c>
      <c r="E37" s="23" t="s">
        <v>713</v>
      </c>
      <c r="F37" s="23" t="str">
        <f t="shared" si="0"/>
        <v>rtdc.l.rtdc.4025:itc</v>
      </c>
      <c r="G37" s="8">
        <f t="shared" si="1"/>
        <v>42639.262696759259</v>
      </c>
    </row>
    <row r="38" spans="1:7" x14ac:dyDescent="0.25">
      <c r="A38" s="8">
        <v>42639.26525462963</v>
      </c>
      <c r="B38" s="23" t="s">
        <v>249</v>
      </c>
      <c r="C38" s="23" t="s">
        <v>395</v>
      </c>
      <c r="D38" s="23">
        <v>1310000</v>
      </c>
      <c r="E38" s="23" t="s">
        <v>276</v>
      </c>
      <c r="F38" s="23" t="str">
        <f t="shared" si="0"/>
        <v>rtdc.l.rtdc.4012:itc</v>
      </c>
      <c r="G38" s="8">
        <f t="shared" si="1"/>
        <v>42639.26525462963</v>
      </c>
    </row>
    <row r="39" spans="1:7" x14ac:dyDescent="0.25">
      <c r="A39" s="8">
        <v>42639.265775462962</v>
      </c>
      <c r="B39" s="23" t="s">
        <v>249</v>
      </c>
      <c r="C39" s="23" t="s">
        <v>397</v>
      </c>
      <c r="D39" s="23">
        <v>1310000</v>
      </c>
      <c r="E39" s="23" t="s">
        <v>276</v>
      </c>
      <c r="F39" s="23" t="str">
        <f t="shared" si="0"/>
        <v>rtdc.l.rtdc.4012:itc</v>
      </c>
      <c r="G39" s="8">
        <f t="shared" si="1"/>
        <v>42639.265775462962</v>
      </c>
    </row>
    <row r="40" spans="1:7" x14ac:dyDescent="0.25">
      <c r="A40" s="8">
        <v>42639.268969907411</v>
      </c>
      <c r="B40" s="28" t="s">
        <v>270</v>
      </c>
      <c r="C40" s="23" t="s">
        <v>407</v>
      </c>
      <c r="D40" s="23">
        <v>1830000</v>
      </c>
      <c r="E40" s="23" t="s">
        <v>362</v>
      </c>
      <c r="F40" s="23" t="str">
        <f t="shared" si="0"/>
        <v>rtdc.l.rtdc.4016:itc</v>
      </c>
      <c r="G40" s="8">
        <f t="shared" si="1"/>
        <v>42639.268969907411</v>
      </c>
    </row>
    <row r="41" spans="1:7" x14ac:dyDescent="0.25">
      <c r="A41" s="8">
        <v>42639.273912037039</v>
      </c>
      <c r="B41" s="23" t="s">
        <v>277</v>
      </c>
      <c r="C41" s="23" t="s">
        <v>399</v>
      </c>
      <c r="D41" s="23">
        <v>1260000</v>
      </c>
      <c r="E41" s="23" t="s">
        <v>312</v>
      </c>
      <c r="F41" s="23" t="str">
        <f t="shared" si="0"/>
        <v>rtdc.l.rtdc.4054:itc</v>
      </c>
      <c r="G41" s="8">
        <f t="shared" si="1"/>
        <v>42639.273912037039</v>
      </c>
    </row>
    <row r="42" spans="1:7" x14ac:dyDescent="0.25">
      <c r="A42" s="8">
        <v>42639.276944444442</v>
      </c>
      <c r="B42" s="23" t="s">
        <v>238</v>
      </c>
      <c r="C42" s="23" t="s">
        <v>595</v>
      </c>
      <c r="D42" s="23">
        <v>2100000</v>
      </c>
      <c r="E42" s="23" t="s">
        <v>716</v>
      </c>
      <c r="F42" s="23" t="str">
        <f t="shared" si="0"/>
        <v>rtdc.l.rtdc.4043:itc</v>
      </c>
      <c r="G42" s="8">
        <f t="shared" si="1"/>
        <v>42639.276944444442</v>
      </c>
    </row>
    <row r="43" spans="1:7" x14ac:dyDescent="0.25">
      <c r="A43" s="8">
        <v>42639.278229166666</v>
      </c>
      <c r="B43" s="23" t="s">
        <v>311</v>
      </c>
      <c r="C43" s="23" t="s">
        <v>411</v>
      </c>
      <c r="D43" s="23">
        <v>1110000</v>
      </c>
      <c r="E43" s="23" t="s">
        <v>714</v>
      </c>
      <c r="F43" s="23" t="str">
        <f t="shared" si="0"/>
        <v>rtdc.l.rtdc.4007:itc</v>
      </c>
      <c r="G43" s="8">
        <f t="shared" si="1"/>
        <v>42639.278229166666</v>
      </c>
    </row>
    <row r="44" spans="1:7" x14ac:dyDescent="0.25">
      <c r="A44" s="8">
        <v>42639.280856481484</v>
      </c>
      <c r="B44" s="23" t="s">
        <v>290</v>
      </c>
      <c r="C44" s="23" t="s">
        <v>403</v>
      </c>
      <c r="D44" s="23">
        <v>1190000</v>
      </c>
      <c r="E44" s="23" t="s">
        <v>712</v>
      </c>
      <c r="F44" s="23" t="str">
        <f t="shared" si="0"/>
        <v>rtdc.l.rtdc.4017:itc</v>
      </c>
      <c r="G44" s="8">
        <f t="shared" si="1"/>
        <v>42639.280856481484</v>
      </c>
    </row>
    <row r="45" spans="1:7" x14ac:dyDescent="0.25">
      <c r="A45" s="8">
        <v>42639.282199074078</v>
      </c>
      <c r="B45" s="23" t="s">
        <v>275</v>
      </c>
      <c r="C45" s="23" t="s">
        <v>598</v>
      </c>
      <c r="D45" s="23">
        <v>1990000</v>
      </c>
      <c r="E45" s="23" t="s">
        <v>289</v>
      </c>
      <c r="F45" s="23" t="str">
        <f t="shared" si="0"/>
        <v>rtdc.l.rtdc.4029:itc</v>
      </c>
      <c r="G45" s="8">
        <f t="shared" si="1"/>
        <v>42639.282199074078</v>
      </c>
    </row>
    <row r="46" spans="1:7" x14ac:dyDescent="0.25">
      <c r="A46" s="8">
        <v>42639.289861111109</v>
      </c>
      <c r="B46" s="23" t="s">
        <v>181</v>
      </c>
      <c r="C46" s="23" t="s">
        <v>414</v>
      </c>
      <c r="D46" s="23">
        <v>2030000</v>
      </c>
      <c r="E46" s="23" t="s">
        <v>361</v>
      </c>
      <c r="F46" s="23" t="str">
        <f t="shared" si="0"/>
        <v>rtdc.l.rtdc.4046:itc</v>
      </c>
      <c r="G46" s="8">
        <f t="shared" si="1"/>
        <v>42639.289861111109</v>
      </c>
    </row>
    <row r="47" spans="1:7" x14ac:dyDescent="0.25">
      <c r="A47" s="8">
        <v>42639.296990740739</v>
      </c>
      <c r="B47" s="23" t="s">
        <v>172</v>
      </c>
      <c r="C47" s="23" t="s">
        <v>406</v>
      </c>
      <c r="D47" s="23">
        <v>1090000</v>
      </c>
      <c r="E47" s="23" t="s">
        <v>713</v>
      </c>
      <c r="F47" s="23" t="str">
        <f t="shared" si="0"/>
        <v>rtdc.l.rtdc.4026:itc</v>
      </c>
      <c r="G47" s="8">
        <f t="shared" si="1"/>
        <v>42639.296990740739</v>
      </c>
    </row>
    <row r="48" spans="1:7" x14ac:dyDescent="0.25">
      <c r="A48" s="8">
        <v>42639.297164351854</v>
      </c>
      <c r="B48" s="23" t="s">
        <v>278</v>
      </c>
      <c r="C48" s="23" t="s">
        <v>601</v>
      </c>
      <c r="D48" s="23">
        <v>1990000</v>
      </c>
      <c r="E48" s="23" t="s">
        <v>289</v>
      </c>
      <c r="F48" s="23" t="str">
        <f t="shared" si="0"/>
        <v>rtdc.l.rtdc.4030:itc</v>
      </c>
      <c r="G48" s="8">
        <f t="shared" si="1"/>
        <v>42639.297164351854</v>
      </c>
    </row>
    <row r="49" spans="1:7" x14ac:dyDescent="0.25">
      <c r="A49" s="8">
        <v>42639.298761574071</v>
      </c>
      <c r="B49" s="23" t="s">
        <v>291</v>
      </c>
      <c r="C49" s="23" t="s">
        <v>409</v>
      </c>
      <c r="D49" s="23">
        <v>1830000</v>
      </c>
      <c r="E49" s="23" t="s">
        <v>362</v>
      </c>
      <c r="F49" s="23" t="str">
        <f t="shared" si="0"/>
        <v>rtdc.l.rtdc.4015:itc</v>
      </c>
      <c r="G49" s="8">
        <f t="shared" si="1"/>
        <v>42639.298761574071</v>
      </c>
    </row>
    <row r="50" spans="1:7" x14ac:dyDescent="0.25">
      <c r="A50" s="8">
        <v>42639.301377314812</v>
      </c>
      <c r="B50" s="23" t="s">
        <v>248</v>
      </c>
      <c r="C50" s="23" t="s">
        <v>417</v>
      </c>
      <c r="D50" s="23">
        <v>1310000</v>
      </c>
      <c r="E50" s="23" t="s">
        <v>276</v>
      </c>
      <c r="F50" s="23" t="str">
        <f t="shared" si="0"/>
        <v>rtdc.l.rtdc.4011:itc</v>
      </c>
      <c r="G50" s="8">
        <f t="shared" si="1"/>
        <v>42639.301377314812</v>
      </c>
    </row>
    <row r="51" spans="1:7" x14ac:dyDescent="0.25">
      <c r="A51" s="8">
        <v>42639.303449074076</v>
      </c>
      <c r="B51" s="23" t="s">
        <v>237</v>
      </c>
      <c r="C51" s="23" t="s">
        <v>604</v>
      </c>
      <c r="D51" s="23">
        <v>2100000</v>
      </c>
      <c r="E51" s="23" t="s">
        <v>716</v>
      </c>
      <c r="F51" s="23" t="str">
        <f t="shared" si="0"/>
        <v>rtdc.l.rtdc.4044:itc</v>
      </c>
      <c r="G51" s="8">
        <f t="shared" si="1"/>
        <v>42639.303449074076</v>
      </c>
    </row>
    <row r="52" spans="1:7" x14ac:dyDescent="0.25">
      <c r="A52" s="8">
        <v>42639.310011574074</v>
      </c>
      <c r="B52" s="23" t="s">
        <v>310</v>
      </c>
      <c r="C52" s="23" t="s">
        <v>419</v>
      </c>
      <c r="D52" s="23">
        <v>1260000</v>
      </c>
      <c r="E52" s="23" t="s">
        <v>312</v>
      </c>
      <c r="F52" s="23" t="str">
        <f t="shared" si="0"/>
        <v>rtdc.l.rtdc.4053:itc</v>
      </c>
      <c r="G52" s="8">
        <f t="shared" si="1"/>
        <v>42639.310011574074</v>
      </c>
    </row>
    <row r="53" spans="1:7" x14ac:dyDescent="0.25">
      <c r="A53" s="8">
        <v>42639.317789351851</v>
      </c>
      <c r="B53" s="23" t="s">
        <v>238</v>
      </c>
      <c r="C53" s="23" t="s">
        <v>607</v>
      </c>
      <c r="D53" s="23">
        <v>2100000</v>
      </c>
      <c r="E53" s="23" t="s">
        <v>716</v>
      </c>
      <c r="F53" s="23" t="str">
        <f t="shared" si="0"/>
        <v>rtdc.l.rtdc.4043:itc</v>
      </c>
      <c r="G53" s="8">
        <f t="shared" si="1"/>
        <v>42639.317789351851</v>
      </c>
    </row>
    <row r="54" spans="1:7" x14ac:dyDescent="0.25">
      <c r="A54" s="8">
        <v>42639.318148148152</v>
      </c>
      <c r="B54" s="23" t="s">
        <v>255</v>
      </c>
      <c r="C54" s="23" t="s">
        <v>412</v>
      </c>
      <c r="D54" s="23">
        <v>1110000</v>
      </c>
      <c r="E54" s="23" t="s">
        <v>714</v>
      </c>
      <c r="F54" s="23" t="str">
        <f t="shared" si="0"/>
        <v>rtdc.l.rtdc.4008:itc</v>
      </c>
      <c r="G54" s="8">
        <f t="shared" si="1"/>
        <v>42639.318148148152</v>
      </c>
    </row>
    <row r="55" spans="1:7" x14ac:dyDescent="0.25">
      <c r="A55" s="8">
        <v>42639.321736111109</v>
      </c>
      <c r="B55" s="23" t="s">
        <v>292</v>
      </c>
      <c r="C55" s="23" t="s">
        <v>421</v>
      </c>
      <c r="D55" s="23">
        <v>1190000</v>
      </c>
      <c r="E55" s="23" t="s">
        <v>712</v>
      </c>
      <c r="F55" s="23" t="str">
        <f t="shared" si="0"/>
        <v>rtdc.l.rtdc.4018:itc</v>
      </c>
      <c r="G55" s="8">
        <f t="shared" si="1"/>
        <v>42639.321736111109</v>
      </c>
    </row>
    <row r="56" spans="1:7" x14ac:dyDescent="0.25">
      <c r="A56" s="8">
        <v>42639.32203703704</v>
      </c>
      <c r="B56" s="23" t="s">
        <v>275</v>
      </c>
      <c r="C56" s="23" t="s">
        <v>610</v>
      </c>
      <c r="D56" s="23">
        <v>1990000</v>
      </c>
      <c r="E56" s="23" t="s">
        <v>289</v>
      </c>
      <c r="F56" s="23" t="str">
        <f t="shared" si="0"/>
        <v>rtdc.l.rtdc.4029:itc</v>
      </c>
      <c r="G56" s="8">
        <f t="shared" si="1"/>
        <v>42639.32203703704</v>
      </c>
    </row>
    <row r="57" spans="1:7" x14ac:dyDescent="0.25">
      <c r="A57" s="8">
        <v>42639.326736111114</v>
      </c>
      <c r="B57" s="23" t="s">
        <v>710</v>
      </c>
      <c r="C57" s="23" t="s">
        <v>415</v>
      </c>
      <c r="D57" s="23">
        <v>2030000</v>
      </c>
      <c r="E57" s="23" t="s">
        <v>361</v>
      </c>
      <c r="F57" s="23" t="str">
        <f t="shared" si="0"/>
        <v>rtdc.l.rtdc.4045:itc</v>
      </c>
      <c r="G57" s="8">
        <f t="shared" si="1"/>
        <v>42639.326736111114</v>
      </c>
    </row>
    <row r="58" spans="1:7" x14ac:dyDescent="0.25">
      <c r="A58" s="8">
        <v>42639.333136574074</v>
      </c>
      <c r="B58" s="23" t="s">
        <v>171</v>
      </c>
      <c r="C58" s="23" t="s">
        <v>424</v>
      </c>
      <c r="D58" s="23">
        <v>1090000</v>
      </c>
      <c r="E58" s="23" t="s">
        <v>713</v>
      </c>
      <c r="F58" s="23" t="str">
        <f t="shared" si="0"/>
        <v>rtdc.l.rtdc.4025:itc</v>
      </c>
      <c r="G58" s="8">
        <f t="shared" si="1"/>
        <v>42639.333136574074</v>
      </c>
    </row>
    <row r="59" spans="1:7" x14ac:dyDescent="0.25">
      <c r="A59" s="8">
        <v>42639.339502314811</v>
      </c>
      <c r="B59" s="23" t="s">
        <v>249</v>
      </c>
      <c r="C59" s="23" t="s">
        <v>418</v>
      </c>
      <c r="D59" s="23">
        <v>1310000</v>
      </c>
      <c r="E59" s="23" t="s">
        <v>276</v>
      </c>
      <c r="F59" s="23" t="str">
        <f t="shared" si="0"/>
        <v>rtdc.l.rtdc.4012:itc</v>
      </c>
      <c r="G59" s="8">
        <f t="shared" si="1"/>
        <v>42639.339502314811</v>
      </c>
    </row>
    <row r="60" spans="1:7" x14ac:dyDescent="0.25">
      <c r="A60" s="8">
        <v>42639.339814814812</v>
      </c>
      <c r="B60" s="23" t="s">
        <v>278</v>
      </c>
      <c r="C60" s="23" t="s">
        <v>613</v>
      </c>
      <c r="D60" s="23">
        <v>1990000</v>
      </c>
      <c r="E60" s="23" t="s">
        <v>289</v>
      </c>
      <c r="F60" s="23" t="str">
        <f t="shared" si="0"/>
        <v>rtdc.l.rtdc.4030:itc</v>
      </c>
      <c r="G60" s="8">
        <f t="shared" si="1"/>
        <v>42639.339814814812</v>
      </c>
    </row>
    <row r="61" spans="1:7" x14ac:dyDescent="0.25">
      <c r="A61" s="8">
        <v>42639.341770833336</v>
      </c>
      <c r="B61" s="23" t="s">
        <v>270</v>
      </c>
      <c r="C61" s="23" t="s">
        <v>426</v>
      </c>
      <c r="D61" s="23">
        <v>1830000</v>
      </c>
      <c r="E61" s="23" t="s">
        <v>362</v>
      </c>
      <c r="F61" s="23" t="str">
        <f t="shared" si="0"/>
        <v>rtdc.l.rtdc.4016:itc</v>
      </c>
      <c r="G61" s="8">
        <f t="shared" si="1"/>
        <v>42639.341770833336</v>
      </c>
    </row>
    <row r="62" spans="1:7" x14ac:dyDescent="0.25">
      <c r="A62" s="8">
        <v>42639.345543981479</v>
      </c>
      <c r="B62" s="23" t="s">
        <v>237</v>
      </c>
      <c r="C62" s="23" t="s">
        <v>615</v>
      </c>
      <c r="D62" s="23">
        <v>2100000</v>
      </c>
      <c r="E62" s="23" t="s">
        <v>716</v>
      </c>
      <c r="F62" s="23" t="str">
        <f t="shared" si="0"/>
        <v>rtdc.l.rtdc.4044:itc</v>
      </c>
      <c r="G62" s="8">
        <f t="shared" si="1"/>
        <v>42639.345543981479</v>
      </c>
    </row>
    <row r="63" spans="1:7" x14ac:dyDescent="0.25">
      <c r="A63" s="8">
        <v>42639.346608796295</v>
      </c>
      <c r="B63" s="23" t="s">
        <v>277</v>
      </c>
      <c r="C63" s="23" t="s">
        <v>420</v>
      </c>
      <c r="D63" s="23">
        <v>1260000</v>
      </c>
      <c r="E63" s="23" t="s">
        <v>312</v>
      </c>
      <c r="F63" s="23" t="str">
        <f t="shared" si="0"/>
        <v>rtdc.l.rtdc.4054:itc</v>
      </c>
      <c r="G63" s="8">
        <f t="shared" si="1"/>
        <v>42639.346608796295</v>
      </c>
    </row>
    <row r="64" spans="1:7" x14ac:dyDescent="0.25">
      <c r="A64" s="29">
        <v>42639.352708333332</v>
      </c>
      <c r="B64" s="23" t="s">
        <v>311</v>
      </c>
      <c r="C64" s="23" t="s">
        <v>429</v>
      </c>
      <c r="D64" s="23">
        <v>1110000</v>
      </c>
      <c r="E64" s="23" t="s">
        <v>714</v>
      </c>
      <c r="F64" s="23" t="str">
        <f t="shared" si="0"/>
        <v>rtdc.l.rtdc.4007:itc</v>
      </c>
      <c r="G64" s="8">
        <f t="shared" si="1"/>
        <v>42639.352708333332</v>
      </c>
    </row>
    <row r="65" spans="1:7" x14ac:dyDescent="0.25">
      <c r="A65" s="8">
        <v>42639.358298611114</v>
      </c>
      <c r="B65" s="23" t="s">
        <v>290</v>
      </c>
      <c r="C65" s="23" t="s">
        <v>423</v>
      </c>
      <c r="D65" s="23">
        <v>1190000</v>
      </c>
      <c r="E65" s="23" t="s">
        <v>712</v>
      </c>
      <c r="F65" s="23" t="str">
        <f t="shared" si="0"/>
        <v>rtdc.l.rtdc.4017:itc</v>
      </c>
      <c r="G65" s="8">
        <f t="shared" si="1"/>
        <v>42639.358298611114</v>
      </c>
    </row>
    <row r="66" spans="1:7" x14ac:dyDescent="0.25">
      <c r="A66" s="8">
        <v>42639.359722222223</v>
      </c>
      <c r="B66" s="23" t="s">
        <v>238</v>
      </c>
      <c r="C66" s="23" t="s">
        <v>618</v>
      </c>
      <c r="D66" s="23">
        <v>2100000</v>
      </c>
      <c r="E66" s="23" t="s">
        <v>716</v>
      </c>
      <c r="F66" s="23" t="str">
        <f t="shared" ref="F66:F129" si="2">B66</f>
        <v>rtdc.l.rtdc.4043:itc</v>
      </c>
      <c r="G66" s="8">
        <f t="shared" ref="G66:G129" si="3">A66</f>
        <v>42639.359722222223</v>
      </c>
    </row>
    <row r="67" spans="1:7" x14ac:dyDescent="0.25">
      <c r="A67" s="8">
        <v>42639.364236111112</v>
      </c>
      <c r="B67" s="23" t="s">
        <v>181</v>
      </c>
      <c r="C67" s="23" t="s">
        <v>431</v>
      </c>
      <c r="D67" s="23">
        <v>2030000</v>
      </c>
      <c r="E67" s="23" t="s">
        <v>361</v>
      </c>
      <c r="F67" s="23" t="str">
        <f t="shared" si="2"/>
        <v>rtdc.l.rtdc.4046:itc</v>
      </c>
      <c r="G67" s="8">
        <f t="shared" si="3"/>
        <v>42639.364236111112</v>
      </c>
    </row>
    <row r="68" spans="1:7" x14ac:dyDescent="0.25">
      <c r="A68" s="8">
        <v>42639.367534722223</v>
      </c>
      <c r="B68" s="23" t="s">
        <v>172</v>
      </c>
      <c r="C68" s="23" t="s">
        <v>425</v>
      </c>
      <c r="D68" s="23">
        <v>1090000</v>
      </c>
      <c r="E68" s="23" t="s">
        <v>713</v>
      </c>
      <c r="F68" s="23" t="str">
        <f t="shared" si="2"/>
        <v>rtdc.l.rtdc.4026:itc</v>
      </c>
      <c r="G68" s="8">
        <f t="shared" si="3"/>
        <v>42639.367534722223</v>
      </c>
    </row>
    <row r="69" spans="1:7" x14ac:dyDescent="0.25">
      <c r="A69" s="8">
        <v>42639.369398148148</v>
      </c>
      <c r="B69" s="23" t="s">
        <v>181</v>
      </c>
      <c r="C69" s="23" t="s">
        <v>431</v>
      </c>
      <c r="D69" s="23">
        <v>2030000</v>
      </c>
      <c r="E69" s="23" t="s">
        <v>361</v>
      </c>
      <c r="F69" s="23" t="str">
        <f t="shared" si="2"/>
        <v>rtdc.l.rtdc.4046:itc</v>
      </c>
      <c r="G69" s="8">
        <f t="shared" si="3"/>
        <v>42639.369398148148</v>
      </c>
    </row>
    <row r="70" spans="1:7" x14ac:dyDescent="0.25">
      <c r="A70" s="8">
        <v>42639.372893518521</v>
      </c>
      <c r="B70" s="23" t="s">
        <v>291</v>
      </c>
      <c r="C70" s="23" t="s">
        <v>427</v>
      </c>
      <c r="D70" s="23">
        <v>1830000</v>
      </c>
      <c r="E70" s="23" t="s">
        <v>362</v>
      </c>
      <c r="F70" s="23" t="str">
        <f t="shared" si="2"/>
        <v>rtdc.l.rtdc.4015:itc</v>
      </c>
      <c r="G70" s="8">
        <f t="shared" si="3"/>
        <v>42639.372893518521</v>
      </c>
    </row>
    <row r="71" spans="1:7" x14ac:dyDescent="0.25">
      <c r="A71" s="8">
        <v>42639.375243055554</v>
      </c>
      <c r="B71" s="23" t="s">
        <v>248</v>
      </c>
      <c r="C71" s="23" t="s">
        <v>437</v>
      </c>
      <c r="D71" s="23">
        <v>1310000</v>
      </c>
      <c r="E71" s="23" t="s">
        <v>276</v>
      </c>
      <c r="F71" s="23" t="str">
        <f t="shared" si="2"/>
        <v>rtdc.l.rtdc.4011:itc</v>
      </c>
      <c r="G71" s="8">
        <f t="shared" si="3"/>
        <v>42639.375243055554</v>
      </c>
    </row>
    <row r="72" spans="1:7" x14ac:dyDescent="0.25">
      <c r="A72" s="8">
        <v>42639.38449074074</v>
      </c>
      <c r="B72" s="23" t="s">
        <v>310</v>
      </c>
      <c r="C72" s="23" t="s">
        <v>439</v>
      </c>
      <c r="D72" s="23">
        <v>1260000</v>
      </c>
      <c r="E72" s="23" t="s">
        <v>312</v>
      </c>
      <c r="F72" s="23" t="str">
        <f t="shared" si="2"/>
        <v>rtdc.l.rtdc.4053:itc</v>
      </c>
      <c r="G72" s="8">
        <f t="shared" si="3"/>
        <v>42639.38449074074</v>
      </c>
    </row>
    <row r="73" spans="1:7" x14ac:dyDescent="0.25">
      <c r="A73" s="8">
        <v>42639.385381944441</v>
      </c>
      <c r="B73" s="23" t="s">
        <v>237</v>
      </c>
      <c r="C73" s="23" t="s">
        <v>621</v>
      </c>
      <c r="D73" s="23">
        <v>2100000</v>
      </c>
      <c r="E73" s="23" t="s">
        <v>716</v>
      </c>
      <c r="F73" s="23" t="str">
        <f t="shared" si="2"/>
        <v>rtdc.l.rtdc.4044:itc</v>
      </c>
      <c r="G73" s="8">
        <f t="shared" si="3"/>
        <v>42639.385381944441</v>
      </c>
    </row>
    <row r="74" spans="1:7" x14ac:dyDescent="0.25">
      <c r="A74" s="8">
        <v>42639.390081018515</v>
      </c>
      <c r="B74" s="23" t="s">
        <v>255</v>
      </c>
      <c r="C74" s="23" t="s">
        <v>430</v>
      </c>
      <c r="D74" s="23">
        <v>1110000</v>
      </c>
      <c r="E74" s="23" t="s">
        <v>714</v>
      </c>
      <c r="F74" s="23" t="str">
        <f t="shared" si="2"/>
        <v>rtdc.l.rtdc.4008:itc</v>
      </c>
      <c r="G74" s="8">
        <f t="shared" si="3"/>
        <v>42639.390081018515</v>
      </c>
    </row>
    <row r="75" spans="1:7" x14ac:dyDescent="0.25">
      <c r="A75" s="8">
        <v>42639.393657407411</v>
      </c>
      <c r="B75" s="23" t="s">
        <v>292</v>
      </c>
      <c r="C75" s="23" t="s">
        <v>441</v>
      </c>
      <c r="D75" s="23">
        <v>1190000</v>
      </c>
      <c r="E75" s="23" t="s">
        <v>712</v>
      </c>
      <c r="F75" s="23" t="str">
        <f t="shared" si="2"/>
        <v>rtdc.l.rtdc.4018:itc</v>
      </c>
      <c r="G75" s="8">
        <f t="shared" si="3"/>
        <v>42639.393657407411</v>
      </c>
    </row>
    <row r="76" spans="1:7" x14ac:dyDescent="0.25">
      <c r="A76" s="8">
        <v>42639.400405092594</v>
      </c>
      <c r="B76" s="23" t="s">
        <v>710</v>
      </c>
      <c r="C76" s="23" t="s">
        <v>435</v>
      </c>
      <c r="D76" s="23">
        <v>2030000</v>
      </c>
      <c r="E76" s="23" t="s">
        <v>361</v>
      </c>
      <c r="F76" s="23" t="str">
        <f t="shared" si="2"/>
        <v>rtdc.l.rtdc.4045:itc</v>
      </c>
      <c r="G76" s="8">
        <f t="shared" si="3"/>
        <v>42639.400405092594</v>
      </c>
    </row>
    <row r="77" spans="1:7" x14ac:dyDescent="0.25">
      <c r="A77" s="8">
        <v>42639.405428240738</v>
      </c>
      <c r="B77" s="23" t="s">
        <v>238</v>
      </c>
      <c r="C77" s="23" t="s">
        <v>624</v>
      </c>
      <c r="D77" s="23">
        <v>2100000</v>
      </c>
      <c r="E77" s="23" t="s">
        <v>716</v>
      </c>
      <c r="F77" s="23" t="str">
        <f t="shared" si="2"/>
        <v>rtdc.l.rtdc.4043:itc</v>
      </c>
      <c r="G77" s="8">
        <f t="shared" si="3"/>
        <v>42639.405428240738</v>
      </c>
    </row>
    <row r="78" spans="1:7" x14ac:dyDescent="0.25">
      <c r="A78" s="8">
        <v>42639.405694444446</v>
      </c>
      <c r="B78" s="23" t="s">
        <v>171</v>
      </c>
      <c r="C78" s="23" t="s">
        <v>444</v>
      </c>
      <c r="D78" s="23">
        <v>1090000</v>
      </c>
      <c r="E78" s="23" t="s">
        <v>713</v>
      </c>
      <c r="F78" s="23" t="str">
        <f t="shared" si="2"/>
        <v>rtdc.l.rtdc.4025:itc</v>
      </c>
      <c r="G78" s="8">
        <f t="shared" si="3"/>
        <v>42639.405694444446</v>
      </c>
    </row>
    <row r="79" spans="1:7" x14ac:dyDescent="0.25">
      <c r="A79" s="8">
        <v>42639.412743055553</v>
      </c>
      <c r="B79" s="23" t="s">
        <v>249</v>
      </c>
      <c r="C79" s="23" t="s">
        <v>438</v>
      </c>
      <c r="D79" s="23">
        <v>1310000</v>
      </c>
      <c r="E79" s="23" t="s">
        <v>276</v>
      </c>
      <c r="F79" s="23" t="str">
        <f t="shared" si="2"/>
        <v>rtdc.l.rtdc.4012:itc</v>
      </c>
      <c r="G79" s="8">
        <f t="shared" si="3"/>
        <v>42639.412743055553</v>
      </c>
    </row>
    <row r="80" spans="1:7" x14ac:dyDescent="0.25">
      <c r="A80" s="8">
        <v>42639.414733796293</v>
      </c>
      <c r="B80" s="23" t="s">
        <v>270</v>
      </c>
      <c r="C80" s="23" t="s">
        <v>447</v>
      </c>
      <c r="D80" s="23">
        <v>1830000</v>
      </c>
      <c r="E80" s="23" t="s">
        <v>362</v>
      </c>
      <c r="F80" s="23" t="str">
        <f t="shared" si="2"/>
        <v>rtdc.l.rtdc.4016:itc</v>
      </c>
      <c r="G80" s="8">
        <f t="shared" si="3"/>
        <v>42639.414733796293</v>
      </c>
    </row>
    <row r="81" spans="1:7" x14ac:dyDescent="0.25">
      <c r="A81" s="8">
        <v>42639.418310185189</v>
      </c>
      <c r="B81" s="23" t="s">
        <v>277</v>
      </c>
      <c r="C81" s="23" t="s">
        <v>440</v>
      </c>
      <c r="D81" s="23">
        <v>1260000</v>
      </c>
      <c r="E81" s="23" t="s">
        <v>312</v>
      </c>
      <c r="F81" s="23" t="str">
        <f t="shared" si="2"/>
        <v>rtdc.l.rtdc.4054:itc</v>
      </c>
      <c r="G81" s="8">
        <f t="shared" si="3"/>
        <v>42639.418310185189</v>
      </c>
    </row>
    <row r="82" spans="1:7" x14ac:dyDescent="0.25">
      <c r="A82" s="8">
        <v>42639.425069444442</v>
      </c>
      <c r="B82" s="23" t="s">
        <v>290</v>
      </c>
      <c r="C82" s="23" t="s">
        <v>443</v>
      </c>
      <c r="D82" s="23">
        <v>1190000</v>
      </c>
      <c r="E82" s="23" t="s">
        <v>712</v>
      </c>
      <c r="F82" s="23" t="str">
        <f t="shared" si="2"/>
        <v>rtdc.l.rtdc.4017:itc</v>
      </c>
      <c r="G82" s="8">
        <f t="shared" si="3"/>
        <v>42639.425069444442</v>
      </c>
    </row>
    <row r="83" spans="1:7" x14ac:dyDescent="0.25">
      <c r="A83" s="8">
        <v>42639.426759259259</v>
      </c>
      <c r="B83" s="23" t="s">
        <v>311</v>
      </c>
      <c r="C83" s="23" t="s">
        <v>452</v>
      </c>
      <c r="D83" s="23">
        <v>1110000</v>
      </c>
      <c r="E83" s="23" t="s">
        <v>714</v>
      </c>
      <c r="F83" s="23" t="str">
        <f t="shared" si="2"/>
        <v>rtdc.l.rtdc.4007:itc</v>
      </c>
      <c r="G83" s="8">
        <f t="shared" si="3"/>
        <v>42639.426759259259</v>
      </c>
    </row>
    <row r="84" spans="1:7" x14ac:dyDescent="0.25">
      <c r="A84" s="8">
        <v>42639.42765046296</v>
      </c>
      <c r="B84" s="23" t="s">
        <v>237</v>
      </c>
      <c r="C84" s="23" t="s">
        <v>627</v>
      </c>
      <c r="D84" s="23">
        <v>2100000</v>
      </c>
      <c r="E84" s="23" t="s">
        <v>716</v>
      </c>
      <c r="F84" s="23" t="str">
        <f t="shared" si="2"/>
        <v>rtdc.l.rtdc.4044:itc</v>
      </c>
      <c r="G84" s="8">
        <f t="shared" si="3"/>
        <v>42639.42765046296</v>
      </c>
    </row>
    <row r="85" spans="1:7" x14ac:dyDescent="0.25">
      <c r="A85" s="8">
        <v>42639.4299537037</v>
      </c>
      <c r="B85" s="23" t="s">
        <v>260</v>
      </c>
      <c r="C85" s="23" t="s">
        <v>454</v>
      </c>
      <c r="D85" s="23">
        <v>1990000</v>
      </c>
      <c r="E85" s="23" t="s">
        <v>289</v>
      </c>
      <c r="F85" s="23" t="str">
        <f t="shared" si="2"/>
        <v>rtdc.l.rtdc.4014:itc</v>
      </c>
      <c r="G85" s="8">
        <f t="shared" si="3"/>
        <v>42639.4299537037</v>
      </c>
    </row>
    <row r="86" spans="1:7" x14ac:dyDescent="0.25">
      <c r="A86" s="8">
        <v>42639.430555555555</v>
      </c>
      <c r="B86" s="23" t="s">
        <v>260</v>
      </c>
      <c r="C86" s="23" t="s">
        <v>454</v>
      </c>
      <c r="D86" s="23">
        <v>1990000</v>
      </c>
      <c r="E86" s="23" t="s">
        <v>289</v>
      </c>
      <c r="F86" s="23" t="str">
        <f t="shared" si="2"/>
        <v>rtdc.l.rtdc.4014:itc</v>
      </c>
      <c r="G86" s="8">
        <f t="shared" si="3"/>
        <v>42639.430555555555</v>
      </c>
    </row>
    <row r="87" spans="1:7" x14ac:dyDescent="0.25">
      <c r="A87" s="8">
        <v>42639.43236111111</v>
      </c>
      <c r="B87" s="23" t="s">
        <v>260</v>
      </c>
      <c r="C87" s="23" t="s">
        <v>454</v>
      </c>
      <c r="D87" s="23">
        <v>1990000</v>
      </c>
      <c r="E87" s="23" t="s">
        <v>289</v>
      </c>
      <c r="F87" s="23" t="str">
        <f t="shared" si="2"/>
        <v>rtdc.l.rtdc.4014:itc</v>
      </c>
      <c r="G87" s="8">
        <f t="shared" si="3"/>
        <v>42639.43236111111</v>
      </c>
    </row>
    <row r="88" spans="1:7" x14ac:dyDescent="0.25">
      <c r="A88" s="8">
        <v>42639.440706018519</v>
      </c>
      <c r="B88" s="23" t="s">
        <v>172</v>
      </c>
      <c r="C88" s="23" t="s">
        <v>446</v>
      </c>
      <c r="D88" s="23">
        <v>1090000</v>
      </c>
      <c r="E88" s="23" t="s">
        <v>713</v>
      </c>
      <c r="F88" s="23" t="str">
        <f t="shared" si="2"/>
        <v>rtdc.l.rtdc.4026:itc</v>
      </c>
      <c r="G88" s="8">
        <f t="shared" si="3"/>
        <v>42639.440706018519</v>
      </c>
    </row>
    <row r="89" spans="1:7" x14ac:dyDescent="0.25">
      <c r="A89" s="8">
        <v>42639.443078703705</v>
      </c>
      <c r="B89" s="23" t="s">
        <v>238</v>
      </c>
      <c r="C89" s="23" t="s">
        <v>630</v>
      </c>
      <c r="D89" s="23">
        <v>2100000</v>
      </c>
      <c r="E89" s="23" t="s">
        <v>716</v>
      </c>
      <c r="F89" s="23" t="str">
        <f t="shared" si="2"/>
        <v>rtdc.l.rtdc.4043:itc</v>
      </c>
      <c r="G89" s="8">
        <f t="shared" si="3"/>
        <v>42639.443078703705</v>
      </c>
    </row>
    <row r="90" spans="1:7" x14ac:dyDescent="0.25">
      <c r="A90" s="8">
        <v>42639.44494212963</v>
      </c>
      <c r="B90" s="23" t="s">
        <v>291</v>
      </c>
      <c r="C90" s="23" t="s">
        <v>449</v>
      </c>
      <c r="D90" s="23">
        <v>1830000</v>
      </c>
      <c r="E90" s="23" t="s">
        <v>362</v>
      </c>
      <c r="F90" s="23" t="str">
        <f t="shared" si="2"/>
        <v>rtdc.l.rtdc.4015:itc</v>
      </c>
      <c r="G90" s="8">
        <f t="shared" si="3"/>
        <v>42639.44494212963</v>
      </c>
    </row>
    <row r="91" spans="1:7" x14ac:dyDescent="0.25">
      <c r="A91" s="8">
        <v>42639.447199074071</v>
      </c>
      <c r="B91" s="23" t="s">
        <v>248</v>
      </c>
      <c r="C91" s="23" t="s">
        <v>456</v>
      </c>
      <c r="D91" s="23">
        <v>1310000</v>
      </c>
      <c r="E91" s="23" t="s">
        <v>276</v>
      </c>
      <c r="F91" s="23" t="str">
        <f t="shared" si="2"/>
        <v>rtdc.l.rtdc.4011:itc</v>
      </c>
      <c r="G91" s="8">
        <f t="shared" si="3"/>
        <v>42639.447199074071</v>
      </c>
    </row>
    <row r="92" spans="1:7" x14ac:dyDescent="0.25">
      <c r="A92" s="8">
        <v>42639.454513888886</v>
      </c>
      <c r="B92" s="23" t="s">
        <v>291</v>
      </c>
      <c r="C92" s="23" t="s">
        <v>449</v>
      </c>
      <c r="D92" s="23">
        <v>1830000</v>
      </c>
      <c r="E92" s="23" t="s">
        <v>362</v>
      </c>
      <c r="F92" s="23" t="str">
        <f t="shared" si="2"/>
        <v>rtdc.l.rtdc.4015:itc</v>
      </c>
      <c r="G92" s="8">
        <f t="shared" si="3"/>
        <v>42639.454513888886</v>
      </c>
    </row>
    <row r="93" spans="1:7" x14ac:dyDescent="0.25">
      <c r="A93" s="8">
        <v>42639.457256944443</v>
      </c>
      <c r="B93" s="23" t="s">
        <v>310</v>
      </c>
      <c r="C93" s="23" t="s">
        <v>459</v>
      </c>
      <c r="D93" s="23">
        <v>880000</v>
      </c>
      <c r="E93" s="23" t="s">
        <v>293</v>
      </c>
      <c r="F93" s="23" t="str">
        <f t="shared" si="2"/>
        <v>rtdc.l.rtdc.4053:itc</v>
      </c>
      <c r="G93" s="8">
        <f t="shared" si="3"/>
        <v>42639.457256944443</v>
      </c>
    </row>
    <row r="94" spans="1:7" x14ac:dyDescent="0.25">
      <c r="A94" s="8">
        <v>42639.464571759258</v>
      </c>
      <c r="B94" s="23" t="s">
        <v>255</v>
      </c>
      <c r="C94" s="23" t="s">
        <v>452</v>
      </c>
      <c r="D94" s="23">
        <v>1110000</v>
      </c>
      <c r="E94" s="23" t="s">
        <v>714</v>
      </c>
      <c r="F94" s="23" t="str">
        <f t="shared" si="2"/>
        <v>rtdc.l.rtdc.4008:itc</v>
      </c>
      <c r="G94" s="8">
        <f t="shared" si="3"/>
        <v>42639.464571759258</v>
      </c>
    </row>
    <row r="95" spans="1:7" x14ac:dyDescent="0.25">
      <c r="A95" s="8">
        <v>42639.465439814812</v>
      </c>
      <c r="B95" s="23" t="s">
        <v>255</v>
      </c>
      <c r="C95" s="23" t="s">
        <v>453</v>
      </c>
      <c r="D95" s="23">
        <v>1110000</v>
      </c>
      <c r="E95" s="23" t="s">
        <v>714</v>
      </c>
      <c r="F95" s="23" t="str">
        <f t="shared" si="2"/>
        <v>rtdc.l.rtdc.4008:itc</v>
      </c>
      <c r="G95" s="8">
        <f t="shared" si="3"/>
        <v>42639.465439814812</v>
      </c>
    </row>
    <row r="96" spans="1:7" x14ac:dyDescent="0.25">
      <c r="A96" s="8">
        <v>42639.466261574074</v>
      </c>
      <c r="B96" s="23" t="s">
        <v>292</v>
      </c>
      <c r="C96" s="23" t="s">
        <v>461</v>
      </c>
      <c r="D96" s="23">
        <v>1280000</v>
      </c>
      <c r="E96" s="23" t="s">
        <v>313</v>
      </c>
      <c r="F96" s="23" t="str">
        <f t="shared" si="2"/>
        <v>rtdc.l.rtdc.4018:itc</v>
      </c>
      <c r="G96" s="8">
        <f t="shared" si="3"/>
        <v>42639.466261574074</v>
      </c>
    </row>
    <row r="97" spans="1:7" x14ac:dyDescent="0.25">
      <c r="A97" s="8">
        <v>42639.46634259259</v>
      </c>
      <c r="B97" s="23" t="s">
        <v>237</v>
      </c>
      <c r="C97" s="23" t="s">
        <v>633</v>
      </c>
      <c r="D97" s="23">
        <v>2100000</v>
      </c>
      <c r="E97" s="23" t="s">
        <v>716</v>
      </c>
      <c r="F97" s="23" t="str">
        <f t="shared" si="2"/>
        <v>rtdc.l.rtdc.4044:itc</v>
      </c>
      <c r="G97" s="8">
        <f t="shared" si="3"/>
        <v>42639.46634259259</v>
      </c>
    </row>
    <row r="98" spans="1:7" x14ac:dyDescent="0.25">
      <c r="A98" s="8">
        <v>42639.47246527778</v>
      </c>
      <c r="B98" s="23" t="s">
        <v>711</v>
      </c>
      <c r="C98" s="23" t="s">
        <v>455</v>
      </c>
      <c r="D98" s="23">
        <v>1990000</v>
      </c>
      <c r="E98" s="23" t="s">
        <v>289</v>
      </c>
      <c r="F98" s="23" t="str">
        <f t="shared" si="2"/>
        <v>rtdc.l.rtdc.4013:itc</v>
      </c>
      <c r="G98" s="8">
        <f t="shared" si="3"/>
        <v>42639.47246527778</v>
      </c>
    </row>
    <row r="99" spans="1:7" x14ac:dyDescent="0.25">
      <c r="A99" s="8">
        <v>42639.47928240741</v>
      </c>
      <c r="B99" s="23" t="s">
        <v>171</v>
      </c>
      <c r="C99" s="23" t="s">
        <v>464</v>
      </c>
      <c r="D99" s="23">
        <v>940000</v>
      </c>
      <c r="E99" s="23" t="s">
        <v>295</v>
      </c>
      <c r="F99" s="23" t="str">
        <f t="shared" si="2"/>
        <v>rtdc.l.rtdc.4025:itc</v>
      </c>
      <c r="G99" s="8">
        <f t="shared" si="3"/>
        <v>42639.47928240741</v>
      </c>
    </row>
    <row r="100" spans="1:7" x14ac:dyDescent="0.25">
      <c r="A100" s="8">
        <v>42639.486122685186</v>
      </c>
      <c r="B100" s="23" t="s">
        <v>249</v>
      </c>
      <c r="C100" s="23" t="s">
        <v>457</v>
      </c>
      <c r="D100" s="23">
        <v>1310000</v>
      </c>
      <c r="E100" s="23" t="s">
        <v>276</v>
      </c>
      <c r="F100" s="23" t="str">
        <f t="shared" si="2"/>
        <v>rtdc.l.rtdc.4012:itc</v>
      </c>
      <c r="G100" s="8">
        <f t="shared" si="3"/>
        <v>42639.486122685186</v>
      </c>
    </row>
    <row r="101" spans="1:7" x14ac:dyDescent="0.25">
      <c r="A101" s="8">
        <v>42639.48646990741</v>
      </c>
      <c r="B101" s="23" t="s">
        <v>270</v>
      </c>
      <c r="C101" s="23" t="s">
        <v>467</v>
      </c>
      <c r="D101" s="23">
        <v>930000</v>
      </c>
      <c r="E101" s="23" t="s">
        <v>294</v>
      </c>
      <c r="F101" s="23" t="str">
        <f t="shared" si="2"/>
        <v>rtdc.l.rtdc.4016:itc</v>
      </c>
      <c r="G101" s="8">
        <f t="shared" si="3"/>
        <v>42639.48646990741</v>
      </c>
    </row>
    <row r="102" spans="1:7" x14ac:dyDescent="0.25">
      <c r="A102" s="8">
        <v>42639.487129629626</v>
      </c>
      <c r="B102" s="23" t="s">
        <v>270</v>
      </c>
      <c r="C102" s="23" t="s">
        <v>467</v>
      </c>
      <c r="D102" s="23">
        <v>930000</v>
      </c>
      <c r="E102" s="23" t="s">
        <v>294</v>
      </c>
      <c r="F102" s="23" t="str">
        <f t="shared" si="2"/>
        <v>rtdc.l.rtdc.4016:itc</v>
      </c>
      <c r="G102" s="8">
        <f t="shared" si="3"/>
        <v>42639.487129629626</v>
      </c>
    </row>
    <row r="103" spans="1:7" x14ac:dyDescent="0.25">
      <c r="A103" s="8">
        <v>42639.487569444442</v>
      </c>
      <c r="B103" s="23" t="s">
        <v>238</v>
      </c>
      <c r="C103" s="23" t="s">
        <v>636</v>
      </c>
      <c r="D103" s="23">
        <v>2100000</v>
      </c>
      <c r="E103" s="23" t="s">
        <v>716</v>
      </c>
      <c r="F103" s="23" t="str">
        <f t="shared" si="2"/>
        <v>rtdc.l.rtdc.4043:itc</v>
      </c>
      <c r="G103" s="8">
        <f t="shared" si="3"/>
        <v>42639.487569444442</v>
      </c>
    </row>
    <row r="104" spans="1:7" x14ac:dyDescent="0.25">
      <c r="A104" s="8">
        <v>42639.488298611112</v>
      </c>
      <c r="B104" s="23" t="s">
        <v>270</v>
      </c>
      <c r="C104" s="23" t="s">
        <v>467</v>
      </c>
      <c r="D104" s="23">
        <v>930000</v>
      </c>
      <c r="E104" s="23" t="s">
        <v>294</v>
      </c>
      <c r="F104" s="23" t="str">
        <f t="shared" si="2"/>
        <v>rtdc.l.rtdc.4016:itc</v>
      </c>
      <c r="G104" s="8">
        <f t="shared" si="3"/>
        <v>42639.488298611112</v>
      </c>
    </row>
    <row r="105" spans="1:7" x14ac:dyDescent="0.25">
      <c r="A105" s="8">
        <v>42639.493101851855</v>
      </c>
      <c r="B105" s="23" t="s">
        <v>270</v>
      </c>
      <c r="C105" s="23" t="s">
        <v>467</v>
      </c>
      <c r="D105" s="23">
        <v>930000</v>
      </c>
      <c r="E105" s="23" t="s">
        <v>294</v>
      </c>
      <c r="F105" s="23" t="str">
        <f t="shared" si="2"/>
        <v>rtdc.l.rtdc.4016:itc</v>
      </c>
      <c r="G105" s="8">
        <f t="shared" si="3"/>
        <v>42639.493101851855</v>
      </c>
    </row>
    <row r="106" spans="1:7" x14ac:dyDescent="0.25">
      <c r="A106" s="8">
        <v>42639.493946759256</v>
      </c>
      <c r="B106" s="23" t="s">
        <v>270</v>
      </c>
      <c r="C106" s="23" t="s">
        <v>467</v>
      </c>
      <c r="D106" s="23">
        <v>930000</v>
      </c>
      <c r="E106" s="23" t="s">
        <v>294</v>
      </c>
      <c r="F106" s="23" t="str">
        <f t="shared" si="2"/>
        <v>rtdc.l.rtdc.4016:itc</v>
      </c>
      <c r="G106" s="8">
        <f t="shared" si="3"/>
        <v>42639.493946759256</v>
      </c>
    </row>
    <row r="107" spans="1:7" x14ac:dyDescent="0.25">
      <c r="A107" s="8">
        <v>42639.495115740741</v>
      </c>
      <c r="B107" s="23" t="s">
        <v>277</v>
      </c>
      <c r="C107" s="23" t="s">
        <v>460</v>
      </c>
      <c r="D107" s="23">
        <v>880000</v>
      </c>
      <c r="E107" s="23" t="s">
        <v>293</v>
      </c>
      <c r="F107" s="23" t="str">
        <f t="shared" si="2"/>
        <v>rtdc.l.rtdc.4054:itc</v>
      </c>
      <c r="G107" s="8">
        <f t="shared" si="3"/>
        <v>42639.495115740741</v>
      </c>
    </row>
    <row r="108" spans="1:7" x14ac:dyDescent="0.25">
      <c r="A108" s="8">
        <v>42639.498136574075</v>
      </c>
      <c r="B108" s="23" t="s">
        <v>290</v>
      </c>
      <c r="C108" s="23" t="s">
        <v>462</v>
      </c>
      <c r="D108" s="23">
        <v>1280000</v>
      </c>
      <c r="E108" s="23" t="s">
        <v>313</v>
      </c>
      <c r="F108" s="23" t="str">
        <f t="shared" si="2"/>
        <v>rtdc.l.rtdc.4017:itc</v>
      </c>
      <c r="G108" s="8">
        <f t="shared" si="3"/>
        <v>42639.498136574075</v>
      </c>
    </row>
    <row r="109" spans="1:7" x14ac:dyDescent="0.25">
      <c r="A109" s="8">
        <v>42639.498773148145</v>
      </c>
      <c r="B109" s="23" t="s">
        <v>311</v>
      </c>
      <c r="C109" s="23" t="s">
        <v>470</v>
      </c>
      <c r="D109" s="23">
        <v>1140000</v>
      </c>
      <c r="E109" s="23" t="s">
        <v>363</v>
      </c>
      <c r="F109" s="23" t="str">
        <f t="shared" si="2"/>
        <v>rtdc.l.rtdc.4007:itc</v>
      </c>
      <c r="G109" s="8">
        <f t="shared" si="3"/>
        <v>42639.498773148145</v>
      </c>
    </row>
    <row r="110" spans="1:7" x14ac:dyDescent="0.25">
      <c r="A110" s="8">
        <v>42639.499768518515</v>
      </c>
      <c r="B110" s="23" t="s">
        <v>249</v>
      </c>
      <c r="C110" s="23" t="s">
        <v>457</v>
      </c>
      <c r="D110" s="23">
        <v>1310000</v>
      </c>
      <c r="E110" s="23" t="s">
        <v>276</v>
      </c>
      <c r="F110" s="23" t="str">
        <f t="shared" si="2"/>
        <v>rtdc.l.rtdc.4012:itc</v>
      </c>
      <c r="G110" s="8">
        <f t="shared" si="3"/>
        <v>42639.499768518515</v>
      </c>
    </row>
    <row r="111" spans="1:7" x14ac:dyDescent="0.25">
      <c r="A111" s="8">
        <v>42639.508425925924</v>
      </c>
      <c r="B111" s="23" t="s">
        <v>237</v>
      </c>
      <c r="C111" s="23" t="s">
        <v>638</v>
      </c>
      <c r="D111" s="23">
        <v>2100000</v>
      </c>
      <c r="E111" s="23" t="s">
        <v>716</v>
      </c>
      <c r="F111" s="23" t="str">
        <f t="shared" si="2"/>
        <v>rtdc.l.rtdc.4044:itc</v>
      </c>
      <c r="G111" s="8">
        <f t="shared" si="3"/>
        <v>42639.508425925924</v>
      </c>
    </row>
    <row r="112" spans="1:7" x14ac:dyDescent="0.25">
      <c r="A112" s="8">
        <v>42639.513124999998</v>
      </c>
      <c r="B112" s="23" t="s">
        <v>260</v>
      </c>
      <c r="C112" s="23" t="s">
        <v>473</v>
      </c>
      <c r="D112" s="23">
        <v>1540000</v>
      </c>
      <c r="E112" s="23" t="s">
        <v>261</v>
      </c>
      <c r="F112" s="23" t="str">
        <f t="shared" si="2"/>
        <v>rtdc.l.rtdc.4014:itc</v>
      </c>
      <c r="G112" s="8">
        <f t="shared" si="3"/>
        <v>42639.513124999998</v>
      </c>
    </row>
    <row r="113" spans="1:7" x14ac:dyDescent="0.25">
      <c r="A113" s="8">
        <v>42639.51394675926</v>
      </c>
      <c r="B113" s="23" t="s">
        <v>172</v>
      </c>
      <c r="C113" s="23" t="s">
        <v>466</v>
      </c>
      <c r="D113" s="23">
        <v>940000</v>
      </c>
      <c r="E113" s="23" t="s">
        <v>295</v>
      </c>
      <c r="F113" s="23" t="str">
        <f t="shared" si="2"/>
        <v>rtdc.l.rtdc.4026:itc</v>
      </c>
      <c r="G113" s="8">
        <f t="shared" si="3"/>
        <v>42639.51394675926</v>
      </c>
    </row>
    <row r="114" spans="1:7" x14ac:dyDescent="0.25">
      <c r="A114" s="8">
        <v>42639.52270833333</v>
      </c>
      <c r="B114" s="23" t="s">
        <v>248</v>
      </c>
      <c r="C114" s="23" t="s">
        <v>475</v>
      </c>
      <c r="D114" s="23">
        <v>2110000</v>
      </c>
      <c r="E114" s="23" t="s">
        <v>717</v>
      </c>
      <c r="F114" s="23" t="str">
        <f t="shared" si="2"/>
        <v>rtdc.l.rtdc.4011:itc</v>
      </c>
      <c r="G114" s="8">
        <f t="shared" si="3"/>
        <v>42639.52270833333</v>
      </c>
    </row>
    <row r="115" spans="1:7" x14ac:dyDescent="0.25">
      <c r="A115" s="8">
        <v>42639.526134259257</v>
      </c>
      <c r="B115" s="23" t="s">
        <v>291</v>
      </c>
      <c r="C115" s="23" t="s">
        <v>469</v>
      </c>
      <c r="D115" s="23">
        <v>930000</v>
      </c>
      <c r="E115" s="23" t="s">
        <v>294</v>
      </c>
      <c r="F115" s="23" t="str">
        <f t="shared" si="2"/>
        <v>rtdc.l.rtdc.4015:itc</v>
      </c>
      <c r="G115" s="8">
        <f t="shared" si="3"/>
        <v>42639.526134259257</v>
      </c>
    </row>
    <row r="116" spans="1:7" x14ac:dyDescent="0.25">
      <c r="A116" s="8">
        <v>42639.526666666665</v>
      </c>
      <c r="B116" s="23" t="s">
        <v>238</v>
      </c>
      <c r="C116" s="23" t="s">
        <v>641</v>
      </c>
      <c r="D116" s="23">
        <v>2100000</v>
      </c>
      <c r="E116" s="23" t="s">
        <v>716</v>
      </c>
      <c r="F116" s="23" t="str">
        <f t="shared" si="2"/>
        <v>rtdc.l.rtdc.4043:itc</v>
      </c>
      <c r="G116" s="8">
        <f t="shared" si="3"/>
        <v>42639.526666666665</v>
      </c>
    </row>
    <row r="117" spans="1:7" x14ac:dyDescent="0.25">
      <c r="A117" s="8">
        <v>42639.532708333332</v>
      </c>
      <c r="B117" s="23" t="s">
        <v>310</v>
      </c>
      <c r="C117" s="23" t="s">
        <v>477</v>
      </c>
      <c r="D117" s="23">
        <v>880000</v>
      </c>
      <c r="E117" s="23" t="s">
        <v>293</v>
      </c>
      <c r="F117" s="23" t="str">
        <f t="shared" si="2"/>
        <v>rtdc.l.rtdc.4053:itc</v>
      </c>
      <c r="G117" s="8">
        <f t="shared" si="3"/>
        <v>42639.532708333332</v>
      </c>
    </row>
    <row r="118" spans="1:7" x14ac:dyDescent="0.25">
      <c r="A118" s="8">
        <v>42639.537314814814</v>
      </c>
      <c r="B118" s="23" t="s">
        <v>255</v>
      </c>
      <c r="C118" s="23" t="s">
        <v>471</v>
      </c>
      <c r="D118" s="23">
        <v>1140000</v>
      </c>
      <c r="E118" s="23" t="s">
        <v>363</v>
      </c>
      <c r="F118" s="23" t="str">
        <f t="shared" si="2"/>
        <v>rtdc.l.rtdc.4008:itc</v>
      </c>
      <c r="G118" s="8">
        <f t="shared" si="3"/>
        <v>42639.537314814814</v>
      </c>
    </row>
    <row r="119" spans="1:7" x14ac:dyDescent="0.25">
      <c r="A119" s="8">
        <v>42639.538784722223</v>
      </c>
      <c r="B119" s="23" t="s">
        <v>292</v>
      </c>
      <c r="C119" s="23" t="s">
        <v>480</v>
      </c>
      <c r="D119" s="23">
        <v>1280000</v>
      </c>
      <c r="E119" s="23" t="s">
        <v>313</v>
      </c>
      <c r="F119" s="23" t="str">
        <f t="shared" si="2"/>
        <v>rtdc.l.rtdc.4018:itc</v>
      </c>
      <c r="G119" s="8">
        <f t="shared" si="3"/>
        <v>42639.538784722223</v>
      </c>
    </row>
    <row r="120" spans="1:7" x14ac:dyDescent="0.25">
      <c r="A120" s="8">
        <v>42639.546932870369</v>
      </c>
      <c r="B120" s="23" t="s">
        <v>711</v>
      </c>
      <c r="C120" s="23" t="s">
        <v>474</v>
      </c>
      <c r="D120" s="23">
        <v>1540000</v>
      </c>
      <c r="E120" s="23" t="s">
        <v>261</v>
      </c>
      <c r="F120" s="23" t="str">
        <f t="shared" si="2"/>
        <v>rtdc.l.rtdc.4013:itc</v>
      </c>
      <c r="G120" s="8">
        <f t="shared" si="3"/>
        <v>42639.546932870369</v>
      </c>
    </row>
    <row r="121" spans="1:7" x14ac:dyDescent="0.25">
      <c r="A121" s="8">
        <v>42639.548217592594</v>
      </c>
      <c r="B121" s="23" t="s">
        <v>171</v>
      </c>
      <c r="C121" s="23" t="s">
        <v>484</v>
      </c>
      <c r="D121" s="23">
        <v>940000</v>
      </c>
      <c r="E121" s="23" t="s">
        <v>295</v>
      </c>
      <c r="F121" s="23" t="str">
        <f t="shared" si="2"/>
        <v>rtdc.l.rtdc.4025:itc</v>
      </c>
      <c r="G121" s="8">
        <f t="shared" si="3"/>
        <v>42639.548217592594</v>
      </c>
    </row>
    <row r="122" spans="1:7" x14ac:dyDescent="0.25">
      <c r="A122" s="8">
        <v>42639.548831018517</v>
      </c>
      <c r="B122" s="28" t="s">
        <v>237</v>
      </c>
      <c r="C122" s="23" t="s">
        <v>644</v>
      </c>
      <c r="D122" s="23">
        <v>1770000</v>
      </c>
      <c r="E122" s="23" t="s">
        <v>314</v>
      </c>
      <c r="F122" s="23" t="str">
        <f t="shared" si="2"/>
        <v>rtdc.l.rtdc.4044:itc</v>
      </c>
      <c r="G122" s="8">
        <f t="shared" si="3"/>
        <v>42639.548831018517</v>
      </c>
    </row>
    <row r="123" spans="1:7" x14ac:dyDescent="0.25">
      <c r="A123" s="8">
        <v>42639.557141203702</v>
      </c>
      <c r="B123" s="23" t="s">
        <v>249</v>
      </c>
      <c r="C123" s="23" t="s">
        <v>476</v>
      </c>
      <c r="D123" s="23">
        <v>2110000</v>
      </c>
      <c r="E123" s="23" t="s">
        <v>717</v>
      </c>
      <c r="F123" s="23" t="str">
        <f t="shared" si="2"/>
        <v>rtdc.l.rtdc.4012:itc</v>
      </c>
      <c r="G123" s="8">
        <f t="shared" si="3"/>
        <v>42639.557141203702</v>
      </c>
    </row>
    <row r="124" spans="1:7" x14ac:dyDescent="0.25">
      <c r="A124" s="8">
        <v>42639.559328703705</v>
      </c>
      <c r="B124" s="23" t="s">
        <v>270</v>
      </c>
      <c r="C124" s="23" t="s">
        <v>486</v>
      </c>
      <c r="D124" s="23">
        <v>930000</v>
      </c>
      <c r="E124" s="23" t="s">
        <v>294</v>
      </c>
      <c r="F124" s="23" t="str">
        <f t="shared" si="2"/>
        <v>rtdc.l.rtdc.4016:itc</v>
      </c>
      <c r="G124" s="8">
        <f t="shared" si="3"/>
        <v>42639.559328703705</v>
      </c>
    </row>
    <row r="125" spans="1:7" x14ac:dyDescent="0.25">
      <c r="A125" s="8">
        <v>42639.568726851852</v>
      </c>
      <c r="B125" s="23" t="s">
        <v>238</v>
      </c>
      <c r="C125" s="23" t="s">
        <v>647</v>
      </c>
      <c r="D125" s="23">
        <v>1770000</v>
      </c>
      <c r="E125" s="23" t="s">
        <v>314</v>
      </c>
      <c r="F125" s="23" t="str">
        <f t="shared" si="2"/>
        <v>rtdc.l.rtdc.4043:itc</v>
      </c>
      <c r="G125" s="8">
        <f t="shared" si="3"/>
        <v>42639.568726851852</v>
      </c>
    </row>
    <row r="126" spans="1:7" x14ac:dyDescent="0.25">
      <c r="A126" s="8">
        <v>42639.56931712963</v>
      </c>
      <c r="B126" s="23" t="s">
        <v>277</v>
      </c>
      <c r="C126" s="23" t="s">
        <v>479</v>
      </c>
      <c r="D126" s="23">
        <v>880000</v>
      </c>
      <c r="E126" s="23" t="s">
        <v>293</v>
      </c>
      <c r="F126" s="23" t="str">
        <f t="shared" si="2"/>
        <v>rtdc.l.rtdc.4054:itc</v>
      </c>
      <c r="G126" s="8">
        <f t="shared" si="3"/>
        <v>42639.56931712963</v>
      </c>
    </row>
    <row r="127" spans="1:7" x14ac:dyDescent="0.25">
      <c r="A127" s="8">
        <v>42639.5700462963</v>
      </c>
      <c r="B127" s="23" t="s">
        <v>311</v>
      </c>
      <c r="C127" s="23" t="s">
        <v>488</v>
      </c>
      <c r="D127" s="23">
        <v>1140000</v>
      </c>
      <c r="E127" s="23" t="s">
        <v>363</v>
      </c>
      <c r="F127" s="23" t="str">
        <f t="shared" si="2"/>
        <v>rtdc.l.rtdc.4007:itc</v>
      </c>
      <c r="G127" s="8">
        <f t="shared" si="3"/>
        <v>42639.5700462963</v>
      </c>
    </row>
    <row r="128" spans="1:7" x14ac:dyDescent="0.25">
      <c r="A128" s="8">
        <v>42639.570729166669</v>
      </c>
      <c r="B128" s="23" t="s">
        <v>290</v>
      </c>
      <c r="C128" s="23" t="s">
        <v>483</v>
      </c>
      <c r="D128" s="23">
        <v>1280000</v>
      </c>
      <c r="E128" s="23" t="s">
        <v>313</v>
      </c>
      <c r="F128" s="23" t="str">
        <f t="shared" si="2"/>
        <v>rtdc.l.rtdc.4017:itc</v>
      </c>
      <c r="G128" s="8">
        <f t="shared" si="3"/>
        <v>42639.570729166669</v>
      </c>
    </row>
    <row r="129" spans="1:7" x14ac:dyDescent="0.25">
      <c r="A129" s="8">
        <v>42639.579050925924</v>
      </c>
      <c r="B129" s="23" t="s">
        <v>260</v>
      </c>
      <c r="C129" s="23" t="s">
        <v>490</v>
      </c>
      <c r="D129" s="23">
        <v>1540000</v>
      </c>
      <c r="E129" s="23" t="s">
        <v>261</v>
      </c>
      <c r="F129" s="23" t="str">
        <f t="shared" si="2"/>
        <v>rtdc.l.rtdc.4014:itc</v>
      </c>
      <c r="G129" s="8">
        <f t="shared" si="3"/>
        <v>42639.579050925924</v>
      </c>
    </row>
    <row r="130" spans="1:7" x14ac:dyDescent="0.25">
      <c r="A130" s="8">
        <v>42639.584409722222</v>
      </c>
      <c r="B130" s="23" t="s">
        <v>172</v>
      </c>
      <c r="C130" s="23" t="s">
        <v>485</v>
      </c>
      <c r="D130" s="23">
        <v>940000</v>
      </c>
      <c r="E130" s="23" t="s">
        <v>295</v>
      </c>
      <c r="F130" s="23" t="str">
        <f t="shared" ref="F130:F193" si="4">B130</f>
        <v>rtdc.l.rtdc.4026:itc</v>
      </c>
      <c r="G130" s="8">
        <f t="shared" ref="G130:G193" si="5">A130</f>
        <v>42639.584409722222</v>
      </c>
    </row>
    <row r="131" spans="1:7" x14ac:dyDescent="0.25">
      <c r="A131" s="8">
        <v>42639.590914351851</v>
      </c>
      <c r="B131" s="23" t="s">
        <v>248</v>
      </c>
      <c r="C131" s="23" t="s">
        <v>492</v>
      </c>
      <c r="D131" s="23">
        <v>2110000</v>
      </c>
      <c r="E131" s="23" t="s">
        <v>717</v>
      </c>
      <c r="F131" s="23" t="str">
        <f t="shared" si="4"/>
        <v>rtdc.l.rtdc.4011:itc</v>
      </c>
      <c r="G131" s="8">
        <f t="shared" si="5"/>
        <v>42639.590914351851</v>
      </c>
    </row>
    <row r="132" spans="1:7" x14ac:dyDescent="0.25">
      <c r="A132" s="8">
        <v>42639.59412037037</v>
      </c>
      <c r="B132" s="23" t="s">
        <v>237</v>
      </c>
      <c r="C132" s="23" t="s">
        <v>650</v>
      </c>
      <c r="D132" s="23">
        <v>1770000</v>
      </c>
      <c r="E132" s="23" t="s">
        <v>314</v>
      </c>
      <c r="F132" s="23" t="str">
        <f t="shared" si="4"/>
        <v>rtdc.l.rtdc.4044:itc</v>
      </c>
      <c r="G132" s="8">
        <f t="shared" si="5"/>
        <v>42639.59412037037</v>
      </c>
    </row>
    <row r="133" spans="1:7" x14ac:dyDescent="0.25">
      <c r="A133" s="8">
        <v>42639.596412037034</v>
      </c>
      <c r="B133" s="23" t="s">
        <v>291</v>
      </c>
      <c r="C133" s="23" t="s">
        <v>487</v>
      </c>
      <c r="D133" s="23">
        <v>930000</v>
      </c>
      <c r="E133" s="23" t="s">
        <v>294</v>
      </c>
      <c r="F133" s="23" t="str">
        <f t="shared" si="4"/>
        <v>rtdc.l.rtdc.4015:itc</v>
      </c>
      <c r="G133" s="8">
        <f t="shared" si="5"/>
        <v>42639.596412037034</v>
      </c>
    </row>
    <row r="134" spans="1:7" x14ac:dyDescent="0.25">
      <c r="A134" s="8">
        <v>42639.600752314815</v>
      </c>
      <c r="B134" s="23" t="s">
        <v>310</v>
      </c>
      <c r="C134" s="23" t="s">
        <v>494</v>
      </c>
      <c r="D134" s="23">
        <v>880000</v>
      </c>
      <c r="E134" s="23" t="s">
        <v>293</v>
      </c>
      <c r="F134" s="23" t="str">
        <f t="shared" si="4"/>
        <v>rtdc.l.rtdc.4053:itc</v>
      </c>
      <c r="G134" s="8">
        <f t="shared" si="5"/>
        <v>42639.600752314815</v>
      </c>
    </row>
    <row r="135" spans="1:7" x14ac:dyDescent="0.25">
      <c r="A135" s="8">
        <v>42639.607673611114</v>
      </c>
      <c r="B135" s="23" t="s">
        <v>255</v>
      </c>
      <c r="C135" s="23" t="s">
        <v>489</v>
      </c>
      <c r="D135" s="23">
        <v>1140000</v>
      </c>
      <c r="E135" s="23" t="s">
        <v>363</v>
      </c>
      <c r="F135" s="23" t="str">
        <f t="shared" si="4"/>
        <v>rtdc.l.rtdc.4008:itc</v>
      </c>
      <c r="G135" s="8">
        <f t="shared" si="5"/>
        <v>42639.607673611114</v>
      </c>
    </row>
    <row r="136" spans="1:7" x14ac:dyDescent="0.25">
      <c r="A136" s="8">
        <v>42639.610162037039</v>
      </c>
      <c r="B136" s="23" t="s">
        <v>292</v>
      </c>
      <c r="C136" s="23" t="s">
        <v>496</v>
      </c>
      <c r="D136" s="23">
        <v>1280000</v>
      </c>
      <c r="E136" s="23" t="s">
        <v>313</v>
      </c>
      <c r="F136" s="23" t="str">
        <f t="shared" si="4"/>
        <v>rtdc.l.rtdc.4018:itc</v>
      </c>
      <c r="G136" s="8">
        <f t="shared" si="5"/>
        <v>42639.610162037039</v>
      </c>
    </row>
    <row r="137" spans="1:7" x14ac:dyDescent="0.25">
      <c r="A137" s="8">
        <v>42639.61037037037</v>
      </c>
      <c r="B137" s="23" t="s">
        <v>238</v>
      </c>
      <c r="C137" s="23" t="s">
        <v>653</v>
      </c>
      <c r="D137" s="23">
        <v>1770000</v>
      </c>
      <c r="E137" s="23" t="s">
        <v>314</v>
      </c>
      <c r="F137" s="23" t="str">
        <f t="shared" si="4"/>
        <v>rtdc.l.rtdc.4043:itc</v>
      </c>
      <c r="G137" s="8">
        <f t="shared" si="5"/>
        <v>42639.61037037037</v>
      </c>
    </row>
    <row r="138" spans="1:7" x14ac:dyDescent="0.25">
      <c r="A138" s="8">
        <v>42639.617777777778</v>
      </c>
      <c r="B138" s="23" t="s">
        <v>711</v>
      </c>
      <c r="C138" s="23" t="s">
        <v>491</v>
      </c>
      <c r="D138" s="23">
        <v>1540000</v>
      </c>
      <c r="E138" s="23" t="s">
        <v>261</v>
      </c>
      <c r="F138" s="23" t="str">
        <f t="shared" si="4"/>
        <v>rtdc.l.rtdc.4013:itc</v>
      </c>
      <c r="G138" s="8">
        <f t="shared" si="5"/>
        <v>42639.617777777778</v>
      </c>
    </row>
    <row r="139" spans="1:7" x14ac:dyDescent="0.25">
      <c r="A139" s="8">
        <v>42639.621550925927</v>
      </c>
      <c r="B139" s="23" t="s">
        <v>171</v>
      </c>
      <c r="C139" s="23" t="s">
        <v>498</v>
      </c>
      <c r="D139" s="23">
        <v>940000</v>
      </c>
      <c r="E139" s="23" t="s">
        <v>295</v>
      </c>
      <c r="F139" s="23" t="str">
        <f t="shared" si="4"/>
        <v>rtdc.l.rtdc.4025:itc</v>
      </c>
      <c r="G139" s="8">
        <f t="shared" si="5"/>
        <v>42639.621550925927</v>
      </c>
    </row>
    <row r="140" spans="1:7" x14ac:dyDescent="0.25">
      <c r="A140" s="8">
        <v>42639.628969907404</v>
      </c>
      <c r="B140" s="23" t="s">
        <v>249</v>
      </c>
      <c r="C140" s="23" t="s">
        <v>493</v>
      </c>
      <c r="D140" s="23">
        <v>2110000</v>
      </c>
      <c r="E140" s="23" t="s">
        <v>717</v>
      </c>
      <c r="F140" s="23" t="str">
        <f t="shared" si="4"/>
        <v>rtdc.l.rtdc.4012:itc</v>
      </c>
      <c r="G140" s="8">
        <f t="shared" si="5"/>
        <v>42639.628969907404</v>
      </c>
    </row>
    <row r="141" spans="1:7" x14ac:dyDescent="0.25">
      <c r="A141" s="8">
        <v>42639.632407407407</v>
      </c>
      <c r="B141" s="23" t="s">
        <v>270</v>
      </c>
      <c r="C141" s="23" t="s">
        <v>500</v>
      </c>
      <c r="D141" s="23">
        <v>930000</v>
      </c>
      <c r="E141" s="23" t="s">
        <v>294</v>
      </c>
      <c r="F141" s="23" t="str">
        <f t="shared" si="4"/>
        <v>rtdc.l.rtdc.4016:itc</v>
      </c>
      <c r="G141" s="8">
        <f t="shared" si="5"/>
        <v>42639.632407407407</v>
      </c>
    </row>
    <row r="142" spans="1:7" x14ac:dyDescent="0.25">
      <c r="A142" s="8">
        <v>42639.63349537037</v>
      </c>
      <c r="B142" s="23" t="s">
        <v>278</v>
      </c>
      <c r="C142" s="23" t="s">
        <v>707</v>
      </c>
      <c r="D142" s="23">
        <v>1290000</v>
      </c>
      <c r="E142" s="23" t="s">
        <v>173</v>
      </c>
      <c r="F142" s="23" t="str">
        <f t="shared" si="4"/>
        <v>rtdc.l.rtdc.4030:itc</v>
      </c>
      <c r="G142" s="8">
        <f t="shared" si="5"/>
        <v>42639.63349537037</v>
      </c>
    </row>
    <row r="143" spans="1:7" x14ac:dyDescent="0.25">
      <c r="A143" s="8">
        <v>42639.635625000003</v>
      </c>
      <c r="B143" s="23" t="s">
        <v>237</v>
      </c>
      <c r="C143" s="23" t="s">
        <v>655</v>
      </c>
      <c r="D143" s="23">
        <v>1770000</v>
      </c>
      <c r="E143" s="23" t="s">
        <v>314</v>
      </c>
      <c r="F143" s="23" t="str">
        <f t="shared" si="4"/>
        <v>rtdc.l.rtdc.4044:itc</v>
      </c>
      <c r="G143" s="8">
        <f t="shared" si="5"/>
        <v>42639.635625000003</v>
      </c>
    </row>
    <row r="144" spans="1:7" x14ac:dyDescent="0.25">
      <c r="A144" s="8">
        <v>42639.63821759259</v>
      </c>
      <c r="B144" s="23" t="s">
        <v>278</v>
      </c>
      <c r="C144" s="23" t="s">
        <v>707</v>
      </c>
      <c r="D144" s="23">
        <v>1290000</v>
      </c>
      <c r="E144" s="23" t="s">
        <v>173</v>
      </c>
      <c r="F144" s="23" t="str">
        <f t="shared" si="4"/>
        <v>rtdc.l.rtdc.4030:itc</v>
      </c>
      <c r="G144" s="8">
        <f t="shared" si="5"/>
        <v>42639.63821759259</v>
      </c>
    </row>
    <row r="145" spans="1:7" x14ac:dyDescent="0.25">
      <c r="A145" s="8">
        <v>42639.641342592593</v>
      </c>
      <c r="B145" s="23" t="s">
        <v>277</v>
      </c>
      <c r="C145" s="23" t="s">
        <v>495</v>
      </c>
      <c r="D145" s="23">
        <v>880000</v>
      </c>
      <c r="E145" s="23" t="s">
        <v>293</v>
      </c>
      <c r="F145" s="23" t="str">
        <f t="shared" si="4"/>
        <v>rtdc.l.rtdc.4054:itc</v>
      </c>
      <c r="G145" s="8">
        <f t="shared" si="5"/>
        <v>42639.641342592593</v>
      </c>
    </row>
    <row r="146" spans="1:7" x14ac:dyDescent="0.25">
      <c r="A146" s="8">
        <v>42639.642824074072</v>
      </c>
      <c r="B146" s="23" t="s">
        <v>311</v>
      </c>
      <c r="C146" s="23" t="s">
        <v>503</v>
      </c>
      <c r="D146" s="23">
        <v>1140000</v>
      </c>
      <c r="E146" s="23" t="s">
        <v>363</v>
      </c>
      <c r="F146" s="23" t="str">
        <f t="shared" si="4"/>
        <v>rtdc.l.rtdc.4007:itc</v>
      </c>
      <c r="G146" s="8">
        <f t="shared" si="5"/>
        <v>42639.642824074072</v>
      </c>
    </row>
    <row r="147" spans="1:7" x14ac:dyDescent="0.25">
      <c r="A147" s="8">
        <v>42639.650393518517</v>
      </c>
      <c r="B147" s="23" t="s">
        <v>290</v>
      </c>
      <c r="C147" s="23" t="s">
        <v>497</v>
      </c>
      <c r="D147" s="23">
        <v>1280000</v>
      </c>
      <c r="E147" s="23" t="s">
        <v>313</v>
      </c>
      <c r="F147" s="23" t="str">
        <f t="shared" si="4"/>
        <v>rtdc.l.rtdc.4017:itc</v>
      </c>
      <c r="G147" s="8">
        <f t="shared" si="5"/>
        <v>42639.650393518517</v>
      </c>
    </row>
    <row r="148" spans="1:7" x14ac:dyDescent="0.25">
      <c r="A148" s="8">
        <v>42639.651678240742</v>
      </c>
      <c r="B148" s="23" t="s">
        <v>238</v>
      </c>
      <c r="C148" s="23" t="s">
        <v>658</v>
      </c>
      <c r="D148" s="23">
        <v>1770000</v>
      </c>
      <c r="E148" s="23" t="s">
        <v>314</v>
      </c>
      <c r="F148" s="23" t="str">
        <f t="shared" si="4"/>
        <v>rtdc.l.rtdc.4043:itc</v>
      </c>
      <c r="G148" s="8">
        <f t="shared" si="5"/>
        <v>42639.651678240742</v>
      </c>
    </row>
    <row r="149" spans="1:7" x14ac:dyDescent="0.25">
      <c r="A149" s="8">
        <v>42639.655428240738</v>
      </c>
      <c r="B149" s="23" t="s">
        <v>260</v>
      </c>
      <c r="C149" s="23" t="s">
        <v>505</v>
      </c>
      <c r="D149" s="23">
        <v>1540000</v>
      </c>
      <c r="E149" s="23" t="s">
        <v>261</v>
      </c>
      <c r="F149" s="23" t="str">
        <f t="shared" si="4"/>
        <v>rtdc.l.rtdc.4014:itc</v>
      </c>
      <c r="G149" s="8">
        <f t="shared" si="5"/>
        <v>42639.655428240738</v>
      </c>
    </row>
    <row r="150" spans="1:7" x14ac:dyDescent="0.25">
      <c r="A150" s="8">
        <v>42639.656539351854</v>
      </c>
      <c r="B150" s="23" t="s">
        <v>172</v>
      </c>
      <c r="C150" s="23" t="s">
        <v>499</v>
      </c>
      <c r="D150" s="23">
        <v>940000</v>
      </c>
      <c r="E150" s="23" t="s">
        <v>295</v>
      </c>
      <c r="F150" s="23" t="str">
        <f t="shared" si="4"/>
        <v>rtdc.l.rtdc.4026:itc</v>
      </c>
      <c r="G150" s="8">
        <f t="shared" si="5"/>
        <v>42639.656539351854</v>
      </c>
    </row>
    <row r="151" spans="1:7" x14ac:dyDescent="0.25">
      <c r="A151" s="8">
        <v>42639.657430555555</v>
      </c>
      <c r="B151" s="23" t="s">
        <v>275</v>
      </c>
      <c r="C151" s="23" t="s">
        <v>661</v>
      </c>
      <c r="D151" s="23">
        <v>1290000</v>
      </c>
      <c r="E151" s="23" t="s">
        <v>173</v>
      </c>
      <c r="F151" s="23" t="str">
        <f t="shared" si="4"/>
        <v>rtdc.l.rtdc.4029:itc</v>
      </c>
      <c r="G151" s="8">
        <f t="shared" si="5"/>
        <v>42639.657430555555</v>
      </c>
    </row>
    <row r="152" spans="1:7" x14ac:dyDescent="0.25">
      <c r="A152" s="8">
        <v>42639.661712962959</v>
      </c>
      <c r="B152" s="23" t="s">
        <v>248</v>
      </c>
      <c r="C152" s="23" t="s">
        <v>507</v>
      </c>
      <c r="D152" s="23">
        <v>2110000</v>
      </c>
      <c r="E152" s="23" t="s">
        <v>717</v>
      </c>
      <c r="F152" s="23" t="str">
        <f t="shared" si="4"/>
        <v>rtdc.l.rtdc.4011:itc</v>
      </c>
      <c r="G152" s="8">
        <f t="shared" si="5"/>
        <v>42639.661712962959</v>
      </c>
    </row>
    <row r="153" spans="1:7" x14ac:dyDescent="0.25">
      <c r="A153" s="8">
        <v>42639.667094907411</v>
      </c>
      <c r="B153" s="23" t="s">
        <v>291</v>
      </c>
      <c r="C153" s="23" t="s">
        <v>501</v>
      </c>
      <c r="D153" s="23">
        <v>930000</v>
      </c>
      <c r="E153" s="23" t="s">
        <v>294</v>
      </c>
      <c r="F153" s="23" t="str">
        <f t="shared" si="4"/>
        <v>rtdc.l.rtdc.4015:itc</v>
      </c>
      <c r="G153" s="8">
        <f t="shared" si="5"/>
        <v>42639.667094907411</v>
      </c>
    </row>
    <row r="154" spans="1:7" x14ac:dyDescent="0.25">
      <c r="A154" s="8">
        <v>42639.671990740739</v>
      </c>
      <c r="B154" s="23" t="s">
        <v>278</v>
      </c>
      <c r="C154" s="23" t="s">
        <v>664</v>
      </c>
      <c r="D154" s="23">
        <v>1290000</v>
      </c>
      <c r="E154" s="23" t="s">
        <v>173</v>
      </c>
      <c r="F154" s="23" t="str">
        <f t="shared" si="4"/>
        <v>rtdc.l.rtdc.4030:itc</v>
      </c>
      <c r="G154" s="8">
        <f t="shared" si="5"/>
        <v>42639.671990740739</v>
      </c>
    </row>
    <row r="155" spans="1:7" x14ac:dyDescent="0.25">
      <c r="A155" s="8">
        <v>42639.673680555556</v>
      </c>
      <c r="B155" s="23" t="s">
        <v>310</v>
      </c>
      <c r="C155" s="23" t="s">
        <v>509</v>
      </c>
      <c r="D155" s="23">
        <v>880000</v>
      </c>
      <c r="E155" s="23" t="s">
        <v>293</v>
      </c>
      <c r="F155" s="23" t="str">
        <f t="shared" si="4"/>
        <v>rtdc.l.rtdc.4053:itc</v>
      </c>
      <c r="G155" s="8">
        <f t="shared" si="5"/>
        <v>42639.673680555556</v>
      </c>
    </row>
    <row r="156" spans="1:7" x14ac:dyDescent="0.25">
      <c r="A156" s="8">
        <v>42639.67690972222</v>
      </c>
      <c r="B156" s="23" t="s">
        <v>237</v>
      </c>
      <c r="C156" s="23" t="s">
        <v>667</v>
      </c>
      <c r="D156" s="23">
        <v>1770000</v>
      </c>
      <c r="E156" s="23" t="s">
        <v>314</v>
      </c>
      <c r="F156" s="23" t="str">
        <f t="shared" si="4"/>
        <v>rtdc.l.rtdc.4044:itc</v>
      </c>
      <c r="G156" s="8">
        <f t="shared" si="5"/>
        <v>42639.67690972222</v>
      </c>
    </row>
    <row r="157" spans="1:7" x14ac:dyDescent="0.25">
      <c r="A157" s="8">
        <v>42639.681145833332</v>
      </c>
      <c r="B157" s="23" t="s">
        <v>255</v>
      </c>
      <c r="C157" s="23" t="s">
        <v>504</v>
      </c>
      <c r="D157" s="23">
        <v>1140000</v>
      </c>
      <c r="E157" s="23" t="s">
        <v>363</v>
      </c>
      <c r="F157" s="23" t="str">
        <f t="shared" si="4"/>
        <v>rtdc.l.rtdc.4008:itc</v>
      </c>
      <c r="G157" s="8">
        <f t="shared" si="5"/>
        <v>42639.681145833332</v>
      </c>
    </row>
    <row r="158" spans="1:7" x14ac:dyDescent="0.25">
      <c r="A158" s="8">
        <v>42639.681979166664</v>
      </c>
      <c r="B158" s="23" t="s">
        <v>310</v>
      </c>
      <c r="C158" s="23" t="s">
        <v>509</v>
      </c>
      <c r="D158" s="23">
        <v>880000</v>
      </c>
      <c r="E158" s="23" t="s">
        <v>293</v>
      </c>
      <c r="F158" s="23" t="str">
        <f t="shared" si="4"/>
        <v>rtdc.l.rtdc.4053:itc</v>
      </c>
      <c r="G158" s="8">
        <f t="shared" si="5"/>
        <v>42639.681979166664</v>
      </c>
    </row>
    <row r="159" spans="1:7" x14ac:dyDescent="0.25">
      <c r="A159" s="8">
        <v>42639.683298611111</v>
      </c>
      <c r="B159" s="23" t="s">
        <v>292</v>
      </c>
      <c r="C159" s="23" t="s">
        <v>512</v>
      </c>
      <c r="D159" s="23">
        <v>1280000</v>
      </c>
      <c r="E159" s="23" t="s">
        <v>313</v>
      </c>
      <c r="F159" s="23" t="str">
        <f t="shared" si="4"/>
        <v>rtdc.l.rtdc.4018:itc</v>
      </c>
      <c r="G159" s="8">
        <f t="shared" si="5"/>
        <v>42639.683298611111</v>
      </c>
    </row>
    <row r="160" spans="1:7" x14ac:dyDescent="0.25">
      <c r="A160" s="8">
        <v>42639.689108796294</v>
      </c>
      <c r="B160" s="23" t="s">
        <v>310</v>
      </c>
      <c r="C160" s="23" t="s">
        <v>509</v>
      </c>
      <c r="D160" s="23">
        <v>880000</v>
      </c>
      <c r="E160" s="23" t="s">
        <v>293</v>
      </c>
      <c r="F160" s="23" t="str">
        <f t="shared" si="4"/>
        <v>rtdc.l.rtdc.4053:itc</v>
      </c>
      <c r="G160" s="8">
        <f t="shared" si="5"/>
        <v>42639.689108796294</v>
      </c>
    </row>
    <row r="161" spans="1:7" x14ac:dyDescent="0.25">
      <c r="A161" s="8">
        <v>42639.689421296294</v>
      </c>
      <c r="B161" s="23" t="s">
        <v>711</v>
      </c>
      <c r="C161" s="23" t="s">
        <v>506</v>
      </c>
      <c r="D161" s="23">
        <v>1540000</v>
      </c>
      <c r="E161" s="23" t="s">
        <v>261</v>
      </c>
      <c r="F161" s="23" t="str">
        <f t="shared" si="4"/>
        <v>rtdc.l.rtdc.4013:itc</v>
      </c>
      <c r="G161" s="8">
        <f t="shared" si="5"/>
        <v>42639.689421296294</v>
      </c>
    </row>
    <row r="162" spans="1:7" x14ac:dyDescent="0.25">
      <c r="A162" s="8">
        <v>42639.692777777775</v>
      </c>
      <c r="B162" s="23" t="s">
        <v>238</v>
      </c>
      <c r="C162" s="23" t="s">
        <v>670</v>
      </c>
      <c r="D162" s="23">
        <v>1770000</v>
      </c>
      <c r="E162" s="23" t="s">
        <v>314</v>
      </c>
      <c r="F162" s="23" t="str">
        <f t="shared" si="4"/>
        <v>rtdc.l.rtdc.4043:itc</v>
      </c>
      <c r="G162" s="8">
        <f t="shared" si="5"/>
        <v>42639.692777777775</v>
      </c>
    </row>
    <row r="163" spans="1:7" x14ac:dyDescent="0.25">
      <c r="A163" s="8">
        <v>42639.693969907406</v>
      </c>
      <c r="B163" s="23" t="s">
        <v>275</v>
      </c>
      <c r="C163" s="23" t="s">
        <v>673</v>
      </c>
      <c r="D163" s="23">
        <v>1290000</v>
      </c>
      <c r="E163" s="23" t="s">
        <v>173</v>
      </c>
      <c r="F163" s="23" t="str">
        <f t="shared" si="4"/>
        <v>rtdc.l.rtdc.4029:itc</v>
      </c>
      <c r="G163" s="8">
        <f t="shared" si="5"/>
        <v>42639.693969907406</v>
      </c>
    </row>
    <row r="164" spans="1:7" x14ac:dyDescent="0.25">
      <c r="A164" s="8">
        <v>42639.694201388891</v>
      </c>
      <c r="B164" s="23" t="s">
        <v>171</v>
      </c>
      <c r="C164" s="23" t="s">
        <v>515</v>
      </c>
      <c r="D164" s="23">
        <v>940000</v>
      </c>
      <c r="E164" s="23" t="s">
        <v>295</v>
      </c>
      <c r="F164" s="23" t="str">
        <f t="shared" si="4"/>
        <v>rtdc.l.rtdc.4025:itc</v>
      </c>
      <c r="G164" s="8">
        <f t="shared" si="5"/>
        <v>42639.694201388891</v>
      </c>
    </row>
    <row r="165" spans="1:7" x14ac:dyDescent="0.25">
      <c r="A165" s="8">
        <v>42639.701620370368</v>
      </c>
      <c r="B165" s="23" t="s">
        <v>249</v>
      </c>
      <c r="C165" s="23" t="s">
        <v>508</v>
      </c>
      <c r="D165" s="23">
        <v>2110000</v>
      </c>
      <c r="E165" s="23" t="s">
        <v>717</v>
      </c>
      <c r="F165" s="23" t="str">
        <f t="shared" si="4"/>
        <v>rtdc.l.rtdc.4012:itc</v>
      </c>
      <c r="G165" s="8">
        <f t="shared" si="5"/>
        <v>42639.701620370368</v>
      </c>
    </row>
    <row r="166" spans="1:7" x14ac:dyDescent="0.25">
      <c r="A166" s="8">
        <v>42639.705208333333</v>
      </c>
      <c r="B166" s="23" t="s">
        <v>270</v>
      </c>
      <c r="C166" s="23" t="s">
        <v>517</v>
      </c>
      <c r="D166" s="23">
        <v>930000</v>
      </c>
      <c r="E166" s="23" t="s">
        <v>294</v>
      </c>
      <c r="F166" s="23" t="str">
        <f t="shared" si="4"/>
        <v>rtdc.l.rtdc.4016:itc</v>
      </c>
      <c r="G166" s="8">
        <f t="shared" si="5"/>
        <v>42639.705208333333</v>
      </c>
    </row>
    <row r="167" spans="1:7" x14ac:dyDescent="0.25">
      <c r="A167" s="8">
        <v>42639.70616898148</v>
      </c>
      <c r="B167" s="23" t="s">
        <v>310</v>
      </c>
      <c r="C167" s="23" t="s">
        <v>509</v>
      </c>
      <c r="D167" s="23">
        <v>880000</v>
      </c>
      <c r="E167" s="23" t="s">
        <v>293</v>
      </c>
      <c r="F167" s="23" t="str">
        <f t="shared" si="4"/>
        <v>rtdc.l.rtdc.4053:itc</v>
      </c>
      <c r="G167" s="8">
        <f t="shared" si="5"/>
        <v>42639.70616898148</v>
      </c>
    </row>
    <row r="168" spans="1:7" x14ac:dyDescent="0.25">
      <c r="A168" s="8">
        <v>42639.707453703704</v>
      </c>
      <c r="B168" s="23" t="s">
        <v>310</v>
      </c>
      <c r="C168" s="23" t="s">
        <v>510</v>
      </c>
      <c r="D168" s="23">
        <v>880000</v>
      </c>
      <c r="E168" s="23" t="s">
        <v>293</v>
      </c>
      <c r="F168" s="23" t="str">
        <f t="shared" si="4"/>
        <v>rtdc.l.rtdc.4053:itc</v>
      </c>
      <c r="G168" s="8">
        <f t="shared" si="5"/>
        <v>42639.707453703704</v>
      </c>
    </row>
    <row r="169" spans="1:7" x14ac:dyDescent="0.25">
      <c r="A169" s="8">
        <v>42639.713437500002</v>
      </c>
      <c r="B169" s="23" t="s">
        <v>278</v>
      </c>
      <c r="C169" s="23" t="s">
        <v>675</v>
      </c>
      <c r="D169" s="23">
        <v>1290000</v>
      </c>
      <c r="E169" s="23" t="s">
        <v>173</v>
      </c>
      <c r="F169" s="23" t="str">
        <f t="shared" si="4"/>
        <v>rtdc.l.rtdc.4030:itc</v>
      </c>
      <c r="G169" s="8">
        <f t="shared" si="5"/>
        <v>42639.713437500002</v>
      </c>
    </row>
    <row r="170" spans="1:7" x14ac:dyDescent="0.25">
      <c r="A170" s="8">
        <v>42639.714050925926</v>
      </c>
      <c r="B170" s="23" t="s">
        <v>277</v>
      </c>
      <c r="C170" s="23" t="s">
        <v>510</v>
      </c>
      <c r="D170" s="23">
        <v>880000</v>
      </c>
      <c r="E170" s="23" t="s">
        <v>293</v>
      </c>
      <c r="F170" s="23" t="str">
        <f t="shared" si="4"/>
        <v>rtdc.l.rtdc.4054:itc</v>
      </c>
      <c r="G170" s="8">
        <f t="shared" si="5"/>
        <v>42639.714050925926</v>
      </c>
    </row>
    <row r="171" spans="1:7" x14ac:dyDescent="0.25">
      <c r="A171" s="8">
        <v>42639.716608796298</v>
      </c>
      <c r="B171" s="23" t="s">
        <v>290</v>
      </c>
      <c r="C171" s="23" t="s">
        <v>514</v>
      </c>
      <c r="D171" s="23">
        <v>1280000</v>
      </c>
      <c r="E171" s="23" t="s">
        <v>313</v>
      </c>
      <c r="F171" s="23" t="str">
        <f t="shared" si="4"/>
        <v>rtdc.l.rtdc.4017:itc</v>
      </c>
      <c r="G171" s="8">
        <f t="shared" si="5"/>
        <v>42639.716608796298</v>
      </c>
    </row>
    <row r="172" spans="1:7" x14ac:dyDescent="0.25">
      <c r="A172" s="8">
        <v>42639.716643518521</v>
      </c>
      <c r="B172" s="23" t="s">
        <v>311</v>
      </c>
      <c r="C172" s="23" t="s">
        <v>521</v>
      </c>
      <c r="D172" s="23">
        <v>1180000</v>
      </c>
      <c r="E172" s="23" t="s">
        <v>364</v>
      </c>
      <c r="F172" s="23" t="str">
        <f t="shared" si="4"/>
        <v>rtdc.l.rtdc.4007:itc</v>
      </c>
      <c r="G172" s="8">
        <f t="shared" si="5"/>
        <v>42639.716643518521</v>
      </c>
    </row>
    <row r="173" spans="1:7" x14ac:dyDescent="0.25">
      <c r="A173" s="8">
        <v>42639.716840277775</v>
      </c>
      <c r="B173" s="23" t="s">
        <v>237</v>
      </c>
      <c r="C173" s="23" t="s">
        <v>678</v>
      </c>
      <c r="D173" s="23">
        <v>1770000</v>
      </c>
      <c r="E173" s="23" t="s">
        <v>314</v>
      </c>
      <c r="F173" s="23" t="str">
        <f t="shared" si="4"/>
        <v>rtdc.l.rtdc.4044:itc</v>
      </c>
      <c r="G173" s="8">
        <f t="shared" si="5"/>
        <v>42639.716840277775</v>
      </c>
    </row>
    <row r="174" spans="1:7" x14ac:dyDescent="0.25">
      <c r="A174" s="8">
        <v>42639.72859953704</v>
      </c>
      <c r="B174" s="23" t="s">
        <v>172</v>
      </c>
      <c r="C174" s="23" t="s">
        <v>516</v>
      </c>
      <c r="D174" s="23">
        <v>940000</v>
      </c>
      <c r="E174" s="23" t="s">
        <v>295</v>
      </c>
      <c r="F174" s="23" t="str">
        <f t="shared" si="4"/>
        <v>rtdc.l.rtdc.4026:itc</v>
      </c>
      <c r="G174" s="8">
        <f t="shared" si="5"/>
        <v>42639.72859953704</v>
      </c>
    </row>
    <row r="175" spans="1:7" x14ac:dyDescent="0.25">
      <c r="A175" s="8">
        <v>42639.729247685187</v>
      </c>
      <c r="B175" s="23" t="s">
        <v>260</v>
      </c>
      <c r="C175" s="23" t="s">
        <v>523</v>
      </c>
      <c r="D175" s="23">
        <v>1140000</v>
      </c>
      <c r="E175" s="23" t="s">
        <v>363</v>
      </c>
      <c r="F175" s="23" t="str">
        <f t="shared" si="4"/>
        <v>rtdc.l.rtdc.4014:itc</v>
      </c>
      <c r="G175" s="8">
        <f t="shared" si="5"/>
        <v>42639.729247685187</v>
      </c>
    </row>
    <row r="176" spans="1:7" x14ac:dyDescent="0.25">
      <c r="A176" s="8">
        <v>42639.732187499998</v>
      </c>
      <c r="B176" s="23" t="s">
        <v>128</v>
      </c>
      <c r="C176" s="23" t="s">
        <v>581</v>
      </c>
      <c r="D176" s="23">
        <v>2150000</v>
      </c>
      <c r="E176" s="23" t="s">
        <v>296</v>
      </c>
      <c r="F176" s="23" t="str">
        <f t="shared" si="4"/>
        <v>rtdc.l.rtdc.4009:itc</v>
      </c>
      <c r="G176" s="8">
        <f t="shared" si="5"/>
        <v>42639.732187499998</v>
      </c>
    </row>
    <row r="177" spans="1:7" x14ac:dyDescent="0.25">
      <c r="A177" s="8">
        <v>42639.735011574077</v>
      </c>
      <c r="B177" s="23" t="s">
        <v>238</v>
      </c>
      <c r="C177" s="23" t="s">
        <v>681</v>
      </c>
      <c r="D177" s="23">
        <v>1770000</v>
      </c>
      <c r="E177" s="23" t="s">
        <v>314</v>
      </c>
      <c r="F177" s="23" t="str">
        <f t="shared" si="4"/>
        <v>rtdc.l.rtdc.4043:itc</v>
      </c>
      <c r="G177" s="8">
        <f t="shared" si="5"/>
        <v>42639.735011574077</v>
      </c>
    </row>
    <row r="178" spans="1:7" x14ac:dyDescent="0.25">
      <c r="A178" s="8">
        <v>42639.737673611111</v>
      </c>
      <c r="B178" s="23" t="s">
        <v>248</v>
      </c>
      <c r="C178" s="23" t="s">
        <v>527</v>
      </c>
      <c r="D178" s="23">
        <v>1810000</v>
      </c>
      <c r="E178" s="23" t="s">
        <v>279</v>
      </c>
      <c r="F178" s="23" t="str">
        <f t="shared" si="4"/>
        <v>rtdc.l.rtdc.4011:itc</v>
      </c>
      <c r="G178" s="8">
        <f t="shared" si="5"/>
        <v>42639.737673611111</v>
      </c>
    </row>
    <row r="179" spans="1:7" x14ac:dyDescent="0.25">
      <c r="A179" s="8">
        <v>42639.740208333336</v>
      </c>
      <c r="B179" s="23" t="s">
        <v>275</v>
      </c>
      <c r="C179" s="23" t="s">
        <v>683</v>
      </c>
      <c r="D179" s="23">
        <v>1290000</v>
      </c>
      <c r="E179" s="23" t="s">
        <v>173</v>
      </c>
      <c r="F179" s="23" t="str">
        <f t="shared" si="4"/>
        <v>rtdc.l.rtdc.4029:itc</v>
      </c>
      <c r="G179" s="8">
        <f t="shared" si="5"/>
        <v>42639.740208333336</v>
      </c>
    </row>
    <row r="180" spans="1:7" x14ac:dyDescent="0.25">
      <c r="A180" s="8">
        <v>42639.743252314816</v>
      </c>
      <c r="B180" s="23" t="s">
        <v>291</v>
      </c>
      <c r="C180" s="23" t="s">
        <v>519</v>
      </c>
      <c r="D180" s="23">
        <v>930000</v>
      </c>
      <c r="E180" s="23" t="s">
        <v>294</v>
      </c>
      <c r="F180" s="23" t="str">
        <f t="shared" si="4"/>
        <v>rtdc.l.rtdc.4015:itc</v>
      </c>
      <c r="G180" s="8">
        <f t="shared" si="5"/>
        <v>42639.743252314816</v>
      </c>
    </row>
    <row r="181" spans="1:7" x14ac:dyDescent="0.25">
      <c r="A181" s="8">
        <v>42639.746886574074</v>
      </c>
      <c r="B181" s="23" t="s">
        <v>310</v>
      </c>
      <c r="C181" s="23" t="s">
        <v>530</v>
      </c>
      <c r="D181" s="23">
        <v>2110000</v>
      </c>
      <c r="E181" s="23" t="s">
        <v>717</v>
      </c>
      <c r="F181" s="23" t="str">
        <f t="shared" si="4"/>
        <v>rtdc.l.rtdc.4053:itc</v>
      </c>
      <c r="G181" s="8">
        <f t="shared" si="5"/>
        <v>42639.746886574074</v>
      </c>
    </row>
    <row r="182" spans="1:7" x14ac:dyDescent="0.25">
      <c r="A182" s="8">
        <v>42639.752569444441</v>
      </c>
      <c r="B182" s="23" t="s">
        <v>255</v>
      </c>
      <c r="C182" s="23" t="s">
        <v>522</v>
      </c>
      <c r="D182" s="23">
        <v>1180000</v>
      </c>
      <c r="E182" s="23" t="s">
        <v>364</v>
      </c>
      <c r="F182" s="23" t="str">
        <f t="shared" si="4"/>
        <v>rtdc.l.rtdc.4008:itc</v>
      </c>
      <c r="G182" s="8">
        <f t="shared" si="5"/>
        <v>42639.752569444441</v>
      </c>
    </row>
    <row r="183" spans="1:7" x14ac:dyDescent="0.25">
      <c r="A183" s="8">
        <v>42639.754872685182</v>
      </c>
      <c r="B183" s="23" t="s">
        <v>278</v>
      </c>
      <c r="C183" s="23" t="s">
        <v>685</v>
      </c>
      <c r="D183" s="23">
        <v>1290000</v>
      </c>
      <c r="E183" s="23" t="s">
        <v>173</v>
      </c>
      <c r="F183" s="23" t="str">
        <f t="shared" si="4"/>
        <v>rtdc.l.rtdc.4030:itc</v>
      </c>
      <c r="G183" s="8">
        <f t="shared" si="5"/>
        <v>42639.754872685182</v>
      </c>
    </row>
    <row r="184" spans="1:7" x14ac:dyDescent="0.25">
      <c r="A184" s="8">
        <v>42639.760509259257</v>
      </c>
      <c r="B184" s="23" t="s">
        <v>292</v>
      </c>
      <c r="C184" s="23" t="s">
        <v>532</v>
      </c>
      <c r="D184" s="23">
        <v>1800000</v>
      </c>
      <c r="E184" s="23" t="s">
        <v>246</v>
      </c>
      <c r="F184" s="23" t="str">
        <f t="shared" si="4"/>
        <v>rtdc.l.rtdc.4018:itc</v>
      </c>
      <c r="G184" s="8">
        <f t="shared" si="5"/>
        <v>42639.760509259257</v>
      </c>
    </row>
    <row r="185" spans="1:7" x14ac:dyDescent="0.25">
      <c r="A185" s="8">
        <v>42639.760682870372</v>
      </c>
      <c r="B185" s="23" t="s">
        <v>237</v>
      </c>
      <c r="C185" s="23" t="s">
        <v>687</v>
      </c>
      <c r="D185" s="23">
        <v>1770000</v>
      </c>
      <c r="E185" s="23" t="s">
        <v>314</v>
      </c>
      <c r="F185" s="23" t="str">
        <f t="shared" si="4"/>
        <v>rtdc.l.rtdc.4044:itc</v>
      </c>
      <c r="G185" s="8">
        <f t="shared" si="5"/>
        <v>42639.760682870372</v>
      </c>
    </row>
    <row r="186" spans="1:7" x14ac:dyDescent="0.25">
      <c r="A186" s="8">
        <v>42639.763055555559</v>
      </c>
      <c r="B186" s="23" t="s">
        <v>711</v>
      </c>
      <c r="C186" s="23" t="s">
        <v>524</v>
      </c>
      <c r="D186" s="23">
        <v>1140000</v>
      </c>
      <c r="E186" s="23" t="s">
        <v>363</v>
      </c>
      <c r="F186" s="23" t="str">
        <f t="shared" si="4"/>
        <v>rtdc.l.rtdc.4013:itc</v>
      </c>
      <c r="G186" s="8">
        <f t="shared" si="5"/>
        <v>42639.763055555559</v>
      </c>
    </row>
    <row r="187" spans="1:7" x14ac:dyDescent="0.25">
      <c r="A187" s="8">
        <v>42639.766793981478</v>
      </c>
      <c r="B187" s="23" t="s">
        <v>249</v>
      </c>
      <c r="C187" s="23" t="s">
        <v>528</v>
      </c>
      <c r="D187" s="23">
        <v>1810000</v>
      </c>
      <c r="E187" s="23" t="s">
        <v>279</v>
      </c>
      <c r="F187" s="23" t="str">
        <f t="shared" si="4"/>
        <v>rtdc.l.rtdc.4012:itc</v>
      </c>
      <c r="G187" s="8">
        <f t="shared" si="5"/>
        <v>42639.766793981478</v>
      </c>
    </row>
    <row r="188" spans="1:7" x14ac:dyDescent="0.25">
      <c r="A188" s="8">
        <v>42639.76829861111</v>
      </c>
      <c r="B188" s="23" t="s">
        <v>171</v>
      </c>
      <c r="C188" s="23" t="s">
        <v>536</v>
      </c>
      <c r="D188" s="23">
        <v>1230000</v>
      </c>
      <c r="E188" s="23" t="s">
        <v>245</v>
      </c>
      <c r="F188" s="23" t="str">
        <f t="shared" si="4"/>
        <v>rtdc.l.rtdc.4025:itc</v>
      </c>
      <c r="G188" s="8">
        <f t="shared" si="5"/>
        <v>42639.76829861111</v>
      </c>
    </row>
    <row r="189" spans="1:7" x14ac:dyDescent="0.25">
      <c r="A189" s="8">
        <v>42639.776226851849</v>
      </c>
      <c r="B189" s="23" t="s">
        <v>238</v>
      </c>
      <c r="C189" s="23" t="s">
        <v>689</v>
      </c>
      <c r="D189" s="23">
        <v>1770000</v>
      </c>
      <c r="E189" s="23" t="s">
        <v>314</v>
      </c>
      <c r="F189" s="23" t="str">
        <f t="shared" si="4"/>
        <v>rtdc.l.rtdc.4043:itc</v>
      </c>
      <c r="G189" s="8">
        <f t="shared" si="5"/>
        <v>42639.776226851849</v>
      </c>
    </row>
    <row r="190" spans="1:7" x14ac:dyDescent="0.25">
      <c r="A190" s="8">
        <v>42639.780439814815</v>
      </c>
      <c r="B190" s="23" t="s">
        <v>270</v>
      </c>
      <c r="C190" s="23" t="s">
        <v>570</v>
      </c>
      <c r="D190" s="23">
        <v>930000</v>
      </c>
      <c r="E190" s="23" t="s">
        <v>294</v>
      </c>
      <c r="F190" s="23" t="str">
        <f t="shared" si="4"/>
        <v>rtdc.l.rtdc.4016:itc</v>
      </c>
      <c r="G190" s="8">
        <f t="shared" si="5"/>
        <v>42639.780439814815</v>
      </c>
    </row>
    <row r="191" spans="1:7" x14ac:dyDescent="0.25">
      <c r="A191" s="8">
        <v>42639.781724537039</v>
      </c>
      <c r="B191" s="23" t="s">
        <v>275</v>
      </c>
      <c r="C191" s="23" t="s">
        <v>692</v>
      </c>
      <c r="D191" s="23">
        <v>1290000</v>
      </c>
      <c r="E191" s="23" t="s">
        <v>173</v>
      </c>
      <c r="F191" s="23" t="str">
        <f t="shared" si="4"/>
        <v>rtdc.l.rtdc.4029:itc</v>
      </c>
      <c r="G191" s="8">
        <f t="shared" si="5"/>
        <v>42639.781724537039</v>
      </c>
    </row>
    <row r="192" spans="1:7" x14ac:dyDescent="0.25">
      <c r="A192" s="8">
        <v>42639.785057870373</v>
      </c>
      <c r="B192" s="23" t="s">
        <v>277</v>
      </c>
      <c r="C192" s="23" t="s">
        <v>531</v>
      </c>
      <c r="D192" s="23">
        <v>2110000</v>
      </c>
      <c r="E192" s="23" t="s">
        <v>717</v>
      </c>
      <c r="F192" s="23" t="str">
        <f t="shared" si="4"/>
        <v>rtdc.l.rtdc.4054:itc</v>
      </c>
      <c r="G192" s="8">
        <f t="shared" si="5"/>
        <v>42639.785057870373</v>
      </c>
    </row>
    <row r="193" spans="1:7" x14ac:dyDescent="0.25">
      <c r="A193" s="8">
        <v>42639.787546296298</v>
      </c>
      <c r="B193" s="23" t="s">
        <v>311</v>
      </c>
      <c r="C193" s="23" t="s">
        <v>538</v>
      </c>
      <c r="D193" s="23">
        <v>1180000</v>
      </c>
      <c r="E193" s="23" t="s">
        <v>364</v>
      </c>
      <c r="F193" s="23" t="str">
        <f t="shared" si="4"/>
        <v>rtdc.l.rtdc.4007:itc</v>
      </c>
      <c r="G193" s="8">
        <f t="shared" si="5"/>
        <v>42639.787546296298</v>
      </c>
    </row>
    <row r="194" spans="1:7" x14ac:dyDescent="0.25">
      <c r="A194" s="8">
        <v>42639.796249999999</v>
      </c>
      <c r="B194" s="23" t="s">
        <v>290</v>
      </c>
      <c r="C194" s="23" t="s">
        <v>534</v>
      </c>
      <c r="D194" s="23">
        <v>1800000</v>
      </c>
      <c r="E194" s="23" t="s">
        <v>246</v>
      </c>
      <c r="F194" s="23" t="str">
        <f t="shared" ref="F194:F235" si="6">B194</f>
        <v>rtdc.l.rtdc.4017:itc</v>
      </c>
      <c r="G194" s="8">
        <f t="shared" ref="G194:G235" si="7">A194</f>
        <v>42639.796249999999</v>
      </c>
    </row>
    <row r="195" spans="1:7" x14ac:dyDescent="0.25">
      <c r="A195" s="8">
        <v>42639.796678240738</v>
      </c>
      <c r="B195" s="23" t="s">
        <v>278</v>
      </c>
      <c r="C195" s="23" t="s">
        <v>718</v>
      </c>
      <c r="D195" s="23">
        <v>1290000</v>
      </c>
      <c r="E195" s="23" t="s">
        <v>173</v>
      </c>
      <c r="F195" s="23" t="str">
        <f t="shared" si="6"/>
        <v>rtdc.l.rtdc.4030:itc</v>
      </c>
      <c r="G195" s="8">
        <f t="shared" si="7"/>
        <v>42639.796678240738</v>
      </c>
    </row>
    <row r="196" spans="1:7" x14ac:dyDescent="0.25">
      <c r="A196" s="8">
        <v>42639.800115740742</v>
      </c>
      <c r="B196" s="23" t="s">
        <v>237</v>
      </c>
      <c r="C196" s="23" t="s">
        <v>696</v>
      </c>
      <c r="D196" s="23">
        <v>1770000</v>
      </c>
      <c r="E196" s="23" t="s">
        <v>314</v>
      </c>
      <c r="F196" s="23" t="str">
        <f t="shared" si="6"/>
        <v>rtdc.l.rtdc.4044:itc</v>
      </c>
      <c r="G196" s="8">
        <f t="shared" si="7"/>
        <v>42639.800115740742</v>
      </c>
    </row>
    <row r="197" spans="1:7" x14ac:dyDescent="0.25">
      <c r="A197" s="8">
        <v>42639.807581018518</v>
      </c>
      <c r="B197" s="23" t="s">
        <v>248</v>
      </c>
      <c r="C197" s="23" t="s">
        <v>541</v>
      </c>
      <c r="D197" s="23">
        <v>1810000</v>
      </c>
      <c r="E197" s="23" t="s">
        <v>279</v>
      </c>
      <c r="F197" s="23" t="str">
        <f t="shared" si="6"/>
        <v>rtdc.l.rtdc.4011:itc</v>
      </c>
      <c r="G197" s="8">
        <f t="shared" si="7"/>
        <v>42639.807581018518</v>
      </c>
    </row>
    <row r="198" spans="1:7" x14ac:dyDescent="0.25">
      <c r="A198" s="8">
        <v>42639.809004629627</v>
      </c>
      <c r="B198" s="23" t="s">
        <v>172</v>
      </c>
      <c r="C198" s="23" t="s">
        <v>537</v>
      </c>
      <c r="D198" s="23">
        <v>1230000</v>
      </c>
      <c r="E198" s="23" t="s">
        <v>245</v>
      </c>
      <c r="F198" s="23" t="str">
        <f t="shared" si="6"/>
        <v>rtdc.l.rtdc.4026:itc</v>
      </c>
      <c r="G198" s="8">
        <f t="shared" si="7"/>
        <v>42639.809004629627</v>
      </c>
    </row>
    <row r="199" spans="1:7" x14ac:dyDescent="0.25">
      <c r="A199" s="8">
        <v>42639.81826388889</v>
      </c>
      <c r="B199" s="23" t="s">
        <v>238</v>
      </c>
      <c r="C199" s="23" t="s">
        <v>695</v>
      </c>
      <c r="D199" s="23">
        <v>1770000</v>
      </c>
      <c r="E199" s="23" t="s">
        <v>314</v>
      </c>
      <c r="F199" s="23" t="str">
        <f t="shared" si="6"/>
        <v>rtdc.l.rtdc.4043:itc</v>
      </c>
      <c r="G199" s="8">
        <f t="shared" si="7"/>
        <v>42639.81826388889</v>
      </c>
    </row>
    <row r="200" spans="1:7" x14ac:dyDescent="0.25">
      <c r="A200" s="8">
        <v>42639.823576388888</v>
      </c>
      <c r="B200" s="23" t="s">
        <v>255</v>
      </c>
      <c r="C200" s="23" t="s">
        <v>539</v>
      </c>
      <c r="D200" s="23">
        <v>1180000</v>
      </c>
      <c r="E200" s="23" t="s">
        <v>364</v>
      </c>
      <c r="F200" s="23" t="str">
        <f t="shared" si="6"/>
        <v>rtdc.l.rtdc.4008:itc</v>
      </c>
      <c r="G200" s="8">
        <f t="shared" si="7"/>
        <v>42639.823576388888</v>
      </c>
    </row>
    <row r="201" spans="1:7" x14ac:dyDescent="0.25">
      <c r="A201" s="8">
        <v>42639.833310185182</v>
      </c>
      <c r="B201" s="23" t="s">
        <v>292</v>
      </c>
      <c r="C201" s="23" t="s">
        <v>544</v>
      </c>
      <c r="D201" s="23">
        <v>1800000</v>
      </c>
      <c r="E201" s="23" t="s">
        <v>246</v>
      </c>
      <c r="F201" s="23" t="str">
        <f t="shared" si="6"/>
        <v>rtdc.l.rtdc.4018:itc</v>
      </c>
      <c r="G201" s="8">
        <f t="shared" si="7"/>
        <v>42639.833310185182</v>
      </c>
    </row>
    <row r="202" spans="1:7" x14ac:dyDescent="0.25">
      <c r="A202" s="29">
        <v>42639.835405092592</v>
      </c>
      <c r="B202" s="23" t="s">
        <v>237</v>
      </c>
      <c r="C202" s="23" t="s">
        <v>701</v>
      </c>
      <c r="D202" s="23">
        <v>1770000</v>
      </c>
      <c r="E202" s="23" t="s">
        <v>314</v>
      </c>
      <c r="F202" s="23" t="str">
        <f t="shared" si="6"/>
        <v>rtdc.l.rtdc.4044:itc</v>
      </c>
      <c r="G202" s="8">
        <f t="shared" si="7"/>
        <v>42639.835405092592</v>
      </c>
    </row>
    <row r="203" spans="1:7" x14ac:dyDescent="0.25">
      <c r="A203" s="8">
        <v>42639.840138888889</v>
      </c>
      <c r="B203" s="23" t="s">
        <v>171</v>
      </c>
      <c r="C203" s="23" t="s">
        <v>546</v>
      </c>
      <c r="D203" s="23">
        <v>1230000</v>
      </c>
      <c r="E203" s="23" t="s">
        <v>245</v>
      </c>
      <c r="F203" s="23" t="str">
        <f t="shared" si="6"/>
        <v>rtdc.l.rtdc.4025:itc</v>
      </c>
      <c r="G203" s="8">
        <f t="shared" si="7"/>
        <v>42639.840138888889</v>
      </c>
    </row>
    <row r="204" spans="1:7" x14ac:dyDescent="0.25">
      <c r="A204" s="8">
        <v>42639.846250000002</v>
      </c>
      <c r="B204" s="23" t="s">
        <v>249</v>
      </c>
      <c r="C204" s="23" t="s">
        <v>542</v>
      </c>
      <c r="D204" s="23">
        <v>1810000</v>
      </c>
      <c r="E204" s="23" t="s">
        <v>279</v>
      </c>
      <c r="F204" s="23" t="str">
        <f t="shared" si="6"/>
        <v>rtdc.l.rtdc.4012:itc</v>
      </c>
      <c r="G204" s="8">
        <f t="shared" si="7"/>
        <v>42639.846250000002</v>
      </c>
    </row>
    <row r="205" spans="1:7" x14ac:dyDescent="0.25">
      <c r="A205" s="8">
        <v>42639.859571759262</v>
      </c>
      <c r="B205" s="23" t="s">
        <v>238</v>
      </c>
      <c r="C205" s="23" t="s">
        <v>699</v>
      </c>
      <c r="D205" s="23">
        <v>1770000</v>
      </c>
      <c r="E205" s="23" t="s">
        <v>314</v>
      </c>
      <c r="F205" s="23" t="str">
        <f t="shared" si="6"/>
        <v>rtdc.l.rtdc.4043:itc</v>
      </c>
      <c r="G205" s="8">
        <f t="shared" si="7"/>
        <v>42639.859571759262</v>
      </c>
    </row>
    <row r="206" spans="1:7" x14ac:dyDescent="0.25">
      <c r="A206" s="8">
        <v>42639.866631944446</v>
      </c>
      <c r="B206" s="23" t="s">
        <v>311</v>
      </c>
      <c r="C206" s="23" t="s">
        <v>549</v>
      </c>
      <c r="D206" s="23">
        <v>1180000</v>
      </c>
      <c r="E206" s="23" t="s">
        <v>364</v>
      </c>
      <c r="F206" s="23" t="str">
        <f t="shared" si="6"/>
        <v>rtdc.l.rtdc.4007:itc</v>
      </c>
      <c r="G206" s="8">
        <f t="shared" si="7"/>
        <v>42639.866631944446</v>
      </c>
    </row>
    <row r="207" spans="1:7" x14ac:dyDescent="0.25">
      <c r="A207" s="8">
        <v>42639.871006944442</v>
      </c>
      <c r="B207" s="23" t="s">
        <v>290</v>
      </c>
      <c r="C207" s="23" t="s">
        <v>545</v>
      </c>
      <c r="D207" s="23">
        <v>1800000</v>
      </c>
      <c r="E207" s="23" t="s">
        <v>246</v>
      </c>
      <c r="F207" s="23" t="str">
        <f t="shared" si="6"/>
        <v>rtdc.l.rtdc.4017:itc</v>
      </c>
      <c r="G207" s="8">
        <f t="shared" si="7"/>
        <v>42639.871006944442</v>
      </c>
    </row>
    <row r="208" spans="1:7" x14ac:dyDescent="0.25">
      <c r="A208" s="8">
        <v>42639.882592592592</v>
      </c>
      <c r="B208" s="23" t="s">
        <v>237</v>
      </c>
      <c r="C208" s="23" t="s">
        <v>703</v>
      </c>
      <c r="D208" s="23">
        <v>1290000</v>
      </c>
      <c r="E208" s="23" t="s">
        <v>173</v>
      </c>
      <c r="F208" s="23" t="str">
        <f t="shared" si="6"/>
        <v>rtdc.l.rtdc.4044:itc</v>
      </c>
      <c r="G208" s="8">
        <f t="shared" si="7"/>
        <v>42639.882592592592</v>
      </c>
    </row>
    <row r="209" spans="1:7" x14ac:dyDescent="0.25">
      <c r="A209" s="8">
        <v>42639.886967592596</v>
      </c>
      <c r="B209" s="23" t="s">
        <v>172</v>
      </c>
      <c r="C209" s="23" t="s">
        <v>547</v>
      </c>
      <c r="D209" s="23">
        <v>1230000</v>
      </c>
      <c r="E209" s="23" t="s">
        <v>245</v>
      </c>
      <c r="F209" s="23" t="str">
        <f t="shared" si="6"/>
        <v>rtdc.l.rtdc.4026:itc</v>
      </c>
      <c r="G209" s="8">
        <f t="shared" si="7"/>
        <v>42639.886967592596</v>
      </c>
    </row>
    <row r="210" spans="1:7" x14ac:dyDescent="0.25">
      <c r="A210" s="8">
        <v>42639.893541666665</v>
      </c>
      <c r="B210" s="23" t="s">
        <v>248</v>
      </c>
      <c r="C210" s="23" t="s">
        <v>552</v>
      </c>
      <c r="D210" s="23">
        <v>1810000</v>
      </c>
      <c r="E210" s="23" t="s">
        <v>279</v>
      </c>
      <c r="F210" s="23" t="str">
        <f t="shared" si="6"/>
        <v>rtdc.l.rtdc.4011:itc</v>
      </c>
      <c r="G210" s="8">
        <f t="shared" si="7"/>
        <v>42639.893541666665</v>
      </c>
    </row>
    <row r="211" spans="1:7" x14ac:dyDescent="0.25">
      <c r="A211" s="8">
        <v>42639.900833333333</v>
      </c>
      <c r="B211" s="23" t="s">
        <v>238</v>
      </c>
      <c r="C211" s="23" t="s">
        <v>719</v>
      </c>
      <c r="D211" s="23">
        <v>1290000</v>
      </c>
      <c r="E211" s="23" t="s">
        <v>173</v>
      </c>
      <c r="F211" s="23" t="str">
        <f t="shared" si="6"/>
        <v>rtdc.l.rtdc.4043:itc</v>
      </c>
      <c r="G211" s="8">
        <f t="shared" si="7"/>
        <v>42639.900833333333</v>
      </c>
    </row>
    <row r="212" spans="1:7" x14ac:dyDescent="0.25">
      <c r="A212" s="8">
        <v>42639.907893518517</v>
      </c>
      <c r="B212" s="23" t="s">
        <v>255</v>
      </c>
      <c r="C212" s="23" t="s">
        <v>550</v>
      </c>
      <c r="D212" s="23">
        <v>1180000</v>
      </c>
      <c r="E212" s="23" t="s">
        <v>364</v>
      </c>
      <c r="F212" s="23" t="str">
        <f t="shared" si="6"/>
        <v>rtdc.l.rtdc.4008:itc</v>
      </c>
      <c r="G212" s="8">
        <f t="shared" si="7"/>
        <v>42639.907893518517</v>
      </c>
    </row>
    <row r="213" spans="1:7" x14ac:dyDescent="0.25">
      <c r="A213" s="8">
        <v>42639.91609953704</v>
      </c>
      <c r="B213" s="23" t="s">
        <v>292</v>
      </c>
      <c r="C213" s="23" t="s">
        <v>554</v>
      </c>
      <c r="D213" s="23">
        <v>1800000</v>
      </c>
      <c r="E213" s="23" t="s">
        <v>246</v>
      </c>
      <c r="F213" s="23" t="str">
        <f t="shared" si="6"/>
        <v>rtdc.l.rtdc.4018:itc</v>
      </c>
      <c r="G213" s="8">
        <f t="shared" si="7"/>
        <v>42639.91609953704</v>
      </c>
    </row>
    <row r="214" spans="1:7" x14ac:dyDescent="0.25">
      <c r="A214" s="8">
        <v>42639.923634259256</v>
      </c>
      <c r="B214" s="23" t="s">
        <v>171</v>
      </c>
      <c r="C214" s="23" t="s">
        <v>556</v>
      </c>
      <c r="D214" s="23">
        <v>1230000</v>
      </c>
      <c r="E214" s="23" t="s">
        <v>245</v>
      </c>
      <c r="F214" s="23" t="str">
        <f t="shared" si="6"/>
        <v>rtdc.l.rtdc.4025:itc</v>
      </c>
      <c r="G214" s="8">
        <f t="shared" si="7"/>
        <v>42639.923634259256</v>
      </c>
    </row>
    <row r="215" spans="1:7" x14ac:dyDescent="0.25">
      <c r="A215" s="8">
        <v>42639.926342592589</v>
      </c>
      <c r="B215" s="23" t="s">
        <v>237</v>
      </c>
      <c r="C215" s="23" t="s">
        <v>705</v>
      </c>
      <c r="D215" s="23">
        <v>1290000</v>
      </c>
      <c r="E215" s="23" t="s">
        <v>173</v>
      </c>
      <c r="F215" s="23" t="str">
        <f t="shared" si="6"/>
        <v>rtdc.l.rtdc.4044:itc</v>
      </c>
      <c r="G215" s="8">
        <f t="shared" si="7"/>
        <v>42639.926342592589</v>
      </c>
    </row>
    <row r="216" spans="1:7" x14ac:dyDescent="0.25">
      <c r="A216" s="8">
        <v>42639.931030092594</v>
      </c>
      <c r="B216" s="23" t="s">
        <v>249</v>
      </c>
      <c r="C216" s="23" t="s">
        <v>553</v>
      </c>
      <c r="D216" s="23">
        <v>1810000</v>
      </c>
      <c r="E216" s="23" t="s">
        <v>279</v>
      </c>
      <c r="F216" s="23" t="str">
        <f t="shared" si="6"/>
        <v>rtdc.l.rtdc.4012:itc</v>
      </c>
      <c r="G216" s="8">
        <f t="shared" si="7"/>
        <v>42639.931030092594</v>
      </c>
    </row>
    <row r="217" spans="1:7" x14ac:dyDescent="0.25">
      <c r="A217" s="8">
        <v>42639.953541666669</v>
      </c>
      <c r="B217" s="23" t="s">
        <v>311</v>
      </c>
      <c r="C217" s="23" t="s">
        <v>559</v>
      </c>
      <c r="D217" s="23">
        <v>1180000</v>
      </c>
      <c r="E217" s="23" t="s">
        <v>364</v>
      </c>
      <c r="F217" s="23" t="str">
        <f t="shared" si="6"/>
        <v>rtdc.l.rtdc.4007:itc</v>
      </c>
      <c r="G217" s="8">
        <f t="shared" si="7"/>
        <v>42639.953541666669</v>
      </c>
    </row>
    <row r="218" spans="1:7" x14ac:dyDescent="0.25">
      <c r="A218" s="8">
        <v>42639.954895833333</v>
      </c>
      <c r="B218" s="23" t="s">
        <v>290</v>
      </c>
      <c r="C218" s="23" t="s">
        <v>555</v>
      </c>
      <c r="D218" s="23">
        <v>1800000</v>
      </c>
      <c r="E218" s="23" t="s">
        <v>246</v>
      </c>
      <c r="F218" s="23" t="str">
        <f t="shared" si="6"/>
        <v>rtdc.l.rtdc.4017:itc</v>
      </c>
      <c r="G218" s="8">
        <f t="shared" si="7"/>
        <v>42639.954895833333</v>
      </c>
    </row>
    <row r="219" spans="1:7" x14ac:dyDescent="0.25">
      <c r="A219" s="8">
        <v>42639.973692129628</v>
      </c>
      <c r="B219" s="23" t="s">
        <v>172</v>
      </c>
      <c r="C219" s="23" t="s">
        <v>558</v>
      </c>
      <c r="D219" s="23">
        <v>1230000</v>
      </c>
      <c r="E219" s="23" t="s">
        <v>245</v>
      </c>
      <c r="F219" s="23" t="str">
        <f t="shared" si="6"/>
        <v>rtdc.l.rtdc.4026:itc</v>
      </c>
      <c r="G219" s="8">
        <f t="shared" si="7"/>
        <v>42639.973692129628</v>
      </c>
    </row>
    <row r="220" spans="1:7" x14ac:dyDescent="0.25">
      <c r="A220" s="8">
        <v>42639.97446759259</v>
      </c>
      <c r="B220" s="23" t="s">
        <v>248</v>
      </c>
      <c r="C220" s="23" t="s">
        <v>562</v>
      </c>
      <c r="D220" s="23">
        <v>1810000</v>
      </c>
      <c r="E220" s="23" t="s">
        <v>279</v>
      </c>
      <c r="F220" s="23" t="str">
        <f t="shared" si="6"/>
        <v>rtdc.l.rtdc.4011:itc</v>
      </c>
      <c r="G220" s="8">
        <f t="shared" si="7"/>
        <v>42639.97446759259</v>
      </c>
    </row>
    <row r="221" spans="1:7" x14ac:dyDescent="0.25">
      <c r="A221" s="8">
        <v>42639.991365740738</v>
      </c>
      <c r="B221" s="23" t="s">
        <v>255</v>
      </c>
      <c r="C221" s="23" t="s">
        <v>561</v>
      </c>
      <c r="D221" s="23">
        <v>1180000</v>
      </c>
      <c r="E221" s="23" t="s">
        <v>364</v>
      </c>
      <c r="F221" s="23" t="str">
        <f t="shared" si="6"/>
        <v>rtdc.l.rtdc.4008:itc</v>
      </c>
      <c r="G221" s="8">
        <f t="shared" si="7"/>
        <v>42639.991365740738</v>
      </c>
    </row>
    <row r="222" spans="1:7" x14ac:dyDescent="0.25">
      <c r="A222" s="8">
        <v>42639.995879629627</v>
      </c>
      <c r="B222" s="23" t="s">
        <v>292</v>
      </c>
      <c r="C222" s="23" t="s">
        <v>564</v>
      </c>
      <c r="D222" s="23">
        <v>1800000</v>
      </c>
      <c r="E222" s="23" t="s">
        <v>246</v>
      </c>
      <c r="F222" s="23" t="str">
        <f t="shared" si="6"/>
        <v>rtdc.l.rtdc.4018:itc</v>
      </c>
      <c r="G222" s="8">
        <f t="shared" si="7"/>
        <v>42639.995879629627</v>
      </c>
    </row>
    <row r="223" spans="1:7" x14ac:dyDescent="0.25">
      <c r="A223" s="8">
        <v>42640.004351851851</v>
      </c>
      <c r="B223" s="23" t="s">
        <v>171</v>
      </c>
      <c r="C223" s="23" t="s">
        <v>567</v>
      </c>
      <c r="D223" s="23">
        <v>1230000</v>
      </c>
      <c r="E223" s="23" t="s">
        <v>245</v>
      </c>
      <c r="F223" s="23" t="str">
        <f t="shared" si="6"/>
        <v>rtdc.l.rtdc.4025:itc</v>
      </c>
      <c r="G223" s="8">
        <f t="shared" si="7"/>
        <v>42640.004351851851</v>
      </c>
    </row>
    <row r="224" spans="1:7" x14ac:dyDescent="0.25">
      <c r="A224" s="8">
        <v>42640.015810185185</v>
      </c>
      <c r="B224" t="s">
        <v>249</v>
      </c>
      <c r="C224" t="s">
        <v>563</v>
      </c>
      <c r="D224">
        <v>1810000</v>
      </c>
      <c r="E224" t="s">
        <v>279</v>
      </c>
      <c r="F224" s="23" t="str">
        <f t="shared" si="6"/>
        <v>rtdc.l.rtdc.4012:itc</v>
      </c>
      <c r="G224" s="8">
        <f t="shared" si="7"/>
        <v>42640.015810185185</v>
      </c>
    </row>
    <row r="225" spans="1:7" x14ac:dyDescent="0.25">
      <c r="A225" s="8">
        <v>42640.027974537035</v>
      </c>
      <c r="B225" t="s">
        <v>311</v>
      </c>
      <c r="C225" t="s">
        <v>571</v>
      </c>
      <c r="D225">
        <v>1180000</v>
      </c>
      <c r="E225" t="s">
        <v>364</v>
      </c>
      <c r="F225" s="23" t="str">
        <f t="shared" si="6"/>
        <v>rtdc.l.rtdc.4007:itc</v>
      </c>
      <c r="G225" s="8">
        <f t="shared" si="7"/>
        <v>42640.027974537035</v>
      </c>
    </row>
    <row r="226" spans="1:7" x14ac:dyDescent="0.25">
      <c r="A226" s="8">
        <v>42640.029131944444</v>
      </c>
      <c r="B226" t="s">
        <v>311</v>
      </c>
      <c r="C226" t="s">
        <v>571</v>
      </c>
      <c r="D226">
        <v>1180000</v>
      </c>
      <c r="E226" t="s">
        <v>364</v>
      </c>
      <c r="F226" s="23" t="str">
        <f t="shared" si="6"/>
        <v>rtdc.l.rtdc.4007:itc</v>
      </c>
      <c r="G226" s="8">
        <f t="shared" si="7"/>
        <v>42640.029131944444</v>
      </c>
    </row>
    <row r="227" spans="1:7" x14ac:dyDescent="0.25">
      <c r="A227" s="8">
        <v>42640.037858796299</v>
      </c>
      <c r="B227" t="s">
        <v>290</v>
      </c>
      <c r="C227" t="s">
        <v>565</v>
      </c>
      <c r="D227">
        <v>1800000</v>
      </c>
      <c r="E227" t="s">
        <v>246</v>
      </c>
      <c r="F227" s="23" t="str">
        <f t="shared" si="6"/>
        <v>rtdc.l.rtdc.4017:itc</v>
      </c>
      <c r="G227" s="8">
        <f t="shared" si="7"/>
        <v>42640.037858796299</v>
      </c>
    </row>
    <row r="228" spans="1:7" x14ac:dyDescent="0.25">
      <c r="A228" s="8">
        <v>42640.047002314815</v>
      </c>
      <c r="B228" t="s">
        <v>248</v>
      </c>
      <c r="C228" t="s">
        <v>573</v>
      </c>
      <c r="D228">
        <v>1810000</v>
      </c>
      <c r="E228" t="s">
        <v>279</v>
      </c>
      <c r="F228" s="23" t="str">
        <f t="shared" si="6"/>
        <v>rtdc.l.rtdc.4011:itc</v>
      </c>
      <c r="G228" s="8">
        <f t="shared" si="7"/>
        <v>42640.047002314815</v>
      </c>
    </row>
    <row r="229" spans="1:7" x14ac:dyDescent="0.25">
      <c r="A229" s="8">
        <v>42640.048391203702</v>
      </c>
      <c r="B229" t="s">
        <v>248</v>
      </c>
      <c r="C229" t="s">
        <v>573</v>
      </c>
      <c r="D229">
        <v>1810000</v>
      </c>
      <c r="E229" t="s">
        <v>279</v>
      </c>
      <c r="F229" s="23" t="str">
        <f t="shared" si="6"/>
        <v>rtdc.l.rtdc.4011:itc</v>
      </c>
      <c r="G229" s="8">
        <f t="shared" si="7"/>
        <v>42640.048391203702</v>
      </c>
    </row>
    <row r="230" spans="1:7" x14ac:dyDescent="0.25">
      <c r="A230" s="8">
        <v>42640.056400462963</v>
      </c>
      <c r="B230" t="s">
        <v>172</v>
      </c>
      <c r="C230" t="s">
        <v>568</v>
      </c>
      <c r="D230">
        <v>1230000</v>
      </c>
      <c r="E230" t="s">
        <v>245</v>
      </c>
      <c r="F230" s="23" t="str">
        <f t="shared" si="6"/>
        <v>rtdc.l.rtdc.4026:itc</v>
      </c>
      <c r="G230" s="8">
        <f t="shared" si="7"/>
        <v>42640.056400462963</v>
      </c>
    </row>
    <row r="231" spans="1:7" x14ac:dyDescent="0.25">
      <c r="A231" s="8">
        <v>42640.070960648147</v>
      </c>
      <c r="B231" t="s">
        <v>292</v>
      </c>
      <c r="C231" t="s">
        <v>575</v>
      </c>
      <c r="D231">
        <v>1800000</v>
      </c>
      <c r="E231" t="s">
        <v>246</v>
      </c>
      <c r="F231" s="23" t="str">
        <f t="shared" si="6"/>
        <v>rtdc.l.rtdc.4018:itc</v>
      </c>
      <c r="G231" s="8">
        <f t="shared" si="7"/>
        <v>42640.070960648147</v>
      </c>
    </row>
    <row r="232" spans="1:7" x14ac:dyDescent="0.25">
      <c r="A232" s="8">
        <v>42640.073240740741</v>
      </c>
      <c r="B232" t="s">
        <v>292</v>
      </c>
      <c r="C232" t="s">
        <v>575</v>
      </c>
      <c r="D232">
        <v>1800000</v>
      </c>
      <c r="E232" t="s">
        <v>246</v>
      </c>
      <c r="F232" s="23" t="str">
        <f t="shared" si="6"/>
        <v>rtdc.l.rtdc.4018:itc</v>
      </c>
      <c r="G232" s="8">
        <f t="shared" si="7"/>
        <v>42640.073240740741</v>
      </c>
    </row>
    <row r="233" spans="1:7" x14ac:dyDescent="0.25">
      <c r="A233" s="8">
        <v>42640.087685185186</v>
      </c>
      <c r="B233" t="s">
        <v>171</v>
      </c>
      <c r="C233" t="s">
        <v>578</v>
      </c>
      <c r="D233">
        <v>1230000</v>
      </c>
      <c r="E233" t="s">
        <v>245</v>
      </c>
      <c r="F233" s="23" t="str">
        <f t="shared" si="6"/>
        <v>rtdc.l.rtdc.4025:itc</v>
      </c>
      <c r="G233" s="8">
        <f t="shared" si="7"/>
        <v>42640.087685185186</v>
      </c>
    </row>
    <row r="234" spans="1:7" x14ac:dyDescent="0.25">
      <c r="A234" s="8">
        <v>42640.088414351849</v>
      </c>
      <c r="B234" t="s">
        <v>171</v>
      </c>
      <c r="C234" t="s">
        <v>578</v>
      </c>
      <c r="D234">
        <v>1230000</v>
      </c>
      <c r="E234" t="s">
        <v>245</v>
      </c>
      <c r="F234" s="23" t="str">
        <f t="shared" si="6"/>
        <v>rtdc.l.rtdc.4025:itc</v>
      </c>
      <c r="G234" s="8">
        <f t="shared" si="7"/>
        <v>42640.088414351849</v>
      </c>
    </row>
    <row r="235" spans="1:7" x14ac:dyDescent="0.25">
      <c r="F235" s="23">
        <f t="shared" si="6"/>
        <v>0</v>
      </c>
      <c r="G235" s="8">
        <f t="shared" si="7"/>
        <v>0</v>
      </c>
    </row>
    <row r="236" spans="1:7" x14ac:dyDescent="0.25">
      <c r="A236" s="8">
        <v>42637.077384259261</v>
      </c>
      <c r="B236" t="s">
        <v>249</v>
      </c>
      <c r="C236" t="s">
        <v>297</v>
      </c>
      <c r="D236">
        <v>2260000</v>
      </c>
      <c r="E236" t="s">
        <v>130</v>
      </c>
      <c r="F236" s="23" t="str">
        <f t="shared" ref="F236:F265" si="8">B236</f>
        <v>rtdc.l.rtdc.4012:itc</v>
      </c>
      <c r="G236" s="8">
        <f t="shared" ref="G236:G265" si="9">A236</f>
        <v>42637.077384259261</v>
      </c>
    </row>
    <row r="237" spans="1:7" x14ac:dyDescent="0.25">
      <c r="A237" s="8">
        <v>42637.09238425926</v>
      </c>
      <c r="B237" t="s">
        <v>270</v>
      </c>
      <c r="C237" t="s">
        <v>298</v>
      </c>
      <c r="D237">
        <v>1480000</v>
      </c>
      <c r="E237" t="s">
        <v>239</v>
      </c>
      <c r="F237" s="23" t="str">
        <f t="shared" si="8"/>
        <v>rtdc.l.rtdc.4016:itc</v>
      </c>
      <c r="G237" s="8">
        <f t="shared" si="9"/>
        <v>42637.09238425926</v>
      </c>
    </row>
    <row r="238" spans="1:7" x14ac:dyDescent="0.25">
      <c r="A238" s="8">
        <v>42637.111817129633</v>
      </c>
      <c r="B238" t="s">
        <v>248</v>
      </c>
      <c r="C238" t="s">
        <v>299</v>
      </c>
      <c r="D238">
        <v>2260000</v>
      </c>
      <c r="E238" t="s">
        <v>130</v>
      </c>
      <c r="F238" s="23" t="str">
        <f t="shared" si="8"/>
        <v>rtdc.l.rtdc.4011:itc</v>
      </c>
      <c r="G238" s="8">
        <f t="shared" si="9"/>
        <v>42637.111817129633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164</v>
      </c>
      <c r="C240" t="s">
        <v>183</v>
      </c>
      <c r="D240">
        <v>1300000</v>
      </c>
      <c r="E240" t="s">
        <v>121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128</v>
      </c>
      <c r="C241" t="s">
        <v>184</v>
      </c>
      <c r="D241">
        <v>2260000</v>
      </c>
      <c r="E241" t="s">
        <v>130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176</v>
      </c>
      <c r="C242" t="s">
        <v>185</v>
      </c>
      <c r="D242">
        <v>1200000</v>
      </c>
      <c r="E242" t="s">
        <v>182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171</v>
      </c>
      <c r="C243" t="s">
        <v>186</v>
      </c>
      <c r="D243">
        <v>2000000</v>
      </c>
      <c r="E243" t="s">
        <v>122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165</v>
      </c>
      <c r="C244" t="s">
        <v>187</v>
      </c>
      <c r="D244">
        <v>1300000</v>
      </c>
      <c r="E244" t="s">
        <v>121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177</v>
      </c>
      <c r="C245" t="s">
        <v>188</v>
      </c>
      <c r="D245">
        <v>2260000</v>
      </c>
      <c r="E245" t="s">
        <v>130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172</v>
      </c>
      <c r="C246" t="s">
        <v>189</v>
      </c>
      <c r="D246">
        <v>2000000</v>
      </c>
      <c r="E246" t="s">
        <v>122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178</v>
      </c>
      <c r="C247" t="s">
        <v>190</v>
      </c>
      <c r="D247">
        <v>1290000</v>
      </c>
      <c r="E247" t="s">
        <v>173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128</v>
      </c>
      <c r="C248" t="s">
        <v>191</v>
      </c>
      <c r="D248">
        <v>2260000</v>
      </c>
      <c r="E248" t="s">
        <v>130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128</v>
      </c>
      <c r="C249" t="s">
        <v>191</v>
      </c>
      <c r="D249">
        <v>2260000</v>
      </c>
      <c r="E249" t="s">
        <v>130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164</v>
      </c>
      <c r="C250" t="s">
        <v>192</v>
      </c>
      <c r="D250">
        <v>1300000</v>
      </c>
      <c r="E250" t="s">
        <v>121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128</v>
      </c>
      <c r="C251" t="s">
        <v>191</v>
      </c>
      <c r="D251">
        <v>2260000</v>
      </c>
      <c r="E251" t="s">
        <v>130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174</v>
      </c>
      <c r="C252" t="s">
        <v>193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171</v>
      </c>
      <c r="C253" t="s">
        <v>189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176</v>
      </c>
      <c r="C254" t="s">
        <v>194</v>
      </c>
      <c r="D254">
        <v>1290000</v>
      </c>
      <c r="E254" t="s">
        <v>173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175</v>
      </c>
      <c r="C255" t="s">
        <v>195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174</v>
      </c>
      <c r="C256" t="s">
        <v>193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181</v>
      </c>
      <c r="C257" t="s">
        <v>196</v>
      </c>
      <c r="D257">
        <v>1290000</v>
      </c>
      <c r="E257" t="s">
        <v>173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175</v>
      </c>
      <c r="C258" t="s">
        <v>195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G35" sqref="G35"/>
    </sheetView>
  </sheetViews>
  <sheetFormatPr defaultRowHeight="15" x14ac:dyDescent="0.25"/>
  <cols>
    <col min="1" max="1" width="22.5703125" style="150" customWidth="1"/>
    <col min="2" max="2" width="8.140625" style="150" bestFit="1" customWidth="1"/>
    <col min="3" max="3" width="12.28515625" style="150" bestFit="1" customWidth="1"/>
    <col min="4" max="4" width="18.28515625" style="150" bestFit="1" customWidth="1"/>
    <col min="5" max="5" width="9.5703125" style="150" bestFit="1" customWidth="1"/>
    <col min="6" max="6" width="9" style="150" bestFit="1" customWidth="1"/>
    <col min="7" max="7" width="8.5703125" style="150" bestFit="1" customWidth="1"/>
    <col min="8" max="8" width="13.7109375" style="150" bestFit="1" customWidth="1"/>
    <col min="9" max="9" width="20.85546875" style="150" bestFit="1" customWidth="1"/>
    <col min="10" max="10" width="8.7109375" style="150" bestFit="1" customWidth="1"/>
    <col min="11" max="13" width="11" style="150" bestFit="1" customWidth="1"/>
    <col min="14" max="14" width="12.140625" style="150" bestFit="1" customWidth="1"/>
    <col min="15" max="15" width="14.5703125" style="150" bestFit="1" customWidth="1"/>
    <col min="16" max="16" width="16.42578125" style="150" bestFit="1" customWidth="1"/>
    <col min="17" max="17" width="9.140625" style="150"/>
    <col min="18" max="16384" width="9.140625" style="111"/>
  </cols>
  <sheetData>
    <row r="1" spans="1:17" s="152" customFormat="1" x14ac:dyDescent="0.25">
      <c r="A1" s="151" t="s">
        <v>204</v>
      </c>
      <c r="B1" s="151" t="s">
        <v>207</v>
      </c>
      <c r="C1" s="151" t="s">
        <v>200</v>
      </c>
      <c r="D1" s="151" t="s">
        <v>232</v>
      </c>
      <c r="E1" s="151" t="s">
        <v>201</v>
      </c>
      <c r="F1" s="151" t="s">
        <v>199</v>
      </c>
      <c r="G1" s="151" t="s">
        <v>197</v>
      </c>
      <c r="H1" s="151" t="s">
        <v>210</v>
      </c>
      <c r="I1" s="151" t="s">
        <v>211</v>
      </c>
      <c r="J1" s="151" t="s">
        <v>205</v>
      </c>
      <c r="K1" s="151" t="s">
        <v>203</v>
      </c>
      <c r="L1" s="151" t="s">
        <v>198</v>
      </c>
      <c r="M1" s="151" t="s">
        <v>208</v>
      </c>
      <c r="N1" s="151" t="s">
        <v>202</v>
      </c>
      <c r="O1" s="151" t="s">
        <v>209</v>
      </c>
      <c r="P1" s="151" t="s">
        <v>206</v>
      </c>
      <c r="Q1" s="151" t="s">
        <v>206</v>
      </c>
    </row>
    <row r="2" spans="1:17" x14ac:dyDescent="0.25">
      <c r="A2" s="150">
        <v>49.2</v>
      </c>
      <c r="B2" s="150">
        <v>0</v>
      </c>
      <c r="C2" s="150">
        <v>34.03</v>
      </c>
      <c r="D2" s="165">
        <v>42639</v>
      </c>
      <c r="E2" s="150">
        <v>0.56000000000000005</v>
      </c>
      <c r="F2" s="150" t="s">
        <v>286</v>
      </c>
      <c r="G2" s="150">
        <v>254.15</v>
      </c>
      <c r="H2" s="150">
        <v>0</v>
      </c>
      <c r="I2" s="150">
        <v>0</v>
      </c>
      <c r="J2" s="150">
        <v>1028.3800000000001</v>
      </c>
      <c r="K2" s="150" t="s">
        <v>287</v>
      </c>
      <c r="L2" s="150">
        <v>49.2</v>
      </c>
      <c r="M2" s="150">
        <v>1474869600</v>
      </c>
      <c r="N2" s="150">
        <v>8.5500000000000007</v>
      </c>
      <c r="O2" s="150">
        <v>183</v>
      </c>
      <c r="P2" s="150">
        <v>2.29</v>
      </c>
      <c r="Q2" s="150">
        <v>2.77</v>
      </c>
    </row>
    <row r="3" spans="1:17" x14ac:dyDescent="0.25">
      <c r="A3" s="150">
        <v>47.31</v>
      </c>
      <c r="B3" s="150">
        <v>0</v>
      </c>
      <c r="C3" s="150">
        <v>32.89</v>
      </c>
      <c r="D3" s="165">
        <v>42639.041666666664</v>
      </c>
      <c r="E3" s="150">
        <v>0.56999999999999995</v>
      </c>
      <c r="F3" s="150" t="s">
        <v>286</v>
      </c>
      <c r="G3" s="150">
        <v>253.74</v>
      </c>
      <c r="H3" s="150">
        <v>0</v>
      </c>
      <c r="I3" s="150">
        <v>0</v>
      </c>
      <c r="J3" s="150">
        <v>1028.5</v>
      </c>
      <c r="K3" s="150" t="s">
        <v>287</v>
      </c>
      <c r="L3" s="150">
        <v>47.31</v>
      </c>
      <c r="M3" s="150">
        <v>1474873200</v>
      </c>
      <c r="N3" s="150">
        <v>8.66</v>
      </c>
      <c r="O3" s="150">
        <v>191</v>
      </c>
      <c r="P3" s="150">
        <v>2.48</v>
      </c>
      <c r="Q3" s="150">
        <v>2.39</v>
      </c>
    </row>
    <row r="4" spans="1:17" x14ac:dyDescent="0.25">
      <c r="A4" s="150">
        <v>46.82</v>
      </c>
      <c r="B4" s="150">
        <v>0</v>
      </c>
      <c r="C4" s="150">
        <v>33.159999999999997</v>
      </c>
      <c r="D4" s="165">
        <v>42639.083333333336</v>
      </c>
      <c r="E4" s="150">
        <v>0.59</v>
      </c>
      <c r="F4" s="150" t="s">
        <v>286</v>
      </c>
      <c r="G4" s="150">
        <v>253.32</v>
      </c>
      <c r="H4" s="150">
        <v>0</v>
      </c>
      <c r="I4" s="150">
        <v>0</v>
      </c>
      <c r="J4" s="150">
        <v>1028.5899999999999</v>
      </c>
      <c r="K4" s="150" t="s">
        <v>287</v>
      </c>
      <c r="L4" s="150">
        <v>46.82</v>
      </c>
      <c r="M4" s="150">
        <v>1474876800</v>
      </c>
      <c r="N4" s="150">
        <v>8.66</v>
      </c>
      <c r="O4" s="150">
        <v>207</v>
      </c>
      <c r="P4" s="150">
        <v>2.87</v>
      </c>
      <c r="Q4" s="150">
        <v>0.41</v>
      </c>
    </row>
    <row r="5" spans="1:17" x14ac:dyDescent="0.25">
      <c r="A5" s="150">
        <v>45.3</v>
      </c>
      <c r="B5" s="150">
        <v>0</v>
      </c>
      <c r="C5" s="150">
        <v>32.409999999999997</v>
      </c>
      <c r="D5" s="165">
        <v>42639.125</v>
      </c>
      <c r="E5" s="150">
        <v>0.6</v>
      </c>
      <c r="F5" s="150" t="s">
        <v>286</v>
      </c>
      <c r="G5" s="150">
        <v>252.91</v>
      </c>
      <c r="H5" s="150">
        <v>0</v>
      </c>
      <c r="I5" s="150">
        <v>0</v>
      </c>
      <c r="J5" s="150">
        <v>1028.6500000000001</v>
      </c>
      <c r="K5" s="150" t="s">
        <v>287</v>
      </c>
      <c r="L5" s="150">
        <v>45.3</v>
      </c>
      <c r="M5" s="150">
        <v>1474880400</v>
      </c>
      <c r="N5" s="150">
        <v>8.4</v>
      </c>
      <c r="O5" s="150">
        <v>203</v>
      </c>
      <c r="P5" s="150">
        <v>2.72</v>
      </c>
      <c r="Q5" s="150">
        <v>1.75</v>
      </c>
    </row>
    <row r="6" spans="1:17" x14ac:dyDescent="0.25">
      <c r="A6" s="150">
        <v>43.9</v>
      </c>
      <c r="B6" s="150">
        <v>0</v>
      </c>
      <c r="C6" s="150">
        <v>31.39</v>
      </c>
      <c r="D6" s="165">
        <v>42639.166666666664</v>
      </c>
      <c r="E6" s="150">
        <v>0.61</v>
      </c>
      <c r="F6" s="150" t="s">
        <v>286</v>
      </c>
      <c r="G6" s="150">
        <v>251.97</v>
      </c>
      <c r="H6" s="150">
        <v>0</v>
      </c>
      <c r="I6" s="150">
        <v>0</v>
      </c>
      <c r="J6" s="150">
        <v>1028.3499999999999</v>
      </c>
      <c r="K6" s="150" t="s">
        <v>287</v>
      </c>
      <c r="L6" s="150">
        <v>43.9</v>
      </c>
      <c r="M6" s="150">
        <v>1474884000</v>
      </c>
      <c r="N6" s="150">
        <v>8.42</v>
      </c>
      <c r="O6" s="150">
        <v>221</v>
      </c>
      <c r="P6" s="150">
        <v>2.68</v>
      </c>
      <c r="Q6" s="150">
        <v>2.42</v>
      </c>
    </row>
    <row r="7" spans="1:17" x14ac:dyDescent="0.25">
      <c r="A7" s="150">
        <v>43.42</v>
      </c>
      <c r="B7" s="150">
        <v>0</v>
      </c>
      <c r="C7" s="150">
        <v>31.02</v>
      </c>
      <c r="D7" s="165">
        <v>42639.208333333336</v>
      </c>
      <c r="E7" s="150">
        <v>0.61</v>
      </c>
      <c r="F7" s="150" t="s">
        <v>286</v>
      </c>
      <c r="G7" s="150">
        <v>250.86</v>
      </c>
      <c r="H7" s="150">
        <v>0</v>
      </c>
      <c r="I7" s="150">
        <v>0</v>
      </c>
      <c r="J7" s="150">
        <v>1027.8800000000001</v>
      </c>
      <c r="K7" s="150" t="s">
        <v>287</v>
      </c>
      <c r="L7" s="150">
        <v>43.42</v>
      </c>
      <c r="M7" s="150">
        <v>1474887600</v>
      </c>
      <c r="N7" s="150">
        <v>8.51</v>
      </c>
      <c r="O7" s="150">
        <v>234</v>
      </c>
      <c r="P7" s="150">
        <v>2.4300000000000002</v>
      </c>
      <c r="Q7" s="150">
        <v>1.79</v>
      </c>
    </row>
    <row r="8" spans="1:17" x14ac:dyDescent="0.25">
      <c r="A8" s="150">
        <v>43.54</v>
      </c>
      <c r="B8" s="150">
        <v>0</v>
      </c>
      <c r="C8" s="150">
        <v>30.52</v>
      </c>
      <c r="D8" s="165">
        <v>42639.25</v>
      </c>
      <c r="E8" s="150">
        <v>0.6</v>
      </c>
      <c r="F8" s="150" t="s">
        <v>286</v>
      </c>
      <c r="G8" s="150">
        <v>250.21</v>
      </c>
      <c r="H8" s="150">
        <v>0</v>
      </c>
      <c r="I8" s="150">
        <v>0</v>
      </c>
      <c r="J8" s="150">
        <v>1027.44</v>
      </c>
      <c r="K8" s="150" t="s">
        <v>287</v>
      </c>
      <c r="L8" s="150">
        <v>43.54</v>
      </c>
      <c r="M8" s="150">
        <v>1474891200</v>
      </c>
      <c r="N8" s="150">
        <v>7.6</v>
      </c>
      <c r="O8" s="150">
        <v>242</v>
      </c>
      <c r="P8" s="150">
        <v>2.31</v>
      </c>
      <c r="Q8" s="150">
        <v>1.99</v>
      </c>
    </row>
    <row r="9" spans="1:17" x14ac:dyDescent="0.25">
      <c r="A9" s="150">
        <v>43.61</v>
      </c>
      <c r="B9" s="150">
        <v>0.01</v>
      </c>
      <c r="C9" s="150">
        <v>30.6</v>
      </c>
      <c r="D9" s="165">
        <v>42639.291666666664</v>
      </c>
      <c r="E9" s="150">
        <v>0.6</v>
      </c>
      <c r="F9" s="150" t="s">
        <v>288</v>
      </c>
      <c r="G9" s="150">
        <v>250.26</v>
      </c>
      <c r="H9" s="150">
        <v>0</v>
      </c>
      <c r="I9" s="150">
        <v>0</v>
      </c>
      <c r="J9" s="150">
        <v>1027.3699999999999</v>
      </c>
      <c r="K9" s="150" t="s">
        <v>287</v>
      </c>
      <c r="L9" s="150">
        <v>43.61</v>
      </c>
      <c r="M9" s="150">
        <v>1474894800</v>
      </c>
      <c r="N9" s="150">
        <v>6.14</v>
      </c>
      <c r="O9" s="150">
        <v>225</v>
      </c>
      <c r="P9" s="150">
        <v>2.34</v>
      </c>
      <c r="Q9" s="150">
        <v>2.11</v>
      </c>
    </row>
    <row r="10" spans="1:17" x14ac:dyDescent="0.25">
      <c r="A10" s="150">
        <v>48.55</v>
      </c>
      <c r="B10" s="150">
        <v>0.08</v>
      </c>
      <c r="C10" s="150">
        <v>32.71</v>
      </c>
      <c r="D10" s="165">
        <v>42639.333333333336</v>
      </c>
      <c r="E10" s="150">
        <v>0.54</v>
      </c>
      <c r="F10" s="150" t="s">
        <v>288</v>
      </c>
      <c r="G10" s="150">
        <v>250.75</v>
      </c>
      <c r="H10" s="150">
        <v>0</v>
      </c>
      <c r="I10" s="150">
        <v>0</v>
      </c>
      <c r="J10" s="150">
        <v>1027.3499999999999</v>
      </c>
      <c r="K10" s="150" t="s">
        <v>287</v>
      </c>
      <c r="L10" s="150">
        <v>48.55</v>
      </c>
      <c r="M10" s="150">
        <v>1474898400</v>
      </c>
      <c r="N10" s="150">
        <v>5.64</v>
      </c>
      <c r="O10" s="150">
        <v>208</v>
      </c>
      <c r="P10" s="150">
        <v>1.72</v>
      </c>
      <c r="Q10" s="150">
        <v>2.5499999999999998</v>
      </c>
    </row>
    <row r="11" spans="1:17" x14ac:dyDescent="0.25">
      <c r="A11" s="150">
        <v>54.99</v>
      </c>
      <c r="B11" s="150">
        <v>0</v>
      </c>
      <c r="C11" s="150">
        <v>34.39</v>
      </c>
      <c r="D11" s="165">
        <v>42639.375</v>
      </c>
      <c r="E11" s="150">
        <v>0.46</v>
      </c>
      <c r="F11" s="150" t="s">
        <v>288</v>
      </c>
      <c r="G11" s="150">
        <v>251.53</v>
      </c>
      <c r="H11" s="150">
        <v>0</v>
      </c>
      <c r="I11" s="150">
        <v>0</v>
      </c>
      <c r="J11" s="150">
        <v>1026.94</v>
      </c>
      <c r="K11" s="150" t="s">
        <v>287</v>
      </c>
      <c r="L11" s="150">
        <v>54.99</v>
      </c>
      <c r="M11" s="150">
        <v>1474902000</v>
      </c>
      <c r="N11" s="150">
        <v>3.46</v>
      </c>
      <c r="O11" s="150">
        <v>209</v>
      </c>
      <c r="P11" s="150">
        <v>1.81</v>
      </c>
      <c r="Q11" s="150">
        <v>3.14</v>
      </c>
    </row>
    <row r="12" spans="1:17" x14ac:dyDescent="0.25">
      <c r="A12" s="150">
        <v>61.39</v>
      </c>
      <c r="B12" s="150">
        <v>0</v>
      </c>
      <c r="C12" s="150">
        <v>34.159999999999997</v>
      </c>
      <c r="D12" s="165">
        <v>42639.416666666664</v>
      </c>
      <c r="E12" s="150">
        <v>0.36</v>
      </c>
      <c r="F12" s="150" t="s">
        <v>288</v>
      </c>
      <c r="G12" s="150">
        <v>252.69</v>
      </c>
      <c r="H12" s="150">
        <v>0</v>
      </c>
      <c r="I12" s="150">
        <v>0</v>
      </c>
      <c r="J12" s="150">
        <v>1025.9100000000001</v>
      </c>
      <c r="K12" s="150" t="s">
        <v>287</v>
      </c>
      <c r="L12" s="150">
        <v>61.39</v>
      </c>
      <c r="M12" s="150">
        <v>1474905600</v>
      </c>
      <c r="N12" s="150">
        <v>3.4</v>
      </c>
      <c r="O12" s="150">
        <v>150</v>
      </c>
      <c r="P12" s="150">
        <v>1.28</v>
      </c>
      <c r="Q12" s="150">
        <v>3.74</v>
      </c>
    </row>
    <row r="13" spans="1:17" x14ac:dyDescent="0.25">
      <c r="A13" s="150">
        <v>66.48</v>
      </c>
      <c r="B13" s="150">
        <v>0.01</v>
      </c>
      <c r="C13" s="150">
        <v>33.799999999999997</v>
      </c>
      <c r="D13" s="165">
        <v>42639.458333333336</v>
      </c>
      <c r="E13" s="150">
        <v>0.3</v>
      </c>
      <c r="F13" s="150" t="s">
        <v>288</v>
      </c>
      <c r="G13" s="150">
        <v>254.13</v>
      </c>
      <c r="H13" s="150">
        <v>0</v>
      </c>
      <c r="I13" s="150">
        <v>0</v>
      </c>
      <c r="J13" s="150">
        <v>1024.52</v>
      </c>
      <c r="K13" s="150" t="s">
        <v>287</v>
      </c>
      <c r="L13" s="150">
        <v>66.48</v>
      </c>
      <c r="M13" s="150">
        <v>1474909200</v>
      </c>
      <c r="N13" s="150">
        <v>3.42</v>
      </c>
      <c r="O13" s="150">
        <v>136</v>
      </c>
      <c r="P13" s="150">
        <v>1.18</v>
      </c>
      <c r="Q13" s="150">
        <v>3.07</v>
      </c>
    </row>
    <row r="14" spans="1:17" x14ac:dyDescent="0.25">
      <c r="A14" s="150">
        <v>69.59</v>
      </c>
      <c r="B14" s="150">
        <v>0</v>
      </c>
      <c r="C14" s="150">
        <v>33.909999999999997</v>
      </c>
      <c r="D14" s="165">
        <v>42639.5</v>
      </c>
      <c r="E14" s="150">
        <v>0.27</v>
      </c>
      <c r="F14" s="150" t="s">
        <v>288</v>
      </c>
      <c r="G14" s="150">
        <v>255.35</v>
      </c>
      <c r="H14" s="150">
        <v>0</v>
      </c>
      <c r="I14" s="150">
        <v>0</v>
      </c>
      <c r="J14" s="150">
        <v>1023.22</v>
      </c>
      <c r="K14" s="150" t="s">
        <v>287</v>
      </c>
      <c r="L14" s="150">
        <v>69.59</v>
      </c>
      <c r="M14" s="150">
        <v>1474912800</v>
      </c>
      <c r="N14" s="150">
        <v>3.46</v>
      </c>
      <c r="O14" s="150">
        <v>105</v>
      </c>
      <c r="P14" s="150">
        <v>2.75</v>
      </c>
      <c r="Q14" s="150">
        <v>1.36</v>
      </c>
    </row>
    <row r="15" spans="1:17" x14ac:dyDescent="0.25">
      <c r="A15" s="150">
        <v>72.59</v>
      </c>
      <c r="B15" s="150">
        <v>0.01</v>
      </c>
      <c r="C15" s="150">
        <v>33.119999999999997</v>
      </c>
      <c r="D15" s="165">
        <v>42639.541666666664</v>
      </c>
      <c r="E15" s="150">
        <v>0.23</v>
      </c>
      <c r="F15" s="150" t="s">
        <v>288</v>
      </c>
      <c r="G15" s="150">
        <v>256.2</v>
      </c>
      <c r="H15" s="150">
        <v>0</v>
      </c>
      <c r="I15" s="150">
        <v>0</v>
      </c>
      <c r="J15" s="150">
        <v>1022.32</v>
      </c>
      <c r="K15" s="150" t="s">
        <v>287</v>
      </c>
      <c r="L15" s="150">
        <v>72.59</v>
      </c>
      <c r="M15" s="150">
        <v>1474916400</v>
      </c>
      <c r="N15" s="150">
        <v>3.43</v>
      </c>
      <c r="O15" s="150">
        <v>93</v>
      </c>
      <c r="P15" s="150">
        <v>2.38</v>
      </c>
      <c r="Q15" s="150">
        <v>0.36</v>
      </c>
    </row>
    <row r="16" spans="1:17" x14ac:dyDescent="0.25">
      <c r="A16" s="150">
        <v>73.94</v>
      </c>
      <c r="B16" s="150">
        <v>0.01</v>
      </c>
      <c r="C16" s="150">
        <v>32.81</v>
      </c>
      <c r="D16" s="165">
        <v>42639.583333333336</v>
      </c>
      <c r="E16" s="150">
        <v>0.22</v>
      </c>
      <c r="F16" s="150" t="s">
        <v>288</v>
      </c>
      <c r="G16" s="150">
        <v>256.83</v>
      </c>
      <c r="H16" s="150">
        <v>0</v>
      </c>
      <c r="I16" s="150">
        <v>0</v>
      </c>
      <c r="J16" s="150">
        <v>1021.55</v>
      </c>
      <c r="K16" s="150" t="s">
        <v>287</v>
      </c>
      <c r="L16" s="150">
        <v>73.94</v>
      </c>
      <c r="M16" s="150">
        <v>1474920000</v>
      </c>
      <c r="N16" s="150">
        <v>3.47</v>
      </c>
      <c r="O16" s="150">
        <v>68</v>
      </c>
      <c r="P16" s="150">
        <v>3.47</v>
      </c>
      <c r="Q16" s="150">
        <v>1.69</v>
      </c>
    </row>
    <row r="17" spans="1:17" x14ac:dyDescent="0.25">
      <c r="A17" s="150">
        <v>75.489999999999995</v>
      </c>
      <c r="B17" s="150">
        <v>0.02</v>
      </c>
      <c r="C17" s="150">
        <v>32.39</v>
      </c>
      <c r="D17" s="165">
        <v>42639.625</v>
      </c>
      <c r="E17" s="150">
        <v>0.21</v>
      </c>
      <c r="F17" s="150" t="s">
        <v>288</v>
      </c>
      <c r="G17" s="150">
        <v>257.12</v>
      </c>
      <c r="H17" s="150">
        <v>0</v>
      </c>
      <c r="I17" s="150">
        <v>0</v>
      </c>
      <c r="J17" s="150">
        <v>1020.86</v>
      </c>
      <c r="K17" s="150" t="s">
        <v>287</v>
      </c>
      <c r="L17" s="150">
        <v>75.489999999999995</v>
      </c>
      <c r="M17" s="150">
        <v>1474923600</v>
      </c>
      <c r="N17" s="150">
        <v>3.41</v>
      </c>
      <c r="O17" s="150">
        <v>59</v>
      </c>
      <c r="P17" s="150">
        <v>3.76</v>
      </c>
      <c r="Q17" s="150">
        <v>3.87</v>
      </c>
    </row>
    <row r="18" spans="1:17" x14ac:dyDescent="0.25">
      <c r="A18" s="150">
        <v>75.55</v>
      </c>
      <c r="B18" s="150">
        <v>0.01</v>
      </c>
      <c r="C18" s="150">
        <v>32.119999999999997</v>
      </c>
      <c r="D18" s="165">
        <v>42639.666666666664</v>
      </c>
      <c r="E18" s="150">
        <v>0.2</v>
      </c>
      <c r="F18" s="150" t="s">
        <v>288</v>
      </c>
      <c r="G18" s="150">
        <v>256.89</v>
      </c>
      <c r="H18" s="150">
        <v>0</v>
      </c>
      <c r="I18" s="150">
        <v>0</v>
      </c>
      <c r="J18" s="150">
        <v>1020.26</v>
      </c>
      <c r="K18" s="150" t="s">
        <v>287</v>
      </c>
      <c r="L18" s="150">
        <v>75.55</v>
      </c>
      <c r="M18" s="150">
        <v>1474927200</v>
      </c>
      <c r="N18" s="150">
        <v>3.38</v>
      </c>
      <c r="O18" s="150">
        <v>61</v>
      </c>
      <c r="P18" s="150">
        <v>3.45</v>
      </c>
      <c r="Q18" s="150">
        <v>5.81</v>
      </c>
    </row>
    <row r="19" spans="1:17" x14ac:dyDescent="0.25">
      <c r="A19" s="150">
        <v>74.849999999999994</v>
      </c>
      <c r="B19" s="150">
        <v>0.01</v>
      </c>
      <c r="C19" s="150">
        <v>33.020000000000003</v>
      </c>
      <c r="D19" s="165">
        <v>42639.708333333336</v>
      </c>
      <c r="E19" s="150">
        <v>0.22</v>
      </c>
      <c r="F19" s="150" t="s">
        <v>288</v>
      </c>
      <c r="G19" s="150">
        <v>256.33</v>
      </c>
      <c r="H19" s="150">
        <v>0</v>
      </c>
      <c r="I19" s="150">
        <v>0</v>
      </c>
      <c r="J19" s="150">
        <v>1019.71</v>
      </c>
      <c r="K19" s="150" t="s">
        <v>287</v>
      </c>
      <c r="L19" s="150">
        <v>74.849999999999994</v>
      </c>
      <c r="M19" s="150">
        <v>1474930800</v>
      </c>
      <c r="N19" s="150">
        <v>5.85</v>
      </c>
      <c r="O19" s="150">
        <v>73</v>
      </c>
      <c r="P19" s="150">
        <v>4.13</v>
      </c>
      <c r="Q19" s="150">
        <v>9.5500000000000007</v>
      </c>
    </row>
    <row r="20" spans="1:17" x14ac:dyDescent="0.25">
      <c r="A20" s="150">
        <v>71.459999999999994</v>
      </c>
      <c r="B20" s="150">
        <v>0.01</v>
      </c>
      <c r="C20" s="150">
        <v>32.229999999999997</v>
      </c>
      <c r="D20" s="165">
        <v>42639.75</v>
      </c>
      <c r="E20" s="150">
        <v>0.23</v>
      </c>
      <c r="F20" s="150" t="s">
        <v>288</v>
      </c>
      <c r="G20" s="150">
        <v>255.81</v>
      </c>
      <c r="H20" s="150">
        <v>0</v>
      </c>
      <c r="I20" s="150">
        <v>0</v>
      </c>
      <c r="J20" s="150">
        <v>1019.55</v>
      </c>
      <c r="K20" s="150" t="s">
        <v>287</v>
      </c>
      <c r="L20" s="150">
        <v>71.459999999999994</v>
      </c>
      <c r="M20" s="150">
        <v>1474934400</v>
      </c>
      <c r="N20" s="150">
        <v>5.92</v>
      </c>
      <c r="O20" s="150">
        <v>81</v>
      </c>
      <c r="P20" s="150">
        <v>4</v>
      </c>
      <c r="Q20" s="150">
        <v>10.68</v>
      </c>
    </row>
    <row r="21" spans="1:17" x14ac:dyDescent="0.25">
      <c r="A21" s="150">
        <v>67.849999999999994</v>
      </c>
      <c r="B21" s="150">
        <v>0.01</v>
      </c>
      <c r="C21" s="150">
        <v>33.04</v>
      </c>
      <c r="D21" s="165">
        <v>42639.791666666664</v>
      </c>
      <c r="E21" s="150">
        <v>0.27</v>
      </c>
      <c r="F21" s="150" t="s">
        <v>286</v>
      </c>
      <c r="G21" s="150">
        <v>255.42</v>
      </c>
      <c r="H21" s="150">
        <v>0</v>
      </c>
      <c r="I21" s="150">
        <v>0</v>
      </c>
      <c r="J21" s="150">
        <v>1020.16</v>
      </c>
      <c r="K21" s="150" t="s">
        <v>287</v>
      </c>
      <c r="L21" s="150">
        <v>67.849999999999994</v>
      </c>
      <c r="M21" s="150">
        <v>1474938000</v>
      </c>
      <c r="N21" s="150">
        <v>6.36</v>
      </c>
      <c r="O21" s="150">
        <v>86</v>
      </c>
      <c r="P21" s="150">
        <v>2.63</v>
      </c>
      <c r="Q21" s="150">
        <v>7.21</v>
      </c>
    </row>
    <row r="22" spans="1:17" x14ac:dyDescent="0.25">
      <c r="A22" s="150">
        <v>63.36</v>
      </c>
      <c r="B22" s="150">
        <v>0.01</v>
      </c>
      <c r="C22" s="150">
        <v>34.78</v>
      </c>
      <c r="D22" s="165">
        <v>42639.833333333336</v>
      </c>
      <c r="E22" s="150">
        <v>0.34</v>
      </c>
      <c r="F22" s="150" t="s">
        <v>286</v>
      </c>
      <c r="G22" s="150">
        <v>255.08</v>
      </c>
      <c r="H22" s="150">
        <v>0</v>
      </c>
      <c r="I22" s="150">
        <v>0</v>
      </c>
      <c r="J22" s="150">
        <v>1021.33</v>
      </c>
      <c r="K22" s="150" t="s">
        <v>287</v>
      </c>
      <c r="L22" s="150">
        <v>63.36</v>
      </c>
      <c r="M22" s="150">
        <v>1474941600</v>
      </c>
      <c r="N22" s="150">
        <v>6.95</v>
      </c>
      <c r="O22" s="150">
        <v>121</v>
      </c>
      <c r="P22" s="150">
        <v>1.1599999999999999</v>
      </c>
      <c r="Q22" s="150">
        <v>4.58</v>
      </c>
    </row>
    <row r="23" spans="1:17" x14ac:dyDescent="0.25">
      <c r="A23" s="150">
        <v>59.68</v>
      </c>
      <c r="B23" s="150">
        <v>0</v>
      </c>
      <c r="C23" s="150">
        <v>36.049999999999997</v>
      </c>
      <c r="D23" s="165">
        <v>42639.875</v>
      </c>
      <c r="E23" s="150">
        <v>0.41</v>
      </c>
      <c r="F23" s="150" t="s">
        <v>286</v>
      </c>
      <c r="G23" s="150">
        <v>254.91</v>
      </c>
      <c r="H23" s="150">
        <v>0</v>
      </c>
      <c r="I23" s="150">
        <v>0</v>
      </c>
      <c r="J23" s="150">
        <v>1022.24</v>
      </c>
      <c r="K23" s="150" t="s">
        <v>287</v>
      </c>
      <c r="L23" s="150">
        <v>59.68</v>
      </c>
      <c r="M23" s="150">
        <v>1474945200</v>
      </c>
      <c r="N23" s="150">
        <v>7.76</v>
      </c>
      <c r="O23" s="150">
        <v>228</v>
      </c>
      <c r="P23" s="150">
        <v>1.62</v>
      </c>
      <c r="Q23" s="150">
        <v>2.89</v>
      </c>
    </row>
    <row r="24" spans="1:17" x14ac:dyDescent="0.25">
      <c r="A24" s="150">
        <v>56.6</v>
      </c>
      <c r="B24" s="150">
        <v>0</v>
      </c>
      <c r="C24" s="150">
        <v>36.39</v>
      </c>
      <c r="D24" s="165">
        <v>42639.916666666664</v>
      </c>
      <c r="E24" s="150">
        <v>0.47</v>
      </c>
      <c r="F24" s="150" t="s">
        <v>286</v>
      </c>
      <c r="G24" s="150">
        <v>254.98</v>
      </c>
      <c r="H24" s="150">
        <v>0</v>
      </c>
      <c r="I24" s="150">
        <v>0</v>
      </c>
      <c r="J24" s="150">
        <v>1022.52</v>
      </c>
      <c r="K24" s="150" t="s">
        <v>287</v>
      </c>
      <c r="L24" s="150">
        <v>56.6</v>
      </c>
      <c r="M24" s="150">
        <v>1474948800</v>
      </c>
      <c r="N24" s="150">
        <v>8.07</v>
      </c>
      <c r="O24" s="150">
        <v>184</v>
      </c>
      <c r="P24" s="150">
        <v>1.86</v>
      </c>
      <c r="Q24" s="150">
        <v>1.62</v>
      </c>
    </row>
    <row r="25" spans="1:17" x14ac:dyDescent="0.25">
      <c r="A25" s="150">
        <v>54.4</v>
      </c>
      <c r="B25" s="150">
        <v>0</v>
      </c>
      <c r="C25" s="150">
        <v>36.79</v>
      </c>
      <c r="D25" s="165">
        <v>42639.958333333336</v>
      </c>
      <c r="E25" s="150">
        <v>0.51</v>
      </c>
      <c r="F25" s="150" t="s">
        <v>286</v>
      </c>
      <c r="G25" s="150">
        <v>255.22</v>
      </c>
      <c r="H25" s="150">
        <v>0</v>
      </c>
      <c r="I25" s="150">
        <v>0</v>
      </c>
      <c r="J25" s="150">
        <v>1022.48</v>
      </c>
      <c r="K25" s="150" t="s">
        <v>287</v>
      </c>
      <c r="L25" s="150">
        <v>54.4</v>
      </c>
      <c r="M25" s="150">
        <v>1474952400</v>
      </c>
      <c r="N25" s="150">
        <v>7.62</v>
      </c>
      <c r="O25" s="150">
        <v>206</v>
      </c>
      <c r="P25" s="150">
        <v>0.82</v>
      </c>
      <c r="Q25" s="150">
        <v>1.98</v>
      </c>
    </row>
    <row r="26" spans="1:17" x14ac:dyDescent="0.25">
      <c r="A26" s="150">
        <v>52.88</v>
      </c>
      <c r="B26" s="150">
        <v>0</v>
      </c>
      <c r="C26" s="150">
        <v>36.729999999999997</v>
      </c>
      <c r="D26" s="165">
        <v>42640</v>
      </c>
      <c r="E26" s="150">
        <v>0.54</v>
      </c>
      <c r="F26" s="150" t="s">
        <v>286</v>
      </c>
      <c r="G26" s="150">
        <v>255.62</v>
      </c>
      <c r="H26" s="150">
        <v>0</v>
      </c>
      <c r="I26" s="150">
        <v>0</v>
      </c>
      <c r="J26" s="150">
        <v>1022.42</v>
      </c>
      <c r="K26" s="150" t="s">
        <v>287</v>
      </c>
      <c r="L26" s="150">
        <v>52.88</v>
      </c>
      <c r="M26" s="150">
        <v>1474956000</v>
      </c>
      <c r="N26" s="150">
        <v>7.76</v>
      </c>
      <c r="O26" s="150">
        <v>257</v>
      </c>
      <c r="P26" s="150">
        <v>0.81</v>
      </c>
      <c r="Q26" s="150">
        <v>1.56</v>
      </c>
    </row>
    <row r="27" spans="1:17" x14ac:dyDescent="0.25">
      <c r="A27" s="150">
        <v>52.07</v>
      </c>
      <c r="B27" s="150">
        <v>0</v>
      </c>
      <c r="C27" s="150">
        <v>36.229999999999997</v>
      </c>
      <c r="D27" s="165">
        <v>42640.041666666664</v>
      </c>
      <c r="E27" s="150">
        <v>0.55000000000000004</v>
      </c>
      <c r="F27" s="150" t="s">
        <v>286</v>
      </c>
      <c r="G27" s="150">
        <v>256.33999999999997</v>
      </c>
      <c r="H27" s="150">
        <v>0</v>
      </c>
      <c r="I27" s="150">
        <v>0</v>
      </c>
      <c r="J27" s="150">
        <v>1022.44</v>
      </c>
      <c r="K27" s="150" t="s">
        <v>287</v>
      </c>
      <c r="L27" s="150">
        <v>52.07</v>
      </c>
      <c r="M27" s="150">
        <v>1474959600</v>
      </c>
      <c r="N27" s="150">
        <v>7.83</v>
      </c>
      <c r="O27" s="150">
        <v>261</v>
      </c>
      <c r="P27" s="150">
        <v>2.5299999999999998</v>
      </c>
      <c r="Q27" s="150">
        <v>1.31</v>
      </c>
    </row>
    <row r="28" spans="1:17" x14ac:dyDescent="0.25">
      <c r="A28" s="150">
        <v>50.54</v>
      </c>
      <c r="B28" s="150">
        <v>0</v>
      </c>
      <c r="C28" s="150">
        <v>35.840000000000003</v>
      </c>
      <c r="D28" s="165">
        <v>42640.083333333336</v>
      </c>
      <c r="E28" s="150">
        <v>0.56999999999999995</v>
      </c>
      <c r="F28" s="150" t="s">
        <v>286</v>
      </c>
      <c r="G28" s="150">
        <v>257.05</v>
      </c>
      <c r="H28" s="150">
        <v>0</v>
      </c>
      <c r="I28" s="150">
        <v>0</v>
      </c>
      <c r="J28" s="150">
        <v>1022.43</v>
      </c>
      <c r="K28" s="150" t="s">
        <v>287</v>
      </c>
      <c r="L28" s="150">
        <v>50.54</v>
      </c>
      <c r="M28" s="150">
        <v>1474963200</v>
      </c>
      <c r="N28" s="150">
        <v>7.75</v>
      </c>
      <c r="O28" s="150">
        <v>221</v>
      </c>
      <c r="P28" s="150">
        <v>2.1800000000000002</v>
      </c>
      <c r="Q28" s="150">
        <v>1.38</v>
      </c>
    </row>
    <row r="29" spans="1:17" x14ac:dyDescent="0.25">
      <c r="A29" s="150">
        <v>48.79</v>
      </c>
      <c r="B29" s="150">
        <v>0</v>
      </c>
      <c r="C29" s="150">
        <v>35.33</v>
      </c>
      <c r="D29" s="165">
        <v>42640.125</v>
      </c>
      <c r="E29" s="150">
        <v>0.6</v>
      </c>
      <c r="F29" s="150" t="s">
        <v>286</v>
      </c>
      <c r="G29" s="150">
        <v>257.77</v>
      </c>
      <c r="H29" s="150">
        <v>0</v>
      </c>
      <c r="I29" s="150">
        <v>0</v>
      </c>
      <c r="J29" s="150">
        <v>1022.39</v>
      </c>
      <c r="K29" s="150" t="s">
        <v>287</v>
      </c>
      <c r="L29" s="150">
        <v>48.79</v>
      </c>
      <c r="M29" s="150">
        <v>1474966800</v>
      </c>
      <c r="N29" s="150">
        <v>6.14</v>
      </c>
      <c r="O29" s="150">
        <v>220</v>
      </c>
      <c r="P29" s="150">
        <v>2.27</v>
      </c>
      <c r="Q29" s="150">
        <v>2.41</v>
      </c>
    </row>
    <row r="31" spans="1:17" x14ac:dyDescent="0.25">
      <c r="A31" s="150" t="s">
        <v>720</v>
      </c>
    </row>
    <row r="33" spans="1:1" x14ac:dyDescent="0.25">
      <c r="A33" s="150" t="s">
        <v>212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E13" sqref="E13"/>
    </sheetView>
  </sheetViews>
  <sheetFormatPr defaultRowHeight="15" x14ac:dyDescent="0.25"/>
  <cols>
    <col min="1" max="1" width="32.140625" customWidth="1"/>
    <col min="3" max="3" width="24" style="72" customWidth="1"/>
    <col min="4" max="4" width="19.140625" style="72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5" t="s">
        <v>107</v>
      </c>
      <c r="D1" s="176" t="s">
        <v>108</v>
      </c>
      <c r="J1" s="34" t="s">
        <v>109</v>
      </c>
      <c r="K1" s="34" t="s">
        <v>72</v>
      </c>
      <c r="L1" s="34" t="s">
        <v>73</v>
      </c>
      <c r="O1" s="73" t="s">
        <v>110</v>
      </c>
    </row>
    <row r="2" spans="1:16" ht="15.75" thickBot="1" x14ac:dyDescent="0.3">
      <c r="A2" s="14">
        <v>42639</v>
      </c>
      <c r="B2" s="4"/>
      <c r="C2" s="177">
        <v>50</v>
      </c>
      <c r="D2" s="178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0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5" t="s">
        <v>107</v>
      </c>
      <c r="D4" s="176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10">
        <f t="shared" si="0"/>
        <v>3.09</v>
      </c>
    </row>
    <row r="5" spans="1:16" x14ac:dyDescent="0.25">
      <c r="C5" s="72">
        <v>30</v>
      </c>
      <c r="D5" s="72">
        <v>9</v>
      </c>
      <c r="J5" s="35" t="s">
        <v>76</v>
      </c>
      <c r="K5" s="36">
        <v>3.3136000000000001</v>
      </c>
      <c r="L5" s="36">
        <v>3.3256999999999999</v>
      </c>
      <c r="M5" s="110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0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0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129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110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166</v>
      </c>
      <c r="M25" s="70" t="b">
        <v>1</v>
      </c>
    </row>
    <row r="26" spans="10:13" x14ac:dyDescent="0.25">
      <c r="J26" t="s">
        <v>167</v>
      </c>
      <c r="M26" s="70" t="str">
        <f>"C:\Users\stu\Documents\GitHub\eaglep3-reporting\EC\"&amp;TEXT(A2,"yyyy-mm-dd")&amp;"-refined-times.txt"</f>
        <v>C:\Users\stu\Documents\GitHub\eaglep3-reporting\EC\2016-09-26-refined-times.txt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135</v>
      </c>
      <c r="B1" s="123" t="s">
        <v>136</v>
      </c>
      <c r="C1" s="124" t="s">
        <v>137</v>
      </c>
      <c r="H1" t="s">
        <v>131</v>
      </c>
      <c r="I1" s="125" t="s">
        <v>133</v>
      </c>
      <c r="J1"/>
    </row>
    <row r="2" spans="1:11" x14ac:dyDescent="0.25">
      <c r="A2" s="124" t="s">
        <v>138</v>
      </c>
      <c r="B2" s="124" t="s">
        <v>139</v>
      </c>
      <c r="C2" s="124" t="s">
        <v>140</v>
      </c>
      <c r="H2" t="s">
        <v>132</v>
      </c>
      <c r="I2" s="110" t="s">
        <v>134</v>
      </c>
      <c r="J2"/>
    </row>
    <row r="3" spans="1:11" x14ac:dyDescent="0.25">
      <c r="A3" s="124" t="s">
        <v>141</v>
      </c>
      <c r="B3" s="124" t="s">
        <v>142</v>
      </c>
      <c r="C3" s="124" t="s">
        <v>143</v>
      </c>
      <c r="H3" t="s">
        <v>157</v>
      </c>
      <c r="I3" s="110">
        <v>1</v>
      </c>
      <c r="J3"/>
      <c r="K3" s="70"/>
    </row>
    <row r="4" spans="1:11" x14ac:dyDescent="0.25">
      <c r="A4" s="124" t="s">
        <v>144</v>
      </c>
      <c r="C4" s="124" t="s">
        <v>145</v>
      </c>
      <c r="H4" t="s">
        <v>158</v>
      </c>
      <c r="I4" s="110">
        <v>2</v>
      </c>
      <c r="J4"/>
      <c r="K4" s="70"/>
    </row>
    <row r="5" spans="1:11" x14ac:dyDescent="0.25">
      <c r="A5" s="124" t="s">
        <v>146</v>
      </c>
      <c r="C5" s="124" t="s">
        <v>147</v>
      </c>
      <c r="H5" t="s">
        <v>159</v>
      </c>
      <c r="I5" s="110">
        <v>23</v>
      </c>
      <c r="J5"/>
      <c r="K5" s="70"/>
    </row>
    <row r="6" spans="1:11" x14ac:dyDescent="0.25">
      <c r="A6" s="124" t="s">
        <v>148</v>
      </c>
      <c r="C6" s="124" t="s">
        <v>149</v>
      </c>
      <c r="H6" s="127" t="s">
        <v>160</v>
      </c>
      <c r="I6" s="128" t="s">
        <v>139</v>
      </c>
    </row>
    <row r="7" spans="1:11" x14ac:dyDescent="0.25">
      <c r="A7" s="124" t="s">
        <v>150</v>
      </c>
      <c r="C7" s="124" t="s">
        <v>151</v>
      </c>
    </row>
    <row r="8" spans="1:11" x14ac:dyDescent="0.25">
      <c r="C8" s="124" t="s">
        <v>152</v>
      </c>
    </row>
    <row r="9" spans="1:11" x14ac:dyDescent="0.25">
      <c r="C9" s="127" t="s">
        <v>240</v>
      </c>
    </row>
    <row r="10" spans="1:11" x14ac:dyDescent="0.25">
      <c r="C10" s="124" t="s">
        <v>153</v>
      </c>
    </row>
    <row r="11" spans="1:11" x14ac:dyDescent="0.25">
      <c r="C11" s="124" t="s">
        <v>154</v>
      </c>
    </row>
    <row r="12" spans="1:11" x14ac:dyDescent="0.25">
      <c r="C12" s="124" t="s">
        <v>155</v>
      </c>
    </row>
    <row r="13" spans="1:11" x14ac:dyDescent="0.25">
      <c r="C13" s="124" t="s">
        <v>156</v>
      </c>
    </row>
    <row r="14" spans="1:11" x14ac:dyDescent="0.25">
      <c r="C14" s="127" t="s">
        <v>241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2016-09-27T19:07:28Z</dcterms:modified>
</cp:coreProperties>
</file>