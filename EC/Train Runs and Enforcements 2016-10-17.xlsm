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1" i="1" l="1"/>
  <c r="X192" i="1"/>
  <c r="X193" i="1"/>
  <c r="X194" i="1"/>
  <c r="X19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9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7" i="1"/>
  <c r="X147" i="1"/>
  <c r="K149" i="1"/>
  <c r="L149" i="1"/>
  <c r="M149" i="1"/>
  <c r="V149" i="1"/>
  <c r="Y149" i="1"/>
  <c r="Z149" i="1"/>
  <c r="AA149" i="1" s="1"/>
  <c r="W149" i="1" s="1"/>
  <c r="AB149" i="1"/>
  <c r="AC149" i="1"/>
  <c r="AD149" i="1"/>
  <c r="AG149" i="1" s="1"/>
  <c r="AE149" i="1"/>
  <c r="AF149" i="1"/>
  <c r="AH149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25" i="3" s="1"/>
  <c r="Y130" i="1"/>
  <c r="Z130" i="1"/>
  <c r="AB130" i="1"/>
  <c r="AC130" i="1"/>
  <c r="AD130" i="1"/>
  <c r="T130" i="1" s="1"/>
  <c r="AE130" i="1"/>
  <c r="R25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0" i="1"/>
  <c r="L120" i="1"/>
  <c r="M120" i="1"/>
  <c r="N120" i="1"/>
  <c r="V120" i="1"/>
  <c r="Y120" i="1"/>
  <c r="Z120" i="1"/>
  <c r="AB120" i="1"/>
  <c r="AC120" i="1"/>
  <c r="AD120" i="1"/>
  <c r="AG120" i="1" s="1"/>
  <c r="AE120" i="1"/>
  <c r="AF120" i="1"/>
  <c r="AH120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4" i="1"/>
  <c r="L14" i="1"/>
  <c r="M14" i="1"/>
  <c r="N14" i="1" s="1"/>
  <c r="V14" i="1"/>
  <c r="S18" i="3" s="1"/>
  <c r="Y14" i="1"/>
  <c r="Z14" i="1"/>
  <c r="AB14" i="1"/>
  <c r="AC14" i="1"/>
  <c r="AD14" i="1"/>
  <c r="AG14" i="1" s="1"/>
  <c r="AE14" i="1"/>
  <c r="R19" i="3" s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20" i="3" s="1"/>
  <c r="Y16" i="1"/>
  <c r="Z16" i="1"/>
  <c r="AB16" i="1"/>
  <c r="AC16" i="1"/>
  <c r="AD16" i="1"/>
  <c r="AE16" i="1"/>
  <c r="R20" i="3" s="1"/>
  <c r="AF16" i="1"/>
  <c r="AH16" i="1"/>
  <c r="K17" i="1"/>
  <c r="L17" i="1"/>
  <c r="M17" i="1"/>
  <c r="N17" i="1" s="1"/>
  <c r="V17" i="1"/>
  <c r="S28" i="3" s="1"/>
  <c r="Y17" i="1"/>
  <c r="Z17" i="1"/>
  <c r="AB17" i="1"/>
  <c r="AC17" i="1"/>
  <c r="AD17" i="1"/>
  <c r="AE17" i="1"/>
  <c r="R28" i="3" s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21" i="3" s="1"/>
  <c r="Y24" i="1"/>
  <c r="Z24" i="1"/>
  <c r="AB24" i="1"/>
  <c r="AC24" i="1"/>
  <c r="AD24" i="1"/>
  <c r="AE24" i="1"/>
  <c r="R21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/>
  <c r="V26" i="1"/>
  <c r="S16" i="3" s="1"/>
  <c r="Y26" i="1"/>
  <c r="Z26" i="1"/>
  <c r="AB26" i="1"/>
  <c r="AC26" i="1"/>
  <c r="AD26" i="1"/>
  <c r="AG26" i="1" s="1"/>
  <c r="AE26" i="1"/>
  <c r="R16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8" i="3" s="1"/>
  <c r="Y28" i="1"/>
  <c r="Z28" i="1"/>
  <c r="AB28" i="1"/>
  <c r="AC28" i="1"/>
  <c r="AD28" i="1"/>
  <c r="AE28" i="1"/>
  <c r="R8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22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A33" i="1" s="1"/>
  <c r="W33" i="1" s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I37" i="1" s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17" i="3" s="1"/>
  <c r="Y38" i="1"/>
  <c r="Z38" i="1"/>
  <c r="AB38" i="1"/>
  <c r="AC38" i="1"/>
  <c r="AD38" i="1"/>
  <c r="AG38" i="1" s="1"/>
  <c r="AE38" i="1"/>
  <c r="R17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S12" i="3" s="1"/>
  <c r="Y44" i="1"/>
  <c r="Z44" i="1"/>
  <c r="AB44" i="1"/>
  <c r="AC44" i="1"/>
  <c r="AD44" i="1"/>
  <c r="AG44" i="1" s="1"/>
  <c r="AE44" i="1"/>
  <c r="R12" i="3" s="1"/>
  <c r="AF44" i="1"/>
  <c r="AH44" i="1"/>
  <c r="K45" i="1"/>
  <c r="L45" i="1"/>
  <c r="M45" i="1"/>
  <c r="N45" i="1" s="1"/>
  <c r="V45" i="1"/>
  <c r="Y45" i="1"/>
  <c r="Z45" i="1"/>
  <c r="AI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S14" i="3" s="1"/>
  <c r="Y47" i="1"/>
  <c r="Z47" i="1"/>
  <c r="AB47" i="1"/>
  <c r="AC47" i="1"/>
  <c r="AD47" i="1"/>
  <c r="T47" i="1" s="1"/>
  <c r="AE47" i="1"/>
  <c r="R14" i="3" s="1"/>
  <c r="AF47" i="1"/>
  <c r="AH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S23" i="3" s="1"/>
  <c r="Y56" i="1"/>
  <c r="Z56" i="1"/>
  <c r="AB56" i="1"/>
  <c r="AC56" i="1"/>
  <c r="AD56" i="1"/>
  <c r="AG56" i="1" s="1"/>
  <c r="AE56" i="1"/>
  <c r="R15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/>
  <c r="T68" i="1"/>
  <c r="V68" i="1"/>
  <c r="Y68" i="1"/>
  <c r="Z68" i="1"/>
  <c r="AA68" i="1" s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R7" i="3" s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R11" i="3" s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S9" i="3" s="1"/>
  <c r="Y80" i="1"/>
  <c r="Z80" i="1"/>
  <c r="AB80" i="1"/>
  <c r="AC80" i="1"/>
  <c r="AD80" i="1"/>
  <c r="AG80" i="1" s="1"/>
  <c r="AE80" i="1"/>
  <c r="R9" i="3" s="1"/>
  <c r="AF80" i="1"/>
  <c r="AH80" i="1"/>
  <c r="K81" i="1"/>
  <c r="L81" i="1"/>
  <c r="M81" i="1"/>
  <c r="N81" i="1" s="1"/>
  <c r="V81" i="1"/>
  <c r="Y81" i="1"/>
  <c r="Z81" i="1"/>
  <c r="AI81" i="1" s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I83" i="1" s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4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S10" i="3" s="1"/>
  <c r="Y98" i="1"/>
  <c r="Z98" i="1"/>
  <c r="AB98" i="1"/>
  <c r="AC98" i="1"/>
  <c r="AD98" i="1"/>
  <c r="AE98" i="1"/>
  <c r="R10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/>
  <c r="V111" i="1"/>
  <c r="Y111" i="1"/>
  <c r="Z111" i="1"/>
  <c r="AA111" i="1" s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S26" i="3" s="1"/>
  <c r="Y144" i="1"/>
  <c r="Z144" i="1"/>
  <c r="AB144" i="1"/>
  <c r="AC144" i="1"/>
  <c r="AD144" i="1"/>
  <c r="AE144" i="1"/>
  <c r="R26" i="3" s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K153" i="1"/>
  <c r="L153" i="1"/>
  <c r="M153" i="1"/>
  <c r="N153" i="1"/>
  <c r="V153" i="1"/>
  <c r="Y153" i="1"/>
  <c r="Z153" i="1"/>
  <c r="AB153" i="1"/>
  <c r="AC153" i="1"/>
  <c r="AD153" i="1"/>
  <c r="X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X155" i="1" s="1"/>
  <c r="AE154" i="1"/>
  <c r="AF154" i="1"/>
  <c r="AH154" i="1"/>
  <c r="K155" i="1"/>
  <c r="L155" i="1"/>
  <c r="M155" i="1"/>
  <c r="N155" i="1" s="1"/>
  <c r="T155" i="1"/>
  <c r="V155" i="1"/>
  <c r="Y155" i="1"/>
  <c r="Z155" i="1"/>
  <c r="AB155" i="1"/>
  <c r="AC155" i="1"/>
  <c r="AD155" i="1"/>
  <c r="AE155" i="1"/>
  <c r="AF155" i="1"/>
  <c r="AG155" i="1"/>
  <c r="AH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A207" i="1" s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AG221" i="1" s="1"/>
  <c r="AI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7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7" i="1"/>
  <c r="K163" i="1"/>
  <c r="L163" i="1"/>
  <c r="M163" i="1"/>
  <c r="N163" i="1" s="1"/>
  <c r="V163" i="1"/>
  <c r="S33" i="3" s="1"/>
  <c r="Y163" i="1"/>
  <c r="Z163" i="1"/>
  <c r="AB163" i="1"/>
  <c r="AC163" i="1"/>
  <c r="AD163" i="1"/>
  <c r="AE163" i="1"/>
  <c r="R33" i="3" s="1"/>
  <c r="AF163" i="1"/>
  <c r="AH17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9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3" i="1"/>
  <c r="K169" i="1"/>
  <c r="L169" i="1"/>
  <c r="M169" i="1"/>
  <c r="N169" i="1" s="1"/>
  <c r="V169" i="1"/>
  <c r="S36" i="3" s="1"/>
  <c r="Y169" i="1"/>
  <c r="Z169" i="1"/>
  <c r="AA169" i="1" s="1"/>
  <c r="AB169" i="1"/>
  <c r="AC169" i="1"/>
  <c r="AD169" i="1"/>
  <c r="AG169" i="1" s="1"/>
  <c r="AE169" i="1"/>
  <c r="R36" i="3" s="1"/>
  <c r="AF169" i="1"/>
  <c r="AH184" i="1"/>
  <c r="K170" i="1"/>
  <c r="L170" i="1"/>
  <c r="M170" i="1"/>
  <c r="N170" i="1" s="1"/>
  <c r="V170" i="1"/>
  <c r="S32" i="3" s="1"/>
  <c r="Y170" i="1"/>
  <c r="Z170" i="1"/>
  <c r="AA170" i="1" s="1"/>
  <c r="AB170" i="1"/>
  <c r="AC170" i="1"/>
  <c r="AD170" i="1"/>
  <c r="T170" i="1" s="1"/>
  <c r="AE170" i="1"/>
  <c r="R32" i="3" s="1"/>
  <c r="AF170" i="1"/>
  <c r="AH185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8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7" i="1"/>
  <c r="K173" i="1"/>
  <c r="L173" i="1"/>
  <c r="M173" i="1"/>
  <c r="N173" i="1"/>
  <c r="V173" i="1"/>
  <c r="Y173" i="1"/>
  <c r="AA173" i="1" s="1"/>
  <c r="Z173" i="1"/>
  <c r="AB173" i="1"/>
  <c r="AC173" i="1"/>
  <c r="AD173" i="1"/>
  <c r="AG173" i="1" s="1"/>
  <c r="AI173" i="1" s="1"/>
  <c r="AE173" i="1"/>
  <c r="AF173" i="1"/>
  <c r="AH188" i="1"/>
  <c r="K174" i="1"/>
  <c r="L174" i="1"/>
  <c r="M174" i="1"/>
  <c r="N174" i="1" s="1"/>
  <c r="V174" i="1"/>
  <c r="S30" i="3" s="1"/>
  <c r="Y174" i="1"/>
  <c r="Z174" i="1"/>
  <c r="AB174" i="1"/>
  <c r="AC174" i="1"/>
  <c r="AD174" i="1"/>
  <c r="T174" i="1" s="1"/>
  <c r="AE174" i="1"/>
  <c r="AF174" i="1"/>
  <c r="AH189" i="1"/>
  <c r="K175" i="1"/>
  <c r="L175" i="1"/>
  <c r="M175" i="1"/>
  <c r="N175" i="1" s="1"/>
  <c r="V175" i="1"/>
  <c r="S31" i="3" s="1"/>
  <c r="Y175" i="1"/>
  <c r="Z175" i="1"/>
  <c r="AB175" i="1"/>
  <c r="AC175" i="1"/>
  <c r="AD175" i="1"/>
  <c r="AE175" i="1"/>
  <c r="R31" i="3" s="1"/>
  <c r="AF175" i="1"/>
  <c r="AH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K177" i="1"/>
  <c r="L177" i="1"/>
  <c r="M177" i="1"/>
  <c r="N177" i="1" s="1"/>
  <c r="V177" i="1"/>
  <c r="S37" i="3" s="1"/>
  <c r="Y177" i="1"/>
  <c r="Z177" i="1"/>
  <c r="AB177" i="1"/>
  <c r="AC177" i="1"/>
  <c r="AD177" i="1"/>
  <c r="AG177" i="1" s="1"/>
  <c r="AE177" i="1"/>
  <c r="R37" i="3" s="1"/>
  <c r="AF177" i="1"/>
  <c r="AH201" i="1"/>
  <c r="K178" i="1"/>
  <c r="L178" i="1"/>
  <c r="M178" i="1"/>
  <c r="N178" i="1"/>
  <c r="V178" i="1"/>
  <c r="Y178" i="1"/>
  <c r="Z178" i="1"/>
  <c r="AB178" i="1"/>
  <c r="AC178" i="1"/>
  <c r="AD178" i="1"/>
  <c r="AE178" i="1"/>
  <c r="AF178" i="1"/>
  <c r="AH20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5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7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14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6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8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0" i="1"/>
  <c r="K216" i="1"/>
  <c r="L216" i="1"/>
  <c r="M216" i="1"/>
  <c r="N216" i="1"/>
  <c r="V216" i="1"/>
  <c r="S38" i="3" s="1"/>
  <c r="Y216" i="1"/>
  <c r="Z216" i="1"/>
  <c r="AB216" i="1"/>
  <c r="AC216" i="1"/>
  <c r="AD216" i="1"/>
  <c r="AG216" i="1" s="1"/>
  <c r="AE216" i="1"/>
  <c r="AF216" i="1"/>
  <c r="AH221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2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223" i="1"/>
  <c r="M18" i="3"/>
  <c r="N18" i="3"/>
  <c r="R18" i="3"/>
  <c r="U18" i="3"/>
  <c r="T18" i="3" s="1"/>
  <c r="V18" i="3"/>
  <c r="W18" i="3"/>
  <c r="X18" i="3"/>
  <c r="M19" i="3"/>
  <c r="N19" i="3"/>
  <c r="U19" i="3"/>
  <c r="T19" i="3" s="1"/>
  <c r="V19" i="3"/>
  <c r="W19" i="3"/>
  <c r="X19" i="3"/>
  <c r="AC19" i="3"/>
  <c r="M28" i="3"/>
  <c r="N28" i="3"/>
  <c r="U28" i="3"/>
  <c r="AC28" i="3" s="1"/>
  <c r="V28" i="3"/>
  <c r="W28" i="3"/>
  <c r="X28" i="3"/>
  <c r="M20" i="3"/>
  <c r="N20" i="3"/>
  <c r="U20" i="3"/>
  <c r="T20" i="3" s="1"/>
  <c r="V20" i="3"/>
  <c r="W20" i="3"/>
  <c r="X20" i="3"/>
  <c r="M16" i="3"/>
  <c r="N16" i="3"/>
  <c r="U16" i="3"/>
  <c r="T16" i="3" s="1"/>
  <c r="V16" i="3"/>
  <c r="W16" i="3"/>
  <c r="X16" i="3"/>
  <c r="AC16" i="3"/>
  <c r="M21" i="3"/>
  <c r="N21" i="3"/>
  <c r="U21" i="3"/>
  <c r="T21" i="3" s="1"/>
  <c r="V21" i="3"/>
  <c r="W21" i="3"/>
  <c r="X21" i="3"/>
  <c r="AC21" i="3"/>
  <c r="M8" i="3"/>
  <c r="N8" i="3"/>
  <c r="U8" i="3"/>
  <c r="AC8" i="3" s="1"/>
  <c r="V8" i="3"/>
  <c r="W8" i="3"/>
  <c r="Y8" i="3" s="1"/>
  <c r="X8" i="3"/>
  <c r="M22" i="3"/>
  <c r="N22" i="3"/>
  <c r="S22" i="3"/>
  <c r="U22" i="3"/>
  <c r="T22" i="3" s="1"/>
  <c r="V22" i="3"/>
  <c r="W22" i="3"/>
  <c r="X22" i="3"/>
  <c r="M33" i="3"/>
  <c r="N33" i="3"/>
  <c r="U33" i="3"/>
  <c r="T33" i="3" s="1"/>
  <c r="V33" i="3"/>
  <c r="W33" i="3"/>
  <c r="X33" i="3"/>
  <c r="AC33" i="3"/>
  <c r="M17" i="3"/>
  <c r="N17" i="3"/>
  <c r="U17" i="3"/>
  <c r="T17" i="3" s="1"/>
  <c r="V17" i="3"/>
  <c r="W17" i="3"/>
  <c r="X17" i="3"/>
  <c r="M14" i="3"/>
  <c r="N14" i="3"/>
  <c r="U14" i="3"/>
  <c r="AC14" i="3" s="1"/>
  <c r="V14" i="3"/>
  <c r="W14" i="3"/>
  <c r="X14" i="3"/>
  <c r="M12" i="3"/>
  <c r="N12" i="3"/>
  <c r="U12" i="3"/>
  <c r="T12" i="3" s="1"/>
  <c r="V12" i="3"/>
  <c r="W12" i="3"/>
  <c r="X12" i="3"/>
  <c r="M36" i="3"/>
  <c r="N36" i="3"/>
  <c r="U36" i="3"/>
  <c r="T36" i="3" s="1"/>
  <c r="V36" i="3"/>
  <c r="W36" i="3"/>
  <c r="X36" i="3"/>
  <c r="AC36" i="3"/>
  <c r="M32" i="3"/>
  <c r="N32" i="3"/>
  <c r="U32" i="3"/>
  <c r="T32" i="3" s="1"/>
  <c r="V32" i="3"/>
  <c r="W32" i="3"/>
  <c r="X32" i="3"/>
  <c r="AC32" i="3"/>
  <c r="M29" i="3"/>
  <c r="N29" i="3"/>
  <c r="U29" i="3"/>
  <c r="AC29" i="3" s="1"/>
  <c r="V29" i="3"/>
  <c r="W29" i="3"/>
  <c r="X29" i="3"/>
  <c r="M15" i="3"/>
  <c r="N15" i="3"/>
  <c r="S15" i="3"/>
  <c r="U15" i="3"/>
  <c r="T15" i="3" s="1"/>
  <c r="V15" i="3"/>
  <c r="W15" i="3"/>
  <c r="X15" i="3"/>
  <c r="M34" i="3"/>
  <c r="N34" i="3"/>
  <c r="U34" i="3"/>
  <c r="T34" i="3" s="1"/>
  <c r="V34" i="3"/>
  <c r="W34" i="3"/>
  <c r="X34" i="3"/>
  <c r="AC34" i="3"/>
  <c r="M23" i="3"/>
  <c r="N23" i="3"/>
  <c r="U23" i="3"/>
  <c r="T23" i="3" s="1"/>
  <c r="V23" i="3"/>
  <c r="W23" i="3"/>
  <c r="X23" i="3"/>
  <c r="AC23" i="3"/>
  <c r="M7" i="3"/>
  <c r="N7" i="3"/>
  <c r="S7" i="3"/>
  <c r="U7" i="3"/>
  <c r="AC7" i="3" s="1"/>
  <c r="V7" i="3"/>
  <c r="W7" i="3"/>
  <c r="X7" i="3"/>
  <c r="M30" i="3"/>
  <c r="N30" i="3"/>
  <c r="U30" i="3"/>
  <c r="T30" i="3" s="1"/>
  <c r="V30" i="3"/>
  <c r="W30" i="3"/>
  <c r="X30" i="3"/>
  <c r="M35" i="3"/>
  <c r="N35" i="3"/>
  <c r="U35" i="3"/>
  <c r="T35" i="3" s="1"/>
  <c r="V35" i="3"/>
  <c r="W35" i="3"/>
  <c r="X35" i="3"/>
  <c r="AC35" i="3"/>
  <c r="M11" i="3"/>
  <c r="N11" i="3"/>
  <c r="S11" i="3"/>
  <c r="U11" i="3"/>
  <c r="T11" i="3" s="1"/>
  <c r="V11" i="3"/>
  <c r="W11" i="3"/>
  <c r="X11" i="3"/>
  <c r="AC11" i="3"/>
  <c r="M31" i="3"/>
  <c r="N31" i="3"/>
  <c r="U31" i="3"/>
  <c r="AC31" i="3" s="1"/>
  <c r="V31" i="3"/>
  <c r="W31" i="3"/>
  <c r="X31" i="3"/>
  <c r="M9" i="3"/>
  <c r="N9" i="3"/>
  <c r="U9" i="3"/>
  <c r="T9" i="3" s="1"/>
  <c r="V9" i="3"/>
  <c r="W9" i="3"/>
  <c r="X9" i="3"/>
  <c r="M13" i="3"/>
  <c r="N13" i="3"/>
  <c r="R13" i="3"/>
  <c r="S13" i="3"/>
  <c r="U13" i="3"/>
  <c r="T13" i="3" s="1"/>
  <c r="V13" i="3"/>
  <c r="W13" i="3"/>
  <c r="X13" i="3"/>
  <c r="AC13" i="3"/>
  <c r="M37" i="3"/>
  <c r="N37" i="3"/>
  <c r="U37" i="3"/>
  <c r="T37" i="3" s="1"/>
  <c r="V37" i="3"/>
  <c r="W37" i="3"/>
  <c r="X37" i="3"/>
  <c r="AC37" i="3"/>
  <c r="M24" i="3"/>
  <c r="N24" i="3"/>
  <c r="S24" i="3"/>
  <c r="U24" i="3"/>
  <c r="AC24" i="3" s="1"/>
  <c r="V24" i="3"/>
  <c r="W24" i="3"/>
  <c r="X24" i="3"/>
  <c r="M10" i="3"/>
  <c r="N10" i="3"/>
  <c r="U10" i="3"/>
  <c r="T10" i="3" s="1"/>
  <c r="V10" i="3"/>
  <c r="W10" i="3"/>
  <c r="X10" i="3"/>
  <c r="M38" i="3"/>
  <c r="N38" i="3"/>
  <c r="R38" i="3"/>
  <c r="U38" i="3"/>
  <c r="T38" i="3" s="1"/>
  <c r="V38" i="3"/>
  <c r="W38" i="3"/>
  <c r="X38" i="3"/>
  <c r="AC38" i="3"/>
  <c r="M39" i="3"/>
  <c r="N39" i="3"/>
  <c r="R39" i="3"/>
  <c r="S39" i="3"/>
  <c r="U39" i="3"/>
  <c r="T39" i="3" s="1"/>
  <c r="V39" i="3"/>
  <c r="W39" i="3"/>
  <c r="X39" i="3"/>
  <c r="AC39" i="3"/>
  <c r="M25" i="3"/>
  <c r="N25" i="3"/>
  <c r="U25" i="3"/>
  <c r="AC25" i="3" s="1"/>
  <c r="V25" i="3"/>
  <c r="W25" i="3"/>
  <c r="X25" i="3"/>
  <c r="M26" i="3"/>
  <c r="N26" i="3"/>
  <c r="U26" i="3"/>
  <c r="T26" i="3" s="1"/>
  <c r="V26" i="3"/>
  <c r="W26" i="3"/>
  <c r="X26" i="3"/>
  <c r="M27" i="3"/>
  <c r="N27" i="3"/>
  <c r="R27" i="3"/>
  <c r="S27" i="3"/>
  <c r="U27" i="3"/>
  <c r="T27" i="3" s="1"/>
  <c r="V27" i="3"/>
  <c r="W27" i="3"/>
  <c r="X27" i="3"/>
  <c r="AA162" i="1" l="1"/>
  <c r="AG147" i="1"/>
  <c r="AI147" i="1" s="1"/>
  <c r="AI104" i="1"/>
  <c r="AA103" i="1"/>
  <c r="W103" i="1" s="1"/>
  <c r="AA101" i="1"/>
  <c r="AA100" i="1"/>
  <c r="AA83" i="1"/>
  <c r="W83" i="1" s="1"/>
  <c r="X149" i="1"/>
  <c r="X151" i="1"/>
  <c r="S29" i="3"/>
  <c r="S34" i="3"/>
  <c r="AA202" i="1"/>
  <c r="W202" i="1" s="1"/>
  <c r="AA182" i="1"/>
  <c r="X100" i="1"/>
  <c r="AA96" i="1"/>
  <c r="AA54" i="1"/>
  <c r="AA53" i="1"/>
  <c r="AA16" i="1"/>
  <c r="AA15" i="1"/>
  <c r="X122" i="1"/>
  <c r="X132" i="1"/>
  <c r="T160" i="1"/>
  <c r="U160" i="1" s="1"/>
  <c r="S160" i="1" s="1"/>
  <c r="AI89" i="1"/>
  <c r="AI30" i="1"/>
  <c r="X36" i="1"/>
  <c r="AG131" i="1"/>
  <c r="U131" i="1" s="1"/>
  <c r="S131" i="1" s="1"/>
  <c r="X150" i="1"/>
  <c r="AG194" i="1"/>
  <c r="AA191" i="1"/>
  <c r="W191" i="1" s="1"/>
  <c r="X201" i="1"/>
  <c r="AA189" i="1"/>
  <c r="W189" i="1" s="1"/>
  <c r="AA197" i="1"/>
  <c r="AA196" i="1"/>
  <c r="AA195" i="1"/>
  <c r="W195" i="1" s="1"/>
  <c r="X197" i="1"/>
  <c r="X202" i="1"/>
  <c r="T191" i="1"/>
  <c r="U191" i="1" s="1"/>
  <c r="S191" i="1" s="1"/>
  <c r="AA192" i="1"/>
  <c r="X190" i="1"/>
  <c r="X200" i="1"/>
  <c r="X196" i="1"/>
  <c r="X199" i="1"/>
  <c r="AA199" i="1"/>
  <c r="W199" i="1" s="1"/>
  <c r="T199" i="1"/>
  <c r="U199" i="1" s="1"/>
  <c r="S199" i="1" s="1"/>
  <c r="AI199" i="1"/>
  <c r="AA194" i="1"/>
  <c r="W194" i="1" s="1"/>
  <c r="AA193" i="1"/>
  <c r="T192" i="1"/>
  <c r="U192" i="1" s="1"/>
  <c r="S192" i="1" s="1"/>
  <c r="AA190" i="1"/>
  <c r="T195" i="1"/>
  <c r="U195" i="1" s="1"/>
  <c r="S195" i="1" s="1"/>
  <c r="AI192" i="1"/>
  <c r="AI195" i="1"/>
  <c r="W192" i="1"/>
  <c r="U194" i="1"/>
  <c r="S194" i="1" s="1"/>
  <c r="AG197" i="1"/>
  <c r="W197" i="1" s="1"/>
  <c r="AG193" i="1"/>
  <c r="AG190" i="1"/>
  <c r="W190" i="1" s="1"/>
  <c r="AG196" i="1"/>
  <c r="AI194" i="1"/>
  <c r="AI191" i="1"/>
  <c r="X133" i="1"/>
  <c r="X125" i="1"/>
  <c r="AC18" i="3"/>
  <c r="AG125" i="1"/>
  <c r="U125" i="1" s="1"/>
  <c r="S125" i="1" s="1"/>
  <c r="X124" i="1"/>
  <c r="Y20" i="3"/>
  <c r="AA131" i="1"/>
  <c r="AA125" i="1"/>
  <c r="AI149" i="1"/>
  <c r="T149" i="1"/>
  <c r="U149" i="1" s="1"/>
  <c r="S149" i="1" s="1"/>
  <c r="X129" i="1"/>
  <c r="AA134" i="1"/>
  <c r="T133" i="1"/>
  <c r="U133" i="1" s="1"/>
  <c r="S133" i="1" s="1"/>
  <c r="AA130" i="1"/>
  <c r="AA129" i="1"/>
  <c r="X134" i="1"/>
  <c r="X130" i="1"/>
  <c r="X126" i="1"/>
  <c r="AA137" i="1"/>
  <c r="X140" i="1"/>
  <c r="AA133" i="1"/>
  <c r="AG130" i="1"/>
  <c r="AI130" i="1" s="1"/>
  <c r="X136" i="1"/>
  <c r="X128" i="1"/>
  <c r="AG137" i="1"/>
  <c r="U137" i="1" s="1"/>
  <c r="S137" i="1" s="1"/>
  <c r="X138" i="1"/>
  <c r="AG128" i="1"/>
  <c r="U128" i="1" s="1"/>
  <c r="S128" i="1" s="1"/>
  <c r="W125" i="1"/>
  <c r="AA124" i="1"/>
  <c r="X135" i="1"/>
  <c r="X131" i="1"/>
  <c r="X127" i="1"/>
  <c r="T137" i="1"/>
  <c r="X118" i="1"/>
  <c r="X211" i="1"/>
  <c r="AA81" i="1"/>
  <c r="AA79" i="1"/>
  <c r="AA37" i="1"/>
  <c r="W37" i="1" s="1"/>
  <c r="AI136" i="1"/>
  <c r="T112" i="1"/>
  <c r="U112" i="1" s="1"/>
  <c r="S112" i="1" s="1"/>
  <c r="X111" i="1"/>
  <c r="AA87" i="1"/>
  <c r="W87" i="1" s="1"/>
  <c r="T59" i="1"/>
  <c r="U59" i="1" s="1"/>
  <c r="S59" i="1" s="1"/>
  <c r="AI33" i="1"/>
  <c r="AA31" i="1"/>
  <c r="W31" i="1" s="1"/>
  <c r="X38" i="1"/>
  <c r="X120" i="1"/>
  <c r="AA128" i="1"/>
  <c r="AA127" i="1"/>
  <c r="W127" i="1" s="1"/>
  <c r="AA126" i="1"/>
  <c r="X121" i="1"/>
  <c r="X117" i="1"/>
  <c r="Y25" i="3"/>
  <c r="AG164" i="1"/>
  <c r="AI164" i="1" s="1"/>
  <c r="AA219" i="1"/>
  <c r="AA212" i="1"/>
  <c r="AA211" i="1"/>
  <c r="T211" i="1"/>
  <c r="AA147" i="1"/>
  <c r="W147" i="1" s="1"/>
  <c r="AA117" i="1"/>
  <c r="W117" i="1" s="1"/>
  <c r="AA116" i="1"/>
  <c r="AA115" i="1"/>
  <c r="AA93" i="1"/>
  <c r="AA88" i="1"/>
  <c r="AA82" i="1"/>
  <c r="T75" i="1"/>
  <c r="T51" i="1"/>
  <c r="U51" i="1" s="1"/>
  <c r="S51" i="1" s="1"/>
  <c r="X40" i="1"/>
  <c r="AA30" i="1"/>
  <c r="W30" i="1" s="1"/>
  <c r="AA24" i="1"/>
  <c r="X37" i="1"/>
  <c r="AA120" i="1"/>
  <c r="W120" i="1" s="1"/>
  <c r="X119" i="1"/>
  <c r="AA135" i="1"/>
  <c r="W135" i="1" s="1"/>
  <c r="W133" i="1"/>
  <c r="T127" i="1"/>
  <c r="U127" i="1" s="1"/>
  <c r="S127" i="1" s="1"/>
  <c r="T135" i="1"/>
  <c r="U135" i="1" s="1"/>
  <c r="S135" i="1" s="1"/>
  <c r="AI133" i="1"/>
  <c r="T132" i="1"/>
  <c r="AG132" i="1"/>
  <c r="AI132" i="1" s="1"/>
  <c r="AG126" i="1"/>
  <c r="AG134" i="1"/>
  <c r="AG129" i="1"/>
  <c r="AG124" i="1"/>
  <c r="AI124" i="1" s="1"/>
  <c r="AI135" i="1"/>
  <c r="AI131" i="1"/>
  <c r="AI127" i="1"/>
  <c r="AA122" i="1"/>
  <c r="T122" i="1"/>
  <c r="AG122" i="1"/>
  <c r="AI122" i="1" s="1"/>
  <c r="Y26" i="3"/>
  <c r="Y30" i="3"/>
  <c r="Y12" i="3"/>
  <c r="Y14" i="3"/>
  <c r="R23" i="3"/>
  <c r="Y18" i="3"/>
  <c r="T120" i="1"/>
  <c r="U120" i="1" s="1"/>
  <c r="S120" i="1" s="1"/>
  <c r="AI120" i="1"/>
  <c r="AA118" i="1"/>
  <c r="AG118" i="1"/>
  <c r="Y31" i="3"/>
  <c r="Y11" i="3"/>
  <c r="Y15" i="3"/>
  <c r="Y29" i="3"/>
  <c r="Y21" i="3"/>
  <c r="Y34" i="3"/>
  <c r="AC17" i="3"/>
  <c r="W81" i="1"/>
  <c r="AG188" i="1"/>
  <c r="U188" i="1" s="1"/>
  <c r="S188" i="1" s="1"/>
  <c r="AA181" i="1"/>
  <c r="W181" i="1" s="1"/>
  <c r="AG162" i="1"/>
  <c r="U162" i="1" s="1"/>
  <c r="S162" i="1" s="1"/>
  <c r="AG156" i="1"/>
  <c r="AI156" i="1" s="1"/>
  <c r="AG150" i="1"/>
  <c r="AI142" i="1"/>
  <c r="AA142" i="1"/>
  <c r="AI117" i="1"/>
  <c r="AG107" i="1"/>
  <c r="AI107" i="1" s="1"/>
  <c r="AG90" i="1"/>
  <c r="U90" i="1" s="1"/>
  <c r="S90" i="1" s="1"/>
  <c r="X90" i="1"/>
  <c r="X76" i="1"/>
  <c r="X72" i="1"/>
  <c r="AA65" i="1"/>
  <c r="W65" i="1" s="1"/>
  <c r="AG57" i="1"/>
  <c r="U57" i="1" s="1"/>
  <c r="S57" i="1" s="1"/>
  <c r="X56" i="1"/>
  <c r="AA48" i="1"/>
  <c r="W48" i="1" s="1"/>
  <c r="AA42" i="1"/>
  <c r="R34" i="3"/>
  <c r="R29" i="3"/>
  <c r="S19" i="3"/>
  <c r="AA178" i="1"/>
  <c r="AI165" i="1"/>
  <c r="AA222" i="1"/>
  <c r="AA206" i="1"/>
  <c r="T146" i="1"/>
  <c r="U146" i="1" s="1"/>
  <c r="S146" i="1" s="1"/>
  <c r="AG106" i="1"/>
  <c r="X106" i="1"/>
  <c r="AI103" i="1"/>
  <c r="T87" i="1"/>
  <c r="U87" i="1" s="1"/>
  <c r="S87" i="1" s="1"/>
  <c r="AG65" i="1"/>
  <c r="U65" i="1" s="1"/>
  <c r="S65" i="1" s="1"/>
  <c r="X64" i="1"/>
  <c r="AA63" i="1"/>
  <c r="X48" i="1"/>
  <c r="T44" i="1"/>
  <c r="U44" i="1" s="1"/>
  <c r="S44" i="1" s="1"/>
  <c r="X33" i="1"/>
  <c r="Y10" i="3"/>
  <c r="Y24" i="3"/>
  <c r="X189" i="1"/>
  <c r="AI177" i="1"/>
  <c r="AA177" i="1"/>
  <c r="W177" i="1" s="1"/>
  <c r="AA174" i="1"/>
  <c r="AI157" i="1"/>
  <c r="AG151" i="1"/>
  <c r="AI151" i="1" s="1"/>
  <c r="AA150" i="1"/>
  <c r="AA107" i="1"/>
  <c r="W107" i="1" s="1"/>
  <c r="AA95" i="1"/>
  <c r="AA80" i="1"/>
  <c r="W80" i="1" s="1"/>
  <c r="AI76" i="1"/>
  <c r="AG71" i="1"/>
  <c r="U71" i="1" s="1"/>
  <c r="S71" i="1" s="1"/>
  <c r="AG55" i="1"/>
  <c r="U55" i="1" s="1"/>
  <c r="S55" i="1" s="1"/>
  <c r="AA45" i="1"/>
  <c r="W45" i="1" s="1"/>
  <c r="AG36" i="1"/>
  <c r="AI36" i="1" s="1"/>
  <c r="AA27" i="1"/>
  <c r="W142" i="1"/>
  <c r="AA46" i="1"/>
  <c r="W46" i="1" s="1"/>
  <c r="AA44" i="1"/>
  <c r="W44" i="1" s="1"/>
  <c r="AA38" i="1"/>
  <c r="W38" i="1" s="1"/>
  <c r="AA36" i="1"/>
  <c r="W36" i="1" s="1"/>
  <c r="AA35" i="1"/>
  <c r="AG29" i="1"/>
  <c r="U29" i="1" s="1"/>
  <c r="S29" i="1" s="1"/>
  <c r="AA25" i="1"/>
  <c r="W25" i="1" s="1"/>
  <c r="AA23" i="1"/>
  <c r="AA22" i="1"/>
  <c r="AG21" i="1"/>
  <c r="AI21" i="1" s="1"/>
  <c r="T14" i="1"/>
  <c r="S35" i="3"/>
  <c r="AA216" i="1"/>
  <c r="W216" i="1" s="1"/>
  <c r="AG215" i="1"/>
  <c r="U215" i="1" s="1"/>
  <c r="S215" i="1" s="1"/>
  <c r="X185" i="1"/>
  <c r="T184" i="1"/>
  <c r="T180" i="1"/>
  <c r="AG168" i="1"/>
  <c r="U168" i="1" s="1"/>
  <c r="S168" i="1" s="1"/>
  <c r="AA166" i="1"/>
  <c r="AA165" i="1"/>
  <c r="W165" i="1" s="1"/>
  <c r="T165" i="1"/>
  <c r="AA160" i="1"/>
  <c r="W160" i="1" s="1"/>
  <c r="AA159" i="1"/>
  <c r="AA158" i="1"/>
  <c r="AA157" i="1"/>
  <c r="T157" i="1"/>
  <c r="U157" i="1" s="1"/>
  <c r="S157" i="1" s="1"/>
  <c r="AG222" i="1"/>
  <c r="U222" i="1" s="1"/>
  <c r="S222" i="1" s="1"/>
  <c r="AA220" i="1"/>
  <c r="AG210" i="1"/>
  <c r="U210" i="1" s="1"/>
  <c r="S210" i="1" s="1"/>
  <c r="AA208" i="1"/>
  <c r="AA151" i="1"/>
  <c r="AA144" i="1"/>
  <c r="AA140" i="1"/>
  <c r="AA138" i="1"/>
  <c r="T107" i="1"/>
  <c r="AA91" i="1"/>
  <c r="AA89" i="1"/>
  <c r="W89" i="1" s="1"/>
  <c r="X83" i="1"/>
  <c r="AI80" i="1"/>
  <c r="AA71" i="1"/>
  <c r="T67" i="1"/>
  <c r="AG63" i="1"/>
  <c r="AI63" i="1" s="1"/>
  <c r="AA57" i="1"/>
  <c r="W57" i="1" s="1"/>
  <c r="T52" i="1"/>
  <c r="U52" i="1" s="1"/>
  <c r="S52" i="1" s="1"/>
  <c r="AA32" i="1"/>
  <c r="AA14" i="1"/>
  <c r="W14" i="1" s="1"/>
  <c r="X79" i="1"/>
  <c r="T60" i="1"/>
  <c r="AA52" i="1"/>
  <c r="W52" i="1" s="1"/>
  <c r="AA47" i="1"/>
  <c r="X30" i="1"/>
  <c r="AA26" i="1"/>
  <c r="AA17" i="1"/>
  <c r="AA217" i="1"/>
  <c r="AA213" i="1"/>
  <c r="AG201" i="1"/>
  <c r="U201" i="1" s="1"/>
  <c r="S201" i="1" s="1"/>
  <c r="AA200" i="1"/>
  <c r="W200" i="1" s="1"/>
  <c r="AA186" i="1"/>
  <c r="AA185" i="1"/>
  <c r="W185" i="1" s="1"/>
  <c r="AG184" i="1"/>
  <c r="AA180" i="1"/>
  <c r="W180" i="1" s="1"/>
  <c r="AA176" i="1"/>
  <c r="AA172" i="1"/>
  <c r="AI169" i="1"/>
  <c r="X165" i="1"/>
  <c r="X157" i="1"/>
  <c r="AA204" i="1"/>
  <c r="AA203" i="1"/>
  <c r="W203" i="1" s="1"/>
  <c r="AA152" i="1"/>
  <c r="AA123" i="1"/>
  <c r="AA112" i="1"/>
  <c r="W112" i="1" s="1"/>
  <c r="X110" i="1"/>
  <c r="AA109" i="1"/>
  <c r="AA97" i="1"/>
  <c r="AG95" i="1"/>
  <c r="U95" i="1" s="1"/>
  <c r="S95" i="1" s="1"/>
  <c r="AG91" i="1"/>
  <c r="AI91" i="1" s="1"/>
  <c r="AG79" i="1"/>
  <c r="U79" i="1" s="1"/>
  <c r="S79" i="1" s="1"/>
  <c r="AA73" i="1"/>
  <c r="AA62" i="1"/>
  <c r="AA61" i="1"/>
  <c r="AA60" i="1"/>
  <c r="AA55" i="1"/>
  <c r="W204" i="1"/>
  <c r="T189" i="1"/>
  <c r="U189" i="1" s="1"/>
  <c r="S189" i="1" s="1"/>
  <c r="AA201" i="1"/>
  <c r="AA198" i="1"/>
  <c r="AA188" i="1"/>
  <c r="AA184" i="1"/>
  <c r="X181" i="1"/>
  <c r="X177" i="1"/>
  <c r="AG176" i="1"/>
  <c r="U176" i="1" s="1"/>
  <c r="S176" i="1" s="1"/>
  <c r="AA175" i="1"/>
  <c r="T173" i="1"/>
  <c r="U173" i="1" s="1"/>
  <c r="S173" i="1" s="1"/>
  <c r="X161" i="1"/>
  <c r="AG158" i="1"/>
  <c r="U158" i="1" s="1"/>
  <c r="S158" i="1" s="1"/>
  <c r="AA156" i="1"/>
  <c r="W156" i="1" s="1"/>
  <c r="AA223" i="1"/>
  <c r="AA221" i="1"/>
  <c r="W221" i="1" s="1"/>
  <c r="T221" i="1"/>
  <c r="U221" i="1" s="1"/>
  <c r="S221" i="1" s="1"/>
  <c r="X207" i="1"/>
  <c r="AG206" i="1"/>
  <c r="U206" i="1" s="1"/>
  <c r="S206" i="1" s="1"/>
  <c r="X206" i="1"/>
  <c r="AG205" i="1"/>
  <c r="AI205" i="1" s="1"/>
  <c r="X205" i="1"/>
  <c r="AA154" i="1"/>
  <c r="T154" i="1"/>
  <c r="AA136" i="1"/>
  <c r="W136" i="1" s="1"/>
  <c r="T136" i="1"/>
  <c r="U136" i="1" s="1"/>
  <c r="S136" i="1" s="1"/>
  <c r="AA121" i="1"/>
  <c r="AA119" i="1"/>
  <c r="W119" i="1" s="1"/>
  <c r="AG116" i="1"/>
  <c r="AG88" i="1"/>
  <c r="AI88" i="1" s="1"/>
  <c r="X88" i="1"/>
  <c r="T69" i="1"/>
  <c r="AG69" i="1"/>
  <c r="T39" i="1"/>
  <c r="X39" i="1"/>
  <c r="AG39" i="1"/>
  <c r="U39" i="1" s="1"/>
  <c r="S39" i="1" s="1"/>
  <c r="AI38" i="1"/>
  <c r="T25" i="1"/>
  <c r="AG25" i="1"/>
  <c r="AI25" i="1" s="1"/>
  <c r="AA19" i="1"/>
  <c r="T169" i="1"/>
  <c r="U169" i="1" s="1"/>
  <c r="S169" i="1" s="1"/>
  <c r="T203" i="1"/>
  <c r="U203" i="1" s="1"/>
  <c r="S203" i="1" s="1"/>
  <c r="X143" i="1"/>
  <c r="AG143" i="1"/>
  <c r="T123" i="1"/>
  <c r="T104" i="1"/>
  <c r="AG96" i="1"/>
  <c r="AI96" i="1" s="1"/>
  <c r="X96" i="1"/>
  <c r="T74" i="1"/>
  <c r="X75" i="1"/>
  <c r="X74" i="1"/>
  <c r="AG74" i="1"/>
  <c r="AI74" i="1" s="1"/>
  <c r="AA49" i="1"/>
  <c r="W49" i="1" s="1"/>
  <c r="AI49" i="1"/>
  <c r="AG22" i="1"/>
  <c r="W22" i="1" s="1"/>
  <c r="X22" i="1"/>
  <c r="AG18" i="1"/>
  <c r="AI18" i="1" s="1"/>
  <c r="T18" i="1"/>
  <c r="X18" i="1"/>
  <c r="AA215" i="1"/>
  <c r="T202" i="1"/>
  <c r="U202" i="1" s="1"/>
  <c r="S202" i="1" s="1"/>
  <c r="AA183" i="1"/>
  <c r="W183" i="1" s="1"/>
  <c r="T181" i="1"/>
  <c r="U181" i="1" s="1"/>
  <c r="S181" i="1" s="1"/>
  <c r="T177" i="1"/>
  <c r="X173" i="1"/>
  <c r="AG172" i="1"/>
  <c r="AI172" i="1" s="1"/>
  <c r="AA168" i="1"/>
  <c r="W168" i="1" s="1"/>
  <c r="AA167" i="1"/>
  <c r="AA164" i="1"/>
  <c r="W164" i="1" s="1"/>
  <c r="AA163" i="1"/>
  <c r="AA161" i="1"/>
  <c r="W161" i="1" s="1"/>
  <c r="T161" i="1"/>
  <c r="X221" i="1"/>
  <c r="AG220" i="1"/>
  <c r="AG212" i="1"/>
  <c r="U212" i="1" s="1"/>
  <c r="S212" i="1" s="1"/>
  <c r="AA210" i="1"/>
  <c r="AA209" i="1"/>
  <c r="T207" i="1"/>
  <c r="U207" i="1" s="1"/>
  <c r="S207" i="1" s="1"/>
  <c r="AA205" i="1"/>
  <c r="W205" i="1" s="1"/>
  <c r="AA155" i="1"/>
  <c r="W155" i="1" s="1"/>
  <c r="AG154" i="1"/>
  <c r="AA153" i="1"/>
  <c r="AA148" i="1"/>
  <c r="W148" i="1" s="1"/>
  <c r="AA141" i="1"/>
  <c r="AG140" i="1"/>
  <c r="U140" i="1" s="1"/>
  <c r="S140" i="1" s="1"/>
  <c r="T139" i="1"/>
  <c r="AG139" i="1"/>
  <c r="AI139" i="1" s="1"/>
  <c r="AG123" i="1"/>
  <c r="AG121" i="1"/>
  <c r="U121" i="1" s="1"/>
  <c r="S121" i="1" s="1"/>
  <c r="T116" i="1"/>
  <c r="AA104" i="1"/>
  <c r="W104" i="1" s="1"/>
  <c r="X99" i="1"/>
  <c r="U67" i="1"/>
  <c r="S67" i="1" s="1"/>
  <c r="T53" i="1"/>
  <c r="AG53" i="1"/>
  <c r="AG34" i="1"/>
  <c r="AI34" i="1" s="1"/>
  <c r="T17" i="1"/>
  <c r="AG17" i="1"/>
  <c r="T216" i="1"/>
  <c r="U216" i="1" s="1"/>
  <c r="S216" i="1" s="1"/>
  <c r="X216" i="1"/>
  <c r="T185" i="1"/>
  <c r="U185" i="1" s="1"/>
  <c r="S185" i="1" s="1"/>
  <c r="X169" i="1"/>
  <c r="X203" i="1"/>
  <c r="T143" i="1"/>
  <c r="AI112" i="1"/>
  <c r="T98" i="1"/>
  <c r="U98" i="1" s="1"/>
  <c r="S98" i="1" s="1"/>
  <c r="X98" i="1"/>
  <c r="AG98" i="1"/>
  <c r="W69" i="1"/>
  <c r="T61" i="1"/>
  <c r="AG61" i="1"/>
  <c r="AA110" i="1"/>
  <c r="T103" i="1"/>
  <c r="U103" i="1" s="1"/>
  <c r="S103" i="1" s="1"/>
  <c r="AA99" i="1"/>
  <c r="X91" i="1"/>
  <c r="AI87" i="1"/>
  <c r="T83" i="1"/>
  <c r="U83" i="1" s="1"/>
  <c r="S83" i="1" s="1"/>
  <c r="AA76" i="1"/>
  <c r="W76" i="1" s="1"/>
  <c r="AA75" i="1"/>
  <c r="W75" i="1" s="1"/>
  <c r="AA67" i="1"/>
  <c r="W67" i="1" s="1"/>
  <c r="AI65" i="1"/>
  <c r="AA59" i="1"/>
  <c r="W59" i="1" s="1"/>
  <c r="AI57" i="1"/>
  <c r="AA51" i="1"/>
  <c r="W51" i="1" s="1"/>
  <c r="T48" i="1"/>
  <c r="U48" i="1" s="1"/>
  <c r="S48" i="1" s="1"/>
  <c r="AI44" i="1"/>
  <c r="AA40" i="1"/>
  <c r="W40" i="1" s="1"/>
  <c r="T33" i="1"/>
  <c r="U33" i="1" s="1"/>
  <c r="S33" i="1" s="1"/>
  <c r="T30" i="1"/>
  <c r="U30" i="1" s="1"/>
  <c r="S30" i="1" s="1"/>
  <c r="X26" i="1"/>
  <c r="AA20" i="1"/>
  <c r="AG15" i="1"/>
  <c r="AI15" i="1" s="1"/>
  <c r="T117" i="1"/>
  <c r="U117" i="1" s="1"/>
  <c r="S117" i="1" s="1"/>
  <c r="AA113" i="1"/>
  <c r="AG110" i="1"/>
  <c r="U110" i="1" s="1"/>
  <c r="S110" i="1" s="1"/>
  <c r="AA108" i="1"/>
  <c r="AA106" i="1"/>
  <c r="W106" i="1" s="1"/>
  <c r="AA105" i="1"/>
  <c r="W105" i="1" s="1"/>
  <c r="AG99" i="1"/>
  <c r="U99" i="1" s="1"/>
  <c r="S99" i="1" s="1"/>
  <c r="AA92" i="1"/>
  <c r="AA90" i="1"/>
  <c r="AG82" i="1"/>
  <c r="U82" i="1" s="1"/>
  <c r="S82" i="1" s="1"/>
  <c r="X82" i="1"/>
  <c r="T80" i="1"/>
  <c r="T72" i="1"/>
  <c r="X68" i="1"/>
  <c r="AA66" i="1"/>
  <c r="AA64" i="1"/>
  <c r="T64" i="1"/>
  <c r="U64" i="1" s="1"/>
  <c r="S64" i="1" s="1"/>
  <c r="X60" i="1"/>
  <c r="AA58" i="1"/>
  <c r="AA56" i="1"/>
  <c r="W56" i="1" s="1"/>
  <c r="T56" i="1"/>
  <c r="U56" i="1" s="1"/>
  <c r="S56" i="1" s="1"/>
  <c r="X52" i="1"/>
  <c r="AA50" i="1"/>
  <c r="X49" i="1"/>
  <c r="AG47" i="1"/>
  <c r="U47" i="1" s="1"/>
  <c r="S47" i="1" s="1"/>
  <c r="X47" i="1"/>
  <c r="AA41" i="1"/>
  <c r="AG40" i="1"/>
  <c r="U40" i="1" s="1"/>
  <c r="S40" i="1" s="1"/>
  <c r="T37" i="1"/>
  <c r="AG32" i="1"/>
  <c r="X32" i="1"/>
  <c r="AA29" i="1"/>
  <c r="AA98" i="1"/>
  <c r="W98" i="1" s="1"/>
  <c r="AA77" i="1"/>
  <c r="AA74" i="1"/>
  <c r="W63" i="1"/>
  <c r="AA39" i="1"/>
  <c r="AA28" i="1"/>
  <c r="T26" i="1"/>
  <c r="AA18" i="1"/>
  <c r="T148" i="1"/>
  <c r="AG148" i="1"/>
  <c r="AI140" i="1"/>
  <c r="AI119" i="1"/>
  <c r="T214" i="1"/>
  <c r="X214" i="1"/>
  <c r="T179" i="1"/>
  <c r="X179" i="1"/>
  <c r="W169" i="1"/>
  <c r="AG167" i="1"/>
  <c r="W167" i="1" s="1"/>
  <c r="X168" i="1"/>
  <c r="T167" i="1"/>
  <c r="X167" i="1"/>
  <c r="U164" i="1"/>
  <c r="S164" i="1" s="1"/>
  <c r="AG163" i="1"/>
  <c r="AI163" i="1" s="1"/>
  <c r="X164" i="1"/>
  <c r="T163" i="1"/>
  <c r="X163" i="1"/>
  <c r="AG159" i="1"/>
  <c r="AI159" i="1" s="1"/>
  <c r="X160" i="1"/>
  <c r="T159" i="1"/>
  <c r="X159" i="1"/>
  <c r="U156" i="1"/>
  <c r="S156" i="1" s="1"/>
  <c r="AG223" i="1"/>
  <c r="AI223" i="1" s="1"/>
  <c r="X156" i="1"/>
  <c r="T223" i="1"/>
  <c r="X223" i="1"/>
  <c r="AG219" i="1"/>
  <c r="W219" i="1" s="1"/>
  <c r="X220" i="1"/>
  <c r="T219" i="1"/>
  <c r="X219" i="1"/>
  <c r="AG209" i="1"/>
  <c r="AI209" i="1" s="1"/>
  <c r="X210" i="1"/>
  <c r="T209" i="1"/>
  <c r="X209" i="1"/>
  <c r="AI158" i="1"/>
  <c r="T145" i="1"/>
  <c r="X145" i="1"/>
  <c r="AG145" i="1"/>
  <c r="X146" i="1"/>
  <c r="AI79" i="1"/>
  <c r="T198" i="1"/>
  <c r="AG198" i="1"/>
  <c r="T187" i="1"/>
  <c r="X187" i="1"/>
  <c r="AG175" i="1"/>
  <c r="X176" i="1"/>
  <c r="T175" i="1"/>
  <c r="X175" i="1"/>
  <c r="U161" i="1"/>
  <c r="S161" i="1" s="1"/>
  <c r="U211" i="1"/>
  <c r="S211" i="1" s="1"/>
  <c r="AI160" i="1"/>
  <c r="W218" i="1"/>
  <c r="T217" i="1"/>
  <c r="X217" i="1"/>
  <c r="AG217" i="1"/>
  <c r="AI217" i="1" s="1"/>
  <c r="AI216" i="1"/>
  <c r="T182" i="1"/>
  <c r="X182" i="1"/>
  <c r="AG182" i="1"/>
  <c r="T218" i="1"/>
  <c r="U218" i="1" s="1"/>
  <c r="S218" i="1" s="1"/>
  <c r="X218" i="1"/>
  <c r="X215" i="1"/>
  <c r="AG214" i="1"/>
  <c r="AA187" i="1"/>
  <c r="T186" i="1"/>
  <c r="X186" i="1"/>
  <c r="AG186" i="1"/>
  <c r="W184" i="1"/>
  <c r="T183" i="1"/>
  <c r="U183" i="1" s="1"/>
  <c r="S183" i="1" s="1"/>
  <c r="X183" i="1"/>
  <c r="AI204" i="1"/>
  <c r="X180" i="1"/>
  <c r="AG179" i="1"/>
  <c r="AI200" i="1"/>
  <c r="W175" i="1"/>
  <c r="AI184" i="1"/>
  <c r="W157" i="1"/>
  <c r="W211" i="1"/>
  <c r="W207" i="1"/>
  <c r="U155" i="1"/>
  <c r="S155" i="1" s="1"/>
  <c r="AI207" i="1"/>
  <c r="AI180" i="1"/>
  <c r="U165" i="1"/>
  <c r="S165" i="1" s="1"/>
  <c r="AA214" i="1"/>
  <c r="T213" i="1"/>
  <c r="X213" i="1"/>
  <c r="AG213" i="1"/>
  <c r="AI213" i="1" s="1"/>
  <c r="T200" i="1"/>
  <c r="U200" i="1" s="1"/>
  <c r="S200" i="1" s="1"/>
  <c r="X188" i="1"/>
  <c r="AG187" i="1"/>
  <c r="AI187" i="1" s="1"/>
  <c r="U180" i="1"/>
  <c r="S180" i="1" s="1"/>
  <c r="AA179" i="1"/>
  <c r="T178" i="1"/>
  <c r="X178" i="1"/>
  <c r="AG178" i="1"/>
  <c r="U177" i="1"/>
  <c r="S177" i="1" s="1"/>
  <c r="R30" i="3"/>
  <c r="R35" i="3"/>
  <c r="W173" i="1"/>
  <c r="AG171" i="1"/>
  <c r="AI171" i="1" s="1"/>
  <c r="X172" i="1"/>
  <c r="T171" i="1"/>
  <c r="X171" i="1"/>
  <c r="AI183" i="1"/>
  <c r="AI179" i="1"/>
  <c r="AI175" i="1"/>
  <c r="AI167" i="1"/>
  <c r="AI155" i="1"/>
  <c r="AI143" i="1"/>
  <c r="AG141" i="1"/>
  <c r="T141" i="1"/>
  <c r="AI97" i="1"/>
  <c r="AG166" i="1"/>
  <c r="AG208" i="1"/>
  <c r="AI208" i="1" s="1"/>
  <c r="T153" i="1"/>
  <c r="AI123" i="1"/>
  <c r="AG113" i="1"/>
  <c r="X113" i="1"/>
  <c r="AI106" i="1"/>
  <c r="U106" i="1"/>
  <c r="S106" i="1" s="1"/>
  <c r="AG174" i="1"/>
  <c r="AG170" i="1"/>
  <c r="W170" i="1" s="1"/>
  <c r="X174" i="1"/>
  <c r="X170" i="1"/>
  <c r="X166" i="1"/>
  <c r="X162" i="1"/>
  <c r="X158" i="1"/>
  <c r="X222" i="1"/>
  <c r="X212" i="1"/>
  <c r="X208" i="1"/>
  <c r="AI154" i="1"/>
  <c r="X154" i="1"/>
  <c r="AG153" i="1"/>
  <c r="AA146" i="1"/>
  <c r="W146" i="1" s="1"/>
  <c r="AA145" i="1"/>
  <c r="T144" i="1"/>
  <c r="X144" i="1"/>
  <c r="AG144" i="1"/>
  <c r="W140" i="1"/>
  <c r="T119" i="1"/>
  <c r="U119" i="1" s="1"/>
  <c r="S119" i="1" s="1"/>
  <c r="X115" i="1"/>
  <c r="AG115" i="1"/>
  <c r="W115" i="1" s="1"/>
  <c r="AI114" i="1"/>
  <c r="W97" i="1"/>
  <c r="U25" i="1"/>
  <c r="S25" i="1" s="1"/>
  <c r="AA21" i="1"/>
  <c r="U21" i="1"/>
  <c r="S21" i="1" s="1"/>
  <c r="T204" i="1"/>
  <c r="U204" i="1" s="1"/>
  <c r="S204" i="1" s="1"/>
  <c r="X204" i="1"/>
  <c r="T152" i="1"/>
  <c r="AG152" i="1"/>
  <c r="AI146" i="1"/>
  <c r="T138" i="1"/>
  <c r="AG138" i="1"/>
  <c r="AA114" i="1"/>
  <c r="W114" i="1" s="1"/>
  <c r="AI105" i="1"/>
  <c r="T77" i="1"/>
  <c r="X77" i="1"/>
  <c r="AG77" i="1"/>
  <c r="AI73" i="1"/>
  <c r="AG66" i="1"/>
  <c r="X67" i="1"/>
  <c r="T66" i="1"/>
  <c r="X66" i="1"/>
  <c r="AG58" i="1"/>
  <c r="W58" i="1" s="1"/>
  <c r="X59" i="1"/>
  <c r="T58" i="1"/>
  <c r="X58" i="1"/>
  <c r="T50" i="1"/>
  <c r="X50" i="1"/>
  <c r="AG50" i="1"/>
  <c r="X51" i="1"/>
  <c r="T142" i="1"/>
  <c r="U142" i="1" s="1"/>
  <c r="S142" i="1" s="1"/>
  <c r="X142" i="1"/>
  <c r="AA139" i="1"/>
  <c r="T109" i="1"/>
  <c r="X109" i="1"/>
  <c r="AG109" i="1"/>
  <c r="W109" i="1" s="1"/>
  <c r="AG108" i="1"/>
  <c r="W108" i="1" s="1"/>
  <c r="T108" i="1"/>
  <c r="X102" i="1"/>
  <c r="AG102" i="1"/>
  <c r="X103" i="1"/>
  <c r="X95" i="1"/>
  <c r="X94" i="1"/>
  <c r="AG94" i="1"/>
  <c r="X86" i="1"/>
  <c r="AG86" i="1"/>
  <c r="X87" i="1"/>
  <c r="AG84" i="1"/>
  <c r="W84" i="1" s="1"/>
  <c r="T84" i="1"/>
  <c r="X84" i="1"/>
  <c r="AI82" i="1"/>
  <c r="AG70" i="1"/>
  <c r="W70" i="1" s="1"/>
  <c r="X71" i="1"/>
  <c r="T70" i="1"/>
  <c r="X70" i="1"/>
  <c r="AG62" i="1"/>
  <c r="X63" i="1"/>
  <c r="T62" i="1"/>
  <c r="X62" i="1"/>
  <c r="AG54" i="1"/>
  <c r="W54" i="1" s="1"/>
  <c r="X55" i="1"/>
  <c r="T54" i="1"/>
  <c r="X54" i="1"/>
  <c r="AA143" i="1"/>
  <c r="T114" i="1"/>
  <c r="U114" i="1" s="1"/>
  <c r="S114" i="1" s="1"/>
  <c r="X114" i="1"/>
  <c r="AG111" i="1"/>
  <c r="W111" i="1" s="1"/>
  <c r="X112" i="1"/>
  <c r="T101" i="1"/>
  <c r="X101" i="1"/>
  <c r="AG101" i="1"/>
  <c r="AG100" i="1"/>
  <c r="T100" i="1"/>
  <c r="AI98" i="1"/>
  <c r="T93" i="1"/>
  <c r="X93" i="1"/>
  <c r="AG93" i="1"/>
  <c r="AG92" i="1"/>
  <c r="W92" i="1" s="1"/>
  <c r="T92" i="1"/>
  <c r="W79" i="1"/>
  <c r="W73" i="1"/>
  <c r="AA72" i="1"/>
  <c r="W72" i="1" s="1"/>
  <c r="AI72" i="1"/>
  <c r="T85" i="1"/>
  <c r="X85" i="1"/>
  <c r="T78" i="1"/>
  <c r="AI68" i="1"/>
  <c r="U68" i="1"/>
  <c r="S68" i="1" s="1"/>
  <c r="AI64" i="1"/>
  <c r="AI60" i="1"/>
  <c r="U60" i="1"/>
  <c r="S60" i="1" s="1"/>
  <c r="AI56" i="1"/>
  <c r="AI52" i="1"/>
  <c r="AI31" i="1"/>
  <c r="AG28" i="1"/>
  <c r="X29" i="1"/>
  <c r="T28" i="1"/>
  <c r="X28" i="1"/>
  <c r="AI17" i="1"/>
  <c r="U17" i="1"/>
  <c r="S17" i="1" s="1"/>
  <c r="T105" i="1"/>
  <c r="U105" i="1" s="1"/>
  <c r="S105" i="1" s="1"/>
  <c r="X105" i="1"/>
  <c r="X104" i="1"/>
  <c r="AA102" i="1"/>
  <c r="T89" i="1"/>
  <c r="U89" i="1" s="1"/>
  <c r="S89" i="1" s="1"/>
  <c r="X89" i="1"/>
  <c r="AA86" i="1"/>
  <c r="AG85" i="1"/>
  <c r="U80" i="1"/>
  <c r="S80" i="1" s="1"/>
  <c r="AG78" i="1"/>
  <c r="X78" i="1"/>
  <c r="T76" i="1"/>
  <c r="U76" i="1" s="1"/>
  <c r="S76" i="1" s="1"/>
  <c r="U75" i="1"/>
  <c r="S75" i="1" s="1"/>
  <c r="T73" i="1"/>
  <c r="U73" i="1" s="1"/>
  <c r="S73" i="1" s="1"/>
  <c r="X73" i="1"/>
  <c r="AI67" i="1"/>
  <c r="AI59" i="1"/>
  <c r="AI55" i="1"/>
  <c r="AI51" i="1"/>
  <c r="X43" i="1"/>
  <c r="AG43" i="1"/>
  <c r="X44" i="1"/>
  <c r="AI39" i="1"/>
  <c r="U104" i="1"/>
  <c r="S104" i="1" s="1"/>
  <c r="T97" i="1"/>
  <c r="U97" i="1" s="1"/>
  <c r="S97" i="1" s="1"/>
  <c r="X97" i="1"/>
  <c r="AA94" i="1"/>
  <c r="U88" i="1"/>
  <c r="S88" i="1" s="1"/>
  <c r="T81" i="1"/>
  <c r="U81" i="1" s="1"/>
  <c r="S81" i="1" s="1"/>
  <c r="X81" i="1"/>
  <c r="X80" i="1"/>
  <c r="AA78" i="1"/>
  <c r="AI75" i="1"/>
  <c r="U72" i="1"/>
  <c r="S72" i="1" s="1"/>
  <c r="W68" i="1"/>
  <c r="W64" i="1"/>
  <c r="W60" i="1"/>
  <c r="AI46" i="1"/>
  <c r="T43" i="1"/>
  <c r="AG41" i="1"/>
  <c r="T41" i="1"/>
  <c r="X41" i="1"/>
  <c r="T45" i="1"/>
  <c r="U45" i="1" s="1"/>
  <c r="S45" i="1" s="1"/>
  <c r="T42" i="1"/>
  <c r="X42" i="1"/>
  <c r="W39" i="1"/>
  <c r="T35" i="1"/>
  <c r="AI26" i="1"/>
  <c r="U26" i="1"/>
  <c r="S26" i="1" s="1"/>
  <c r="AG20" i="1"/>
  <c r="X21" i="1"/>
  <c r="T20" i="1"/>
  <c r="X20" i="1"/>
  <c r="X69" i="1"/>
  <c r="X65" i="1"/>
  <c r="X61" i="1"/>
  <c r="X57" i="1"/>
  <c r="X53" i="1"/>
  <c r="T49" i="1"/>
  <c r="U49" i="1" s="1"/>
  <c r="S49" i="1" s="1"/>
  <c r="T46" i="1"/>
  <c r="U46" i="1" s="1"/>
  <c r="S46" i="1" s="1"/>
  <c r="X46" i="1"/>
  <c r="X45" i="1"/>
  <c r="AA43" i="1"/>
  <c r="AG42" i="1"/>
  <c r="AI40" i="1"/>
  <c r="U37" i="1"/>
  <c r="S37" i="1" s="1"/>
  <c r="AG35" i="1"/>
  <c r="T34" i="1"/>
  <c r="U34" i="1" s="1"/>
  <c r="S34" i="1" s="1"/>
  <c r="T31" i="1"/>
  <c r="U31" i="1" s="1"/>
  <c r="S31" i="1" s="1"/>
  <c r="X31" i="1"/>
  <c r="AI14" i="1"/>
  <c r="U14" i="1"/>
  <c r="S14" i="1" s="1"/>
  <c r="T38" i="1"/>
  <c r="U38" i="1" s="1"/>
  <c r="S38" i="1" s="1"/>
  <c r="W35" i="1"/>
  <c r="W26" i="1"/>
  <c r="AG24" i="1"/>
  <c r="X25" i="1"/>
  <c r="T24" i="1"/>
  <c r="X24" i="1"/>
  <c r="AG16" i="1"/>
  <c r="X17" i="1"/>
  <c r="T16" i="1"/>
  <c r="X16" i="1"/>
  <c r="U15" i="1"/>
  <c r="S15" i="1" s="1"/>
  <c r="AG27" i="1"/>
  <c r="AG23" i="1"/>
  <c r="AG19" i="1"/>
  <c r="X27" i="1"/>
  <c r="X23" i="1"/>
  <c r="X19" i="1"/>
  <c r="X15" i="1"/>
  <c r="Y39" i="3"/>
  <c r="Y13" i="3"/>
  <c r="Y9" i="3"/>
  <c r="Y7" i="3"/>
  <c r="Y32" i="3"/>
  <c r="Y33" i="3"/>
  <c r="Y22" i="3"/>
  <c r="Y28" i="3"/>
  <c r="T24" i="3"/>
  <c r="T7" i="3"/>
  <c r="T14" i="3"/>
  <c r="T28" i="3"/>
  <c r="T25" i="3"/>
  <c r="T31" i="3"/>
  <c r="T29" i="3"/>
  <c r="T8" i="3"/>
  <c r="Y38" i="3"/>
  <c r="Y37" i="3"/>
  <c r="Y35" i="3"/>
  <c r="Y23" i="3"/>
  <c r="Y36" i="3"/>
  <c r="Y17" i="3"/>
  <c r="Y16" i="3"/>
  <c r="Y19" i="3"/>
  <c r="AC26" i="3"/>
  <c r="AC10" i="3"/>
  <c r="AC9" i="3"/>
  <c r="AC30" i="3"/>
  <c r="AC15" i="3"/>
  <c r="AC12" i="3"/>
  <c r="AC22" i="3"/>
  <c r="AC20" i="3"/>
  <c r="Y27" i="3"/>
  <c r="AC27" i="3"/>
  <c r="W139" i="1" l="1"/>
  <c r="W145" i="1"/>
  <c r="W209" i="1"/>
  <c r="AI212" i="1"/>
  <c r="U147" i="1"/>
  <c r="S147" i="1" s="1"/>
  <c r="AI137" i="1"/>
  <c r="W131" i="1"/>
  <c r="U22" i="1"/>
  <c r="S22" i="1" s="1"/>
  <c r="W100" i="1"/>
  <c r="W62" i="1"/>
  <c r="U205" i="1"/>
  <c r="S205" i="1" s="1"/>
  <c r="W88" i="1"/>
  <c r="AI176" i="1"/>
  <c r="W18" i="1"/>
  <c r="W176" i="1"/>
  <c r="W17" i="1"/>
  <c r="AI188" i="1"/>
  <c r="W193" i="1"/>
  <c r="AI128" i="1"/>
  <c r="U196" i="1"/>
  <c r="S196" i="1" s="1"/>
  <c r="AI196" i="1"/>
  <c r="AI193" i="1"/>
  <c r="U193" i="1"/>
  <c r="S193" i="1" s="1"/>
  <c r="AI190" i="1"/>
  <c r="U190" i="1"/>
  <c r="S190" i="1" s="1"/>
  <c r="AI197" i="1"/>
  <c r="U197" i="1"/>
  <c r="S197" i="1" s="1"/>
  <c r="W196" i="1"/>
  <c r="AI125" i="1"/>
  <c r="AI22" i="1"/>
  <c r="W21" i="1"/>
  <c r="AI110" i="1"/>
  <c r="AI215" i="1"/>
  <c r="W74" i="1"/>
  <c r="W29" i="1"/>
  <c r="W153" i="1"/>
  <c r="W220" i="1"/>
  <c r="W163" i="1"/>
  <c r="U18" i="1"/>
  <c r="S18" i="1" s="1"/>
  <c r="U143" i="1"/>
  <c r="S143" i="1" s="1"/>
  <c r="U63" i="1"/>
  <c r="S63" i="1" s="1"/>
  <c r="U130" i="1"/>
  <c r="S130" i="1" s="1"/>
  <c r="W90" i="1"/>
  <c r="AI90" i="1"/>
  <c r="W50" i="1"/>
  <c r="W71" i="1"/>
  <c r="W24" i="1"/>
  <c r="AI29" i="1"/>
  <c r="AI47" i="1"/>
  <c r="AI71" i="1"/>
  <c r="W94" i="1"/>
  <c r="AI201" i="1"/>
  <c r="AI168" i="1"/>
  <c r="W32" i="1"/>
  <c r="AI95" i="1"/>
  <c r="U123" i="1"/>
  <c r="S123" i="1" s="1"/>
  <c r="W210" i="1"/>
  <c r="W215" i="1"/>
  <c r="U74" i="1"/>
  <c r="S74" i="1" s="1"/>
  <c r="W137" i="1"/>
  <c r="W141" i="1"/>
  <c r="W116" i="1"/>
  <c r="W134" i="1"/>
  <c r="U139" i="1"/>
  <c r="S139" i="1" s="1"/>
  <c r="W128" i="1"/>
  <c r="W130" i="1"/>
  <c r="AI220" i="1"/>
  <c r="W28" i="1"/>
  <c r="U36" i="1"/>
  <c r="S36" i="1" s="1"/>
  <c r="W143" i="1"/>
  <c r="W113" i="1"/>
  <c r="U154" i="1"/>
  <c r="S154" i="1" s="1"/>
  <c r="W223" i="1"/>
  <c r="W201" i="1"/>
  <c r="W150" i="1"/>
  <c r="W126" i="1"/>
  <c r="W110" i="1"/>
  <c r="W43" i="1"/>
  <c r="U96" i="1"/>
  <c r="S96" i="1" s="1"/>
  <c r="AI99" i="1"/>
  <c r="W159" i="1"/>
  <c r="W198" i="1"/>
  <c r="U124" i="1"/>
  <c r="S124" i="1" s="1"/>
  <c r="U129" i="1"/>
  <c r="S129" i="1" s="1"/>
  <c r="AI129" i="1"/>
  <c r="W129" i="1"/>
  <c r="U132" i="1"/>
  <c r="S132" i="1" s="1"/>
  <c r="U134" i="1"/>
  <c r="S134" i="1" s="1"/>
  <c r="AI134" i="1"/>
  <c r="W132" i="1"/>
  <c r="U126" i="1"/>
  <c r="S126" i="1" s="1"/>
  <c r="AI126" i="1"/>
  <c r="W124" i="1"/>
  <c r="U122" i="1"/>
  <c r="S122" i="1" s="1"/>
  <c r="W122" i="1"/>
  <c r="AI118" i="1"/>
  <c r="U118" i="1"/>
  <c r="S118" i="1" s="1"/>
  <c r="W118" i="1"/>
  <c r="W23" i="1"/>
  <c r="W20" i="1"/>
  <c r="AI32" i="1"/>
  <c r="W82" i="1"/>
  <c r="AI121" i="1"/>
  <c r="W55" i="1"/>
  <c r="U107" i="1"/>
  <c r="S107" i="1" s="1"/>
  <c r="W188" i="1"/>
  <c r="U91" i="1"/>
  <c r="S91" i="1" s="1"/>
  <c r="AI150" i="1"/>
  <c r="W206" i="1"/>
  <c r="W214" i="1"/>
  <c r="W172" i="1"/>
  <c r="U150" i="1"/>
  <c r="S150" i="1" s="1"/>
  <c r="U32" i="1"/>
  <c r="S32" i="1" s="1"/>
  <c r="U151" i="1"/>
  <c r="S151" i="1" s="1"/>
  <c r="U172" i="1"/>
  <c r="S172" i="1" s="1"/>
  <c r="U220" i="1"/>
  <c r="S220" i="1" s="1"/>
  <c r="U184" i="1"/>
  <c r="S184" i="1" s="1"/>
  <c r="W151" i="1"/>
  <c r="W162" i="1"/>
  <c r="W34" i="1"/>
  <c r="W123" i="1"/>
  <c r="W91" i="1"/>
  <c r="W95" i="1"/>
  <c r="W222" i="1"/>
  <c r="W99" i="1"/>
  <c r="U61" i="1"/>
  <c r="S61" i="1" s="1"/>
  <c r="AI61" i="1"/>
  <c r="U53" i="1"/>
  <c r="S53" i="1" s="1"/>
  <c r="AI53" i="1"/>
  <c r="W53" i="1"/>
  <c r="W158" i="1"/>
  <c r="W102" i="1"/>
  <c r="W217" i="1"/>
  <c r="W15" i="1"/>
  <c r="W47" i="1"/>
  <c r="U69" i="1"/>
  <c r="S69" i="1" s="1"/>
  <c r="AI69" i="1"/>
  <c r="W96" i="1"/>
  <c r="W121" i="1"/>
  <c r="W61" i="1"/>
  <c r="U116" i="1"/>
  <c r="S116" i="1" s="1"/>
  <c r="AI116" i="1"/>
  <c r="W154" i="1"/>
  <c r="W212" i="1"/>
  <c r="U19" i="1"/>
  <c r="S19" i="1" s="1"/>
  <c r="W19" i="1"/>
  <c r="AI19" i="1"/>
  <c r="AI78" i="1"/>
  <c r="U78" i="1"/>
  <c r="S78" i="1" s="1"/>
  <c r="U174" i="1"/>
  <c r="S174" i="1" s="1"/>
  <c r="W174" i="1"/>
  <c r="AI189" i="1"/>
  <c r="U171" i="1"/>
  <c r="S171" i="1" s="1"/>
  <c r="AI186" i="1"/>
  <c r="U27" i="1"/>
  <c r="S27" i="1" s="1"/>
  <c r="AI27" i="1"/>
  <c r="W27" i="1"/>
  <c r="U24" i="1"/>
  <c r="S24" i="1" s="1"/>
  <c r="AI24" i="1"/>
  <c r="U100" i="1"/>
  <c r="S100" i="1" s="1"/>
  <c r="AI100" i="1"/>
  <c r="AI102" i="1"/>
  <c r="U102" i="1"/>
  <c r="S102" i="1" s="1"/>
  <c r="U108" i="1"/>
  <c r="S108" i="1" s="1"/>
  <c r="AI108" i="1"/>
  <c r="AI50" i="1"/>
  <c r="U50" i="1"/>
  <c r="S50" i="1" s="1"/>
  <c r="AI138" i="1"/>
  <c r="U138" i="1"/>
  <c r="S138" i="1" s="1"/>
  <c r="U152" i="1"/>
  <c r="S152" i="1" s="1"/>
  <c r="AI152" i="1"/>
  <c r="AI153" i="1"/>
  <c r="U153" i="1"/>
  <c r="S153" i="1" s="1"/>
  <c r="U166" i="1"/>
  <c r="S166" i="1" s="1"/>
  <c r="AI181" i="1"/>
  <c r="W166" i="1"/>
  <c r="U141" i="1"/>
  <c r="S141" i="1" s="1"/>
  <c r="AI141" i="1"/>
  <c r="U198" i="1"/>
  <c r="S198" i="1" s="1"/>
  <c r="AI214" i="1"/>
  <c r="AI145" i="1"/>
  <c r="U145" i="1"/>
  <c r="S145" i="1" s="1"/>
  <c r="U219" i="1"/>
  <c r="S219" i="1" s="1"/>
  <c r="AI166" i="1"/>
  <c r="U167" i="1"/>
  <c r="S167" i="1" s="1"/>
  <c r="AI182" i="1"/>
  <c r="U41" i="1"/>
  <c r="S41" i="1" s="1"/>
  <c r="AI41" i="1"/>
  <c r="AI43" i="1"/>
  <c r="U43" i="1"/>
  <c r="S43" i="1" s="1"/>
  <c r="AI93" i="1"/>
  <c r="U93" i="1"/>
  <c r="S93" i="1" s="1"/>
  <c r="W93" i="1"/>
  <c r="U58" i="1"/>
  <c r="S58" i="1" s="1"/>
  <c r="AI58" i="1"/>
  <c r="U66" i="1"/>
  <c r="S66" i="1" s="1"/>
  <c r="AI66" i="1"/>
  <c r="W41" i="1"/>
  <c r="W171" i="1"/>
  <c r="AI203" i="1"/>
  <c r="U179" i="1"/>
  <c r="S179" i="1" s="1"/>
  <c r="U186" i="1"/>
  <c r="S186" i="1" s="1"/>
  <c r="AI210" i="1"/>
  <c r="U182" i="1"/>
  <c r="S182" i="1" s="1"/>
  <c r="AI206" i="1"/>
  <c r="U23" i="1"/>
  <c r="S23" i="1" s="1"/>
  <c r="AI23" i="1"/>
  <c r="U20" i="1"/>
  <c r="S20" i="1" s="1"/>
  <c r="AI20" i="1"/>
  <c r="W78" i="1"/>
  <c r="W66" i="1"/>
  <c r="AI85" i="1"/>
  <c r="U85" i="1"/>
  <c r="S85" i="1" s="1"/>
  <c r="W85" i="1"/>
  <c r="U16" i="1"/>
  <c r="S16" i="1" s="1"/>
  <c r="AI16" i="1"/>
  <c r="AI35" i="1"/>
  <c r="U35" i="1"/>
  <c r="S35" i="1" s="1"/>
  <c r="AI42" i="1"/>
  <c r="U42" i="1"/>
  <c r="S42" i="1" s="1"/>
  <c r="W42" i="1"/>
  <c r="W16" i="1"/>
  <c r="W86" i="1"/>
  <c r="U28" i="1"/>
  <c r="S28" i="1" s="1"/>
  <c r="AI28" i="1"/>
  <c r="U92" i="1"/>
  <c r="S92" i="1" s="1"/>
  <c r="AI92" i="1"/>
  <c r="AI101" i="1"/>
  <c r="U101" i="1"/>
  <c r="S101" i="1" s="1"/>
  <c r="W101" i="1"/>
  <c r="U54" i="1"/>
  <c r="S54" i="1" s="1"/>
  <c r="AI54" i="1"/>
  <c r="U62" i="1"/>
  <c r="S62" i="1" s="1"/>
  <c r="AI62" i="1"/>
  <c r="U70" i="1"/>
  <c r="S70" i="1" s="1"/>
  <c r="AI70" i="1"/>
  <c r="U84" i="1"/>
  <c r="S84" i="1" s="1"/>
  <c r="AI84" i="1"/>
  <c r="AI109" i="1"/>
  <c r="U109" i="1"/>
  <c r="S109" i="1" s="1"/>
  <c r="AI77" i="1"/>
  <c r="U77" i="1"/>
  <c r="S77" i="1" s="1"/>
  <c r="AI115" i="1"/>
  <c r="U115" i="1"/>
  <c r="S115" i="1" s="1"/>
  <c r="U170" i="1"/>
  <c r="S170" i="1" s="1"/>
  <c r="AI185" i="1"/>
  <c r="W77" i="1"/>
  <c r="W138" i="1"/>
  <c r="W179" i="1"/>
  <c r="AI211" i="1"/>
  <c r="U187" i="1"/>
  <c r="S187" i="1" s="1"/>
  <c r="U213" i="1"/>
  <c r="S213" i="1" s="1"/>
  <c r="AI218" i="1"/>
  <c r="W187" i="1"/>
  <c r="U175" i="1"/>
  <c r="S175" i="1" s="1"/>
  <c r="AI198" i="1"/>
  <c r="U223" i="1"/>
  <c r="S223" i="1" s="1"/>
  <c r="AI170" i="1"/>
  <c r="U148" i="1"/>
  <c r="S148" i="1" s="1"/>
  <c r="AI148" i="1"/>
  <c r="W186" i="1"/>
  <c r="W213" i="1"/>
  <c r="U111" i="1"/>
  <c r="S111" i="1" s="1"/>
  <c r="AI111" i="1"/>
  <c r="U178" i="1"/>
  <c r="S178" i="1" s="1"/>
  <c r="AI202" i="1"/>
  <c r="U159" i="1"/>
  <c r="S159" i="1" s="1"/>
  <c r="AI174" i="1"/>
  <c r="AI86" i="1"/>
  <c r="U86" i="1"/>
  <c r="S86" i="1" s="1"/>
  <c r="AI94" i="1"/>
  <c r="U94" i="1"/>
  <c r="S94" i="1" s="1"/>
  <c r="U144" i="1"/>
  <c r="S144" i="1" s="1"/>
  <c r="W144" i="1"/>
  <c r="AI144" i="1"/>
  <c r="U113" i="1"/>
  <c r="S113" i="1" s="1"/>
  <c r="AI113" i="1"/>
  <c r="U208" i="1"/>
  <c r="S208" i="1" s="1"/>
  <c r="AI161" i="1"/>
  <c r="W208" i="1"/>
  <c r="W152" i="1"/>
  <c r="AI219" i="1"/>
  <c r="U214" i="1"/>
  <c r="S214" i="1" s="1"/>
  <c r="U217" i="1"/>
  <c r="S217" i="1" s="1"/>
  <c r="AI222" i="1"/>
  <c r="U209" i="1"/>
  <c r="S209" i="1" s="1"/>
  <c r="AI162" i="1"/>
  <c r="U163" i="1"/>
  <c r="S163" i="1" s="1"/>
  <c r="AI178" i="1"/>
  <c r="W182" i="1"/>
  <c r="W178" i="1"/>
  <c r="M30" i="5"/>
  <c r="M29" i="5"/>
  <c r="M28" i="5"/>
  <c r="M27" i="5"/>
  <c r="K20" i="6" l="1"/>
  <c r="B20" i="6"/>
  <c r="K19" i="6"/>
  <c r="B19" i="6"/>
  <c r="J19" i="6" s="1"/>
  <c r="K18" i="6"/>
  <c r="B18" i="6"/>
  <c r="I18" i="6" s="1"/>
  <c r="K17" i="6"/>
  <c r="B17" i="6"/>
  <c r="I17" i="6" s="1"/>
  <c r="K16" i="6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13" i="6" l="1"/>
  <c r="AA13" i="1"/>
  <c r="F17" i="6"/>
  <c r="AG13" i="1"/>
  <c r="J5" i="6"/>
  <c r="F9" i="6"/>
  <c r="F5" i="6"/>
  <c r="J17" i="6"/>
  <c r="J13" i="6"/>
  <c r="J9" i="6"/>
  <c r="I4" i="6"/>
  <c r="I8" i="6"/>
  <c r="I12" i="6"/>
  <c r="I16" i="6"/>
  <c r="I3" i="6"/>
  <c r="F4" i="6"/>
  <c r="J4" i="6"/>
  <c r="I11" i="6"/>
  <c r="F12" i="6"/>
  <c r="J12" i="6"/>
  <c r="J20" i="6"/>
  <c r="F6" i="6"/>
  <c r="J6" i="6"/>
  <c r="F10" i="6"/>
  <c r="J10" i="6"/>
  <c r="F14" i="6"/>
  <c r="J14" i="6"/>
  <c r="F18" i="6"/>
  <c r="J18" i="6"/>
  <c r="I20" i="6"/>
  <c r="I7" i="6"/>
  <c r="F8" i="6"/>
  <c r="J8" i="6"/>
  <c r="I15" i="6"/>
  <c r="F16" i="6"/>
  <c r="J16" i="6"/>
  <c r="I19" i="6"/>
  <c r="F20" i="6"/>
  <c r="F3" i="6"/>
  <c r="F7" i="6"/>
  <c r="F11" i="6"/>
  <c r="F15" i="6"/>
  <c r="F19" i="6"/>
  <c r="AI13" i="1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" i="6" s="1"/>
  <c r="G31" i="4"/>
  <c r="H3" i="6" s="1"/>
  <c r="F32" i="4"/>
  <c r="G32" i="4"/>
  <c r="F33" i="4"/>
  <c r="G33" i="4"/>
  <c r="F34" i="4"/>
  <c r="G5" i="6" s="1"/>
  <c r="G34" i="4"/>
  <c r="H5" i="6" s="1"/>
  <c r="F35" i="4"/>
  <c r="G35" i="4"/>
  <c r="F36" i="4"/>
  <c r="G36" i="4"/>
  <c r="F37" i="4"/>
  <c r="G37" i="4"/>
  <c r="F38" i="4"/>
  <c r="G38" i="4"/>
  <c r="F39" i="4"/>
  <c r="G6" i="6" s="1"/>
  <c r="G39" i="4"/>
  <c r="H6" i="6" s="1"/>
  <c r="F40" i="4"/>
  <c r="G40" i="4"/>
  <c r="F41" i="4"/>
  <c r="G41" i="4"/>
  <c r="F42" i="4"/>
  <c r="G42" i="4"/>
  <c r="F43" i="4"/>
  <c r="G43" i="4"/>
  <c r="F44" i="4"/>
  <c r="G4" i="6" s="1"/>
  <c r="G44" i="4"/>
  <c r="H4" i="6" s="1"/>
  <c r="F45" i="4"/>
  <c r="G9" i="6" s="1"/>
  <c r="G45" i="4"/>
  <c r="H9" i="6" s="1"/>
  <c r="F46" i="4"/>
  <c r="G46" i="4"/>
  <c r="F47" i="4"/>
  <c r="G47" i="4"/>
  <c r="F48" i="4"/>
  <c r="G48" i="4"/>
  <c r="F49" i="4"/>
  <c r="G49" i="4"/>
  <c r="F50" i="4"/>
  <c r="G7" i="6" s="1"/>
  <c r="G50" i="4"/>
  <c r="H7" i="6" s="1"/>
  <c r="F51" i="4"/>
  <c r="G51" i="4"/>
  <c r="F52" i="4"/>
  <c r="G52" i="4"/>
  <c r="F53" i="4"/>
  <c r="G8" i="6" s="1"/>
  <c r="G53" i="4"/>
  <c r="H8" i="6" s="1"/>
  <c r="F54" i="4"/>
  <c r="G11" i="6" s="1"/>
  <c r="G54" i="4"/>
  <c r="H11" i="6" s="1"/>
  <c r="F55" i="4"/>
  <c r="G55" i="4"/>
  <c r="F56" i="4"/>
  <c r="G56" i="4"/>
  <c r="F57" i="4"/>
  <c r="G57" i="4"/>
  <c r="F58" i="4"/>
  <c r="G12" i="6" s="1"/>
  <c r="G58" i="4"/>
  <c r="H12" i="6" s="1"/>
  <c r="F59" i="4"/>
  <c r="G59" i="4"/>
  <c r="F60" i="4"/>
  <c r="G10" i="6" s="1"/>
  <c r="G60" i="4"/>
  <c r="H10" i="6" s="1"/>
  <c r="F61" i="4"/>
  <c r="G61" i="4"/>
  <c r="F62" i="4"/>
  <c r="G62" i="4"/>
  <c r="F63" i="4"/>
  <c r="G63" i="4"/>
  <c r="F64" i="4"/>
  <c r="G14" i="6" s="1"/>
  <c r="G64" i="4"/>
  <c r="H14" i="6" s="1"/>
  <c r="F65" i="4"/>
  <c r="G65" i="4"/>
  <c r="F66" i="4"/>
  <c r="G66" i="4"/>
  <c r="F67" i="4"/>
  <c r="G67" i="4"/>
  <c r="F68" i="4"/>
  <c r="G68" i="4"/>
  <c r="F69" i="4"/>
  <c r="G13" i="6" s="1"/>
  <c r="G69" i="4"/>
  <c r="H13" i="6" s="1"/>
  <c r="F70" i="4"/>
  <c r="G17" i="6" s="1"/>
  <c r="G70" i="4"/>
  <c r="H17" i="6" s="1"/>
  <c r="F71" i="4"/>
  <c r="G71" i="4"/>
  <c r="F72" i="4"/>
  <c r="G72" i="4"/>
  <c r="F73" i="4"/>
  <c r="G73" i="4"/>
  <c r="F74" i="4"/>
  <c r="G15" i="6" s="1"/>
  <c r="G74" i="4"/>
  <c r="H15" i="6" s="1"/>
  <c r="F75" i="4"/>
  <c r="G18" i="6" s="1"/>
  <c r="G75" i="4"/>
  <c r="H18" i="6" s="1"/>
  <c r="F76" i="4"/>
  <c r="G16" i="6" s="1"/>
  <c r="G76" i="4"/>
  <c r="H16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9" i="6" s="1"/>
  <c r="G84" i="4"/>
  <c r="H19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0" i="6" s="1"/>
  <c r="G223" i="4"/>
  <c r="H20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<sst xmlns="http://schemas.openxmlformats.org/spreadsheetml/2006/main" count="2181" uniqueCount="788">
  <si>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</si>
  <si>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</si>
  <si>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</si>
  <si>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</si>
  <si>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</si>
  <si>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</si>
  <si>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</si>
  <si>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</si>
  <si>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</si>
  <si>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</si>
  <si>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</si>
  <si>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</si>
  <si>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</si>
  <si>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</si>
  <si>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</si>
  <si>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</si>
  <si>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</si>
  <si>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</si>
  <si>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</si>
  <si>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</si>
  <si>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</si>
  <si>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</si>
  <si>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</si>
  <si>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</si>
  <si>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</si>
  <si>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</si>
  <si>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</si>
  <si>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</si>
  <si>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</si>
  <si>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</si>
  <si>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</si>
  <si>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</si>
  <si>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</si>
  <si>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</si>
  <si>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</si>
  <si>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</si>
  <si>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</si>
  <si>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</si>
  <si>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</si>
  <si>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</si>
  <si>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</si>
  <si>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</si>
  <si>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</si>
  <si>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</si>
  <si>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</si>
  <si>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</si>
  <si>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</si>
  <si>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</si>
  <si>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</si>
  <si>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</si>
  <si>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</si>
  <si>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</si>
  <si>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</si>
  <si>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</si>
  <si>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</si>
  <si>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</si>
  <si>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</si>
  <si>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</si>
  <si>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</si>
  <si>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</si>
  <si>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</si>
  <si>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</si>
  <si>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</si>
  <si>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</si>
  <si>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</si>
  <si>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</si>
  <si>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</si>
  <si>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</si>
  <si>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</si>
  <si>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</si>
  <si>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</si>
  <si>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</si>
  <si>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</si>
  <si>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</si>
  <si>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</si>
  <si>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</si>
  <si>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</si>
  <si>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</si>
  <si>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</si>
  <si>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</si>
  <si>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</si>
  <si>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</si>
  <si>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</si>
  <si>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</si>
  <si>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</si>
  <si>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</si>
  <si>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</si>
  <si>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</si>
  <si>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</si>
  <si>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</si>
  <si>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</si>
  <si>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</si>
  <si>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</si>
  <si>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</si>
  <si>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</si>
  <si>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</si>
  <si>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</si>
  <si>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</si>
  <si>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</si>
  <si>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</si>
  <si>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</si>
  <si>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</si>
  <si>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</si>
  <si>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</si>
  <si>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</si>
  <si>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</si>
  <si>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</si>
  <si>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</si>
  <si>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</si>
  <si>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</si>
  <si>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</si>
  <si>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</si>
  <si>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</si>
  <si>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</si>
  <si>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</si>
  <si>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</si>
  <si>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</si>
  <si>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</si>
  <si>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</si>
  <si>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</si>
  <si>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</si>
  <si>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</si>
  <si>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</si>
  <si>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</si>
  <si>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</si>
  <si>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</si>
  <si>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</si>
  <si>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</si>
  <si>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</si>
  <si>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</si>
  <si>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</si>
  <si>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</si>
  <si>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</si>
  <si>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</si>
  <si>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</si>
  <si>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</si>
  <si>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</si>
  <si>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</si>
  <si>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</si>
  <si>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</si>
  <si>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</si>
  <si>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</si>
  <si>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</si>
  <si>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</si>
  <si>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</si>
  <si>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</si>
  <si>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</si>
  <si>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</si>
  <si>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</si>
  <si>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</si>
  <si>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</si>
  <si>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</si>
  <si>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</si>
  <si>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</si>
  <si>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</si>
  <si>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</si>
  <si>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</si>
  <si>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</si>
  <si>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</si>
  <si>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</si>
  <si>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</si>
  <si>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</si>
  <si>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</si>
  <si>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</si>
  <si>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</si>
  <si>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</si>
  <si>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</si>
  <si>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</si>
  <si>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</si>
  <si>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</si>
  <si>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</si>
  <si>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</si>
  <si>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</si>
  <si>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</si>
  <si>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</si>
  <si>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</si>
  <si>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</si>
  <si>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</si>
  <si>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</si>
  <si>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</si>
  <si>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</si>
  <si>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</si>
  <si>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</si>
  <si>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</si>
  <si>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</si>
  <si>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</si>
  <si>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</si>
  <si>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</si>
  <si>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</si>
  <si>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</si>
  <si>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</si>
  <si>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</si>
  <si>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</si>
  <si>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</si>
  <si>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</si>
  <si>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</si>
  <si>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</si>
  <si>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rtdc.l.rtdc.4008:itc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</si>
  <si>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</si>
  <si>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</si>
  <si>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</si>
  <si>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</si>
  <si>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</si>
  <si>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</si>
  <si>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</si>
  <si>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</si>
  <si>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Y</t>
  </si>
  <si>
    <t>246-07</t>
  </si>
  <si>
    <t>311-07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</si>
  <si>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</si>
  <si>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</si>
  <si>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</si>
  <si>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</si>
  <si>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</si>
  <si>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</si>
  <si>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</si>
  <si>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</si>
  <si>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</si>
  <si>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</si>
  <si>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</si>
  <si>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</si>
  <si>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</si>
  <si>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rtdc.l.rtdc.4031:itc</t>
  </si>
  <si>
    <t>BRANDNER</t>
  </si>
  <si>
    <t>204:233314</t>
  </si>
  <si>
    <t>Enforcements Text</t>
  </si>
  <si>
    <t>Runs-Refined Text</t>
  </si>
  <si>
    <t>Trips Text</t>
  </si>
  <si>
    <t>Weather Text</t>
  </si>
  <si>
    <t>204:232985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</si>
  <si>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</si>
  <si>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</si>
  <si>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</si>
  <si>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</si>
  <si>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</si>
  <si>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</si>
  <si>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</si>
  <si>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</si>
  <si>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</si>
  <si>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</si>
  <si>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</si>
  <si>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204:163</t>
  </si>
  <si>
    <t>204:464</t>
  </si>
  <si>
    <t>204:455</t>
  </si>
  <si>
    <t>204:232982</t>
  </si>
  <si>
    <t>204:136</t>
  </si>
  <si>
    <t>204:467</t>
  </si>
  <si>
    <t>204:134</t>
  </si>
  <si>
    <t>204:457</t>
  </si>
  <si>
    <t>204:232978</t>
  </si>
  <si>
    <t>204:466</t>
  </si>
  <si>
    <t>204:478</t>
  </si>
  <si>
    <t>204:233295</t>
  </si>
  <si>
    <t>204:446</t>
  </si>
  <si>
    <t>204:233299</t>
  </si>
  <si>
    <t>204:167</t>
  </si>
  <si>
    <t>204:232989</t>
  </si>
  <si>
    <t>204:160</t>
  </si>
  <si>
    <t>204:232979</t>
  </si>
  <si>
    <t>204:460</t>
  </si>
  <si>
    <t>204:233306</t>
  </si>
  <si>
    <t>204:233289</t>
  </si>
  <si>
    <t>204:233291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</si>
  <si>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</si>
  <si>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</si>
  <si>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</si>
  <si>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</si>
  <si>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</si>
  <si>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</si>
  <si>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</si>
  <si>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</si>
  <si>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</si>
  <si>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</si>
  <si>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</si>
  <si>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</si>
  <si>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partly-cloudy-day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</si>
  <si>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</si>
  <si>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</si>
  <si>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</si>
  <si>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</si>
  <si>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</si>
  <si>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</si>
  <si>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MALAVE</t>
  </si>
  <si>
    <t>NEWELL</t>
  </si>
  <si>
    <t>rtdc.l.rtdc.4027:itc</t>
  </si>
  <si>
    <t>204:232977</t>
  </si>
  <si>
    <t>204:232998</t>
  </si>
  <si>
    <t>204:232980</t>
  </si>
  <si>
    <t>204:233301</t>
  </si>
  <si>
    <t>204:232994</t>
  </si>
  <si>
    <t>204:232988</t>
  </si>
  <si>
    <t>204:475</t>
  </si>
  <si>
    <t>204:233315</t>
  </si>
  <si>
    <t>204:232971</t>
  </si>
  <si>
    <t>204:232991</t>
  </si>
  <si>
    <t>204:471</t>
  </si>
  <si>
    <t>300:58608</t>
  </si>
  <si>
    <t>AWS CP Commands</t>
  </si>
  <si>
    <t>rtdc.l.rtdc.4045:itc</t>
  </si>
  <si>
    <t>rtdc.l.rtdc.4012:itc</t>
  </si>
  <si>
    <t>rtdc.l.rtdc.4011:itc</t>
  </si>
  <si>
    <t>STEWART</t>
  </si>
  <si>
    <t>CLARK</t>
  </si>
  <si>
    <t>SHOOK</t>
  </si>
  <si>
    <t>309-14</t>
  </si>
  <si>
    <t>244-14</t>
  </si>
  <si>
    <t>311-14</t>
  </si>
  <si>
    <t>246-14</t>
  </si>
  <si>
    <t>313-14</t>
  </si>
  <si>
    <t>315-14</t>
  </si>
  <si>
    <t>204:232965</t>
  </si>
  <si>
    <t>204:444</t>
  </si>
  <si>
    <t>204:232963</t>
  </si>
  <si>
    <t>204:232987</t>
  </si>
  <si>
    <t>204:233305</t>
  </si>
  <si>
    <t>300:58929</t>
  </si>
  <si>
    <t>300:58926</t>
  </si>
  <si>
    <t>204:1018</t>
  </si>
  <si>
    <t>300:58619</t>
  </si>
  <si>
    <t>204:752</t>
  </si>
  <si>
    <t>KILLION</t>
  </si>
  <si>
    <t>YORK</t>
  </si>
  <si>
    <t>BRUDER</t>
  </si>
  <si>
    <t>HAUSER</t>
  </si>
  <si>
    <t>clear-day</t>
  </si>
  <si>
    <t>204:156</t>
  </si>
  <si>
    <t>204:433</t>
  </si>
  <si>
    <t>204:232969</t>
  </si>
  <si>
    <t>204:233000</t>
  </si>
  <si>
    <t>204:233308</t>
  </si>
  <si>
    <t>204:233302</t>
  </si>
  <si>
    <t>204:726</t>
  </si>
  <si>
    <t>300:58924</t>
  </si>
  <si>
    <t>300:58640</t>
  </si>
  <si>
    <t>300:58653</t>
  </si>
  <si>
    <t>204:717</t>
  </si>
  <si>
    <t>204:233287</t>
  </si>
  <si>
    <t>300:23306</t>
  </si>
  <si>
    <t>rtdc.l.rtdc.4029:itc</t>
  </si>
  <si>
    <t>ACKERMAN</t>
  </si>
  <si>
    <t>rtdc.l.rtdc.4026:itc</t>
  </si>
  <si>
    <t>rtdc.l.rtdc.4025:itc</t>
  </si>
  <si>
    <t>STARKS</t>
  </si>
  <si>
    <t>rtdc.l.rtdc.4030:itc</t>
  </si>
  <si>
    <t>BARTLETT</t>
  </si>
  <si>
    <t>SWANSON</t>
  </si>
  <si>
    <t>BERLING</t>
  </si>
  <si>
    <t>309-16</t>
  </si>
  <si>
    <t>242-16</t>
  </si>
  <si>
    <t>311-16</t>
  </si>
  <si>
    <t>244-16</t>
  </si>
  <si>
    <t>313-16</t>
  </si>
  <si>
    <t>315-16</t>
  </si>
  <si>
    <t>302-17</t>
  </si>
  <si>
    <t>204:679</t>
  </si>
  <si>
    <t>204:139</t>
  </si>
  <si>
    <t>204:233317</t>
  </si>
  <si>
    <t>204:165</t>
  </si>
  <si>
    <t>204:232961</t>
  </si>
  <si>
    <t>204:232981</t>
  </si>
  <si>
    <t>204:1186</t>
  </si>
  <si>
    <t>204:477</t>
  </si>
  <si>
    <t>204:233278</t>
  </si>
  <si>
    <t>204:232972</t>
  </si>
  <si>
    <t>204:180</t>
  </si>
  <si>
    <t>204:233304</t>
  </si>
  <si>
    <t>204:232993</t>
  </si>
  <si>
    <t>300:58615</t>
  </si>
  <si>
    <t>204:734</t>
  </si>
  <si>
    <t>204:1007</t>
  </si>
  <si>
    <t>300:58609</t>
  </si>
  <si>
    <t>300:58611</t>
  </si>
  <si>
    <t>204:1002</t>
  </si>
  <si>
    <t>204:712</t>
  </si>
  <si>
    <t>300:58632</t>
  </si>
  <si>
    <t>300:58973</t>
  </si>
  <si>
    <t>300:58647</t>
  </si>
  <si>
    <t>300:58956</t>
  </si>
  <si>
    <t>300:58649</t>
  </si>
  <si>
    <t>204:484</t>
  </si>
  <si>
    <t>204:233309</t>
  </si>
  <si>
    <t>204:232968</t>
  </si>
  <si>
    <t>204:488</t>
  </si>
  <si>
    <t>204:233337</t>
  </si>
  <si>
    <t>204:233010</t>
  </si>
  <si>
    <t>204:684</t>
  </si>
  <si>
    <t>300:23163</t>
  </si>
  <si>
    <t>300:13790</t>
  </si>
  <si>
    <t>Did not init</t>
  </si>
  <si>
    <t>Early arrival</t>
  </si>
  <si>
    <t>40th 4S STOP, cleared afterward</t>
  </si>
  <si>
    <t>Wi-MAX outage</t>
  </si>
  <si>
    <t>Pena 4S STOP, cleared afterward</t>
  </si>
  <si>
    <t>rtdc.l.rtdc.4038:itc</t>
  </si>
  <si>
    <t>103-17</t>
  </si>
  <si>
    <t>102-17</t>
  </si>
  <si>
    <t>rtdc.l.rtdc.4002:itc</t>
  </si>
  <si>
    <t>105-17</t>
  </si>
  <si>
    <t>104-17</t>
  </si>
  <si>
    <t>114-17</t>
  </si>
  <si>
    <t>112-17</t>
  </si>
  <si>
    <t>rtdc.l.rtdc.4037:itc</t>
  </si>
  <si>
    <t>116-17</t>
  </si>
  <si>
    <t>118-17</t>
  </si>
  <si>
    <t>807-17</t>
  </si>
  <si>
    <t>126-17</t>
  </si>
  <si>
    <t>135-17</t>
  </si>
  <si>
    <t>132-17</t>
  </si>
  <si>
    <t>813-17</t>
  </si>
  <si>
    <t>814-17</t>
  </si>
  <si>
    <t>144-17</t>
  </si>
  <si>
    <t>157-17</t>
  </si>
  <si>
    <t>818-17</t>
  </si>
  <si>
    <t>160-17</t>
  </si>
  <si>
    <t>819-17</t>
  </si>
  <si>
    <t>168-17</t>
  </si>
  <si>
    <t>177-17</t>
  </si>
  <si>
    <t>821-17</t>
  </si>
  <si>
    <t>176-17</t>
  </si>
  <si>
    <t>186-17</t>
  </si>
  <si>
    <t>rtdc.l.rtdc.4054:itc</t>
  </si>
  <si>
    <t>904-17</t>
  </si>
  <si>
    <t>54-17</t>
  </si>
  <si>
    <t>218-17</t>
  </si>
  <si>
    <t>232-17</t>
  </si>
  <si>
    <t>101-17</t>
  </si>
  <si>
    <t>304-17</t>
  </si>
  <si>
    <t>306-17</t>
  </si>
  <si>
    <t>ROBINSON</t>
  </si>
  <si>
    <t>308-17</t>
  </si>
  <si>
    <t>SPECTOR</t>
  </si>
  <si>
    <t>107-17</t>
  </si>
  <si>
    <t>GRASTON</t>
  </si>
  <si>
    <t>310-17</t>
  </si>
  <si>
    <t>rtdc.l.rtdc.4053:itc</t>
  </si>
  <si>
    <t>901-17</t>
  </si>
  <si>
    <t>OUN</t>
  </si>
  <si>
    <t>109-17</t>
  </si>
  <si>
    <t>106-17</t>
  </si>
  <si>
    <t>111-17</t>
  </si>
  <si>
    <t>113-17</t>
  </si>
  <si>
    <t>800-17</t>
  </si>
  <si>
    <t>108-17</t>
  </si>
  <si>
    <t>115-17</t>
  </si>
  <si>
    <t>117-17</t>
  </si>
  <si>
    <t>110-17</t>
  </si>
  <si>
    <t>801-17</t>
  </si>
  <si>
    <t>119-17</t>
  </si>
  <si>
    <t>802-17</t>
  </si>
  <si>
    <t>902-17</t>
  </si>
  <si>
    <t>ROCHA</t>
  </si>
  <si>
    <t>121-17</t>
  </si>
  <si>
    <t>803-17</t>
  </si>
  <si>
    <t>123-17</t>
  </si>
  <si>
    <t>804-17</t>
  </si>
  <si>
    <t>125-17</t>
  </si>
  <si>
    <t>805-17</t>
  </si>
  <si>
    <t>120-17</t>
  </si>
  <si>
    <t>122-17</t>
  </si>
  <si>
    <t>127-17</t>
  </si>
  <si>
    <t>806-17</t>
  </si>
  <si>
    <t>129-17</t>
  </si>
  <si>
    <t>124-17</t>
  </si>
  <si>
    <t>131-17</t>
  </si>
  <si>
    <t>133-17</t>
  </si>
  <si>
    <t>808-17</t>
  </si>
  <si>
    <t>810-17</t>
  </si>
  <si>
    <t>809-17</t>
  </si>
  <si>
    <t>128-17</t>
  </si>
  <si>
    <t>137-17</t>
  </si>
  <si>
    <t>811-17</t>
  </si>
  <si>
    <t>130-17</t>
  </si>
  <si>
    <t>134-17</t>
  </si>
  <si>
    <t>139-17</t>
  </si>
  <si>
    <t>903-17</t>
  </si>
  <si>
    <t>812-17</t>
  </si>
  <si>
    <t>136-17</t>
  </si>
  <si>
    <t>141-17</t>
  </si>
  <si>
    <t>143-17</t>
  </si>
  <si>
    <t>138-17</t>
  </si>
  <si>
    <t>145-17</t>
  </si>
  <si>
    <t>140-17</t>
  </si>
  <si>
    <t>147-17</t>
  </si>
  <si>
    <t>142-17</t>
  </si>
  <si>
    <t>149-17</t>
  </si>
  <si>
    <t>151-17</t>
  </si>
  <si>
    <t>146-17</t>
  </si>
  <si>
    <t>815-17</t>
  </si>
  <si>
    <t>148-17</t>
  </si>
  <si>
    <t>153-17</t>
  </si>
  <si>
    <t>150-17</t>
  </si>
  <si>
    <t>155-17</t>
  </si>
  <si>
    <t>50-17</t>
  </si>
  <si>
    <t>816-17</t>
  </si>
  <si>
    <t>152-17</t>
  </si>
  <si>
    <t>159-17</t>
  </si>
  <si>
    <t>rtdc.l.rtdc.4021:itc</t>
  </si>
  <si>
    <t>52-17</t>
  </si>
  <si>
    <t>154-17</t>
  </si>
  <si>
    <t>161-17</t>
  </si>
  <si>
    <t>ISHMAEL</t>
  </si>
  <si>
    <t>817-17</t>
  </si>
  <si>
    <t>55-17</t>
  </si>
  <si>
    <t>156-17</t>
  </si>
  <si>
    <t>163-17</t>
  </si>
  <si>
    <t>158-17</t>
  </si>
  <si>
    <t>165-17</t>
  </si>
  <si>
    <t>167-17</t>
  </si>
  <si>
    <t>162-17</t>
  </si>
  <si>
    <t>169-17</t>
  </si>
  <si>
    <t>HELVIE</t>
  </si>
  <si>
    <t>164-17</t>
  </si>
  <si>
    <t>171-17</t>
  </si>
  <si>
    <t>STAMBAUGH</t>
  </si>
  <si>
    <t>166-17</t>
  </si>
  <si>
    <t>820-17</t>
  </si>
  <si>
    <t>173-17</t>
  </si>
  <si>
    <t>175-17</t>
  </si>
  <si>
    <t>170-17</t>
  </si>
  <si>
    <t>BONDS</t>
  </si>
  <si>
    <t>172-17</t>
  </si>
  <si>
    <t>179-17</t>
  </si>
  <si>
    <t>822-17</t>
  </si>
  <si>
    <t>174-17</t>
  </si>
  <si>
    <t>181-17</t>
  </si>
  <si>
    <t>183-17</t>
  </si>
  <si>
    <t>178-17</t>
  </si>
  <si>
    <t>185-17</t>
  </si>
  <si>
    <t>823-17</t>
  </si>
  <si>
    <t>180-17</t>
  </si>
  <si>
    <t>187-17</t>
  </si>
  <si>
    <t>182-17</t>
  </si>
  <si>
    <t>824-17</t>
  </si>
  <si>
    <t>189-17</t>
  </si>
  <si>
    <t>184-17</t>
  </si>
  <si>
    <t>191-17</t>
  </si>
  <si>
    <t>825-17</t>
  </si>
  <si>
    <t>193-17</t>
  </si>
  <si>
    <t>188-17</t>
  </si>
  <si>
    <t>195-17</t>
  </si>
  <si>
    <t>DELGADO</t>
  </si>
  <si>
    <t>190-17</t>
  </si>
  <si>
    <t>826-17</t>
  </si>
  <si>
    <t>197-17</t>
  </si>
  <si>
    <t>192-17</t>
  </si>
  <si>
    <t>827-17</t>
  </si>
  <si>
    <t>199-17</t>
  </si>
  <si>
    <t>194-17</t>
  </si>
  <si>
    <t>829-17</t>
  </si>
  <si>
    <t>201-17</t>
  </si>
  <si>
    <t>828-17</t>
  </si>
  <si>
    <t>203-17</t>
  </si>
  <si>
    <t>196-17</t>
  </si>
  <si>
    <t>198-17</t>
  </si>
  <si>
    <t>205-17</t>
  </si>
  <si>
    <t>830-17</t>
  </si>
  <si>
    <t>831-17</t>
  </si>
  <si>
    <t>200-17</t>
  </si>
  <si>
    <t>207-17</t>
  </si>
  <si>
    <t>833-17</t>
  </si>
  <si>
    <t>202-17</t>
  </si>
  <si>
    <t>209-17</t>
  </si>
  <si>
    <t>832-17</t>
  </si>
  <si>
    <t>204-17</t>
  </si>
  <si>
    <t>56-17</t>
  </si>
  <si>
    <t>211-17</t>
  </si>
  <si>
    <t>67-17</t>
  </si>
  <si>
    <t>CRAYTON</t>
  </si>
  <si>
    <t>MATTHEWS</t>
  </si>
  <si>
    <t>206-17</t>
  </si>
  <si>
    <t>834-17</t>
  </si>
  <si>
    <t>213-17</t>
  </si>
  <si>
    <t>835-17</t>
  </si>
  <si>
    <t>208-17</t>
  </si>
  <si>
    <t>215-17</t>
  </si>
  <si>
    <t>210-17</t>
  </si>
  <si>
    <t>rtdc.l.rtdc.4022:itc</t>
  </si>
  <si>
    <t>69-17</t>
  </si>
  <si>
    <t>837-17</t>
  </si>
  <si>
    <t>836-17</t>
  </si>
  <si>
    <t>217-17</t>
  </si>
  <si>
    <t>212-17</t>
  </si>
  <si>
    <t>219-17</t>
  </si>
  <si>
    <t>214-17</t>
  </si>
  <si>
    <t>838-17</t>
  </si>
  <si>
    <t>839-17</t>
  </si>
  <si>
    <t>303-17</t>
  </si>
  <si>
    <t>216-17</t>
  </si>
  <si>
    <t>221-17</t>
  </si>
  <si>
    <t>841-17</t>
  </si>
  <si>
    <t>906-17</t>
  </si>
  <si>
    <t>305-17</t>
  </si>
  <si>
    <t>220-17</t>
  </si>
  <si>
    <t>223-17</t>
  </si>
  <si>
    <t>307-17</t>
  </si>
  <si>
    <t>840-17</t>
  </si>
  <si>
    <t>222-17</t>
  </si>
  <si>
    <t>225-17</t>
  </si>
  <si>
    <t>843-17</t>
  </si>
  <si>
    <t>224-17</t>
  </si>
  <si>
    <t>227-17</t>
  </si>
  <si>
    <t>842-17</t>
  </si>
  <si>
    <t>229-17</t>
  </si>
  <si>
    <t>226-17</t>
  </si>
  <si>
    <t>231-17</t>
  </si>
  <si>
    <t>228-17</t>
  </si>
  <si>
    <t>845-17</t>
  </si>
  <si>
    <t>844-17</t>
  </si>
  <si>
    <t>230-17</t>
  </si>
  <si>
    <t>233-17</t>
  </si>
  <si>
    <t>847-17</t>
  </si>
  <si>
    <t>235-17</t>
  </si>
  <si>
    <t>908-17</t>
  </si>
  <si>
    <t>234-17</t>
  </si>
  <si>
    <t>237-17</t>
  </si>
  <si>
    <t>239-17</t>
  </si>
  <si>
    <t>236-17</t>
  </si>
  <si>
    <t>241-17</t>
  </si>
  <si>
    <t>240-17</t>
  </si>
  <si>
    <t>243-17</t>
  </si>
  <si>
    <t>242-17</t>
  </si>
  <si>
    <t>315-17</t>
  </si>
  <si>
    <t>244-17</t>
  </si>
  <si>
    <t>311-17</t>
  </si>
  <si>
    <t>313-17</t>
  </si>
  <si>
    <t>309-17</t>
  </si>
  <si>
    <t>204:790</t>
  </si>
  <si>
    <t>204:233282</t>
  </si>
  <si>
    <t>204:232641</t>
  </si>
  <si>
    <t>204:233380</t>
  </si>
  <si>
    <t>204:232744</t>
  </si>
  <si>
    <t>204:245</t>
  </si>
  <si>
    <t>204:233451</t>
  </si>
  <si>
    <t>204:232631</t>
  </si>
  <si>
    <t>204:1145</t>
  </si>
  <si>
    <t>204:232983</t>
  </si>
  <si>
    <t>204:449</t>
  </si>
  <si>
    <t>204:265</t>
  </si>
  <si>
    <t>204:233284</t>
  </si>
  <si>
    <t>204:232950</t>
  </si>
  <si>
    <t>204:765</t>
  </si>
  <si>
    <t>204:232974</t>
  </si>
  <si>
    <t>204:431</t>
  </si>
  <si>
    <t>204:192</t>
  </si>
  <si>
    <t>204:952</t>
  </si>
  <si>
    <t>204:233276</t>
  </si>
  <si>
    <t>204:232946</t>
  </si>
  <si>
    <t>204:233323</t>
  </si>
  <si>
    <t>204:542</t>
  </si>
  <si>
    <t>204:169</t>
  </si>
  <si>
    <t>204:232957</t>
  </si>
  <si>
    <t>204:158</t>
  </si>
  <si>
    <t>204:232966</t>
  </si>
  <si>
    <t>204:232970</t>
  </si>
  <si>
    <t>204:435</t>
  </si>
  <si>
    <t>204:233311</t>
  </si>
  <si>
    <t>204:170</t>
  </si>
  <si>
    <t>204:442</t>
  </si>
  <si>
    <t>204:233307</t>
  </si>
  <si>
    <t>204:232986</t>
  </si>
  <si>
    <t>204:233321</t>
  </si>
  <si>
    <t>204:473</t>
  </si>
  <si>
    <t>204:233251</t>
  </si>
  <si>
    <t>204:233004</t>
  </si>
  <si>
    <t>204:232975</t>
  </si>
  <si>
    <t>204:233382</t>
  </si>
  <si>
    <t>204:233048</t>
  </si>
  <si>
    <t>204:138</t>
  </si>
  <si>
    <t>204:233331</t>
  </si>
  <si>
    <t>204:232990</t>
  </si>
  <si>
    <t>204:233246</t>
  </si>
  <si>
    <t>204:233364</t>
  </si>
  <si>
    <t>204:233045</t>
  </si>
  <si>
    <t>204:233357</t>
  </si>
  <si>
    <t>204:233021</t>
  </si>
  <si>
    <t>204:233316</t>
  </si>
  <si>
    <t>204:486</t>
  </si>
  <si>
    <t>204:233286</t>
  </si>
  <si>
    <t>204:233046</t>
  </si>
  <si>
    <t>204:233334</t>
  </si>
  <si>
    <t>204:233023</t>
  </si>
  <si>
    <t>204:233270</t>
  </si>
  <si>
    <t>204:437</t>
  </si>
  <si>
    <t>204:146</t>
  </si>
  <si>
    <t>204:232967</t>
  </si>
  <si>
    <t>300:22323</t>
  </si>
  <si>
    <t>300:18788</t>
  </si>
  <si>
    <t>204:121</t>
  </si>
  <si>
    <t>300:22094</t>
  </si>
  <si>
    <t>300:12091</t>
  </si>
  <si>
    <t>300:23620</t>
  </si>
  <si>
    <t>204:1464</t>
  </si>
  <si>
    <t>300:22854</t>
  </si>
  <si>
    <t>300:23304</t>
  </si>
  <si>
    <t>300:23070</t>
  </si>
  <si>
    <t>300:22382</t>
  </si>
  <si>
    <t>204:66</t>
  </si>
  <si>
    <t>300:23292</t>
  </si>
  <si>
    <t>204:863</t>
  </si>
  <si>
    <t>204:368</t>
  </si>
  <si>
    <t>300:24239</t>
  </si>
  <si>
    <t>300:23110</t>
  </si>
  <si>
    <t>204:939</t>
  </si>
  <si>
    <t>204:1479</t>
  </si>
  <si>
    <t>204:974</t>
  </si>
  <si>
    <t>300:58918</t>
  </si>
  <si>
    <t>204:144</t>
  </si>
  <si>
    <t>204:958</t>
  </si>
  <si>
    <t>204:689</t>
  </si>
  <si>
    <t>204:680</t>
  </si>
  <si>
    <t>204:911</t>
  </si>
  <si>
    <t>204:969</t>
  </si>
  <si>
    <t>300:58617</t>
  </si>
  <si>
    <t>204:668</t>
  </si>
  <si>
    <t>204:976</t>
  </si>
  <si>
    <t>300:58939</t>
  </si>
  <si>
    <t>300:58624</t>
  </si>
  <si>
    <t>204:719</t>
  </si>
  <si>
    <t>204:990</t>
  </si>
  <si>
    <t>300:58963</t>
  </si>
  <si>
    <t>204:671</t>
  </si>
  <si>
    <t>204:962</t>
  </si>
  <si>
    <t>300:58099</t>
  </si>
  <si>
    <t>300:58613</t>
  </si>
  <si>
    <t>204:678</t>
  </si>
  <si>
    <t>204:978</t>
  </si>
  <si>
    <t>300:58916</t>
  </si>
  <si>
    <t>300:58596</t>
  </si>
  <si>
    <t>204:740</t>
  </si>
  <si>
    <t>204:1021</t>
  </si>
  <si>
    <t>300:58941</t>
  </si>
  <si>
    <t>204:1000</t>
  </si>
  <si>
    <t>300:58636</t>
  </si>
  <si>
    <t>300:58944</t>
  </si>
  <si>
    <t>204:675</t>
  </si>
  <si>
    <t>300:58628</t>
  </si>
  <si>
    <t>204:131</t>
  </si>
  <si>
    <t>300:58946</t>
  </si>
  <si>
    <t>300:58643</t>
  </si>
  <si>
    <t>204:741</t>
  </si>
  <si>
    <t>204:972</t>
  </si>
  <si>
    <t>300:58961</t>
  </si>
  <si>
    <t>204:663</t>
  </si>
  <si>
    <t>300:58602</t>
  </si>
  <si>
    <t>204:687</t>
  </si>
  <si>
    <t>204:979</t>
  </si>
  <si>
    <t>300:58928</t>
  </si>
  <si>
    <t>204:964</t>
  </si>
  <si>
    <t>300:29799</t>
  </si>
  <si>
    <t>300:38839</t>
  </si>
  <si>
    <t>300:23410</t>
  </si>
  <si>
    <t>204:677</t>
  </si>
  <si>
    <t>300:24957</t>
  </si>
  <si>
    <t>300:22265</t>
  </si>
  <si>
    <t>204:710</t>
  </si>
  <si>
    <t>300:24669</t>
  </si>
  <si>
    <t>300:24360</t>
  </si>
  <si>
    <t>300:21757</t>
  </si>
  <si>
    <t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t>
  </si>
  <si>
    <t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t>
  </si>
  <si>
    <t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t>
  </si>
  <si>
    <t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t>
  </si>
  <si>
    <t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t>
  </si>
  <si>
    <t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t>
  </si>
  <si>
    <t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t>
  </si>
  <si>
    <t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t>
  </si>
  <si>
    <t>Onboard in-route failure delayed departure</t>
  </si>
  <si>
    <t xml:space="preserve">multiple cpu faults around 2016-10-17 06:56:13.000 </t>
  </si>
  <si>
    <t>204:172</t>
  </si>
  <si>
    <t>204:229</t>
  </si>
  <si>
    <t>204:233038</t>
  </si>
  <si>
    <t>204:233288</t>
  </si>
  <si>
    <t>204:232959</t>
  </si>
  <si>
    <t>204:233285</t>
  </si>
  <si>
    <t>204:232960</t>
  </si>
  <si>
    <t>Replaced with 239-17</t>
  </si>
  <si>
    <t>238-17</t>
  </si>
  <si>
    <t>204:1060</t>
  </si>
  <si>
    <t>300:58623</t>
  </si>
  <si>
    <t>300:58641</t>
  </si>
  <si>
    <t>204:685</t>
  </si>
  <si>
    <t>204:985</t>
  </si>
  <si>
    <t>300:58958</t>
  </si>
  <si>
    <t>Form C</t>
  </si>
  <si>
    <t>Early arrival - 41st station</t>
  </si>
  <si>
    <t>CRMF 2S STOP, cleared afterward</t>
  </si>
  <si>
    <t>http://stevetu21.github.io/eaglep3/load_kml.html?kml=http://rtdc.gmaps-snips.s3.amazonaws.com/53ef04c1-506c-435e-ba70-584d2c7a061c.kml</t>
  </si>
  <si>
    <t>Extended stay at Peoria - OCS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</si>
</sst>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0" borderId="5" xfId="0" applyNumberFormat="1" applyBorder="1"/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9" fontId="1" fillId="0" borderId="0" xfId="0" applyNumberFormat="1" applyFont="1"/>
    <xf numFmtId="167" fontId="1" fillId="0" borderId="0" xfId="0" applyNumberFormat="1" applyFont="1"/>
    <xf numFmtId="2" fontId="1" fillId="0" borderId="0" xfId="0" applyNumberFormat="1" applyFont="1"/>
    <xf numFmtId="169" fontId="20" fillId="0" borderId="0" xfId="4" applyFill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53ef04c1-506c-435e-ba70-584d2c7a061c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1"/>
  <sheetViews>
    <sheetView tabSelected="1" zoomScaleNormal="100" workbookViewId="0">
      <selection activeCell="R16" sqref="R1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72" customWidth="1"/>
    <col min="22" max="22" width="5.7109375" style="96" customWidth="1"/>
    <col min="23" max="23" width="3.85546875" style="20" customWidth="1"/>
    <col min="24" max="24" width="6.5703125" style="176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9"/>
      <c r="V1" s="40"/>
      <c r="W1" s="41"/>
      <c r="X1" s="17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42660</v>
      </c>
      <c r="S2" s="72"/>
      <c r="T2" s="73"/>
      <c r="U2" s="180"/>
      <c r="V2" s="94" t="s">
        <v>8</v>
      </c>
      <c r="W2" s="75"/>
      <c r="X2" s="173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81"/>
      <c r="V3" s="42" t="s">
        <v>11</v>
      </c>
      <c r="W3" s="43" t="s">
        <v>12</v>
      </c>
      <c r="X3" s="174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143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82"/>
      <c r="V4" s="45" t="s">
        <v>15</v>
      </c>
      <c r="W4" s="43" t="s">
        <v>15</v>
      </c>
      <c r="X4" s="174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COUNTIFS($N$13:$N$9414,"&gt;0",$AG$13:$AG$9414,I1)</f>
        <v>142</v>
      </c>
      <c r="K5" s="44"/>
      <c r="L5" s="44"/>
      <c r="M5" s="45">
        <f>AVERAGEIFS($N$13:$N$9414,$AG$13:$AG$9414,I1)</f>
        <v>40.107629107767188</v>
      </c>
      <c r="N5" s="43">
        <f t="array" ref="N5">MIN(IF($AG$13:$AG$9414=I1,IF(ISNUMBER($N$13:$N$9414),IF($N$13:$N$9414&gt;0,$N$13:$N$9414))))</f>
        <v>34.683333341963589</v>
      </c>
      <c r="O5" s="3">
        <f t="array" ref="O5">MAX(IF($AG$13:$AG$9414=I1,IF(ISNUMBER($N$13:$N$9414),IF($N$13:$N$9414&gt;0,$N$13:$N$9414))))</f>
        <v>78.950000004842877</v>
      </c>
      <c r="P5" s="2"/>
      <c r="R5" s="80" t="s">
        <v>17</v>
      </c>
      <c r="S5" s="55">
        <f>COUNTIFS($N$13:$N$9414,"&gt;0",$AG$13:$AG$9414,R1)</f>
        <v>47</v>
      </c>
      <c r="T5" s="44"/>
      <c r="U5" s="182"/>
      <c r="V5" s="45">
        <f>AVERAGEIFS($N$13:$N$9414,$AG$13:$AG$9414,R1)</f>
        <v>15.45992907793063</v>
      </c>
      <c r="W5" s="43">
        <f t="array" ref="W5">MIN(IF($AG$13:$AG$9414=R1,IF(ISNUMBER($N$13:$N$9414),IF($N$13:$N$9414&gt;0,$N$13:$N$9414))))</f>
        <v>12.949999999254942</v>
      </c>
      <c r="X5" s="174">
        <f t="array" ref="X5">MAX(IF($AG$13:$AG$9414=R1,IF(ISNUMBER($N$13:$N$9414),IF($N$13:$N$9414&gt;0,$N$13:$N$9414))))</f>
        <v>20.783333330182359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COUNT($O$13:$O$184)</f>
        <v>0</v>
      </c>
      <c r="K6" s="44"/>
      <c r="L6" s="44"/>
      <c r="M6" s="45">
        <f>IFERROR(AVERAGE($O$13:$O$184),0)</f>
        <v>0</v>
      </c>
      <c r="N6" s="43">
        <f>MIN($O$13:$O$184)</f>
        <v>0</v>
      </c>
      <c r="O6" s="3">
        <f>MAX($O$13:$O$184)</f>
        <v>0</v>
      </c>
      <c r="P6" s="2"/>
      <c r="R6" s="81" t="s">
        <v>43</v>
      </c>
      <c r="S6" s="55">
        <f>COUNT($O$13:$O$184)</f>
        <v>0</v>
      </c>
      <c r="T6" s="44"/>
      <c r="U6" s="182"/>
      <c r="V6" s="45">
        <f>IFERROR(AVERAGE($O$13:$O$184),0)</f>
        <v>0</v>
      </c>
      <c r="W6" s="43">
        <f>MIN($O$13:$O$184)</f>
        <v>0</v>
      </c>
      <c r="X6" s="174">
        <f>MAX($O$13:$O$184)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COUNTIFS($P$13:$P$9414,"&gt;0",$AG$13:$AG$9414,I1)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COUNTIFS($P$13:$P$9414,"&gt;0",$AG$13:$AG$9414,R1)</f>
        <v>0</v>
      </c>
      <c r="T7" s="44"/>
      <c r="U7" s="182"/>
      <c r="V7" s="45" t="s">
        <v>15</v>
      </c>
      <c r="W7" s="43" t="s">
        <v>15</v>
      </c>
      <c r="X7" s="174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40.107629107767188</v>
      </c>
      <c r="N8" s="43">
        <f>N5</f>
        <v>34.683333341963589</v>
      </c>
      <c r="O8" s="3">
        <f>O5</f>
        <v>78.950000004842877</v>
      </c>
      <c r="P8" s="2"/>
      <c r="R8" s="80" t="s">
        <v>16</v>
      </c>
      <c r="S8" s="55">
        <f>S5</f>
        <v>47</v>
      </c>
      <c r="T8" s="44"/>
      <c r="U8" s="182"/>
      <c r="V8" s="45">
        <f>V5</f>
        <v>15.45992907793063</v>
      </c>
      <c r="W8" s="43">
        <f>W5</f>
        <v>12.949999999254942</v>
      </c>
      <c r="X8" s="174">
        <f>X5</f>
        <v>20.783333330182359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53">
        <f>J8/J4</f>
        <v>0.99300699300699302</v>
      </c>
      <c r="K9" s="46"/>
      <c r="L9" s="46"/>
      <c r="M9" s="83"/>
      <c r="N9" s="41"/>
      <c r="O9" s="84"/>
      <c r="P9" s="2"/>
      <c r="R9" s="80" t="s">
        <v>19</v>
      </c>
      <c r="S9" s="153">
        <f>S8/S4</f>
        <v>1</v>
      </c>
      <c r="T9" s="46"/>
      <c r="U9" s="179"/>
      <c r="V9" s="83"/>
      <c r="W9" s="41"/>
      <c r="X9" s="175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72"/>
      <c r="V10" s="95"/>
      <c r="W10" s="20"/>
      <c r="X10" s="176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- 2016-10-17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AVERAGE(S13:S114)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83" t="s">
        <v>65</v>
      </c>
      <c r="V12" s="97" t="s">
        <v>45</v>
      </c>
      <c r="W12" s="51" t="s">
        <v>23</v>
      </c>
      <c r="X12" s="177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425</v>
      </c>
      <c r="B13" s="7">
        <v>4025</v>
      </c>
      <c r="C13" s="22" t="s">
        <v>99</v>
      </c>
      <c r="D13" s="22" t="s">
        <v>626</v>
      </c>
      <c r="E13" s="13">
        <v>42660.12394675926</v>
      </c>
      <c r="F13" s="13">
        <v>42660.135706018518</v>
      </c>
      <c r="G13" s="7">
        <v>1</v>
      </c>
      <c r="H13" s="13" t="s">
        <v>627</v>
      </c>
      <c r="I13" s="13">
        <v>42660.16101851852</v>
      </c>
      <c r="J13" s="7">
        <v>0</v>
      </c>
      <c r="K13" s="112" t="str">
        <f t="shared" ref="K13:K44" si="0">IF(ISEVEN(B13),(B13-1)&amp;"/"&amp;B13,B13&amp;"/"&amp;(B13+1))</f>
        <v>4025/4026</v>
      </c>
      <c r="L13" s="22" t="str">
        <f>VLOOKUP(A13,'Trips&amp;Operators'!$C$1:$E$10000,3,FALSE)</f>
        <v>KILLION</v>
      </c>
      <c r="M13" s="6">
        <f t="shared" ref="M13:M44" si="1">I13-F13</f>
        <v>2.531250000174623E-2</v>
      </c>
      <c r="N13" s="7">
        <f t="shared" ref="N13:N44" si="2">24*60*SUM($M13:$M13)</f>
        <v>36.450000002514571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44" si="4">IF(ISEVEN(LEFT(AD13,4)),"Southbound","NorthBound")</f>
        <v>NorthBound</v>
      </c>
      <c r="U13" s="18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https://search-rtdc-monitor-bjffxe2xuh6vdkpspy63sjmuny.us-east-1.es.amazonaws.com/_plugin/kibana/#/discover/Steve-Slow-Train-Analysis-(2080s-and-2083s)?_g=(refreshInterval:(display:Off,section:0,value:0),time:(from:'2016-10-17 01:58:29-0600',mode:absolute,to:'2016-10-17 04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" s="52" t="str">
        <f t="shared" ref="W13:W44" si="6">IF(AA13&lt;IF(AG13="EC",23,5.65),"Y","N")</f>
        <v>N</v>
      </c>
      <c r="X13" s="178" t="e">
        <f t="shared" ref="X13:X33" si="7">VALUE(LEFT(AD13,4))-VALUE(LEFT(AD12,4))</f>
        <v>#VALUE!</v>
      </c>
      <c r="Y13" s="67">
        <f t="shared" ref="Y13:Y44" si="8">RIGHT(D13,LEN(D13)-4)/10000</f>
        <v>7.9000000000000001E-2</v>
      </c>
      <c r="Z13" s="67">
        <f t="shared" ref="Z13:Z44" si="9">RIGHT(H13,LEN(H13)-4)/10000</f>
        <v>23.328199999999999</v>
      </c>
      <c r="AA13" s="67">
        <f t="shared" ref="AA13:AA44" si="10">ABS(Z13-Y13)</f>
        <v>23.249199999999998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44" si="11">IF(LEN(A13)=6,"0"&amp;A13,A13)</f>
        <v>0101-17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/stypes="app*4025*20161017*"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4025 --swversion DE.1.0.7.0 --startMP 204:790 --initTime 2016-10-17T02:58:29 --startdatetime 2016-10-17T03:15:25 --delay 1 --endMP 204:233282 --enddatetime 2016-10-17T03:51:52 --enforcementcount 0 &gt;&gt;C:\Users\stu\Documents\GitHub\eaglep3-reporting\EC\2016-10-17-refined-times.txt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{"issue":{"subject":"","project_id":79,"tracker_id":40,"status_id":1,"priority_id":2,"assigned_to_id":23,"start_date":"2016-10-17","description":"","custom_fields":[{"id":1,"name":"Subdivision","value":"EC"},{"id":4,"name":"Milepost","value":"23.3282"},{"id":17,"name":"Train ID","value":"101-17"},{"id":16,"name":"Locomotive ID","value":"4025"},{"id":130,"name":"Impact","value":""},{"id":150,"name":"Time of Event (Mountain Time)","value":"03:51:52"},{"id":151,"name":"Denver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395</v>
      </c>
      <c r="B14" s="7">
        <v>4017</v>
      </c>
      <c r="C14" s="22" t="s">
        <v>99</v>
      </c>
      <c r="D14" s="22" t="s">
        <v>628</v>
      </c>
      <c r="E14" s="13">
        <v>42660.167685185188</v>
      </c>
      <c r="F14" s="13">
        <v>42660.174571759257</v>
      </c>
      <c r="G14" s="7">
        <v>1</v>
      </c>
      <c r="H14" s="13" t="s">
        <v>357</v>
      </c>
      <c r="I14" s="13">
        <v>42660.200810185182</v>
      </c>
      <c r="J14" s="7">
        <v>0</v>
      </c>
      <c r="K14" s="112" t="str">
        <f t="shared" si="0"/>
        <v>4017/4018</v>
      </c>
      <c r="L14" s="22" t="str">
        <f>VLOOKUP(A14,'Trips&amp;Operators'!$C$1:$E$10000,3,FALSE)</f>
        <v>KILLION</v>
      </c>
      <c r="M14" s="6">
        <f t="shared" si="1"/>
        <v>2.6238425925839692E-2</v>
      </c>
      <c r="N14" s="7">
        <f t="shared" si="2"/>
        <v>37.783333333209157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8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03:01:28-0600',mode:absolute,to:'2016-10-17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2" t="str">
        <f t="shared" si="6"/>
        <v>N</v>
      </c>
      <c r="X14" s="178">
        <f t="shared" si="7"/>
        <v>1</v>
      </c>
      <c r="Y14" s="67">
        <f t="shared" si="8"/>
        <v>23.264099999999999</v>
      </c>
      <c r="Z14" s="67">
        <f t="shared" si="9"/>
        <v>1.6500000000000001E-2</v>
      </c>
      <c r="AA14" s="67">
        <f t="shared" si="10"/>
        <v>23.247599999999998</v>
      </c>
      <c r="AB14" s="64" t="str">
        <f>VLOOKUP(A14,Enforcements!$C$7:$K$21,8,0)</f>
        <v>Form based authority (4)</v>
      </c>
      <c r="AC14" s="60" t="str">
        <f>VLOOKUP(A14,Enforcements!$C$7:$E$21,3,0)</f>
        <v>TRACK WARRANT AUTHORITY</v>
      </c>
      <c r="AD14" s="61" t="str">
        <f t="shared" si="11"/>
        <v>0102-17</v>
      </c>
      <c r="AE14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4" s="88" t="str">
        <f t="shared" si="13"/>
        <v>"C:\Program Files (x86)\AstroGrep\AstroGrep.exe" /spath="%USERPROFILE%\AppData\Local\Temp\OnboardLogs" /stypes="app*4017*20161017*"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4017 --swversion DE.1.0.7.0 --startMP 204:232641 --initTime 2016-10-17T04:01:28 --startdatetime 2016-10-17T04:11:23 --delay 1 --endMP 204:165 --enddatetime 2016-10-17T04:49:10 --enforcementcount 0 &gt;&gt;C:\Users\stu\Documents\GitHub\eaglep3-reporting\EC\2016-10-17-refined-times.txt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{"issue":{"subject":"","project_id":79,"tracker_id":40,"status_id":1,"priority_id":2,"assigned_to_id":23,"start_date":"2016-10-17","description":"","custom_fields":[{"id":1,"name":"Subdivision","value":"EC"},{"id":4,"name":"Milepost","value":"0.0165"},{"id":17,"name":"Train ID","value":"102-17"},{"id":16,"name":"Locomotive ID","value":"4017"},{"id":130,"name":"Impact","value":""},{"id":150,"name":"Time of Event (Mountain Time)","value":"04:49:10"},{"id":151,"name":"Denver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394</v>
      </c>
      <c r="B15" s="7">
        <v>4038</v>
      </c>
      <c r="C15" s="22" t="s">
        <v>99</v>
      </c>
      <c r="D15" s="22" t="s">
        <v>354</v>
      </c>
      <c r="E15" s="13">
        <v>42660.15289351852</v>
      </c>
      <c r="F15" s="13">
        <v>42660.156469907408</v>
      </c>
      <c r="G15" s="7">
        <v>1</v>
      </c>
      <c r="H15" s="13" t="s">
        <v>629</v>
      </c>
      <c r="I15" s="13">
        <v>42660.181967592594</v>
      </c>
      <c r="J15" s="7">
        <v>0</v>
      </c>
      <c r="K15" s="112" t="str">
        <f t="shared" si="0"/>
        <v>4037/4038</v>
      </c>
      <c r="L15" s="22" t="str">
        <f>VLOOKUP(A15,'Trips&amp;Operators'!$C$1:$E$10000,3,FALSE)</f>
        <v>ACKERMAN</v>
      </c>
      <c r="M15" s="6">
        <f t="shared" si="1"/>
        <v>2.5497685186564922E-2</v>
      </c>
      <c r="N15" s="7">
        <f t="shared" si="2"/>
        <v>36.716666668653488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8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02:40:10-0600',mode:absolute,to:'2016-10-17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2" t="str">
        <f t="shared" si="6"/>
        <v>N</v>
      </c>
      <c r="X15" s="178">
        <f t="shared" si="7"/>
        <v>1</v>
      </c>
      <c r="Y15" s="67">
        <f t="shared" si="8"/>
        <v>6.7900000000000002E-2</v>
      </c>
      <c r="Z15" s="67">
        <f t="shared" si="9"/>
        <v>23.338000000000001</v>
      </c>
      <c r="AA15" s="67">
        <f t="shared" si="10"/>
        <v>23.270099999999999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0103-17</v>
      </c>
      <c r="AE15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5" s="88" t="str">
        <f t="shared" si="13"/>
        <v>"C:\Program Files (x86)\AstroGrep\AstroGrep.exe" /spath="%USERPROFILE%\AppData\Local\Temp\OnboardLogs" /stypes="app*4038*20161017*"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103-17 --locoid 4038 --swversion DE.1.0.7.0 --startMP 204:679 --initTime 2016-10-17T03:40:10 --startdatetime 2016-10-17T03:45:19 --delay 1 --endMP 204:233380 --enddatetime 2016-10-17T04:22:02 --enforcementcount 0 &gt;&gt;C:\Users\stu\Documents\GitHub\eaglep3-reporting\EC\2016-10-17-refined-times.txt</v>
      </c>
      <c r="AI1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{"issue":{"subject":"","project_id":79,"tracker_id":40,"status_id":1,"priority_id":2,"assigned_to_id":23,"start_date":"2016-10-17","description":"","custom_fields":[{"id":1,"name":"Subdivision","value":"EC"},{"id":4,"name":"Milepost","value":"23.338"},{"id":17,"name":"Train ID","value":"103-17"},{"id":16,"name":"Locomotive ID","value":"4038"},{"id":130,"name":"Impact","value":""},{"id":150,"name":"Time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398</v>
      </c>
      <c r="B16" s="7">
        <v>4032</v>
      </c>
      <c r="C16" s="22" t="s">
        <v>99</v>
      </c>
      <c r="D16" s="22" t="s">
        <v>630</v>
      </c>
      <c r="E16" s="13">
        <v>42660.189641203702</v>
      </c>
      <c r="F16" s="13">
        <v>42660.195370370369</v>
      </c>
      <c r="G16" s="7">
        <v>2</v>
      </c>
      <c r="H16" s="13" t="s">
        <v>631</v>
      </c>
      <c r="I16" s="13">
        <v>42660.222083333334</v>
      </c>
      <c r="J16" s="7">
        <v>0</v>
      </c>
      <c r="K16" s="112" t="str">
        <f t="shared" si="0"/>
        <v>4031/4032</v>
      </c>
      <c r="L16" s="22" t="str">
        <f>VLOOKUP(A16,'Trips&amp;Operators'!$C$1:$E$10000,3,FALSE)</f>
        <v>ACKERMAN</v>
      </c>
      <c r="M16" s="6">
        <f t="shared" si="1"/>
        <v>2.6712962964666076E-2</v>
      </c>
      <c r="N16" s="7">
        <f t="shared" si="2"/>
        <v>38.466666669119149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8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03:33:05-0600',mode:absolute,to:'2016-10-17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8">
        <f t="shared" si="7"/>
        <v>1</v>
      </c>
      <c r="Y16" s="67">
        <f t="shared" si="8"/>
        <v>23.2744</v>
      </c>
      <c r="Z16" s="67">
        <f t="shared" si="9"/>
        <v>2.4500000000000001E-2</v>
      </c>
      <c r="AA16" s="67">
        <f t="shared" si="10"/>
        <v>23.2499</v>
      </c>
      <c r="AB16" s="64" t="str">
        <f>VLOOKUP(A16,Enforcements!$C$7:$K$21,8,0)</f>
        <v>Form based authority (4)</v>
      </c>
      <c r="AC16" s="60" t="str">
        <f>VLOOKUP(A16,Enforcements!$C$7:$E$21,3,0)</f>
        <v>TRACK WARRANT AUTHORITY</v>
      </c>
      <c r="AD16" s="61" t="str">
        <f t="shared" si="11"/>
        <v>0104-17</v>
      </c>
      <c r="AE16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6" s="88" t="str">
        <f t="shared" si="13"/>
        <v>"C:\Program Files (x86)\AstroGrep\AstroGrep.exe" /spath="%USERPROFILE%\AppData\Local\Temp\OnboardLogs" /stypes="app*4032*20161017*"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104-17 --locoid 4032 --swversion DE.1.0.7.0 --startMP 204:232744 --initTime 2016-10-17T04:33:05 --startdatetime 2016-10-17T04:41:20 --delay 2 --endMP 204:245 --enddatetime 2016-10-17T05:19:48 --enforcementcount 0 &gt;&gt;C:\Users\stu\Documents\GitHub\eaglep3-reporting\EC\2016-10-17-refined-times.txt</v>
      </c>
      <c r="AI1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{"issue":{"subject":"","project_id":79,"tracker_id":40,"status_id":1,"priority_id":2,"assigned_to_id":23,"start_date":"2016-10-17","description":"","custom_fields":[{"id":1,"name":"Subdivision","value":"EC"},{"id":4,"name":"Milepost","value":"0.0245"},{"id":17,"name":"Train ID","value":"104-17"},{"id":16,"name":"Locomotive ID","value":"4032"},{"id":130,"name":"Impact","value":""},{"id":150,"name":"Time of Event (Mountain Time)","value":"05:19:48"},{"id":151,"name":"Denver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397</v>
      </c>
      <c r="B17" s="7">
        <v>4002</v>
      </c>
      <c r="C17" s="22" t="s">
        <v>99</v>
      </c>
      <c r="D17" s="22" t="s">
        <v>319</v>
      </c>
      <c r="E17" s="13">
        <v>42660.171631944446</v>
      </c>
      <c r="F17" s="13">
        <v>42660.177291666667</v>
      </c>
      <c r="G17" s="7">
        <v>1</v>
      </c>
      <c r="H17" s="13" t="s">
        <v>632</v>
      </c>
      <c r="I17" s="13">
        <v>42660.202534722222</v>
      </c>
      <c r="J17" s="7">
        <v>0</v>
      </c>
      <c r="K17" s="112" t="str">
        <f t="shared" si="0"/>
        <v>4001/4002</v>
      </c>
      <c r="L17" s="22" t="str">
        <f>VLOOKUP(A17,'Trips&amp;Operators'!$C$1:$E$10000,3,FALSE)</f>
        <v>ROBINSON</v>
      </c>
      <c r="M17" s="6">
        <f t="shared" si="1"/>
        <v>2.5243055555620231E-2</v>
      </c>
      <c r="N17" s="7">
        <f t="shared" si="2"/>
        <v>36.350000000093132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8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03:07:09-0600',mode:absolute,to:'2016-10-17 05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" s="52" t="str">
        <f t="shared" si="6"/>
        <v>N</v>
      </c>
      <c r="X17" s="178">
        <f t="shared" si="7"/>
        <v>1</v>
      </c>
      <c r="Y17" s="67">
        <f t="shared" si="8"/>
        <v>7.5200000000000003E-2</v>
      </c>
      <c r="Z17" s="67">
        <f t="shared" si="9"/>
        <v>23.345099999999999</v>
      </c>
      <c r="AA17" s="67">
        <f t="shared" si="10"/>
        <v>23.2699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0105-17</v>
      </c>
      <c r="AE17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7" s="88" t="str">
        <f t="shared" si="13"/>
        <v>"C:\Program Files (x86)\AstroGrep\AstroGrep.exe" /spath="%USERPROFILE%\AppData\Local\Temp\OnboardLogs" /stypes="app*4002*20161017*"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105-17 --locoid 4002 --swversion DE.1.0.7.0 --startMP 204:752 --initTime 2016-10-17T04:07:09 --startdatetime 2016-10-17T04:15:18 --delay 1 --endMP 204:233451 --enddatetime 2016-10-17T04:51:39 --enforcementcount 0 &gt;&gt;C:\Users\stu\Documents\GitHub\eaglep3-reporting\EC\2016-10-17-refined-times.txt</v>
      </c>
      <c r="AI1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{"issue":{"subject":"","project_id":79,"tracker_id":40,"status_id":1,"priority_id":2,"assigned_to_id":23,"start_date":"2016-10-17","description":"","custom_fields":[{"id":1,"name":"Subdivision","value":"EC"},{"id":4,"name":"Milepost","value":"23.3451"},{"id":17,"name":"Train ID","value":"105-17"},{"id":16,"name":"Locomotive ID","value":"4002"},{"id":130,"name":"Impact","value":""},{"id":150,"name":"Time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438</v>
      </c>
      <c r="B18" s="7">
        <v>4045</v>
      </c>
      <c r="C18" s="22" t="s">
        <v>99</v>
      </c>
      <c r="D18" s="22" t="s">
        <v>633</v>
      </c>
      <c r="E18" s="13">
        <v>42660.208611111113</v>
      </c>
      <c r="F18" s="13">
        <v>42660.216134259259</v>
      </c>
      <c r="G18" s="7">
        <v>1</v>
      </c>
      <c r="H18" s="13" t="s">
        <v>236</v>
      </c>
      <c r="I18" s="13">
        <v>42660.248194444444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ROBINSON</v>
      </c>
      <c r="M18" s="6">
        <f t="shared" si="1"/>
        <v>3.2060185185400769E-2</v>
      </c>
      <c r="N18" s="7">
        <f t="shared" si="2"/>
        <v>46.166666666977108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8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04:00:24-0600',mode:absolute,to:'2016-10-17 06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6"/>
        <v>N</v>
      </c>
      <c r="X18" s="178">
        <f t="shared" si="7"/>
        <v>1</v>
      </c>
      <c r="Y18" s="67">
        <f t="shared" si="8"/>
        <v>23.263100000000001</v>
      </c>
      <c r="Z18" s="67">
        <f t="shared" si="9"/>
        <v>1.43E-2</v>
      </c>
      <c r="AA18" s="67">
        <f t="shared" si="10"/>
        <v>23.248800000000003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0106-17</v>
      </c>
      <c r="AE18" s="91" t="str">
        <f t="shared" si="12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8" s="88" t="str">
        <f t="shared" si="13"/>
        <v>"C:\Program Files (x86)\AstroGrep\AstroGrep.exe" /spath="%USERPROFILE%\AppData\Local\Temp\OnboardLogs" /stypes="app*4045*20161017*"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106-17 --locoid 4045 --swversion DE.1.0.7.0 --startMP 204:232631 --initTime 2016-10-17T05:00:24 --startdatetime 2016-10-17T05:11:14 --delay 1 --endMP 204:143 --enddatetime 2016-10-17T05:57:24 --enforcementcount 0 &gt;&gt;C:\Users\stu\Documents\GitHub\eaglep3-reporting\EC\2016-10-17-refined-times.txt</v>
      </c>
      <c r="AI1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ID","value":"106-17"},{"id":16,"name":"Locomotive ID","value":"4045"},{"id":130,"name":"Impact","value":""},{"id":150,"name":"Time of Event (Mountain Time)","value":"05:57:24"},{"id":151,"name":"Denver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431</v>
      </c>
      <c r="B19" s="7">
        <v>4011</v>
      </c>
      <c r="C19" s="22" t="s">
        <v>99</v>
      </c>
      <c r="D19" s="22" t="s">
        <v>634</v>
      </c>
      <c r="E19" s="13">
        <v>42660.188726851855</v>
      </c>
      <c r="F19" s="13">
        <v>42660.190567129626</v>
      </c>
      <c r="G19" s="7">
        <v>1</v>
      </c>
      <c r="H19" s="13" t="s">
        <v>235</v>
      </c>
      <c r="I19" s="13">
        <v>42660.220057870371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GRASTON</v>
      </c>
      <c r="M19" s="6">
        <f t="shared" si="1"/>
        <v>2.9490740744222421E-2</v>
      </c>
      <c r="N19" s="7">
        <f t="shared" si="2"/>
        <v>42.466666671680287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8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03:31:46-0600',mode:absolute,to:'2016-10-17 06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8">
        <f t="shared" si="7"/>
        <v>1</v>
      </c>
      <c r="Y19" s="67">
        <f t="shared" si="8"/>
        <v>0.1145</v>
      </c>
      <c r="Z19" s="67">
        <f t="shared" si="9"/>
        <v>23.3293</v>
      </c>
      <c r="AA19" s="67">
        <f t="shared" si="10"/>
        <v>23.2148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0107-17</v>
      </c>
      <c r="AE19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9" s="88" t="str">
        <f t="shared" si="13"/>
        <v>"C:\Program Files (x86)\AstroGrep\AstroGrep.exe" /spath="%USERPROFILE%\AppData\Local\Temp\OnboardLogs" /stypes="app*4011*20161017*"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107-17 --locoid 4011 --swversion DE.1.0.7.0 --startMP 204:1145 --initTime 2016-10-17T04:31:46 --startdatetime 2016-10-17T04:34:25 --delay 1 --endMP 204:233293 --enddatetime 2016-10-17T05:16:53 --enforcementcount 0 &gt;&gt;C:\Users\stu\Documents\GitHub\eaglep3-reporting\EC\2016-10-17-refined-times.txt</v>
      </c>
      <c r="AI1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ID","value":"107-17"},{"id":16,"name":"Locomotive ID","value":"4011"},{"id":130,"name":"Impact","value":""},{"id":150,"name":"Time of Event (Mountain Time)","value":"05:16:53"},{"id":151,"name":"Denver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442</v>
      </c>
      <c r="B20" s="7">
        <v>4012</v>
      </c>
      <c r="C20" s="22" t="s">
        <v>99</v>
      </c>
      <c r="D20" s="22" t="s">
        <v>635</v>
      </c>
      <c r="E20" s="13">
        <v>42660.224768518521</v>
      </c>
      <c r="F20" s="13">
        <v>42660.226678240739</v>
      </c>
      <c r="G20" s="7">
        <v>1</v>
      </c>
      <c r="H20" s="13" t="s">
        <v>257</v>
      </c>
      <c r="I20" s="13">
        <v>42660.252974537034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GRASTON</v>
      </c>
      <c r="M20" s="6">
        <f t="shared" si="1"/>
        <v>2.6296296295186039E-2</v>
      </c>
      <c r="N20" s="7">
        <f t="shared" si="2"/>
        <v>37.866666665067896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8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04:23:40-0600',mode:absolute,to:'2016-10-17 07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8">
        <f t="shared" si="7"/>
        <v>1</v>
      </c>
      <c r="Y20" s="67">
        <f t="shared" si="8"/>
        <v>23.298300000000001</v>
      </c>
      <c r="Z20" s="67">
        <f t="shared" si="9"/>
        <v>1.6E-2</v>
      </c>
      <c r="AA20" s="67">
        <f t="shared" si="10"/>
        <v>23.282300000000003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0108-17</v>
      </c>
      <c r="AE20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20" s="88" t="str">
        <f t="shared" si="13"/>
        <v>"C:\Program Files (x86)\AstroGrep\AstroGrep.exe" /spath="%USERPROFILE%\AppData\Local\Temp\OnboardLogs" /stypes="app*4012*20161017*"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108-17 --locoid 4012 --swversion DE.1.0.7.0 --startMP 204:232983 --initTime 2016-10-17T05:23:40 --startdatetime 2016-10-17T05:26:25 --delay 1 --endMP 204:160 --enddatetime 2016-10-17T06:04:17 --enforcementcount 0 &gt;&gt;C:\Users\stu\Documents\GitHub\eaglep3-reporting\EC\2016-10-17-refined-times.txt</v>
      </c>
      <c r="AI2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ID","value":"108-17"},{"id":16,"name":"Locomotive ID","value":"4012"},{"id":130,"name":"Impact","value":""},{"id":150,"name":"Time of Event (Mountain Time)","value":"06:04:17"},{"id":151,"name":"Denver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437</v>
      </c>
      <c r="B21" s="7">
        <v>4044</v>
      </c>
      <c r="C21" s="22" t="s">
        <v>99</v>
      </c>
      <c r="D21" s="22" t="s">
        <v>636</v>
      </c>
      <c r="E21" s="13">
        <v>42660.197187500002</v>
      </c>
      <c r="F21" s="13">
        <v>42660.199606481481</v>
      </c>
      <c r="G21" s="7">
        <v>2</v>
      </c>
      <c r="H21" s="13" t="s">
        <v>196</v>
      </c>
      <c r="I21" s="13">
        <v>42660.225590277776</v>
      </c>
      <c r="J21" s="7">
        <v>0</v>
      </c>
      <c r="K21" s="112" t="str">
        <f t="shared" si="0"/>
        <v>4043/4044</v>
      </c>
      <c r="L21" s="22" t="str">
        <f>VLOOKUP(A21,'Trips&amp;Operators'!$C$1:$E$10000,3,FALSE)</f>
        <v>SPECTOR</v>
      </c>
      <c r="M21" s="6">
        <f t="shared" si="1"/>
        <v>2.5983796294895001E-2</v>
      </c>
      <c r="N21" s="7">
        <f t="shared" si="2"/>
        <v>37.416666664648801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8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03:43:57-0600',mode:absolute,to:'2016-10-17 06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 t="shared" si="6"/>
        <v>N</v>
      </c>
      <c r="X21" s="178">
        <f t="shared" si="7"/>
        <v>1</v>
      </c>
      <c r="Y21" s="67">
        <f t="shared" si="8"/>
        <v>4.4900000000000002E-2</v>
      </c>
      <c r="Z21" s="67">
        <f t="shared" si="9"/>
        <v>23.329699999999999</v>
      </c>
      <c r="AA21" s="67">
        <f t="shared" si="10"/>
        <v>23.284800000000001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0109-17</v>
      </c>
      <c r="AE21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21" s="88" t="str">
        <f t="shared" si="13"/>
        <v>"C:\Program Files (x86)\AstroGrep\AstroGrep.exe" /spath="%USERPROFILE%\AppData\Local\Temp\OnboardLogs" /stypes="app*4044*20161017*"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109-17 --locoid 4044 --swversion DE.1.0.7.0 --startMP 204:449 --initTime 2016-10-17T04:43:57 --startdatetime 2016-10-17T04:47:26 --delay 2 --endMP 204:233297 --enddatetime 2016-10-17T05:24:51 --enforcementcount 0 &gt;&gt;C:\Users\stu\Documents\GitHub\eaglep3-reporting\EC\2016-10-17-refined-times.txt</v>
      </c>
      <c r="AI2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ID","value":"109-17"},{"id":16,"name":"Locomotive ID","value":"4044"},{"id":130,"name":"Impact","value":""},{"id":150,"name":"Time of Event (Mountain Time)","value":"05:24:51"},{"id":151,"name":"Denver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445</v>
      </c>
      <c r="B22" s="7">
        <v>4043</v>
      </c>
      <c r="C22" s="22" t="s">
        <v>99</v>
      </c>
      <c r="D22" s="22" t="s">
        <v>287</v>
      </c>
      <c r="E22" s="13">
        <v>42660.234479166669</v>
      </c>
      <c r="F22" s="13">
        <v>42660.237013888887</v>
      </c>
      <c r="G22" s="7">
        <v>1</v>
      </c>
      <c r="H22" s="13" t="s">
        <v>236</v>
      </c>
      <c r="I22" s="13">
        <v>42660.266712962963</v>
      </c>
      <c r="J22" s="7">
        <v>0</v>
      </c>
      <c r="K22" s="112" t="str">
        <f t="shared" si="0"/>
        <v>4043/4044</v>
      </c>
      <c r="L22" s="22" t="str">
        <f>VLOOKUP(A22,'Trips&amp;Operators'!$C$1:$E$10000,3,FALSE)</f>
        <v>SPECTOR</v>
      </c>
      <c r="M22" s="6">
        <f t="shared" si="1"/>
        <v>2.9699074075324461E-2</v>
      </c>
      <c r="N22" s="7">
        <f t="shared" si="2"/>
        <v>42.766666668467224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8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04:37:39-0600',mode:absolute,to:'2016-10-17 07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6"/>
        <v>N</v>
      </c>
      <c r="X22" s="178">
        <f t="shared" si="7"/>
        <v>1</v>
      </c>
      <c r="Y22" s="67">
        <f t="shared" si="8"/>
        <v>23.297999999999998</v>
      </c>
      <c r="Z22" s="67">
        <f t="shared" si="9"/>
        <v>1.43E-2</v>
      </c>
      <c r="AA22" s="67">
        <f t="shared" si="10"/>
        <v>23.2837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0110-17</v>
      </c>
      <c r="AE22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22" s="88" t="str">
        <f t="shared" si="13"/>
        <v>"C:\Program Files (x86)\AstroGrep\AstroGrep.exe" /spath="%USERPROFILE%\AppData\Local\Temp\OnboardLogs" /stypes="app*4043*20161017*"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110-17 --locoid 4043 --swversion DE.1.0.7.0 --startMP 204:232980 --initTime 2016-10-17T05:37:39 --startdatetime 2016-10-17T05:41:18 --delay 1 --endMP 204:143 --enddatetime 2016-10-17T06:24:04 --enforcementcount 0 &gt;&gt;C:\Users\stu\Documents\GitHub\eaglep3-reporting\EC\2016-10-17-refined-times.txt</v>
      </c>
      <c r="AI2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ID","value":"110-17"},{"id":16,"name":"Locomotive ID","value":"4043"},{"id":130,"name":"Impact","value":""},{"id":150,"name":"Time of Event (Mountain Time)","value":"06:24:04"},{"id":151,"name":"Denver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439</v>
      </c>
      <c r="B23" s="7">
        <v>4025</v>
      </c>
      <c r="C23" s="22" t="s">
        <v>99</v>
      </c>
      <c r="D23" s="22" t="s">
        <v>335</v>
      </c>
      <c r="E23" s="13">
        <v>42660.210543981484</v>
      </c>
      <c r="F23" s="13">
        <v>42660.213634259257</v>
      </c>
      <c r="G23" s="7">
        <v>2</v>
      </c>
      <c r="H23" s="13" t="s">
        <v>365</v>
      </c>
      <c r="I23" s="13">
        <v>42660.239664351851</v>
      </c>
      <c r="J23" s="7">
        <v>0</v>
      </c>
      <c r="K23" s="112" t="str">
        <f t="shared" si="0"/>
        <v>4025/4026</v>
      </c>
      <c r="L23" s="22" t="str">
        <f>VLOOKUP(A23,'Trips&amp;Operators'!$C$1:$E$10000,3,FALSE)</f>
        <v>STARKS</v>
      </c>
      <c r="M23" s="6">
        <f t="shared" si="1"/>
        <v>2.6030092594737653E-2</v>
      </c>
      <c r="N23" s="7">
        <f t="shared" si="2"/>
        <v>37.48333333642222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8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04:03:11-0600',mode:absolute,to:'2016-10-17 06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 t="shared" si="6"/>
        <v>N</v>
      </c>
      <c r="X23" s="178">
        <f t="shared" si="7"/>
        <v>1</v>
      </c>
      <c r="Y23" s="67">
        <f t="shared" si="8"/>
        <v>7.17E-2</v>
      </c>
      <c r="Z23" s="67">
        <f t="shared" si="9"/>
        <v>23.330400000000001</v>
      </c>
      <c r="AA23" s="67">
        <f t="shared" si="10"/>
        <v>23.258700000000001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0111-17</v>
      </c>
      <c r="AE23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23" s="88" t="str">
        <f t="shared" si="13"/>
        <v>"C:\Program Files (x86)\AstroGrep\AstroGrep.exe" /spath="%USERPROFILE%\AppData\Local\Temp\OnboardLogs" /stypes="app*4025*20161017*"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111-17 --locoid 4025 --swversion DE.1.0.7.0 --startMP 204:717 --initTime 2016-10-17T05:03:11 --startdatetime 2016-10-17T05:07:38 --delay 2 --endMP 204:233304 --enddatetime 2016-10-17T05:45:07 --enforcementcount 0 &gt;&gt;C:\Users\stu\Documents\GitHub\eaglep3-reporting\EC\2016-10-17-refined-times.txt</v>
      </c>
      <c r="AI2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{"issue":{"subject":"","project_id":79,"tracker_id":40,"status_id":1,"priority_id":2,"assigned_to_id":23,"start_date":"2016-10-17","description":"","custom_fields":[{"id":1,"name":"Subdivision","value":"EC"},{"id":4,"name":"Milepost","value":"23.3304"},{"id":17,"name":"Train ID","value":"111-17"},{"id":16,"name":"Locomotive ID","value":"4025"},{"id":130,"name":"Impact","value":""},{"id":150,"name":"Time of Event (Mountain Time)","value":"05:45:07"},{"id":151,"name":"Denver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400</v>
      </c>
      <c r="B24" s="7">
        <v>4026</v>
      </c>
      <c r="C24" s="22" t="s">
        <v>99</v>
      </c>
      <c r="D24" s="22" t="s">
        <v>359</v>
      </c>
      <c r="E24" s="13">
        <v>42660.245000000003</v>
      </c>
      <c r="F24" s="13">
        <v>42660.247777777775</v>
      </c>
      <c r="G24" s="7">
        <v>2</v>
      </c>
      <c r="H24" s="13" t="s">
        <v>637</v>
      </c>
      <c r="I24" s="13">
        <v>42660.274895833332</v>
      </c>
      <c r="J24" s="7">
        <v>0</v>
      </c>
      <c r="K24" s="112" t="str">
        <f t="shared" si="0"/>
        <v>4025/4026</v>
      </c>
      <c r="L24" s="22" t="str">
        <f>VLOOKUP(A24,'Trips&amp;Operators'!$C$1:$E$10000,3,FALSE)</f>
        <v>STARKS</v>
      </c>
      <c r="M24" s="6">
        <f t="shared" si="1"/>
        <v>2.7118055557366461E-2</v>
      </c>
      <c r="N24" s="7">
        <f t="shared" si="2"/>
        <v>39.050000002607703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8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04:52:48-0600',mode:absolute,to:'2016-10-17 07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 t="shared" si="6"/>
        <v>N</v>
      </c>
      <c r="X24" s="178">
        <f t="shared" si="7"/>
        <v>1</v>
      </c>
      <c r="Y24" s="67">
        <f t="shared" si="8"/>
        <v>23.298100000000002</v>
      </c>
      <c r="Z24" s="67">
        <f t="shared" si="9"/>
        <v>2.6499999999999999E-2</v>
      </c>
      <c r="AA24" s="67">
        <f t="shared" si="10"/>
        <v>23.271600000000003</v>
      </c>
      <c r="AB24" s="64" t="str">
        <f>VLOOKUP(A24,Enforcements!$C$7:$K$21,8,0)</f>
        <v>Form based authority (4)</v>
      </c>
      <c r="AC24" s="60" t="str">
        <f>VLOOKUP(A24,Enforcements!$C$7:$E$21,3,0)</f>
        <v>TRACK WARRANT AUTHORITY</v>
      </c>
      <c r="AD24" s="61" t="str">
        <f t="shared" si="11"/>
        <v>0112-17</v>
      </c>
      <c r="AE24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24" s="88" t="str">
        <f t="shared" si="13"/>
        <v>"C:\Program Files (x86)\AstroGrep\AstroGrep.exe" /spath="%USERPROFILE%\AppData\Local\Temp\OnboardLogs" /stypes="app*4026*20161017*"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112-17 --locoid 4026 --swversion DE.1.0.7.0 --startMP 204:232981 --initTime 2016-10-17T05:52:48 --startdatetime 2016-10-17T05:56:48 --delay 2 --endMP 204:265 --enddatetime 2016-10-17T06:35:51 --enforcementcount 0 &gt;&gt;C:\Users\stu\Documents\GitHub\eaglep3-reporting\EC\2016-10-17-refined-times.txt</v>
      </c>
      <c r="AI2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{"issue":{"subject":"","project_id":79,"tracker_id":40,"status_id":1,"priority_id":2,"assigned_to_id":23,"start_date":"2016-10-17","description":"","custom_fields":[{"id":1,"name":"Subdivision","value":"EC"},{"id":4,"name":"Milepost","value":"0.0265"},{"id":17,"name":"Train ID","value":"112-17"},{"id":16,"name":"Locomotive ID","value":"4026"},{"id":130,"name":"Impact","value":""},{"id":150,"name":"Time of Event (Mountain Time)","value":"06:35:51"},{"id":151,"name":"Denver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440</v>
      </c>
      <c r="B25" s="7">
        <v>4018</v>
      </c>
      <c r="C25" s="22" t="s">
        <v>99</v>
      </c>
      <c r="D25" s="22" t="s">
        <v>243</v>
      </c>
      <c r="E25" s="13">
        <v>42660.212395833332</v>
      </c>
      <c r="F25" s="13">
        <v>42660.218958333331</v>
      </c>
      <c r="G25" s="7">
        <v>1</v>
      </c>
      <c r="H25" s="13" t="s">
        <v>638</v>
      </c>
      <c r="I25" s="13">
        <v>42660.245787037034</v>
      </c>
      <c r="J25" s="7">
        <v>0</v>
      </c>
      <c r="K25" s="112" t="str">
        <f t="shared" si="0"/>
        <v>4017/4018</v>
      </c>
      <c r="L25" s="22" t="str">
        <f>VLOOKUP(A25,'Trips&amp;Operators'!$C$1:$E$10000,3,FALSE)</f>
        <v>KILLION</v>
      </c>
      <c r="M25" s="6">
        <f t="shared" si="1"/>
        <v>2.6828703703358769E-2</v>
      </c>
      <c r="N25" s="7">
        <f t="shared" si="2"/>
        <v>38.633333332836628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8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04:05:51-0600',mode:absolute,to:'2016-10-17 06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5" s="52" t="str">
        <f t="shared" si="6"/>
        <v>N</v>
      </c>
      <c r="X25" s="178">
        <f t="shared" si="7"/>
        <v>1</v>
      </c>
      <c r="Y25" s="67">
        <f t="shared" si="8"/>
        <v>4.5499999999999999E-2</v>
      </c>
      <c r="Z25" s="67">
        <f t="shared" si="9"/>
        <v>23.328399999999998</v>
      </c>
      <c r="AA25" s="67">
        <f t="shared" si="10"/>
        <v>23.282899999999998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0113-17</v>
      </c>
      <c r="AE25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25" s="88" t="str">
        <f t="shared" si="13"/>
        <v>"C:\Program Files (x86)\AstroGrep\AstroGrep.exe" /spath="%USERPROFILE%\AppData\Local\Temp\OnboardLogs" /stypes="app*4018*20161017*"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113-17 --locoid 4018 --swversion DE.1.0.7.0 --startMP 204:455 --initTime 2016-10-17T05:05:51 --startdatetime 2016-10-17T05:15:18 --delay 1 --endMP 204:233284 --enddatetime 2016-10-17T05:53:56 --enforcementcount 0 &gt;&gt;C:\Users\stu\Documents\GitHub\eaglep3-reporting\EC\2016-10-17-refined-times.txt</v>
      </c>
      <c r="AI2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{"issue":{"subject":"","project_id":79,"tracker_id":40,"status_id":1,"priority_id":2,"assigned_to_id":23,"start_date":"2016-10-17","description":"","custom_fields":[{"id":1,"name":"Subdivision","value":"EC"},{"id":4,"name":"Milepost","value":"23.3284"},{"id":17,"name":"Train ID","value":"113-17"},{"id":16,"name":"Locomotive ID","value":"4018"},{"id":130,"name":"Impact","value":""},{"id":150,"name":"Time of Event (Mountain Time)","value":"05:53:56"},{"id":151,"name":"Denver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399</v>
      </c>
      <c r="B26" s="7">
        <v>4017</v>
      </c>
      <c r="C26" s="22" t="s">
        <v>99</v>
      </c>
      <c r="D26" s="22" t="s">
        <v>639</v>
      </c>
      <c r="E26" s="13">
        <v>42660.252789351849</v>
      </c>
      <c r="F26" s="13">
        <v>42660.257835648146</v>
      </c>
      <c r="G26" s="7">
        <v>1</v>
      </c>
      <c r="H26" s="13" t="s">
        <v>255</v>
      </c>
      <c r="I26" s="13">
        <v>42660.287256944444</v>
      </c>
      <c r="J26" s="7">
        <v>0</v>
      </c>
      <c r="K26" s="112" t="str">
        <f t="shared" si="0"/>
        <v>4017/4018</v>
      </c>
      <c r="L26" s="22" t="str">
        <f>VLOOKUP(A26,'Trips&amp;Operators'!$C$1:$E$10000,3,FALSE)</f>
        <v>KILLION</v>
      </c>
      <c r="M26" s="6">
        <f t="shared" si="1"/>
        <v>2.9421296298096422E-2</v>
      </c>
      <c r="N26" s="7">
        <f t="shared" si="2"/>
        <v>42.366666669258848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8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05:04:01-0600',mode:absolute,to:'2016-10-17 07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6" s="52" t="str">
        <f t="shared" si="6"/>
        <v>N</v>
      </c>
      <c r="X26" s="178">
        <f t="shared" si="7"/>
        <v>1</v>
      </c>
      <c r="Y26" s="67">
        <f t="shared" si="8"/>
        <v>23.295000000000002</v>
      </c>
      <c r="Z26" s="67">
        <f t="shared" si="9"/>
        <v>1.67E-2</v>
      </c>
      <c r="AA26" s="67">
        <f t="shared" si="10"/>
        <v>23.278300000000002</v>
      </c>
      <c r="AB26" s="64" t="str">
        <f>VLOOKUP(A26,Enforcements!$C$7:$K$21,8,0)</f>
        <v>Signal based authority (5)</v>
      </c>
      <c r="AC26" s="60" t="str">
        <f>VLOOKUP(A26,Enforcements!$C$7:$E$21,3,0)</f>
        <v>SIGNAL</v>
      </c>
      <c r="AD26" s="61" t="str">
        <f t="shared" si="11"/>
        <v>0114-17</v>
      </c>
      <c r="AE26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26" s="88" t="str">
        <f t="shared" si="13"/>
        <v>"C:\Program Files (x86)\AstroGrep\AstroGrep.exe" /spath="%USERPROFILE%\AppData\Local\Temp\OnboardLogs" /stypes="app*4017*20161017*"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114-17 --locoid 4017 --swversion DE.1.0.7.0 --startMP 204:232950 --initTime 2016-10-17T06:04:01 --startdatetime 2016-10-17T06:11:17 --delay 1 --endMP 204:167 --enddatetime 2016-10-17T06:53:39 --enforcementcount 0 &gt;&gt;C:\Users\stu\Documents\GitHub\eaglep3-reporting\EC\2016-10-17-refined-times.txt</v>
      </c>
      <c r="AI2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{"issue":{"subject":"","project_id":79,"tracker_id":40,"status_id":1,"priority_id":2,"assigned_to_id":23,"start_date":"2016-10-17","description":"","custom_fields":[{"id":1,"name":"Subdivision","value":"EC"},{"id":4,"name":"Milepost","value":"0.0167"},{"id":17,"name":"Train ID","value":"114-17"},{"id":16,"name":"Locomotive ID","value":"4017"},{"id":130,"name":"Impact","value":""},{"id":150,"name":"Time of Event (Mountain Time)","value":"06:53:39"},{"id":151,"name":"Denver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4038</v>
      </c>
      <c r="C27" s="22" t="s">
        <v>99</v>
      </c>
      <c r="D27" s="22" t="s">
        <v>640</v>
      </c>
      <c r="E27" s="13">
        <v>42660.22625</v>
      </c>
      <c r="F27" s="13">
        <v>42660.229375000003</v>
      </c>
      <c r="G27" s="7">
        <v>1</v>
      </c>
      <c r="H27" s="13" t="s">
        <v>336</v>
      </c>
      <c r="I27" s="13">
        <v>42660.254733796297</v>
      </c>
      <c r="J27" s="7">
        <v>0</v>
      </c>
      <c r="K27" s="112" t="str">
        <f t="shared" si="0"/>
        <v>4037/4038</v>
      </c>
      <c r="L27" s="22" t="str">
        <f>VLOOKUP(A27,'Trips&amp;Operators'!$C$1:$E$10000,3,FALSE)</f>
        <v>MALAVE</v>
      </c>
      <c r="M27" s="6">
        <f t="shared" si="1"/>
        <v>2.5358796294312924E-2</v>
      </c>
      <c r="N27" s="7">
        <f t="shared" si="2"/>
        <v>36.516666663810611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8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04:25:48-0600',mode:absolute,to:'2016-10-17 07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7" s="52" t="str">
        <f t="shared" si="6"/>
        <v>N</v>
      </c>
      <c r="X27" s="178">
        <f t="shared" si="7"/>
        <v>1</v>
      </c>
      <c r="Y27" s="67">
        <f t="shared" si="8"/>
        <v>7.6499999999999999E-2</v>
      </c>
      <c r="Z27" s="67">
        <f t="shared" si="9"/>
        <v>23.328700000000001</v>
      </c>
      <c r="AA27" s="67">
        <f t="shared" si="10"/>
        <v>23.252200000000002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0115-17</v>
      </c>
      <c r="AE27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27" s="88" t="str">
        <f t="shared" si="13"/>
        <v>"C:\Program Files (x86)\AstroGrep\AstroGrep.exe" /spath="%USERPROFILE%\AppData\Local\Temp\OnboardLogs" /stypes="app*4038*20161017*"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115-17 --locoid 4038 --swversion DE.1.0.7.0 --startMP 204:765 --initTime 2016-10-17T05:25:48 --startdatetime 2016-10-17T05:30:18 --delay 1 --endMP 204:233287 --enddatetime 2016-10-17T06:06:49 --enforcementcount 0 &gt;&gt;C:\Users\stu\Documents\GitHub\eaglep3-reporting\EC\2016-10-17-refined-times.txt</v>
      </c>
      <c r="AI2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{"issue":{"subject":"","project_id":79,"tracker_id":40,"status_id":1,"priority_id":2,"assigned_to_id":23,"start_date":"2016-10-17","description":"","custom_fields":[{"id":1,"name":"Subdivision","value":"EC"},{"id":4,"name":"Milepost","value":"23.3287"},{"id":17,"name":"Train ID","value":"115-17"},{"id":16,"name":"Locomotive ID","value":"4038"},{"id":130,"name":"Impact","value":""},{"id":150,"name":"Time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402</v>
      </c>
      <c r="B28" s="7">
        <v>4037</v>
      </c>
      <c r="C28" s="22" t="s">
        <v>99</v>
      </c>
      <c r="D28" s="22" t="s">
        <v>641</v>
      </c>
      <c r="E28" s="13">
        <v>42660.266493055555</v>
      </c>
      <c r="F28" s="13">
        <v>42660.268287037034</v>
      </c>
      <c r="G28" s="7">
        <v>1</v>
      </c>
      <c r="H28" s="13" t="s">
        <v>257</v>
      </c>
      <c r="I28" s="13">
        <v>42660.299224537041</v>
      </c>
      <c r="J28" s="7">
        <v>0</v>
      </c>
      <c r="K28" s="112" t="str">
        <f t="shared" si="0"/>
        <v>4037/4038</v>
      </c>
      <c r="L28" s="22" t="str">
        <f>VLOOKUP(A28,'Trips&amp;Operators'!$C$1:$E$10000,3,FALSE)</f>
        <v>MALAVE</v>
      </c>
      <c r="M28" s="6">
        <f t="shared" si="1"/>
        <v>3.0937500006984919E-2</v>
      </c>
      <c r="N28" s="7">
        <f t="shared" si="2"/>
        <v>44.550000010058284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8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05:23:45-0600',mode:absolute,to:'2016-10-17 08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8" s="52" t="str">
        <f t="shared" si="6"/>
        <v>N</v>
      </c>
      <c r="X28" s="178">
        <f t="shared" si="7"/>
        <v>1</v>
      </c>
      <c r="Y28" s="67">
        <f t="shared" si="8"/>
        <v>23.2974</v>
      </c>
      <c r="Z28" s="67">
        <f t="shared" si="9"/>
        <v>1.6E-2</v>
      </c>
      <c r="AA28" s="67">
        <f t="shared" si="10"/>
        <v>23.281400000000001</v>
      </c>
      <c r="AB28" s="64" t="str">
        <f>VLOOKUP(A28,Enforcements!$C$7:$K$21,8,0)</f>
        <v>Bulletin (2)</v>
      </c>
      <c r="AC28" s="60" t="str">
        <f>VLOOKUP(A28,Enforcements!$C$7:$E$21,3,0)</f>
        <v>GRADE CROSSING</v>
      </c>
      <c r="AD28" s="61" t="str">
        <f t="shared" si="11"/>
        <v>0116-17</v>
      </c>
      <c r="AE28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28" s="88" t="str">
        <f t="shared" si="13"/>
        <v>"C:\Program Files (x86)\AstroGrep\AstroGrep.exe" /spath="%USERPROFILE%\AppData\Local\Temp\OnboardLogs" /stypes="app*4037*20161017*"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116-17 --locoid 4037 --swversion DE.1.0.7.0 --startMP 204:232974 --initTime 2016-10-17T06:23:45 --startdatetime 2016-10-17T06:26:20 --delay 1 --endMP 204:160 --enddatetime 2016-10-17T07:10:53 --enforcementcount 0 &gt;&gt;C:\Users\stu\Documents\GitHub\eaglep3-reporting\EC\2016-10-17-refined-times.txt</v>
      </c>
      <c r="AI2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ID","value":"116-17"},{"id":16,"name":"Locomotive ID","value":"4037"},{"id":130,"name":"Impact","value":""},{"id":150,"name":"Time of Event (Mountain Time)","value":"07:10:53"},{"id":151,"name":"Denver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444</v>
      </c>
      <c r="B29" s="7">
        <v>4031</v>
      </c>
      <c r="C29" s="22" t="s">
        <v>99</v>
      </c>
      <c r="D29" s="22" t="s">
        <v>642</v>
      </c>
      <c r="E29" s="13">
        <v>42660.233101851853</v>
      </c>
      <c r="F29" s="13">
        <v>42660.239837962959</v>
      </c>
      <c r="G29" s="7">
        <v>1</v>
      </c>
      <c r="H29" s="13" t="s">
        <v>254</v>
      </c>
      <c r="I29" s="13">
        <v>42660.266203703701</v>
      </c>
      <c r="J29" s="7">
        <v>0</v>
      </c>
      <c r="K29" s="112" t="str">
        <f t="shared" si="0"/>
        <v>4031/4032</v>
      </c>
      <c r="L29" s="22" t="str">
        <f>VLOOKUP(A29,'Trips&amp;Operators'!$C$1:$E$10000,3,FALSE)</f>
        <v>ACKERMAN</v>
      </c>
      <c r="M29" s="6">
        <f t="shared" si="1"/>
        <v>2.6365740741312038E-2</v>
      </c>
      <c r="N29" s="7">
        <f t="shared" si="2"/>
        <v>37.966666667489335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8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04:35:40-0600',mode:absolute,to:'2016-10-17 07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8">
        <f t="shared" si="7"/>
        <v>1</v>
      </c>
      <c r="Y29" s="67">
        <f t="shared" si="8"/>
        <v>4.3099999999999999E-2</v>
      </c>
      <c r="Z29" s="67">
        <f t="shared" si="9"/>
        <v>23.329899999999999</v>
      </c>
      <c r="AA29" s="67">
        <f t="shared" si="10"/>
        <v>23.286799999999999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0117-17</v>
      </c>
      <c r="AE29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29" s="88" t="str">
        <f t="shared" si="13"/>
        <v>"C:\Program Files (x86)\AstroGrep\AstroGrep.exe" /spath="%USERPROFILE%\AppData\Local\Temp\OnboardLogs" /stypes="app*4031*20161017*"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117-17 --locoid 4031 --swversion DE.1.0.7.0 --startMP 204:431 --initTime 2016-10-17T05:35:40 --startdatetime 2016-10-17T05:45:22 --delay 1 --endMP 204:233299 --enddatetime 2016-10-17T06:23:20 --enforcementcount 0 &gt;&gt;C:\Users\stu\Documents\GitHub\eaglep3-reporting\EC\2016-10-17-refined-times.txt</v>
      </c>
      <c r="AI2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{"issue":{"subject":"","project_id":79,"tracker_id":40,"status_id":1,"priority_id":2,"assigned_to_id":23,"start_date":"2016-10-17","description":"","custom_fields":[{"id":1,"name":"Subdivision","value":"EC"},{"id":4,"name":"Milepost","value":"23.3299"},{"id":17,"name":"Train ID","value":"117-17"},{"id":16,"name":"Locomotive ID","value":"4031"},{"id":130,"name":"Impact","value":""},{"id":150,"name":"Time of Event (Mountain Time)","value":"06:23:20"},{"id":151,"name":"Denver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403</v>
      </c>
      <c r="B30" s="7">
        <v>4032</v>
      </c>
      <c r="C30" s="22" t="s">
        <v>99</v>
      </c>
      <c r="D30" s="22" t="s">
        <v>244</v>
      </c>
      <c r="E30" s="13">
        <v>42660.268449074072</v>
      </c>
      <c r="F30" s="13">
        <v>42660.280312499999</v>
      </c>
      <c r="G30" s="7">
        <v>1</v>
      </c>
      <c r="H30" s="13" t="s">
        <v>643</v>
      </c>
      <c r="I30" s="13">
        <v>42660.307592592595</v>
      </c>
      <c r="J30" s="7">
        <v>0</v>
      </c>
      <c r="K30" s="112" t="str">
        <f t="shared" si="0"/>
        <v>4031/4032</v>
      </c>
      <c r="L30" s="22" t="str">
        <f>VLOOKUP(A30,'Trips&amp;Operators'!$C$1:$E$10000,3,FALSE)</f>
        <v>ACKERMAN</v>
      </c>
      <c r="M30" s="6">
        <f t="shared" si="1"/>
        <v>2.7280092595901806E-2</v>
      </c>
      <c r="N30" s="7">
        <f t="shared" si="2"/>
        <v>39.283333338098601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8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05:26:34-0600',mode:absolute,to:'2016-10-17 08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8">
        <f t="shared" si="7"/>
        <v>1</v>
      </c>
      <c r="Y30" s="67">
        <f t="shared" si="8"/>
        <v>23.298200000000001</v>
      </c>
      <c r="Z30" s="67">
        <f t="shared" si="9"/>
        <v>1.9199999999999998E-2</v>
      </c>
      <c r="AA30" s="67">
        <f t="shared" si="10"/>
        <v>23.279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0118-17</v>
      </c>
      <c r="AE30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30" s="88" t="str">
        <f t="shared" si="13"/>
        <v>"C:\Program Files (x86)\AstroGrep\AstroGrep.exe" /spath="%USERPROFILE%\AppData\Local\Temp\OnboardLogs" /stypes="app*4032*20161017*"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118-17 --locoid 4032 --swversion DE.1.0.7.0 --startMP 204:232982 --initTime 2016-10-17T06:26:34 --startdatetime 2016-10-17T06:43:39 --delay 1 --endMP 204:192 --enddatetime 2016-10-17T07:22:56 --enforcementcount 0 &gt;&gt;C:\Users\stu\Documents\GitHub\eaglep3-reporting\EC\2016-10-17-refined-times.txt</v>
      </c>
      <c r="AI3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{"issue":{"subject":"","project_id":79,"tracker_id":40,"status_id":1,"priority_id":2,"assigned_to_id":23,"start_date":"2016-10-17","description":"","custom_fields":[{"id":1,"name":"Subdivision","value":"EC"},{"id":4,"name":"Milepost","value":"0.0192"},{"id":17,"name":"Train ID","value":"118-17"},{"id":16,"name":"Locomotive ID","value":"4032"},{"id":130,"name":"Impact","value":""},{"id":150,"name":"Time of Event (Mountain Time)","value":"07:22:56"},{"id":151,"name":"Denver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447</v>
      </c>
      <c r="B31" s="7">
        <v>4002</v>
      </c>
      <c r="C31" s="22" t="s">
        <v>99</v>
      </c>
      <c r="D31" s="22" t="s">
        <v>644</v>
      </c>
      <c r="E31" s="13">
        <v>42660.253206018519</v>
      </c>
      <c r="F31" s="13">
        <v>42660.256238425929</v>
      </c>
      <c r="G31" s="7">
        <v>1</v>
      </c>
      <c r="H31" s="13" t="s">
        <v>292</v>
      </c>
      <c r="I31" s="13">
        <v>42660.280393518522</v>
      </c>
      <c r="J31" s="7">
        <v>0</v>
      </c>
      <c r="K31" s="112" t="str">
        <f t="shared" si="0"/>
        <v>4001/4002</v>
      </c>
      <c r="L31" s="22" t="str">
        <f>VLOOKUP(A31,'Trips&amp;Operators'!$C$1:$E$10000,3,FALSE)</f>
        <v>ROBINSON</v>
      </c>
      <c r="M31" s="6">
        <f t="shared" si="1"/>
        <v>2.4155092592991423E-2</v>
      </c>
      <c r="N31" s="7">
        <f t="shared" si="2"/>
        <v>34.783333333907649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8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05:04:37-0600',mode:absolute,to:'2016-10-17 07:43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1" s="52" t="str">
        <f t="shared" si="6"/>
        <v>N</v>
      </c>
      <c r="X31" s="178">
        <f t="shared" si="7"/>
        <v>1</v>
      </c>
      <c r="Y31" s="67">
        <f t="shared" si="8"/>
        <v>9.5200000000000007E-2</v>
      </c>
      <c r="Z31" s="67">
        <f t="shared" si="9"/>
        <v>23.331499999999998</v>
      </c>
      <c r="AA31" s="67">
        <f t="shared" si="10"/>
        <v>23.2363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0119-17</v>
      </c>
      <c r="AE31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31" s="88" t="str">
        <f t="shared" si="13"/>
        <v>"C:\Program Files (x86)\AstroGrep\AstroGrep.exe" /spath="%USERPROFILE%\AppData\Local\Temp\OnboardLogs" /stypes="app*4002*20161017*"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119-17 --locoid 4002 --swversion DE.1.0.7.0 --startMP 204:952 --initTime 2016-10-17T06:04:37 --startdatetime 2016-10-17T06:08:59 --delay 1 --endMP 204:233315 --enddatetime 2016-10-17T06:43:46 --enforcementcount 0 &gt;&gt;C:\Users\stu\Documents\GitHub\eaglep3-reporting\EC\2016-10-17-refined-times.txt</v>
      </c>
      <c r="AI3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{"issue":{"subject":"","project_id":79,"tracker_id":40,"status_id":1,"priority_id":2,"assigned_to_id":23,"start_date":"2016-10-17","description":"","custom_fields":[{"id":1,"name":"Subdivision","value":"EC"},{"id":4,"name":"Milepost","value":"23.3315"},{"id":17,"name":"Train ID","value":"119-17"},{"id":16,"name":"Locomotive ID","value":"4002"},{"id":130,"name":"Impact","value":""},{"id":150,"name":"Time of Event (Mountain Time)","value":"06:43:46"},{"id":151,"name":"Denver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457</v>
      </c>
      <c r="B32" s="7">
        <v>4001</v>
      </c>
      <c r="C32" s="22" t="s">
        <v>99</v>
      </c>
      <c r="D32" s="22" t="s">
        <v>229</v>
      </c>
      <c r="E32" s="13">
        <v>42660.28266203704</v>
      </c>
      <c r="F32" s="13">
        <v>42660.2890625</v>
      </c>
      <c r="G32" s="7">
        <v>1</v>
      </c>
      <c r="H32" s="13" t="s">
        <v>182</v>
      </c>
      <c r="I32" s="13">
        <v>42660.316863425927</v>
      </c>
      <c r="J32" s="7">
        <v>0</v>
      </c>
      <c r="K32" s="112" t="str">
        <f t="shared" si="0"/>
        <v>4001/4002</v>
      </c>
      <c r="L32" s="22" t="str">
        <f>VLOOKUP(A32,'Trips&amp;Operators'!$C$1:$E$10000,3,FALSE)</f>
        <v>ROBINSON</v>
      </c>
      <c r="M32" s="6">
        <f t="shared" si="1"/>
        <v>2.7800925927294884E-2</v>
      </c>
      <c r="N32" s="7">
        <f t="shared" si="2"/>
        <v>40.033333335304633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8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05:47:02-0600',mode:absolute,to:'2016-10-17 08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2" s="52" t="str">
        <f t="shared" si="6"/>
        <v>N</v>
      </c>
      <c r="X32" s="178">
        <f t="shared" si="7"/>
        <v>1</v>
      </c>
      <c r="Y32" s="67">
        <f t="shared" si="8"/>
        <v>23.298500000000001</v>
      </c>
      <c r="Z32" s="67">
        <f t="shared" si="9"/>
        <v>1.41E-2</v>
      </c>
      <c r="AA32" s="67">
        <f t="shared" si="10"/>
        <v>23.284400000000002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0120-17</v>
      </c>
      <c r="AE32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32" s="88" t="str">
        <f t="shared" si="13"/>
        <v>"C:\Program Files (x86)\AstroGrep\AstroGrep.exe" /spath="%USERPROFILE%\AppData\Local\Temp\OnboardLogs" /stypes="app*4001*20161017*"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120-17 --locoid 4001 --swversion DE.1.0.7.0 --startMP 204:232985 --initTime 2016-10-17T06:47:02 --startdatetime 2016-10-17T06:56:15 --delay 1 --endMP 204:141 --enddatetime 2016-10-17T07:36:17 --enforcementcount 0 &gt;&gt;C:\Users\stu\Documents\GitHub\eaglep3-reporting\EC\2016-10-17-refined-times.txt</v>
      </c>
      <c r="AI3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{"issue":{"subject":"","project_id":79,"tracker_id":40,"status_id":1,"priority_id":2,"assigned_to_id":23,"start_date":"2016-10-17","description":"","custom_fields":[{"id":1,"name":"Subdivision","value":"EC"},{"id":4,"name":"Milepost","value":"0.0141"},{"id":17,"name":"Train ID","value":"120-17"},{"id":16,"name":"Locomotive ID","value":"4001"},{"id":130,"name":"Impact","value":""},{"id":150,"name":"Time of Event (Mountain Time)","value":"07:36:17"},{"id":151,"name":"Denver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451</v>
      </c>
      <c r="B33" s="7">
        <v>4011</v>
      </c>
      <c r="C33" s="22" t="s">
        <v>99</v>
      </c>
      <c r="D33" s="22" t="s">
        <v>233</v>
      </c>
      <c r="E33" s="13">
        <v>42660.255682870367</v>
      </c>
      <c r="F33" s="13">
        <v>42660.261076388888</v>
      </c>
      <c r="G33" s="7">
        <v>1</v>
      </c>
      <c r="H33" s="13" t="s">
        <v>645</v>
      </c>
      <c r="I33" s="13">
        <v>42660.286030092589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YORK</v>
      </c>
      <c r="M33" s="6">
        <f t="shared" si="1"/>
        <v>2.495370370161254E-2</v>
      </c>
      <c r="N33" s="7">
        <f t="shared" si="2"/>
        <v>35.933333330322057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8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05:08:11-0600',mode:absolute,to:'2016-10-17 07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8">
        <f t="shared" si="7"/>
        <v>1</v>
      </c>
      <c r="Y33" s="67">
        <f t="shared" si="8"/>
        <v>4.58E-2</v>
      </c>
      <c r="Z33" s="67">
        <f t="shared" si="9"/>
        <v>23.3276</v>
      </c>
      <c r="AA33" s="67">
        <f t="shared" si="10"/>
        <v>23.2818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0121-17</v>
      </c>
      <c r="AE33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33" s="88" t="str">
        <f t="shared" si="13"/>
        <v>"C:\Program Files (x86)\AstroGrep\AstroGrep.exe" /spath="%USERPROFILE%\AppData\Local\Temp\OnboardLogs" /stypes="app*4011*20161017*"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121-17 --locoid 4011 --swversion DE.1.0.7.0 --startMP 204:458 --initTime 2016-10-17T06:08:11 --startdatetime 2016-10-17T06:15:57 --delay 1 --endMP 204:233276 --enddatetime 2016-10-17T06:51:53 --enforcementcount 0 &gt;&gt;C:\Users\stu\Documents\GitHub\eaglep3-reporting\EC\2016-10-17-refined-times.txt</v>
      </c>
      <c r="AI3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{"issue":{"subject":"","project_id":79,"tracker_id":40,"status_id":1,"priority_id":2,"assigned_to_id":23,"start_date":"2016-10-17","description":"","custom_fields":[{"id":1,"name":"Subdivision","value":"EC"},{"id":4,"name":"Milepost","value":"23.3276"},{"id":17,"name":"Train ID","value":"121-17"},{"id":16,"name":"Locomotive ID","value":"4011"},{"id":130,"name":"Impact","value":""},{"id":150,"name":"Time of Event (Mountain Time)","value":"06:51:53"},{"id":151,"name":"Denver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458</v>
      </c>
      <c r="B34" s="7">
        <v>4012</v>
      </c>
      <c r="C34" s="22" t="s">
        <v>99</v>
      </c>
      <c r="D34" s="22" t="s">
        <v>646</v>
      </c>
      <c r="E34" s="13">
        <v>42660.287106481483</v>
      </c>
      <c r="F34" s="13">
        <v>42660.289039351854</v>
      </c>
      <c r="G34" s="7">
        <v>18</v>
      </c>
      <c r="H34" s="13" t="s">
        <v>232</v>
      </c>
      <c r="I34" s="13">
        <v>42660.325370370374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YORK</v>
      </c>
      <c r="M34" s="6">
        <f t="shared" si="1"/>
        <v>3.6331018520286307E-2</v>
      </c>
      <c r="N34" s="7">
        <f t="shared" si="2"/>
        <v>52.316666669212282</v>
      </c>
      <c r="O34" s="7"/>
      <c r="P34" s="7"/>
      <c r="Q34" s="23"/>
      <c r="R34" s="23" t="s">
        <v>766</v>
      </c>
      <c r="S34" s="35">
        <f t="shared" si="3"/>
        <v>1</v>
      </c>
      <c r="T34" s="50" t="str">
        <f t="shared" si="4"/>
        <v>Southbound</v>
      </c>
      <c r="U34" s="18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05:53:26-0600',mode:absolute,to:'2016-10-17 08:48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8">
        <f t="shared" ref="X34:X38" si="19">VALUE(LEFT(AD34,4))-VALUE(LEFT(AD33,4))</f>
        <v>1</v>
      </c>
      <c r="Y34" s="67">
        <f t="shared" si="8"/>
        <v>23.294599999999999</v>
      </c>
      <c r="Z34" s="67">
        <f t="shared" si="9"/>
        <v>1.4500000000000001E-2</v>
      </c>
      <c r="AA34" s="67">
        <f t="shared" si="10"/>
        <v>23.280099999999997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0122-17</v>
      </c>
      <c r="AE34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34" s="88" t="str">
        <f t="shared" si="13"/>
        <v>"C:\Program Files (x86)\AstroGrep\AstroGrep.exe" /spath="%USERPROFILE%\AppData\Local\Temp\OnboardLogs" /stypes="app*4012*20161017*"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122-17 --locoid 4012 --swversion DE.1.0.7.0 --startMP 204:232946 --initTime 2016-10-17T06:53:26 --startdatetime 2016-10-17T06:56:13 --delay 18 --endMP 204:145 --enddatetime 2016-10-17T07:48:32 --enforcementcount 0 &gt;&gt;C:\Users\stu\Documents\GitHub\eaglep3-reporting\EC\2016-10-17-refined-times.txt</v>
      </c>
      <c r="AI34" s="122" t="str">
        <f t="shared" si="18"/>
        <v>echo {"issue":{"subject":"Onboard in-route failure delayed departure","project_id":79,"tracker_id":40,"status_id":1,"priority_id":2,"assigned_to_id":23,"start_date":"2016-10-17","description":"multiple cpu faults around 2016-10-17 06:56:13.000 ","custom_fields":[{"id":1,"name":"Subdivision","value":"EC"},{"id":4,"name":"Milepost","value":"0.0145"},{"id":17,"name":"Train ID","value":"122-17"},{"id":16,"name":"Locomotive ID","value":"4012"},{"id":130,"name":"Impact","value":"Failed State"},{"id":150,"name":"Time of Event (Mountain Time)","value":"07:48:32"},{"id":151,"name":"Denver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4" s="53" t="s">
        <v>767</v>
      </c>
      <c r="AK34" s="53" t="s">
        <v>129</v>
      </c>
      <c r="AL34" s="53" t="s">
        <v>179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453</v>
      </c>
      <c r="B35" s="7">
        <v>4044</v>
      </c>
      <c r="C35" s="22" t="s">
        <v>99</v>
      </c>
      <c r="D35" s="22" t="s">
        <v>239</v>
      </c>
      <c r="E35" s="13">
        <v>42660.269606481481</v>
      </c>
      <c r="F35" s="13">
        <v>42660.271122685182</v>
      </c>
      <c r="G35" s="7">
        <v>1</v>
      </c>
      <c r="H35" s="13" t="s">
        <v>647</v>
      </c>
      <c r="I35" s="13">
        <v>42660.297303240739</v>
      </c>
      <c r="J35" s="7">
        <v>0</v>
      </c>
      <c r="K35" s="112" t="str">
        <f t="shared" si="0"/>
        <v>4043/4044</v>
      </c>
      <c r="L35" s="22" t="str">
        <f>VLOOKUP(A35,'Trips&amp;Operators'!$C$1:$E$10000,3,FALSE)</f>
        <v>SPECTOR</v>
      </c>
      <c r="M35" s="6">
        <f t="shared" si="1"/>
        <v>2.6180555556493346E-2</v>
      </c>
      <c r="N35" s="7">
        <f t="shared" si="2"/>
        <v>37.700000001350418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8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05:28:14-0600',mode:absolute,to:'2016-10-17 08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5" s="52" t="str">
        <f t="shared" si="6"/>
        <v>N</v>
      </c>
      <c r="X35" s="178">
        <f t="shared" si="19"/>
        <v>1</v>
      </c>
      <c r="Y35" s="67">
        <f t="shared" si="8"/>
        <v>4.53E-2</v>
      </c>
      <c r="Z35" s="67">
        <f t="shared" si="9"/>
        <v>23.3323</v>
      </c>
      <c r="AA35" s="67">
        <f t="shared" si="10"/>
        <v>23.286999999999999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0123-17</v>
      </c>
      <c r="AE35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35" s="88" t="str">
        <f t="shared" si="13"/>
        <v>"C:\Program Files (x86)\AstroGrep\AstroGrep.exe" /spath="%USERPROFILE%\AppData\Local\Temp\OnboardLogs" /stypes="app*4044*20161017*"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123-17 --locoid 4044 --swversion DE.1.0.7.0 --startMP 204:453 --initTime 2016-10-17T06:28:14 --startdatetime 2016-10-17T06:30:25 --delay 1 --endMP 204:233323 --enddatetime 2016-10-17T07:08:07 --enforcementcount 0 &gt;&gt;C:\Users\stu\Documents\GitHub\eaglep3-reporting\EC\2016-10-17-refined-times.txt</v>
      </c>
      <c r="AI3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{"issue":{"subject":"","project_id":79,"tracker_id":40,"status_id":1,"priority_id":2,"assigned_to_id":23,"start_date":"2016-10-17","description":"","custom_fields":[{"id":1,"name":"Subdivision","value":"EC"},{"id":4,"name":"Milepost","value":"23.3323"},{"id":17,"name":"Train ID","value":"123-17"},{"id":16,"name":"Locomotive ID","value":"4044"},{"id":130,"name":"Impact","value":""},{"id":150,"name":"Time of Event (Mountain Time)","value":"07:08:07"},{"id":151,"name":"Denver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462</v>
      </c>
      <c r="B36" s="7">
        <v>4043</v>
      </c>
      <c r="C36" s="22" t="s">
        <v>99</v>
      </c>
      <c r="D36" s="22" t="s">
        <v>366</v>
      </c>
      <c r="E36" s="13">
        <v>42660.304097222222</v>
      </c>
      <c r="F36" s="13">
        <v>42660.309907407405</v>
      </c>
      <c r="G36" s="7">
        <v>1</v>
      </c>
      <c r="H36" s="13" t="s">
        <v>177</v>
      </c>
      <c r="I36" s="13">
        <v>42660.336701388886</v>
      </c>
      <c r="J36" s="7">
        <v>0</v>
      </c>
      <c r="K36" s="112" t="str">
        <f t="shared" si="0"/>
        <v>4043/4044</v>
      </c>
      <c r="L36" s="22" t="str">
        <f>VLOOKUP(A36,'Trips&amp;Operators'!$C$1:$E$10000,3,FALSE)</f>
        <v>SPECTOR</v>
      </c>
      <c r="M36" s="6">
        <f t="shared" si="1"/>
        <v>2.679398148029577E-2</v>
      </c>
      <c r="N36" s="7">
        <f t="shared" si="2"/>
        <v>38.583333331625909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8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06:17:54-0600',mode:absolute,to:'2016-10-17 09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6" s="52" t="str">
        <f t="shared" si="6"/>
        <v>N</v>
      </c>
      <c r="X36" s="178">
        <f t="shared" si="19"/>
        <v>1</v>
      </c>
      <c r="Y36" s="67">
        <f t="shared" si="8"/>
        <v>23.299299999999999</v>
      </c>
      <c r="Z36" s="67">
        <f t="shared" si="9"/>
        <v>1.52E-2</v>
      </c>
      <c r="AA36" s="67">
        <f t="shared" si="10"/>
        <v>23.284099999999999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0124-17</v>
      </c>
      <c r="AE36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36" s="88" t="str">
        <f t="shared" si="13"/>
        <v>"C:\Program Files (x86)\AstroGrep\AstroGrep.exe" /spath="%USERPROFILE%\AppData\Local\Temp\OnboardLogs" /stypes="app*4043*20161017*"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124-17 --locoid 4043 --swversion DE.1.0.7.0 --startMP 204:232993 --initTime 2016-10-17T07:17:54 --startdatetime 2016-10-17T07:26:16 --delay 1 --endMP 204:152 --enddatetime 2016-10-17T08:04:51 --enforcementcount 0 &gt;&gt;C:\Users\stu\Documents\GitHub\eaglep3-reporting\EC\2016-10-17-refined-times.txt</v>
      </c>
      <c r="AI3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ID","value":"124-17"},{"id":16,"name":"Locomotive ID","value":"4043"},{"id":130,"name":"Impact","value":""},{"id":150,"name":"Time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455</v>
      </c>
      <c r="B37" s="7">
        <v>4025</v>
      </c>
      <c r="C37" s="22" t="s">
        <v>99</v>
      </c>
      <c r="D37" s="22" t="s">
        <v>648</v>
      </c>
      <c r="E37" s="13">
        <v>42660.278090277781</v>
      </c>
      <c r="F37" s="13">
        <v>42660.281446759262</v>
      </c>
      <c r="G37" s="7">
        <v>1</v>
      </c>
      <c r="H37" s="13" t="s">
        <v>254</v>
      </c>
      <c r="I37" s="13">
        <v>42660.306666666664</v>
      </c>
      <c r="J37" s="7">
        <v>0</v>
      </c>
      <c r="K37" s="112" t="str">
        <f t="shared" si="0"/>
        <v>4025/4026</v>
      </c>
      <c r="L37" s="22" t="str">
        <f>VLOOKUP(A37,'Trips&amp;Operators'!$C$1:$E$10000,3,FALSE)</f>
        <v>STARKS</v>
      </c>
      <c r="M37" s="6">
        <f t="shared" si="1"/>
        <v>2.5219907402060926E-2</v>
      </c>
      <c r="N37" s="7">
        <f t="shared" si="2"/>
        <v>36.316666658967733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8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05:40:27-0600',mode:absolute,to:'2016-10-17 08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8">
        <f t="shared" si="19"/>
        <v>1</v>
      </c>
      <c r="Y37" s="67">
        <f t="shared" si="8"/>
        <v>5.4199999999999998E-2</v>
      </c>
      <c r="Z37" s="67">
        <f t="shared" si="9"/>
        <v>23.329899999999999</v>
      </c>
      <c r="AA37" s="67">
        <f t="shared" si="10"/>
        <v>23.275699999999997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0125-17</v>
      </c>
      <c r="AE37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37" s="88" t="str">
        <f t="shared" si="13"/>
        <v>"C:\Program Files (x86)\AstroGrep\AstroGrep.exe" /spath="%USERPROFILE%\AppData\Local\Temp\OnboardLogs" /stypes="app*4025*20161017*"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125-17 --locoid 4025 --swversion DE.1.0.7.0 --startMP 204:542 --initTime 2016-10-17T06:40:27 --startdatetime 2016-10-17T06:45:17 --delay 1 --endMP 204:233299 --enddatetime 2016-10-17T07:21:36 --enforcementcount 0 &gt;&gt;C:\Users\stu\Documents\GitHub\eaglep3-reporting\EC\2016-10-17-refined-times.txt</v>
      </c>
      <c r="AI3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{"issue":{"subject":"","project_id":79,"tracker_id":40,"status_id":1,"priority_id":2,"assigned_to_id":23,"start_date":"2016-10-17","description":"","custom_fields":[{"id":1,"name":"Subdivision","value":"EC"},{"id":4,"name":"Milepost","value":"23.3299"},{"id":17,"name":"Train ID","value":"125-17"},{"id":16,"name":"Locomotive ID","value":"4025"},{"id":130,"name":"Impact","value":""},{"id":150,"name":"Time of Event (Mountain Time)","value":"07:21:36"},{"id":151,"name":"Denver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405</v>
      </c>
      <c r="B38" s="7">
        <v>4026</v>
      </c>
      <c r="C38" s="22" t="s">
        <v>99</v>
      </c>
      <c r="D38" s="22" t="s">
        <v>249</v>
      </c>
      <c r="E38" s="13">
        <v>42660.317476851851</v>
      </c>
      <c r="F38" s="13">
        <v>42660.320416666669</v>
      </c>
      <c r="G38" s="7">
        <v>1</v>
      </c>
      <c r="H38" s="13" t="s">
        <v>177</v>
      </c>
      <c r="I38" s="13">
        <v>42660.34878472222</v>
      </c>
      <c r="J38" s="7">
        <v>0</v>
      </c>
      <c r="K38" s="112" t="str">
        <f t="shared" si="0"/>
        <v>4025/4026</v>
      </c>
      <c r="L38" s="22" t="str">
        <f>VLOOKUP(A38,'Trips&amp;Operators'!$C$1:$E$10000,3,FALSE)</f>
        <v>STARKS</v>
      </c>
      <c r="M38" s="6">
        <f t="shared" si="1"/>
        <v>2.8368055551254656E-2</v>
      </c>
      <c r="N38" s="7">
        <f t="shared" si="2"/>
        <v>40.849999993806705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8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06:37:10-0600',mode:absolute,to:'2016-10-17 09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8">
        <f t="shared" si="19"/>
        <v>1</v>
      </c>
      <c r="Y38" s="67">
        <f t="shared" si="8"/>
        <v>23.297799999999999</v>
      </c>
      <c r="Z38" s="67">
        <f t="shared" si="9"/>
        <v>1.52E-2</v>
      </c>
      <c r="AA38" s="67">
        <f t="shared" si="10"/>
        <v>23.282599999999999</v>
      </c>
      <c r="AB38" s="64" t="str">
        <f>VLOOKUP(A38,Enforcements!$C$7:$K$21,8,0)</f>
        <v>Signal based authority (5)</v>
      </c>
      <c r="AC38" s="60" t="str">
        <f>VLOOKUP(A38,Enforcements!$C$7:$E$21,3,0)</f>
        <v>SIGNAL</v>
      </c>
      <c r="AD38" s="61" t="str">
        <f t="shared" si="11"/>
        <v>0126-17</v>
      </c>
      <c r="AE38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38" s="88" t="str">
        <f t="shared" si="13"/>
        <v>"C:\Program Files (x86)\AstroGrep\AstroGrep.exe" /spath="%USERPROFILE%\AppData\Local\Temp\OnboardLogs" /stypes="app*4026*20161017*"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126-17 --locoid 4026 --swversion DE.1.0.7.0 --startMP 204:232978 --initTime 2016-10-17T07:37:10 --startdatetime 2016-10-17T07:41:24 --delay 1 --endMP 204:152 --enddatetime 2016-10-17T08:22:15 --enforcementcount 0 &gt;&gt;C:\Users\stu\Documents\GitHub\eaglep3-reporting\EC\2016-10-17-refined-times.txt</v>
      </c>
      <c r="AI3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ID","value":"126-17"},{"id":16,"name":"Locomotive ID","value":"4026"},{"id":130,"name":"Impact","value":""},{"id":150,"name":"Time of Event (Mountain Time)","value":"08:22:15"},{"id":151,"name":"Denver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459</v>
      </c>
      <c r="B39" s="7">
        <v>4018</v>
      </c>
      <c r="C39" s="22" t="s">
        <v>99</v>
      </c>
      <c r="D39" s="22" t="s">
        <v>243</v>
      </c>
      <c r="E39" s="13">
        <v>42660.2890162037</v>
      </c>
      <c r="F39" s="13">
        <v>42660.291932870372</v>
      </c>
      <c r="G39" s="7">
        <v>1</v>
      </c>
      <c r="H39" s="13" t="s">
        <v>196</v>
      </c>
      <c r="I39" s="13">
        <v>42660.316921296297</v>
      </c>
      <c r="J39" s="7">
        <v>0</v>
      </c>
      <c r="K39" s="112" t="str">
        <f t="shared" si="0"/>
        <v>4017/4018</v>
      </c>
      <c r="L39" s="22" t="str">
        <f>VLOOKUP(A39,'Trips&amp;Operators'!$C$1:$E$10000,3,FALSE)</f>
        <v>KILLION</v>
      </c>
      <c r="M39" s="6">
        <f t="shared" si="1"/>
        <v>2.4988425924675539E-2</v>
      </c>
      <c r="N39" s="7">
        <f t="shared" si="2"/>
        <v>35.983333331532776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8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05:56:11-0600',mode:absolute,to:'2016-10-17 08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9" s="52" t="str">
        <f t="shared" si="6"/>
        <v>N</v>
      </c>
      <c r="X39" s="178">
        <f t="shared" ref="X39:X70" si="20">VALUE(LEFT(AD39,4))-VALUE(LEFT(AD38,4))</f>
        <v>1</v>
      </c>
      <c r="Y39" s="67">
        <f t="shared" si="8"/>
        <v>4.5499999999999999E-2</v>
      </c>
      <c r="Z39" s="67">
        <f t="shared" si="9"/>
        <v>23.329699999999999</v>
      </c>
      <c r="AA39" s="67">
        <f t="shared" si="10"/>
        <v>23.284199999999998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0127-17</v>
      </c>
      <c r="AE39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39" s="88" t="str">
        <f t="shared" si="13"/>
        <v>"C:\Program Files (x86)\AstroGrep\AstroGrep.exe" /spath="%USERPROFILE%\AppData\Local\Temp\OnboardLogs" /stypes="app*4018*20161017*"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127-17 --locoid 4018 --swversion DE.1.0.7.0 --startMP 204:455 --initTime 2016-10-17T06:56:11 --startdatetime 2016-10-17T07:00:23 --delay 1 --endMP 204:233297 --enddatetime 2016-10-17T07:36:22 --enforcementcount 0 &gt;&gt;C:\Users\stu\Documents\GitHub\eaglep3-reporting\EC\2016-10-17-refined-times.txt</v>
      </c>
      <c r="AI3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ID","value":"127-17"},{"id":16,"name":"Locomotive ID","value":"4018"},{"id":130,"name":"Impact","value":""},{"id":150,"name":"Time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468</v>
      </c>
      <c r="B40" s="7">
        <v>4017</v>
      </c>
      <c r="C40" s="22" t="s">
        <v>99</v>
      </c>
      <c r="D40" s="22" t="s">
        <v>635</v>
      </c>
      <c r="E40" s="13">
        <v>42660.322523148148</v>
      </c>
      <c r="F40" s="13">
        <v>42660.330763888887</v>
      </c>
      <c r="G40" s="7">
        <v>1</v>
      </c>
      <c r="H40" s="13" t="s">
        <v>649</v>
      </c>
      <c r="I40" s="13">
        <v>42660.357847222222</v>
      </c>
      <c r="J40" s="7">
        <v>0</v>
      </c>
      <c r="K40" s="112" t="str">
        <f t="shared" si="0"/>
        <v>4017/4018</v>
      </c>
      <c r="L40" s="22" t="str">
        <f>VLOOKUP(A40,'Trips&amp;Operators'!$C$1:$E$10000,3,FALSE)</f>
        <v>KILLION</v>
      </c>
      <c r="M40" s="6">
        <f t="shared" si="1"/>
        <v>2.7083333334303461E-2</v>
      </c>
      <c r="N40" s="7">
        <f t="shared" si="2"/>
        <v>39.000000001396984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8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06:44:26-0600',mode:absolute,to:'2016-10-17 09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0" s="52" t="str">
        <f t="shared" si="6"/>
        <v>N</v>
      </c>
      <c r="X40" s="178">
        <f t="shared" si="20"/>
        <v>1</v>
      </c>
      <c r="Y40" s="67">
        <f t="shared" si="8"/>
        <v>23.298300000000001</v>
      </c>
      <c r="Z40" s="67">
        <f t="shared" si="9"/>
        <v>1.6899999999999998E-2</v>
      </c>
      <c r="AA40" s="67">
        <f t="shared" si="10"/>
        <v>23.281400000000001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0128-17</v>
      </c>
      <c r="AE40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40" s="88" t="str">
        <f t="shared" si="13"/>
        <v>"C:\Program Files (x86)\AstroGrep\AstroGrep.exe" /spath="%USERPROFILE%\AppData\Local\Temp\OnboardLogs" /stypes="app*4017*20161017*"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128-17 --locoid 4017 --swversion DE.1.0.7.0 --startMP 204:232983 --initTime 2016-10-17T07:44:26 --startdatetime 2016-10-17T07:56:18 --delay 1 --endMP 204:169 --enddatetime 2016-10-17T08:35:18 --enforcementcount 0 &gt;&gt;C:\Users\stu\Documents\GitHub\eaglep3-reporting\EC\2016-10-17-refined-times.txt</v>
      </c>
      <c r="AI4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{"issue":{"subject":"","project_id":79,"tracker_id":40,"status_id":1,"priority_id":2,"assigned_to_id":23,"start_date":"2016-10-17","description":"","custom_fields":[{"id":1,"name":"Subdivision","value":"EC"},{"id":4,"name":"Milepost","value":"0.0169"},{"id":17,"name":"Train ID","value":"128-17"},{"id":16,"name":"Locomotive ID","value":"4017"},{"id":130,"name":"Impact","value":""},{"id":150,"name":"Time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461</v>
      </c>
      <c r="B41" s="7">
        <v>4038</v>
      </c>
      <c r="C41" s="22" t="s">
        <v>99</v>
      </c>
      <c r="D41" s="22" t="s">
        <v>263</v>
      </c>
      <c r="E41" s="13">
        <v>42660.301944444444</v>
      </c>
      <c r="F41" s="13">
        <v>42660.30296296296</v>
      </c>
      <c r="G41" s="7">
        <v>1</v>
      </c>
      <c r="H41" s="13" t="s">
        <v>235</v>
      </c>
      <c r="I41" s="13">
        <v>42660.327488425923</v>
      </c>
      <c r="J41" s="7">
        <v>0</v>
      </c>
      <c r="K41" s="112" t="str">
        <f t="shared" si="0"/>
        <v>4037/4038</v>
      </c>
      <c r="L41" s="22" t="str">
        <f>VLOOKUP(A41,'Trips&amp;Operators'!$C$1:$E$10000,3,FALSE)</f>
        <v>MALAVE</v>
      </c>
      <c r="M41" s="6">
        <f t="shared" si="1"/>
        <v>2.4525462962628808E-2</v>
      </c>
      <c r="N41" s="7">
        <f t="shared" si="2"/>
        <v>35.316666666185483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8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06:14:48-0600',mode:absolute,to:'2016-10-17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1" s="52" t="str">
        <f t="shared" si="6"/>
        <v>N</v>
      </c>
      <c r="X41" s="178">
        <f t="shared" si="20"/>
        <v>1</v>
      </c>
      <c r="Y41" s="67">
        <f t="shared" si="8"/>
        <v>4.6899999999999997E-2</v>
      </c>
      <c r="Z41" s="67">
        <f t="shared" si="9"/>
        <v>23.3293</v>
      </c>
      <c r="AA41" s="67">
        <f t="shared" si="10"/>
        <v>23.282399999999999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0129-17</v>
      </c>
      <c r="AE41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41" s="88" t="str">
        <f t="shared" si="13"/>
        <v>"C:\Program Files (x86)\AstroGrep\AstroGrep.exe" /spath="%USERPROFILE%\AppData\Local\Temp\OnboardLogs" /stypes="app*4038*20161017*"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129-17 --locoid 4038 --swversion DE.1.0.7.0 --startMP 204:469 --initTime 2016-10-17T07:14:48 --startdatetime 2016-10-17T07:16:16 --delay 1 --endMP 204:233293 --enddatetime 2016-10-17T07:51:35 --enforcementcount 0 &gt;&gt;C:\Users\stu\Documents\GitHub\eaglep3-reporting\EC\2016-10-17-refined-times.txt</v>
      </c>
      <c r="AI4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ID","value":"129-17"},{"id":16,"name":"Locomotive ID","value":"4038"},{"id":130,"name":"Impact","value":""},{"id":150,"name":"Time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471</v>
      </c>
      <c r="B42" s="7">
        <v>4037</v>
      </c>
      <c r="C42" s="22" t="s">
        <v>99</v>
      </c>
      <c r="D42" s="22" t="s">
        <v>650</v>
      </c>
      <c r="E42" s="13">
        <v>42660.339525462965</v>
      </c>
      <c r="F42" s="13">
        <v>42660.341249999998</v>
      </c>
      <c r="G42" s="7">
        <v>1</v>
      </c>
      <c r="H42" s="13" t="s">
        <v>651</v>
      </c>
      <c r="I42" s="13">
        <v>42660.367581018516</v>
      </c>
      <c r="J42" s="7">
        <v>0</v>
      </c>
      <c r="K42" s="112" t="str">
        <f t="shared" si="0"/>
        <v>4037/4038</v>
      </c>
      <c r="L42" s="22" t="str">
        <f>VLOOKUP(A42,'Trips&amp;Operators'!$C$1:$E$10000,3,FALSE)</f>
        <v>MALAVE</v>
      </c>
      <c r="M42" s="6">
        <f t="shared" si="1"/>
        <v>2.6331018518249039E-2</v>
      </c>
      <c r="N42" s="7">
        <f t="shared" si="2"/>
        <v>37.916666666278616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8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07:08:55-0600',mode:absolute,to:'2016-10-17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2" s="52" t="str">
        <f t="shared" si="6"/>
        <v>N</v>
      </c>
      <c r="X42" s="178">
        <f t="shared" si="20"/>
        <v>1</v>
      </c>
      <c r="Y42" s="67">
        <f t="shared" si="8"/>
        <v>23.2957</v>
      </c>
      <c r="Z42" s="67">
        <f t="shared" si="9"/>
        <v>1.5800000000000002E-2</v>
      </c>
      <c r="AA42" s="67">
        <f t="shared" si="10"/>
        <v>23.279900000000001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0130-17</v>
      </c>
      <c r="AE42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42" s="88" t="str">
        <f t="shared" si="13"/>
        <v>"C:\Program Files (x86)\AstroGrep\AstroGrep.exe" /spath="%USERPROFILE%\AppData\Local\Temp\OnboardLogs" /stypes="app*4037*20161017*"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130-17 --locoid 4037 --swversion DE.1.0.7.0 --startMP 204:232957 --initTime 2016-10-17T08:08:55 --startdatetime 2016-10-17T08:11:24 --delay 1 --endMP 204:158 --enddatetime 2016-10-17T08:49:19 --enforcementcount 0 &gt;&gt;C:\Users\stu\Documents\GitHub\eaglep3-reporting\EC\2016-10-17-refined-times.txt</v>
      </c>
      <c r="AI4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ID","value":"130-17"},{"id":16,"name":"Locomotive ID","value":"4037"},{"id":130,"name":"Impact","value":""},{"id":150,"name":"Time of Event (Mountain Time)","value":"08:49:19"},{"id":151,"name":"Denver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463</v>
      </c>
      <c r="B43" s="7">
        <v>4031</v>
      </c>
      <c r="C43" s="22" t="s">
        <v>99</v>
      </c>
      <c r="D43" s="22" t="s">
        <v>382</v>
      </c>
      <c r="E43" s="13">
        <v>42660.310347222221</v>
      </c>
      <c r="F43" s="13">
        <v>42660.312719907408</v>
      </c>
      <c r="G43" s="7">
        <v>1</v>
      </c>
      <c r="H43" s="13" t="s">
        <v>262</v>
      </c>
      <c r="I43" s="13">
        <v>42660.339259259257</v>
      </c>
      <c r="J43" s="7">
        <v>0</v>
      </c>
      <c r="K43" s="112" t="str">
        <f t="shared" si="0"/>
        <v>4031/4032</v>
      </c>
      <c r="L43" s="22" t="str">
        <f>VLOOKUP(A43,'Trips&amp;Operators'!$C$1:$E$10000,3,FALSE)</f>
        <v>ACKERMAN</v>
      </c>
      <c r="M43" s="6">
        <f t="shared" si="1"/>
        <v>2.6539351849351078E-2</v>
      </c>
      <c r="N43" s="7">
        <f t="shared" si="2"/>
        <v>38.216666663065553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8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06:26:54-0600',mode:absolute,to:'2016-10-17 09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78">
        <f t="shared" si="20"/>
        <v>1</v>
      </c>
      <c r="Y43" s="67">
        <f t="shared" si="8"/>
        <v>4.8800000000000003E-2</v>
      </c>
      <c r="Z43" s="67">
        <f t="shared" si="9"/>
        <v>23.3291</v>
      </c>
      <c r="AA43" s="67">
        <f t="shared" si="10"/>
        <v>23.2803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0131-17</v>
      </c>
      <c r="AE43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43" s="88" t="str">
        <f t="shared" si="13"/>
        <v>"C:\Program Files (x86)\AstroGrep\AstroGrep.exe" /spath="%USERPROFILE%\AppData\Local\Temp\OnboardLogs" /stypes="app*4031*20161017*"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131-17 --locoid 4031 --swversion DE.1.0.7.0 --startMP 204:488 --initTime 2016-10-17T07:26:54 --startdatetime 2016-10-17T07:30:19 --delay 1 --endMP 204:233291 --enddatetime 2016-10-17T08:08:32 --enforcementcount 0 &gt;&gt;C:\Users\stu\Documents\GitHub\eaglep3-reporting\EC\2016-10-17-refined-times.txt</v>
      </c>
      <c r="AI4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{"issue":{"subject":"","project_id":79,"tracker_id":40,"status_id":1,"priority_id":2,"assigned_to_id":23,"start_date":"2016-10-17","description":"","custom_fields":[{"id":1,"name":"Subdivision","value":"EC"},{"id":4,"name":"Milepost","value":"23.3291"},{"id":17,"name":"Train ID","value":"131-17"},{"id":16,"name":"Locomotive ID","value":"4031"},{"id":130,"name":"Impact","value":""},{"id":150,"name":"Time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407</v>
      </c>
      <c r="B44" s="7">
        <v>4032</v>
      </c>
      <c r="C44" s="22" t="s">
        <v>99</v>
      </c>
      <c r="D44" s="22" t="s">
        <v>652</v>
      </c>
      <c r="E44" s="13">
        <v>42660.340983796297</v>
      </c>
      <c r="F44" s="13">
        <v>42660.351655092592</v>
      </c>
      <c r="G44" s="7">
        <v>1</v>
      </c>
      <c r="H44" s="13" t="s">
        <v>257</v>
      </c>
      <c r="I44" s="13">
        <v>42660.379247685189</v>
      </c>
      <c r="J44" s="7">
        <v>0</v>
      </c>
      <c r="K44" s="112" t="str">
        <f t="shared" si="0"/>
        <v>4031/4032</v>
      </c>
      <c r="L44" s="22" t="str">
        <f>VLOOKUP(A44,'Trips&amp;Operators'!$C$1:$E$10000,3,FALSE)</f>
        <v>ACKERMAN</v>
      </c>
      <c r="M44" s="6">
        <f t="shared" si="1"/>
        <v>2.7592592596192844E-2</v>
      </c>
      <c r="N44" s="7">
        <f t="shared" si="2"/>
        <v>39.733333338517696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8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https://search-rtdc-monitor-bjffxe2xuh6vdkpspy63sjmuny.us-east-1.es.amazonaws.com/_plugin/kibana/#/discover/Steve-Slow-Train-Analysis-(2080s-and-2083s)?_g=(refreshInterval:(display:Off,section:0,value:0),time:(from:'2016-10-17 07:11:01-0600',mode:absolute,to:'2016-10-17 10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78">
        <f t="shared" si="20"/>
        <v>1</v>
      </c>
      <c r="Y44" s="67">
        <f t="shared" si="8"/>
        <v>23.296600000000002</v>
      </c>
      <c r="Z44" s="67">
        <f t="shared" si="9"/>
        <v>1.6E-2</v>
      </c>
      <c r="AA44" s="67">
        <f t="shared" si="10"/>
        <v>23.280600000000003</v>
      </c>
      <c r="AB44" s="64" t="str">
        <f>VLOOKUP(A44,Enforcements!$C$7:$K$21,8,0)</f>
        <v>Speed (6)</v>
      </c>
      <c r="AC44" s="60" t="str">
        <f>VLOOKUP(A44,Enforcements!$C$7:$E$21,3,0)</f>
        <v>PERMANENT SPEED RESTRICTION</v>
      </c>
      <c r="AD44" s="61" t="str">
        <f t="shared" si="11"/>
        <v>0132-17</v>
      </c>
      <c r="AE44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44" s="88" t="str">
        <f t="shared" si="13"/>
        <v>"C:\Program Files (x86)\AstroGrep\AstroGrep.exe" /spath="%USERPROFILE%\AppData\Local\Temp\OnboardLogs" /stypes="app*4032*20161017*"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132-17 --locoid 4032 --swversion DE.1.0.7.0 --startMP 204:232966 --initTime 2016-10-17T08:11:01 --startdatetime 2016-10-17T08:26:23 --delay 1 --endMP 204:160 --enddatetime 2016-10-17T09:06:07 --enforcementcount 0 &gt;&gt;C:\Users\stu\Documents\GitHub\eaglep3-reporting\EC\2016-10-17-refined-times.txt</v>
      </c>
      <c r="AI4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ID","value":"132-17"},{"id":16,"name":"Locomotive ID","value":"4032"},{"id":130,"name":"Impact","value":""},{"id":150,"name":"Time of Event (Mountain Time)","value":"09:06:07"},{"id":151,"name":"Denver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464</v>
      </c>
      <c r="B45" s="7">
        <v>4002</v>
      </c>
      <c r="C45" s="22" t="s">
        <v>99</v>
      </c>
      <c r="D45" s="22" t="s">
        <v>291</v>
      </c>
      <c r="E45" s="13">
        <v>42660.318518518521</v>
      </c>
      <c r="F45" s="13">
        <v>42660.323125000003</v>
      </c>
      <c r="G45" s="7">
        <v>1</v>
      </c>
      <c r="H45" s="13" t="s">
        <v>262</v>
      </c>
      <c r="I45" s="13">
        <v>42660.347442129627</v>
      </c>
      <c r="J45" s="7">
        <v>0</v>
      </c>
      <c r="K45" s="112" t="str">
        <f t="shared" ref="K45:K76" si="21">IF(ISEVEN(B45),(B45-1)&amp;"/"&amp;B45,B45&amp;"/"&amp;(B45+1))</f>
        <v>4001/4002</v>
      </c>
      <c r="L45" s="22" t="str">
        <f>VLOOKUP(A45,'Trips&amp;Operators'!$C$1:$E$10000,3,FALSE)</f>
        <v>ROBINSON</v>
      </c>
      <c r="M45" s="6">
        <f t="shared" ref="M45:M76" si="22">I45-F45</f>
        <v>2.4317129624250811E-2</v>
      </c>
      <c r="N45" s="7">
        <f t="shared" ref="N45:N76" si="23">24*60*SUM($M45:$M45)</f>
        <v>35.016666658921167</v>
      </c>
      <c r="O45" s="7"/>
      <c r="P45" s="7"/>
      <c r="Q45" s="23"/>
      <c r="R45" s="23"/>
      <c r="S45" s="35">
        <f t="shared" ref="S45:S76" si="24">SUM(U45:U45)/IF(AG45="EC",12,1)</f>
        <v>1</v>
      </c>
      <c r="T45" s="50" t="str">
        <f t="shared" ref="T45:T76" si="25">IF(ISEVEN(LEFT(AD45,4)),"Southbound","NorthBound")</f>
        <v>NorthBound</v>
      </c>
      <c r="U45" s="18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6" si="26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https://search-rtdc-monitor-bjffxe2xuh6vdkpspy63sjmuny.us-east-1.es.amazonaws.com/_plugin/kibana/#/discover/Steve-Slow-Train-Analysis-(2080s-and-2083s)?_g=(refreshInterval:(display:Off,section:0,value:0),time:(from:'2016-10-17 06:38:40-0600',mode:absolute,to:'2016-10-17 09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5" s="52" t="str">
        <f t="shared" ref="W45:W76" si="27">IF(AA45&lt;IF(AG45="EC",23,5.65),"Y","N")</f>
        <v>N</v>
      </c>
      <c r="X45" s="178">
        <f t="shared" si="20"/>
        <v>1</v>
      </c>
      <c r="Y45" s="67">
        <f t="shared" ref="Y45:Y76" si="28">RIGHT(D45,LEN(D45)-4)/10000</f>
        <v>4.7500000000000001E-2</v>
      </c>
      <c r="Z45" s="67">
        <f t="shared" ref="Z45:Z76" si="29">RIGHT(H45,LEN(H45)-4)/10000</f>
        <v>23.3291</v>
      </c>
      <c r="AA45" s="67">
        <f t="shared" ref="AA45:AA76" si="30">ABS(Z45-Y45)</f>
        <v>23.281600000000001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ref="AD45:AD76" si="31">IF(LEN(A45)=6,"0"&amp;A45,A45)</f>
        <v>0133-17</v>
      </c>
      <c r="AE45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45" s="88" t="str">
        <f t="shared" si="13"/>
        <v>"C:\Program Files (x86)\AstroGrep\AstroGrep.exe" /spath="%USERPROFILE%\AppData\Local\Temp\OnboardLogs" /stypes="app*4002*20161017*" /stext=" 14:.+((SYSTEM_STATE.+slice.+state.+changed )|(ment ac)|(system.+state.+changed )|(\[timeout)|(PRM\|1\|D)|(kpr)|(kdp)|(\|lc)|(penalty))" /e /r /s</v>
      </c>
      <c r="AG45" s="1" t="str">
        <f t="shared" ref="AG45:AG76" si="32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133-17 --locoid 4002 --swversion DE.1.0.7.0 --startMP 204:475 --initTime 2016-10-17T07:38:40 --startdatetime 2016-10-17T07:45:18 --delay 1 --endMP 204:233291 --enddatetime 2016-10-17T08:20:19 --enforcementcount 0 &gt;&gt;C:\Users\stu\Documents\GitHub\eaglep3-reporting\EC\2016-10-17-refined-times.txt</v>
      </c>
      <c r="AI4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{"issue":{"subject":"","project_id":79,"tracker_id":40,"status_id":1,"priority_id":2,"assigned_to_id":23,"start_date":"2016-10-17","description":"","custom_fields":[{"id":1,"name":"Subdivision","value":"EC"},{"id":4,"name":"Milepost","value":"23.3291"},{"id":17,"name":"Train ID","value":"133-17"},{"id":16,"name":"Locomotive ID","value":"4002"},{"id":130,"name":"Impact","value":""},{"id":150,"name":"Time of Event (Mountain Time)","value":"08:20:19"},{"id":151,"name":"Denver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472</v>
      </c>
      <c r="B46" s="7">
        <v>4001</v>
      </c>
      <c r="C46" s="22" t="s">
        <v>99</v>
      </c>
      <c r="D46" s="22" t="s">
        <v>327</v>
      </c>
      <c r="E46" s="13">
        <v>42660.348969907405</v>
      </c>
      <c r="F46" s="13">
        <v>42660.361956018518</v>
      </c>
      <c r="G46" s="7">
        <v>1</v>
      </c>
      <c r="H46" s="13" t="s">
        <v>182</v>
      </c>
      <c r="I46" s="13">
        <v>42660.392071759263</v>
      </c>
      <c r="J46" s="7">
        <v>0</v>
      </c>
      <c r="K46" s="112" t="str">
        <f t="shared" si="21"/>
        <v>4001/4002</v>
      </c>
      <c r="L46" s="22" t="str">
        <f>VLOOKUP(A46,'Trips&amp;Operators'!$C$1:$E$10000,3,FALSE)</f>
        <v>ROBINSON</v>
      </c>
      <c r="M46" s="6">
        <f t="shared" si="22"/>
        <v>3.0115740744804498E-2</v>
      </c>
      <c r="N46" s="7">
        <f t="shared" si="23"/>
        <v>43.366666672518477</v>
      </c>
      <c r="O46" s="7"/>
      <c r="P46" s="7"/>
      <c r="Q46" s="23"/>
      <c r="R46" s="23"/>
      <c r="S46" s="35">
        <f t="shared" si="24"/>
        <v>1</v>
      </c>
      <c r="T46" s="50" t="str">
        <f t="shared" si="25"/>
        <v>Southbound</v>
      </c>
      <c r="U46" s="18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07:22:31-0600',mode:absolute,to:'2016-10-17 10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6" s="52" t="str">
        <f t="shared" si="27"/>
        <v>N</v>
      </c>
      <c r="X46" s="178">
        <f t="shared" si="20"/>
        <v>1</v>
      </c>
      <c r="Y46" s="67">
        <f t="shared" si="28"/>
        <v>23.296900000000001</v>
      </c>
      <c r="Z46" s="67">
        <f t="shared" si="29"/>
        <v>1.41E-2</v>
      </c>
      <c r="AA46" s="67">
        <f t="shared" si="30"/>
        <v>23.282800000000002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31"/>
        <v>0134-17</v>
      </c>
      <c r="AE46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46" s="88" t="str">
        <f t="shared" si="13"/>
        <v>"C:\Program Files (x86)\AstroGrep\AstroGrep.exe" /spath="%USERPROFILE%\AppData\Local\Temp\OnboardLogs" /stypes="app*4001*20161017*" /stext=" 15:.+((SYSTEM_STATE.+slice.+state.+changed )|(ment ac)|(system.+state.+changed )|(\[timeout)|(PRM\|1\|D)|(kpr)|(kdp)|(\|lc)|(penalty))" /e /r /s</v>
      </c>
      <c r="AG46" s="1" t="str">
        <f t="shared" si="32"/>
        <v>EC</v>
      </c>
      <c r="AH46" s="92" t="str">
        <f t="shared" si="17"/>
        <v>"%USERPROFILE%\Documents\GitHub\eaglep3\Utilities\RefineRTDCRunTimes.py" --tripid 134-17 --locoid 4001 --swversion DE.1.0.7.0 --startMP 204:232969 --initTime 2016-10-17T08:22:31 --startdatetime 2016-10-17T08:41:13 --delay 1 --endMP 204:141 --enddatetime 2016-10-17T09:24:35 --enforcementcount 0 &gt;&gt;C:\Users\stu\Documents\GitHub\eaglep3-reporting\EC\2016-10-17-refined-times.txt</v>
      </c>
      <c r="AI4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{"issue":{"subject":"","project_id":79,"tracker_id":40,"status_id":1,"priority_id":2,"assigned_to_id":23,"start_date":"2016-10-17","description":"","custom_fields":[{"id":1,"name":"Subdivision","value":"EC"},{"id":4,"name":"Milepost","value":"0.0141"},{"id":17,"name":"Train ID","value":"134-17"},{"id":16,"name":"Locomotive ID","value":"4001"},{"id":130,"name":"Impact","value":""},{"id":150,"name":"Time of Event (Mountain Time)","value":"09:24:35"},{"id":151,"name":"Denver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406</v>
      </c>
      <c r="B47" s="7">
        <v>4011</v>
      </c>
      <c r="C47" s="22" t="s">
        <v>99</v>
      </c>
      <c r="D47" s="22" t="s">
        <v>311</v>
      </c>
      <c r="E47" s="13">
        <v>42660.326574074075</v>
      </c>
      <c r="F47" s="13">
        <v>42660.333703703705</v>
      </c>
      <c r="G47" s="7">
        <v>1</v>
      </c>
      <c r="H47" s="13" t="s">
        <v>235</v>
      </c>
      <c r="I47" s="13">
        <v>42660.358483796299</v>
      </c>
      <c r="J47" s="7">
        <v>0</v>
      </c>
      <c r="K47" s="112" t="str">
        <f t="shared" si="21"/>
        <v>4011/4012</v>
      </c>
      <c r="L47" s="22" t="str">
        <f>VLOOKUP(A47,'Trips&amp;Operators'!$C$1:$E$10000,3,FALSE)</f>
        <v>YORK</v>
      </c>
      <c r="M47" s="6">
        <f t="shared" si="22"/>
        <v>2.4780092593573499E-2</v>
      </c>
      <c r="N47" s="7">
        <f t="shared" si="23"/>
        <v>35.683333334745839</v>
      </c>
      <c r="O47" s="7"/>
      <c r="P47" s="7"/>
      <c r="Q47" s="23"/>
      <c r="R47" s="23"/>
      <c r="S47" s="35">
        <f t="shared" si="24"/>
        <v>1</v>
      </c>
      <c r="T47" s="50" t="str">
        <f t="shared" si="25"/>
        <v>NorthBound</v>
      </c>
      <c r="U47" s="18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06:50:16-0600',mode:absolute,to:'2016-10-17 09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27"/>
        <v>N</v>
      </c>
      <c r="X47" s="178">
        <f t="shared" si="20"/>
        <v>1</v>
      </c>
      <c r="Y47" s="67">
        <f t="shared" si="28"/>
        <v>4.4400000000000002E-2</v>
      </c>
      <c r="Z47" s="67">
        <f t="shared" si="29"/>
        <v>23.3293</v>
      </c>
      <c r="AA47" s="67">
        <f t="shared" si="30"/>
        <v>23.2849</v>
      </c>
      <c r="AB47" s="64" t="str">
        <f>VLOOKUP(A47,Enforcements!$C$7:$K$21,8,0)</f>
        <v>Speed (6)</v>
      </c>
      <c r="AC47" s="60" t="str">
        <f>VLOOKUP(A47,Enforcements!$C$7:$E$21,3,0)</f>
        <v>PERMANENT SPEED RESTRICTION</v>
      </c>
      <c r="AD47" s="61" t="str">
        <f t="shared" si="31"/>
        <v>0135-17</v>
      </c>
      <c r="AE47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47" s="88" t="str">
        <f t="shared" si="13"/>
        <v>"C:\Program Files (x86)\AstroGrep\AstroGrep.exe" /spath="%USERPROFILE%\AppData\Local\Temp\OnboardLogs" /stypes="app*4011*20161017*" /stext=" 14:.+((SYSTEM_STATE.+slice.+state.+changed )|(ment ac)|(system.+state.+changed )|(\[timeout)|(PRM\|1\|D)|(kpr)|(kdp)|(\|lc)|(penalty))" /e /r /s</v>
      </c>
      <c r="AG47" s="1" t="str">
        <f t="shared" si="32"/>
        <v>EC</v>
      </c>
      <c r="AH47" s="92" t="str">
        <f t="shared" si="17"/>
        <v>"%USERPROFILE%\Documents\GitHub\eaglep3\Utilities\RefineRTDCRunTimes.py" --tripid 135-17 --locoid 4011 --swversion DE.1.0.7.0 --startMP 204:444 --initTime 2016-10-17T07:50:16 --startdatetime 2016-10-17T08:00:32 --delay 1 --endMP 204:233293 --enddatetime 2016-10-17T08:36:13 --enforcementcount 0 &gt;&gt;C:\Users\stu\Documents\GitHub\eaglep3-reporting\EC\2016-10-17-refined-times.txt</v>
      </c>
      <c r="AI4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ID","value":"135-17"},{"id":16,"name":"Locomotive ID","value":"4011"},{"id":130,"name":"Impact","value":""},{"id":150,"name":"Time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4012</v>
      </c>
      <c r="C48" s="22" t="s">
        <v>99</v>
      </c>
      <c r="D48" s="22" t="s">
        <v>653</v>
      </c>
      <c r="E48" s="13">
        <v>42660.359444444446</v>
      </c>
      <c r="F48" s="13">
        <v>42660.372847222221</v>
      </c>
      <c r="G48" s="7">
        <v>1</v>
      </c>
      <c r="H48" s="13" t="s">
        <v>247</v>
      </c>
      <c r="I48" s="13">
        <v>42660.399525462963</v>
      </c>
      <c r="J48" s="7">
        <v>0</v>
      </c>
      <c r="K48" s="112" t="str">
        <f t="shared" si="21"/>
        <v>4011/4012</v>
      </c>
      <c r="L48" s="22" t="str">
        <f>VLOOKUP(A48,'Trips&amp;Operators'!$C$1:$E$10000,3,FALSE)</f>
        <v>YORK</v>
      </c>
      <c r="M48" s="6">
        <f t="shared" si="22"/>
        <v>2.6678240741603076E-2</v>
      </c>
      <c r="N48" s="7">
        <f t="shared" si="23"/>
        <v>38.41666666790843</v>
      </c>
      <c r="O48" s="7"/>
      <c r="P48" s="7"/>
      <c r="Q48" s="23"/>
      <c r="R48" s="23"/>
      <c r="S48" s="35">
        <f t="shared" si="24"/>
        <v>1</v>
      </c>
      <c r="T48" s="50" t="str">
        <f t="shared" si="25"/>
        <v>Southbound</v>
      </c>
      <c r="U48" s="18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07:37:36-0600',mode:absolute,to:'2016-10-17 10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27"/>
        <v>N</v>
      </c>
      <c r="X48" s="178">
        <f t="shared" si="20"/>
        <v>1</v>
      </c>
      <c r="Y48" s="67">
        <f t="shared" si="28"/>
        <v>23.297000000000001</v>
      </c>
      <c r="Z48" s="67">
        <f t="shared" si="29"/>
        <v>1.34E-2</v>
      </c>
      <c r="AA48" s="67">
        <f t="shared" si="30"/>
        <v>23.2836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31"/>
        <v>0136-17</v>
      </c>
      <c r="AE48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48" s="88" t="str">
        <f t="shared" si="13"/>
        <v>"C:\Program Files (x86)\AstroGrep\AstroGrep.exe" /spath="%USERPROFILE%\AppData\Local\Temp\OnboardLogs" /stypes="app*4012*20161017*" /stext=" 15:.+((SYSTEM_STATE.+slice.+state.+changed )|(ment ac)|(system.+state.+changed )|(\[timeout)|(PRM\|1\|D)|(kpr)|(kdp)|(\|lc)|(penalty))" /e /r /s</v>
      </c>
      <c r="AG48" s="1" t="str">
        <f t="shared" si="32"/>
        <v>EC</v>
      </c>
      <c r="AH48" s="92" t="str">
        <f t="shared" si="17"/>
        <v>"%USERPROFILE%\Documents\GitHub\eaglep3\Utilities\RefineRTDCRunTimes.py" --tripid 136-17 --locoid 4012 --swversion DE.1.0.7.0 --startMP 204:232970 --initTime 2016-10-17T08:37:36 --startdatetime 2016-10-17T08:56:54 --delay 1 --endMP 204:134 --enddatetime 2016-10-17T09:35:19 --enforcementcount 0 &gt;&gt;C:\Users\stu\Documents\GitHub\eaglep3-reporting\EC\2016-10-17-refined-times.txt</v>
      </c>
      <c r="AI4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{"issue":{"subject":"","project_id":79,"tracker_id":40,"status_id":1,"priority_id":2,"assigned_to_id":23,"start_date":"2016-10-17","description":"","custom_fields":[{"id":1,"name":"Subdivision","value":"EC"},{"id":4,"name":"Milepost","value":"0.0134"},{"id":17,"name":"Train ID","value":"136-17"},{"id":16,"name":"Locomotive ID","value":"4012"},{"id":130,"name":"Impact","value":""},{"id":150,"name":"Time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469</v>
      </c>
      <c r="B49" s="7">
        <v>4044</v>
      </c>
      <c r="C49" s="22" t="s">
        <v>99</v>
      </c>
      <c r="D49" s="22" t="s">
        <v>654</v>
      </c>
      <c r="E49" s="13">
        <v>42660.339270833334</v>
      </c>
      <c r="F49" s="13">
        <v>42660.343969907408</v>
      </c>
      <c r="G49" s="7">
        <v>1</v>
      </c>
      <c r="H49" s="13" t="s">
        <v>655</v>
      </c>
      <c r="I49" s="13">
        <v>42660.369074074071</v>
      </c>
      <c r="J49" s="7">
        <v>0</v>
      </c>
      <c r="K49" s="112" t="str">
        <f t="shared" si="21"/>
        <v>4043/4044</v>
      </c>
      <c r="L49" s="22" t="str">
        <f>VLOOKUP(A49,'Trips&amp;Operators'!$C$1:$E$10000,3,FALSE)</f>
        <v>SPECTOR</v>
      </c>
      <c r="M49" s="6">
        <f t="shared" si="22"/>
        <v>2.5104166663368233E-2</v>
      </c>
      <c r="N49" s="7">
        <f t="shared" si="23"/>
        <v>36.149999995250255</v>
      </c>
      <c r="O49" s="7"/>
      <c r="P49" s="7"/>
      <c r="Q49" s="23"/>
      <c r="R49" s="23"/>
      <c r="S49" s="35">
        <f t="shared" si="24"/>
        <v>1</v>
      </c>
      <c r="T49" s="50" t="str">
        <f t="shared" si="25"/>
        <v>NorthBound</v>
      </c>
      <c r="U49" s="18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07:08:33-0600',mode:absolute,to:'2016-10-17 09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9" s="52" t="str">
        <f t="shared" si="27"/>
        <v>N</v>
      </c>
      <c r="X49" s="178">
        <f t="shared" si="20"/>
        <v>1</v>
      </c>
      <c r="Y49" s="67">
        <f t="shared" si="28"/>
        <v>4.3499999999999997E-2</v>
      </c>
      <c r="Z49" s="67">
        <f t="shared" si="29"/>
        <v>23.331099999999999</v>
      </c>
      <c r="AA49" s="67">
        <f t="shared" si="30"/>
        <v>23.287599999999998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31"/>
        <v>0137-17</v>
      </c>
      <c r="AE49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49" s="88" t="str">
        <f t="shared" si="13"/>
        <v>"C:\Program Files (x86)\AstroGrep\AstroGrep.exe" /spath="%USERPROFILE%\AppData\Local\Temp\OnboardLogs" /stypes="app*4044*20161017*" /stext=" 14:.+((SYSTEM_STATE.+slice.+state.+changed )|(ment ac)|(system.+state.+changed )|(\[timeout)|(PRM\|1\|D)|(kpr)|(kdp)|(\|lc)|(penalty))" /e /r /s</v>
      </c>
      <c r="AG49" s="1" t="str">
        <f t="shared" si="32"/>
        <v>EC</v>
      </c>
      <c r="AH49" s="92" t="str">
        <f t="shared" si="17"/>
        <v>"%USERPROFILE%\Documents\GitHub\eaglep3\Utilities\RefineRTDCRunTimes.py" --tripid 137-17 --locoid 4044 --swversion DE.1.0.7.0 --startMP 204:435 --initTime 2016-10-17T08:08:33 --startdatetime 2016-10-17T08:15:19 --delay 1 --endMP 204:233311 --enddatetime 2016-10-17T08:51:28 --enforcementcount 0 &gt;&gt;C:\Users\stu\Documents\GitHub\eaglep3-reporting\EC\2016-10-17-refined-times.txt</v>
      </c>
      <c r="AI4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{"issue":{"subject":"","project_id":79,"tracker_id":40,"status_id":1,"priority_id":2,"assigned_to_id":23,"start_date":"2016-10-17","description":"","custom_fields":[{"id":1,"name":"Subdivision","value":"EC"},{"id":4,"name":"Milepost","value":"23.3311"},{"id":17,"name":"Train ID","value":"137-17"},{"id":16,"name":"Locomotive ID","value":"4044"},{"id":130,"name":"Impact","value":""},{"id":150,"name":"Time of Event (Mountain Time)","value":"08:51:28"},{"id":151,"name":"Denver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479</v>
      </c>
      <c r="B50" s="7">
        <v>4043</v>
      </c>
      <c r="C50" s="22" t="s">
        <v>99</v>
      </c>
      <c r="D50" s="22" t="s">
        <v>290</v>
      </c>
      <c r="E50" s="13">
        <v>42660.377280092594</v>
      </c>
      <c r="F50" s="13">
        <v>42660.382824074077</v>
      </c>
      <c r="G50" s="7">
        <v>1</v>
      </c>
      <c r="H50" s="13" t="s">
        <v>176</v>
      </c>
      <c r="I50" s="13">
        <v>42660.410416666666</v>
      </c>
      <c r="J50" s="7">
        <v>0</v>
      </c>
      <c r="K50" s="112" t="str">
        <f t="shared" si="21"/>
        <v>4043/4044</v>
      </c>
      <c r="L50" s="22" t="str">
        <f>VLOOKUP(A50,'Trips&amp;Operators'!$C$1:$E$10000,3,FALSE)</f>
        <v>SPECTOR</v>
      </c>
      <c r="M50" s="6">
        <f t="shared" si="22"/>
        <v>2.7592592588916887E-2</v>
      </c>
      <c r="N50" s="7">
        <f t="shared" si="23"/>
        <v>39.733333328040317</v>
      </c>
      <c r="O50" s="7"/>
      <c r="P50" s="7"/>
      <c r="Q50" s="23"/>
      <c r="R50" s="23"/>
      <c r="S50" s="35">
        <f t="shared" si="24"/>
        <v>1</v>
      </c>
      <c r="T50" s="50" t="str">
        <f t="shared" si="25"/>
        <v>Southbound</v>
      </c>
      <c r="U50" s="18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08:03:17-0600',mode:absolute,to:'2016-10-17 10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0" s="52" t="str">
        <f t="shared" si="27"/>
        <v>N</v>
      </c>
      <c r="X50" s="178">
        <f t="shared" si="20"/>
        <v>1</v>
      </c>
      <c r="Y50" s="67">
        <f t="shared" si="28"/>
        <v>23.2988</v>
      </c>
      <c r="Z50" s="67">
        <f t="shared" si="29"/>
        <v>1.47E-2</v>
      </c>
      <c r="AA50" s="67">
        <f t="shared" si="30"/>
        <v>23.284099999999999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31"/>
        <v>0138-17</v>
      </c>
      <c r="AE50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50" s="88" t="str">
        <f t="shared" si="13"/>
        <v>"C:\Program Files (x86)\AstroGrep\AstroGrep.exe" /spath="%USERPROFILE%\AppData\Local\Temp\OnboardLogs" /stypes="app*4043*20161017*" /stext=" 15:.+((SYSTEM_STATE.+slice.+state.+changed )|(ment ac)|(system.+state.+changed )|(\[timeout)|(PRM\|1\|D)|(kpr)|(kdp)|(\|lc)|(penalty))" /e /r /s</v>
      </c>
      <c r="AG50" s="1" t="str">
        <f t="shared" si="32"/>
        <v>EC</v>
      </c>
      <c r="AH50" s="92" t="str">
        <f t="shared" si="17"/>
        <v>"%USERPROFILE%\Documents\GitHub\eaglep3\Utilities\RefineRTDCRunTimes.py" --tripid 138-17 --locoid 4043 --swversion DE.1.0.7.0 --startMP 204:232988 --initTime 2016-10-17T09:03:17 --startdatetime 2016-10-17T09:11:16 --delay 1 --endMP 204:147 --enddatetime 2016-10-17T09:51:00 --enforcementcount 0 &gt;&gt;C:\Users\stu\Documents\GitHub\eaglep3-reporting\EC\2016-10-17-refined-times.txt</v>
      </c>
      <c r="AI5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ID","value":"138-17"},{"id":16,"name":"Locomotive ID","value":"4043"},{"id":130,"name":"Impact","value":""},{"id":150,"name":"Time of Event (Mountain Time)","value":"09:51:00"},{"id":151,"name":"Denver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473</v>
      </c>
      <c r="B51" s="7">
        <v>4025</v>
      </c>
      <c r="C51" s="22" t="s">
        <v>99</v>
      </c>
      <c r="D51" s="22" t="s">
        <v>264</v>
      </c>
      <c r="E51" s="13">
        <v>42660.350891203707</v>
      </c>
      <c r="F51" s="13">
        <v>42660.35434027778</v>
      </c>
      <c r="G51" s="7">
        <v>1</v>
      </c>
      <c r="H51" s="13" t="s">
        <v>356</v>
      </c>
      <c r="I51" s="13">
        <v>42660.38008101852</v>
      </c>
      <c r="J51" s="7">
        <v>0</v>
      </c>
      <c r="K51" s="112" t="str">
        <f t="shared" si="21"/>
        <v>4025/4026</v>
      </c>
      <c r="L51" s="22" t="str">
        <f>VLOOKUP(A51,'Trips&amp;Operators'!$C$1:$E$10000,3,FALSE)</f>
        <v>STARKS</v>
      </c>
      <c r="M51" s="6">
        <f t="shared" si="22"/>
        <v>2.5740740740729962E-2</v>
      </c>
      <c r="N51" s="7">
        <f t="shared" si="23"/>
        <v>37.066666666651145</v>
      </c>
      <c r="O51" s="7"/>
      <c r="P51" s="7"/>
      <c r="Q51" s="23"/>
      <c r="R51" s="23"/>
      <c r="S51" s="35">
        <f t="shared" si="24"/>
        <v>1</v>
      </c>
      <c r="T51" s="50" t="str">
        <f t="shared" si="25"/>
        <v>NorthBound</v>
      </c>
      <c r="U51" s="18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07:25:17-0600',mode:absolute,to:'2016-10-17 10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27"/>
        <v>N</v>
      </c>
      <c r="X51" s="178">
        <f t="shared" si="20"/>
        <v>1</v>
      </c>
      <c r="Y51" s="67">
        <f t="shared" si="28"/>
        <v>4.5100000000000001E-2</v>
      </c>
      <c r="Z51" s="67">
        <f t="shared" si="29"/>
        <v>23.331700000000001</v>
      </c>
      <c r="AA51" s="67">
        <f t="shared" si="30"/>
        <v>23.2866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31"/>
        <v>0139-17</v>
      </c>
      <c r="AE51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51" s="88" t="str">
        <f t="shared" si="13"/>
        <v>"C:\Program Files (x86)\AstroGrep\AstroGrep.exe" /spath="%USERPROFILE%\AppData\Local\Temp\OnboardLogs" /stypes="app*4025*20161017*" /stext=" 15:.+((SYSTEM_STATE.+slice.+state.+changed )|(ment ac)|(system.+state.+changed )|(\[timeout)|(PRM\|1\|D)|(kpr)|(kdp)|(\|lc)|(penalty))" /e /r /s</v>
      </c>
      <c r="AG51" s="1" t="str">
        <f t="shared" si="32"/>
        <v>EC</v>
      </c>
      <c r="AH51" s="92" t="str">
        <f t="shared" si="17"/>
        <v>"%USERPROFILE%\Documents\GitHub\eaglep3\Utilities\RefineRTDCRunTimes.py" --tripid 139-17 --locoid 4025 --swversion DE.1.0.7.0 --startMP 204:451 --initTime 2016-10-17T08:25:17 --startdatetime 2016-10-17T08:30:15 --delay 1 --endMP 204:233317 --enddatetime 2016-10-17T09:07:19 --enforcementcount 0 &gt;&gt;C:\Users\stu\Documents\GitHub\eaglep3-reporting\EC\2016-10-17-refined-times.txt</v>
      </c>
      <c r="AI5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{"issue":{"subject":"","project_id":79,"tracker_id":40,"status_id":1,"priority_id":2,"assigned_to_id":23,"start_date":"2016-10-17","description":"","custom_fields":[{"id":1,"name":"Subdivision","value":"EC"},{"id":4,"name":"Milepost","value":"23.3317"},{"id":17,"name":"Train ID","value":"139-17"},{"id":16,"name":"Locomotive ID","value":"4025"},{"id":130,"name":"Impact","value":""},{"id":150,"name":"Time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481</v>
      </c>
      <c r="B52" s="7">
        <v>4026</v>
      </c>
      <c r="C52" s="22" t="s">
        <v>99</v>
      </c>
      <c r="D52" s="22" t="s">
        <v>328</v>
      </c>
      <c r="E52" s="13">
        <v>42660.389733796299</v>
      </c>
      <c r="F52" s="13">
        <v>42660.393229166664</v>
      </c>
      <c r="G52" s="7">
        <v>1</v>
      </c>
      <c r="H52" s="13" t="s">
        <v>177</v>
      </c>
      <c r="I52" s="13">
        <v>42660.424756944441</v>
      </c>
      <c r="J52" s="7">
        <v>0</v>
      </c>
      <c r="K52" s="112" t="str">
        <f t="shared" si="21"/>
        <v>4025/4026</v>
      </c>
      <c r="L52" s="22" t="str">
        <f>VLOOKUP(A52,'Trips&amp;Operators'!$C$1:$E$10000,3,FALSE)</f>
        <v>STARKS</v>
      </c>
      <c r="M52" s="6">
        <f t="shared" si="22"/>
        <v>3.1527777777228039E-2</v>
      </c>
      <c r="N52" s="7">
        <f t="shared" si="23"/>
        <v>45.399999999208376</v>
      </c>
      <c r="O52" s="7"/>
      <c r="P52" s="7"/>
      <c r="Q52" s="23"/>
      <c r="R52" s="23"/>
      <c r="S52" s="35">
        <f t="shared" si="24"/>
        <v>1</v>
      </c>
      <c r="T52" s="50" t="str">
        <f t="shared" si="25"/>
        <v>Southbound</v>
      </c>
      <c r="U52" s="18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08:21:13-0600',mode:absolute,to:'2016-10-17 11:11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27"/>
        <v>N</v>
      </c>
      <c r="X52" s="178">
        <f t="shared" si="20"/>
        <v>1</v>
      </c>
      <c r="Y52" s="67">
        <f t="shared" si="28"/>
        <v>23.3</v>
      </c>
      <c r="Z52" s="67">
        <f t="shared" si="29"/>
        <v>1.52E-2</v>
      </c>
      <c r="AA52" s="67">
        <f t="shared" si="30"/>
        <v>23.284800000000001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31"/>
        <v>0140-17</v>
      </c>
      <c r="AE52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52" s="88" t="str">
        <f t="shared" si="13"/>
        <v>"C:\Program Files (x86)\AstroGrep\AstroGrep.exe" /spath="%USERPROFILE%\AppData\Local\Temp\OnboardLogs" /stypes="app*4026*20161017*" /stext=" 16:.+((SYSTEM_STATE.+slice.+state.+changed )|(ment ac)|(system.+state.+changed )|(\[timeout)|(PRM\|1\|D)|(kpr)|(kdp)|(\|lc)|(penalty))" /e /r /s</v>
      </c>
      <c r="AG52" s="1" t="str">
        <f t="shared" si="32"/>
        <v>EC</v>
      </c>
      <c r="AH52" s="92" t="str">
        <f t="shared" si="17"/>
        <v>"%USERPROFILE%\Documents\GitHub\eaglep3\Utilities\RefineRTDCRunTimes.py" --tripid 140-17 --locoid 4026 --swversion DE.1.0.7.0 --startMP 204:233000 --initTime 2016-10-17T09:21:13 --startdatetime 2016-10-17T09:26:15 --delay 1 --endMP 204:152 --enddatetime 2016-10-17T10:11:39 --enforcementcount 0 &gt;&gt;C:\Users\stu\Documents\GitHub\eaglep3-reporting\EC\2016-10-17-refined-times.txt</v>
      </c>
      <c r="AI5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ID","value":"140-17"},{"id":16,"name":"Locomotive ID","value":"4026"},{"id":130,"name":"Impact","value":""},{"id":150,"name":"Time of Event (Mountain Time)","value":"10:11:39"},{"id":151,"name":"Denver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477</v>
      </c>
      <c r="B53" s="7">
        <v>4018</v>
      </c>
      <c r="C53" s="22" t="s">
        <v>99</v>
      </c>
      <c r="D53" s="22" t="s">
        <v>361</v>
      </c>
      <c r="E53" s="13">
        <v>42660.36146990741</v>
      </c>
      <c r="F53" s="13">
        <v>42660.365474537037</v>
      </c>
      <c r="G53" s="7">
        <v>1</v>
      </c>
      <c r="H53" s="13" t="s">
        <v>235</v>
      </c>
      <c r="I53" s="13">
        <v>42660.389756944445</v>
      </c>
      <c r="J53" s="7">
        <v>0</v>
      </c>
      <c r="K53" s="112" t="str">
        <f t="shared" si="21"/>
        <v>4017/4018</v>
      </c>
      <c r="L53" s="22" t="str">
        <f>VLOOKUP(A53,'Trips&amp;Operators'!$C$1:$E$10000,3,FALSE)</f>
        <v>KILLION</v>
      </c>
      <c r="M53" s="6">
        <f t="shared" si="22"/>
        <v>2.4282407408463769E-2</v>
      </c>
      <c r="N53" s="7">
        <f t="shared" si="23"/>
        <v>34.966666668187827</v>
      </c>
      <c r="O53" s="7"/>
      <c r="P53" s="7"/>
      <c r="Q53" s="23"/>
      <c r="R53" s="23"/>
      <c r="S53" s="35">
        <f t="shared" si="24"/>
        <v>1</v>
      </c>
      <c r="T53" s="50" t="str">
        <f t="shared" si="25"/>
        <v>NorthBound</v>
      </c>
      <c r="U53" s="18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07:40:31-0600',mode:absolute,to:'2016-10-17 10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3" s="52" t="str">
        <f t="shared" si="27"/>
        <v>N</v>
      </c>
      <c r="X53" s="178">
        <f t="shared" si="20"/>
        <v>1</v>
      </c>
      <c r="Y53" s="67">
        <f t="shared" si="28"/>
        <v>4.7699999999999999E-2</v>
      </c>
      <c r="Z53" s="67">
        <f t="shared" si="29"/>
        <v>23.3293</v>
      </c>
      <c r="AA53" s="67">
        <f t="shared" si="30"/>
        <v>23.281600000000001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31"/>
        <v>0141-17</v>
      </c>
      <c r="AE53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53" s="88" t="str">
        <f t="shared" si="13"/>
        <v>"C:\Program Files (x86)\AstroGrep\AstroGrep.exe" /spath="%USERPROFILE%\AppData\Local\Temp\OnboardLogs" /stypes="app*4018*20161017*" /stext=" 15:.+((SYSTEM_STATE.+slice.+state.+changed )|(ment ac)|(system.+state.+changed )|(\[timeout)|(PRM\|1\|D)|(kpr)|(kdp)|(\|lc)|(penalty))" /e /r /s</v>
      </c>
      <c r="AG53" s="1" t="str">
        <f t="shared" si="32"/>
        <v>EC</v>
      </c>
      <c r="AH53" s="92" t="str">
        <f t="shared" si="17"/>
        <v>"%USERPROFILE%\Documents\GitHub\eaglep3\Utilities\RefineRTDCRunTimes.py" --tripid 141-17 --locoid 4018 --swversion DE.1.0.7.0 --startMP 204:477 --initTime 2016-10-17T08:40:31 --startdatetime 2016-10-17T08:46:17 --delay 1 --endMP 204:233293 --enddatetime 2016-10-17T09:21:15 --enforcementcount 0 &gt;&gt;C:\Users\stu\Documents\GitHub\eaglep3-reporting\EC\2016-10-17-refined-times.txt</v>
      </c>
      <c r="AI5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ID","value":"141-17"},{"id":16,"name":"Locomotive ID","value":"4018"},{"id":130,"name":"Impact","value":""},{"id":150,"name":"Time of Event (Mountain Time)","value":"09:21:15"},{"id":151,"name":"Denver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483</v>
      </c>
      <c r="B54" s="7">
        <v>4017</v>
      </c>
      <c r="C54" s="22" t="s">
        <v>99</v>
      </c>
      <c r="D54" s="22" t="s">
        <v>310</v>
      </c>
      <c r="E54" s="13">
        <v>42660.397974537038</v>
      </c>
      <c r="F54" s="13">
        <v>42660.403680555559</v>
      </c>
      <c r="G54" s="7">
        <v>1</v>
      </c>
      <c r="H54" s="13" t="s">
        <v>232</v>
      </c>
      <c r="I54" s="13">
        <v>42660.433009259257</v>
      </c>
      <c r="J54" s="7">
        <v>0</v>
      </c>
      <c r="K54" s="112" t="str">
        <f t="shared" si="21"/>
        <v>4017/4018</v>
      </c>
      <c r="L54" s="22" t="str">
        <f>VLOOKUP(A54,'Trips&amp;Operators'!$C$1:$E$10000,3,FALSE)</f>
        <v>KILLION</v>
      </c>
      <c r="M54" s="6">
        <f t="shared" si="22"/>
        <v>2.9328703698411118E-2</v>
      </c>
      <c r="N54" s="7">
        <f t="shared" si="23"/>
        <v>42.23333332571201</v>
      </c>
      <c r="O54" s="7"/>
      <c r="P54" s="7"/>
      <c r="Q54" s="23"/>
      <c r="R54" s="23"/>
      <c r="S54" s="35">
        <f t="shared" si="24"/>
        <v>1</v>
      </c>
      <c r="T54" s="50" t="str">
        <f t="shared" si="25"/>
        <v>Southbound</v>
      </c>
      <c r="U54" s="18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08:33:05-0600',mode:absolute,to:'2016-10-17 11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4" s="52" t="str">
        <f t="shared" si="27"/>
        <v>N</v>
      </c>
      <c r="X54" s="178">
        <f t="shared" si="20"/>
        <v>1</v>
      </c>
      <c r="Y54" s="67">
        <f t="shared" si="28"/>
        <v>23.296500000000002</v>
      </c>
      <c r="Z54" s="67">
        <f t="shared" si="29"/>
        <v>1.4500000000000001E-2</v>
      </c>
      <c r="AA54" s="67">
        <f t="shared" si="30"/>
        <v>23.282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31"/>
        <v>0142-17</v>
      </c>
      <c r="AE54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54" s="88" t="str">
        <f t="shared" si="13"/>
        <v>"C:\Program Files (x86)\AstroGrep\AstroGrep.exe" /spath="%USERPROFILE%\AppData\Local\Temp\OnboardLogs" /stypes="app*4017*20161017*" /stext=" 16:.+((SYSTEM_STATE.+slice.+state.+changed )|(ment ac)|(system.+state.+changed )|(\[timeout)|(PRM\|1\|D)|(kpr)|(kdp)|(\|lc)|(penalty))" /e /r /s</v>
      </c>
      <c r="AG54" s="1" t="str">
        <f t="shared" si="32"/>
        <v>EC</v>
      </c>
      <c r="AH54" s="92" t="str">
        <f t="shared" si="17"/>
        <v>"%USERPROFILE%\Documents\GitHub\eaglep3\Utilities\RefineRTDCRunTimes.py" --tripid 142-17 --locoid 4017 --swversion DE.1.0.7.0 --startMP 204:232965 --initTime 2016-10-17T09:33:05 --startdatetime 2016-10-17T09:41:18 --delay 1 --endMP 204:145 --enddatetime 2016-10-17T10:23:32 --enforcementcount 0 &gt;&gt;C:\Users\stu\Documents\GitHub\eaglep3-reporting\EC\2016-10-17-refined-times.txt</v>
      </c>
      <c r="AI5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{"issue":{"subject":"","project_id":79,"tracker_id":40,"status_id":1,"priority_id":2,"assigned_to_id":23,"start_date":"2016-10-17","description":"","custom_fields":[{"id":1,"name":"Subdivision","value":"EC"},{"id":4,"name":"Milepost","value":"0.0145"},{"id":17,"name":"Train ID","value":"142-17"},{"id":16,"name":"Locomotive ID","value":"4017"},{"id":130,"name":"Impact","value":""},{"id":150,"name":"Time of Event (Mountain Time)","value":"10:23:32"},{"id":151,"name":"Denver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478</v>
      </c>
      <c r="B55" s="7">
        <v>4038</v>
      </c>
      <c r="C55" s="22" t="s">
        <v>99</v>
      </c>
      <c r="D55" s="22" t="s">
        <v>250</v>
      </c>
      <c r="E55" s="13">
        <v>42660.373506944445</v>
      </c>
      <c r="F55" s="13">
        <v>42660.375347222223</v>
      </c>
      <c r="G55" s="7">
        <v>1</v>
      </c>
      <c r="H55" s="13" t="s">
        <v>365</v>
      </c>
      <c r="I55" s="13">
        <v>42660.4065162037</v>
      </c>
      <c r="J55" s="7">
        <v>0</v>
      </c>
      <c r="K55" s="112" t="str">
        <f t="shared" si="21"/>
        <v>4037/4038</v>
      </c>
      <c r="L55" s="22" t="str">
        <f>VLOOKUP(A55,'Trips&amp;Operators'!$C$1:$E$10000,3,FALSE)</f>
        <v>MALAVE</v>
      </c>
      <c r="M55" s="6">
        <f t="shared" si="22"/>
        <v>3.1168981477094349E-2</v>
      </c>
      <c r="N55" s="7">
        <f t="shared" si="23"/>
        <v>44.883333327015862</v>
      </c>
      <c r="O55" s="7"/>
      <c r="P55" s="7"/>
      <c r="Q55" s="23"/>
      <c r="R55" s="23"/>
      <c r="S55" s="35">
        <f t="shared" si="24"/>
        <v>1</v>
      </c>
      <c r="T55" s="50" t="str">
        <f t="shared" si="25"/>
        <v>NorthBound</v>
      </c>
      <c r="U55" s="18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07:57:51-0600',mode:absolute,to:'2016-10-17 10:45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5" s="52" t="str">
        <f t="shared" si="27"/>
        <v>N</v>
      </c>
      <c r="X55" s="178">
        <f t="shared" si="20"/>
        <v>1</v>
      </c>
      <c r="Y55" s="67">
        <f t="shared" si="28"/>
        <v>4.6600000000000003E-2</v>
      </c>
      <c r="Z55" s="67">
        <f t="shared" si="29"/>
        <v>23.330400000000001</v>
      </c>
      <c r="AA55" s="67">
        <f t="shared" si="30"/>
        <v>23.283799999999999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31"/>
        <v>0143-17</v>
      </c>
      <c r="AE55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55" s="88" t="str">
        <f t="shared" si="13"/>
        <v>"C:\Program Files (x86)\AstroGrep\AstroGrep.exe" /spath="%USERPROFILE%\AppData\Local\Temp\OnboardLogs" /stypes="app*4038*20161017*" /stext=" 15:.+((SYSTEM_STATE.+slice.+state.+changed )|(ment ac)|(system.+state.+changed )|(\[timeout)|(PRM\|1\|D)|(kpr)|(kdp)|(\|lc)|(penalty))" /e /r /s</v>
      </c>
      <c r="AG55" s="1" t="str">
        <f t="shared" si="32"/>
        <v>EC</v>
      </c>
      <c r="AH55" s="92" t="str">
        <f t="shared" si="17"/>
        <v>"%USERPROFILE%\Documents\GitHub\eaglep3\Utilities\RefineRTDCRunTimes.py" --tripid 143-17 --locoid 4038 --swversion DE.1.0.7.0 --startMP 204:466 --initTime 2016-10-17T08:57:51 --startdatetime 2016-10-17T09:00:30 --delay 1 --endMP 204:233304 --enddatetime 2016-10-17T09:45:23 --enforcementcount 0 &gt;&gt;C:\Users\stu\Documents\GitHub\eaglep3-reporting\EC\2016-10-17-refined-times.txt</v>
      </c>
      <c r="AI5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{"issue":{"subject":"","project_id":79,"tracker_id":40,"status_id":1,"priority_id":2,"assigned_to_id":23,"start_date":"2016-10-17","description":"","custom_fields":[{"id":1,"name":"Subdivision","value":"EC"},{"id":4,"name":"Milepost","value":"23.3304"},{"id":17,"name":"Train ID","value":"143-17"},{"id":16,"name":"Locomotive ID","value":"4038"},{"id":130,"name":"Impact","value":""},{"id":150,"name":"Time of Event (Mountain Time)","value":"09:45:23"},{"id":151,"name":"Denver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410</v>
      </c>
      <c r="B56" s="7">
        <v>4037</v>
      </c>
      <c r="C56" s="22" t="s">
        <v>99</v>
      </c>
      <c r="D56" s="22" t="s">
        <v>381</v>
      </c>
      <c r="E56" s="13">
        <v>42660.41269675926</v>
      </c>
      <c r="F56" s="13">
        <v>42660.414085648146</v>
      </c>
      <c r="G56" s="7">
        <v>1</v>
      </c>
      <c r="H56" s="13" t="s">
        <v>656</v>
      </c>
      <c r="I56" s="13">
        <v>42660.442916666667</v>
      </c>
      <c r="J56" s="7">
        <v>0</v>
      </c>
      <c r="K56" s="112" t="str">
        <f t="shared" si="21"/>
        <v>4037/4038</v>
      </c>
      <c r="L56" s="22" t="str">
        <f>VLOOKUP(A56,'Trips&amp;Operators'!$C$1:$E$10000,3,FALSE)</f>
        <v>MALAVE</v>
      </c>
      <c r="M56" s="6">
        <f t="shared" si="22"/>
        <v>2.8831018520577345E-2</v>
      </c>
      <c r="N56" s="7">
        <f t="shared" si="23"/>
        <v>41.516666669631377</v>
      </c>
      <c r="O56" s="7"/>
      <c r="P56" s="7"/>
      <c r="Q56" s="23"/>
      <c r="R56" s="23"/>
      <c r="S56" s="35">
        <f t="shared" si="24"/>
        <v>1</v>
      </c>
      <c r="T56" s="50" t="str">
        <f t="shared" si="25"/>
        <v>Southbound</v>
      </c>
      <c r="U56" s="18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08:54:17-0600',mode:absolute,to:'2016-10-17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6" s="52" t="str">
        <f t="shared" si="27"/>
        <v>N</v>
      </c>
      <c r="X56" s="178">
        <f t="shared" si="20"/>
        <v>1</v>
      </c>
      <c r="Y56" s="67">
        <f t="shared" si="28"/>
        <v>23.296800000000001</v>
      </c>
      <c r="Z56" s="67">
        <f t="shared" si="29"/>
        <v>1.7000000000000001E-2</v>
      </c>
      <c r="AA56" s="67">
        <f t="shared" si="30"/>
        <v>23.279800000000002</v>
      </c>
      <c r="AB56" s="64" t="str">
        <f>VLOOKUP(A56,Enforcements!$C$7:$K$21,8,0)</f>
        <v>Speed (6)</v>
      </c>
      <c r="AC56" s="60" t="str">
        <f>VLOOKUP(A56,Enforcements!$C$7:$E$21,3,0)</f>
        <v>PERMANENT SPEED RESTRICTION</v>
      </c>
      <c r="AD56" s="61" t="str">
        <f t="shared" si="31"/>
        <v>0144-17</v>
      </c>
      <c r="AE56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56" s="88" t="str">
        <f t="shared" si="13"/>
        <v>"C:\Program Files (x86)\AstroGrep\AstroGrep.exe" /spath="%USERPROFILE%\AppData\Local\Temp\OnboardLogs" /stypes="app*4037*20161017*" /stext=" 16:.+((SYSTEM_STATE.+slice.+state.+changed )|(ment ac)|(system.+state.+changed )|(\[timeout)|(PRM\|1\|D)|(kpr)|(kdp)|(\|lc)|(penalty))" /e /r /s</v>
      </c>
      <c r="AG56" s="1" t="str">
        <f t="shared" si="32"/>
        <v>EC</v>
      </c>
      <c r="AH56" s="92" t="str">
        <f t="shared" si="17"/>
        <v>"%USERPROFILE%\Documents\GitHub\eaglep3\Utilities\RefineRTDCRunTimes.py" --tripid 144-17 --locoid 4037 --swversion DE.1.0.7.0 --startMP 204:232968 --initTime 2016-10-17T09:54:17 --startdatetime 2016-10-17T09:56:17 --delay 1 --endMP 204:170 --enddatetime 2016-10-17T10:37:48 --enforcementcount 0 &gt;&gt;C:\Users\stu\Documents\GitHub\eaglep3-reporting\EC\2016-10-17-refined-times.txt</v>
      </c>
      <c r="AI5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ID","value":"144-17"},{"id":16,"name":"Locomotive ID","value":"4037"},{"id":130,"name":"Impact","value":""},{"id":150,"name":"Time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480</v>
      </c>
      <c r="B57" s="7">
        <v>4031</v>
      </c>
      <c r="C57" s="22" t="s">
        <v>99</v>
      </c>
      <c r="D57" s="22" t="s">
        <v>250</v>
      </c>
      <c r="E57" s="13">
        <v>42660.38082175926</v>
      </c>
      <c r="F57" s="13">
        <v>42660.385625000003</v>
      </c>
      <c r="G57" s="7">
        <v>2</v>
      </c>
      <c r="H57" s="13" t="s">
        <v>655</v>
      </c>
      <c r="I57" s="13">
        <v>42660.413680555554</v>
      </c>
      <c r="J57" s="7">
        <v>0</v>
      </c>
      <c r="K57" s="112" t="str">
        <f t="shared" si="21"/>
        <v>4031/4032</v>
      </c>
      <c r="L57" s="22" t="str">
        <f>VLOOKUP(A57,'Trips&amp;Operators'!$C$1:$E$10000,3,FALSE)</f>
        <v>ACKERMAN</v>
      </c>
      <c r="M57" s="6">
        <f t="shared" si="22"/>
        <v>2.8055555550963618E-2</v>
      </c>
      <c r="N57" s="7">
        <f t="shared" si="23"/>
        <v>40.39999999338761</v>
      </c>
      <c r="O57" s="7"/>
      <c r="P57" s="7"/>
      <c r="Q57" s="23"/>
      <c r="R57" s="23"/>
      <c r="S57" s="35">
        <f t="shared" si="24"/>
        <v>1</v>
      </c>
      <c r="T57" s="50" t="str">
        <f t="shared" si="25"/>
        <v>NorthBound</v>
      </c>
      <c r="U57" s="18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08:08:23-0600',mode:absolute,to:'2016-10-17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27"/>
        <v>N</v>
      </c>
      <c r="X57" s="178">
        <f t="shared" si="20"/>
        <v>1</v>
      </c>
      <c r="Y57" s="67">
        <f t="shared" si="28"/>
        <v>4.6600000000000003E-2</v>
      </c>
      <c r="Z57" s="67">
        <f t="shared" si="29"/>
        <v>23.331099999999999</v>
      </c>
      <c r="AA57" s="67">
        <f t="shared" si="30"/>
        <v>23.284499999999998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31"/>
        <v>0145-17</v>
      </c>
      <c r="AE57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57" s="88" t="str">
        <f t="shared" si="13"/>
        <v>"C:\Program Files (x86)\AstroGrep\AstroGrep.exe" /spath="%USERPROFILE%\AppData\Local\Temp\OnboardLogs" /stypes="app*4031*20161017*" /stext=" 15:.+((SYSTEM_STATE.+slice.+state.+changed )|(ment ac)|(system.+state.+changed )|(\[timeout)|(PRM\|1\|D)|(kpr)|(kdp)|(\|lc)|(penalty))" /e /r /s</v>
      </c>
      <c r="AG57" s="1" t="str">
        <f t="shared" si="32"/>
        <v>EC</v>
      </c>
      <c r="AH57" s="92" t="str">
        <f t="shared" si="17"/>
        <v>"%USERPROFILE%\Documents\GitHub\eaglep3\Utilities\RefineRTDCRunTimes.py" --tripid 145-17 --locoid 4031 --swversion DE.1.0.7.0 --startMP 204:466 --initTime 2016-10-17T09:08:23 --startdatetime 2016-10-17T09:15:18 --delay 2 --endMP 204:233311 --enddatetime 2016-10-17T09:55:42 --enforcementcount 0 &gt;&gt;C:\Users\stu\Documents\GitHub\eaglep3-reporting\EC\2016-10-17-refined-times.txt</v>
      </c>
      <c r="AI5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{"issue":{"subject":"","project_id":79,"tracker_id":40,"status_id":1,"priority_id":2,"assigned_to_id":23,"start_date":"2016-10-17","description":"","custom_fields":[{"id":1,"name":"Subdivision","value":"EC"},{"id":4,"name":"Milepost","value":"23.3311"},{"id":17,"name":"Train ID","value":"145-17"},{"id":16,"name":"Locomotive ID","value":"4031"},{"id":130,"name":"Impact","value":""},{"id":150,"name":"Time of Event (Mountain Time)","value":"09:55:42"},{"id":151,"name":"Denver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486</v>
      </c>
      <c r="B58" s="7">
        <v>4032</v>
      </c>
      <c r="C58" s="22" t="s">
        <v>99</v>
      </c>
      <c r="D58" s="22" t="s">
        <v>244</v>
      </c>
      <c r="E58" s="13">
        <v>42660.419537037036</v>
      </c>
      <c r="F58" s="13">
        <v>42660.424571759257</v>
      </c>
      <c r="G58" s="7">
        <v>1</v>
      </c>
      <c r="H58" s="13" t="s">
        <v>177</v>
      </c>
      <c r="I58" s="13">
        <v>42660.45349537037</v>
      </c>
      <c r="J58" s="7">
        <v>0</v>
      </c>
      <c r="K58" s="112" t="str">
        <f t="shared" si="21"/>
        <v>4031/4032</v>
      </c>
      <c r="L58" s="22" t="str">
        <f>VLOOKUP(A58,'Trips&amp;Operators'!$C$1:$E$10000,3,FALSE)</f>
        <v>ACKERMAN</v>
      </c>
      <c r="M58" s="6">
        <f t="shared" si="22"/>
        <v>2.8923611112986691E-2</v>
      </c>
      <c r="N58" s="7">
        <f t="shared" si="23"/>
        <v>41.650000002700835</v>
      </c>
      <c r="O58" s="7"/>
      <c r="P58" s="7"/>
      <c r="Q58" s="23"/>
      <c r="R58" s="23"/>
      <c r="S58" s="35">
        <f t="shared" si="24"/>
        <v>1</v>
      </c>
      <c r="T58" s="50" t="str">
        <f t="shared" si="25"/>
        <v>Southbound</v>
      </c>
      <c r="U58" s="18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09:04:08-0600',mode:absolute,to:'2016-10-17 11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27"/>
        <v>N</v>
      </c>
      <c r="X58" s="178">
        <f t="shared" si="20"/>
        <v>1</v>
      </c>
      <c r="Y58" s="67">
        <f t="shared" si="28"/>
        <v>23.298200000000001</v>
      </c>
      <c r="Z58" s="67">
        <f t="shared" si="29"/>
        <v>1.52E-2</v>
      </c>
      <c r="AA58" s="67">
        <f t="shared" si="30"/>
        <v>23.283000000000001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31"/>
        <v>0146-17</v>
      </c>
      <c r="AE58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58" s="88" t="str">
        <f t="shared" si="13"/>
        <v>"C:\Program Files (x86)\AstroGrep\AstroGrep.exe" /spath="%USERPROFILE%\AppData\Local\Temp\OnboardLogs" /stypes="app*4032*20161017*" /stext=" 16:.+((SYSTEM_STATE.+slice.+state.+changed )|(ment ac)|(system.+state.+changed )|(\[timeout)|(PRM\|1\|D)|(kpr)|(kdp)|(\|lc)|(penalty))" /e /r /s</v>
      </c>
      <c r="AG58" s="1" t="str">
        <f t="shared" si="32"/>
        <v>EC</v>
      </c>
      <c r="AH58" s="92" t="str">
        <f t="shared" si="17"/>
        <v>"%USERPROFILE%\Documents\GitHub\eaglep3\Utilities\RefineRTDCRunTimes.py" --tripid 146-17 --locoid 4032 --swversion DE.1.0.7.0 --startMP 204:232982 --initTime 2016-10-17T10:04:08 --startdatetime 2016-10-17T10:11:23 --delay 1 --endMP 204:152 --enddatetime 2016-10-17T10:53:02 --enforcementcount 0 &gt;&gt;C:\Users\stu\Documents\GitHub\eaglep3-reporting\EC\2016-10-17-refined-times.txt</v>
      </c>
      <c r="AI5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ID","value":"146-17"},{"id":16,"name":"Locomotive ID","value":"4032"},{"id":130,"name":"Impact","value":""},{"id":150,"name":"Time of Event (Mountain Time)","value":"10:53:02"},{"id":151,"name":"Denver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482</v>
      </c>
      <c r="B59" s="7">
        <v>4002</v>
      </c>
      <c r="C59" s="22" t="s">
        <v>99</v>
      </c>
      <c r="D59" s="22" t="s">
        <v>233</v>
      </c>
      <c r="E59" s="13">
        <v>42660.393495370372</v>
      </c>
      <c r="F59" s="13">
        <v>42660.396168981482</v>
      </c>
      <c r="G59" s="7">
        <v>1</v>
      </c>
      <c r="H59" s="13" t="s">
        <v>362</v>
      </c>
      <c r="I59" s="13">
        <v>42660.423460648148</v>
      </c>
      <c r="J59" s="7">
        <v>0</v>
      </c>
      <c r="K59" s="112" t="str">
        <f t="shared" si="21"/>
        <v>4001/4002</v>
      </c>
      <c r="L59" s="22" t="str">
        <f>VLOOKUP(A59,'Trips&amp;Operators'!$C$1:$E$10000,3,FALSE)</f>
        <v>ROBINSON</v>
      </c>
      <c r="M59" s="6">
        <f t="shared" si="22"/>
        <v>2.7291666665405501E-2</v>
      </c>
      <c r="N59" s="7">
        <f t="shared" si="23"/>
        <v>39.299999998183921</v>
      </c>
      <c r="O59" s="7"/>
      <c r="P59" s="7"/>
      <c r="Q59" s="23"/>
      <c r="R59" s="23"/>
      <c r="S59" s="35">
        <f t="shared" si="24"/>
        <v>1</v>
      </c>
      <c r="T59" s="50" t="str">
        <f t="shared" si="25"/>
        <v>NorthBound</v>
      </c>
      <c r="U59" s="18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08:26:38-0600',mode:absolute,to:'2016-10-17 11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9" s="52" t="str">
        <f t="shared" si="27"/>
        <v>N</v>
      </c>
      <c r="X59" s="178">
        <f t="shared" si="20"/>
        <v>1</v>
      </c>
      <c r="Y59" s="67">
        <f t="shared" si="28"/>
        <v>4.58E-2</v>
      </c>
      <c r="Z59" s="67">
        <f t="shared" si="29"/>
        <v>23.3278</v>
      </c>
      <c r="AA59" s="67">
        <f t="shared" si="30"/>
        <v>23.282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31"/>
        <v>0147-17</v>
      </c>
      <c r="AE59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59" s="88" t="str">
        <f t="shared" si="13"/>
        <v>"C:\Program Files (x86)\AstroGrep\AstroGrep.exe" /spath="%USERPROFILE%\AppData\Local\Temp\OnboardLogs" /stypes="app*4002*20161017*" /stext=" 16:.+((SYSTEM_STATE.+slice.+state.+changed )|(ment ac)|(system.+state.+changed )|(\[timeout)|(PRM\|1\|D)|(kpr)|(kdp)|(\|lc)|(penalty))" /e /r /s</v>
      </c>
      <c r="AG59" s="1" t="str">
        <f t="shared" si="32"/>
        <v>EC</v>
      </c>
      <c r="AH59" s="92" t="str">
        <f t="shared" si="17"/>
        <v>"%USERPROFILE%\Documents\GitHub\eaglep3\Utilities\RefineRTDCRunTimes.py" --tripid 147-17 --locoid 4002 --swversion DE.1.0.7.0 --startMP 204:458 --initTime 2016-10-17T09:26:38 --startdatetime 2016-10-17T09:30:29 --delay 1 --endMP 204:233278 --enddatetime 2016-10-17T10:09:47 --enforcementcount 0 &gt;&gt;C:\Users\stu\Documents\GitHub\eaglep3-reporting\EC\2016-10-17-refined-times.txt</v>
      </c>
      <c r="AI5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{"issue":{"subject":"","project_id":79,"tracker_id":40,"status_id":1,"priority_id":2,"assigned_to_id":23,"start_date":"2016-10-17","description":"","custom_fields":[{"id":1,"name":"Subdivision","value":"EC"},{"id":4,"name":"Milepost","value":"23.3278"},{"id":17,"name":"Train ID","value":"147-17"},{"id":16,"name":"Locomotive ID","value":"4002"},{"id":130,"name":"Impact","value":""},{"id":150,"name":"Time of Event (Mountain Time)","value":"10:09:47"},{"id":151,"name":"Denver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488</v>
      </c>
      <c r="B60" s="7">
        <v>4001</v>
      </c>
      <c r="C60" s="22" t="s">
        <v>99</v>
      </c>
      <c r="D60" s="22" t="s">
        <v>258</v>
      </c>
      <c r="E60" s="13">
        <v>42660.425300925926</v>
      </c>
      <c r="F60" s="13">
        <v>42660.434895833336</v>
      </c>
      <c r="G60" s="7">
        <v>1</v>
      </c>
      <c r="H60" s="13" t="s">
        <v>651</v>
      </c>
      <c r="I60" s="13">
        <v>42660.464699074073</v>
      </c>
      <c r="J60" s="7">
        <v>0</v>
      </c>
      <c r="K60" s="112" t="str">
        <f t="shared" si="21"/>
        <v>4001/4002</v>
      </c>
      <c r="L60" s="22" t="str">
        <f>VLOOKUP(A60,'Trips&amp;Operators'!$C$1:$E$10000,3,FALSE)</f>
        <v>ROBINSON</v>
      </c>
      <c r="M60" s="6">
        <f t="shared" si="22"/>
        <v>2.9803240737237502E-2</v>
      </c>
      <c r="N60" s="7">
        <f t="shared" si="23"/>
        <v>42.916666661622003</v>
      </c>
      <c r="O60" s="7"/>
      <c r="P60" s="7"/>
      <c r="Q60" s="23"/>
      <c r="R60" s="23"/>
      <c r="S60" s="35">
        <f t="shared" si="24"/>
        <v>1</v>
      </c>
      <c r="T60" s="50" t="str">
        <f t="shared" si="25"/>
        <v>Southbound</v>
      </c>
      <c r="U60" s="18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09:12:26-0600',mode:absolute,to:'2016-10-17 12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0" s="52" t="str">
        <f t="shared" si="27"/>
        <v>N</v>
      </c>
      <c r="X60" s="178">
        <f t="shared" si="20"/>
        <v>1</v>
      </c>
      <c r="Y60" s="67">
        <f t="shared" si="28"/>
        <v>23.297899999999998</v>
      </c>
      <c r="Z60" s="67">
        <f t="shared" si="29"/>
        <v>1.5800000000000002E-2</v>
      </c>
      <c r="AA60" s="67">
        <f t="shared" si="30"/>
        <v>23.2821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31"/>
        <v>0148-17</v>
      </c>
      <c r="AE60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60" s="88" t="str">
        <f t="shared" si="13"/>
        <v>"C:\Program Files (x86)\AstroGrep\AstroGrep.exe" /spath="%USERPROFILE%\AppData\Local\Temp\OnboardLogs" /stypes="app*4001*20161017*" /stext=" 17:.+((SYSTEM_STATE.+slice.+state.+changed )|(ment ac)|(system.+state.+changed )|(\[timeout)|(PRM\|1\|D)|(kpr)|(kdp)|(\|lc)|(penalty))" /e /r /s</v>
      </c>
      <c r="AG60" s="1" t="str">
        <f t="shared" si="32"/>
        <v>EC</v>
      </c>
      <c r="AH60" s="92" t="str">
        <f t="shared" si="17"/>
        <v>"%USERPROFILE%\Documents\GitHub\eaglep3\Utilities\RefineRTDCRunTimes.py" --tripid 148-17 --locoid 4001 --swversion DE.1.0.7.0 --startMP 204:232979 --initTime 2016-10-17T10:12:26 --startdatetime 2016-10-17T10:26:15 --delay 1 --endMP 204:158 --enddatetime 2016-10-17T11:09:10 --enforcementcount 0 &gt;&gt;C:\Users\stu\Documents\GitHub\eaglep3-reporting\EC\2016-10-17-refined-times.txt</v>
      </c>
      <c r="AI6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ID","value":"148-17"},{"id":16,"name":"Locomotive ID","value":"4001"},{"id":130,"name":"Impact","value":""},{"id":150,"name":"Time of Event (Mountain Time)","value":"11:09:10"},{"id":151,"name":"Denver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484</v>
      </c>
      <c r="B61" s="7">
        <v>4011</v>
      </c>
      <c r="C61" s="22" t="s">
        <v>99</v>
      </c>
      <c r="D61" s="22" t="s">
        <v>311</v>
      </c>
      <c r="E61" s="13">
        <v>42660.400821759256</v>
      </c>
      <c r="F61" s="13">
        <v>42660.406701388885</v>
      </c>
      <c r="G61" s="7">
        <v>1</v>
      </c>
      <c r="H61" s="13" t="s">
        <v>627</v>
      </c>
      <c r="I61" s="13">
        <v>42660.431307870371</v>
      </c>
      <c r="J61" s="7">
        <v>0</v>
      </c>
      <c r="K61" s="112" t="str">
        <f t="shared" si="21"/>
        <v>4011/4012</v>
      </c>
      <c r="L61" s="22" t="str">
        <f>VLOOKUP(A61,'Trips&amp;Operators'!$C$1:$E$10000,3,FALSE)</f>
        <v>YORK</v>
      </c>
      <c r="M61" s="6">
        <f t="shared" si="22"/>
        <v>2.4606481485534459E-2</v>
      </c>
      <c r="N61" s="7">
        <f t="shared" si="23"/>
        <v>35.433333339169621</v>
      </c>
      <c r="O61" s="7"/>
      <c r="P61" s="7"/>
      <c r="Q61" s="23"/>
      <c r="R61" s="23"/>
      <c r="S61" s="35">
        <f t="shared" si="24"/>
        <v>1</v>
      </c>
      <c r="T61" s="50" t="str">
        <f t="shared" si="25"/>
        <v>NorthBound</v>
      </c>
      <c r="U61" s="18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08:37:11-0600',mode:absolute,to:'2016-10-17 11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27"/>
        <v>N</v>
      </c>
      <c r="X61" s="178">
        <f t="shared" si="20"/>
        <v>1</v>
      </c>
      <c r="Y61" s="67">
        <f t="shared" si="28"/>
        <v>4.4400000000000002E-2</v>
      </c>
      <c r="Z61" s="67">
        <f t="shared" si="29"/>
        <v>23.328199999999999</v>
      </c>
      <c r="AA61" s="67">
        <f t="shared" si="30"/>
        <v>23.283799999999999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31"/>
        <v>0149-17</v>
      </c>
      <c r="AE61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61" s="88" t="str">
        <f t="shared" si="13"/>
        <v>"C:\Program Files (x86)\AstroGrep\AstroGrep.exe" /spath="%USERPROFILE%\AppData\Local\Temp\OnboardLogs" /stypes="app*4011*20161017*" /stext=" 16:.+((SYSTEM_STATE.+slice.+state.+changed )|(ment ac)|(system.+state.+changed )|(\[timeout)|(PRM\|1\|D)|(kpr)|(kdp)|(\|lc)|(penalty))" /e /r /s</v>
      </c>
      <c r="AG61" s="1" t="str">
        <f t="shared" si="32"/>
        <v>EC</v>
      </c>
      <c r="AH61" s="92" t="str">
        <f t="shared" si="17"/>
        <v>"%USERPROFILE%\Documents\GitHub\eaglep3\Utilities\RefineRTDCRunTimes.py" --tripid 149-17 --locoid 4011 --swversion DE.1.0.7.0 --startMP 204:444 --initTime 2016-10-17T09:37:11 --startdatetime 2016-10-17T09:45:39 --delay 1 --endMP 204:233282 --enddatetime 2016-10-17T10:21:05 --enforcementcount 0 &gt;&gt;C:\Users\stu\Documents\GitHub\eaglep3-reporting\EC\2016-10-17-refined-times.txt</v>
      </c>
      <c r="AI6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{"issue":{"subject":"","project_id":79,"tracker_id":40,"status_id":1,"priority_id":2,"assigned_to_id":23,"start_date":"2016-10-17","description":"","custom_fields":[{"id":1,"name":"Subdivision","value":"EC"},{"id":4,"name":"Milepost","value":"23.3282"},{"id":17,"name":"Train ID","value":"149-17"},{"id":16,"name":"Locomotive ID","value":"4011"},{"id":130,"name":"Impact","value":""},{"id":150,"name":"Time of Event (Mountain Time)","value":"10:21:05"},{"id":151,"name":"Denver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490</v>
      </c>
      <c r="B62" s="7">
        <v>4012</v>
      </c>
      <c r="C62" s="22" t="s">
        <v>99</v>
      </c>
      <c r="D62" s="22" t="s">
        <v>312</v>
      </c>
      <c r="E62" s="13">
        <v>42660.433252314811</v>
      </c>
      <c r="F62" s="13">
        <v>42660.4453125</v>
      </c>
      <c r="G62" s="7">
        <v>1</v>
      </c>
      <c r="H62" s="13" t="s">
        <v>231</v>
      </c>
      <c r="I62" s="13">
        <v>42660.472997685189</v>
      </c>
      <c r="J62" s="7">
        <v>0</v>
      </c>
      <c r="K62" s="112" t="str">
        <f t="shared" si="21"/>
        <v>4011/4012</v>
      </c>
      <c r="L62" s="22" t="str">
        <f>VLOOKUP(A62,'Trips&amp;Operators'!$C$1:$E$10000,3,FALSE)</f>
        <v>YORK</v>
      </c>
      <c r="M62" s="6">
        <f t="shared" si="22"/>
        <v>2.768518518860219E-2</v>
      </c>
      <c r="N62" s="7">
        <f t="shared" si="23"/>
        <v>39.866666671587154</v>
      </c>
      <c r="O62" s="7"/>
      <c r="P62" s="7"/>
      <c r="Q62" s="23"/>
      <c r="R62" s="23"/>
      <c r="S62" s="35">
        <f t="shared" si="24"/>
        <v>1</v>
      </c>
      <c r="T62" s="50" t="str">
        <f t="shared" si="25"/>
        <v>Southbound</v>
      </c>
      <c r="U62" s="18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09:23:53-0600',mode:absolute,to:'2016-10-17 12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27"/>
        <v>N</v>
      </c>
      <c r="X62" s="178">
        <f t="shared" si="20"/>
        <v>1</v>
      </c>
      <c r="Y62" s="67">
        <f t="shared" si="28"/>
        <v>23.296299999999999</v>
      </c>
      <c r="Z62" s="67">
        <f t="shared" si="29"/>
        <v>1.54E-2</v>
      </c>
      <c r="AA62" s="67">
        <f t="shared" si="30"/>
        <v>23.280899999999999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31"/>
        <v>0150-17</v>
      </c>
      <c r="AE62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62" s="88" t="str">
        <f t="shared" si="13"/>
        <v>"C:\Program Files (x86)\AstroGrep\AstroGrep.exe" /spath="%USERPROFILE%\AppData\Local\Temp\OnboardLogs" /stypes="app*4012*20161017*" /stext=" 17:.+((SYSTEM_STATE.+slice.+state.+changed )|(ment ac)|(system.+state.+changed )|(\[timeout)|(PRM\|1\|D)|(kpr)|(kdp)|(\|lc)|(penalty))" /e /r /s</v>
      </c>
      <c r="AG62" s="1" t="str">
        <f t="shared" si="32"/>
        <v>EC</v>
      </c>
      <c r="AH62" s="92" t="str">
        <f t="shared" si="17"/>
        <v>"%USERPROFILE%\Documents\GitHub\eaglep3\Utilities\RefineRTDCRunTimes.py" --tripid 150-17 --locoid 4012 --swversion DE.1.0.7.0 --startMP 204:232963 --initTime 2016-10-17T10:23:53 --startdatetime 2016-10-17T10:41:15 --delay 1 --endMP 204:154 --enddatetime 2016-10-17T11:21:07 --enforcementcount 0 &gt;&gt;C:\Users\stu\Documents\GitHub\eaglep3-reporting\EC\2016-10-17-refined-times.txt</v>
      </c>
      <c r="AI6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ID","value":"150-17"},{"id":16,"name":"Locomotive ID","value":"4012"},{"id":130,"name":"Impact","value":""},{"id":150,"name":"Time of Event (Mountain Time)","value":"11:21:07"},{"id":151,"name":"Denver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485</v>
      </c>
      <c r="B63" s="7">
        <v>4044</v>
      </c>
      <c r="C63" s="22" t="s">
        <v>99</v>
      </c>
      <c r="D63" s="22" t="s">
        <v>657</v>
      </c>
      <c r="E63" s="13">
        <v>42660.412592592591</v>
      </c>
      <c r="F63" s="13">
        <v>42660.416828703703</v>
      </c>
      <c r="G63" s="7">
        <v>1</v>
      </c>
      <c r="H63" s="13" t="s">
        <v>260</v>
      </c>
      <c r="I63" s="13">
        <v>42660.442916666667</v>
      </c>
      <c r="J63" s="7">
        <v>0</v>
      </c>
      <c r="K63" s="112" t="str">
        <f t="shared" si="21"/>
        <v>4043/4044</v>
      </c>
      <c r="L63" s="22" t="str">
        <f>VLOOKUP(A63,'Trips&amp;Operators'!$C$1:$E$10000,3,FALSE)</f>
        <v>SPECTOR</v>
      </c>
      <c r="M63" s="6">
        <f t="shared" si="22"/>
        <v>2.6087962964083999E-2</v>
      </c>
      <c r="N63" s="7">
        <f t="shared" si="23"/>
        <v>37.566666668280959</v>
      </c>
      <c r="O63" s="7"/>
      <c r="P63" s="7"/>
      <c r="Q63" s="23"/>
      <c r="R63" s="23"/>
      <c r="S63" s="35">
        <f t="shared" si="24"/>
        <v>1</v>
      </c>
      <c r="T63" s="50" t="str">
        <f t="shared" si="25"/>
        <v>NorthBound</v>
      </c>
      <c r="U63" s="18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08:54:08-0600',mode:absolute,to:'2016-10-17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3" s="52" t="str">
        <f t="shared" si="27"/>
        <v>N</v>
      </c>
      <c r="X63" s="178">
        <f t="shared" si="20"/>
        <v>1</v>
      </c>
      <c r="Y63" s="67">
        <f t="shared" si="28"/>
        <v>4.4200000000000003E-2</v>
      </c>
      <c r="Z63" s="67">
        <f t="shared" si="29"/>
        <v>23.3306</v>
      </c>
      <c r="AA63" s="67">
        <f t="shared" si="30"/>
        <v>23.2864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31"/>
        <v>0151-17</v>
      </c>
      <c r="AE63" s="91" t="str">
        <f t="shared" si="12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63" s="88" t="str">
        <f t="shared" si="13"/>
        <v>"C:\Program Files (x86)\AstroGrep\AstroGrep.exe" /spath="%USERPROFILE%\AppData\Local\Temp\OnboardLogs" /stypes="app*4044*20161017*" /stext=" 16:.+((SYSTEM_STATE.+slice.+state.+changed )|(ment ac)|(system.+state.+changed )|(\[timeout)|(PRM\|1\|D)|(kpr)|(kdp)|(\|lc)|(penalty))" /e /r /s</v>
      </c>
      <c r="AG63" s="1" t="str">
        <f t="shared" si="32"/>
        <v>EC</v>
      </c>
      <c r="AH63" s="92" t="str">
        <f t="shared" si="17"/>
        <v>"%USERPROFILE%\Documents\GitHub\eaglep3\Utilities\RefineRTDCRunTimes.py" --tripid 151-17 --locoid 4044 --swversion DE.1.0.7.0 --startMP 204:442 --initTime 2016-10-17T09:54:08 --startdatetime 2016-10-17T10:00:14 --delay 1 --endMP 204:233306 --enddatetime 2016-10-17T10:37:48 --enforcementcount 0 &gt;&gt;C:\Users\stu\Documents\GitHub\eaglep3-reporting\EC\2016-10-17-refined-times.txt</v>
      </c>
      <c r="AI6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{"issue":{"subject":"","project_id":79,"tracker_id":40,"status_id":1,"priority_id":2,"assigned_to_id":23,"start_date":"2016-10-17","description":"","custom_fields":[{"id":1,"name":"Subdivision","value":"EC"},{"id":4,"name":"Milepost","value":"23.3306"},{"id":17,"name":"Train ID","value":"151-17"},{"id":16,"name":"Locomotive ID","value":"4044"},{"id":130,"name":"Impact","value":""},{"id":150,"name":"Time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494</v>
      </c>
      <c r="B64" s="7">
        <v>4043</v>
      </c>
      <c r="C64" s="22" t="s">
        <v>99</v>
      </c>
      <c r="D64" s="22" t="s">
        <v>229</v>
      </c>
      <c r="E64" s="13">
        <v>42660.451678240737</v>
      </c>
      <c r="F64" s="13">
        <v>42660.455740740741</v>
      </c>
      <c r="G64" s="7">
        <v>2</v>
      </c>
      <c r="H64" s="13" t="s">
        <v>355</v>
      </c>
      <c r="I64" s="13">
        <v>42660.485115740739</v>
      </c>
      <c r="J64" s="7">
        <v>0</v>
      </c>
      <c r="K64" s="112" t="str">
        <f t="shared" si="21"/>
        <v>4043/4044</v>
      </c>
      <c r="L64" s="22" t="str">
        <f>VLOOKUP(A64,'Trips&amp;Operators'!$C$1:$E$10000,3,FALSE)</f>
        <v>SPECTOR</v>
      </c>
      <c r="M64" s="6">
        <f t="shared" si="22"/>
        <v>2.937499999825377E-2</v>
      </c>
      <c r="N64" s="7">
        <f t="shared" si="23"/>
        <v>42.299999997485429</v>
      </c>
      <c r="O64" s="7"/>
      <c r="P64" s="7"/>
      <c r="Q64" s="23"/>
      <c r="R64" s="23"/>
      <c r="S64" s="35">
        <f t="shared" si="24"/>
        <v>1</v>
      </c>
      <c r="T64" s="50" t="str">
        <f t="shared" si="25"/>
        <v>Southbound</v>
      </c>
      <c r="U64" s="18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09:50:25-0600',mode:absolute,to:'2016-10-17 12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4" s="52" t="str">
        <f t="shared" si="27"/>
        <v>N</v>
      </c>
      <c r="X64" s="178">
        <f t="shared" si="20"/>
        <v>1</v>
      </c>
      <c r="Y64" s="67">
        <f t="shared" si="28"/>
        <v>23.298500000000001</v>
      </c>
      <c r="Z64" s="67">
        <f t="shared" si="29"/>
        <v>1.3899999999999999E-2</v>
      </c>
      <c r="AA64" s="67">
        <f t="shared" si="30"/>
        <v>23.284600000000001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31"/>
        <v>0152-17</v>
      </c>
      <c r="AE64" s="91" t="str">
        <f t="shared" si="12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64" s="88" t="str">
        <f t="shared" si="13"/>
        <v>"C:\Program Files (x86)\AstroGrep\AstroGrep.exe" /spath="%USERPROFILE%\AppData\Local\Temp\OnboardLogs" /stypes="app*4043*20161017*" /stext=" 17:.+((SYSTEM_STATE.+slice.+state.+changed )|(ment ac)|(system.+state.+changed )|(\[timeout)|(PRM\|1\|D)|(kpr)|(kdp)|(\|lc)|(penalty))" /e /r /s</v>
      </c>
      <c r="AG64" s="1" t="str">
        <f t="shared" si="32"/>
        <v>EC</v>
      </c>
      <c r="AH64" s="92" t="str">
        <f t="shared" si="17"/>
        <v>"%USERPROFILE%\Documents\GitHub\eaglep3\Utilities\RefineRTDCRunTimes.py" --tripid 152-17 --locoid 4043 --swversion DE.1.0.7.0 --startMP 204:232985 --initTime 2016-10-17T10:50:25 --startdatetime 2016-10-17T10:56:16 --delay 2 --endMP 204:139 --enddatetime 2016-10-17T11:38:34 --enforcementcount 0 &gt;&gt;C:\Users\stu\Documents\GitHub\eaglep3-reporting\EC\2016-10-17-refined-times.txt</v>
      </c>
      <c r="AI6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ID","value":"152-17"},{"id":16,"name":"Locomotive ID","value":"4043"},{"id":130,"name":"Impact","value":""},{"id":150,"name":"Time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489</v>
      </c>
      <c r="B65" s="7">
        <v>4025</v>
      </c>
      <c r="C65" s="22" t="s">
        <v>99</v>
      </c>
      <c r="D65" s="22" t="s">
        <v>242</v>
      </c>
      <c r="E65" s="13">
        <v>42660.426064814812</v>
      </c>
      <c r="F65" s="13">
        <v>42660.427314814813</v>
      </c>
      <c r="G65" s="7">
        <v>1</v>
      </c>
      <c r="H65" s="13" t="s">
        <v>658</v>
      </c>
      <c r="I65" s="13">
        <v>42660.454479166663</v>
      </c>
      <c r="J65" s="7">
        <v>0</v>
      </c>
      <c r="K65" s="112" t="str">
        <f t="shared" si="21"/>
        <v>4025/4026</v>
      </c>
      <c r="L65" s="22" t="str">
        <f>VLOOKUP(A65,'Trips&amp;Operators'!$C$1:$E$10000,3,FALSE)</f>
        <v>STARKS</v>
      </c>
      <c r="M65" s="6">
        <f t="shared" si="22"/>
        <v>2.7164351849933155E-2</v>
      </c>
      <c r="N65" s="7">
        <f t="shared" si="23"/>
        <v>39.116666663903743</v>
      </c>
      <c r="O65" s="7"/>
      <c r="P65" s="7"/>
      <c r="Q65" s="23"/>
      <c r="R65" s="23"/>
      <c r="S65" s="35">
        <f t="shared" si="24"/>
        <v>1</v>
      </c>
      <c r="T65" s="50" t="str">
        <f t="shared" si="25"/>
        <v>NorthBound</v>
      </c>
      <c r="U65" s="18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09:13:32-0600',mode:absolute,to:'2016-10-17 11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27"/>
        <v>N</v>
      </c>
      <c r="X65" s="178">
        <f t="shared" si="20"/>
        <v>1</v>
      </c>
      <c r="Y65" s="67">
        <f t="shared" si="28"/>
        <v>4.6399999999999997E-2</v>
      </c>
      <c r="Z65" s="67">
        <f t="shared" si="29"/>
        <v>23.3307</v>
      </c>
      <c r="AA65" s="67">
        <f t="shared" si="30"/>
        <v>23.284300000000002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31"/>
        <v>0153-17</v>
      </c>
      <c r="AE65" s="91" t="str">
        <f t="shared" si="12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65" s="88" t="str">
        <f t="shared" si="13"/>
        <v>"C:\Program Files (x86)\AstroGrep\AstroGrep.exe" /spath="%USERPROFILE%\AppData\Local\Temp\OnboardLogs" /stypes="app*4025*20161017*" /stext=" 16:.+((SYSTEM_STATE.+slice.+state.+changed )|(ment ac)|(system.+state.+changed )|(\[timeout)|(PRM\|1\|D)|(kpr)|(kdp)|(\|lc)|(penalty))" /e /r /s</v>
      </c>
      <c r="AG65" s="1" t="str">
        <f t="shared" si="32"/>
        <v>EC</v>
      </c>
      <c r="AH65" s="92" t="str">
        <f t="shared" si="17"/>
        <v>"%USERPROFILE%\Documents\GitHub\eaglep3\Utilities\RefineRTDCRunTimes.py" --tripid 153-17 --locoid 4025 --swversion DE.1.0.7.0 --startMP 204:464 --initTime 2016-10-17T10:13:32 --startdatetime 2016-10-17T10:15:20 --delay 1 --endMP 204:233307 --enddatetime 2016-10-17T10:54:27 --enforcementcount 0 &gt;&gt;C:\Users\stu\Documents\GitHub\eaglep3-reporting\EC\2016-10-17-refined-times.txt</v>
      </c>
      <c r="AI6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{"issue":{"subject":"","project_id":79,"tracker_id":40,"status_id":1,"priority_id":2,"assigned_to_id":23,"start_date":"2016-10-17","description":"","custom_fields":[{"id":1,"name":"Subdivision","value":"EC"},{"id":4,"name":"Milepost","value":"23.3307"},{"id":17,"name":"Train ID","value":"153-17"},{"id":16,"name":"Locomotive ID","value":"4025"},{"id":130,"name":"Impact","value":""},{"id":150,"name":"Time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498</v>
      </c>
      <c r="B66" s="7">
        <v>4026</v>
      </c>
      <c r="C66" s="22" t="s">
        <v>99</v>
      </c>
      <c r="D66" s="22" t="s">
        <v>659</v>
      </c>
      <c r="E66" s="13">
        <v>42660.463171296295</v>
      </c>
      <c r="F66" s="13">
        <v>42660.466145833336</v>
      </c>
      <c r="G66" s="7">
        <v>1</v>
      </c>
      <c r="H66" s="13" t="s">
        <v>232</v>
      </c>
      <c r="I66" s="13">
        <v>42660.496296296296</v>
      </c>
      <c r="J66" s="7">
        <v>0</v>
      </c>
      <c r="K66" s="112" t="str">
        <f t="shared" si="21"/>
        <v>4025/4026</v>
      </c>
      <c r="L66" s="22" t="str">
        <f>VLOOKUP(A66,'Trips&amp;Operators'!$C$1:$E$10000,3,FALSE)</f>
        <v>STARKS</v>
      </c>
      <c r="M66" s="6">
        <f t="shared" si="22"/>
        <v>3.015046296059154E-2</v>
      </c>
      <c r="N66" s="7">
        <f t="shared" si="23"/>
        <v>43.416666663251817</v>
      </c>
      <c r="O66" s="7"/>
      <c r="P66" s="7"/>
      <c r="Q66" s="23"/>
      <c r="R66" s="23"/>
      <c r="S66" s="35">
        <f t="shared" si="24"/>
        <v>1</v>
      </c>
      <c r="T66" s="50" t="str">
        <f t="shared" si="25"/>
        <v>Southbound</v>
      </c>
      <c r="U66" s="18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10:06:58-0600',mode:absolute,to:'2016-10-17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27"/>
        <v>N</v>
      </c>
      <c r="X66" s="178">
        <f t="shared" si="20"/>
        <v>1</v>
      </c>
      <c r="Y66" s="67">
        <f t="shared" si="28"/>
        <v>23.2986</v>
      </c>
      <c r="Z66" s="67">
        <f t="shared" si="29"/>
        <v>1.4500000000000001E-2</v>
      </c>
      <c r="AA66" s="67">
        <f t="shared" si="30"/>
        <v>23.284099999999999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31"/>
        <v>0154-17</v>
      </c>
      <c r="AE66" s="91" t="str">
        <f t="shared" si="12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66" s="88" t="str">
        <f t="shared" si="13"/>
        <v>"C:\Program Files (x86)\AstroGrep\AstroGrep.exe" /spath="%USERPROFILE%\AppData\Local\Temp\OnboardLogs" /stypes="app*4026*20161017*" /stext=" 17:.+((SYSTEM_STATE.+slice.+state.+changed )|(ment ac)|(system.+state.+changed )|(\[timeout)|(PRM\|1\|D)|(kpr)|(kdp)|(\|lc)|(penalty))" /e /r /s</v>
      </c>
      <c r="AG66" s="1" t="str">
        <f t="shared" si="32"/>
        <v>EC</v>
      </c>
      <c r="AH66" s="92" t="str">
        <f t="shared" si="17"/>
        <v>"%USERPROFILE%\Documents\GitHub\eaglep3\Utilities\RefineRTDCRunTimes.py" --tripid 154-17 --locoid 4026 --swversion DE.1.0.7.0 --startMP 204:232986 --initTime 2016-10-17T11:06:58 --startdatetime 2016-10-17T11:11:15 --delay 1 --endMP 204:145 --enddatetime 2016-10-17T11:54:40 --enforcementcount 0 &gt;&gt;C:\Users\stu\Documents\GitHub\eaglep3-reporting\EC\2016-10-17-refined-times.txt</v>
      </c>
      <c r="AI6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{"issue":{"subject":"","project_id":79,"tracker_id":40,"status_id":1,"priority_id":2,"assigned_to_id":23,"start_date":"2016-10-17","description":"","custom_fields":[{"id":1,"name":"Subdivision","value":"EC"},{"id":4,"name":"Milepost","value":"0.0145"},{"id":17,"name":"Train ID","value":"154-17"},{"id":16,"name":"Locomotive ID","value":"4026"},{"id":130,"name":"Impact","value":""},{"id":150,"name":"Time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491</v>
      </c>
      <c r="B67" s="7">
        <v>4018</v>
      </c>
      <c r="C67" s="22" t="s">
        <v>99</v>
      </c>
      <c r="D67" s="22" t="s">
        <v>238</v>
      </c>
      <c r="E67" s="13">
        <v>42660.434421296297</v>
      </c>
      <c r="F67" s="13">
        <v>42660.437743055554</v>
      </c>
      <c r="G67" s="7">
        <v>1</v>
      </c>
      <c r="H67" s="13" t="s">
        <v>660</v>
      </c>
      <c r="I67" s="13">
        <v>42660.463923611111</v>
      </c>
      <c r="J67" s="7">
        <v>0</v>
      </c>
      <c r="K67" s="112" t="str">
        <f t="shared" si="21"/>
        <v>4017/4018</v>
      </c>
      <c r="L67" s="22" t="str">
        <f>VLOOKUP(A67,'Trips&amp;Operators'!$C$1:$E$10000,3,FALSE)</f>
        <v>OUN</v>
      </c>
      <c r="M67" s="6">
        <f t="shared" si="22"/>
        <v>2.6180555556493346E-2</v>
      </c>
      <c r="N67" s="7">
        <f t="shared" si="23"/>
        <v>37.700000001350418</v>
      </c>
      <c r="O67" s="7"/>
      <c r="P67" s="7"/>
      <c r="Q67" s="23"/>
      <c r="R67" s="23"/>
      <c r="S67" s="35">
        <f t="shared" si="24"/>
        <v>1</v>
      </c>
      <c r="T67" s="50" t="str">
        <f t="shared" si="25"/>
        <v>NorthBound</v>
      </c>
      <c r="U67" s="18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09:25:34-0600',mode:absolute,to:'2016-10-17 12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7" s="52" t="str">
        <f t="shared" si="27"/>
        <v>N</v>
      </c>
      <c r="X67" s="178">
        <f t="shared" si="20"/>
        <v>1</v>
      </c>
      <c r="Y67" s="67">
        <f t="shared" si="28"/>
        <v>4.4699999999999997E-2</v>
      </c>
      <c r="Z67" s="67">
        <f t="shared" si="29"/>
        <v>23.332100000000001</v>
      </c>
      <c r="AA67" s="67">
        <f t="shared" si="30"/>
        <v>23.287400000000002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31"/>
        <v>0155-17</v>
      </c>
      <c r="AE67" s="91" t="str">
        <f t="shared" si="12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67" s="88" t="str">
        <f t="shared" si="13"/>
        <v>"C:\Program Files (x86)\AstroGrep\AstroGrep.exe" /spath="%USERPROFILE%\AppData\Local\Temp\OnboardLogs" /stypes="app*4018*20161017*" /stext=" 17:.+((SYSTEM_STATE.+slice.+state.+changed )|(ment ac)|(system.+state.+changed )|(\[timeout)|(PRM\|1\|D)|(kpr)|(kdp)|(\|lc)|(penalty))" /e /r /s</v>
      </c>
      <c r="AG67" s="1" t="str">
        <f t="shared" si="32"/>
        <v>EC</v>
      </c>
      <c r="AH67" s="92" t="str">
        <f t="shared" si="17"/>
        <v>"%USERPROFILE%\Documents\GitHub\eaglep3\Utilities\RefineRTDCRunTimes.py" --tripid 155-17 --locoid 4018 --swversion DE.1.0.7.0 --startMP 204:447 --initTime 2016-10-17T10:25:34 --startdatetime 2016-10-17T10:30:21 --delay 1 --endMP 204:233321 --enddatetime 2016-10-17T11:08:03 --enforcementcount 0 &gt;&gt;C:\Users\stu\Documents\GitHub\eaglep3-reporting\EC\2016-10-17-refined-times.txt</v>
      </c>
      <c r="AI67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{"issue":{"subject":"","project_id":79,"tracker_id":40,"status_id":1,"priority_id":2,"assigned_to_id":23,"start_date":"2016-10-17","description":"","custom_fields":[{"id":1,"name":"Subdivision","value":"EC"},{"id":4,"name":"Milepost","value":"23.3321"},{"id":17,"name":"Train ID","value":"155-17"},{"id":16,"name":"Locomotive ID","value":"4018"},{"id":130,"name":"Impact","value":""},{"id":150,"name":"Time of Event (Mountain Time)","value":"11:08:03"},{"id":151,"name":"Denver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503</v>
      </c>
      <c r="B68" s="7">
        <v>4017</v>
      </c>
      <c r="C68" s="22" t="s">
        <v>99</v>
      </c>
      <c r="D68" s="22" t="s">
        <v>286</v>
      </c>
      <c r="E68" s="13">
        <v>42660.472361111111</v>
      </c>
      <c r="F68" s="13">
        <v>42660.4766087963</v>
      </c>
      <c r="G68" s="7">
        <v>1</v>
      </c>
      <c r="H68" s="13" t="s">
        <v>236</v>
      </c>
      <c r="I68" s="13">
        <v>42660.505960648145</v>
      </c>
      <c r="J68" s="7">
        <v>0</v>
      </c>
      <c r="K68" s="112" t="str">
        <f t="shared" si="21"/>
        <v>4017/4018</v>
      </c>
      <c r="L68" s="22" t="str">
        <f>VLOOKUP(A68,'Trips&amp;Operators'!$C$1:$E$10000,3,FALSE)</f>
        <v>OUN</v>
      </c>
      <c r="M68" s="6">
        <f t="shared" si="22"/>
        <v>2.9351851844694465E-2</v>
      </c>
      <c r="N68" s="7">
        <f t="shared" si="23"/>
        <v>42.26666665636003</v>
      </c>
      <c r="O68" s="7"/>
      <c r="P68" s="7"/>
      <c r="Q68" s="23"/>
      <c r="R68" s="23"/>
      <c r="S68" s="35">
        <f t="shared" si="24"/>
        <v>1</v>
      </c>
      <c r="T68" s="50" t="str">
        <f t="shared" si="25"/>
        <v>Southbound</v>
      </c>
      <c r="U68" s="18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10:20:12-0600',mode:absolute,to:'2016-10-17 13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8" s="52" t="str">
        <f t="shared" si="27"/>
        <v>N</v>
      </c>
      <c r="X68" s="178">
        <f t="shared" si="20"/>
        <v>1</v>
      </c>
      <c r="Y68" s="67">
        <f t="shared" si="28"/>
        <v>23.299800000000001</v>
      </c>
      <c r="Z68" s="67">
        <f t="shared" si="29"/>
        <v>1.43E-2</v>
      </c>
      <c r="AA68" s="67">
        <f t="shared" si="30"/>
        <v>23.285500000000003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31"/>
        <v>0156-17</v>
      </c>
      <c r="AE68" s="91" t="str">
        <f t="shared" si="12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68" s="88" t="str">
        <f t="shared" si="13"/>
        <v>"C:\Program Files (x86)\AstroGrep\AstroGrep.exe" /spath="%USERPROFILE%\AppData\Local\Temp\OnboardLogs" /stypes="app*4017*20161017*" /stext=" 18:.+((SYSTEM_STATE.+slice.+state.+changed )|(ment ac)|(system.+state.+changed )|(\[timeout)|(PRM\|1\|D)|(kpr)|(kdp)|(\|lc)|(penalty))" /e /r /s</v>
      </c>
      <c r="AG68" s="1" t="str">
        <f t="shared" si="32"/>
        <v>EC</v>
      </c>
      <c r="AH68" s="92" t="str">
        <f t="shared" si="17"/>
        <v>"%USERPROFILE%\Documents\GitHub\eaglep3\Utilities\RefineRTDCRunTimes.py" --tripid 156-17 --locoid 4017 --swversion DE.1.0.7.0 --startMP 204:232998 --initTime 2016-10-17T11:20:12 --startdatetime 2016-10-17T11:26:19 --delay 1 --endMP 204:143 --enddatetime 2016-10-17T12:08:35 --enforcementcount 0 &gt;&gt;C:\Users\stu\Documents\GitHub\eaglep3-reporting\EC\2016-10-17-refined-times.txt</v>
      </c>
      <c r="AI68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ID","value":"156-17"},{"id":16,"name":"Locomotive ID","value":"4017"},{"id":130,"name":"Impact","value":""},{"id":150,"name":"Time of Event (Mountain Time)","value":"12:08:35"},{"id":151,"name":"Denver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411</v>
      </c>
      <c r="B69" s="7">
        <v>4038</v>
      </c>
      <c r="C69" s="22" t="s">
        <v>99</v>
      </c>
      <c r="D69" s="22" t="s">
        <v>661</v>
      </c>
      <c r="E69" s="13">
        <v>42660.44635416667</v>
      </c>
      <c r="F69" s="13">
        <v>42660.448136574072</v>
      </c>
      <c r="G69" s="7">
        <v>1</v>
      </c>
      <c r="H69" s="13" t="s">
        <v>627</v>
      </c>
      <c r="I69" s="13">
        <v>42660.474456018521</v>
      </c>
      <c r="J69" s="7">
        <v>0</v>
      </c>
      <c r="K69" s="112" t="str">
        <f t="shared" si="21"/>
        <v>4037/4038</v>
      </c>
      <c r="L69" s="22" t="str">
        <f>VLOOKUP(A69,'Trips&amp;Operators'!$C$1:$E$10000,3,FALSE)</f>
        <v>MALAVE</v>
      </c>
      <c r="M69" s="6">
        <f t="shared" si="22"/>
        <v>2.6319444448745344E-2</v>
      </c>
      <c r="N69" s="7">
        <f t="shared" si="23"/>
        <v>37.900000006193295</v>
      </c>
      <c r="O69" s="7"/>
      <c r="P69" s="7"/>
      <c r="Q69" s="23"/>
      <c r="R69" s="23"/>
      <c r="S69" s="35">
        <f t="shared" si="24"/>
        <v>1</v>
      </c>
      <c r="T69" s="50" t="str">
        <f t="shared" si="25"/>
        <v>NorthBound</v>
      </c>
      <c r="U69" s="18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09:42:45-0600',mode:absolute,to:'2016-10-17 12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9" s="52" t="str">
        <f t="shared" si="27"/>
        <v>N</v>
      </c>
      <c r="X69" s="178">
        <f t="shared" si="20"/>
        <v>1</v>
      </c>
      <c r="Y69" s="67">
        <f t="shared" si="28"/>
        <v>4.7300000000000002E-2</v>
      </c>
      <c r="Z69" s="67">
        <f t="shared" si="29"/>
        <v>23.328199999999999</v>
      </c>
      <c r="AA69" s="67">
        <f t="shared" si="30"/>
        <v>23.280899999999999</v>
      </c>
      <c r="AB69" s="64" t="str">
        <f>VLOOKUP(A69,Enforcements!$C$7:$K$21,8,0)</f>
        <v>Bulletin (2)</v>
      </c>
      <c r="AC69" s="60" t="str">
        <f>VLOOKUP(A69,Enforcements!$C$7:$E$21,3,0)</f>
        <v>GRADE CROSSING</v>
      </c>
      <c r="AD69" s="61" t="str">
        <f t="shared" si="31"/>
        <v>0157-17</v>
      </c>
      <c r="AE69" s="91" t="str">
        <f t="shared" si="12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69" s="88" t="str">
        <f t="shared" si="13"/>
        <v>"C:\Program Files (x86)\AstroGrep\AstroGrep.exe" /spath="%USERPROFILE%\AppData\Local\Temp\OnboardLogs" /stypes="app*4038*20161017*" /stext=" 17:.+((SYSTEM_STATE.+slice.+state.+changed )|(ment ac)|(system.+state.+changed )|(\[timeout)|(PRM\|1\|D)|(kpr)|(kdp)|(\|lc)|(penalty))" /e /r /s</v>
      </c>
      <c r="AG69" s="1" t="str">
        <f t="shared" si="32"/>
        <v>EC</v>
      </c>
      <c r="AH69" s="92" t="str">
        <f t="shared" si="17"/>
        <v>"%USERPROFILE%\Documents\GitHub\eaglep3\Utilities\RefineRTDCRunTimes.py" --tripid 157-17 --locoid 4038 --swversion DE.1.0.7.0 --startMP 204:473 --initTime 2016-10-17T10:42:45 --startdatetime 2016-10-17T10:45:19 --delay 1 --endMP 204:233282 --enddatetime 2016-10-17T11:23:13 --enforcementcount 0 &gt;&gt;C:\Users\stu\Documents\GitHub\eaglep3-reporting\EC\2016-10-17-refined-times.txt</v>
      </c>
      <c r="AI69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{"issue":{"subject":"","project_id":79,"tracker_id":40,"status_id":1,"priority_id":2,"assigned_to_id":23,"start_date":"2016-10-17","description":"","custom_fields":[{"id":1,"name":"Subdivision","value":"EC"},{"id":4,"name":"Milepost","value":"23.3282"},{"id":17,"name":"Train ID","value":"157-17"},{"id":16,"name":"Locomotive ID","value":"4038"},{"id":130,"name":"Impact","value":""},{"id":150,"name":"Time of Event (Mountain Time)","value":"11:23:13"},{"id":151,"name":"Denver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505</v>
      </c>
      <c r="B70" s="7">
        <v>4037</v>
      </c>
      <c r="C70" s="22" t="s">
        <v>99</v>
      </c>
      <c r="D70" s="22" t="s">
        <v>639</v>
      </c>
      <c r="E70" s="13">
        <v>42660.485555555555</v>
      </c>
      <c r="F70" s="13">
        <v>42660.487025462964</v>
      </c>
      <c r="G70" s="7">
        <v>1</v>
      </c>
      <c r="H70" s="13" t="s">
        <v>651</v>
      </c>
      <c r="I70" s="13">
        <v>42660.515532407408</v>
      </c>
      <c r="J70" s="7">
        <v>0</v>
      </c>
      <c r="K70" s="112" t="str">
        <f t="shared" si="21"/>
        <v>4037/4038</v>
      </c>
      <c r="L70" s="22" t="str">
        <f>VLOOKUP(A70,'Trips&amp;Operators'!$C$1:$E$10000,3,FALSE)</f>
        <v>MALAVE</v>
      </c>
      <c r="M70" s="6">
        <f t="shared" si="22"/>
        <v>2.8506944443506654E-2</v>
      </c>
      <c r="N70" s="7">
        <f t="shared" si="23"/>
        <v>41.049999998649582</v>
      </c>
      <c r="O70" s="7"/>
      <c r="P70" s="7"/>
      <c r="Q70" s="23"/>
      <c r="R70" s="23"/>
      <c r="S70" s="35">
        <f t="shared" si="24"/>
        <v>1</v>
      </c>
      <c r="T70" s="50" t="str">
        <f t="shared" si="25"/>
        <v>Southbound</v>
      </c>
      <c r="U70" s="18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10:39:12-0600',mode:absolute,to:'2016-10-17 13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0" s="52" t="str">
        <f t="shared" si="27"/>
        <v>N</v>
      </c>
      <c r="X70" s="178">
        <f t="shared" si="20"/>
        <v>1</v>
      </c>
      <c r="Y70" s="67">
        <f t="shared" si="28"/>
        <v>23.295000000000002</v>
      </c>
      <c r="Z70" s="67">
        <f t="shared" si="29"/>
        <v>1.5800000000000002E-2</v>
      </c>
      <c r="AA70" s="67">
        <f t="shared" si="30"/>
        <v>23.279200000000003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31"/>
        <v>0158-17</v>
      </c>
      <c r="AE70" s="91" t="str">
        <f t="shared" si="12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70" s="88" t="str">
        <f t="shared" si="13"/>
        <v>"C:\Program Files (x86)\AstroGrep\AstroGrep.exe" /spath="%USERPROFILE%\AppData\Local\Temp\OnboardLogs" /stypes="app*4037*20161017*" /stext=" 18:.+((SYSTEM_STATE.+slice.+state.+changed )|(ment ac)|(system.+state.+changed )|(\[timeout)|(PRM\|1\|D)|(kpr)|(kdp)|(\|lc)|(penalty))" /e /r /s</v>
      </c>
      <c r="AG70" s="1" t="str">
        <f t="shared" si="32"/>
        <v>EC</v>
      </c>
      <c r="AH70" s="92" t="str">
        <f t="shared" si="17"/>
        <v>"%USERPROFILE%\Documents\GitHub\eaglep3\Utilities\RefineRTDCRunTimes.py" --tripid 158-17 --locoid 4037 --swversion DE.1.0.7.0 --startMP 204:232950 --initTime 2016-10-17T11:39:12 --startdatetime 2016-10-17T11:41:19 --delay 1 --endMP 204:158 --enddatetime 2016-10-17T12:22:22 --enforcementcount 0 &gt;&gt;C:\Users\stu\Documents\GitHub\eaglep3-reporting\EC\2016-10-17-refined-times.txt</v>
      </c>
      <c r="AI70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ID","value":"158-17"},{"id":16,"name":"Locomotive ID","value":"4037"},{"id":130,"name":"Impact","value":""},{"id":150,"name":"Time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495</v>
      </c>
      <c r="B71" s="7">
        <v>4031</v>
      </c>
      <c r="C71" s="22" t="s">
        <v>99</v>
      </c>
      <c r="D71" s="22" t="s">
        <v>295</v>
      </c>
      <c r="E71" s="13">
        <v>42660.455520833333</v>
      </c>
      <c r="F71" s="13">
        <v>42660.458668981482</v>
      </c>
      <c r="G71" s="7">
        <v>1</v>
      </c>
      <c r="H71" s="13" t="s">
        <v>330</v>
      </c>
      <c r="I71" s="13">
        <v>42660.485555555555</v>
      </c>
      <c r="J71" s="7">
        <v>0</v>
      </c>
      <c r="K71" s="112" t="str">
        <f t="shared" si="21"/>
        <v>4031/4032</v>
      </c>
      <c r="L71" s="22" t="str">
        <f>VLOOKUP(A71,'Trips&amp;Operators'!$C$1:$E$10000,3,FALSE)</f>
        <v>STEWART</v>
      </c>
      <c r="M71" s="6">
        <f t="shared" si="22"/>
        <v>2.6886574072705116E-2</v>
      </c>
      <c r="N71" s="7">
        <f t="shared" si="23"/>
        <v>38.716666664695367</v>
      </c>
      <c r="O71" s="7"/>
      <c r="P71" s="7"/>
      <c r="Q71" s="23"/>
      <c r="R71" s="23"/>
      <c r="S71" s="35">
        <f t="shared" si="24"/>
        <v>1</v>
      </c>
      <c r="T71" s="50" t="str">
        <f t="shared" si="25"/>
        <v>NorthBound</v>
      </c>
      <c r="U71" s="18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09:55:57-0600',mode:absolute,to:'2016-10-17 12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 t="shared" si="27"/>
        <v>N</v>
      </c>
      <c r="X71" s="178">
        <f t="shared" ref="X71:X102" si="33">VALUE(LEFT(AD71,4))-VALUE(LEFT(AD70,4))</f>
        <v>1</v>
      </c>
      <c r="Y71" s="67">
        <f t="shared" si="28"/>
        <v>4.7100000000000003E-2</v>
      </c>
      <c r="Z71" s="67">
        <f t="shared" si="29"/>
        <v>23.330200000000001</v>
      </c>
      <c r="AA71" s="67">
        <f t="shared" si="30"/>
        <v>23.283100000000001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31"/>
        <v>0159-17</v>
      </c>
      <c r="AE71" s="91" t="str">
        <f t="shared" si="12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71" s="88" t="str">
        <f t="shared" si="13"/>
        <v>"C:\Program Files (x86)\AstroGrep\AstroGrep.exe" /spath="%USERPROFILE%\AppData\Local\Temp\OnboardLogs" /stypes="app*4031*20161017*" /stext=" 17:.+((SYSTEM_STATE.+slice.+state.+changed )|(ment ac)|(system.+state.+changed )|(\[timeout)|(PRM\|1\|D)|(kpr)|(kdp)|(\|lc)|(penalty))" /e /r /s</v>
      </c>
      <c r="AG71" s="1" t="str">
        <f t="shared" si="32"/>
        <v>EC</v>
      </c>
      <c r="AH71" s="92" t="str">
        <f t="shared" si="17"/>
        <v>"%USERPROFILE%\Documents\GitHub\eaglep3\Utilities\RefineRTDCRunTimes.py" --tripid 159-17 --locoid 4031 --swversion DE.1.0.7.0 --startMP 204:471 --initTime 2016-10-17T10:55:57 --startdatetime 2016-10-17T11:00:29 --delay 1 --endMP 204:233302 --enddatetime 2016-10-17T11:39:12 --enforcementcount 0 &gt;&gt;C:\Users\stu\Documents\GitHub\eaglep3-reporting\EC\2016-10-17-refined-times.txt</v>
      </c>
      <c r="AI71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{"issue":{"subject":"","project_id":79,"tracker_id":40,"status_id":1,"priority_id":2,"assigned_to_id":23,"start_date":"2016-10-17","description":"","custom_fields":[{"id":1,"name":"Subdivision","value":"EC"},{"id":4,"name":"Milepost","value":"23.3302"},{"id":17,"name":"Train ID","value":"159-17"},{"id":16,"name":"Locomotive ID","value":"4031"},{"id":130,"name":"Impact","value":""},{"id":150,"name":"Time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413</v>
      </c>
      <c r="B72" s="7">
        <v>4032</v>
      </c>
      <c r="C72" s="22" t="s">
        <v>99</v>
      </c>
      <c r="D72" s="22" t="s">
        <v>285</v>
      </c>
      <c r="E72" s="13">
        <v>42660.494490740741</v>
      </c>
      <c r="F72" s="13">
        <v>42660.497418981482</v>
      </c>
      <c r="G72" s="7">
        <v>1</v>
      </c>
      <c r="H72" s="13" t="s">
        <v>234</v>
      </c>
      <c r="I72" s="13">
        <v>42660.526990740742</v>
      </c>
      <c r="J72" s="7">
        <v>0</v>
      </c>
      <c r="K72" s="112" t="str">
        <f t="shared" si="21"/>
        <v>4031/4032</v>
      </c>
      <c r="L72" s="22" t="str">
        <f>VLOOKUP(A72,'Trips&amp;Operators'!$C$1:$E$10000,3,FALSE)</f>
        <v>STEWART</v>
      </c>
      <c r="M72" s="6">
        <f t="shared" si="22"/>
        <v>2.9571759259852115E-2</v>
      </c>
      <c r="N72" s="7">
        <f t="shared" si="23"/>
        <v>42.583333334187046</v>
      </c>
      <c r="O72" s="7"/>
      <c r="P72" s="7"/>
      <c r="Q72" s="23"/>
      <c r="R72" s="23"/>
      <c r="S72" s="35">
        <f t="shared" si="24"/>
        <v>1</v>
      </c>
      <c r="T72" s="50" t="str">
        <f t="shared" si="25"/>
        <v>Southbound</v>
      </c>
      <c r="U72" s="18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10:52:04-0600',mode:absolute,to:'2016-10-17 13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 t="shared" si="27"/>
        <v>N</v>
      </c>
      <c r="X72" s="178">
        <f t="shared" si="33"/>
        <v>1</v>
      </c>
      <c r="Y72" s="67">
        <f t="shared" si="28"/>
        <v>23.297699999999999</v>
      </c>
      <c r="Z72" s="67">
        <f t="shared" si="29"/>
        <v>1.49E-2</v>
      </c>
      <c r="AA72" s="67">
        <f t="shared" si="30"/>
        <v>23.282799999999998</v>
      </c>
      <c r="AB72" s="64" t="str">
        <f>VLOOKUP(A72,Enforcements!$C$7:$K$21,8,0)</f>
        <v>Bulletin (2)</v>
      </c>
      <c r="AC72" s="60" t="str">
        <f>VLOOKUP(A72,Enforcements!$C$7:$E$21,3,0)</f>
        <v>GRADE CROSSING</v>
      </c>
      <c r="AD72" s="61" t="str">
        <f t="shared" si="31"/>
        <v>0160-17</v>
      </c>
      <c r="AE72" s="91" t="str">
        <f t="shared" si="12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72" s="88" t="str">
        <f t="shared" si="13"/>
        <v>"C:\Program Files (x86)\AstroGrep\AstroGrep.exe" /spath="%USERPROFILE%\AppData\Local\Temp\OnboardLogs" /stypes="app*4032*20161017*" /stext=" 18:.+((SYSTEM_STATE.+slice.+state.+changed )|(ment ac)|(system.+state.+changed )|(\[timeout)|(PRM\|1\|D)|(kpr)|(kdp)|(\|lc)|(penalty))" /e /r /s</v>
      </c>
      <c r="AG72" s="1" t="str">
        <f t="shared" si="32"/>
        <v>EC</v>
      </c>
      <c r="AH72" s="92" t="str">
        <f t="shared" si="17"/>
        <v>"%USERPROFILE%\Documents\GitHub\eaglep3\Utilities\RefineRTDCRunTimes.py" --tripid 160-17 --locoid 4032 --swversion DE.1.0.7.0 --startMP 204:232977 --initTime 2016-10-17T11:52:04 --startdatetime 2016-10-17T11:56:17 --delay 1 --endMP 204:149 --enddatetime 2016-10-17T12:38:52 --enforcementcount 0 &gt;&gt;C:\Users\stu\Documents\GitHub\eaglep3-reporting\EC\2016-10-17-refined-times.txt</v>
      </c>
      <c r="AI72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{"issue":{"subject":"","project_id":79,"tracker_id":40,"status_id":1,"priority_id":2,"assigned_to_id":23,"start_date":"2016-10-17","description":"","custom_fields":[{"id":1,"name":"Subdivision","value":"EC"},{"id":4,"name":"Milepost","value":"0.0149"},{"id":17,"name":"Train ID","value":"160-17"},{"id":16,"name":"Locomotive ID","value":"4032"},{"id":130,"name":"Impact","value":""},{"id":150,"name":"Time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499</v>
      </c>
      <c r="B73" s="7">
        <v>4002</v>
      </c>
      <c r="C73" s="22" t="s">
        <v>99</v>
      </c>
      <c r="D73" s="22" t="s">
        <v>253</v>
      </c>
      <c r="E73" s="13">
        <v>42660.466967592591</v>
      </c>
      <c r="F73" s="13">
        <v>42660.469583333332</v>
      </c>
      <c r="G73" s="7">
        <v>1</v>
      </c>
      <c r="H73" s="13" t="s">
        <v>662</v>
      </c>
      <c r="I73" s="13">
        <v>42660.49596064815</v>
      </c>
      <c r="J73" s="7">
        <v>0</v>
      </c>
      <c r="K73" s="112" t="str">
        <f t="shared" si="21"/>
        <v>4001/4002</v>
      </c>
      <c r="L73" s="22" t="str">
        <f>VLOOKUP(A73,'Trips&amp;Operators'!$C$1:$E$10000,3,FALSE)</f>
        <v>ISHMAEL</v>
      </c>
      <c r="M73" s="6">
        <f t="shared" si="22"/>
        <v>2.6377314818091691E-2</v>
      </c>
      <c r="N73" s="7">
        <f t="shared" si="23"/>
        <v>37.983333338052034</v>
      </c>
      <c r="O73" s="7"/>
      <c r="P73" s="7"/>
      <c r="Q73" s="23"/>
      <c r="R73" s="23"/>
      <c r="S73" s="35">
        <f t="shared" si="24"/>
        <v>1</v>
      </c>
      <c r="T73" s="50" t="str">
        <f t="shared" si="25"/>
        <v>NorthBound</v>
      </c>
      <c r="U73" s="18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10:12:26-0600',mode:absolute,to:'2016-10-17 12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3" s="52" t="str">
        <f t="shared" si="27"/>
        <v>N</v>
      </c>
      <c r="X73" s="178">
        <f t="shared" si="33"/>
        <v>1</v>
      </c>
      <c r="Y73" s="67">
        <f t="shared" si="28"/>
        <v>4.4600000000000001E-2</v>
      </c>
      <c r="Z73" s="67">
        <f t="shared" si="29"/>
        <v>23.325099999999999</v>
      </c>
      <c r="AA73" s="67">
        <f t="shared" si="30"/>
        <v>23.2805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31"/>
        <v>0161-17</v>
      </c>
      <c r="AE73" s="91" t="str">
        <f t="shared" si="12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73" s="88" t="str">
        <f t="shared" si="13"/>
        <v>"C:\Program Files (x86)\AstroGrep\AstroGrep.exe" /spath="%USERPROFILE%\AppData\Local\Temp\OnboardLogs" /stypes="app*4002*20161017*" /stext=" 17:.+((SYSTEM_STATE.+slice.+state.+changed )|(ment ac)|(system.+state.+changed )|(\[timeout)|(PRM\|1\|D)|(kpr)|(kdp)|(\|lc)|(penalty))" /e /r /s</v>
      </c>
      <c r="AG73" s="1" t="str">
        <f t="shared" si="32"/>
        <v>EC</v>
      </c>
      <c r="AH73" s="92" t="str">
        <f t="shared" si="17"/>
        <v>"%USERPROFILE%\Documents\GitHub\eaglep3\Utilities\RefineRTDCRunTimes.py" --tripid 161-17 --locoid 4002 --swversion DE.1.0.7.0 --startMP 204:446 --initTime 2016-10-17T11:12:26 --startdatetime 2016-10-17T11:16:12 --delay 1 --endMP 204:233251 --enddatetime 2016-10-17T11:54:11 --enforcementcount 0 &gt;&gt;C:\Users\stu\Documents\GitHub\eaglep3-reporting\EC\2016-10-17-refined-times.txt</v>
      </c>
      <c r="AI73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{"issue":{"subject":"","project_id":79,"tracker_id":40,"status_id":1,"priority_id":2,"assigned_to_id":23,"start_date":"2016-10-17","description":"","custom_fields":[{"id":1,"name":"Subdivision","value":"EC"},{"id":4,"name":"Milepost","value":"23.3251"},{"id":17,"name":"Train ID","value":"161-17"},{"id":16,"name":"Locomotive ID","value":"4002"},{"id":130,"name":"Impact","value":""},{"id":150,"name":"Time of Event (Mountain Time)","value":"11:54:11"},{"id":151,"name":"Denver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508</v>
      </c>
      <c r="B74" s="7">
        <v>4001</v>
      </c>
      <c r="C74" s="22" t="s">
        <v>99</v>
      </c>
      <c r="D74" s="22" t="s">
        <v>293</v>
      </c>
      <c r="E74" s="13">
        <v>42660.500810185185</v>
      </c>
      <c r="F74" s="13">
        <v>42660.5078125</v>
      </c>
      <c r="G74" s="7">
        <v>1</v>
      </c>
      <c r="H74" s="13" t="s">
        <v>237</v>
      </c>
      <c r="I74" s="13">
        <v>42660.538553240738</v>
      </c>
      <c r="J74" s="7">
        <v>0</v>
      </c>
      <c r="K74" s="112" t="str">
        <f t="shared" si="21"/>
        <v>4001/4002</v>
      </c>
      <c r="L74" s="22" t="str">
        <f>VLOOKUP(A74,'Trips&amp;Operators'!$C$1:$E$10000,3,FALSE)</f>
        <v>ISHMAEL</v>
      </c>
      <c r="M74" s="6">
        <f t="shared" si="22"/>
        <v>3.0740740738110617E-2</v>
      </c>
      <c r="N74" s="7">
        <f t="shared" si="23"/>
        <v>44.266666662879288</v>
      </c>
      <c r="O74" s="7"/>
      <c r="P74" s="7"/>
      <c r="Q74" s="23"/>
      <c r="R74" s="23"/>
      <c r="S74" s="35">
        <f t="shared" si="24"/>
        <v>1</v>
      </c>
      <c r="T74" s="50" t="str">
        <f t="shared" si="25"/>
        <v>Southbound</v>
      </c>
      <c r="U74" s="18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11:01:10-0600',mode:absolute,to:'2016-10-17 13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4" s="52" t="str">
        <f t="shared" si="27"/>
        <v>N</v>
      </c>
      <c r="X74" s="178">
        <f t="shared" si="33"/>
        <v>1</v>
      </c>
      <c r="Y74" s="67">
        <f t="shared" si="28"/>
        <v>23.2971</v>
      </c>
      <c r="Z74" s="67">
        <f t="shared" si="29"/>
        <v>1.4999999999999999E-2</v>
      </c>
      <c r="AA74" s="67">
        <f t="shared" si="30"/>
        <v>23.2821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31"/>
        <v>0162-17</v>
      </c>
      <c r="AE74" s="91" t="str">
        <f t="shared" si="12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74" s="88" t="str">
        <f t="shared" si="13"/>
        <v>"C:\Program Files (x86)\AstroGrep\AstroGrep.exe" /spath="%USERPROFILE%\AppData\Local\Temp\OnboardLogs" /stypes="app*4001*20161017*" /stext=" 18:.+((SYSTEM_STATE.+slice.+state.+changed )|(ment ac)|(system.+state.+changed )|(\[timeout)|(PRM\|1\|D)|(kpr)|(kdp)|(\|lc)|(penalty))" /e /r /s</v>
      </c>
      <c r="AG74" s="1" t="str">
        <f t="shared" si="32"/>
        <v>EC</v>
      </c>
      <c r="AH74" s="92" t="str">
        <f t="shared" si="17"/>
        <v>"%USERPROFILE%\Documents\GitHub\eaglep3\Utilities\RefineRTDCRunTimes.py" --tripid 162-17 --locoid 4001 --swversion DE.1.0.7.0 --startMP 204:232971 --initTime 2016-10-17T12:01:10 --startdatetime 2016-10-17T12:11:15 --delay 1 --endMP 204:150 --enddatetime 2016-10-17T12:55:31 --enforcementcount 0 &gt;&gt;C:\Users\stu\Documents\GitHub\eaglep3-reporting\EC\2016-10-17-refined-times.txt</v>
      </c>
      <c r="AI74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{"issue":{"subject":"","project_id":79,"tracker_id":40,"status_id":1,"priority_id":2,"assigned_to_id":23,"start_date":"2016-10-17","description":"","custom_fields":[{"id":1,"name":"Subdivision","value":"EC"},{"id":4,"name":"Milepost","value":"0.015"},{"id":17,"name":"Train ID","value":"162-17"},{"id":16,"name":"Locomotive ID","value":"4001"},{"id":130,"name":"Impact","value":""},{"id":150,"name":"Time of Event (Mountain Time)","value":"12:55:31"},{"id":151,"name":"Denver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504</v>
      </c>
      <c r="B75" s="7">
        <v>4011</v>
      </c>
      <c r="C75" s="22" t="s">
        <v>99</v>
      </c>
      <c r="D75" s="22" t="s">
        <v>233</v>
      </c>
      <c r="E75" s="13">
        <v>42660.475277777776</v>
      </c>
      <c r="F75" s="13">
        <v>42660.479560185187</v>
      </c>
      <c r="G75" s="7">
        <v>1</v>
      </c>
      <c r="H75" s="13" t="s">
        <v>183</v>
      </c>
      <c r="I75" s="13">
        <v>42660.507326388892</v>
      </c>
      <c r="J75" s="7">
        <v>0</v>
      </c>
      <c r="K75" s="112" t="str">
        <f t="shared" si="21"/>
        <v>4011/4012</v>
      </c>
      <c r="L75" s="22" t="str">
        <f>VLOOKUP(A75,'Trips&amp;Operators'!$C$1:$E$10000,3,FALSE)</f>
        <v>SWANSON</v>
      </c>
      <c r="M75" s="6">
        <f t="shared" si="22"/>
        <v>2.7766203704231884E-2</v>
      </c>
      <c r="N75" s="7">
        <f t="shared" si="23"/>
        <v>39.983333334093913</v>
      </c>
      <c r="O75" s="7"/>
      <c r="P75" s="7"/>
      <c r="Q75" s="23"/>
      <c r="R75" s="23"/>
      <c r="S75" s="35">
        <f t="shared" si="24"/>
        <v>1</v>
      </c>
      <c r="T75" s="50" t="str">
        <f t="shared" si="25"/>
        <v>NorthBound</v>
      </c>
      <c r="U75" s="18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10:24:24-0600',mode:absolute,to:'2016-10-17 13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27"/>
        <v>N</v>
      </c>
      <c r="X75" s="178">
        <f t="shared" si="33"/>
        <v>1</v>
      </c>
      <c r="Y75" s="67">
        <f t="shared" si="28"/>
        <v>4.58E-2</v>
      </c>
      <c r="Z75" s="67">
        <f t="shared" si="29"/>
        <v>23.331199999999999</v>
      </c>
      <c r="AA75" s="67">
        <f t="shared" si="30"/>
        <v>23.285399999999999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31"/>
        <v>0163-17</v>
      </c>
      <c r="AE75" s="91" t="str">
        <f t="shared" si="12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75" s="88" t="str">
        <f t="shared" si="13"/>
        <v>"C:\Program Files (x86)\AstroGrep\AstroGrep.exe" /spath="%USERPROFILE%\AppData\Local\Temp\OnboardLogs" /stypes="app*4011*20161017*" /stext=" 18:.+((SYSTEM_STATE.+slice.+state.+changed )|(ment ac)|(system.+state.+changed )|(\[timeout)|(PRM\|1\|D)|(kpr)|(kdp)|(\|lc)|(penalty))" /e /r /s</v>
      </c>
      <c r="AG75" s="1" t="str">
        <f t="shared" si="32"/>
        <v>EC</v>
      </c>
      <c r="AH75" s="92" t="str">
        <f t="shared" si="17"/>
        <v>"%USERPROFILE%\Documents\GitHub\eaglep3\Utilities\RefineRTDCRunTimes.py" --tripid 163-17 --locoid 4011 --swversion DE.1.0.7.0 --startMP 204:458 --initTime 2016-10-17T11:24:24 --startdatetime 2016-10-17T11:30:34 --delay 1 --endMP 204:233312 --enddatetime 2016-10-17T12:10:33 --enforcementcount 0 &gt;&gt;C:\Users\stu\Documents\GitHub\eaglep3-reporting\EC\2016-10-17-refined-times.txt</v>
      </c>
      <c r="AI75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{"issue":{"subject":"","project_id":79,"tracker_id":40,"status_id":1,"priority_id":2,"assigned_to_id":23,"start_date":"2016-10-17","description":"","custom_fields":[{"id":1,"name":"Subdivision","value":"EC"},{"id":4,"name":"Milepost","value":"23.3312"},{"id":17,"name":"Train ID","value":"163-17"},{"id":16,"name":"Locomotive ID","value":"4011"},{"id":130,"name":"Impact","value":""},{"id":150,"name":"Time of Event (Mountain Time)","value":"12:10:33"},{"id":151,"name":"Denver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511</v>
      </c>
      <c r="B76" s="7">
        <v>4012</v>
      </c>
      <c r="C76" s="22" t="s">
        <v>99</v>
      </c>
      <c r="D76" s="22" t="s">
        <v>663</v>
      </c>
      <c r="E76" s="13">
        <v>42660.510127314818</v>
      </c>
      <c r="F76" s="13">
        <v>42660.518599537034</v>
      </c>
      <c r="G76" s="7">
        <v>1</v>
      </c>
      <c r="H76" s="13" t="s">
        <v>355</v>
      </c>
      <c r="I76" s="13">
        <v>42660.54619212963</v>
      </c>
      <c r="J76" s="7">
        <v>0</v>
      </c>
      <c r="K76" s="112" t="str">
        <f t="shared" si="21"/>
        <v>4011/4012</v>
      </c>
      <c r="L76" s="22" t="str">
        <f>VLOOKUP(A76,'Trips&amp;Operators'!$C$1:$E$10000,3,FALSE)</f>
        <v>SWANSON</v>
      </c>
      <c r="M76" s="6">
        <f t="shared" si="22"/>
        <v>2.7592592596192844E-2</v>
      </c>
      <c r="N76" s="7">
        <f t="shared" si="23"/>
        <v>39.733333338517696</v>
      </c>
      <c r="O76" s="7"/>
      <c r="P76" s="7"/>
      <c r="Q76" s="23"/>
      <c r="R76" s="23"/>
      <c r="S76" s="35">
        <f t="shared" si="24"/>
        <v>1</v>
      </c>
      <c r="T76" s="50" t="str">
        <f t="shared" si="25"/>
        <v>Southbound</v>
      </c>
      <c r="U76" s="18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https://search-rtdc-monitor-bjffxe2xuh6vdkpspy63sjmuny.us-east-1.es.amazonaws.com/_plugin/kibana/#/discover/Steve-Slow-Train-Analysis-(2080s-and-2083s)?_g=(refreshInterval:(display:Off,section:0,value:0),time:(from:'2016-10-17 11:14:35-0600',mode:absolute,to:'2016-10-17 14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27"/>
        <v>N</v>
      </c>
      <c r="X76" s="178">
        <f t="shared" si="33"/>
        <v>1</v>
      </c>
      <c r="Y76" s="67">
        <f t="shared" si="28"/>
        <v>23.3004</v>
      </c>
      <c r="Z76" s="67">
        <f t="shared" si="29"/>
        <v>1.3899999999999999E-2</v>
      </c>
      <c r="AA76" s="67">
        <f t="shared" si="30"/>
        <v>23.2865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31"/>
        <v>0164-17</v>
      </c>
      <c r="AE76" s="91" t="str">
        <f t="shared" si="12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76" s="88" t="str">
        <f t="shared" si="13"/>
        <v>"C:\Program Files (x86)\AstroGrep\AstroGrep.exe" /spath="%USERPROFILE%\AppData\Local\Temp\OnboardLogs" /stypes="app*4012*20161017*" /stext=" 19:.+((SYSTEM_STATE.+slice.+state.+changed )|(ment ac)|(system.+state.+changed )|(\[timeout)|(PRM\|1\|D)|(kpr)|(kdp)|(\|lc)|(penalty))" /e /r /s</v>
      </c>
      <c r="AG76" s="1" t="str">
        <f t="shared" si="32"/>
        <v>EC</v>
      </c>
      <c r="AH76" s="92" t="str">
        <f t="shared" si="17"/>
        <v>"%USERPROFILE%\Documents\GitHub\eaglep3\Utilities\RefineRTDCRunTimes.py" --tripid 164-17 --locoid 4012 --swversion DE.1.0.7.0 --startMP 204:233004 --initTime 2016-10-17T12:14:35 --startdatetime 2016-10-17T12:26:47 --delay 1 --endMP 204:139 --enddatetime 2016-10-17T13:06:31 --enforcementcount 0 &gt;&gt;C:\Users\stu\Documents\GitHub\eaglep3-reporting\EC\2016-10-17-refined-times.txt</v>
      </c>
      <c r="AI76" s="122" t="str">
        <f t="shared" si="18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ID","value":"164-17"},{"id":16,"name":"Locomotive ID","value":"4012"},{"id":130,"name":"Impact","value":""},{"id":150,"name":"Time of Event (Mountain Time)","value":"13:06:31"},{"id":151,"name":"Denver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506</v>
      </c>
      <c r="B77" s="7">
        <v>4044</v>
      </c>
      <c r="C77" s="22" t="s">
        <v>99</v>
      </c>
      <c r="D77" s="22" t="s">
        <v>657</v>
      </c>
      <c r="E77" s="13">
        <v>42660.486805555556</v>
      </c>
      <c r="F77" s="13">
        <v>42660.489756944444</v>
      </c>
      <c r="G77" s="7">
        <v>1</v>
      </c>
      <c r="H77" s="13" t="s">
        <v>380</v>
      </c>
      <c r="I77" s="13">
        <v>42660.51630787037</v>
      </c>
      <c r="J77" s="7">
        <v>0</v>
      </c>
      <c r="K77" s="112" t="str">
        <f t="shared" ref="K77:K108" si="34">IF(ISEVEN(B77),(B77-1)&amp;"/"&amp;B77,B77&amp;"/"&amp;(B77+1))</f>
        <v>4043/4044</v>
      </c>
      <c r="L77" s="22" t="str">
        <f>VLOOKUP(A77,'Trips&amp;Operators'!$C$1:$E$10000,3,FALSE)</f>
        <v>CLARK</v>
      </c>
      <c r="M77" s="6">
        <f t="shared" ref="M77:M108" si="35">I77-F77</f>
        <v>2.6550925926130731E-2</v>
      </c>
      <c r="N77" s="7">
        <f t="shared" ref="N77:N108" si="36">24*60*SUM($M77:$M77)</f>
        <v>38.233333333628252</v>
      </c>
      <c r="O77" s="7"/>
      <c r="P77" s="7"/>
      <c r="Q77" s="23"/>
      <c r="R77" s="23"/>
      <c r="S77" s="35">
        <f t="shared" ref="S77:S108" si="37">SUM(U77:U77)/IF(AG77="EC",12,1)</f>
        <v>1</v>
      </c>
      <c r="T77" s="50" t="str">
        <f t="shared" ref="T77:T108" si="38">IF(ISEVEN(LEFT(AD77,4)),"Southbound","NorthBound")</f>
        <v>NorthBound</v>
      </c>
      <c r="U77" s="18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https://search-rtdc-monitor-bjffxe2xuh6vdkpspy63sjmuny.us-east-1.es.amazonaws.com/_plugin/kibana/#/discover/Steve-Slow-Train-Analysis-(2080s-and-2083s)?_g=(refreshInterval:(display:Off,section:0,value:0),time:(from:'2016-10-17 10:41:00-0600',mode:absolute,to:'2016-10-17 13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7" s="52" t="str">
        <f t="shared" ref="W77:W108" si="40">IF(AA77&lt;IF(AG77="EC",23,5.65),"Y","N")</f>
        <v>N</v>
      </c>
      <c r="X77" s="178">
        <f t="shared" si="33"/>
        <v>1</v>
      </c>
      <c r="Y77" s="67">
        <f t="shared" ref="Y77:Y108" si="41">RIGHT(D77,LEN(D77)-4)/10000</f>
        <v>4.4200000000000003E-2</v>
      </c>
      <c r="Z77" s="67">
        <f t="shared" ref="Z77:Z108" si="42">RIGHT(H77,LEN(H77)-4)/10000</f>
        <v>23.3309</v>
      </c>
      <c r="AA77" s="67">
        <f t="shared" ref="AA77:AA108" si="43">ABS(Z77-Y77)</f>
        <v>23.2867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08" si="44">IF(LEN(A77)=6,"0"&amp;A77,A77)</f>
        <v>0165-17</v>
      </c>
      <c r="AE77" s="91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77" s="88" t="str">
        <f t="shared" ref="AF77:AF140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/stypes="app*4044*20161017*" /stext=" 18:.+((SYSTEM_STATE.+slice.+state.+changed )|(ment ac)|(system.+state.+changed )|(\[timeout)|(PRM\|1\|D)|(kpr)|(kdp)|(\|lc)|(penalty))"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92" t="str">
        <f t="shared" ref="AH77:AH156" si="4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165-17 --locoid 4044 --swversion DE.1.0.7.0 --startMP 204:442 --initTime 2016-10-17T11:41:00 --startdatetime 2016-10-17T11:45:15 --delay 1 --endMP 204:233309 --enddatetime 2016-10-17T12:23:29 --enforcementcount 0 &gt;&gt;C:\Users\stu\Documents\GitHub\eaglep3-reporting\EC\2016-10-17-refined-times.txt</v>
      </c>
      <c r="AI77" s="122" t="str">
        <f t="shared" ref="AI77:AI156" si="4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{"issue":{"subject":"","project_id":79,"tracker_id":40,"status_id":1,"priority_id":2,"assigned_to_id":23,"start_date":"2016-10-17","description":"","custom_fields":[{"id":1,"name":"Subdivision","value":"EC"},{"id":4,"name":"Milepost","value":"23.3309"},{"id":17,"name":"Train ID","value":"165-17"},{"id":16,"name":"Locomotive ID","value":"4044"},{"id":130,"name":"Impact","value":""},{"id":150,"name":"Time of Event (Mountain Time)","value":"12:23:29"},{"id":151,"name":"Denver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514</v>
      </c>
      <c r="B78" s="7">
        <v>4043</v>
      </c>
      <c r="C78" s="22" t="s">
        <v>99</v>
      </c>
      <c r="D78" s="22" t="s">
        <v>664</v>
      </c>
      <c r="E78" s="13">
        <v>42660.523715277777</v>
      </c>
      <c r="F78" s="13">
        <v>42660.528657407405</v>
      </c>
      <c r="G78" s="7">
        <v>1</v>
      </c>
      <c r="H78" s="13" t="s">
        <v>656</v>
      </c>
      <c r="I78" s="13">
        <v>42660.556643518517</v>
      </c>
      <c r="J78" s="7">
        <v>0</v>
      </c>
      <c r="K78" s="112" t="str">
        <f t="shared" si="34"/>
        <v>4043/4044</v>
      </c>
      <c r="L78" s="22" t="str">
        <f>VLOOKUP(A78,'Trips&amp;Operators'!$C$1:$E$10000,3,FALSE)</f>
        <v>CLARK</v>
      </c>
      <c r="M78" s="6">
        <f t="shared" si="35"/>
        <v>2.7986111112113576E-2</v>
      </c>
      <c r="N78" s="7">
        <f t="shared" si="36"/>
        <v>40.30000000144355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8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11:34:09-0600',mode:absolute,to:'2016-10-17 14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8" s="52" t="str">
        <f t="shared" si="40"/>
        <v>N</v>
      </c>
      <c r="X78" s="178">
        <f t="shared" si="33"/>
        <v>1</v>
      </c>
      <c r="Y78" s="67">
        <f t="shared" si="41"/>
        <v>23.297499999999999</v>
      </c>
      <c r="Z78" s="67">
        <f t="shared" si="42"/>
        <v>1.7000000000000001E-2</v>
      </c>
      <c r="AA78" s="67">
        <f t="shared" si="43"/>
        <v>23.2805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4"/>
        <v>0166-17</v>
      </c>
      <c r="AE78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78" s="88" t="str">
        <f t="shared" si="46"/>
        <v>"C:\Program Files (x86)\AstroGrep\AstroGrep.exe" /spath="%USERPROFILE%\AppData\Local\Temp\OnboardLogs" /stypes="app*4043*20161017*" /stext=" 19:.+((SYSTEM_STATE.+slice.+state.+changed )|(ment ac)|(system.+state.+changed )|(\[timeout)|(PRM\|1\|D)|(kpr)|(kdp)|(\|lc)|(penalty))" /e /r /s</v>
      </c>
      <c r="AG78" s="1" t="str">
        <f t="shared" si="47"/>
        <v>EC</v>
      </c>
      <c r="AH78" s="92" t="str">
        <f t="shared" si="48"/>
        <v>"%USERPROFILE%\Documents\GitHub\eaglep3\Utilities\RefineRTDCRunTimes.py" --tripid 166-17 --locoid 4043 --swversion DE.1.0.7.0 --startMP 204:232975 --initTime 2016-10-17T12:34:09 --startdatetime 2016-10-17T12:41:16 --delay 1 --endMP 204:170 --enddatetime 2016-10-17T13:21:34 --enforcementcount 0 &gt;&gt;C:\Users\stu\Documents\GitHub\eaglep3-reporting\EC\2016-10-17-refined-times.txt</v>
      </c>
      <c r="AI7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ID","value":"166-17"},{"id":16,"name":"Locomotive ID","value":"4043"},{"id":130,"name":"Impact","value":""},{"id":150,"name":"Time of Event (Mountain Time)","value":"13:21:34"},{"id":151,"name":"Denver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507</v>
      </c>
      <c r="B79" s="7">
        <v>4025</v>
      </c>
      <c r="C79" s="22" t="s">
        <v>99</v>
      </c>
      <c r="D79" s="22" t="s">
        <v>250</v>
      </c>
      <c r="E79" s="13">
        <v>42660.499212962961</v>
      </c>
      <c r="F79" s="13">
        <v>42660.50209490741</v>
      </c>
      <c r="G79" s="7">
        <v>4</v>
      </c>
      <c r="H79" s="13" t="s">
        <v>224</v>
      </c>
      <c r="I79" s="13">
        <v>42660.534363425926</v>
      </c>
      <c r="J79" s="7">
        <v>0</v>
      </c>
      <c r="K79" s="112" t="str">
        <f t="shared" si="34"/>
        <v>4025/4026</v>
      </c>
      <c r="L79" s="22" t="str">
        <f>VLOOKUP(A79,'Trips&amp;Operators'!$C$1:$E$10000,3,FALSE)</f>
        <v>BRANDNER</v>
      </c>
      <c r="M79" s="6">
        <f t="shared" si="35"/>
        <v>3.2268518516502809E-2</v>
      </c>
      <c r="N79" s="7">
        <f t="shared" si="36"/>
        <v>46.466666663764045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8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10:58:52-0600',mode:absolute,to:'2016-10-17 13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40"/>
        <v>N</v>
      </c>
      <c r="X79" s="178">
        <f t="shared" si="33"/>
        <v>1</v>
      </c>
      <c r="Y79" s="67">
        <f t="shared" si="41"/>
        <v>4.6600000000000003E-2</v>
      </c>
      <c r="Z79" s="67">
        <f t="shared" si="42"/>
        <v>23.331399999999999</v>
      </c>
      <c r="AA79" s="67">
        <f t="shared" si="43"/>
        <v>23.284799999999997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4"/>
        <v>0167-17</v>
      </c>
      <c r="AE79" s="91" t="str">
        <f t="shared" si="45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79" s="88" t="str">
        <f t="shared" si="46"/>
        <v>"C:\Program Files (x86)\AstroGrep\AstroGrep.exe" /spath="%USERPROFILE%\AppData\Local\Temp\OnboardLogs" /stypes="app*4025*20161017*" /stext=" 18:.+((SYSTEM_STATE.+slice.+state.+changed )|(ment ac)|(system.+state.+changed )|(\[timeout)|(PRM\|1\|D)|(kpr)|(kdp)|(\|lc)|(penalty))" /e /r /s</v>
      </c>
      <c r="AG79" s="1" t="str">
        <f t="shared" si="47"/>
        <v>EC</v>
      </c>
      <c r="AH79" s="92" t="str">
        <f t="shared" si="48"/>
        <v>"%USERPROFILE%\Documents\GitHub\eaglep3\Utilities\RefineRTDCRunTimes.py" --tripid 167-17 --locoid 4025 --swversion DE.1.0.7.0 --startMP 204:466 --initTime 2016-10-17T11:58:52 --startdatetime 2016-10-17T12:03:01 --delay 4 --endMP 204:233314 --enddatetime 2016-10-17T12:49:29 --enforcementcount 0 &gt;&gt;C:\Users\stu\Documents\GitHub\eaglep3-reporting\EC\2016-10-17-refined-times.txt</v>
      </c>
      <c r="AI7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{"issue":{"subject":"","project_id":79,"tracker_id":40,"status_id":1,"priority_id":2,"assigned_to_id":23,"start_date":"2016-10-17","description":"","custom_fields":[{"id":1,"name":"Subdivision","value":"EC"},{"id":4,"name":"Milepost","value":"23.3314"},{"id":17,"name":"Train ID","value":"167-17"},{"id":16,"name":"Locomotive ID","value":"4025"},{"id":130,"name":"Impact","value":""},{"id":150,"name":"Time of Event (Mountain Time)","value":"12:49:29"},{"id":151,"name":"Denver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415</v>
      </c>
      <c r="B80" s="7">
        <v>4026</v>
      </c>
      <c r="C80" s="22" t="s">
        <v>99</v>
      </c>
      <c r="D80" s="22" t="s">
        <v>244</v>
      </c>
      <c r="E80" s="13">
        <v>42660.538634259261</v>
      </c>
      <c r="F80" s="13">
        <v>42660.540370370371</v>
      </c>
      <c r="G80" s="7">
        <v>1</v>
      </c>
      <c r="H80" s="13" t="s">
        <v>245</v>
      </c>
      <c r="I80" s="13">
        <v>42660.566689814812</v>
      </c>
      <c r="J80" s="7">
        <v>0</v>
      </c>
      <c r="K80" s="112" t="str">
        <f t="shared" si="34"/>
        <v>4025/4026</v>
      </c>
      <c r="L80" s="22" t="str">
        <f>VLOOKUP(A80,'Trips&amp;Operators'!$C$1:$E$10000,3,FALSE)</f>
        <v>BRANDNER</v>
      </c>
      <c r="M80" s="6">
        <f t="shared" si="35"/>
        <v>2.6319444441469386E-2</v>
      </c>
      <c r="N80" s="7">
        <f t="shared" si="36"/>
        <v>37.899999995715916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8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11:55:38-0600',mode:absolute,to:'2016-10-17 14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40"/>
        <v>N</v>
      </c>
      <c r="X80" s="178">
        <f t="shared" si="33"/>
        <v>1</v>
      </c>
      <c r="Y80" s="67">
        <f t="shared" si="41"/>
        <v>23.298200000000001</v>
      </c>
      <c r="Z80" s="67">
        <f t="shared" si="42"/>
        <v>1.3599999999999999E-2</v>
      </c>
      <c r="AA80" s="67">
        <f t="shared" si="43"/>
        <v>23.284600000000001</v>
      </c>
      <c r="AB80" s="64" t="str">
        <f>VLOOKUP(A80,Enforcements!$C$7:$K$21,8,0)</f>
        <v>Bulletin (2)</v>
      </c>
      <c r="AC80" s="60" t="str">
        <f>VLOOKUP(A80,Enforcements!$C$7:$E$21,3,0)</f>
        <v>GRADE CROSSING</v>
      </c>
      <c r="AD80" s="61" t="str">
        <f t="shared" si="44"/>
        <v>0168-17</v>
      </c>
      <c r="AE80" s="91" t="str">
        <f t="shared" si="45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80" s="88" t="str">
        <f t="shared" si="46"/>
        <v>"C:\Program Files (x86)\AstroGrep\AstroGrep.exe" /spath="%USERPROFILE%\AppData\Local\Temp\OnboardLogs" /stypes="app*4026*20161017*" /stext=" 19:.+((SYSTEM_STATE.+slice.+state.+changed )|(ment ac)|(system.+state.+changed )|(\[timeout)|(PRM\|1\|D)|(kpr)|(kdp)|(\|lc)|(penalty))" /e /r /s</v>
      </c>
      <c r="AG80" s="1" t="str">
        <f t="shared" si="47"/>
        <v>EC</v>
      </c>
      <c r="AH80" s="92" t="str">
        <f t="shared" si="48"/>
        <v>"%USERPROFILE%\Documents\GitHub\eaglep3\Utilities\RefineRTDCRunTimes.py" --tripid 168-17 --locoid 4026 --swversion DE.1.0.7.0 --startMP 204:232982 --initTime 2016-10-17T12:55:38 --startdatetime 2016-10-17T12:58:08 --delay 1 --endMP 204:136 --enddatetime 2016-10-17T13:36:02 --enforcementcount 0 &gt;&gt;C:\Users\stu\Documents\GitHub\eaglep3-reporting\EC\2016-10-17-refined-times.txt</v>
      </c>
      <c r="AI8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{"issue":{"subject":"","project_id":79,"tracker_id":40,"status_id":1,"priority_id":2,"assigned_to_id":23,"start_date":"2016-10-17","description":"","custom_fields":[{"id":1,"name":"Subdivision","value":"EC"},{"id":4,"name":"Milepost","value":"0.0136"},{"id":17,"name":"Train ID","value":"168-17"},{"id":16,"name":"Locomotive ID","value":"4026"},{"id":130,"name":"Impact","value":""},{"id":150,"name":"Time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509</v>
      </c>
      <c r="B81" s="7">
        <v>4018</v>
      </c>
      <c r="C81" s="22" t="s">
        <v>99</v>
      </c>
      <c r="D81" s="22" t="s">
        <v>291</v>
      </c>
      <c r="E81" s="13">
        <v>42660.508993055555</v>
      </c>
      <c r="F81" s="13">
        <v>42660.512013888889</v>
      </c>
      <c r="G81" s="7">
        <v>1</v>
      </c>
      <c r="H81" s="13" t="s">
        <v>330</v>
      </c>
      <c r="I81" s="13">
        <v>42660.541909722226</v>
      </c>
      <c r="J81" s="7">
        <v>0</v>
      </c>
      <c r="K81" s="112" t="str">
        <f t="shared" si="34"/>
        <v>4017/4018</v>
      </c>
      <c r="L81" s="22" t="str">
        <f>VLOOKUP(A81,'Trips&amp;Operators'!$C$1:$E$10000,3,FALSE)</f>
        <v>HELVIE</v>
      </c>
      <c r="M81" s="6">
        <f t="shared" si="35"/>
        <v>2.9895833336922806E-2</v>
      </c>
      <c r="N81" s="7">
        <f t="shared" si="36"/>
        <v>43.05000000516884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8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11:12:57-0600',mode:absolute,to:'2016-10-17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1" s="52" t="str">
        <f t="shared" si="40"/>
        <v>N</v>
      </c>
      <c r="X81" s="178">
        <f t="shared" si="33"/>
        <v>1</v>
      </c>
      <c r="Y81" s="67">
        <f t="shared" si="41"/>
        <v>4.7500000000000001E-2</v>
      </c>
      <c r="Z81" s="67">
        <f t="shared" si="42"/>
        <v>23.330200000000001</v>
      </c>
      <c r="AA81" s="67">
        <f t="shared" si="43"/>
        <v>23.282700000000002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4"/>
        <v>0169-17</v>
      </c>
      <c r="AE81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81" s="88" t="str">
        <f t="shared" si="46"/>
        <v>"C:\Program Files (x86)\AstroGrep\AstroGrep.exe" /spath="%USERPROFILE%\AppData\Local\Temp\OnboardLogs" /stypes="app*4018*20161017*" /stext=" 19:.+((SYSTEM_STATE.+slice.+state.+changed )|(ment ac)|(system.+state.+changed )|(\[timeout)|(PRM\|1\|D)|(kpr)|(kdp)|(\|lc)|(penalty))" /e /r /s</v>
      </c>
      <c r="AG81" s="1" t="str">
        <f t="shared" si="47"/>
        <v>EC</v>
      </c>
      <c r="AH81" s="92" t="str">
        <f t="shared" si="48"/>
        <v>"%USERPROFILE%\Documents\GitHub\eaglep3\Utilities\RefineRTDCRunTimes.py" --tripid 169-17 --locoid 4018 --swversion DE.1.0.7.0 --startMP 204:475 --initTime 2016-10-17T12:12:57 --startdatetime 2016-10-17T12:17:18 --delay 1 --endMP 204:233302 --enddatetime 2016-10-17T13:00:21 --enforcementcount 0 &gt;&gt;C:\Users\stu\Documents\GitHub\eaglep3-reporting\EC\2016-10-17-refined-times.txt</v>
      </c>
      <c r="AI8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{"issue":{"subject":"","project_id":79,"tracker_id":40,"status_id":1,"priority_id":2,"assigned_to_id":23,"start_date":"2016-10-17","description":"","custom_fields":[{"id":1,"name":"Subdivision","value":"EC"},{"id":4,"name":"Milepost","value":"23.3302"},{"id":17,"name":"Train ID","value":"169-17"},{"id":16,"name":"Locomotive ID","value":"4018"},{"id":130,"name":"Impact","value":""},{"id":150,"name":"Time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518</v>
      </c>
      <c r="B82" s="7">
        <v>4017</v>
      </c>
      <c r="C82" s="22" t="s">
        <v>99</v>
      </c>
      <c r="D82" s="22" t="s">
        <v>635</v>
      </c>
      <c r="E82" s="13">
        <v>42660.545798611114</v>
      </c>
      <c r="F82" s="13">
        <v>42660.549583333333</v>
      </c>
      <c r="G82" s="7">
        <v>1</v>
      </c>
      <c r="H82" s="13" t="s">
        <v>241</v>
      </c>
      <c r="I82" s="13">
        <v>42660.576944444445</v>
      </c>
      <c r="J82" s="7">
        <v>0</v>
      </c>
      <c r="K82" s="112" t="str">
        <f t="shared" si="34"/>
        <v>4017/4018</v>
      </c>
      <c r="L82" s="22" t="str">
        <f>VLOOKUP(A82,'Trips&amp;Operators'!$C$1:$E$10000,3,FALSE)</f>
        <v>HELVIE</v>
      </c>
      <c r="M82" s="6">
        <f t="shared" si="35"/>
        <v>2.73611111115315E-2</v>
      </c>
      <c r="N82" s="7">
        <f t="shared" si="36"/>
        <v>39.40000000060536</v>
      </c>
      <c r="O82" s="7"/>
      <c r="P82" s="7"/>
      <c r="Q82" s="23"/>
      <c r="R82" s="23"/>
      <c r="S82" s="35">
        <f t="shared" si="37"/>
        <v>1</v>
      </c>
      <c r="T82" s="50" t="str">
        <f t="shared" si="38"/>
        <v>Southbound</v>
      </c>
      <c r="U82" s="18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12:05:57-0600',mode:absolute,to:'2016-10-17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2" s="52" t="str">
        <f t="shared" si="40"/>
        <v>N</v>
      </c>
      <c r="X82" s="178">
        <f t="shared" si="33"/>
        <v>1</v>
      </c>
      <c r="Y82" s="67">
        <f t="shared" si="41"/>
        <v>23.298300000000001</v>
      </c>
      <c r="Z82" s="67">
        <f t="shared" si="42"/>
        <v>1.6299999999999999E-2</v>
      </c>
      <c r="AA82" s="67">
        <f t="shared" si="43"/>
        <v>23.282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4"/>
        <v>0170-17</v>
      </c>
      <c r="AE82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82" s="88" t="str">
        <f t="shared" si="46"/>
        <v>"C:\Program Files (x86)\AstroGrep\AstroGrep.exe" /spath="%USERPROFILE%\AppData\Local\Temp\OnboardLogs" /stypes="app*4017*20161017*" /stext=" 19:.+((SYSTEM_STATE.+slice.+state.+changed )|(ment ac)|(system.+state.+changed )|(\[timeout)|(PRM\|1\|D)|(kpr)|(kdp)|(\|lc)|(penalty))" /e /r /s</v>
      </c>
      <c r="AG82" s="1" t="str">
        <f t="shared" si="47"/>
        <v>EC</v>
      </c>
      <c r="AH82" s="92" t="str">
        <f t="shared" si="48"/>
        <v>"%USERPROFILE%\Documents\GitHub\eaglep3\Utilities\RefineRTDCRunTimes.py" --tripid 170-17 --locoid 4017 --swversion DE.1.0.7.0 --startMP 204:232983 --initTime 2016-10-17T13:05:57 --startdatetime 2016-10-17T13:11:24 --delay 1 --endMP 204:163 --enddatetime 2016-10-17T13:50:48 --enforcementcount 0 &gt;&gt;C:\Users\stu\Documents\GitHub\eaglep3-reporting\EC\2016-10-17-refined-times.txt</v>
      </c>
      <c r="AI8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{"issue":{"subject":"","project_id":79,"tracker_id":40,"status_id":1,"priority_id":2,"assigned_to_id":23,"start_date":"2016-10-17","description":"","custom_fields":[{"id":1,"name":"Subdivision","value":"EC"},{"id":4,"name":"Milepost","value":"0.0163"},{"id":17,"name":"Train ID","value":"170-17"},{"id":16,"name":"Locomotive ID","value":"4017"},{"id":130,"name":"Impact","value":""},{"id":150,"name":"Time of Event (Mountain Time)","value":"13:50:48"},{"id":151,"name":"Denver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512</v>
      </c>
      <c r="B83" s="7">
        <v>4038</v>
      </c>
      <c r="C83" s="22" t="s">
        <v>99</v>
      </c>
      <c r="D83" s="22" t="s">
        <v>291</v>
      </c>
      <c r="E83" s="13">
        <v>42660.517743055556</v>
      </c>
      <c r="F83" s="13">
        <v>42660.521215277775</v>
      </c>
      <c r="G83" s="7">
        <v>2</v>
      </c>
      <c r="H83" s="13" t="s">
        <v>665</v>
      </c>
      <c r="I83" s="13">
        <v>42660.547175925924</v>
      </c>
      <c r="J83" s="7">
        <v>0</v>
      </c>
      <c r="K83" s="112" t="str">
        <f t="shared" si="34"/>
        <v>4037/4038</v>
      </c>
      <c r="L83" s="22" t="str">
        <f>VLOOKUP(A83,'Trips&amp;Operators'!$C$1:$E$10000,3,FALSE)</f>
        <v>STAMBAUGH</v>
      </c>
      <c r="M83" s="6">
        <f t="shared" si="35"/>
        <v>2.5960648148611654E-2</v>
      </c>
      <c r="N83" s="7">
        <f t="shared" si="36"/>
        <v>37.383333334000781</v>
      </c>
      <c r="O83" s="7"/>
      <c r="P83" s="7"/>
      <c r="Q83" s="23"/>
      <c r="R83" s="23"/>
      <c r="S83" s="35">
        <f t="shared" si="37"/>
        <v>1</v>
      </c>
      <c r="T83" s="50" t="str">
        <f t="shared" si="38"/>
        <v>NorthBound</v>
      </c>
      <c r="U83" s="18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11:25:33-0600',mode:absolute,to:'2016-10-17 14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3" s="52" t="str">
        <f t="shared" si="40"/>
        <v>N</v>
      </c>
      <c r="X83" s="178">
        <f t="shared" si="33"/>
        <v>1</v>
      </c>
      <c r="Y83" s="67">
        <f t="shared" si="41"/>
        <v>4.7500000000000001E-2</v>
      </c>
      <c r="Z83" s="67">
        <f t="shared" si="42"/>
        <v>23.338200000000001</v>
      </c>
      <c r="AA83" s="67">
        <f t="shared" si="43"/>
        <v>23.290700000000001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4"/>
        <v>0171-17</v>
      </c>
      <c r="AE83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83" s="88" t="str">
        <f t="shared" si="46"/>
        <v>"C:\Program Files (x86)\AstroGrep\AstroGrep.exe" /spath="%USERPROFILE%\AppData\Local\Temp\OnboardLogs" /stypes="app*4038*20161017*" /stext=" 19:.+((SYSTEM_STATE.+slice.+state.+changed )|(ment ac)|(system.+state.+changed )|(\[timeout)|(PRM\|1\|D)|(kpr)|(kdp)|(\|lc)|(penalty))" /e /r /s</v>
      </c>
      <c r="AG83" s="1" t="str">
        <f t="shared" si="47"/>
        <v>EC</v>
      </c>
      <c r="AH83" s="92" t="str">
        <f t="shared" si="48"/>
        <v>"%USERPROFILE%\Documents\GitHub\eaglep3\Utilities\RefineRTDCRunTimes.py" --tripid 171-17 --locoid 4038 --swversion DE.1.0.7.0 --startMP 204:475 --initTime 2016-10-17T12:25:33 --startdatetime 2016-10-17T12:30:33 --delay 2 --endMP 204:233382 --enddatetime 2016-10-17T13:07:56 --enforcementcount 0 &gt;&gt;C:\Users\stu\Documents\GitHub\eaglep3-reporting\EC\2016-10-17-refined-times.txt</v>
      </c>
      <c r="AI8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{"issue":{"subject":"","project_id":79,"tracker_id":40,"status_id":1,"priority_id":2,"assigned_to_id":23,"start_date":"2016-10-17","description":"","custom_fields":[{"id":1,"name":"Subdivision","value":"EC"},{"id":4,"name":"Milepost","value":"23.3382"},{"id":17,"name":"Train ID","value":"171-17"},{"id":16,"name":"Locomotive ID","value":"4038"},{"id":130,"name":"Impact","value":""},{"id":150,"name":"Time of Event (Mountain Time)","value":"13:07:56"},{"id":151,"name":"Denver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520</v>
      </c>
      <c r="B84" s="7">
        <v>4037</v>
      </c>
      <c r="C84" s="22" t="s">
        <v>99</v>
      </c>
      <c r="D84" s="22" t="s">
        <v>666</v>
      </c>
      <c r="E84" s="13">
        <v>42660.554618055554</v>
      </c>
      <c r="F84" s="13">
        <v>42660.559965277775</v>
      </c>
      <c r="G84" s="7">
        <v>1</v>
      </c>
      <c r="H84" s="13" t="s">
        <v>667</v>
      </c>
      <c r="I84" s="13">
        <v>42660.587361111109</v>
      </c>
      <c r="J84" s="7">
        <v>0</v>
      </c>
      <c r="K84" s="112" t="str">
        <f t="shared" si="34"/>
        <v>4037/4038</v>
      </c>
      <c r="L84" s="22" t="str">
        <f>VLOOKUP(A84,'Trips&amp;Operators'!$C$1:$E$10000,3,FALSE)</f>
        <v>SHOOK</v>
      </c>
      <c r="M84" s="6">
        <f t="shared" si="35"/>
        <v>2.7395833334594499E-2</v>
      </c>
      <c r="N84" s="7">
        <f t="shared" si="36"/>
        <v>39.450000001816079</v>
      </c>
      <c r="O84" s="7"/>
      <c r="P84" s="7"/>
      <c r="Q84" s="23"/>
      <c r="R84" s="23"/>
      <c r="S84" s="35">
        <f t="shared" si="37"/>
        <v>1</v>
      </c>
      <c r="T84" s="50" t="str">
        <f t="shared" si="38"/>
        <v>Southbound</v>
      </c>
      <c r="U84" s="18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12:18:39-0600',mode:absolute,to:'2016-10-17 15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4" s="52" t="str">
        <f t="shared" si="40"/>
        <v>N</v>
      </c>
      <c r="X84" s="178">
        <f t="shared" si="33"/>
        <v>1</v>
      </c>
      <c r="Y84" s="67">
        <f t="shared" si="41"/>
        <v>23.3048</v>
      </c>
      <c r="Z84" s="67">
        <f t="shared" si="42"/>
        <v>1.38E-2</v>
      </c>
      <c r="AA84" s="67">
        <f t="shared" si="43"/>
        <v>23.291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4"/>
        <v>0172-17</v>
      </c>
      <c r="AE84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84" s="88" t="str">
        <f t="shared" si="46"/>
        <v>"C:\Program Files (x86)\AstroGrep\AstroGrep.exe" /spath="%USERPROFILE%\AppData\Local\Temp\OnboardLogs" /stypes="app*4037*20161017*" /stext=" 20:.+((SYSTEM_STATE.+slice.+state.+changed )|(ment ac)|(system.+state.+changed )|(\[timeout)|(PRM\|1\|D)|(kpr)|(kdp)|(\|lc)|(penalty))" /e /r /s</v>
      </c>
      <c r="AG84" s="1" t="str">
        <f t="shared" si="47"/>
        <v>EC</v>
      </c>
      <c r="AH84" s="92" t="str">
        <f t="shared" si="48"/>
        <v>"%USERPROFILE%\Documents\GitHub\eaglep3\Utilities\RefineRTDCRunTimes.py" --tripid 172-17 --locoid 4037 --swversion DE.1.0.7.0 --startMP 204:233048 --initTime 2016-10-17T13:18:39 --startdatetime 2016-10-17T13:26:21 --delay 1 --endMP 204:138 --enddatetime 2016-10-17T14:05:48 --enforcementcount 0 &gt;&gt;C:\Users\stu\Documents\GitHub\eaglep3-reporting\EC\2016-10-17-refined-times.txt</v>
      </c>
      <c r="AI8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{"issue":{"subject":"","project_id":79,"tracker_id":40,"status_id":1,"priority_id":2,"assigned_to_id":23,"start_date":"2016-10-17","description":"","custom_fields":[{"id":1,"name":"Subdivision","value":"EC"},{"id":4,"name":"Milepost","value":"0.0138"},{"id":17,"name":"Train ID","value":"172-17"},{"id":16,"name":"Locomotive ID","value":"4037"},{"id":130,"name":"Impact","value":""},{"id":150,"name":"Time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516</v>
      </c>
      <c r="B85" s="7">
        <v>4031</v>
      </c>
      <c r="C85" s="22" t="s">
        <v>99</v>
      </c>
      <c r="D85" s="22" t="s">
        <v>291</v>
      </c>
      <c r="E85" s="13">
        <v>42660.529282407406</v>
      </c>
      <c r="F85" s="13">
        <v>42660.53266203704</v>
      </c>
      <c r="G85" s="7">
        <v>2</v>
      </c>
      <c r="H85" s="13" t="s">
        <v>329</v>
      </c>
      <c r="I85" s="13">
        <v>42660.558622685188</v>
      </c>
      <c r="J85" s="7">
        <v>0</v>
      </c>
      <c r="K85" s="112" t="str">
        <f t="shared" si="34"/>
        <v>4031/4032</v>
      </c>
      <c r="L85" s="22" t="str">
        <f>VLOOKUP(A85,'Trips&amp;Operators'!$C$1:$E$10000,3,FALSE)</f>
        <v>STEWART</v>
      </c>
      <c r="M85" s="6">
        <f t="shared" si="35"/>
        <v>2.5960648148611654E-2</v>
      </c>
      <c r="N85" s="7">
        <f t="shared" si="36"/>
        <v>37.383333334000781</v>
      </c>
      <c r="O85" s="7"/>
      <c r="P85" s="7"/>
      <c r="Q85" s="23"/>
      <c r="R85" s="23"/>
      <c r="S85" s="35">
        <f t="shared" si="37"/>
        <v>1</v>
      </c>
      <c r="T85" s="50" t="str">
        <f t="shared" si="38"/>
        <v>NorthBound</v>
      </c>
      <c r="U85" s="18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11:42:10-0600',mode:absolute,to:'2016-10-17 14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40"/>
        <v>N</v>
      </c>
      <c r="X85" s="178">
        <f t="shared" si="33"/>
        <v>1</v>
      </c>
      <c r="Y85" s="67">
        <f t="shared" si="41"/>
        <v>4.7500000000000001E-2</v>
      </c>
      <c r="Z85" s="67">
        <f t="shared" si="42"/>
        <v>23.3308</v>
      </c>
      <c r="AA85" s="67">
        <f t="shared" si="43"/>
        <v>23.283300000000001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4"/>
        <v>0173-17</v>
      </c>
      <c r="AE85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85" s="88" t="str">
        <f t="shared" si="46"/>
        <v>"C:\Program Files (x86)\AstroGrep\AstroGrep.exe" /spath="%USERPROFILE%\AppData\Local\Temp\OnboardLogs" /stypes="app*4031*20161017*" /stext=" 19:.+((SYSTEM_STATE.+slice.+state.+changed )|(ment ac)|(system.+state.+changed )|(\[timeout)|(PRM\|1\|D)|(kpr)|(kdp)|(\|lc)|(penalty))" /e /r /s</v>
      </c>
      <c r="AG85" s="1" t="str">
        <f t="shared" si="47"/>
        <v>EC</v>
      </c>
      <c r="AH85" s="92" t="str">
        <f t="shared" si="48"/>
        <v>"%USERPROFILE%\Documents\GitHub\eaglep3\Utilities\RefineRTDCRunTimes.py" --tripid 173-17 --locoid 4031 --swversion DE.1.0.7.0 --startMP 204:475 --initTime 2016-10-17T12:42:10 --startdatetime 2016-10-17T12:47:02 --delay 2 --endMP 204:233308 --enddatetime 2016-10-17T13:24:25 --enforcementcount 0 &gt;&gt;C:\Users\stu\Documents\GitHub\eaglep3-reporting\EC\2016-10-17-refined-times.txt</v>
      </c>
      <c r="AI8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{"issue":{"subject":"","project_id":79,"tracker_id":40,"status_id":1,"priority_id":2,"assigned_to_id":23,"start_date":"2016-10-17","description":"","custom_fields":[{"id":1,"name":"Subdivision","value":"EC"},{"id":4,"name":"Milepost","value":"23.3308"},{"id":17,"name":"Train ID","value":"173-17"},{"id":16,"name":"Locomotive ID","value":"4031"},{"id":130,"name":"Impact","value":""},{"id":150,"name":"Time of Event (Mountain Time)","value":"13:24:25"},{"id":151,"name":"Denver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523</v>
      </c>
      <c r="B86" s="7">
        <v>4032</v>
      </c>
      <c r="C86" s="22" t="s">
        <v>99</v>
      </c>
      <c r="D86" s="22" t="s">
        <v>229</v>
      </c>
      <c r="E86" s="13">
        <v>42660.56832175926</v>
      </c>
      <c r="F86" s="13">
        <v>42660.570347222223</v>
      </c>
      <c r="G86" s="7">
        <v>1</v>
      </c>
      <c r="H86" s="13" t="s">
        <v>355</v>
      </c>
      <c r="I86" s="13">
        <v>42660.600914351853</v>
      </c>
      <c r="J86" s="7">
        <v>0</v>
      </c>
      <c r="K86" s="112" t="str">
        <f t="shared" si="34"/>
        <v>4031/4032</v>
      </c>
      <c r="L86" s="22" t="str">
        <f>VLOOKUP(A86,'Trips&amp;Operators'!$C$1:$E$10000,3,FALSE)</f>
        <v>STEWART</v>
      </c>
      <c r="M86" s="6">
        <f t="shared" si="35"/>
        <v>3.0567129630071577E-2</v>
      </c>
      <c r="N86" s="7">
        <f t="shared" si="36"/>
        <v>44.01666666730307</v>
      </c>
      <c r="O86" s="7"/>
      <c r="P86" s="7"/>
      <c r="Q86" s="23"/>
      <c r="R86" s="23"/>
      <c r="S86" s="35">
        <f t="shared" si="37"/>
        <v>1</v>
      </c>
      <c r="T86" s="50" t="str">
        <f t="shared" si="38"/>
        <v>Southbound</v>
      </c>
      <c r="U86" s="18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12:38:23-0600',mode:absolute,to:'2016-10-17 15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40"/>
        <v>N</v>
      </c>
      <c r="X86" s="178">
        <f t="shared" si="33"/>
        <v>1</v>
      </c>
      <c r="Y86" s="67">
        <f t="shared" si="41"/>
        <v>23.298500000000001</v>
      </c>
      <c r="Z86" s="67">
        <f t="shared" si="42"/>
        <v>1.3899999999999999E-2</v>
      </c>
      <c r="AA86" s="67">
        <f t="shared" si="43"/>
        <v>23.284600000000001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4"/>
        <v>0174-17</v>
      </c>
      <c r="AE86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86" s="88" t="str">
        <f t="shared" si="46"/>
        <v>"C:\Program Files (x86)\AstroGrep\AstroGrep.exe" /spath="%USERPROFILE%\AppData\Local\Temp\OnboardLogs" /stypes="app*4032*20161017*" /stext=" 20:.+((SYSTEM_STATE.+slice.+state.+changed )|(ment ac)|(system.+state.+changed )|(\[timeout)|(PRM\|1\|D)|(kpr)|(kdp)|(\|lc)|(penalty))" /e /r /s</v>
      </c>
      <c r="AG86" s="1" t="str">
        <f t="shared" si="47"/>
        <v>EC</v>
      </c>
      <c r="AH86" s="92" t="str">
        <f t="shared" si="48"/>
        <v>"%USERPROFILE%\Documents\GitHub\eaglep3\Utilities\RefineRTDCRunTimes.py" --tripid 174-17 --locoid 4032 --swversion DE.1.0.7.0 --startMP 204:232985 --initTime 2016-10-17T13:38:23 --startdatetime 2016-10-17T13:41:18 --delay 1 --endMP 204:139 --enddatetime 2016-10-17T14:25:19 --enforcementcount 0 &gt;&gt;C:\Users\stu\Documents\GitHub\eaglep3-reporting\EC\2016-10-17-refined-times.txt</v>
      </c>
      <c r="AI8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ID","value":"174-17"},{"id":16,"name":"Locomotive ID","value":"4032"},{"id":130,"name":"Impact","value":""},{"id":150,"name":"Time of Event (Mountain Time)","value":"14:25:19"},{"id":151,"name":"Denver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517</v>
      </c>
      <c r="B87" s="7">
        <v>4002</v>
      </c>
      <c r="C87" s="22" t="s">
        <v>99</v>
      </c>
      <c r="D87" s="22" t="s">
        <v>242</v>
      </c>
      <c r="E87" s="13">
        <v>42660.539953703701</v>
      </c>
      <c r="F87" s="13">
        <v>42660.542037037034</v>
      </c>
      <c r="G87" s="7">
        <v>1</v>
      </c>
      <c r="H87" s="13" t="s">
        <v>288</v>
      </c>
      <c r="I87" s="13">
        <v>42660.567546296297</v>
      </c>
      <c r="J87" s="7">
        <v>0</v>
      </c>
      <c r="K87" s="112" t="str">
        <f t="shared" si="34"/>
        <v>4001/4002</v>
      </c>
      <c r="L87" s="22" t="str">
        <f>VLOOKUP(A87,'Trips&amp;Operators'!$C$1:$E$10000,3,FALSE)</f>
        <v>BARTLETT</v>
      </c>
      <c r="M87" s="6">
        <f t="shared" si="35"/>
        <v>2.5509259263344575E-2</v>
      </c>
      <c r="N87" s="7">
        <f t="shared" si="36"/>
        <v>36.733333339216188</v>
      </c>
      <c r="O87" s="7"/>
      <c r="P87" s="7"/>
      <c r="Q87" s="23"/>
      <c r="R87" s="23"/>
      <c r="S87" s="35">
        <f t="shared" si="37"/>
        <v>1</v>
      </c>
      <c r="T87" s="50" t="str">
        <f t="shared" si="38"/>
        <v>NorthBound</v>
      </c>
      <c r="U87" s="18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11:57:32-0600',mode:absolute,to:'2016-10-17 14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7" s="52" t="str">
        <f t="shared" si="40"/>
        <v>N</v>
      </c>
      <c r="X87" s="178">
        <f t="shared" si="33"/>
        <v>1</v>
      </c>
      <c r="Y87" s="67">
        <f t="shared" si="41"/>
        <v>4.6399999999999997E-2</v>
      </c>
      <c r="Z87" s="67">
        <f t="shared" si="42"/>
        <v>23.330100000000002</v>
      </c>
      <c r="AA87" s="67">
        <f t="shared" si="43"/>
        <v>23.283700000000003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4"/>
        <v>0175-17</v>
      </c>
      <c r="AE87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87" s="88" t="str">
        <f t="shared" si="46"/>
        <v>"C:\Program Files (x86)\AstroGrep\AstroGrep.exe" /spath="%USERPROFILE%\AppData\Local\Temp\OnboardLogs" /stypes="app*4002*20161017*" /stext=" 19:.+((SYSTEM_STATE.+slice.+state.+changed )|(ment ac)|(system.+state.+changed )|(\[timeout)|(PRM\|1\|D)|(kpr)|(kdp)|(\|lc)|(penalty))" /e /r /s</v>
      </c>
      <c r="AG87" s="1" t="str">
        <f t="shared" si="47"/>
        <v>EC</v>
      </c>
      <c r="AH87" s="92" t="str">
        <f t="shared" si="48"/>
        <v>"%USERPROFILE%\Documents\GitHub\eaglep3\Utilities\RefineRTDCRunTimes.py" --tripid 175-17 --locoid 4002 --swversion DE.1.0.7.0 --startMP 204:464 --initTime 2016-10-17T12:57:32 --startdatetime 2016-10-17T13:00:32 --delay 1 --endMP 204:233301 --enddatetime 2016-10-17T13:37:16 --enforcementcount 0 &gt;&gt;C:\Users\stu\Documents\GitHub\eaglep3-reporting\EC\2016-10-17-refined-times.txt</v>
      </c>
      <c r="AI8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{"issue":{"subject":"","project_id":79,"tracker_id":40,"status_id":1,"priority_id":2,"assigned_to_id":23,"start_date":"2016-10-17","description":"","custom_fields":[{"id":1,"name":"Subdivision","value":"EC"},{"id":4,"name":"Milepost","value":"23.3301"},{"id":17,"name":"Train ID","value":"175-17"},{"id":16,"name":"Locomotive ID","value":"4002"},{"id":130,"name":"Impact","value":""},{"id":150,"name":"Time of Event (Mountain Time)","value":"13:37:16"},{"id":151,"name":"Denver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418</v>
      </c>
      <c r="B88" s="7">
        <v>4001</v>
      </c>
      <c r="C88" s="22" t="s">
        <v>99</v>
      </c>
      <c r="D88" s="22" t="s">
        <v>664</v>
      </c>
      <c r="E88" s="13">
        <v>42660.569872685184</v>
      </c>
      <c r="F88" s="13">
        <v>42660.580833333333</v>
      </c>
      <c r="G88" s="7">
        <v>1</v>
      </c>
      <c r="H88" s="13" t="s">
        <v>656</v>
      </c>
      <c r="I88" s="13">
        <v>42660.608206018522</v>
      </c>
      <c r="J88" s="7">
        <v>0</v>
      </c>
      <c r="K88" s="112" t="str">
        <f t="shared" si="34"/>
        <v>4001/4002</v>
      </c>
      <c r="L88" s="22" t="str">
        <f>VLOOKUP(A88,'Trips&amp;Operators'!$C$1:$E$10000,3,FALSE)</f>
        <v>BARTLETT</v>
      </c>
      <c r="M88" s="6">
        <f t="shared" si="35"/>
        <v>2.7372685188311152E-2</v>
      </c>
      <c r="N88" s="7">
        <f t="shared" si="36"/>
        <v>39.416666671168059</v>
      </c>
      <c r="O88" s="7"/>
      <c r="P88" s="7"/>
      <c r="Q88" s="23"/>
      <c r="R88" s="23"/>
      <c r="S88" s="35">
        <f t="shared" si="37"/>
        <v>1</v>
      </c>
      <c r="T88" s="50" t="str">
        <f t="shared" si="38"/>
        <v>Southbound</v>
      </c>
      <c r="U88" s="18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12:40:37-0600',mode:absolute,to:'2016-10-17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8" s="52" t="str">
        <f t="shared" si="40"/>
        <v>N</v>
      </c>
      <c r="X88" s="178">
        <f t="shared" si="33"/>
        <v>1</v>
      </c>
      <c r="Y88" s="67">
        <f t="shared" si="41"/>
        <v>23.297499999999999</v>
      </c>
      <c r="Z88" s="67">
        <f t="shared" si="42"/>
        <v>1.7000000000000001E-2</v>
      </c>
      <c r="AA88" s="67">
        <f t="shared" si="43"/>
        <v>23.2805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4"/>
        <v>0176-17</v>
      </c>
      <c r="AE88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88" s="88" t="str">
        <f t="shared" si="46"/>
        <v>"C:\Program Files (x86)\AstroGrep\AstroGrep.exe" /spath="%USERPROFILE%\AppData\Local\Temp\OnboardLogs" /stypes="app*4001*20161017*" /stext=" 20:.+((SYSTEM_STATE.+slice.+state.+changed )|(ment ac)|(system.+state.+changed )|(\[timeout)|(PRM\|1\|D)|(kpr)|(kdp)|(\|lc)|(penalty))" /e /r /s</v>
      </c>
      <c r="AG88" s="1" t="str">
        <f t="shared" si="47"/>
        <v>EC</v>
      </c>
      <c r="AH88" s="92" t="str">
        <f t="shared" si="48"/>
        <v>"%USERPROFILE%\Documents\GitHub\eaglep3\Utilities\RefineRTDCRunTimes.py" --tripid 176-17 --locoid 4001 --swversion DE.1.0.7.0 --startMP 204:232975 --initTime 2016-10-17T13:40:37 --startdatetime 2016-10-17T13:56:24 --delay 1 --endMP 204:170 --enddatetime 2016-10-17T14:35:49 --enforcementcount 0 &gt;&gt;C:\Users\stu\Documents\GitHub\eaglep3-reporting\EC\2016-10-17-refined-times.txt</v>
      </c>
      <c r="AI8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ID","value":"176-17"},{"id":16,"name":"Locomotive ID","value":"4001"},{"id":130,"name":"Impact","value":""},{"id":150,"name":"Time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416</v>
      </c>
      <c r="B89" s="7">
        <v>4011</v>
      </c>
      <c r="C89" s="22" t="s">
        <v>99</v>
      </c>
      <c r="D89" s="22" t="s">
        <v>242</v>
      </c>
      <c r="E89" s="13">
        <v>42660.548425925925</v>
      </c>
      <c r="F89" s="13">
        <v>42660.552499999998</v>
      </c>
      <c r="G89" s="7">
        <v>1</v>
      </c>
      <c r="H89" s="13" t="s">
        <v>668</v>
      </c>
      <c r="I89" s="13">
        <v>42660.579062500001</v>
      </c>
      <c r="J89" s="7">
        <v>0</v>
      </c>
      <c r="K89" s="112" t="str">
        <f t="shared" si="34"/>
        <v>4011/4012</v>
      </c>
      <c r="L89" s="22" t="str">
        <f>VLOOKUP(A89,'Trips&amp;Operators'!$C$1:$E$10000,3,FALSE)</f>
        <v>BONDS</v>
      </c>
      <c r="M89" s="6">
        <f t="shared" si="35"/>
        <v>2.6562500002910383E-2</v>
      </c>
      <c r="N89" s="7">
        <f t="shared" si="36"/>
        <v>38.250000004190952</v>
      </c>
      <c r="O89" s="7"/>
      <c r="P89" s="7"/>
      <c r="Q89" s="23"/>
      <c r="R89" s="23"/>
      <c r="S89" s="35">
        <f t="shared" si="37"/>
        <v>1</v>
      </c>
      <c r="T89" s="50" t="str">
        <f t="shared" si="38"/>
        <v>NorthBound</v>
      </c>
      <c r="U89" s="18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12:09:44-0600',mode:absolute,to:'2016-10-17 14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40"/>
        <v>N</v>
      </c>
      <c r="X89" s="178">
        <f t="shared" si="33"/>
        <v>1</v>
      </c>
      <c r="Y89" s="67">
        <f t="shared" si="41"/>
        <v>4.6399999999999997E-2</v>
      </c>
      <c r="Z89" s="67">
        <f t="shared" si="42"/>
        <v>23.333100000000002</v>
      </c>
      <c r="AA89" s="67">
        <f t="shared" si="43"/>
        <v>23.286700000000003</v>
      </c>
      <c r="AB89" s="64" t="str">
        <f>VLOOKUP(A89,Enforcements!$C$7:$K$21,8,0)</f>
        <v>Speed (6)</v>
      </c>
      <c r="AC89" s="60" t="str">
        <f>VLOOKUP(A89,Enforcements!$C$7:$E$21,3,0)</f>
        <v>PERMANENT SPEED RESTRICTION</v>
      </c>
      <c r="AD89" s="61" t="str">
        <f t="shared" si="44"/>
        <v>0177-17</v>
      </c>
      <c r="AE89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89" s="88" t="str">
        <f t="shared" si="46"/>
        <v>"C:\Program Files (x86)\AstroGrep\AstroGrep.exe" /spath="%USERPROFILE%\AppData\Local\Temp\OnboardLogs" /stypes="app*4011*20161017*" /stext=" 19:.+((SYSTEM_STATE.+slice.+state.+changed )|(ment ac)|(system.+state.+changed )|(\[timeout)|(PRM\|1\|D)|(kpr)|(kdp)|(\|lc)|(penalty))" /e /r /s</v>
      </c>
      <c r="AG89" s="1" t="str">
        <f t="shared" si="47"/>
        <v>EC</v>
      </c>
      <c r="AH89" s="92" t="str">
        <f t="shared" si="48"/>
        <v>"%USERPROFILE%\Documents\GitHub\eaglep3\Utilities\RefineRTDCRunTimes.py" --tripid 177-17 --locoid 4011 --swversion DE.1.0.7.0 --startMP 204:464 --initTime 2016-10-17T13:09:44 --startdatetime 2016-10-17T13:15:36 --delay 1 --endMP 204:233331 --enddatetime 2016-10-17T13:53:51 --enforcementcount 0 &gt;&gt;C:\Users\stu\Documents\GitHub\eaglep3-reporting\EC\2016-10-17-refined-times.txt</v>
      </c>
      <c r="AI8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{"issue":{"subject":"","project_id":79,"tracker_id":40,"status_id":1,"priority_id":2,"assigned_to_id":23,"start_date":"2016-10-17","description":"","custom_fields":[{"id":1,"name":"Subdivision","value":"EC"},{"id":4,"name":"Milepost","value":"23.3331"},{"id":17,"name":"Train ID","value":"177-17"},{"id":16,"name":"Locomotive ID","value":"4011"},{"id":130,"name":"Impact","value":""},{"id":150,"name":"Time of Event (Mountain Time)","value":"13:53:51"},{"id":151,"name":"Denver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526</v>
      </c>
      <c r="B90" s="7">
        <v>4012</v>
      </c>
      <c r="C90" s="22" t="s">
        <v>99</v>
      </c>
      <c r="D90" s="22" t="s">
        <v>384</v>
      </c>
      <c r="E90" s="13">
        <v>42660.584421296298</v>
      </c>
      <c r="F90" s="13">
        <v>42660.591145833336</v>
      </c>
      <c r="G90" s="7">
        <v>1</v>
      </c>
      <c r="H90" s="13" t="s">
        <v>231</v>
      </c>
      <c r="I90" s="13">
        <v>42660.619340277779</v>
      </c>
      <c r="J90" s="7">
        <v>0</v>
      </c>
      <c r="K90" s="112" t="str">
        <f t="shared" si="34"/>
        <v>4011/4012</v>
      </c>
      <c r="L90" s="22" t="str">
        <f>VLOOKUP(A90,'Trips&amp;Operators'!$C$1:$E$10000,3,FALSE)</f>
        <v>BONDS</v>
      </c>
      <c r="M90" s="6">
        <f t="shared" si="35"/>
        <v>2.8194444443215616E-2</v>
      </c>
      <c r="N90" s="7">
        <f t="shared" si="36"/>
        <v>40.599999998230487</v>
      </c>
      <c r="O90" s="7"/>
      <c r="P90" s="7"/>
      <c r="Q90" s="23"/>
      <c r="R90" s="23"/>
      <c r="S90" s="35">
        <f t="shared" si="37"/>
        <v>1</v>
      </c>
      <c r="T90" s="50" t="str">
        <f t="shared" si="38"/>
        <v>Southbound</v>
      </c>
      <c r="U90" s="18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13:01:34-0600',mode:absolute,to:'2016-10-17 15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40"/>
        <v>N</v>
      </c>
      <c r="X90" s="178">
        <f t="shared" si="33"/>
        <v>1</v>
      </c>
      <c r="Y90" s="67">
        <f t="shared" si="41"/>
        <v>23.300999999999998</v>
      </c>
      <c r="Z90" s="67">
        <f t="shared" si="42"/>
        <v>1.54E-2</v>
      </c>
      <c r="AA90" s="67">
        <f t="shared" si="43"/>
        <v>23.285599999999999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4"/>
        <v>0178-17</v>
      </c>
      <c r="AE90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90" s="88" t="str">
        <f t="shared" si="46"/>
        <v>"C:\Program Files (x86)\AstroGrep\AstroGrep.exe" /spath="%USERPROFILE%\AppData\Local\Temp\OnboardLogs" /stypes="app*4012*20161017*" /stext=" 20:.+((SYSTEM_STATE.+slice.+state.+changed )|(ment ac)|(system.+state.+changed )|(\[timeout)|(PRM\|1\|D)|(kpr)|(kdp)|(\|lc)|(penalty))" /e /r /s</v>
      </c>
      <c r="AG90" s="1" t="str">
        <f t="shared" si="47"/>
        <v>EC</v>
      </c>
      <c r="AH90" s="92" t="str">
        <f t="shared" si="48"/>
        <v>"%USERPROFILE%\Documents\GitHub\eaglep3\Utilities\RefineRTDCRunTimes.py" --tripid 178-17 --locoid 4012 --swversion DE.1.0.7.0 --startMP 204:233010 --initTime 2016-10-17T14:01:34 --startdatetime 2016-10-17T14:11:15 --delay 1 --endMP 204:154 --enddatetime 2016-10-17T14:51:51 --enforcementcount 0 &gt;&gt;C:\Users\stu\Documents\GitHub\eaglep3-reporting\EC\2016-10-17-refined-times.txt</v>
      </c>
      <c r="AI9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ID","value":"178-17"},{"id":16,"name":"Locomotive ID","value":"4012"},{"id":130,"name":"Impact","value":""},{"id":150,"name":"Time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521</v>
      </c>
      <c r="B91" s="7">
        <v>4044</v>
      </c>
      <c r="C91" s="22" t="s">
        <v>99</v>
      </c>
      <c r="D91" s="22" t="s">
        <v>295</v>
      </c>
      <c r="E91" s="13">
        <v>42660.559270833335</v>
      </c>
      <c r="F91" s="13">
        <v>42660.562662037039</v>
      </c>
      <c r="G91" s="7">
        <v>1</v>
      </c>
      <c r="H91" s="13" t="s">
        <v>288</v>
      </c>
      <c r="I91" s="13">
        <v>42660.588750000003</v>
      </c>
      <c r="J91" s="7">
        <v>0</v>
      </c>
      <c r="K91" s="112" t="str">
        <f t="shared" si="34"/>
        <v>4043/4044</v>
      </c>
      <c r="L91" s="22" t="str">
        <f>VLOOKUP(A91,'Trips&amp;Operators'!$C$1:$E$10000,3,FALSE)</f>
        <v>CLARK</v>
      </c>
      <c r="M91" s="6">
        <f t="shared" si="35"/>
        <v>2.6087962964083999E-2</v>
      </c>
      <c r="N91" s="7">
        <f t="shared" si="36"/>
        <v>37.566666668280959</v>
      </c>
      <c r="O91" s="7"/>
      <c r="P91" s="7"/>
      <c r="Q91" s="23"/>
      <c r="R91" s="23"/>
      <c r="S91" s="35">
        <f t="shared" si="37"/>
        <v>1</v>
      </c>
      <c r="T91" s="50" t="str">
        <f t="shared" si="38"/>
        <v>NorthBound</v>
      </c>
      <c r="U91" s="18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12:25:21-0600',mode:absolute,to:'2016-10-17 15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1" s="52" t="str">
        <f t="shared" si="40"/>
        <v>N</v>
      </c>
      <c r="X91" s="178">
        <f t="shared" si="33"/>
        <v>1</v>
      </c>
      <c r="Y91" s="67">
        <f t="shared" si="41"/>
        <v>4.7100000000000003E-2</v>
      </c>
      <c r="Z91" s="67">
        <f t="shared" si="42"/>
        <v>23.330100000000002</v>
      </c>
      <c r="AA91" s="67">
        <f t="shared" si="43"/>
        <v>23.283000000000001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4"/>
        <v>0179-17</v>
      </c>
      <c r="AE91" s="91" t="str">
        <f t="shared" si="45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91" s="88" t="str">
        <f t="shared" si="46"/>
        <v>"C:\Program Files (x86)\AstroGrep\AstroGrep.exe" /spath="%USERPROFILE%\AppData\Local\Temp\OnboardLogs" /stypes="app*4044*20161017*" /stext=" 20:.+((SYSTEM_STATE.+slice.+state.+changed )|(ment ac)|(system.+state.+changed )|(\[timeout)|(PRM\|1\|D)|(kpr)|(kdp)|(\|lc)|(penalty))" /e /r /s</v>
      </c>
      <c r="AG91" s="1" t="str">
        <f t="shared" si="47"/>
        <v>EC</v>
      </c>
      <c r="AH91" s="92" t="str">
        <f t="shared" si="48"/>
        <v>"%USERPROFILE%\Documents\GitHub\eaglep3\Utilities\RefineRTDCRunTimes.py" --tripid 179-17 --locoid 4044 --swversion DE.1.0.7.0 --startMP 204:471 --initTime 2016-10-17T13:25:21 --startdatetime 2016-10-17T13:30:14 --delay 1 --endMP 204:233301 --enddatetime 2016-10-17T14:07:48 --enforcementcount 0 &gt;&gt;C:\Users\stu\Documents\GitHub\eaglep3-reporting\EC\2016-10-17-refined-times.txt</v>
      </c>
      <c r="AI9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{"issue":{"subject":"","project_id":79,"tracker_id":40,"status_id":1,"priority_id":2,"assigned_to_id":23,"start_date":"2016-10-17","description":"","custom_fields":[{"id":1,"name":"Subdivision","value":"EC"},{"id":4,"name":"Milepost","value":"23.3301"},{"id":17,"name":"Train ID","value":"179-17"},{"id":16,"name":"Locomotive ID","value":"4044"},{"id":130,"name":"Impact","value":""},{"id":150,"name":"Time of Event (Mountain Time)","value":"14:07:48"},{"id":151,"name":"Denver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529</v>
      </c>
      <c r="B92" s="7">
        <v>4043</v>
      </c>
      <c r="C92" s="22" t="s">
        <v>99</v>
      </c>
      <c r="D92" s="22" t="s">
        <v>669</v>
      </c>
      <c r="E92" s="13">
        <v>42660.596296296295</v>
      </c>
      <c r="F92" s="13">
        <v>42660.601574074077</v>
      </c>
      <c r="G92" s="7">
        <v>1</v>
      </c>
      <c r="H92" s="13" t="s">
        <v>364</v>
      </c>
      <c r="I92" s="13">
        <v>42660.632326388892</v>
      </c>
      <c r="J92" s="7">
        <v>0</v>
      </c>
      <c r="K92" s="112" t="str">
        <f t="shared" si="34"/>
        <v>4043/4044</v>
      </c>
      <c r="L92" s="22" t="str">
        <f>VLOOKUP(A92,'Trips&amp;Operators'!$C$1:$E$10000,3,FALSE)</f>
        <v>CLARK</v>
      </c>
      <c r="M92" s="6">
        <f t="shared" si="35"/>
        <v>3.0752314814890269E-2</v>
      </c>
      <c r="N92" s="7">
        <f t="shared" si="36"/>
        <v>44.283333333441988</v>
      </c>
      <c r="O92" s="7"/>
      <c r="P92" s="7"/>
      <c r="Q92" s="23"/>
      <c r="R92" s="23"/>
      <c r="S92" s="35">
        <f t="shared" si="37"/>
        <v>1</v>
      </c>
      <c r="T92" s="50" t="str">
        <f t="shared" si="38"/>
        <v>Southbound</v>
      </c>
      <c r="U92" s="18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13:18:40-0600',mode:absolute,to:'2016-10-17 16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2" s="52" t="str">
        <f t="shared" si="40"/>
        <v>N</v>
      </c>
      <c r="X92" s="178">
        <f t="shared" si="33"/>
        <v>1</v>
      </c>
      <c r="Y92" s="67">
        <f t="shared" si="41"/>
        <v>23.298999999999999</v>
      </c>
      <c r="Z92" s="67">
        <f t="shared" si="42"/>
        <v>1.7999999999999999E-2</v>
      </c>
      <c r="AA92" s="67">
        <f t="shared" si="43"/>
        <v>23.280999999999999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4"/>
        <v>0180-17</v>
      </c>
      <c r="AE92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92" s="88" t="str">
        <f t="shared" si="46"/>
        <v>"C:\Program Files (x86)\AstroGrep\AstroGrep.exe" /spath="%USERPROFILE%\AppData\Local\Temp\OnboardLogs" /stypes="app*4043*20161017*" /stext=" 21:.+((SYSTEM_STATE.+slice.+state.+changed )|(ment ac)|(system.+state.+changed )|(\[timeout)|(PRM\|1\|D)|(kpr)|(kdp)|(\|lc)|(penalty))" /e /r /s</v>
      </c>
      <c r="AG92" s="1" t="str">
        <f t="shared" si="47"/>
        <v>EC</v>
      </c>
      <c r="AH92" s="92" t="str">
        <f t="shared" si="48"/>
        <v>"%USERPROFILE%\Documents\GitHub\eaglep3\Utilities\RefineRTDCRunTimes.py" --tripid 180-17 --locoid 4043 --swversion DE.1.0.7.0 --startMP 204:232990 --initTime 2016-10-17T14:18:40 --startdatetime 2016-10-17T14:26:16 --delay 1 --endMP 204:180 --enddatetime 2016-10-17T15:10:33 --enforcementcount 0 &gt;&gt;C:\Users\stu\Documents\GitHub\eaglep3-reporting\EC\2016-10-17-refined-times.txt</v>
      </c>
      <c r="AI9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{"issue":{"subject":"","project_id":79,"tracker_id":40,"status_id":1,"priority_id":2,"assigned_to_id":23,"start_date":"2016-10-17","description":"","custom_fields":[{"id":1,"name":"Subdivision","value":"EC"},{"id":4,"name":"Milepost","value":"0.018"},{"id":17,"name":"Train ID","value":"180-17"},{"id":16,"name":"Locomotive ID","value":"4043"},{"id":130,"name":"Impact","value":""},{"id":150,"name":"Time of Event (Mountain Time)","value":"15:10:33"},{"id":151,"name":"Denver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524</v>
      </c>
      <c r="B93" s="7">
        <v>4025</v>
      </c>
      <c r="C93" s="22" t="s">
        <v>99</v>
      </c>
      <c r="D93" s="22" t="s">
        <v>264</v>
      </c>
      <c r="E93" s="13">
        <v>42660.568414351852</v>
      </c>
      <c r="F93" s="13">
        <v>42660.573298611111</v>
      </c>
      <c r="G93" s="7">
        <v>2</v>
      </c>
      <c r="H93" s="13" t="s">
        <v>670</v>
      </c>
      <c r="I93" s="13">
        <v>42660.599305555559</v>
      </c>
      <c r="J93" s="7">
        <v>0</v>
      </c>
      <c r="K93" s="112" t="str">
        <f t="shared" si="34"/>
        <v>4025/4026</v>
      </c>
      <c r="L93" s="22" t="str">
        <f>VLOOKUP(A93,'Trips&amp;Operators'!$C$1:$E$10000,3,FALSE)</f>
        <v>BRANDNER</v>
      </c>
      <c r="M93" s="6">
        <f t="shared" si="35"/>
        <v>2.6006944448454306E-2</v>
      </c>
      <c r="N93" s="7">
        <f t="shared" si="36"/>
        <v>37.4500000057742</v>
      </c>
      <c r="O93" s="7"/>
      <c r="P93" s="7"/>
      <c r="Q93" s="23"/>
      <c r="R93" s="23"/>
      <c r="S93" s="35">
        <f t="shared" si="37"/>
        <v>1</v>
      </c>
      <c r="T93" s="50" t="str">
        <f t="shared" si="38"/>
        <v>NorthBound</v>
      </c>
      <c r="U93" s="18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12:38:31-0600',mode:absolute,to:'2016-10-17 15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3" s="52" t="str">
        <f t="shared" si="40"/>
        <v>N</v>
      </c>
      <c r="X93" s="178">
        <f t="shared" si="33"/>
        <v>1</v>
      </c>
      <c r="Y93" s="67">
        <f t="shared" si="41"/>
        <v>4.5100000000000001E-2</v>
      </c>
      <c r="Z93" s="67">
        <f t="shared" si="42"/>
        <v>23.3246</v>
      </c>
      <c r="AA93" s="67">
        <f t="shared" si="43"/>
        <v>23.279499999999999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4"/>
        <v>0181-17</v>
      </c>
      <c r="AE93" s="91" t="str">
        <f t="shared" si="45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93" s="88" t="str">
        <f t="shared" si="46"/>
        <v>"C:\Program Files (x86)\AstroGrep\AstroGrep.exe" /spath="%USERPROFILE%\AppData\Local\Temp\OnboardLogs" /stypes="app*4025*20161017*" /stext=" 20:.+((SYSTEM_STATE.+slice.+state.+changed )|(ment ac)|(system.+state.+changed )|(\[timeout)|(PRM\|1\|D)|(kpr)|(kdp)|(\|lc)|(penalty))" /e /r /s</v>
      </c>
      <c r="AG93" s="1" t="str">
        <f t="shared" si="47"/>
        <v>EC</v>
      </c>
      <c r="AH93" s="92" t="str">
        <f t="shared" si="48"/>
        <v>"%USERPROFILE%\Documents\GitHub\eaglep3\Utilities\RefineRTDCRunTimes.py" --tripid 181-17 --locoid 4025 --swversion DE.1.0.7.0 --startMP 204:451 --initTime 2016-10-17T13:38:31 --startdatetime 2016-10-17T13:45:33 --delay 2 --endMP 204:233246 --enddatetime 2016-10-17T14:23:00 --enforcementcount 0 &gt;&gt;C:\Users\stu\Documents\GitHub\eaglep3-reporting\EC\2016-10-17-refined-times.txt</v>
      </c>
      <c r="AI9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{"issue":{"subject":"","project_id":79,"tracker_id":40,"status_id":1,"priority_id":2,"assigned_to_id":23,"start_date":"2016-10-17","description":"","custom_fields":[{"id":1,"name":"Subdivision","value":"EC"},{"id":4,"name":"Milepost","value":"23.3246"},{"id":17,"name":"Train ID","value":"181-17"},{"id":16,"name":"Locomotive ID","value":"4025"},{"id":130,"name":"Impact","value":""},{"id":150,"name":"Time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531</v>
      </c>
      <c r="B94" s="7">
        <v>4026</v>
      </c>
      <c r="C94" s="22" t="s">
        <v>99</v>
      </c>
      <c r="D94" s="22" t="s">
        <v>635</v>
      </c>
      <c r="E94" s="13">
        <v>42660.609074074076</v>
      </c>
      <c r="F94" s="13">
        <v>42660.61209490741</v>
      </c>
      <c r="G94" s="7">
        <v>3</v>
      </c>
      <c r="H94" s="13" t="s">
        <v>176</v>
      </c>
      <c r="I94" s="13">
        <v>42660.644236111111</v>
      </c>
      <c r="J94" s="7">
        <v>0</v>
      </c>
      <c r="K94" s="112" t="str">
        <f t="shared" si="34"/>
        <v>4025/4026</v>
      </c>
      <c r="L94" s="22" t="str">
        <f>VLOOKUP(A94,'Trips&amp;Operators'!$C$1:$E$10000,3,FALSE)</f>
        <v>BRANDNER</v>
      </c>
      <c r="M94" s="6">
        <f t="shared" si="35"/>
        <v>3.2141203701030463E-2</v>
      </c>
      <c r="N94" s="7">
        <f t="shared" si="36"/>
        <v>46.283333329483867</v>
      </c>
      <c r="O94" s="7"/>
      <c r="P94" s="7"/>
      <c r="Q94" s="23"/>
      <c r="R94" s="23"/>
      <c r="S94" s="35">
        <f t="shared" si="37"/>
        <v>1</v>
      </c>
      <c r="T94" s="50" t="str">
        <f t="shared" si="38"/>
        <v>Southbound</v>
      </c>
      <c r="U94" s="18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13:37:04-0600',mode:absolute,to:'2016-10-17 16:27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4" s="52" t="str">
        <f t="shared" si="40"/>
        <v>N</v>
      </c>
      <c r="X94" s="178">
        <f t="shared" si="33"/>
        <v>1</v>
      </c>
      <c r="Y94" s="67">
        <f t="shared" si="41"/>
        <v>23.298300000000001</v>
      </c>
      <c r="Z94" s="67">
        <f t="shared" si="42"/>
        <v>1.47E-2</v>
      </c>
      <c r="AA94" s="67">
        <f t="shared" si="43"/>
        <v>23.2836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4"/>
        <v>0182-17</v>
      </c>
      <c r="AE94" s="91" t="str">
        <f t="shared" si="45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94" s="88" t="str">
        <f t="shared" si="46"/>
        <v>"C:\Program Files (x86)\AstroGrep\AstroGrep.exe" /spath="%USERPROFILE%\AppData\Local\Temp\OnboardLogs" /stypes="app*4026*20161017*" /stext=" 21:.+((SYSTEM_STATE.+slice.+state.+changed )|(ment ac)|(system.+state.+changed )|(\[timeout)|(PRM\|1\|D)|(kpr)|(kdp)|(\|lc)|(penalty))" /e /r /s</v>
      </c>
      <c r="AG94" s="1" t="str">
        <f t="shared" si="47"/>
        <v>EC</v>
      </c>
      <c r="AH94" s="92" t="str">
        <f t="shared" si="48"/>
        <v>"%USERPROFILE%\Documents\GitHub\eaglep3\Utilities\RefineRTDCRunTimes.py" --tripid 182-17 --locoid 4026 --swversion DE.1.0.7.0 --startMP 204:232983 --initTime 2016-10-17T14:37:04 --startdatetime 2016-10-17T14:41:25 --delay 3 --endMP 204:147 --enddatetime 2016-10-17T15:27:42 --enforcementcount 0 &gt;&gt;C:\Users\stu\Documents\GitHub\eaglep3-reporting\EC\2016-10-17-refined-times.txt</v>
      </c>
      <c r="AI9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ID","value":"182-17"},{"id":16,"name":"Locomotive ID","value":"4026"},{"id":130,"name":"Impact","value":""},{"id":150,"name":"Time of Event (Mountain Time)","value":"15:27:42"},{"id":151,"name":"Denver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525</v>
      </c>
      <c r="B95" s="7">
        <v>4018</v>
      </c>
      <c r="C95" s="22" t="s">
        <v>99</v>
      </c>
      <c r="D95" s="22" t="s">
        <v>238</v>
      </c>
      <c r="E95" s="13">
        <v>42660.580601851849</v>
      </c>
      <c r="F95" s="13">
        <v>42660.583622685182</v>
      </c>
      <c r="G95" s="7">
        <v>2</v>
      </c>
      <c r="H95" s="13" t="s">
        <v>196</v>
      </c>
      <c r="I95" s="13">
        <v>42660.609490740739</v>
      </c>
      <c r="J95" s="7">
        <v>0</v>
      </c>
      <c r="K95" s="112" t="str">
        <f t="shared" si="34"/>
        <v>4017/4018</v>
      </c>
      <c r="L95" s="22" t="str">
        <f>VLOOKUP(A95,'Trips&amp;Operators'!$C$1:$E$10000,3,FALSE)</f>
        <v>HELVIE</v>
      </c>
      <c r="M95" s="6">
        <f t="shared" si="35"/>
        <v>2.5868055556202307E-2</v>
      </c>
      <c r="N95" s="7">
        <f t="shared" si="36"/>
        <v>37.250000000931323</v>
      </c>
      <c r="O95" s="7"/>
      <c r="P95" s="7"/>
      <c r="Q95" s="23"/>
      <c r="R95" s="23"/>
      <c r="S95" s="35">
        <f t="shared" si="37"/>
        <v>1</v>
      </c>
      <c r="T95" s="50" t="str">
        <f t="shared" si="38"/>
        <v>NorthBound</v>
      </c>
      <c r="U95" s="18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12:56:04-0600',mode:absolute,to:'2016-10-17 15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5" s="52" t="str">
        <f t="shared" si="40"/>
        <v>N</v>
      </c>
      <c r="X95" s="178">
        <f t="shared" si="33"/>
        <v>1</v>
      </c>
      <c r="Y95" s="67">
        <f t="shared" si="41"/>
        <v>4.4699999999999997E-2</v>
      </c>
      <c r="Z95" s="67">
        <f t="shared" si="42"/>
        <v>23.329699999999999</v>
      </c>
      <c r="AA95" s="67">
        <f t="shared" si="43"/>
        <v>23.285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4"/>
        <v>0183-17</v>
      </c>
      <c r="AE95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95" s="88" t="str">
        <f t="shared" si="46"/>
        <v>"C:\Program Files (x86)\AstroGrep\AstroGrep.exe" /spath="%USERPROFILE%\AppData\Local\Temp\OnboardLogs" /stypes="app*4018*20161017*" /stext=" 20:.+((SYSTEM_STATE.+slice.+state.+changed )|(ment ac)|(system.+state.+changed )|(\[timeout)|(PRM\|1\|D)|(kpr)|(kdp)|(\|lc)|(penalty))" /e /r /s</v>
      </c>
      <c r="AG95" s="1" t="str">
        <f t="shared" si="47"/>
        <v>EC</v>
      </c>
      <c r="AH95" s="92" t="str">
        <f t="shared" si="48"/>
        <v>"%USERPROFILE%\Documents\GitHub\eaglep3\Utilities\RefineRTDCRunTimes.py" --tripid 183-17 --locoid 4018 --swversion DE.1.0.7.0 --startMP 204:447 --initTime 2016-10-17T13:56:04 --startdatetime 2016-10-17T14:00:25 --delay 2 --endMP 204:233297 --enddatetime 2016-10-17T14:37:40 --enforcementcount 0 &gt;&gt;C:\Users\stu\Documents\GitHub\eaglep3-reporting\EC\2016-10-17-refined-times.txt</v>
      </c>
      <c r="AI9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ID","value":"183-17"},{"id":16,"name":"Locomotive ID","value":"4018"},{"id":130,"name":"Impact","value":""},{"id":150,"name":"Time of Event (Mountain Time)","value":"14:37:40"},{"id":151,"name":"Denver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534</v>
      </c>
      <c r="B96" s="7">
        <v>4017</v>
      </c>
      <c r="C96" s="22" t="s">
        <v>99</v>
      </c>
      <c r="D96" s="22" t="s">
        <v>664</v>
      </c>
      <c r="E96" s="13">
        <v>42660.618784722225</v>
      </c>
      <c r="F96" s="13">
        <v>42660.62263888889</v>
      </c>
      <c r="G96" s="7">
        <v>1</v>
      </c>
      <c r="H96" s="13" t="s">
        <v>232</v>
      </c>
      <c r="I96" s="13">
        <v>42660.652280092596</v>
      </c>
      <c r="J96" s="7">
        <v>0</v>
      </c>
      <c r="K96" s="112" t="str">
        <f t="shared" si="34"/>
        <v>4017/4018</v>
      </c>
      <c r="L96" s="22" t="str">
        <f>VLOOKUP(A96,'Trips&amp;Operators'!$C$1:$E$10000,3,FALSE)</f>
        <v>HELVIE</v>
      </c>
      <c r="M96" s="6">
        <f t="shared" si="35"/>
        <v>2.9641203705978114E-2</v>
      </c>
      <c r="N96" s="7">
        <f t="shared" si="36"/>
        <v>42.683333336608484</v>
      </c>
      <c r="O96" s="7"/>
      <c r="P96" s="7"/>
      <c r="Q96" s="23"/>
      <c r="R96" s="23"/>
      <c r="S96" s="35">
        <f t="shared" si="37"/>
        <v>1</v>
      </c>
      <c r="T96" s="50" t="str">
        <f t="shared" si="38"/>
        <v>Southbound</v>
      </c>
      <c r="U96" s="18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13:51:03-0600',mode:absolute,to:'2016-10-17 16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6" s="52" t="str">
        <f t="shared" si="40"/>
        <v>N</v>
      </c>
      <c r="X96" s="178">
        <f t="shared" si="33"/>
        <v>1</v>
      </c>
      <c r="Y96" s="67">
        <f t="shared" si="41"/>
        <v>23.297499999999999</v>
      </c>
      <c r="Z96" s="67">
        <f t="shared" si="42"/>
        <v>1.4500000000000001E-2</v>
      </c>
      <c r="AA96" s="67">
        <f t="shared" si="43"/>
        <v>23.282999999999998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4"/>
        <v>0184-17</v>
      </c>
      <c r="AE96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96" s="88" t="str">
        <f t="shared" si="46"/>
        <v>"C:\Program Files (x86)\AstroGrep\AstroGrep.exe" /spath="%USERPROFILE%\AppData\Local\Temp\OnboardLogs" /stypes="app*4017*20161017*" /stext=" 21:.+((SYSTEM_STATE.+slice.+state.+changed )|(ment ac)|(system.+state.+changed )|(\[timeout)|(PRM\|1\|D)|(kpr)|(kdp)|(\|lc)|(penalty))" /e /r /s</v>
      </c>
      <c r="AG96" s="1" t="str">
        <f t="shared" si="47"/>
        <v>EC</v>
      </c>
      <c r="AH96" s="92" t="str">
        <f t="shared" si="48"/>
        <v>"%USERPROFILE%\Documents\GitHub\eaglep3\Utilities\RefineRTDCRunTimes.py" --tripid 184-17 --locoid 4017 --swversion DE.1.0.7.0 --startMP 204:232975 --initTime 2016-10-17T14:51:03 --startdatetime 2016-10-17T14:56:36 --delay 1 --endMP 204:145 --enddatetime 2016-10-17T15:39:17 --enforcementcount 0 &gt;&gt;C:\Users\stu\Documents\GitHub\eaglep3-reporting\EC\2016-10-17-refined-times.txt</v>
      </c>
      <c r="AI9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{"issue":{"subject":"","project_id":79,"tracker_id":40,"status_id":1,"priority_id":2,"assigned_to_id":23,"start_date":"2016-10-17","description":"","custom_fields":[{"id":1,"name":"Subdivision","value":"EC"},{"id":4,"name":"Milepost","value":"0.0145"},{"id":17,"name":"Train ID","value":"184-17"},{"id":16,"name":"Locomotive ID","value":"4017"},{"id":130,"name":"Impact","value":""},{"id":150,"name":"Time of Event (Mountain Time)","value":"15:39:17"},{"id":151,"name":"Denver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527</v>
      </c>
      <c r="B97" s="7">
        <v>4038</v>
      </c>
      <c r="C97" s="22" t="s">
        <v>99</v>
      </c>
      <c r="D97" s="22" t="s">
        <v>233</v>
      </c>
      <c r="E97" s="13">
        <v>42660.588831018518</v>
      </c>
      <c r="F97" s="13">
        <v>42660.59412037037</v>
      </c>
      <c r="G97" s="7">
        <v>2</v>
      </c>
      <c r="H97" s="13" t="s">
        <v>671</v>
      </c>
      <c r="I97" s="13">
        <v>42660.620104166665</v>
      </c>
      <c r="J97" s="7">
        <v>0</v>
      </c>
      <c r="K97" s="112" t="str">
        <f t="shared" si="34"/>
        <v>4037/4038</v>
      </c>
      <c r="L97" s="22" t="str">
        <f>VLOOKUP(A97,'Trips&amp;Operators'!$C$1:$E$10000,3,FALSE)</f>
        <v>SHOOK</v>
      </c>
      <c r="M97" s="6">
        <f t="shared" si="35"/>
        <v>2.5983796294895001E-2</v>
      </c>
      <c r="N97" s="7">
        <f t="shared" si="36"/>
        <v>37.416666664648801</v>
      </c>
      <c r="O97" s="7"/>
      <c r="P97" s="7"/>
      <c r="Q97" s="23"/>
      <c r="R97" s="23"/>
      <c r="S97" s="35">
        <f t="shared" si="37"/>
        <v>1</v>
      </c>
      <c r="T97" s="50" t="str">
        <f t="shared" si="38"/>
        <v>NorthBound</v>
      </c>
      <c r="U97" s="18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13:07:55-0600',mode:absolute,to:'2016-10-17 15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7" s="52" t="str">
        <f t="shared" si="40"/>
        <v>N</v>
      </c>
      <c r="X97" s="178">
        <f t="shared" si="33"/>
        <v>1</v>
      </c>
      <c r="Y97" s="67">
        <f t="shared" si="41"/>
        <v>4.58E-2</v>
      </c>
      <c r="Z97" s="67">
        <f t="shared" si="42"/>
        <v>23.336400000000001</v>
      </c>
      <c r="AA97" s="67">
        <f t="shared" si="43"/>
        <v>23.290600000000001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4"/>
        <v>0185-17</v>
      </c>
      <c r="AE97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97" s="88" t="str">
        <f t="shared" si="46"/>
        <v>"C:\Program Files (x86)\AstroGrep\AstroGrep.exe" /spath="%USERPROFILE%\AppData\Local\Temp\OnboardLogs" /stypes="app*4038*20161017*" /stext=" 20:.+((SYSTEM_STATE.+slice.+state.+changed )|(ment ac)|(system.+state.+changed )|(\[timeout)|(PRM\|1\|D)|(kpr)|(kdp)|(\|lc)|(penalty))" /e /r /s</v>
      </c>
      <c r="AG97" s="1" t="str">
        <f t="shared" si="47"/>
        <v>EC</v>
      </c>
      <c r="AH97" s="92" t="str">
        <f t="shared" si="48"/>
        <v>"%USERPROFILE%\Documents\GitHub\eaglep3\Utilities\RefineRTDCRunTimes.py" --tripid 185-17 --locoid 4038 --swversion DE.1.0.7.0 --startMP 204:458 --initTime 2016-10-17T14:07:55 --startdatetime 2016-10-17T14:15:32 --delay 2 --endMP 204:233364 --enddatetime 2016-10-17T14:52:57 --enforcementcount 0 &gt;&gt;C:\Users\stu\Documents\GitHub\eaglep3-reporting\EC\2016-10-17-refined-times.txt</v>
      </c>
      <c r="AI9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{"issue":{"subject":"","project_id":79,"tracker_id":40,"status_id":1,"priority_id":2,"assigned_to_id":23,"start_date":"2016-10-17","description":"","custom_fields":[{"id":1,"name":"Subdivision","value":"EC"},{"id":4,"name":"Milepost","value":"23.3364"},{"id":17,"name":"Train ID","value":"185-17"},{"id":16,"name":"Locomotive ID","value":"4038"},{"id":130,"name":"Impact","value":""},{"id":150,"name":"Time of Event (Mountain Time)","value":"14:52:57"},{"id":151,"name":"Denver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419</v>
      </c>
      <c r="B98" s="7">
        <v>4037</v>
      </c>
      <c r="C98" s="22" t="s">
        <v>99</v>
      </c>
      <c r="D98" s="22" t="s">
        <v>672</v>
      </c>
      <c r="E98" s="13">
        <v>42660.630185185182</v>
      </c>
      <c r="F98" s="13">
        <v>42660.668495370373</v>
      </c>
      <c r="G98" s="7">
        <v>1</v>
      </c>
      <c r="H98" s="13" t="s">
        <v>325</v>
      </c>
      <c r="I98" s="13">
        <v>42660.694201388891</v>
      </c>
      <c r="J98" s="7">
        <v>0</v>
      </c>
      <c r="K98" s="112" t="str">
        <f t="shared" si="34"/>
        <v>4037/4038</v>
      </c>
      <c r="L98" s="22" t="str">
        <f>VLOOKUP(A98,'Trips&amp;Operators'!$C$1:$E$10000,3,FALSE)</f>
        <v>SHOOK</v>
      </c>
      <c r="M98" s="6">
        <f t="shared" si="35"/>
        <v>2.5706018517666962E-2</v>
      </c>
      <c r="N98" s="7">
        <f t="shared" si="36"/>
        <v>37.016666665440425</v>
      </c>
      <c r="O98" s="7"/>
      <c r="P98" s="7"/>
      <c r="Q98" s="23"/>
      <c r="R98" s="23"/>
      <c r="S98" s="35">
        <f t="shared" si="37"/>
        <v>1</v>
      </c>
      <c r="T98" s="50" t="str">
        <f t="shared" si="38"/>
        <v>Southbound</v>
      </c>
      <c r="U98" s="18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14:07:28-0600',mode:absolute,to:'2016-10-17 17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8" s="52" t="str">
        <f t="shared" si="40"/>
        <v>N</v>
      </c>
      <c r="X98" s="178">
        <f t="shared" si="33"/>
        <v>1</v>
      </c>
      <c r="Y98" s="67">
        <f t="shared" si="41"/>
        <v>23.304500000000001</v>
      </c>
      <c r="Z98" s="67">
        <f t="shared" si="42"/>
        <v>1.5599999999999999E-2</v>
      </c>
      <c r="AA98" s="67">
        <f t="shared" si="43"/>
        <v>23.288900000000002</v>
      </c>
      <c r="AB98" s="64" t="str">
        <f>VLOOKUP(A98,Enforcements!$C$7:$K$21,8,0)</f>
        <v>Bulletin (2)</v>
      </c>
      <c r="AC98" s="60" t="str">
        <f>VLOOKUP(A98,Enforcements!$C$7:$E$21,3,0)</f>
        <v>GRADE CROSSING</v>
      </c>
      <c r="AD98" s="61" t="str">
        <f t="shared" si="44"/>
        <v>0186-17</v>
      </c>
      <c r="AE98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98" s="88" t="str">
        <f t="shared" si="46"/>
        <v>"C:\Program Files (x86)\AstroGrep\AstroGrep.exe" /spath="%USERPROFILE%\AppData\Local\Temp\OnboardLogs" /stypes="app*4037*20161017*" /stext=" 22:.+((SYSTEM_STATE.+slice.+state.+changed )|(ment ac)|(system.+state.+changed )|(\[timeout)|(PRM\|1\|D)|(kpr)|(kdp)|(\|lc)|(penalty))" /e /r /s</v>
      </c>
      <c r="AG98" s="1" t="str">
        <f t="shared" si="47"/>
        <v>EC</v>
      </c>
      <c r="AH98" s="92" t="str">
        <f t="shared" si="48"/>
        <v>"%USERPROFILE%\Documents\GitHub\eaglep3\Utilities\RefineRTDCRunTimes.py" --tripid 186-17 --locoid 4037 --swversion DE.1.0.7.0 --startMP 204:233045 --initTime 2016-10-17T15:07:28 --startdatetime 2016-10-17T16:02:38 --delay 1 --endMP 204:156 --enddatetime 2016-10-17T16:39:39 --enforcementcount 0 &gt;&gt;C:\Users\stu\Documents\GitHub\eaglep3-reporting\EC\2016-10-17-refined-times.txt</v>
      </c>
      <c r="AI9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{"issue":{"subject":"","project_id":79,"tracker_id":40,"status_id":1,"priority_id":2,"assigned_to_id":23,"start_date":"2016-10-17","description":"","custom_fields":[{"id":1,"name":"Subdivision","value":"EC"},{"id":4,"name":"Milepost","value":"0.0156"},{"id":17,"name":"Train ID","value":"186-17"},{"id":16,"name":"Locomotive ID","value":"4037"},{"id":130,"name":"Impact","value":""},{"id":150,"name":"Time of Event (Mountain Time)","value":"16:39:39"},{"id":151,"name":"Denver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530</v>
      </c>
      <c r="B99" s="7">
        <v>4031</v>
      </c>
      <c r="C99" s="22" t="s">
        <v>99</v>
      </c>
      <c r="D99" s="22" t="s">
        <v>379</v>
      </c>
      <c r="E99" s="13">
        <v>42660.603738425925</v>
      </c>
      <c r="F99" s="13">
        <v>42660.605555555558</v>
      </c>
      <c r="G99" s="7">
        <v>1</v>
      </c>
      <c r="H99" s="13" t="s">
        <v>252</v>
      </c>
      <c r="I99" s="13">
        <v>42660.632002314815</v>
      </c>
      <c r="J99" s="7">
        <v>0</v>
      </c>
      <c r="K99" s="112" t="str">
        <f t="shared" si="34"/>
        <v>4031/4032</v>
      </c>
      <c r="L99" s="22" t="str">
        <f>VLOOKUP(A99,'Trips&amp;Operators'!$C$1:$E$10000,3,FALSE)</f>
        <v>STEWART</v>
      </c>
      <c r="M99" s="6">
        <f t="shared" si="35"/>
        <v>2.6446759256941732E-2</v>
      </c>
      <c r="N99" s="7">
        <f t="shared" si="36"/>
        <v>38.083333329996094</v>
      </c>
      <c r="O99" s="7"/>
      <c r="P99" s="7"/>
      <c r="Q99" s="23"/>
      <c r="R99" s="23"/>
      <c r="S99" s="35">
        <f t="shared" si="37"/>
        <v>1</v>
      </c>
      <c r="T99" s="50" t="str">
        <f t="shared" si="38"/>
        <v>NorthBound</v>
      </c>
      <c r="U99" s="18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13:29:23-0600',mode:absolute,to:'2016-10-17 16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40"/>
        <v>N</v>
      </c>
      <c r="X99" s="178">
        <f t="shared" si="33"/>
        <v>1</v>
      </c>
      <c r="Y99" s="67">
        <f t="shared" si="41"/>
        <v>4.8399999999999999E-2</v>
      </c>
      <c r="Z99" s="67">
        <f t="shared" si="42"/>
        <v>23.329499999999999</v>
      </c>
      <c r="AA99" s="67">
        <f t="shared" si="43"/>
        <v>23.281099999999999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4"/>
        <v>0187-17</v>
      </c>
      <c r="AE99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99" s="88" t="str">
        <f t="shared" si="46"/>
        <v>"C:\Program Files (x86)\AstroGrep\AstroGrep.exe" /spath="%USERPROFILE%\AppData\Local\Temp\OnboardLogs" /stypes="app*4031*20161017*" /stext=" 21:.+((SYSTEM_STATE.+slice.+state.+changed )|(ment ac)|(system.+state.+changed )|(\[timeout)|(PRM\|1\|D)|(kpr)|(kdp)|(\|lc)|(penalty))" /e /r /s</v>
      </c>
      <c r="AG99" s="1" t="str">
        <f t="shared" si="47"/>
        <v>EC</v>
      </c>
      <c r="AH99" s="92" t="str">
        <f t="shared" si="48"/>
        <v>"%USERPROFILE%\Documents\GitHub\eaglep3\Utilities\RefineRTDCRunTimes.py" --tripid 187-17 --locoid 4031 --swversion DE.1.0.7.0 --startMP 204:484 --initTime 2016-10-17T14:29:23 --startdatetime 2016-10-17T14:32:00 --delay 1 --endMP 204:233295 --enddatetime 2016-10-17T15:10:05 --enforcementcount 0 &gt;&gt;C:\Users\stu\Documents\GitHub\eaglep3-reporting\EC\2016-10-17-refined-times.txt</v>
      </c>
      <c r="AI9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{"issue":{"subject":"","project_id":79,"tracker_id":40,"status_id":1,"priority_id":2,"assigned_to_id":23,"start_date":"2016-10-17","description":"","custom_fields":[{"id":1,"name":"Subdivision","value":"EC"},{"id":4,"name":"Milepost","value":"23.3295"},{"id":17,"name":"Train ID","value":"187-17"},{"id":16,"name":"Locomotive ID","value":"4031"},{"id":130,"name":"Impact","value":""},{"id":150,"name":"Time of Event (Mountain Time)","value":"15:10:05"},{"id":151,"name":"Denver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538</v>
      </c>
      <c r="B100" s="7">
        <v>4032</v>
      </c>
      <c r="C100" s="22" t="s">
        <v>99</v>
      </c>
      <c r="D100" s="22" t="s">
        <v>287</v>
      </c>
      <c r="E100" s="13">
        <v>42660.640983796293</v>
      </c>
      <c r="F100" s="13">
        <v>42660.643425925926</v>
      </c>
      <c r="G100" s="7">
        <v>3</v>
      </c>
      <c r="H100" s="13" t="s">
        <v>651</v>
      </c>
      <c r="I100" s="13">
        <v>42660.671817129631</v>
      </c>
      <c r="J100" s="7">
        <v>0</v>
      </c>
      <c r="K100" s="112" t="str">
        <f t="shared" si="34"/>
        <v>4031/4032</v>
      </c>
      <c r="L100" s="22" t="str">
        <f>VLOOKUP(A100,'Trips&amp;Operators'!$C$1:$E$10000,3,FALSE)</f>
        <v>STEWART</v>
      </c>
      <c r="M100" s="6">
        <f t="shared" si="35"/>
        <v>2.8391203704813961E-2</v>
      </c>
      <c r="N100" s="7">
        <f t="shared" si="36"/>
        <v>40.883333334932104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Southbound</v>
      </c>
      <c r="U100" s="18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14:23:01-0600',mode:absolute,to:'2016-10-17 17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40"/>
        <v>N</v>
      </c>
      <c r="X100" s="178">
        <f t="shared" si="33"/>
        <v>1</v>
      </c>
      <c r="Y100" s="67">
        <f t="shared" si="41"/>
        <v>23.297999999999998</v>
      </c>
      <c r="Z100" s="67">
        <f t="shared" si="42"/>
        <v>1.5800000000000002E-2</v>
      </c>
      <c r="AA100" s="67">
        <f t="shared" si="43"/>
        <v>23.2822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4"/>
        <v>0188-17</v>
      </c>
      <c r="AE100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00" s="88" t="str">
        <f t="shared" si="46"/>
        <v>"C:\Program Files (x86)\AstroGrep\AstroGrep.exe" /spath="%USERPROFILE%\AppData\Local\Temp\OnboardLogs" /stypes="app*4032*20161017*" /stext=" 22:.+((SYSTEM_STATE.+slice.+state.+changed )|(ment ac)|(system.+state.+changed )|(\[timeout)|(PRM\|1\|D)|(kpr)|(kdp)|(\|lc)|(penalty))" /e /r /s</v>
      </c>
      <c r="AG100" s="1" t="str">
        <f t="shared" si="47"/>
        <v>EC</v>
      </c>
      <c r="AH100" s="92" t="str">
        <f t="shared" si="48"/>
        <v>"%USERPROFILE%\Documents\GitHub\eaglep3\Utilities\RefineRTDCRunTimes.py" --tripid 188-17 --locoid 4032 --swversion DE.1.0.7.0 --startMP 204:232980 --initTime 2016-10-17T15:23:01 --startdatetime 2016-10-17T15:26:32 --delay 3 --endMP 204:158 --enddatetime 2016-10-17T16:07:25 --enforcementcount 0 &gt;&gt;C:\Users\stu\Documents\GitHub\eaglep3-reporting\EC\2016-10-17-refined-times.txt</v>
      </c>
      <c r="AI10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{"issue":{"subject":"","project_id":79,"tracker_id":40,"status_id":1,"priority_id":2,"assigned_to_id":23,"start_date":"2016-10-17","description":"","custom_fields":[{"id":1,"name":"Subdivision","value":"EC"},{"id":4,"name":"Milepost","value":"0.0158"},{"id":17,"name":"Train ID","value":"188-17"},{"id":16,"name":"Locomotive ID","value":"4032"},{"id":130,"name":"Impact","value":""},{"id":150,"name":"Time of Event (Mountain Time)","value":"16:07:25"},{"id":151,"name":"Denver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533</v>
      </c>
      <c r="B101" s="7">
        <v>4002</v>
      </c>
      <c r="C101" s="22" t="s">
        <v>99</v>
      </c>
      <c r="D101" s="22" t="s">
        <v>295</v>
      </c>
      <c r="E101" s="13">
        <v>42660.61078703704</v>
      </c>
      <c r="F101" s="13">
        <v>42660.615162037036</v>
      </c>
      <c r="G101" s="7">
        <v>1</v>
      </c>
      <c r="H101" s="13" t="s">
        <v>673</v>
      </c>
      <c r="I101" s="13">
        <v>42660.643703703703</v>
      </c>
      <c r="J101" s="7">
        <v>0</v>
      </c>
      <c r="K101" s="112" t="str">
        <f t="shared" si="34"/>
        <v>4001/4002</v>
      </c>
      <c r="L101" s="22" t="str">
        <f>VLOOKUP(A101,'Trips&amp;Operators'!$C$1:$E$10000,3,FALSE)</f>
        <v>BARTLETT</v>
      </c>
      <c r="M101" s="6">
        <f t="shared" si="35"/>
        <v>2.8541666666569654E-2</v>
      </c>
      <c r="N101" s="7">
        <f t="shared" si="36"/>
        <v>41.099999999860302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NorthBound</v>
      </c>
      <c r="U101" s="18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13:39:32-0600',mode:absolute,to:'2016-10-17 16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1" s="52" t="str">
        <f t="shared" si="40"/>
        <v>N</v>
      </c>
      <c r="X101" s="178">
        <f t="shared" si="33"/>
        <v>1</v>
      </c>
      <c r="Y101" s="67">
        <f t="shared" si="41"/>
        <v>4.7100000000000003E-2</v>
      </c>
      <c r="Z101" s="67">
        <f t="shared" si="42"/>
        <v>23.335699999999999</v>
      </c>
      <c r="AA101" s="67">
        <f t="shared" si="43"/>
        <v>23.288599999999999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4"/>
        <v>0189-17</v>
      </c>
      <c r="AE101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01" s="88" t="str">
        <f t="shared" si="46"/>
        <v>"C:\Program Files (x86)\AstroGrep\AstroGrep.exe" /spath="%USERPROFILE%\AppData\Local\Temp\OnboardLogs" /stypes="app*4002*20161017*" /stext=" 21:.+((SYSTEM_STATE.+slice.+state.+changed )|(ment ac)|(system.+state.+changed )|(\[timeout)|(PRM\|1\|D)|(kpr)|(kdp)|(\|lc)|(penalty))" /e /r /s</v>
      </c>
      <c r="AG101" s="1" t="str">
        <f t="shared" si="47"/>
        <v>EC</v>
      </c>
      <c r="AH101" s="92" t="str">
        <f t="shared" si="48"/>
        <v>"%USERPROFILE%\Documents\GitHub\eaglep3\Utilities\RefineRTDCRunTimes.py" --tripid 189-17 --locoid 4002 --swversion DE.1.0.7.0 --startMP 204:471 --initTime 2016-10-17T14:39:32 --startdatetime 2016-10-17T14:45:50 --delay 1 --endMP 204:233357 --enddatetime 2016-10-17T15:26:56 --enforcementcount 0 &gt;&gt;C:\Users\stu\Documents\GitHub\eaglep3-reporting\EC\2016-10-17-refined-times.txt</v>
      </c>
      <c r="AI10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{"issue":{"subject":"","project_id":79,"tracker_id":40,"status_id":1,"priority_id":2,"assigned_to_id":23,"start_date":"2016-10-17","description":"","custom_fields":[{"id":1,"name":"Subdivision","value":"EC"},{"id":4,"name":"Milepost","value":"23.3357"},{"id":17,"name":"Train ID","value":"189-17"},{"id":16,"name":"Locomotive ID","value":"4002"},{"id":130,"name":"Impact","value":""},{"id":150,"name":"Time of Event (Mountain Time)","value":"15:26:56"},{"id":151,"name":"Denver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541</v>
      </c>
      <c r="B102" s="7">
        <v>4001</v>
      </c>
      <c r="C102" s="22" t="s">
        <v>99</v>
      </c>
      <c r="D102" s="22" t="s">
        <v>674</v>
      </c>
      <c r="E102" s="13">
        <v>42660.649918981479</v>
      </c>
      <c r="F102" s="13">
        <v>42660.653923611113</v>
      </c>
      <c r="G102" s="7">
        <v>1</v>
      </c>
      <c r="H102" s="13" t="s">
        <v>231</v>
      </c>
      <c r="I102" s="13">
        <v>42660.682268518518</v>
      </c>
      <c r="J102" s="7">
        <v>0</v>
      </c>
      <c r="K102" s="112" t="str">
        <f t="shared" si="34"/>
        <v>4001/4002</v>
      </c>
      <c r="L102" s="22" t="str">
        <f>VLOOKUP(A102,'Trips&amp;Operators'!$C$1:$E$10000,3,FALSE)</f>
        <v>BARTLETT</v>
      </c>
      <c r="M102" s="6">
        <f t="shared" si="35"/>
        <v>2.8344907404971309E-2</v>
      </c>
      <c r="N102" s="7">
        <f t="shared" si="36"/>
        <v>40.816666663158685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Southbound</v>
      </c>
      <c r="U102" s="18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14:35:53-0600',mode:absolute,to:'2016-10-17 17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2" s="52" t="str">
        <f t="shared" si="40"/>
        <v>N</v>
      </c>
      <c r="X102" s="178">
        <f t="shared" si="33"/>
        <v>1</v>
      </c>
      <c r="Y102" s="67">
        <f t="shared" si="41"/>
        <v>23.302099999999999</v>
      </c>
      <c r="Z102" s="67">
        <f t="shared" si="42"/>
        <v>1.54E-2</v>
      </c>
      <c r="AA102" s="67">
        <f t="shared" si="43"/>
        <v>23.2867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4"/>
        <v>0190-17</v>
      </c>
      <c r="AE102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02" s="88" t="str">
        <f t="shared" si="46"/>
        <v>"C:\Program Files (x86)\AstroGrep\AstroGrep.exe" /spath="%USERPROFILE%\AppData\Local\Temp\OnboardLogs" /stypes="app*4001*20161017*" /stext=" 22:.+((SYSTEM_STATE.+slice.+state.+changed )|(ment ac)|(system.+state.+changed )|(\[timeout)|(PRM\|1\|D)|(kpr)|(kdp)|(\|lc)|(penalty))" /e /r /s</v>
      </c>
      <c r="AG102" s="1" t="str">
        <f t="shared" si="47"/>
        <v>EC</v>
      </c>
      <c r="AH102" s="92" t="str">
        <f t="shared" si="48"/>
        <v>"%USERPROFILE%\Documents\GitHub\eaglep3\Utilities\RefineRTDCRunTimes.py" --tripid 190-17 --locoid 4001 --swversion DE.1.0.7.0 --startMP 204:233021 --initTime 2016-10-17T15:35:53 --startdatetime 2016-10-17T15:41:39 --delay 1 --endMP 204:154 --enddatetime 2016-10-17T16:22:28 --enforcementcount 0 &gt;&gt;C:\Users\stu\Documents\GitHub\eaglep3-reporting\EC\2016-10-17-refined-times.txt</v>
      </c>
      <c r="AI10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ID","value":"190-17"},{"id":16,"name":"Locomotive ID","value":"4001"},{"id":130,"name":"Impact","value":""},{"id":150,"name":"Time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535</v>
      </c>
      <c r="B103" s="7">
        <v>4011</v>
      </c>
      <c r="C103" s="22" t="s">
        <v>99</v>
      </c>
      <c r="D103" s="22" t="s">
        <v>251</v>
      </c>
      <c r="E103" s="13">
        <v>42660.62054398148</v>
      </c>
      <c r="F103" s="13">
        <v>42660.625254629631</v>
      </c>
      <c r="G103" s="7">
        <v>1</v>
      </c>
      <c r="H103" s="13" t="s">
        <v>675</v>
      </c>
      <c r="I103" s="13">
        <v>42660.651296296295</v>
      </c>
      <c r="J103" s="7">
        <v>0</v>
      </c>
      <c r="K103" s="112" t="str">
        <f t="shared" si="34"/>
        <v>4011/4012</v>
      </c>
      <c r="L103" s="22" t="str">
        <f>VLOOKUP(A103,'Trips&amp;Operators'!$C$1:$E$10000,3,FALSE)</f>
        <v>BONDS</v>
      </c>
      <c r="M103" s="6">
        <f t="shared" si="35"/>
        <v>2.6041666664241347E-2</v>
      </c>
      <c r="N103" s="7">
        <f t="shared" si="36"/>
        <v>37.49999999650754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NorthBound</v>
      </c>
      <c r="U103" s="18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13:53:35-0600',mode:absolute,to:'2016-10-17 16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40"/>
        <v>N</v>
      </c>
      <c r="X103" s="178">
        <f t="shared" ref="X103:X116" si="50">VALUE(LEFT(AD103,4))-VALUE(LEFT(AD102,4))</f>
        <v>1</v>
      </c>
      <c r="Y103" s="67">
        <f t="shared" si="41"/>
        <v>4.7800000000000002E-2</v>
      </c>
      <c r="Z103" s="67">
        <f t="shared" si="42"/>
        <v>23.331600000000002</v>
      </c>
      <c r="AA103" s="67">
        <f t="shared" si="43"/>
        <v>23.283800000000003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4"/>
        <v>0191-17</v>
      </c>
      <c r="AE103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03" s="88" t="str">
        <f t="shared" si="46"/>
        <v>"C:\Program Files (x86)\AstroGrep\AstroGrep.exe" /spath="%USERPROFILE%\AppData\Local\Temp\OnboardLogs" /stypes="app*4011*20161017*" /stext=" 21:.+((SYSTEM_STATE.+slice.+state.+changed )|(ment ac)|(system.+state.+changed )|(\[timeout)|(PRM\|1\|D)|(kpr)|(kdp)|(\|lc)|(penalty))" /e /r /s</v>
      </c>
      <c r="AG103" s="1" t="str">
        <f t="shared" si="47"/>
        <v>EC</v>
      </c>
      <c r="AH103" s="92" t="str">
        <f t="shared" si="48"/>
        <v>"%USERPROFILE%\Documents\GitHub\eaglep3\Utilities\RefineRTDCRunTimes.py" --tripid 191-17 --locoid 4011 --swversion DE.1.0.7.0 --startMP 204:478 --initTime 2016-10-17T14:53:35 --startdatetime 2016-10-17T15:00:22 --delay 1 --endMP 204:233316 --enddatetime 2016-10-17T15:37:52 --enforcementcount 0 &gt;&gt;C:\Users\stu\Documents\GitHub\eaglep3-reporting\EC\2016-10-17-refined-times.txt</v>
      </c>
      <c r="AI10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{"issue":{"subject":"","project_id":79,"tracker_id":40,"status_id":1,"priority_id":2,"assigned_to_id":23,"start_date":"2016-10-17","description":"","custom_fields":[{"id":1,"name":"Subdivision","value":"EC"},{"id":4,"name":"Milepost","value":"23.3316"},{"id":17,"name":"Train ID","value":"191-17"},{"id":16,"name":"Locomotive ID","value":"4011"},{"id":130,"name":"Impact","value":""},{"id":150,"name":"Time of Event (Mountain Time)","value":"15:37:52"},{"id":151,"name":"Denver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544</v>
      </c>
      <c r="B104" s="7">
        <v>4012</v>
      </c>
      <c r="C104" s="22" t="s">
        <v>99</v>
      </c>
      <c r="D104" s="22" t="s">
        <v>293</v>
      </c>
      <c r="E104" s="13">
        <v>42660.658263888887</v>
      </c>
      <c r="F104" s="13">
        <v>42660.664131944446</v>
      </c>
      <c r="G104" s="7">
        <v>1</v>
      </c>
      <c r="H104" s="13" t="s">
        <v>355</v>
      </c>
      <c r="I104" s="13">
        <v>42660.691388888888</v>
      </c>
      <c r="J104" s="7">
        <v>0</v>
      </c>
      <c r="K104" s="112" t="str">
        <f t="shared" si="34"/>
        <v>4011/4012</v>
      </c>
      <c r="L104" s="22" t="str">
        <f>VLOOKUP(A104,'Trips&amp;Operators'!$C$1:$E$10000,3,FALSE)</f>
        <v>BONDS</v>
      </c>
      <c r="M104" s="6">
        <f t="shared" si="35"/>
        <v>2.7256944442342501E-2</v>
      </c>
      <c r="N104" s="7">
        <f t="shared" si="36"/>
        <v>39.249999996973202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Southbound</v>
      </c>
      <c r="U104" s="18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14:47:54-0600',mode:absolute,to:'2016-10-17 17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40"/>
        <v>N</v>
      </c>
      <c r="X104" s="178">
        <f t="shared" si="50"/>
        <v>1</v>
      </c>
      <c r="Y104" s="67">
        <f t="shared" si="41"/>
        <v>23.2971</v>
      </c>
      <c r="Z104" s="67">
        <f t="shared" si="42"/>
        <v>1.3899999999999999E-2</v>
      </c>
      <c r="AA104" s="67">
        <f t="shared" si="43"/>
        <v>23.283200000000001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4"/>
        <v>0192-17</v>
      </c>
      <c r="AE104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04" s="88" t="str">
        <f t="shared" si="46"/>
        <v>"C:\Program Files (x86)\AstroGrep\AstroGrep.exe" /spath="%USERPROFILE%\AppData\Local\Temp\OnboardLogs" /stypes="app*4012*20161017*" /stext=" 22:.+((SYSTEM_STATE.+slice.+state.+changed )|(ment ac)|(system.+state.+changed )|(\[timeout)|(PRM\|1\|D)|(kpr)|(kdp)|(\|lc)|(penalty))" /e /r /s</v>
      </c>
      <c r="AG104" s="1" t="str">
        <f t="shared" si="47"/>
        <v>EC</v>
      </c>
      <c r="AH104" s="92" t="str">
        <f t="shared" si="48"/>
        <v>"%USERPROFILE%\Documents\GitHub\eaglep3\Utilities\RefineRTDCRunTimes.py" --tripid 192-17 --locoid 4012 --swversion DE.1.0.7.0 --startMP 204:232971 --initTime 2016-10-17T15:47:54 --startdatetime 2016-10-17T15:56:21 --delay 1 --endMP 204:139 --enddatetime 2016-10-17T16:35:36 --enforcementcount 0 &gt;&gt;C:\Users\stu\Documents\GitHub\eaglep3-reporting\EC\2016-10-17-refined-times.txt</v>
      </c>
      <c r="AI10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{"issue":{"subject":"","project_id":79,"tracker_id":40,"status_id":1,"priority_id":2,"assigned_to_id":23,"start_date":"2016-10-17","description":"","custom_fields":[{"id":1,"name":"Subdivision","value":"EC"},{"id":4,"name":"Milepost","value":"0.0139"},{"id":17,"name":"Train ID","value":"192-17"},{"id":16,"name":"Locomotive ID","value":"4012"},{"id":130,"name":"Impact","value":""},{"id":150,"name":"Time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537</v>
      </c>
      <c r="B105" s="7">
        <v>4044</v>
      </c>
      <c r="C105" s="22" t="s">
        <v>99</v>
      </c>
      <c r="D105" s="22" t="s">
        <v>676</v>
      </c>
      <c r="E105" s="13">
        <v>42660.633437500001</v>
      </c>
      <c r="F105" s="13">
        <v>42660.635659722226</v>
      </c>
      <c r="G105" s="7">
        <v>2</v>
      </c>
      <c r="H105" s="13" t="s">
        <v>235</v>
      </c>
      <c r="I105" s="13">
        <v>42660.663576388892</v>
      </c>
      <c r="J105" s="7">
        <v>0</v>
      </c>
      <c r="K105" s="112" t="str">
        <f t="shared" si="34"/>
        <v>4043/4044</v>
      </c>
      <c r="L105" s="22" t="str">
        <f>VLOOKUP(A105,'Trips&amp;Operators'!$C$1:$E$10000,3,FALSE)</f>
        <v>CLARK</v>
      </c>
      <c r="M105" s="6">
        <f t="shared" si="35"/>
        <v>2.7916666665987577E-2</v>
      </c>
      <c r="N105" s="7">
        <f t="shared" si="36"/>
        <v>40.199999999022111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NorthBound</v>
      </c>
      <c r="U105" s="18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14:12:09-0600',mode:absolute,to:'2016-10-17 16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5" s="52" t="str">
        <f t="shared" si="40"/>
        <v>N</v>
      </c>
      <c r="X105" s="178">
        <f t="shared" si="50"/>
        <v>1</v>
      </c>
      <c r="Y105" s="67">
        <f t="shared" si="41"/>
        <v>4.8599999999999997E-2</v>
      </c>
      <c r="Z105" s="67">
        <f t="shared" si="42"/>
        <v>23.3293</v>
      </c>
      <c r="AA105" s="67">
        <f t="shared" si="43"/>
        <v>23.2807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4"/>
        <v>0193-17</v>
      </c>
      <c r="AE105" s="91" t="str">
        <f t="shared" si="45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105" s="88" t="str">
        <f t="shared" si="46"/>
        <v>"C:\Program Files (x86)\AstroGrep\AstroGrep.exe" /spath="%USERPROFILE%\AppData\Local\Temp\OnboardLogs" /stypes="app*4044*20161017*" /stext=" 21:.+((SYSTEM_STATE.+slice.+state.+changed )|(ment ac)|(system.+state.+changed )|(\[timeout)|(PRM\|1\|D)|(kpr)|(kdp)|(\|lc)|(penalty))" /e /r /s</v>
      </c>
      <c r="AG105" s="1" t="str">
        <f t="shared" si="47"/>
        <v>EC</v>
      </c>
      <c r="AH105" s="92" t="str">
        <f t="shared" si="48"/>
        <v>"%USERPROFILE%\Documents\GitHub\eaglep3\Utilities\RefineRTDCRunTimes.py" --tripid 193-17 --locoid 4044 --swversion DE.1.0.7.0 --startMP 204:486 --initTime 2016-10-17T15:12:09 --startdatetime 2016-10-17T15:15:21 --delay 2 --endMP 204:233293 --enddatetime 2016-10-17T15:55:33 --enforcementcount 0 &gt;&gt;C:\Users\stu\Documents\GitHub\eaglep3-reporting\EC\2016-10-17-refined-times.txt</v>
      </c>
      <c r="AI10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{"issue":{"subject":"","project_id":79,"tracker_id":40,"status_id":1,"priority_id":2,"assigned_to_id":23,"start_date":"2016-10-17","description":"","custom_fields":[{"id":1,"name":"Subdivision","value":"EC"},{"id":4,"name":"Milepost","value":"23.3293"},{"id":17,"name":"Train ID","value":"193-17"},{"id":16,"name":"Locomotive ID","value":"4044"},{"id":130,"name":"Impact","value":""},{"id":150,"name":"Time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547</v>
      </c>
      <c r="B106" s="7">
        <v>4043</v>
      </c>
      <c r="C106" s="22" t="s">
        <v>99</v>
      </c>
      <c r="D106" s="22" t="s">
        <v>359</v>
      </c>
      <c r="E106" s="13">
        <v>42660.672951388886</v>
      </c>
      <c r="F106" s="13">
        <v>42660.674675925926</v>
      </c>
      <c r="G106" s="7">
        <v>1</v>
      </c>
      <c r="H106" s="13" t="s">
        <v>177</v>
      </c>
      <c r="I106" s="13">
        <v>42660.704386574071</v>
      </c>
      <c r="J106" s="7">
        <v>0</v>
      </c>
      <c r="K106" s="112" t="str">
        <f t="shared" si="34"/>
        <v>4043/4044</v>
      </c>
      <c r="L106" s="22" t="str">
        <f>VLOOKUP(A106,'Trips&amp;Operators'!$C$1:$E$10000,3,FALSE)</f>
        <v>CLARK</v>
      </c>
      <c r="M106" s="6">
        <f t="shared" si="35"/>
        <v>2.9710648144828156E-2</v>
      </c>
      <c r="N106" s="7">
        <f t="shared" si="36"/>
        <v>42.783333328552544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Southbound</v>
      </c>
      <c r="U106" s="18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15:09:03-0600',mode:absolute,to:'2016-10-17 17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6" s="52" t="str">
        <f t="shared" si="40"/>
        <v>N</v>
      </c>
      <c r="X106" s="178">
        <f t="shared" si="50"/>
        <v>1</v>
      </c>
      <c r="Y106" s="67">
        <f t="shared" si="41"/>
        <v>23.298100000000002</v>
      </c>
      <c r="Z106" s="67">
        <f t="shared" si="42"/>
        <v>1.52E-2</v>
      </c>
      <c r="AA106" s="67">
        <f t="shared" si="43"/>
        <v>23.282900000000001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4"/>
        <v>0194-17</v>
      </c>
      <c r="AE106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106" s="88" t="str">
        <f t="shared" si="46"/>
        <v>"C:\Program Files (x86)\AstroGrep\AstroGrep.exe" /spath="%USERPROFILE%\AppData\Local\Temp\OnboardLogs" /stypes="app*4043*20161017*" /stext=" 22:.+((SYSTEM_STATE.+slice.+state.+changed )|(ment ac)|(system.+state.+changed )|(\[timeout)|(PRM\|1\|D)|(kpr)|(kdp)|(\|lc)|(penalty))" /e /r /s</v>
      </c>
      <c r="AG106" s="1" t="str">
        <f t="shared" si="47"/>
        <v>EC</v>
      </c>
      <c r="AH106" s="92" t="str">
        <f t="shared" si="48"/>
        <v>"%USERPROFILE%\Documents\GitHub\eaglep3\Utilities\RefineRTDCRunTimes.py" --tripid 194-17 --locoid 4043 --swversion DE.1.0.7.0 --startMP 204:232981 --initTime 2016-10-17T16:09:03 --startdatetime 2016-10-17T16:11:32 --delay 1 --endMP 204:152 --enddatetime 2016-10-17T16:54:19 --enforcementcount 0 &gt;&gt;C:\Users\stu\Documents\GitHub\eaglep3-reporting\EC\2016-10-17-refined-times.txt</v>
      </c>
      <c r="AI10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{"issue":{"subject":"","project_id":79,"tracker_id":40,"status_id":1,"priority_id":2,"assigned_to_id":23,"start_date":"2016-10-17","description":"","custom_fields":[{"id":1,"name":"Subdivision","value":"EC"},{"id":4,"name":"Milepost","value":"0.0152"},{"id":17,"name":"Train ID","value":"194-17"},{"id":16,"name":"Locomotive ID","value":"4043"},{"id":130,"name":"Impact","value":""},{"id":150,"name":"Time of Event (Mountain Time)","value":"16:54:19"},{"id":151,"name":"Denver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539</v>
      </c>
      <c r="B107" s="7">
        <v>4025</v>
      </c>
      <c r="C107" s="22" t="s">
        <v>99</v>
      </c>
      <c r="D107" s="22" t="s">
        <v>253</v>
      </c>
      <c r="E107" s="13">
        <v>42660.64702546296</v>
      </c>
      <c r="F107" s="13">
        <v>42660.648553240739</v>
      </c>
      <c r="G107" s="7">
        <v>1</v>
      </c>
      <c r="H107" s="13" t="s">
        <v>677</v>
      </c>
      <c r="I107" s="13">
        <v>42660.681168981479</v>
      </c>
      <c r="J107" s="7">
        <v>0</v>
      </c>
      <c r="K107" s="112" t="str">
        <f t="shared" si="34"/>
        <v>4025/4026</v>
      </c>
      <c r="L107" s="22" t="str">
        <f>VLOOKUP(A107,'Trips&amp;Operators'!$C$1:$E$10000,3,FALSE)</f>
        <v>BRANDNER</v>
      </c>
      <c r="M107" s="6">
        <f t="shared" si="35"/>
        <v>3.2615740739856847E-2</v>
      </c>
      <c r="N107" s="7">
        <f t="shared" si="36"/>
        <v>46.966666665393859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NorthBound</v>
      </c>
      <c r="U107" s="18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14:31:43-0600',mode:absolute,to:'2016-10-17 17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7" s="52" t="str">
        <f t="shared" si="40"/>
        <v>N</v>
      </c>
      <c r="X107" s="178">
        <f t="shared" si="50"/>
        <v>1</v>
      </c>
      <c r="Y107" s="67">
        <f t="shared" si="41"/>
        <v>4.4600000000000001E-2</v>
      </c>
      <c r="Z107" s="67">
        <f t="shared" si="42"/>
        <v>23.328600000000002</v>
      </c>
      <c r="AA107" s="67">
        <f t="shared" si="43"/>
        <v>23.284000000000002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4"/>
        <v>0195-17</v>
      </c>
      <c r="AE107" s="91" t="str">
        <f t="shared" si="45"/>
        <v>aws s3 cp s3://rtdc.mdm.uploadarchive.raw/RTDC4025/ "%USERPROFILE%\AppData\Local\Temp\OnboardLogs"\RTDC4025\2016-10-17 --exclude "*" --recursive --include "*20161017*" &amp; "%USERPROFILE%\Documents\GitHub\mrs-test-scripts\Headless Mode &amp; Sideloading\WalkAndUnGZ.bat" "%USERPROFILE%\AppData\Local\Temp\OnboardLogs"\RTDC4025\2016-10-17 &amp; aws s3 cp s3://rtdc.mdm.uploadarchive.raw/RTDC4025/ "%USERPROFILE%\AppData\Local\Temp\OnboardLogs"\RTDC4025\2016-10-18 --exclude "*" --recursive --include "*20161018*" &amp; "%USERPROFILE%\Documents\GitHub\mrs-test-scripts\Headless Mode &amp; Sideloading\WalkAndUnGZ.bat" "%USERPROFILE%\AppData\Local\Temp\OnboardLogs"\RTDC4025\2016-10-18</v>
      </c>
      <c r="AF107" s="88" t="str">
        <f t="shared" si="46"/>
        <v>"C:\Program Files (x86)\AstroGrep\AstroGrep.exe" /spath="%USERPROFILE%\AppData\Local\Temp\OnboardLogs" /stypes="app*4025*20161017*" /stext=" 22:.+((SYSTEM_STATE.+slice.+state.+changed )|(ment ac)|(system.+state.+changed )|(\[timeout)|(PRM\|1\|D)|(kpr)|(kdp)|(\|lc)|(penalty))" /e /r /s</v>
      </c>
      <c r="AG107" s="1" t="str">
        <f t="shared" si="47"/>
        <v>EC</v>
      </c>
      <c r="AH107" s="92" t="str">
        <f t="shared" si="48"/>
        <v>"%USERPROFILE%\Documents\GitHub\eaglep3\Utilities\RefineRTDCRunTimes.py" --tripid 195-17 --locoid 4025 --swversion DE.1.0.7.0 --startMP 204:446 --initTime 2016-10-17T15:31:43 --startdatetime 2016-10-17T15:33:55 --delay 1 --endMP 204:233286 --enddatetime 2016-10-17T16:20:53 --enforcementcount 0 &gt;&gt;C:\Users\stu\Documents\GitHub\eaglep3-reporting\EC\2016-10-17-refined-times.txt</v>
      </c>
      <c r="AI10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{"issue":{"subject":"","project_id":79,"tracker_id":40,"status_id":1,"priority_id":2,"assigned_to_id":23,"start_date":"2016-10-17","description":"","custom_fields":[{"id":1,"name":"Subdivision","value":"EC"},{"id":4,"name":"Milepost","value":"23.3286"},{"id":17,"name":"Train ID","value":"195-17"},{"id":16,"name":"Locomotive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552</v>
      </c>
      <c r="B108" s="7">
        <v>4026</v>
      </c>
      <c r="C108" s="22" t="s">
        <v>99</v>
      </c>
      <c r="D108" s="22" t="s">
        <v>310</v>
      </c>
      <c r="E108" s="13">
        <v>42660.686365740738</v>
      </c>
      <c r="F108" s="13">
        <v>42660.688692129632</v>
      </c>
      <c r="G108" s="7">
        <v>1</v>
      </c>
      <c r="H108" s="13" t="s">
        <v>360</v>
      </c>
      <c r="I108" s="13">
        <v>42660.71570601852</v>
      </c>
      <c r="J108" s="7">
        <v>0</v>
      </c>
      <c r="K108" s="112" t="str">
        <f t="shared" si="34"/>
        <v>4025/4026</v>
      </c>
      <c r="L108" s="22" t="str">
        <f>VLOOKUP(A108,'Trips&amp;Operators'!$C$1:$E$10000,3,FALSE)</f>
        <v>BRANDNER</v>
      </c>
      <c r="M108" s="6">
        <f t="shared" si="35"/>
        <v>2.7013888888177462E-2</v>
      </c>
      <c r="N108" s="7">
        <f t="shared" si="36"/>
        <v>38.899999998975545</v>
      </c>
      <c r="O108" s="7"/>
      <c r="P108" s="7"/>
      <c r="Q108" s="23"/>
      <c r="R108" s="23"/>
      <c r="S108" s="35">
        <f t="shared" si="37"/>
        <v>1</v>
      </c>
      <c r="T108" s="50" t="str">
        <f t="shared" si="38"/>
        <v>Southbound</v>
      </c>
      <c r="U108" s="18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https://search-rtdc-monitor-bjffxe2xuh6vdkpspy63sjmuny.us-east-1.es.amazonaws.com/_plugin/kibana/#/discover/Steve-Slow-Train-Analysis-(2080s-and-2083s)?_g=(refreshInterval:(display:Off,section:0,value:0),time:(from:'2016-10-17 15:28:22-0600',mode:absolute,to:'2016-10-17 18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8" s="52" t="str">
        <f t="shared" si="40"/>
        <v>N</v>
      </c>
      <c r="X108" s="178">
        <f t="shared" si="50"/>
        <v>1</v>
      </c>
      <c r="Y108" s="67">
        <f t="shared" si="41"/>
        <v>23.296500000000002</v>
      </c>
      <c r="Z108" s="67">
        <f t="shared" si="42"/>
        <v>0.1186</v>
      </c>
      <c r="AA108" s="67">
        <f t="shared" si="43"/>
        <v>23.177900000000001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4"/>
        <v>0196-17</v>
      </c>
      <c r="AE108" s="91" t="str">
        <f t="shared" si="45"/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AF108" s="88" t="str">
        <f t="shared" si="46"/>
        <v>"C:\Program Files (x86)\AstroGrep\AstroGrep.exe" /spath="%USERPROFILE%\AppData\Local\Temp\OnboardLogs" /stypes="app*4026*20161017*" /stext=" 23:.+((SYSTEM_STATE.+slice.+state.+changed )|(ment ac)|(system.+state.+changed )|(\[timeout)|(PRM\|1\|D)|(kpr)|(kdp)|(\|lc)|(penalty))" /e /r /s</v>
      </c>
      <c r="AG108" s="1" t="str">
        <f t="shared" si="47"/>
        <v>EC</v>
      </c>
      <c r="AH108" s="92" t="str">
        <f t="shared" si="48"/>
        <v>"%USERPROFILE%\Documents\GitHub\eaglep3\Utilities\RefineRTDCRunTimes.py" --tripid 196-17 --locoid 4026 --swversion DE.1.0.7.0 --startMP 204:232965 --initTime 2016-10-17T16:28:22 --startdatetime 2016-10-17T16:31:43 --delay 1 --endMP 204:1186 --enddatetime 2016-10-17T17:10:37 --enforcementcount 0 &gt;&gt;C:\Users\stu\Documents\GitHub\eaglep3-reporting\EC\2016-10-17-refined-times.txt</v>
      </c>
      <c r="AI10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{"issue":{"subject":"","project_id":79,"tracker_id":40,"status_id":1,"priority_id":2,"assigned_to_id":23,"start_date":"2016-10-17","description":"","custom_fields":[{"id":1,"name":"Subdivision","value":"EC"},{"id":4,"name":"Milepost","value":"0.1186"},{"id":17,"name":"Train ID","value":"196-17"},{"id":16,"name":"Locomotive ID","value":"4026"},{"id":130,"name":"Impact","value":""},{"id":150,"name":"Time of Event (Mountain Time)","value":"17:10:37"},{"id":151,"name":"Denver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543</v>
      </c>
      <c r="B109" s="7">
        <v>4018</v>
      </c>
      <c r="C109" s="22" t="s">
        <v>99</v>
      </c>
      <c r="D109" s="22" t="s">
        <v>239</v>
      </c>
      <c r="E109" s="13">
        <v>42660.655474537038</v>
      </c>
      <c r="F109" s="13">
        <v>42660.656956018516</v>
      </c>
      <c r="G109" s="7">
        <v>1</v>
      </c>
      <c r="H109" s="13" t="s">
        <v>330</v>
      </c>
      <c r="I109" s="13">
        <v>42660.682581018518</v>
      </c>
      <c r="J109" s="7">
        <v>0</v>
      </c>
      <c r="K109" s="112" t="str">
        <f t="shared" ref="K109:K123" si="51">IF(ISEVEN(B109),(B109-1)&amp;"/"&amp;B109,B109&amp;"/"&amp;(B109+1))</f>
        <v>4017/4018</v>
      </c>
      <c r="L109" s="22" t="str">
        <f>VLOOKUP(A109,'Trips&amp;Operators'!$C$1:$E$10000,3,FALSE)</f>
        <v>HELVIE</v>
      </c>
      <c r="M109" s="6">
        <f t="shared" ref="M109:M123" si="52">I109-F109</f>
        <v>2.5625000002037268E-2</v>
      </c>
      <c r="N109" s="7">
        <f t="shared" ref="N109:N123" si="53">24*60*SUM($M109:$M109)</f>
        <v>36.900000002933666</v>
      </c>
      <c r="O109" s="7"/>
      <c r="P109" s="7"/>
      <c r="Q109" s="23"/>
      <c r="R109" s="23"/>
      <c r="S109" s="35">
        <f t="shared" ref="S109:S123" si="54">SUM(U109:U109)/IF(AG109="EC",12,1)</f>
        <v>1</v>
      </c>
      <c r="T109" s="50" t="str">
        <f t="shared" ref="T109:T123" si="55">IF(ISEVEN(LEFT(AD109,4)),"Southbound","NorthBound")</f>
        <v>NorthBound</v>
      </c>
      <c r="U109" s="18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ref="V109:V123" si="56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https://search-rtdc-monitor-bjffxe2xuh6vdkpspy63sjmuny.us-east-1.es.amazonaws.com/_plugin/kibana/#/discover/Steve-Slow-Train-Analysis-(2080s-and-2083s)?_g=(refreshInterval:(display:Off,section:0,value:0),time:(from:'2016-10-17 14:43:53-0600',mode:absolute,to:'2016-10-17 17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9" s="52" t="str">
        <f t="shared" ref="W109:W123" si="57">IF(AA109&lt;IF(AG109="EC",23,5.65),"Y","N")</f>
        <v>N</v>
      </c>
      <c r="X109" s="178">
        <f t="shared" si="50"/>
        <v>1</v>
      </c>
      <c r="Y109" s="67">
        <f t="shared" ref="Y109:Y123" si="58">RIGHT(D109,LEN(D109)-4)/10000</f>
        <v>4.53E-2</v>
      </c>
      <c r="Z109" s="67">
        <f t="shared" ref="Z109:Z123" si="59">RIGHT(H109,LEN(H109)-4)/10000</f>
        <v>23.330200000000001</v>
      </c>
      <c r="AA109" s="67">
        <f t="shared" ref="AA109:AA123" si="60">ABS(Z109-Y109)</f>
        <v>23.2849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ref="AD109:AD123" si="61">IF(LEN(A109)=6,"0"&amp;A109,A109)</f>
        <v>0197-17</v>
      </c>
      <c r="AE109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109" s="88" t="str">
        <f t="shared" si="46"/>
        <v>"C:\Program Files (x86)\AstroGrep\AstroGrep.exe" /spath="%USERPROFILE%\AppData\Local\Temp\OnboardLogs" /stypes="app*4018*20161017*" /stext=" 22:.+((SYSTEM_STATE.+slice.+state.+changed )|(ment ac)|(system.+state.+changed )|(\[timeout)|(PRM\|1\|D)|(kpr)|(kdp)|(\|lc)|(penalty))" /e /r /s</v>
      </c>
      <c r="AG109" s="1" t="str">
        <f t="shared" ref="AG109:AG123" si="62">IFERROR(IF(VALUE(LEFT(AD109,2))&lt;=2,"EC",IF(OR(VALUE(LEFT(AD109,2))=8,VALUE(LEFT(AD109,2))=18),"NW","Other")),"Other")</f>
        <v>EC</v>
      </c>
      <c r="AH109" s="92" t="str">
        <f t="shared" si="48"/>
        <v>"%USERPROFILE%\Documents\GitHub\eaglep3\Utilities\RefineRTDCRunTimes.py" --tripid 197-17 --locoid 4018 --swversion DE.1.0.7.0 --startMP 204:453 --initTime 2016-10-17T15:43:53 --startdatetime 2016-10-17T15:46:01 --delay 1 --endMP 204:233302 --enddatetime 2016-10-17T16:22:55 --enforcementcount 0 &gt;&gt;C:\Users\stu\Documents\GitHub\eaglep3-reporting\EC\2016-10-17-refined-times.txt</v>
      </c>
      <c r="AI10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{"issue":{"subject":"","project_id":79,"tracker_id":40,"status_id":1,"priority_id":2,"assigned_to_id":23,"start_date":"2016-10-17","description":"","custom_fields":[{"id":1,"name":"Subdivision","value":"EC"},{"id":4,"name":"Milepost","value":"23.3302"},{"id":17,"name":"Train ID","value":"197-17"},{"id":16,"name":"Locomotive ID","value":"4018"},{"id":130,"name":"Impact","value":""},{"id":150,"name":"Time of Event (Mountain Time)","value":"16:22:55"},{"id":151,"name":"Denver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553</v>
      </c>
      <c r="B110" s="7">
        <v>4017</v>
      </c>
      <c r="C110" s="22" t="s">
        <v>99</v>
      </c>
      <c r="D110" s="22" t="s">
        <v>294</v>
      </c>
      <c r="E110" s="13">
        <v>42660.692187499997</v>
      </c>
      <c r="F110" s="13">
        <v>42660.695335648146</v>
      </c>
      <c r="G110" s="7">
        <v>2</v>
      </c>
      <c r="H110" s="13" t="s">
        <v>182</v>
      </c>
      <c r="I110" s="13">
        <v>42660.721134259256</v>
      </c>
      <c r="J110" s="7">
        <v>0</v>
      </c>
      <c r="K110" s="112" t="str">
        <f t="shared" si="51"/>
        <v>4017/4018</v>
      </c>
      <c r="L110" s="22" t="str">
        <f>VLOOKUP(A110,'Trips&amp;Operators'!$C$1:$E$10000,3,FALSE)</f>
        <v>HELVIE</v>
      </c>
      <c r="M110" s="6">
        <f t="shared" si="52"/>
        <v>2.5798611110076308E-2</v>
      </c>
      <c r="N110" s="7">
        <f t="shared" si="53"/>
        <v>37.149999998509884</v>
      </c>
      <c r="O110" s="7"/>
      <c r="P110" s="7"/>
      <c r="Q110" s="23"/>
      <c r="R110" s="23"/>
      <c r="S110" s="35">
        <f t="shared" si="54"/>
        <v>1</v>
      </c>
      <c r="T110" s="50" t="str">
        <f t="shared" si="55"/>
        <v>Southbound</v>
      </c>
      <c r="U110" s="18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15:36:45-0600',mode:absolute,to:'2016-10-17 18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0" s="52" t="str">
        <f t="shared" si="57"/>
        <v>N</v>
      </c>
      <c r="X110" s="178">
        <f t="shared" si="50"/>
        <v>1</v>
      </c>
      <c r="Y110" s="67">
        <f t="shared" si="58"/>
        <v>23.299099999999999</v>
      </c>
      <c r="Z110" s="67">
        <f t="shared" si="59"/>
        <v>1.41E-2</v>
      </c>
      <c r="AA110" s="67">
        <f t="shared" si="60"/>
        <v>23.285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61"/>
        <v>0198-17</v>
      </c>
      <c r="AE110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10" s="88" t="str">
        <f t="shared" si="46"/>
        <v>"C:\Program Files (x86)\AstroGrep\AstroGrep.exe" /spath="%USERPROFILE%\AppData\Local\Temp\OnboardLogs" /stypes="app*4017*20161017*" /stext=" 23:.+((SYSTEM_STATE.+slice.+state.+changed )|(ment ac)|(system.+state.+changed )|(\[timeout)|(PRM\|1\|D)|(kpr)|(kdp)|(\|lc)|(penalty))" /e /r /s</v>
      </c>
      <c r="AG110" s="1" t="str">
        <f t="shared" si="62"/>
        <v>EC</v>
      </c>
      <c r="AH110" s="92" t="str">
        <f t="shared" si="48"/>
        <v>"%USERPROFILE%\Documents\GitHub\eaglep3\Utilities\RefineRTDCRunTimes.py" --tripid 198-17 --locoid 4017 --swversion DE.1.0.7.0 --startMP 204:232991 --initTime 2016-10-17T16:36:45 --startdatetime 2016-10-17T16:41:17 --delay 2 --endMP 204:141 --enddatetime 2016-10-17T17:18:26 --enforcementcount 0 &gt;&gt;C:\Users\stu\Documents\GitHub\eaglep3-reporting\EC\2016-10-17-refined-times.txt</v>
      </c>
      <c r="AI11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{"issue":{"subject":"","project_id":79,"tracker_id":40,"status_id":1,"priority_id":2,"assigned_to_id":23,"start_date":"2016-10-17","description":"","custom_fields":[{"id":1,"name":"Subdivision","value":"EC"},{"id":4,"name":"Milepost","value":"0.0141"},{"id":17,"name":"Train ID","value":"198-17"},{"id":16,"name":"Locomotive ID","value":"4017"},{"id":130,"name":"Impact","value":""},{"id":150,"name":"Time of Event (Mountain Time)","value":"17:18:26"},{"id":151,"name":"Denver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546</v>
      </c>
      <c r="B111" s="7">
        <v>4038</v>
      </c>
      <c r="C111" s="22" t="s">
        <v>99</v>
      </c>
      <c r="D111" s="22" t="s">
        <v>233</v>
      </c>
      <c r="E111" s="13">
        <v>42660.666481481479</v>
      </c>
      <c r="F111" s="13">
        <v>42660.668495370373</v>
      </c>
      <c r="G111" s="7">
        <v>1</v>
      </c>
      <c r="H111" s="13" t="s">
        <v>671</v>
      </c>
      <c r="I111" s="13">
        <v>42660.694201388891</v>
      </c>
      <c r="J111" s="7">
        <v>0</v>
      </c>
      <c r="K111" s="112" t="str">
        <f t="shared" si="51"/>
        <v>4037/4038</v>
      </c>
      <c r="L111" s="22" t="str">
        <f>VLOOKUP(A111,'Trips&amp;Operators'!$C$1:$E$10000,3,FALSE)</f>
        <v>SHOOK</v>
      </c>
      <c r="M111" s="6">
        <f t="shared" si="52"/>
        <v>2.5706018517666962E-2</v>
      </c>
      <c r="N111" s="7">
        <f t="shared" si="53"/>
        <v>37.016666665440425</v>
      </c>
      <c r="O111" s="7"/>
      <c r="P111" s="7"/>
      <c r="Q111" s="23"/>
      <c r="R111" s="23"/>
      <c r="S111" s="35">
        <f t="shared" si="54"/>
        <v>1</v>
      </c>
      <c r="T111" s="50" t="str">
        <f t="shared" si="55"/>
        <v>NorthBound</v>
      </c>
      <c r="U111" s="18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14:59:44-0600',mode:absolute,to:'2016-10-17 17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1" s="52" t="str">
        <f t="shared" si="57"/>
        <v>N</v>
      </c>
      <c r="X111" s="178">
        <f t="shared" si="50"/>
        <v>1</v>
      </c>
      <c r="Y111" s="67">
        <f t="shared" si="58"/>
        <v>4.58E-2</v>
      </c>
      <c r="Z111" s="67">
        <f t="shared" si="59"/>
        <v>23.336400000000001</v>
      </c>
      <c r="AA111" s="67">
        <f t="shared" si="60"/>
        <v>23.290600000000001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61"/>
        <v>0199-17</v>
      </c>
      <c r="AE111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11" s="88" t="str">
        <f t="shared" si="46"/>
        <v>"C:\Program Files (x86)\AstroGrep\AstroGrep.exe" /spath="%USERPROFILE%\AppData\Local\Temp\OnboardLogs" /stypes="app*4038*20161017*" /stext=" 22:.+((SYSTEM_STATE.+slice.+state.+changed )|(ment ac)|(system.+state.+changed )|(\[timeout)|(PRM\|1\|D)|(kpr)|(kdp)|(\|lc)|(penalty))" /e /r /s</v>
      </c>
      <c r="AG111" s="1" t="str">
        <f t="shared" si="62"/>
        <v>EC</v>
      </c>
      <c r="AH111" s="92" t="str">
        <f t="shared" si="48"/>
        <v>"%USERPROFILE%\Documents\GitHub\eaglep3\Utilities\RefineRTDCRunTimes.py" --tripid 199-17 --locoid 4038 --swversion DE.1.0.7.0 --startMP 204:458 --initTime 2016-10-17T15:59:44 --startdatetime 2016-10-17T16:02:38 --delay 1 --endMP 204:233364 --enddatetime 2016-10-17T16:39:39 --enforcementcount 0 &gt;&gt;C:\Users\stu\Documents\GitHub\eaglep3-reporting\EC\2016-10-17-refined-times.txt</v>
      </c>
      <c r="AI11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{"issue":{"subject":"","project_id":79,"tracker_id":40,"status_id":1,"priority_id":2,"assigned_to_id":23,"start_date":"2016-10-17","description":"","custom_fields":[{"id":1,"name":"Subdivision","value":"EC"},{"id":4,"name":"Milepost","value":"23.3364"},{"id":17,"name":"Train ID","value":"199-17"},{"id":16,"name":"Locomotive ID","value":"4038"},{"id":130,"name":"Impact","value":""},{"id":150,"name":"Time of Event (Mountain Time)","value":"16:39:39"},{"id":151,"name":"Denver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557</v>
      </c>
      <c r="B112" s="7">
        <v>4037</v>
      </c>
      <c r="C112" s="22" t="s">
        <v>99</v>
      </c>
      <c r="D112" s="22" t="s">
        <v>678</v>
      </c>
      <c r="E112" s="13">
        <v>42660.701064814813</v>
      </c>
      <c r="F112" s="13">
        <v>42660.705752314818</v>
      </c>
      <c r="G112" s="7">
        <v>1</v>
      </c>
      <c r="H112" s="13" t="s">
        <v>237</v>
      </c>
      <c r="I112" s="13">
        <v>42660.736944444441</v>
      </c>
      <c r="J112" s="7">
        <v>0</v>
      </c>
      <c r="K112" s="112" t="str">
        <f t="shared" si="51"/>
        <v>4037/4038</v>
      </c>
      <c r="L112" s="22" t="str">
        <f>VLOOKUP(A112,'Trips&amp;Operators'!$C$1:$E$10000,3,FALSE)</f>
        <v>SHOOK</v>
      </c>
      <c r="M112" s="6">
        <f t="shared" si="52"/>
        <v>3.1192129623377696E-2</v>
      </c>
      <c r="N112" s="7">
        <f t="shared" si="53"/>
        <v>44.916666657663882</v>
      </c>
      <c r="O112" s="7"/>
      <c r="P112" s="7"/>
      <c r="Q112" s="23"/>
      <c r="R112" s="23"/>
      <c r="S112" s="35">
        <f t="shared" si="54"/>
        <v>1</v>
      </c>
      <c r="T112" s="50" t="str">
        <f t="shared" si="55"/>
        <v>Southbound</v>
      </c>
      <c r="U112" s="18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15:49:32-0600',mode:absolute,to:'2016-10-17 18:41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2" s="52" t="str">
        <f t="shared" si="57"/>
        <v>N</v>
      </c>
      <c r="X112" s="178">
        <f t="shared" si="50"/>
        <v>1</v>
      </c>
      <c r="Y112" s="67">
        <f t="shared" si="58"/>
        <v>23.304600000000001</v>
      </c>
      <c r="Z112" s="67">
        <f t="shared" si="59"/>
        <v>1.4999999999999999E-2</v>
      </c>
      <c r="AA112" s="67">
        <f t="shared" si="60"/>
        <v>23.2896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61"/>
        <v>0200-17</v>
      </c>
      <c r="AE112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12" s="88" t="str">
        <f t="shared" si="46"/>
        <v>"C:\Program Files (x86)\AstroGrep\AstroGrep.exe" /spath="%USERPROFILE%\AppData\Local\Temp\OnboardLogs" /stypes="app*4037*20161017*" /stext=" 23:.+((SYSTEM_STATE.+slice.+state.+changed )|(ment ac)|(system.+state.+changed )|(\[timeout)|(PRM\|1\|D)|(kpr)|(kdp)|(\|lc)|(penalty))" /e /r /s</v>
      </c>
      <c r="AG112" s="1" t="str">
        <f t="shared" si="62"/>
        <v>EC</v>
      </c>
      <c r="AH112" s="92" t="str">
        <f t="shared" si="48"/>
        <v>"%USERPROFILE%\Documents\GitHub\eaglep3\Utilities\RefineRTDCRunTimes.py" --tripid 200-17 --locoid 4037 --swversion DE.1.0.7.0 --startMP 204:233046 --initTime 2016-10-17T16:49:32 --startdatetime 2016-10-17T16:56:17 --delay 1 --endMP 204:150 --enddatetime 2016-10-17T17:41:12 --enforcementcount 0 &gt;&gt;C:\Users\stu\Documents\GitHub\eaglep3-reporting\EC\2016-10-17-refined-times.txt</v>
      </c>
      <c r="AI11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{"issue":{"subject":"","project_id":79,"tracker_id":40,"status_id":1,"priority_id":2,"assigned_to_id":23,"start_date":"2016-10-17","description":"","custom_fields":[{"id":1,"name":"Subdivision","value":"EC"},{"id":4,"name":"Milepost","value":"0.015"},{"id":17,"name":"Train ID","value":"200-17"},{"id":16,"name":"Locomotive ID","value":"4037"},{"id":130,"name":"Impact","value":""},{"id":150,"name":"Time of Event (Mountain Time)","value":"17:41:12"},{"id":151,"name":"Denver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549</v>
      </c>
      <c r="B113" s="7">
        <v>4031</v>
      </c>
      <c r="C113" s="22" t="s">
        <v>99</v>
      </c>
      <c r="D113" s="22" t="s">
        <v>242</v>
      </c>
      <c r="E113" s="13">
        <v>42660.67392361111</v>
      </c>
      <c r="F113" s="13">
        <v>42660.677453703705</v>
      </c>
      <c r="G113" s="7">
        <v>1</v>
      </c>
      <c r="H113" s="13" t="s">
        <v>329</v>
      </c>
      <c r="I113" s="13">
        <v>42660.702673611115</v>
      </c>
      <c r="J113" s="7">
        <v>0</v>
      </c>
      <c r="K113" s="112" t="str">
        <f t="shared" si="51"/>
        <v>4031/4032</v>
      </c>
      <c r="L113" s="22" t="str">
        <f>VLOOKUP(A113,'Trips&amp;Operators'!$C$1:$E$10000,3,FALSE)</f>
        <v>STEWART</v>
      </c>
      <c r="M113" s="6">
        <f t="shared" si="52"/>
        <v>2.5219907409336884E-2</v>
      </c>
      <c r="N113" s="7">
        <f t="shared" si="53"/>
        <v>36.316666669445112</v>
      </c>
      <c r="O113" s="7"/>
      <c r="P113" s="7"/>
      <c r="Q113" s="23"/>
      <c r="R113" s="23"/>
      <c r="S113" s="35">
        <f t="shared" si="54"/>
        <v>1</v>
      </c>
      <c r="T113" s="50" t="str">
        <f t="shared" si="55"/>
        <v>NorthBound</v>
      </c>
      <c r="U113" s="18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15:10:27-0600',mode:absolute,to:'2016-10-17 17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57"/>
        <v>N</v>
      </c>
      <c r="X113" s="178">
        <f t="shared" si="50"/>
        <v>1</v>
      </c>
      <c r="Y113" s="67">
        <f t="shared" si="58"/>
        <v>4.6399999999999997E-2</v>
      </c>
      <c r="Z113" s="67">
        <f t="shared" si="59"/>
        <v>23.3308</v>
      </c>
      <c r="AA113" s="67">
        <f t="shared" si="60"/>
        <v>23.284400000000002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61"/>
        <v>0201-17</v>
      </c>
      <c r="AE113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113" s="88" t="str">
        <f t="shared" si="46"/>
        <v>"C:\Program Files (x86)\AstroGrep\AstroGrep.exe" /spath="%USERPROFILE%\AppData\Local\Temp\OnboardLogs" /stypes="app*4031*20161017*" /stext=" 22:.+((SYSTEM_STATE.+slice.+state.+changed )|(ment ac)|(system.+state.+changed )|(\[timeout)|(PRM\|1\|D)|(kpr)|(kdp)|(\|lc)|(penalty))" /e /r /s</v>
      </c>
      <c r="AG113" s="1" t="str">
        <f t="shared" si="62"/>
        <v>EC</v>
      </c>
      <c r="AH113" s="92" t="str">
        <f t="shared" si="48"/>
        <v>"%USERPROFILE%\Documents\GitHub\eaglep3\Utilities\RefineRTDCRunTimes.py" --tripid 201-17 --locoid 4031 --swversion DE.1.0.7.0 --startMP 204:464 --initTime 2016-10-17T16:10:27 --startdatetime 2016-10-17T16:15:32 --delay 1 --endMP 204:233308 --enddatetime 2016-10-17T16:51:51 --enforcementcount 0 &gt;&gt;C:\Users\stu\Documents\GitHub\eaglep3-reporting\EC\2016-10-17-refined-times.txt</v>
      </c>
      <c r="AI11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{"issue":{"subject":"","project_id":79,"tracker_id":40,"status_id":1,"priority_id":2,"assigned_to_id":23,"start_date":"2016-10-17","description":"","custom_fields":[{"id":1,"name":"Subdivision","value":"EC"},{"id":4,"name":"Milepost","value":"23.3308"},{"id":17,"name":"Train ID","value":"201-17"},{"id":16,"name":"Locomotive ID","value":"4031"},{"id":130,"name":"Impact","value":""},{"id":150,"name":"Time of Event (Mountain Time)","value":"16:51:51"},{"id":151,"name":"Denver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560</v>
      </c>
      <c r="B114" s="7">
        <v>4032</v>
      </c>
      <c r="C114" s="22" t="s">
        <v>99</v>
      </c>
      <c r="D114" s="22" t="s">
        <v>285</v>
      </c>
      <c r="E114" s="13">
        <v>42660.712881944448</v>
      </c>
      <c r="F114" s="13">
        <v>42660.716134259259</v>
      </c>
      <c r="G114" s="7">
        <v>1</v>
      </c>
      <c r="H114" s="13" t="s">
        <v>236</v>
      </c>
      <c r="I114" s="13">
        <v>42660.742766203701</v>
      </c>
      <c r="J114" s="7">
        <v>0</v>
      </c>
      <c r="K114" s="112" t="str">
        <f t="shared" si="51"/>
        <v>4031/4032</v>
      </c>
      <c r="L114" s="22" t="str">
        <f>VLOOKUP(A114,'Trips&amp;Operators'!$C$1:$E$10000,3,FALSE)</f>
        <v>STEWART</v>
      </c>
      <c r="M114" s="6">
        <f t="shared" si="52"/>
        <v>2.6631944441760425E-2</v>
      </c>
      <c r="N114" s="7">
        <f t="shared" si="53"/>
        <v>38.349999996135011</v>
      </c>
      <c r="O114" s="7"/>
      <c r="P114" s="7"/>
      <c r="Q114" s="23"/>
      <c r="R114" s="23"/>
      <c r="S114" s="35">
        <f t="shared" si="54"/>
        <v>1</v>
      </c>
      <c r="T114" s="50" t="str">
        <f t="shared" si="55"/>
        <v>Southbound</v>
      </c>
      <c r="U114" s="18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16:06:33-0600',mode:absolute,to:'2016-10-17 18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57"/>
        <v>N</v>
      </c>
      <c r="X114" s="178">
        <f t="shared" si="50"/>
        <v>1</v>
      </c>
      <c r="Y114" s="67">
        <f t="shared" si="58"/>
        <v>23.297699999999999</v>
      </c>
      <c r="Z114" s="67">
        <f t="shared" si="59"/>
        <v>1.43E-2</v>
      </c>
      <c r="AA114" s="67">
        <f t="shared" si="60"/>
        <v>23.2834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61"/>
        <v>0202-17</v>
      </c>
      <c r="AE114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14" s="88" t="str">
        <f t="shared" si="46"/>
        <v>"C:\Program Files (x86)\AstroGrep\AstroGrep.exe" /spath="%USERPROFILE%\AppData\Local\Temp\OnboardLogs" /stypes="app*4032*20161017*" /stext=" 23:.+((SYSTEM_STATE.+slice.+state.+changed )|(ment ac)|(system.+state.+changed )|(\[timeout)|(PRM\|1\|D)|(kpr)|(kdp)|(\|lc)|(penalty))" /e /r /s</v>
      </c>
      <c r="AG114" s="1" t="str">
        <f t="shared" si="62"/>
        <v>EC</v>
      </c>
      <c r="AH114" s="92" t="str">
        <f t="shared" si="48"/>
        <v>"%USERPROFILE%\Documents\GitHub\eaglep3\Utilities\RefineRTDCRunTimes.py" --tripid 202-17 --locoid 4032 --swversion DE.1.0.7.0 --startMP 204:232977 --initTime 2016-10-17T17:06:33 --startdatetime 2016-10-17T17:11:14 --delay 1 --endMP 204:143 --enddatetime 2016-10-17T17:49:35 --enforcementcount 0 &gt;&gt;C:\Users\stu\Documents\GitHub\eaglep3-reporting\EC\2016-10-17-refined-times.txt</v>
      </c>
      <c r="AI11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ID","value":"202-17"},{"id":16,"name":"Locomotive ID","value":"4032"},{"id":130,"name":"Impact","value":""},{"id":150,"name":"Time of Event (Mountain Time)","value":"17:49:35"},{"id":151,"name":"Denver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551</v>
      </c>
      <c r="B115" s="7">
        <v>4002</v>
      </c>
      <c r="C115" s="22" t="s">
        <v>99</v>
      </c>
      <c r="D115" s="22" t="s">
        <v>295</v>
      </c>
      <c r="E115" s="13">
        <v>42660.684652777774</v>
      </c>
      <c r="F115" s="13">
        <v>42660.687847222223</v>
      </c>
      <c r="G115" s="7">
        <v>1</v>
      </c>
      <c r="H115" s="13" t="s">
        <v>679</v>
      </c>
      <c r="I115" s="13">
        <v>42660.713472222225</v>
      </c>
      <c r="J115" s="7">
        <v>0</v>
      </c>
      <c r="K115" s="112" t="str">
        <f t="shared" si="51"/>
        <v>4001/4002</v>
      </c>
      <c r="L115" s="22" t="str">
        <f>VLOOKUP(A115,'Trips&amp;Operators'!$C$1:$E$10000,3,FALSE)</f>
        <v>BARTLETT</v>
      </c>
      <c r="M115" s="6">
        <f t="shared" si="52"/>
        <v>2.5625000002037268E-2</v>
      </c>
      <c r="N115" s="7">
        <f t="shared" si="53"/>
        <v>36.900000002933666</v>
      </c>
      <c r="O115" s="7"/>
      <c r="P115" s="7"/>
      <c r="Q115" s="23"/>
      <c r="R115" s="23"/>
      <c r="S115" s="35">
        <f t="shared" si="54"/>
        <v>1</v>
      </c>
      <c r="T115" s="50" t="str">
        <f t="shared" si="55"/>
        <v>NorthBound</v>
      </c>
      <c r="U115" s="18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15:25:54-0600',mode:absolute,to:'2016-10-17 18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5" s="52" t="str">
        <f t="shared" si="57"/>
        <v>N</v>
      </c>
      <c r="X115" s="178">
        <f t="shared" si="50"/>
        <v>1</v>
      </c>
      <c r="Y115" s="67">
        <f t="shared" si="58"/>
        <v>4.7100000000000003E-2</v>
      </c>
      <c r="Z115" s="67">
        <f t="shared" si="59"/>
        <v>23.333400000000001</v>
      </c>
      <c r="AA115" s="67">
        <f t="shared" si="60"/>
        <v>23.286300000000001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61"/>
        <v>0203-17</v>
      </c>
      <c r="AE115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15" s="88" t="str">
        <f t="shared" si="46"/>
        <v>"C:\Program Files (x86)\AstroGrep\AstroGrep.exe" /spath="%USERPROFILE%\AppData\Local\Temp\OnboardLogs" /stypes="app*4002*20161017*" /stext=" 23:.+((SYSTEM_STATE.+slice.+state.+changed )|(ment ac)|(system.+state.+changed )|(\[timeout)|(PRM\|1\|D)|(kpr)|(kdp)|(\|lc)|(penalty))" /e /r /s</v>
      </c>
      <c r="AG115" s="1" t="str">
        <f t="shared" si="62"/>
        <v>EC</v>
      </c>
      <c r="AH115" s="92" t="str">
        <f t="shared" si="48"/>
        <v>"%USERPROFILE%\Documents\GitHub\eaglep3\Utilities\RefineRTDCRunTimes.py" --tripid 203-17 --locoid 4002 --swversion DE.1.0.7.0 --startMP 204:471 --initTime 2016-10-17T16:25:54 --startdatetime 2016-10-17T16:30:30 --delay 1 --endMP 204:233334 --enddatetime 2016-10-17T17:07:24 --enforcementcount 0 &gt;&gt;C:\Users\stu\Documents\GitHub\eaglep3-reporting\EC\2016-10-17-refined-times.txt</v>
      </c>
      <c r="AI11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{"issue":{"subject":"","project_id":79,"tracker_id":40,"status_id":1,"priority_id":2,"assigned_to_id":23,"start_date":"2016-10-17","description":"","custom_fields":[{"id":1,"name":"Subdivision","value":"EC"},{"id":4,"name":"Milepost","value":"23.3334"},{"id":17,"name":"Train ID","value":"203-17"},{"id":16,"name":"Locomotive ID","value":"4002"},{"id":130,"name":"Impact","value":""},{"id":150,"name":"Time of Event (Mountain Time)","value":"17:07:24"},{"id":151,"name":"Denver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563</v>
      </c>
      <c r="B116" s="7">
        <v>4001</v>
      </c>
      <c r="C116" s="22" t="s">
        <v>99</v>
      </c>
      <c r="D116" s="22" t="s">
        <v>680</v>
      </c>
      <c r="E116" s="13">
        <v>42660.715856481482</v>
      </c>
      <c r="F116" s="13">
        <v>42660.726747685185</v>
      </c>
      <c r="G116" s="7">
        <v>1</v>
      </c>
      <c r="H116" s="13" t="s">
        <v>257</v>
      </c>
      <c r="I116" s="13">
        <v>42660.754317129627</v>
      </c>
      <c r="J116" s="7">
        <v>0</v>
      </c>
      <c r="K116" s="112" t="str">
        <f t="shared" si="51"/>
        <v>4001/4002</v>
      </c>
      <c r="L116" s="22" t="str">
        <f>VLOOKUP(A116,'Trips&amp;Operators'!$C$1:$E$10000,3,FALSE)</f>
        <v>BARTLETT</v>
      </c>
      <c r="M116" s="6">
        <f t="shared" si="52"/>
        <v>2.7569444442633539E-2</v>
      </c>
      <c r="N116" s="7">
        <f t="shared" si="53"/>
        <v>39.699999997392297</v>
      </c>
      <c r="O116" s="7"/>
      <c r="P116" s="7"/>
      <c r="Q116" s="23"/>
      <c r="R116" s="23"/>
      <c r="S116" s="35">
        <f t="shared" si="54"/>
        <v>1</v>
      </c>
      <c r="T116" s="50" t="str">
        <f t="shared" si="55"/>
        <v>Southbound</v>
      </c>
      <c r="U116" s="18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16:10:50-0600',mode:absolute,to:'2016-10-17 19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6" s="52" t="str">
        <f t="shared" si="57"/>
        <v>N</v>
      </c>
      <c r="X116" s="178">
        <f t="shared" si="50"/>
        <v>1</v>
      </c>
      <c r="Y116" s="67">
        <f t="shared" si="58"/>
        <v>23.302299999999999</v>
      </c>
      <c r="Z116" s="67">
        <f t="shared" si="59"/>
        <v>1.6E-2</v>
      </c>
      <c r="AA116" s="67">
        <f t="shared" si="60"/>
        <v>23.286300000000001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61"/>
        <v>0204-17</v>
      </c>
      <c r="AE116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16" s="88" t="str">
        <f t="shared" si="46"/>
        <v>"C:\Program Files (x86)\AstroGrep\AstroGrep.exe" /spath="%USERPROFILE%\AppData\Local\Temp\OnboardLogs" /stypes="app*4001*20161018*" /stext=" 00:.+((SYSTEM_STATE.+slice.+state.+changed )|(ment ac)|(system.+state.+changed )|(\[timeout)|(PRM\|1\|D)|(kpr)|(kdp)|(\|lc)|(penalty))" /e /r /s</v>
      </c>
      <c r="AG116" s="1" t="str">
        <f t="shared" si="62"/>
        <v>EC</v>
      </c>
      <c r="AH116" s="92" t="str">
        <f t="shared" si="48"/>
        <v>"%USERPROFILE%\Documents\GitHub\eaglep3\Utilities\RefineRTDCRunTimes.py" --tripid 204-17 --locoid 4001 --swversion DE.1.0.7.0 --startMP 204:233023 --initTime 2016-10-17T17:10:50 --startdatetime 2016-10-17T17:26:31 --delay 1 --endMP 204:160 --enddatetime 2016-10-17T18:06:13 --enforcementcount 0 &gt;&gt;C:\Users\stu\Documents\GitHub\eaglep3-reporting\EC\2016-10-17-refined-times.txt</v>
      </c>
      <c r="AI11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{"issue":{"subject":"","project_id":79,"tracker_id":40,"status_id":1,"priority_id":2,"assigned_to_id":23,"start_date":"2016-10-17","description":"","custom_fields":[{"id":1,"name":"Subdivision","value":"EC"},{"id":4,"name":"Milepost","value":"0.016"},{"id":17,"name":"Train ID","value":"204-17"},{"id":16,"name":"Locomotive ID","value":"4001"},{"id":130,"name":"Impact","value":""},{"id":150,"name":"Time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554</v>
      </c>
      <c r="B117" s="7">
        <v>4011</v>
      </c>
      <c r="C117" s="22" t="s">
        <v>99</v>
      </c>
      <c r="D117" s="22" t="s">
        <v>264</v>
      </c>
      <c r="E117" s="13">
        <v>42660.692777777775</v>
      </c>
      <c r="F117" s="13">
        <v>42660.698217592595</v>
      </c>
      <c r="G117" s="7">
        <v>1</v>
      </c>
      <c r="H117" s="13" t="s">
        <v>292</v>
      </c>
      <c r="I117" s="13">
        <v>42660.730624999997</v>
      </c>
      <c r="J117" s="7">
        <v>0</v>
      </c>
      <c r="K117" s="112" t="str">
        <f t="shared" si="51"/>
        <v>4011/4012</v>
      </c>
      <c r="L117" s="22" t="str">
        <f>VLOOKUP(A117,'Trips&amp;Operators'!$C$1:$E$10000,3,FALSE)</f>
        <v>BONDS</v>
      </c>
      <c r="M117" s="6">
        <f t="shared" si="52"/>
        <v>3.2407407401478849E-2</v>
      </c>
      <c r="N117" s="7">
        <f t="shared" si="53"/>
        <v>46.666666658129543</v>
      </c>
      <c r="O117" s="7"/>
      <c r="P117" s="7"/>
      <c r="Q117" s="23"/>
      <c r="R117" s="23"/>
      <c r="S117" s="35">
        <f t="shared" si="54"/>
        <v>1</v>
      </c>
      <c r="T117" s="50" t="str">
        <f t="shared" si="55"/>
        <v>NorthBound</v>
      </c>
      <c r="U117" s="18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15:37:36-0600',mode:absolute,to:'2016-10-17 18:32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57"/>
        <v>N</v>
      </c>
      <c r="X117" s="178">
        <f t="shared" ref="X117:X141" si="63">VALUE(LEFT(AD117,4))-VALUE(LEFT(AD116,4))</f>
        <v>1</v>
      </c>
      <c r="Y117" s="67">
        <f t="shared" si="58"/>
        <v>4.5100000000000001E-2</v>
      </c>
      <c r="Z117" s="67">
        <f t="shared" si="59"/>
        <v>23.331499999999998</v>
      </c>
      <c r="AA117" s="67">
        <f t="shared" si="60"/>
        <v>23.286399999999997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61"/>
        <v>0205-17</v>
      </c>
      <c r="AE117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17" s="88" t="str">
        <f t="shared" si="46"/>
        <v>"C:\Program Files (x86)\AstroGrep\AstroGrep.exe" /spath="%USERPROFILE%\AppData\Local\Temp\OnboardLogs" /stypes="app*4011*20161017*" /stext=" 23:.+((SYSTEM_STATE.+slice.+state.+changed )|(ment ac)|(system.+state.+changed )|(\[timeout)|(PRM\|1\|D)|(kpr)|(kdp)|(\|lc)|(penalty))" /e /r /s</v>
      </c>
      <c r="AG117" s="1" t="str">
        <f t="shared" si="62"/>
        <v>EC</v>
      </c>
      <c r="AH117" s="92" t="str">
        <f t="shared" si="48"/>
        <v>"%USERPROFILE%\Documents\GitHub\eaglep3\Utilities\RefineRTDCRunTimes.py" --tripid 205-17 --locoid 4011 --swversion DE.1.0.7.0 --startMP 204:451 --initTime 2016-10-17T16:37:36 --startdatetime 2016-10-17T16:45:26 --delay 1 --endMP 204:233315 --enddatetime 2016-10-17T17:32:06 --enforcementcount 0 &gt;&gt;C:\Users\stu\Documents\GitHub\eaglep3-reporting\EC\2016-10-17-refined-times.txt</v>
      </c>
      <c r="AI11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{"issue":{"subject":"","project_id":79,"tracker_id":40,"status_id":1,"priority_id":2,"assigned_to_id":23,"start_date":"2016-10-17","description":"","custom_fields":[{"id":1,"name":"Subdivision","value":"EC"},{"id":4,"name":"Milepost","value":"23.3315"},{"id":17,"name":"Train ID","value":"205-17"},{"id":16,"name":"Locomotive ID","value":"4011"},{"id":130,"name":"Impact","value":""},{"id":150,"name":"Time of Event (Mountain Time)","value":"17:32:06"},{"id":151,"name":"Denver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569</v>
      </c>
      <c r="B118" s="7">
        <v>4012</v>
      </c>
      <c r="C118" s="22" t="s">
        <v>99</v>
      </c>
      <c r="D118" s="22" t="s">
        <v>289</v>
      </c>
      <c r="E118" s="13">
        <v>42660.732939814814</v>
      </c>
      <c r="F118" s="13">
        <v>42660.737013888887</v>
      </c>
      <c r="G118" s="7">
        <v>1</v>
      </c>
      <c r="H118" s="13" t="s">
        <v>768</v>
      </c>
      <c r="I118" s="13">
        <v>42660.765393518515</v>
      </c>
      <c r="J118" s="7">
        <v>0</v>
      </c>
      <c r="K118" s="112" t="str">
        <f t="shared" si="51"/>
        <v>4011/4012</v>
      </c>
      <c r="L118" s="22" t="str">
        <f>VLOOKUP(A118,'Trips&amp;Operators'!$C$1:$E$10000,3,FALSE)</f>
        <v>BONDS</v>
      </c>
      <c r="M118" s="6">
        <f t="shared" si="52"/>
        <v>2.8379629628034309E-2</v>
      </c>
      <c r="N118" s="7">
        <f t="shared" si="53"/>
        <v>40.866666664369404</v>
      </c>
      <c r="O118" s="7"/>
      <c r="P118" s="7"/>
      <c r="Q118" s="23"/>
      <c r="R118" s="23"/>
      <c r="S118" s="35">
        <f t="shared" si="54"/>
        <v>1</v>
      </c>
      <c r="T118" s="50" t="str">
        <f t="shared" si="55"/>
        <v>Southbound</v>
      </c>
      <c r="U118" s="18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16:35:26-0600',mode:absolute,to:'2016-10-17 19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57"/>
        <v>N</v>
      </c>
      <c r="X118" s="178">
        <f t="shared" si="63"/>
        <v>1</v>
      </c>
      <c r="Y118" s="67">
        <f t="shared" si="58"/>
        <v>23.299399999999999</v>
      </c>
      <c r="Z118" s="67">
        <f t="shared" si="59"/>
        <v>1.72E-2</v>
      </c>
      <c r="AA118" s="67">
        <f t="shared" si="60"/>
        <v>23.2822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61"/>
        <v>0206-17</v>
      </c>
      <c r="AE118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18" s="88" t="str">
        <f t="shared" si="46"/>
        <v>"C:\Program Files (x86)\AstroGrep\AstroGrep.exe" /spath="%USERPROFILE%\AppData\Local\Temp\OnboardLogs" /stypes="app*4012*20161018*" /stext=" 00:.+((SYSTEM_STATE.+slice.+state.+changed )|(ment ac)|(system.+state.+changed )|(\[timeout)|(PRM\|1\|D)|(kpr)|(kdp)|(\|lc)|(penalty))" /e /r /s</v>
      </c>
      <c r="AG118" s="1" t="str">
        <f t="shared" si="62"/>
        <v>EC</v>
      </c>
      <c r="AH118" s="92" t="str">
        <f t="shared" ref="AH118" si="64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206-17 --locoid 4012 --swversion DE.1.0.7.0 --startMP 204:232994 --initTime 2016-10-17T17:35:26 --startdatetime 2016-10-17T17:41:18 --delay 1 --endMP 204:172 --enddatetime 2016-10-17T18:22:10 --enforcementcount 0 &gt;&gt;C:\Users\stu\Documents\GitHub\eaglep3-reporting\EC\2016-10-17-refined-times.txt</v>
      </c>
      <c r="AI118" s="122" t="str">
        <f t="shared" ref="AI118" si="65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{"issue":{"subject":"","project_id":79,"tracker_id":40,"status_id":1,"priority_id":2,"assigned_to_id":23,"start_date":"2016-10-17","description":"","custom_fields":[{"id":1,"name":"Subdivision","value":"EC"},{"id":4,"name":"Milepost","value":"0.0172"},{"id":17,"name":"Train ID","value":"206-17"},{"id":16,"name":"Locomotive ID","value":"4012"},{"id":130,"name":"Impact","value":""},{"id":150,"name":"Time of Event (Mountain Time)","value":"18:22:10"},{"id":151,"name":"Denver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x14ac:dyDescent="0.25">
      <c r="A119" s="37" t="s">
        <v>558</v>
      </c>
      <c r="B119" s="7">
        <v>4044</v>
      </c>
      <c r="C119" s="22" t="s">
        <v>99</v>
      </c>
      <c r="D119" s="22" t="s">
        <v>636</v>
      </c>
      <c r="E119" s="13">
        <v>42660.706122685187</v>
      </c>
      <c r="F119" s="13">
        <v>42660.708506944444</v>
      </c>
      <c r="G119" s="7">
        <v>1</v>
      </c>
      <c r="H119" s="13" t="s">
        <v>254</v>
      </c>
      <c r="I119" s="13">
        <v>42660.734976851854</v>
      </c>
      <c r="J119" s="7">
        <v>0</v>
      </c>
      <c r="K119" s="112" t="str">
        <f t="shared" si="51"/>
        <v>4043/4044</v>
      </c>
      <c r="L119" s="22" t="str">
        <f>VLOOKUP(A119,'Trips&amp;Operators'!$C$1:$E$10000,3,FALSE)</f>
        <v>CLARK</v>
      </c>
      <c r="M119" s="6">
        <f t="shared" si="52"/>
        <v>2.6469907410501037E-2</v>
      </c>
      <c r="N119" s="7">
        <f t="shared" si="53"/>
        <v>38.116666671121493</v>
      </c>
      <c r="O119" s="7"/>
      <c r="P119" s="7"/>
      <c r="Q119" s="23"/>
      <c r="R119" s="23"/>
      <c r="S119" s="35">
        <f t="shared" si="54"/>
        <v>1</v>
      </c>
      <c r="T119" s="50" t="str">
        <f t="shared" si="55"/>
        <v>NorthBound</v>
      </c>
      <c r="U119" s="18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15:56:49-0600',mode:absolute,to:'2016-10-17 18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9" s="52" t="str">
        <f t="shared" si="57"/>
        <v>N</v>
      </c>
      <c r="X119" s="178">
        <f t="shared" si="63"/>
        <v>1</v>
      </c>
      <c r="Y119" s="67">
        <f t="shared" si="58"/>
        <v>4.4900000000000002E-2</v>
      </c>
      <c r="Z119" s="67">
        <f t="shared" si="59"/>
        <v>23.329899999999999</v>
      </c>
      <c r="AA119" s="67">
        <f t="shared" si="60"/>
        <v>23.285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61"/>
        <v>0207-17</v>
      </c>
      <c r="AE119" s="91" t="str">
        <f t="shared" si="45"/>
        <v>aws s3 cp s3://rtdc.mdm.uploadarchive.raw/RTDC4044/ "%USERPROFILE%\AppData\Local\Temp\OnboardLogs"\RTDC4044\2016-10-17 --exclude "*" --recursive --include "*20161017*" &amp; "%USERPROFILE%\Documents\GitHub\mrs-test-scripts\Headless Mode &amp; Sideloading\WalkAndUnGZ.bat" "%USERPROFILE%\AppData\Local\Temp\OnboardLogs"\RTDC4044\2016-10-17 &amp; aws s3 cp s3://rtdc.mdm.uploadarchive.raw/RTDC4044/ "%USERPROFILE%\AppData\Local\Temp\OnboardLogs"\RTDC4044\2016-10-18 --exclude "*" --recursive --include "*20161018*" &amp; "%USERPROFILE%\Documents\GitHub\mrs-test-scripts\Headless Mode &amp; Sideloading\WalkAndUnGZ.bat" "%USERPROFILE%\AppData\Local\Temp\OnboardLogs"\RTDC4044\2016-10-18</v>
      </c>
      <c r="AF119" s="88" t="str">
        <f t="shared" si="46"/>
        <v>"C:\Program Files (x86)\AstroGrep\AstroGrep.exe" /spath="%USERPROFILE%\AppData\Local\Temp\OnboardLogs" /stypes="app*4044*20161017*" /stext=" 23:.+((SYSTEM_STATE.+slice.+state.+changed )|(ment ac)|(system.+state.+changed )|(\[timeout)|(PRM\|1\|D)|(kpr)|(kdp)|(\|lc)|(penalty))" /e /r /s</v>
      </c>
      <c r="AG119" s="1" t="str">
        <f t="shared" si="62"/>
        <v>EC</v>
      </c>
      <c r="AH119" s="92" t="str">
        <f t="shared" si="48"/>
        <v>"%USERPROFILE%\Documents\GitHub\eaglep3\Utilities\RefineRTDCRunTimes.py" --tripid 207-17 --locoid 4044 --swversion DE.1.0.7.0 --startMP 204:449 --initTime 2016-10-17T16:56:49 --startdatetime 2016-10-17T17:00:15 --delay 1 --endMP 204:233299 --enddatetime 2016-10-17T17:38:22 --enforcementcount 0 &gt;&gt;C:\Users\stu\Documents\GitHub\eaglep3-reporting\EC\2016-10-17-refined-times.txt</v>
      </c>
      <c r="AI11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{"issue":{"subject":"","project_id":79,"tracker_id":40,"status_id":1,"priority_id":2,"assigned_to_id":23,"start_date":"2016-10-17","description":"","custom_fields":[{"id":1,"name":"Subdivision","value":"EC"},{"id":4,"name":"Milepost","value":"23.3299"},{"id":17,"name":"Train ID","value":"207-17"},{"id":16,"name":"Locomotive ID","value":"4044"},{"id":130,"name":"Impact","value":""},{"id":150,"name":"Time of Event (Mountain Time)","value":"17:38:22"},{"id":151,"name":"Denver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573</v>
      </c>
      <c r="B120" s="7">
        <v>4043</v>
      </c>
      <c r="C120" s="22" t="s">
        <v>99</v>
      </c>
      <c r="D120" s="22" t="s">
        <v>659</v>
      </c>
      <c r="E120" s="13">
        <v>42660.742094907408</v>
      </c>
      <c r="F120" s="13">
        <v>42660.747407407405</v>
      </c>
      <c r="G120" s="7">
        <v>1</v>
      </c>
      <c r="H120" s="13" t="s">
        <v>769</v>
      </c>
      <c r="I120" s="13">
        <v>42660.777106481481</v>
      </c>
      <c r="J120" s="7">
        <v>0</v>
      </c>
      <c r="K120" s="112" t="str">
        <f t="shared" si="51"/>
        <v>4043/4044</v>
      </c>
      <c r="L120" s="22" t="str">
        <f>VLOOKUP(A120,'Trips&amp;Operators'!$C$1:$E$10000,3,FALSE)</f>
        <v>CLARK</v>
      </c>
      <c r="M120" s="6">
        <f t="shared" si="52"/>
        <v>2.9699074075324461E-2</v>
      </c>
      <c r="N120" s="7">
        <f t="shared" si="53"/>
        <v>42.766666668467224</v>
      </c>
      <c r="O120" s="7"/>
      <c r="P120" s="7"/>
      <c r="Q120" s="23"/>
      <c r="R120" s="23"/>
      <c r="S120" s="35">
        <f t="shared" si="54"/>
        <v>1</v>
      </c>
      <c r="T120" s="50" t="str">
        <f t="shared" si="55"/>
        <v>Southbound</v>
      </c>
      <c r="U120" s="18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16:48:37-0600',mode:absolute,to:'2016-10-17 19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0" s="52" t="str">
        <f t="shared" si="57"/>
        <v>N</v>
      </c>
      <c r="X120" s="178">
        <f t="shared" si="63"/>
        <v>1</v>
      </c>
      <c r="Y120" s="67">
        <f t="shared" si="58"/>
        <v>23.2986</v>
      </c>
      <c r="Z120" s="67">
        <f t="shared" si="59"/>
        <v>2.29E-2</v>
      </c>
      <c r="AA120" s="67">
        <f t="shared" si="60"/>
        <v>23.275700000000001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61"/>
        <v>0208-17</v>
      </c>
      <c r="AE120" s="91" t="str">
        <f t="shared" si="45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120" s="88" t="str">
        <f t="shared" si="46"/>
        <v>"C:\Program Files (x86)\AstroGrep\AstroGrep.exe" /spath="%USERPROFILE%\AppData\Local\Temp\OnboardLogs" /stypes="app*4043*20161018*" /stext=" 00:.+((SYSTEM_STATE.+slice.+state.+changed )|(ment ac)|(system.+state.+changed )|(\[timeout)|(PRM\|1\|D)|(kpr)|(kdp)|(\|lc)|(penalty))" /e /r /s</v>
      </c>
      <c r="AG120" s="1" t="str">
        <f t="shared" si="62"/>
        <v>EC</v>
      </c>
      <c r="AH120" s="92" t="str">
        <f t="shared" ref="AH120" si="66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208-17 --locoid 4043 --swversion DE.1.0.7.0 --startMP 204:232986 --initTime 2016-10-17T17:48:37 --startdatetime 2016-10-17T17:56:16 --delay 1 --endMP 204:229 --enddatetime 2016-10-17T18:39:02 --enforcementcount 0 &gt;&gt;C:\Users\stu\Documents\GitHub\eaglep3-reporting\EC\2016-10-17-refined-times.txt</v>
      </c>
      <c r="AI120" s="122" t="str">
        <f t="shared" ref="AI120" si="67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{"issue":{"subject":"","project_id":79,"tracker_id":40,"status_id":1,"priority_id":2,"assigned_to_id":23,"start_date":"2016-10-17","description":"","custom_fields":[{"id":1,"name":"Subdivision","value":"EC"},{"id":4,"name":"Milepost","value":"0.0229"},{"id":17,"name":"Train ID","value":"208-17"},{"id":16,"name":"Locomotive ID","value":"4043"},{"id":130,"name":"Impact","value":""},{"id":150,"name":"Time of Event (Mountain Time)","value":"18:39:02"},{"id":151,"name":"Denver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561</v>
      </c>
      <c r="B121" s="7">
        <v>4046</v>
      </c>
      <c r="C121" s="22" t="s">
        <v>99</v>
      </c>
      <c r="D121" s="22" t="s">
        <v>238</v>
      </c>
      <c r="E121" s="13">
        <v>42660.713969907411</v>
      </c>
      <c r="F121" s="13">
        <v>42660.719247685185</v>
      </c>
      <c r="G121" s="7">
        <v>1</v>
      </c>
      <c r="H121" s="13" t="s">
        <v>662</v>
      </c>
      <c r="I121" s="13">
        <v>42660.746157407404</v>
      </c>
      <c r="J121" s="7">
        <v>0</v>
      </c>
      <c r="K121" s="112" t="str">
        <f t="shared" si="51"/>
        <v>4045/4046</v>
      </c>
      <c r="L121" s="22" t="str">
        <f>VLOOKUP(A121,'Trips&amp;Operators'!$C$1:$E$10000,3,FALSE)</f>
        <v>LEVERE</v>
      </c>
      <c r="M121" s="6">
        <f t="shared" si="52"/>
        <v>2.6909722218988463E-2</v>
      </c>
      <c r="N121" s="7">
        <f t="shared" si="53"/>
        <v>38.749999995343387</v>
      </c>
      <c r="O121" s="7"/>
      <c r="P121" s="7"/>
      <c r="Q121" s="23"/>
      <c r="R121" s="23"/>
      <c r="S121" s="35">
        <f t="shared" si="54"/>
        <v>1</v>
      </c>
      <c r="T121" s="50" t="str">
        <f t="shared" si="55"/>
        <v>NorthBound</v>
      </c>
      <c r="U121" s="18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16:08:07-0600',mode:absolute,to:'2016-10-17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57"/>
        <v>N</v>
      </c>
      <c r="X121" s="178">
        <f t="shared" si="63"/>
        <v>1</v>
      </c>
      <c r="Y121" s="67">
        <f t="shared" si="58"/>
        <v>4.4699999999999997E-2</v>
      </c>
      <c r="Z121" s="67">
        <f t="shared" si="59"/>
        <v>23.325099999999999</v>
      </c>
      <c r="AA121" s="67">
        <f t="shared" si="60"/>
        <v>23.2804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61"/>
        <v>0209-17</v>
      </c>
      <c r="AE121" s="91" t="str">
        <f t="shared" si="45"/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21" s="88" t="str">
        <f t="shared" si="46"/>
        <v>"C:\Program Files (x86)\AstroGrep\AstroGrep.exe" /spath="%USERPROFILE%\AppData\Local\Temp\OnboardLogs" /stypes="app*4046*20161017*" /stext=" 23:.+((SYSTEM_STATE.+slice.+state.+changed )|(ment ac)|(system.+state.+changed )|(\[timeout)|(PRM\|1\|D)|(kpr)|(kdp)|(\|lc)|(penalty))" /e /r /s</v>
      </c>
      <c r="AG121" s="1" t="str">
        <f t="shared" si="62"/>
        <v>EC</v>
      </c>
      <c r="AH121" s="92" t="str">
        <f t="shared" si="48"/>
        <v>"%USERPROFILE%\Documents\GitHub\eaglep3\Utilities\RefineRTDCRunTimes.py" --tripid 209-17 --locoid 4046 --swversion DE.1.0.7.0 --startMP 204:447 --initTime 2016-10-17T17:08:07 --startdatetime 2016-10-17T17:15:43 --delay 1 --endMP 204:233251 --enddatetime 2016-10-17T17:54:28 --enforcementcount 0 &gt;&gt;C:\Users\stu\Documents\GitHub\eaglep3-reporting\EC\2016-10-17-refined-times.txt</v>
      </c>
      <c r="AI12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{"issue":{"subject":"","project_id":79,"tracker_id":40,"status_id":1,"priority_id":2,"assigned_to_id":23,"start_date":"2016-10-17","description":"","custom_fields":[{"id":1,"name":"Subdivision","value":"EC"},{"id":4,"name":"Milepost","value":"23.3251"},{"id":17,"name":"Train ID","value":"209-17"},{"id":16,"name":"Locomotive ID","value":"4046"},{"id":130,"name":"Impact","value":""},{"id":150,"name":"Time of Event (Mountain Time)","value":"17:54:28"},{"id":151,"name":"Denver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575</v>
      </c>
      <c r="B122" s="7">
        <v>4045</v>
      </c>
      <c r="C122" s="22" t="s">
        <v>99</v>
      </c>
      <c r="D122" s="22" t="s">
        <v>363</v>
      </c>
      <c r="E122" s="13">
        <v>42660.751689814817</v>
      </c>
      <c r="F122" s="13">
        <v>42660.757939814815</v>
      </c>
      <c r="G122" s="7">
        <v>2</v>
      </c>
      <c r="H122" s="13" t="s">
        <v>231</v>
      </c>
      <c r="I122" s="13">
        <v>42660.785636574074</v>
      </c>
      <c r="J122" s="7">
        <v>0</v>
      </c>
      <c r="K122" s="112" t="str">
        <f t="shared" si="51"/>
        <v>4045/4046</v>
      </c>
      <c r="L122" s="22" t="str">
        <f>VLOOKUP(A122,'Trips&amp;Operators'!$C$1:$E$10000,3,FALSE)</f>
        <v>LEVERE</v>
      </c>
      <c r="M122" s="6">
        <f t="shared" si="52"/>
        <v>2.7696759258105885E-2</v>
      </c>
      <c r="N122" s="7">
        <f t="shared" si="53"/>
        <v>39.883333331672475</v>
      </c>
      <c r="O122" s="7"/>
      <c r="P122" s="7"/>
      <c r="Q122" s="23"/>
      <c r="R122" s="23"/>
      <c r="S122" s="35">
        <f t="shared" si="54"/>
        <v>1</v>
      </c>
      <c r="T122" s="50" t="str">
        <f t="shared" si="55"/>
        <v>Southbound</v>
      </c>
      <c r="U122" s="18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17:02:26-0600',mode:absolute,to:'2016-10-17 19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57"/>
        <v>N</v>
      </c>
      <c r="X122" s="178">
        <f t="shared" si="63"/>
        <v>1</v>
      </c>
      <c r="Y122" s="67">
        <f t="shared" si="58"/>
        <v>23.2972</v>
      </c>
      <c r="Z122" s="67">
        <f t="shared" si="59"/>
        <v>1.54E-2</v>
      </c>
      <c r="AA122" s="67">
        <f t="shared" si="60"/>
        <v>23.2818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61"/>
        <v>0210-17</v>
      </c>
      <c r="AE122" s="91" t="str">
        <f t="shared" si="45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22" s="88" t="str">
        <f t="shared" si="46"/>
        <v>"C:\Program Files (x86)\AstroGrep\AstroGrep.exe" /spath="%USERPROFILE%\AppData\Local\Temp\OnboardLogs" /stypes="app*4045*20161018*" /stext=" 00:.+((SYSTEM_STATE.+slice.+state.+changed )|(ment ac)|(system.+state.+changed )|(\[timeout)|(PRM\|1\|D)|(kpr)|(kdp)|(\|lc)|(penalty))" /e /r /s</v>
      </c>
      <c r="AG122" s="1" t="str">
        <f t="shared" si="62"/>
        <v>EC</v>
      </c>
      <c r="AH122" s="92" t="str">
        <f t="shared" ref="AH122" si="68"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"&amp;J122&amp;IF(outputrefinedruntimes," &gt;&gt;"&amp;RefinedRTDCRunTimesOutputFile,"")</f>
        <v>"%USERPROFILE%\Documents\GitHub\eaglep3\Utilities\RefineRTDCRunTimes.py" --tripid 210-17 --locoid 4045 --swversion DE.1.0.7.0 --startMP 204:232972 --initTime 2016-10-17T18:02:26 --startdatetime 2016-10-17T18:11:26 --delay 2 --endMP 204:154 --enddatetime 2016-10-17T18:51:19 --enforcementcount 0 &gt;&gt;C:\Users\stu\Documents\GitHub\eaglep3-reporting\EC\2016-10-17-refined-times.txt</v>
      </c>
      <c r="AI122" s="122" t="str">
        <f t="shared" ref="AI122" si="69"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Z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{"issue":{"subject":"","project_id":79,"tracker_id":40,"status_id":1,"priority_id":2,"assigned_to_id":23,"start_date":"2016-10-17","description":"","custom_fields":[{"id":1,"name":"Subdivision","value":"EC"},{"id":4,"name":"Milepost","value":"0.0154"},{"id":17,"name":"Train ID","value":"210-17"},{"id":16,"name":"Locomotive ID","value":"4045"},{"id":130,"name":"Impact","value":""},{"id":150,"name":"Time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565</v>
      </c>
      <c r="B123" s="7">
        <v>4018</v>
      </c>
      <c r="C123" s="22" t="s">
        <v>99</v>
      </c>
      <c r="D123" s="22" t="s">
        <v>246</v>
      </c>
      <c r="E123" s="13">
        <v>42660.724444444444</v>
      </c>
      <c r="F123" s="13">
        <v>42660.729421296295</v>
      </c>
      <c r="G123" s="7">
        <v>7</v>
      </c>
      <c r="H123" s="13" t="s">
        <v>681</v>
      </c>
      <c r="I123" s="13">
        <v>42660.756192129629</v>
      </c>
      <c r="J123" s="7">
        <v>0</v>
      </c>
      <c r="K123" s="112" t="str">
        <f t="shared" si="51"/>
        <v>4017/4018</v>
      </c>
      <c r="L123" s="22" t="str">
        <f>VLOOKUP(A123,'Trips&amp;Operators'!$C$1:$E$10000,3,FALSE)</f>
        <v>BRANDNER</v>
      </c>
      <c r="M123" s="6">
        <f t="shared" si="52"/>
        <v>2.6770833334012423E-2</v>
      </c>
      <c r="N123" s="7">
        <f t="shared" si="53"/>
        <v>38.550000000977889</v>
      </c>
      <c r="O123" s="7"/>
      <c r="P123" s="7"/>
      <c r="Q123" s="23"/>
      <c r="R123" s="23"/>
      <c r="S123" s="35">
        <f t="shared" si="54"/>
        <v>1</v>
      </c>
      <c r="T123" s="50" t="str">
        <f t="shared" si="55"/>
        <v>NorthBound</v>
      </c>
      <c r="U123" s="18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https://search-rtdc-monitor-bjffxe2xuh6vdkpspy63sjmuny.us-east-1.es.amazonaws.com/_plugin/kibana/#/discover/Steve-Slow-Train-Analysis-(2080s-and-2083s)?_g=(refreshInterval:(display:Off,section:0,value:0),time:(from:'2016-10-17 16:23:12-0600',mode:absolute,to:'2016-10-17 19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3" s="52" t="str">
        <f t="shared" si="57"/>
        <v>N</v>
      </c>
      <c r="X123" s="178">
        <f t="shared" si="63"/>
        <v>1</v>
      </c>
      <c r="Y123" s="67">
        <f t="shared" si="58"/>
        <v>4.6699999999999998E-2</v>
      </c>
      <c r="Z123" s="67">
        <f t="shared" si="59"/>
        <v>23.327000000000002</v>
      </c>
      <c r="AA123" s="67">
        <f t="shared" si="60"/>
        <v>23.2803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61"/>
        <v>0211-17</v>
      </c>
      <c r="AE123" s="91" t="str">
        <f t="shared" si="45"/>
        <v>aws s3 cp s3://rtdc.mdm.uploadarchive.raw/RTDC4018/ "%USERPROFILE%\AppData\Local\Temp\OnboardLogs"\RTDC4018\2016-10-17 --exclude "*" --recursive --include "*20161017*" &amp; "%USERPROFILE%\Documents\GitHub\mrs-test-scripts\Headless Mode &amp; Sideloading\WalkAndUnGZ.bat" "%USERPROFILE%\AppData\Local\Temp\OnboardLogs"\RTDC4018\2016-10-17 &amp; aws s3 cp s3://rtdc.mdm.uploadarchive.raw/RTDC4018/ "%USERPROFILE%\AppData\Local\Temp\OnboardLogs"\RTDC4018\2016-10-18 --exclude "*" --recursive --include "*20161018*" &amp; "%USERPROFILE%\Documents\GitHub\mrs-test-scripts\Headless Mode &amp; Sideloading\WalkAndUnGZ.bat" "%USERPROFILE%\AppData\Local\Temp\OnboardLogs"\RTDC4018\2016-10-18</v>
      </c>
      <c r="AF123" s="88" t="str">
        <f t="shared" si="46"/>
        <v>"C:\Program Files (x86)\AstroGrep\AstroGrep.exe" /spath="%USERPROFILE%\AppData\Local\Temp\OnboardLogs" /stypes="app*4018*20161018*" /stext=" 00:.+((SYSTEM_STATE.+slice.+state.+changed )|(ment ac)|(system.+state.+changed )|(\[timeout)|(PRM\|1\|D)|(kpr)|(kdp)|(\|lc)|(penalty))" /e /r /s</v>
      </c>
      <c r="AG123" s="1" t="str">
        <f t="shared" si="62"/>
        <v>EC</v>
      </c>
      <c r="AH123" s="92" t="str">
        <f t="shared" si="48"/>
        <v>"%USERPROFILE%\Documents\GitHub\eaglep3\Utilities\RefineRTDCRunTimes.py" --tripid 211-17 --locoid 4018 --swversion DE.1.0.7.0 --startMP 204:467 --initTime 2016-10-17T17:23:12 --startdatetime 2016-10-17T17:30:22 --delay 7 --endMP 204:233270 --enddatetime 2016-10-17T18:08:55 --enforcementcount 0 &gt;&gt;C:\Users\stu\Documents\GitHub\eaglep3-reporting\EC\2016-10-17-refined-times.txt</v>
      </c>
      <c r="AI12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{"issue":{"subject":"","project_id":79,"tracker_id":40,"status_id":1,"priority_id":2,"assigned_to_id":23,"start_date":"2016-10-17","description":"","custom_fields":[{"id":1,"name":"Subdivision","value":"EC"},{"id":4,"name":"Milepost","value":"23.327"},{"id":17,"name":"Train ID","value":"211-17"},{"id":16,"name":"Locomotive ID","value":"4018"},{"id":130,"name":"Impact","value":""},{"id":150,"name":"Time of Event (Mountain Time)","value":"18:08:55"},{"id":151,"name":"Denver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581</v>
      </c>
      <c r="B124" s="7">
        <v>4017</v>
      </c>
      <c r="C124" s="22" t="s">
        <v>99</v>
      </c>
      <c r="D124" s="22" t="s">
        <v>358</v>
      </c>
      <c r="E124" s="13">
        <v>42660.765046296299</v>
      </c>
      <c r="F124" s="13">
        <v>42660.76829861111</v>
      </c>
      <c r="G124" s="7">
        <v>4</v>
      </c>
      <c r="H124" s="13" t="s">
        <v>643</v>
      </c>
      <c r="I124" s="13">
        <v>42660.797013888892</v>
      </c>
      <c r="J124" s="7">
        <v>0</v>
      </c>
      <c r="K124" s="112" t="str">
        <f t="shared" ref="K124:K135" si="70">IF(ISEVEN(B124),(B124-1)&amp;"/"&amp;B124,B124&amp;"/"&amp;(B124+1))</f>
        <v>4017/4018</v>
      </c>
      <c r="L124" s="22" t="str">
        <f>VLOOKUP(A124,'Trips&amp;Operators'!$C$1:$E$10000,3,FALSE)</f>
        <v>HAUSER</v>
      </c>
      <c r="M124" s="6">
        <f t="shared" ref="M124:M135" si="71">I124-F124</f>
        <v>2.8715277781884652E-2</v>
      </c>
      <c r="N124" s="7">
        <f t="shared" ref="N124:N135" si="72">24*60*SUM($M124:$M124)</f>
        <v>41.350000005913898</v>
      </c>
      <c r="O124" s="7"/>
      <c r="P124" s="7"/>
      <c r="Q124" s="23"/>
      <c r="R124" s="23"/>
      <c r="S124" s="35">
        <f t="shared" ref="S124:S135" si="73">SUM(U124:U124)/IF(AG124="EC",12,1)</f>
        <v>1</v>
      </c>
      <c r="T124" s="50" t="str">
        <f t="shared" ref="T124:T135" si="74">IF(ISEVEN(LEFT(AD124,4)),"Southbound","NorthBound")</f>
        <v>Southbound</v>
      </c>
      <c r="U124" s="18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ref="V124:V135" si="75"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https://search-rtdc-monitor-bjffxe2xuh6vdkpspy63sjmuny.us-east-1.es.amazonaws.com/_plugin/kibana/#/discover/Steve-Slow-Train-Analysis-(2080s-and-2083s)?_g=(refreshInterval:(display:Off,section:0,value:0),time:(from:'2016-10-17 17:21:40-0600',mode:absolute,to:'2016-10-17 20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4" s="52" t="str">
        <f t="shared" ref="W124:W135" si="76">IF(AA124&lt;IF(AG124="EC",23,5.65),"Y","N")</f>
        <v>N</v>
      </c>
      <c r="X124" s="178">
        <f t="shared" si="63"/>
        <v>1</v>
      </c>
      <c r="Y124" s="67">
        <f t="shared" ref="Y124:Y135" si="77">RIGHT(D124,LEN(D124)-4)/10000</f>
        <v>23.296099999999999</v>
      </c>
      <c r="Z124" s="67">
        <f t="shared" ref="Z124:Z135" si="78">RIGHT(H124,LEN(H124)-4)/10000</f>
        <v>1.9199999999999998E-2</v>
      </c>
      <c r="AA124" s="67">
        <f t="shared" ref="AA124:AA135" si="79">ABS(Z124-Y124)</f>
        <v>23.276899999999998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ref="AD124:AD135" si="80">IF(LEN(A124)=6,"0"&amp;A124,A124)</f>
        <v>0212-17</v>
      </c>
      <c r="AE124" s="91" t="str">
        <f t="shared" si="45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124" s="88" t="str">
        <f t="shared" si="46"/>
        <v>"C:\Program Files (x86)\AstroGrep\AstroGrep.exe" /spath="%USERPROFILE%\AppData\Local\Temp\OnboardLogs" /stypes="app*4017*20161018*" /stext=" 01:.+((SYSTEM_STATE.+slice.+state.+changed )|(ment ac)|(system.+state.+changed )|(\[timeout)|(PRM\|1\|D)|(kpr)|(kdp)|(\|lc)|(penalty))" /e /r /s</v>
      </c>
      <c r="AG124" s="1" t="str">
        <f t="shared" ref="AG124:AG135" si="81">IFERROR(IF(VALUE(LEFT(AD124,2))&lt;=2,"EC",IF(OR(VALUE(LEFT(AD124,2))=8,VALUE(LEFT(AD124,2))=18),"NW","Other")),"Other")</f>
        <v>EC</v>
      </c>
      <c r="AH124" s="92" t="str">
        <f t="shared" ref="AH124:AH135" si="82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212-17 --locoid 4017 --swversion DE.1.0.7.0 --startMP 204:232961 --initTime 2016-10-17T18:21:40 --startdatetime 2016-10-17T18:26:21 --delay 4 --endMP 204:192 --enddatetime 2016-10-17T19:07:42 --enforcementcount 0 &gt;&gt;C:\Users\stu\Documents\GitHub\eaglep3-reporting\EC\2016-10-17-refined-times.txt</v>
      </c>
      <c r="AI124" s="122" t="str">
        <f t="shared" ref="AI124:AI135" si="83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{"issue":{"subject":"","project_id":79,"tracker_id":40,"status_id":1,"priority_id":2,"assigned_to_id":23,"start_date":"2016-10-17","description":"","custom_fields":[{"id":1,"name":"Subdivision","value":"EC"},{"id":4,"name":"Milepost","value":"0.0192"},{"id":17,"name":"Train ID","value":"212-17"},{"id":16,"name":"Locomotive ID","value":"4017"},{"id":130,"name":"Impact","value":""},{"id":150,"name":"Time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571</v>
      </c>
      <c r="B125" s="7">
        <v>4038</v>
      </c>
      <c r="C125" s="22" t="s">
        <v>99</v>
      </c>
      <c r="D125" s="22" t="s">
        <v>259</v>
      </c>
      <c r="E125" s="13">
        <v>42660.73909722222</v>
      </c>
      <c r="F125" s="13">
        <v>42660.74077546296</v>
      </c>
      <c r="G125" s="7">
        <v>1</v>
      </c>
      <c r="H125" s="13" t="s">
        <v>329</v>
      </c>
      <c r="I125" s="13">
        <v>42660.764861111114</v>
      </c>
      <c r="J125" s="7">
        <v>0</v>
      </c>
      <c r="K125" s="112" t="str">
        <f t="shared" si="70"/>
        <v>4037/4038</v>
      </c>
      <c r="L125" s="22" t="str">
        <f>VLOOKUP(A125,'Trips&amp;Operators'!$C$1:$E$10000,3,FALSE)</f>
        <v>NEWELL</v>
      </c>
      <c r="M125" s="6">
        <f t="shared" si="71"/>
        <v>2.4085648154141381E-2</v>
      </c>
      <c r="N125" s="7">
        <f t="shared" si="72"/>
        <v>34.683333341963589</v>
      </c>
      <c r="O125" s="7"/>
      <c r="P125" s="7"/>
      <c r="Q125" s="23"/>
      <c r="R125" s="23"/>
      <c r="S125" s="35">
        <f t="shared" si="73"/>
        <v>1</v>
      </c>
      <c r="T125" s="50" t="str">
        <f t="shared" si="74"/>
        <v>NorthBound</v>
      </c>
      <c r="U125" s="18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16:44:18-0600',mode:absolute,to:'2016-10-17 19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5" s="52" t="str">
        <f t="shared" si="76"/>
        <v>N</v>
      </c>
      <c r="X125" s="178">
        <f t="shared" si="63"/>
        <v>1</v>
      </c>
      <c r="Y125" s="67">
        <f t="shared" si="77"/>
        <v>4.5999999999999999E-2</v>
      </c>
      <c r="Z125" s="67">
        <f t="shared" si="78"/>
        <v>23.3308</v>
      </c>
      <c r="AA125" s="67">
        <f t="shared" si="79"/>
        <v>23.284800000000001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80"/>
        <v>0213-17</v>
      </c>
      <c r="AE125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25" s="88" t="str">
        <f t="shared" si="46"/>
        <v>"C:\Program Files (x86)\AstroGrep\AstroGrep.exe" /spath="%USERPROFILE%\AppData\Local\Temp\OnboardLogs" /stypes="app*4038*20161018*" /stext=" 00:.+((SYSTEM_STATE.+slice.+state.+changed )|(ment ac)|(system.+state.+changed )|(\[timeout)|(PRM\|1\|D)|(kpr)|(kdp)|(\|lc)|(penalty))" /e /r /s</v>
      </c>
      <c r="AG125" s="1" t="str">
        <f t="shared" si="81"/>
        <v>EC</v>
      </c>
      <c r="AH125" s="92" t="str">
        <f t="shared" si="82"/>
        <v>"%USERPROFILE%\Documents\GitHub\eaglep3\Utilities\RefineRTDCRunTimes.py" --tripid 213-17 --locoid 4038 --swversion DE.1.0.7.0 --startMP 204:460 --initTime 2016-10-17T17:44:18 --startdatetime 2016-10-17T17:46:43 --delay 1 --endMP 204:233308 --enddatetime 2016-10-17T18:21:24 --enforcementcount 0 &gt;&gt;C:\Users\stu\Documents\GitHub\eaglep3-reporting\EC\2016-10-17-refined-times.txt</v>
      </c>
      <c r="AI125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{"issue":{"subject":"","project_id":79,"tracker_id":40,"status_id":1,"priority_id":2,"assigned_to_id":23,"start_date":"2016-10-17","description":"","custom_fields":[{"id":1,"name":"Subdivision","value":"EC"},{"id":4,"name":"Milepost","value":"23.3308"},{"id":17,"name":"Train ID","value":"213-17"},{"id":16,"name":"Locomotive ID","value":"4038"},{"id":130,"name":"Impact","value":""},{"id":150,"name":"Time of Event (Mountain Time)","value":"18:21:24"},{"id":151,"name":"Denver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583</v>
      </c>
      <c r="B126" s="7">
        <v>4037</v>
      </c>
      <c r="C126" s="22" t="s">
        <v>99</v>
      </c>
      <c r="D126" s="22" t="s">
        <v>256</v>
      </c>
      <c r="E126" s="13">
        <v>42660.771574074075</v>
      </c>
      <c r="F126" s="13">
        <v>42660.778634259259</v>
      </c>
      <c r="G126" s="7">
        <v>1</v>
      </c>
      <c r="H126" s="13" t="s">
        <v>176</v>
      </c>
      <c r="I126" s="13">
        <v>42660.804907407408</v>
      </c>
      <c r="J126" s="7">
        <v>0</v>
      </c>
      <c r="K126" s="112" t="str">
        <f t="shared" si="70"/>
        <v>4037/4038</v>
      </c>
      <c r="L126" s="22" t="str">
        <f>VLOOKUP(A126,'Trips&amp;Operators'!$C$1:$E$10000,3,FALSE)</f>
        <v>NEWELL</v>
      </c>
      <c r="M126" s="6">
        <f t="shared" si="71"/>
        <v>2.6273148148902692E-2</v>
      </c>
      <c r="N126" s="7">
        <f t="shared" si="72"/>
        <v>37.833333334419876</v>
      </c>
      <c r="O126" s="7"/>
      <c r="P126" s="7"/>
      <c r="Q126" s="23"/>
      <c r="R126" s="23"/>
      <c r="S126" s="35">
        <f t="shared" si="73"/>
        <v>1</v>
      </c>
      <c r="T126" s="50" t="str">
        <f t="shared" si="74"/>
        <v>Southbound</v>
      </c>
      <c r="U126" s="18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17:31:04-0600',mode:absolute,to:'2016-10-17 20:19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6" s="52" t="str">
        <f t="shared" si="76"/>
        <v>N</v>
      </c>
      <c r="X126" s="178">
        <f t="shared" si="63"/>
        <v>1</v>
      </c>
      <c r="Y126" s="67">
        <f t="shared" si="77"/>
        <v>23.2989</v>
      </c>
      <c r="Z126" s="67">
        <f t="shared" si="78"/>
        <v>1.47E-2</v>
      </c>
      <c r="AA126" s="67">
        <f t="shared" si="79"/>
        <v>23.284199999999998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80"/>
        <v>0214-17</v>
      </c>
      <c r="AE126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26" s="88" t="str">
        <f t="shared" si="46"/>
        <v>"C:\Program Files (x86)\AstroGrep\AstroGrep.exe" /spath="%USERPROFILE%\AppData\Local\Temp\OnboardLogs" /stypes="app*4037*20161018*" /stext=" 01:.+((SYSTEM_STATE.+slice.+state.+changed )|(ment ac)|(system.+state.+changed )|(\[timeout)|(PRM\|1\|D)|(kpr)|(kdp)|(\|lc)|(penalty))" /e /r /s</v>
      </c>
      <c r="AG126" s="1" t="str">
        <f t="shared" si="81"/>
        <v>EC</v>
      </c>
      <c r="AH126" s="92" t="str">
        <f t="shared" si="82"/>
        <v>"%USERPROFILE%\Documents\GitHub\eaglep3\Utilities\RefineRTDCRunTimes.py" --tripid 214-17 --locoid 4037 --swversion DE.1.0.7.0 --startMP 204:232989 --initTime 2016-10-17T18:31:04 --startdatetime 2016-10-17T18:41:14 --delay 1 --endMP 204:147 --enddatetime 2016-10-17T19:19:04 --enforcementcount 0 &gt;&gt;C:\Users\stu\Documents\GitHub\eaglep3-reporting\EC\2016-10-17-refined-times.txt</v>
      </c>
      <c r="AI126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ID","value":"214-17"},{"id":16,"name":"Locomotive ID","value":"4037"},{"id":130,"name":"Impact","value":""},{"id":150,"name":"Time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574</v>
      </c>
      <c r="B127" s="7">
        <v>4031</v>
      </c>
      <c r="C127" s="22" t="s">
        <v>99</v>
      </c>
      <c r="D127" s="22" t="s">
        <v>242</v>
      </c>
      <c r="E127" s="13">
        <v>42660.744583333333</v>
      </c>
      <c r="F127" s="13">
        <v>42660.750219907408</v>
      </c>
      <c r="G127" s="7">
        <v>2</v>
      </c>
      <c r="H127" s="13" t="s">
        <v>383</v>
      </c>
      <c r="I127" s="13">
        <v>42660.775567129633</v>
      </c>
      <c r="J127" s="7">
        <v>0</v>
      </c>
      <c r="K127" s="112" t="str">
        <f t="shared" si="70"/>
        <v>4031/4032</v>
      </c>
      <c r="L127" s="22" t="str">
        <f>VLOOKUP(A127,'Trips&amp;Operators'!$C$1:$E$10000,3,FALSE)</f>
        <v>SHOOK</v>
      </c>
      <c r="M127" s="6">
        <f t="shared" si="71"/>
        <v>2.5347222224809229E-2</v>
      </c>
      <c r="N127" s="7">
        <f t="shared" si="72"/>
        <v>36.50000000372529</v>
      </c>
      <c r="O127" s="7"/>
      <c r="P127" s="7"/>
      <c r="Q127" s="23"/>
      <c r="R127" s="23"/>
      <c r="S127" s="35">
        <f t="shared" si="73"/>
        <v>1</v>
      </c>
      <c r="T127" s="50" t="str">
        <f t="shared" si="74"/>
        <v>NorthBound</v>
      </c>
      <c r="U127" s="18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16:52:12-0600',mode:absolute,to:'2016-10-17 19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76"/>
        <v>N</v>
      </c>
      <c r="X127" s="178">
        <f t="shared" si="63"/>
        <v>1</v>
      </c>
      <c r="Y127" s="67">
        <f t="shared" si="77"/>
        <v>4.6399999999999997E-2</v>
      </c>
      <c r="Z127" s="67">
        <f t="shared" si="78"/>
        <v>23.3337</v>
      </c>
      <c r="AA127" s="67">
        <f t="shared" si="79"/>
        <v>23.287300000000002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80"/>
        <v>0215-17</v>
      </c>
      <c r="AE127" s="91" t="str">
        <f t="shared" si="45"/>
        <v>aws s3 cp s3://rtdc.mdm.uploadarchive.raw/RTDC4031/ "%USERPROFILE%\AppData\Local\Temp\OnboardLogs"\RTDC4031\2016-10-17 --exclude "*" --recursive --include "*20161017*" &amp; "%USERPROFILE%\Documents\GitHub\mrs-test-scripts\Headless Mode &amp; Sideloading\WalkAndUnGZ.bat" "%USERPROFILE%\AppData\Local\Temp\OnboardLogs"\RTDC4031\2016-10-17 &amp; aws s3 cp s3://rtdc.mdm.uploadarchive.raw/RTDC4031/ "%USERPROFILE%\AppData\Local\Temp\OnboardLogs"\RTDC4031\2016-10-18 --exclude "*" --recursive --include "*20161018*" &amp; "%USERPROFILE%\Documents\GitHub\mrs-test-scripts\Headless Mode &amp; Sideloading\WalkAndUnGZ.bat" "%USERPROFILE%\AppData\Local\Temp\OnboardLogs"\RTDC4031\2016-10-18</v>
      </c>
      <c r="AF127" s="88" t="str">
        <f t="shared" si="46"/>
        <v>"C:\Program Files (x86)\AstroGrep\AstroGrep.exe" /spath="%USERPROFILE%\AppData\Local\Temp\OnboardLogs" /stypes="app*4031*20161018*" /stext=" 00:.+((SYSTEM_STATE.+slice.+state.+changed )|(ment ac)|(system.+state.+changed )|(\[timeout)|(PRM\|1\|D)|(kpr)|(kdp)|(\|lc)|(penalty))" /e /r /s</v>
      </c>
      <c r="AG127" s="1" t="str">
        <f t="shared" si="81"/>
        <v>EC</v>
      </c>
      <c r="AH127" s="92" t="str">
        <f t="shared" si="82"/>
        <v>"%USERPROFILE%\Documents\GitHub\eaglep3\Utilities\RefineRTDCRunTimes.py" --tripid 215-17 --locoid 4031 --swversion DE.1.0.7.0 --startMP 204:464 --initTime 2016-10-17T17:52:12 --startdatetime 2016-10-17T18:00:19 --delay 2 --endMP 204:233337 --enddatetime 2016-10-17T18:36:49 --enforcementcount 0 &gt;&gt;C:\Users\stu\Documents\GitHub\eaglep3-reporting\EC\2016-10-17-refined-times.txt</v>
      </c>
      <c r="AI127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{"issue":{"subject":"","project_id":79,"tracker_id":40,"status_id":1,"priority_id":2,"assigned_to_id":23,"start_date":"2016-10-17","description":"","custom_fields":[{"id":1,"name":"Subdivision","value":"EC"},{"id":4,"name":"Milepost","value":"23.3337"},{"id":17,"name":"Train ID","value":"215-17"},{"id":16,"name":"Locomotive ID","value":"4031"},{"id":130,"name":"Impact","value":""},{"id":150,"name":"Time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587</v>
      </c>
      <c r="B128" s="7">
        <v>4032</v>
      </c>
      <c r="C128" s="22" t="s">
        <v>99</v>
      </c>
      <c r="D128" s="22" t="s">
        <v>770</v>
      </c>
      <c r="E128" s="13">
        <v>42660.783449074072</v>
      </c>
      <c r="F128" s="13">
        <v>42660.789097222223</v>
      </c>
      <c r="G128" s="7">
        <v>1</v>
      </c>
      <c r="H128" s="13" t="s">
        <v>357</v>
      </c>
      <c r="I128" s="13">
        <v>42660.816041666665</v>
      </c>
      <c r="J128" s="7">
        <v>0</v>
      </c>
      <c r="K128" s="112" t="str">
        <f t="shared" si="70"/>
        <v>4031/4032</v>
      </c>
      <c r="L128" s="22" t="str">
        <f>VLOOKUP(A128,'Trips&amp;Operators'!$C$1:$E$10000,3,FALSE)</f>
        <v>SHOOK</v>
      </c>
      <c r="M128" s="6">
        <f t="shared" si="71"/>
        <v>2.6944444442051463E-2</v>
      </c>
      <c r="N128" s="7">
        <f t="shared" si="72"/>
        <v>38.799999996554106</v>
      </c>
      <c r="O128" s="7"/>
      <c r="P128" s="7"/>
      <c r="Q128" s="23"/>
      <c r="R128" s="23"/>
      <c r="S128" s="35">
        <f t="shared" si="73"/>
        <v>1</v>
      </c>
      <c r="T128" s="50" t="str">
        <f t="shared" si="74"/>
        <v>Southbound</v>
      </c>
      <c r="U128" s="18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17:48:10-0600',mode:absolute,to:'2016-10-17 20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76"/>
        <v>N</v>
      </c>
      <c r="X128" s="178">
        <f t="shared" si="63"/>
        <v>1</v>
      </c>
      <c r="Y128" s="67">
        <f t="shared" si="77"/>
        <v>23.303799999999999</v>
      </c>
      <c r="Z128" s="67">
        <f t="shared" si="78"/>
        <v>1.6500000000000001E-2</v>
      </c>
      <c r="AA128" s="67">
        <f t="shared" si="79"/>
        <v>23.287299999999998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80"/>
        <v>0216-17</v>
      </c>
      <c r="AE128" s="91" t="str">
        <f t="shared" si="45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128" s="88" t="str">
        <f t="shared" si="46"/>
        <v>"C:\Program Files (x86)\AstroGrep\AstroGrep.exe" /spath="%USERPROFILE%\AppData\Local\Temp\OnboardLogs" /stypes="app*4032*20161018*" /stext=" 01:.+((SYSTEM_STATE.+slice.+state.+changed )|(ment ac)|(system.+state.+changed )|(\[timeout)|(PRM\|1\|D)|(kpr)|(kdp)|(\|lc)|(penalty))" /e /r /s</v>
      </c>
      <c r="AG128" s="1" t="str">
        <f t="shared" si="81"/>
        <v>EC</v>
      </c>
      <c r="AH128" s="92" t="str">
        <f t="shared" si="82"/>
        <v>"%USERPROFILE%\Documents\GitHub\eaglep3\Utilities\RefineRTDCRunTimes.py" --tripid 216-17 --locoid 4032 --swversion DE.1.0.7.0 --startMP 204:233038 --initTime 2016-10-17T18:48:10 --startdatetime 2016-10-17T18:56:18 --delay 1 --endMP 204:165 --enddatetime 2016-10-17T19:35:06 --enforcementcount 0 &gt;&gt;C:\Users\stu\Documents\GitHub\eaglep3-reporting\EC\2016-10-17-refined-times.txt</v>
      </c>
      <c r="AI128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{"issue":{"subject":"","project_id":79,"tracker_id":40,"status_id":1,"priority_id":2,"assigned_to_id":23,"start_date":"2016-10-17","description":"","custom_fields":[{"id":1,"name":"Subdivision","value":"EC"},{"id":4,"name":"Milepost","value":"0.0165"},{"id":17,"name":"Train ID","value":"216-17"},{"id":16,"name":"Locomotive ID","value":"4032"},{"id":130,"name":"Impact","value":""},{"id":150,"name":"Time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s="21" customFormat="1" x14ac:dyDescent="0.25">
      <c r="A129" s="37" t="s">
        <v>580</v>
      </c>
      <c r="B129" s="7">
        <v>4002</v>
      </c>
      <c r="C129" s="22" t="s">
        <v>99</v>
      </c>
      <c r="D129" s="22" t="s">
        <v>636</v>
      </c>
      <c r="E129" s="13">
        <v>42660.759409722225</v>
      </c>
      <c r="F129" s="13">
        <v>42660.760844907411</v>
      </c>
      <c r="G129" s="7">
        <v>1</v>
      </c>
      <c r="H129" s="13" t="s">
        <v>196</v>
      </c>
      <c r="I129" s="13">
        <v>42660.785821759258</v>
      </c>
      <c r="J129" s="7">
        <v>0</v>
      </c>
      <c r="K129" s="112" t="str">
        <f t="shared" si="70"/>
        <v>4001/4002</v>
      </c>
      <c r="L129" s="22" t="str">
        <f>VLOOKUP(A129,'Trips&amp;Operators'!$C$1:$E$10000,3,FALSE)</f>
        <v>CHANDLER</v>
      </c>
      <c r="M129" s="6">
        <f t="shared" si="71"/>
        <v>2.4976851847895887E-2</v>
      </c>
      <c r="N129" s="7">
        <f t="shared" si="72"/>
        <v>35.966666660970077</v>
      </c>
      <c r="O129" s="7"/>
      <c r="P129" s="7"/>
      <c r="Q129" s="23"/>
      <c r="R129" s="23"/>
      <c r="S129" s="35">
        <f t="shared" si="73"/>
        <v>1</v>
      </c>
      <c r="T129" s="50" t="str">
        <f t="shared" si="74"/>
        <v>NorthBound</v>
      </c>
      <c r="U129" s="18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17:13:33-0600',mode:absolute,to:'2016-10-17 19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9" s="52" t="str">
        <f t="shared" si="76"/>
        <v>N</v>
      </c>
      <c r="X129" s="178">
        <f t="shared" si="63"/>
        <v>1</v>
      </c>
      <c r="Y129" s="67">
        <f t="shared" si="77"/>
        <v>4.4900000000000002E-2</v>
      </c>
      <c r="Z129" s="67">
        <f t="shared" si="78"/>
        <v>23.329699999999999</v>
      </c>
      <c r="AA129" s="67">
        <f t="shared" si="79"/>
        <v>23.284800000000001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80"/>
        <v>0217-17</v>
      </c>
      <c r="AE129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29" s="88" t="str">
        <f t="shared" si="46"/>
        <v>"C:\Program Files (x86)\AstroGrep\AstroGrep.exe" /spath="%USERPROFILE%\AppData\Local\Temp\OnboardLogs" /stypes="app*4002*20161018*" /stext=" 00:.+((SYSTEM_STATE.+slice.+state.+changed )|(ment ac)|(system.+state.+changed )|(\[timeout)|(PRM\|1\|D)|(kpr)|(kdp)|(\|lc)|(penalty))" /e /r /s</v>
      </c>
      <c r="AG129" s="1" t="str">
        <f t="shared" si="81"/>
        <v>EC</v>
      </c>
      <c r="AH129" s="92" t="str">
        <f t="shared" si="82"/>
        <v>"%USERPROFILE%\Documents\GitHub\eaglep3\Utilities\RefineRTDCRunTimes.py" --tripid 217-17 --locoid 4002 --swversion DE.1.0.7.0 --startMP 204:449 --initTime 2016-10-17T18:13:33 --startdatetime 2016-10-17T18:15:37 --delay 1 --endMP 204:233297 --enddatetime 2016-10-17T18:51:35 --enforcementcount 0 &gt;&gt;C:\Users\stu\Documents\GitHub\eaglep3-reporting\EC\2016-10-17-refined-times.txt</v>
      </c>
      <c r="AI129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{"issue":{"subject":"","project_id":79,"tracker_id":40,"status_id":1,"priority_id":2,"assigned_to_id":23,"start_date":"2016-10-17","description":"","custom_fields":[{"id":1,"name":"Subdivision","value":"EC"},{"id":4,"name":"Milepost","value":"23.3297"},{"id":17,"name":"Train ID","value":"217-17"},{"id":16,"name":"Locomotive ID","value":"4002"},{"id":130,"name":"Impact","value":""},{"id":150,"name":"Time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s="21" customFormat="1" x14ac:dyDescent="0.25">
      <c r="A130" s="37" t="s">
        <v>423</v>
      </c>
      <c r="B130" s="7">
        <v>4001</v>
      </c>
      <c r="C130" s="22" t="s">
        <v>99</v>
      </c>
      <c r="D130" s="22" t="s">
        <v>313</v>
      </c>
      <c r="E130" s="13">
        <v>42660.795798611114</v>
      </c>
      <c r="F130" s="13">
        <v>42660.79959490741</v>
      </c>
      <c r="G130" s="7">
        <v>1</v>
      </c>
      <c r="H130" s="13" t="s">
        <v>357</v>
      </c>
      <c r="I130" s="13">
        <v>42660.826701388891</v>
      </c>
      <c r="J130" s="7">
        <v>1</v>
      </c>
      <c r="K130" s="112" t="str">
        <f t="shared" si="70"/>
        <v>4001/4002</v>
      </c>
      <c r="L130" s="22" t="str">
        <f>VLOOKUP(A130,'Trips&amp;Operators'!$C$1:$E$10000,3,FALSE)</f>
        <v>CHANDLER</v>
      </c>
      <c r="M130" s="6">
        <f t="shared" si="71"/>
        <v>2.7106481480586808E-2</v>
      </c>
      <c r="N130" s="7">
        <f t="shared" si="72"/>
        <v>39.033333332045004</v>
      </c>
      <c r="O130" s="7"/>
      <c r="P130" s="7"/>
      <c r="Q130" s="23"/>
      <c r="R130" s="23"/>
      <c r="S130" s="35">
        <f t="shared" si="73"/>
        <v>1</v>
      </c>
      <c r="T130" s="50" t="str">
        <f t="shared" si="74"/>
        <v>Southbound</v>
      </c>
      <c r="U130" s="18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18:05:57-0600',mode:absolute,to:'2016-10-17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0" s="52" t="str">
        <f t="shared" si="76"/>
        <v>N</v>
      </c>
      <c r="X130" s="178">
        <f t="shared" si="63"/>
        <v>1</v>
      </c>
      <c r="Y130" s="67">
        <f t="shared" si="77"/>
        <v>23.2987</v>
      </c>
      <c r="Z130" s="67">
        <f t="shared" si="78"/>
        <v>1.6500000000000001E-2</v>
      </c>
      <c r="AA130" s="67">
        <f t="shared" si="79"/>
        <v>23.2822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80"/>
        <v>0218-17</v>
      </c>
      <c r="AE130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30" s="88" t="str">
        <f t="shared" si="46"/>
        <v>"C:\Program Files (x86)\AstroGrep\AstroGrep.exe" /spath="%USERPROFILE%\AppData\Local\Temp\OnboardLogs" /stypes="app*4001*20161018*" /stext=" 01:.+((SYSTEM_STATE.+slice.+state.+changed )|(ment ac)|(system.+state.+changed )|(\[timeout)|(PRM\|1\|D)|(kpr)|(kdp)|(\|lc)|(penalty))" /e /r /s</v>
      </c>
      <c r="AG130" s="1" t="str">
        <f t="shared" si="81"/>
        <v>EC</v>
      </c>
      <c r="AH130" s="92" t="str">
        <f t="shared" si="82"/>
        <v>"%USERPROFILE%\Documents\GitHub\eaglep3\Utilities\RefineRTDCRunTimes.py" --tripid 218-17 --locoid 4001 --swversion DE.1.0.7.0 --startMP 204:232987 --initTime 2016-10-17T19:05:57 --startdatetime 2016-10-17T19:11:25 --delay 1 --endMP 204:165 --enddatetime 2016-10-17T19:50:27 --enforcementcount 1 &gt;&gt;C:\Users\stu\Documents\GitHub\eaglep3-reporting\EC\2016-10-17-refined-times.txt</v>
      </c>
      <c r="AI130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{"issue":{"subject":"","project_id":79,"tracker_id":40,"status_id":1,"priority_id":2,"assigned_to_id":23,"start_date":"2016-10-17","description":"","custom_fields":[{"id":1,"name":"Subdivision","value":"EC"},{"id":4,"name":"Milepost","value":"0.0165"},{"id":17,"name":"Train ID","value":"218-17"},{"id":16,"name":"Locomotive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582</v>
      </c>
      <c r="B131" s="7">
        <v>4011</v>
      </c>
      <c r="C131" s="22" t="s">
        <v>99</v>
      </c>
      <c r="D131" s="22" t="s">
        <v>295</v>
      </c>
      <c r="E131" s="13">
        <v>42660.767881944441</v>
      </c>
      <c r="F131" s="13">
        <v>42660.77107638889</v>
      </c>
      <c r="G131" s="7">
        <v>2</v>
      </c>
      <c r="H131" s="13" t="s">
        <v>771</v>
      </c>
      <c r="I131" s="13">
        <v>42660.796331018515</v>
      </c>
      <c r="J131" s="7">
        <v>0</v>
      </c>
      <c r="K131" s="112" t="str">
        <f t="shared" si="70"/>
        <v>4011/4012</v>
      </c>
      <c r="L131" s="22" t="str">
        <f>VLOOKUP(A131,'Trips&amp;Operators'!$C$1:$E$10000,3,FALSE)</f>
        <v>YANAI</v>
      </c>
      <c r="M131" s="6">
        <f t="shared" si="71"/>
        <v>2.5254629625123926E-2</v>
      </c>
      <c r="N131" s="7">
        <f t="shared" si="72"/>
        <v>36.366666660178453</v>
      </c>
      <c r="O131" s="7"/>
      <c r="P131" s="7"/>
      <c r="Q131" s="23"/>
      <c r="R131" s="23"/>
      <c r="S131" s="35">
        <f t="shared" si="73"/>
        <v>1</v>
      </c>
      <c r="T131" s="50" t="str">
        <f t="shared" si="74"/>
        <v>NorthBound</v>
      </c>
      <c r="U131" s="18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17:25:45-0600',mode:absolute,to:'2016-10-17 20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76"/>
        <v>N</v>
      </c>
      <c r="X131" s="178">
        <f t="shared" si="63"/>
        <v>1</v>
      </c>
      <c r="Y131" s="67">
        <f t="shared" si="77"/>
        <v>4.7100000000000003E-2</v>
      </c>
      <c r="Z131" s="67">
        <f t="shared" si="78"/>
        <v>23.328800000000001</v>
      </c>
      <c r="AA131" s="67">
        <f t="shared" si="79"/>
        <v>23.281700000000001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80"/>
        <v>0219-17</v>
      </c>
      <c r="AE131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31" s="88" t="str">
        <f t="shared" si="46"/>
        <v>"C:\Program Files (x86)\AstroGrep\AstroGrep.exe" /spath="%USERPROFILE%\AppData\Local\Temp\OnboardLogs" /stypes="app*4011*20161018*" /stext=" 01:.+((SYSTEM_STATE.+slice.+state.+changed )|(ment ac)|(system.+state.+changed )|(\[timeout)|(PRM\|1\|D)|(kpr)|(kdp)|(\|lc)|(penalty))" /e /r /s</v>
      </c>
      <c r="AG131" s="1" t="str">
        <f t="shared" si="81"/>
        <v>EC</v>
      </c>
      <c r="AH131" s="92" t="str">
        <f t="shared" si="82"/>
        <v>"%USERPROFILE%\Documents\GitHub\eaglep3\Utilities\RefineRTDCRunTimes.py" --tripid 219-17 --locoid 4011 --swversion DE.1.0.7.0 --startMP 204:471 --initTime 2016-10-17T18:25:45 --startdatetime 2016-10-17T18:30:21 --delay 2 --endMP 204:233288 --enddatetime 2016-10-17T19:06:43 --enforcementcount 0 &gt;&gt;C:\Users\stu\Documents\GitHub\eaglep3-reporting\EC\2016-10-17-refined-times.txt</v>
      </c>
      <c r="AI131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{"issue":{"subject":"","project_id":79,"tracker_id":40,"status_id":1,"priority_id":2,"assigned_to_id":23,"start_date":"2016-10-17","description":"","custom_fields":[{"id":1,"name":"Subdivision","value":"EC"},{"id":4,"name":"Milepost","value":"23.3288"},{"id":17,"name":"Train ID","value":"219-17"},{"id":16,"name":"Locomotive ID","value":"4011"},{"id":130,"name":"Impact","value":""},{"id":150,"name":"Time of Event (Mountain Time)","value":"19:06:43"},{"id":151,"name":"Denver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s="21" customFormat="1" x14ac:dyDescent="0.25">
      <c r="A132" s="37" t="s">
        <v>592</v>
      </c>
      <c r="B132" s="7">
        <v>4012</v>
      </c>
      <c r="C132" s="22" t="s">
        <v>99</v>
      </c>
      <c r="D132" s="22" t="s">
        <v>772</v>
      </c>
      <c r="E132" s="13">
        <v>42660.807152777779</v>
      </c>
      <c r="F132" s="13">
        <v>42660.810034722221</v>
      </c>
      <c r="G132" s="7">
        <v>2</v>
      </c>
      <c r="H132" s="13" t="s">
        <v>241</v>
      </c>
      <c r="I132" s="13">
        <v>42660.837337962963</v>
      </c>
      <c r="J132" s="7">
        <v>0</v>
      </c>
      <c r="K132" s="112" t="str">
        <f t="shared" si="70"/>
        <v>4011/4012</v>
      </c>
      <c r="L132" s="22" t="str">
        <f>VLOOKUP(A132,'Trips&amp;Operators'!$C$1:$E$10000,3,FALSE)</f>
        <v>YANAI</v>
      </c>
      <c r="M132" s="6">
        <f t="shared" si="71"/>
        <v>2.7303240742185153E-2</v>
      </c>
      <c r="N132" s="7">
        <f t="shared" si="72"/>
        <v>39.31666666874662</v>
      </c>
      <c r="O132" s="7"/>
      <c r="P132" s="7"/>
      <c r="Q132" s="23"/>
      <c r="R132" s="23"/>
      <c r="S132" s="35">
        <f t="shared" si="73"/>
        <v>1</v>
      </c>
      <c r="T132" s="50" t="str">
        <f t="shared" si="74"/>
        <v>Southbound</v>
      </c>
      <c r="U132" s="18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18:22:18-0600',mode:absolute,to:'2016-10-17 21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76"/>
        <v>N</v>
      </c>
      <c r="X132" s="178">
        <f t="shared" si="63"/>
        <v>1</v>
      </c>
      <c r="Y132" s="67">
        <f t="shared" si="77"/>
        <v>23.2959</v>
      </c>
      <c r="Z132" s="67">
        <f t="shared" si="78"/>
        <v>1.6299999999999999E-2</v>
      </c>
      <c r="AA132" s="67">
        <f t="shared" si="79"/>
        <v>23.279599999999999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80"/>
        <v>0220-17</v>
      </c>
      <c r="AE132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32" s="88" t="str">
        <f t="shared" si="46"/>
        <v>"C:\Program Files (x86)\AstroGrep\AstroGrep.exe" /spath="%USERPROFILE%\AppData\Local\Temp\OnboardLogs" /stypes="app*4012*20161018*" /stext=" 02:.+((SYSTEM_STATE.+slice.+state.+changed )|(ment ac)|(system.+state.+changed )|(\[timeout)|(PRM\|1\|D)|(kpr)|(kdp)|(\|lc)|(penalty))" /e /r /s</v>
      </c>
      <c r="AG132" s="1" t="str">
        <f t="shared" si="81"/>
        <v>EC</v>
      </c>
      <c r="AH132" s="92" t="str">
        <f t="shared" si="82"/>
        <v>"%USERPROFILE%\Documents\GitHub\eaglep3\Utilities\RefineRTDCRunTimes.py" --tripid 220-17 --locoid 4012 --swversion DE.1.0.7.0 --startMP 204:232959 --initTime 2016-10-17T19:22:18 --startdatetime 2016-10-17T19:26:27 --delay 2 --endMP 204:163 --enddatetime 2016-10-17T20:05:46 --enforcementcount 0 &gt;&gt;C:\Users\stu\Documents\GitHub\eaglep3-reporting\EC\2016-10-17-refined-times.txt</v>
      </c>
      <c r="AI132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{"issue":{"subject":"","project_id":79,"tracker_id":40,"status_id":1,"priority_id":2,"assigned_to_id":23,"start_date":"2016-10-17","description":"","custom_fields":[{"id":1,"name":"Subdivision","value":"EC"},{"id":4,"name":"Milepost","value":"0.0163"},{"id":17,"name":"Train ID","value":"220-17"},{"id":16,"name":"Locomotive ID","value":"4012"},{"id":130,"name":"Impact","value":""},{"id":150,"name":"Time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588</v>
      </c>
      <c r="B133" s="7">
        <v>4046</v>
      </c>
      <c r="C133" s="22" t="s">
        <v>99</v>
      </c>
      <c r="D133" s="22" t="s">
        <v>251</v>
      </c>
      <c r="E133" s="13">
        <v>42660.787245370368</v>
      </c>
      <c r="F133" s="13">
        <v>42660.791863425926</v>
      </c>
      <c r="G133" s="7">
        <v>1</v>
      </c>
      <c r="H133" s="13" t="s">
        <v>773</v>
      </c>
      <c r="I133" s="13">
        <v>42660.81759259259</v>
      </c>
      <c r="J133" s="7">
        <v>0</v>
      </c>
      <c r="K133" s="112" t="str">
        <f t="shared" si="70"/>
        <v>4045/4046</v>
      </c>
      <c r="L133" s="22" t="str">
        <f>VLOOKUP(A133,'Trips&amp;Operators'!$C$1:$E$10000,3,FALSE)</f>
        <v>LEVERE</v>
      </c>
      <c r="M133" s="6">
        <f t="shared" si="71"/>
        <v>2.5729166663950309E-2</v>
      </c>
      <c r="N133" s="7">
        <f t="shared" si="72"/>
        <v>37.049999996088445</v>
      </c>
      <c r="O133" s="7"/>
      <c r="P133" s="7"/>
      <c r="Q133" s="23"/>
      <c r="R133" s="23"/>
      <c r="S133" s="35">
        <f t="shared" si="73"/>
        <v>1</v>
      </c>
      <c r="T133" s="50" t="str">
        <f t="shared" si="74"/>
        <v>NorthBound</v>
      </c>
      <c r="U133" s="18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17:53:38-0600',mode:absolute,to:'2016-10-17 20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3" s="52" t="str">
        <f t="shared" si="76"/>
        <v>N</v>
      </c>
      <c r="X133" s="178">
        <f t="shared" si="63"/>
        <v>1</v>
      </c>
      <c r="Y133" s="67">
        <f t="shared" si="77"/>
        <v>4.7800000000000002E-2</v>
      </c>
      <c r="Z133" s="67">
        <f t="shared" si="78"/>
        <v>23.328499999999998</v>
      </c>
      <c r="AA133" s="67">
        <f t="shared" si="79"/>
        <v>23.2807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80"/>
        <v>0221-17</v>
      </c>
      <c r="AE133" s="91" t="str">
        <f t="shared" si="45"/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33" s="88" t="str">
        <f t="shared" si="46"/>
        <v>"C:\Program Files (x86)\AstroGrep\AstroGrep.exe" /spath="%USERPROFILE%\AppData\Local\Temp\OnboardLogs" /stypes="app*4046*20161018*" /stext=" 01:.+((SYSTEM_STATE.+slice.+state.+changed )|(ment ac)|(system.+state.+changed )|(\[timeout)|(PRM\|1\|D)|(kpr)|(kdp)|(\|lc)|(penalty))" /e /r /s</v>
      </c>
      <c r="AG133" s="1" t="str">
        <f t="shared" si="81"/>
        <v>EC</v>
      </c>
      <c r="AH133" s="92" t="str">
        <f t="shared" si="82"/>
        <v>"%USERPROFILE%\Documents\GitHub\eaglep3\Utilities\RefineRTDCRunTimes.py" --tripid 221-17 --locoid 4046 --swversion DE.1.0.7.0 --startMP 204:478 --initTime 2016-10-17T18:53:38 --startdatetime 2016-10-17T19:00:17 --delay 1 --endMP 204:233285 --enddatetime 2016-10-17T19:37:20 --enforcementcount 0 &gt;&gt;C:\Users\stu\Documents\GitHub\eaglep3-reporting\EC\2016-10-17-refined-times.txt</v>
      </c>
      <c r="AI133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{"issue":{"subject":"","project_id":79,"tracker_id":40,"status_id":1,"priority_id":2,"assigned_to_id":23,"start_date":"2016-10-17","description":"","custom_fields":[{"id":1,"name":"Subdivision","value":"EC"},{"id":4,"name":"Milepost","value":"23.3285"},{"id":17,"name":"Train ID","value":"221-17"},{"id":16,"name":"Locomotive ID","value":"4046"},{"id":130,"name":"Impact","value":""},{"id":150,"name":"Time of Event (Mountain Time)","value":"19:37:20"},{"id":151,"name":"Denver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596</v>
      </c>
      <c r="B134" s="7">
        <v>4045</v>
      </c>
      <c r="C134" s="22" t="s">
        <v>99</v>
      </c>
      <c r="D134" s="22" t="s">
        <v>774</v>
      </c>
      <c r="E134" s="13">
        <v>42660.825520833336</v>
      </c>
      <c r="F134" s="13">
        <v>42660.830752314818</v>
      </c>
      <c r="G134" s="7">
        <v>1</v>
      </c>
      <c r="H134" s="13" t="s">
        <v>237</v>
      </c>
      <c r="I134" s="13">
        <v>42660.858784722222</v>
      </c>
      <c r="J134" s="7">
        <v>0</v>
      </c>
      <c r="K134" s="112" t="str">
        <f t="shared" si="70"/>
        <v>4045/4046</v>
      </c>
      <c r="L134" s="22" t="str">
        <f>VLOOKUP(A134,'Trips&amp;Operators'!$C$1:$E$10000,3,FALSE)</f>
        <v>LEVERE</v>
      </c>
      <c r="M134" s="6">
        <f t="shared" si="71"/>
        <v>2.8032407404680271E-2</v>
      </c>
      <c r="N134" s="7">
        <f t="shared" si="72"/>
        <v>40.36666666273959</v>
      </c>
      <c r="O134" s="7"/>
      <c r="P134" s="7"/>
      <c r="Q134" s="23"/>
      <c r="R134" s="23"/>
      <c r="S134" s="35">
        <f t="shared" si="73"/>
        <v>1</v>
      </c>
      <c r="T134" s="50" t="str">
        <f t="shared" si="74"/>
        <v>Southbound</v>
      </c>
      <c r="U134" s="18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18:48:45-0600',mode:absolute,to:'2016-10-17 21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4" s="52" t="str">
        <f t="shared" si="76"/>
        <v>N</v>
      </c>
      <c r="X134" s="178">
        <f t="shared" si="63"/>
        <v>1</v>
      </c>
      <c r="Y134" s="67">
        <f t="shared" si="77"/>
        <v>23.295999999999999</v>
      </c>
      <c r="Z134" s="67">
        <f t="shared" si="78"/>
        <v>1.4999999999999999E-2</v>
      </c>
      <c r="AA134" s="67">
        <f t="shared" si="79"/>
        <v>23.280999999999999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80"/>
        <v>0222-17</v>
      </c>
      <c r="AE134" s="91" t="str">
        <f t="shared" si="45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34" s="88" t="str">
        <f t="shared" si="46"/>
        <v>"C:\Program Files (x86)\AstroGrep\AstroGrep.exe" /spath="%USERPROFILE%\AppData\Local\Temp\OnboardLogs" /stypes="app*4045*20161018*" /stext=" 02:.+((SYSTEM_STATE.+slice.+state.+changed )|(ment ac)|(system.+state.+changed )|(\[timeout)|(PRM\|1\|D)|(kpr)|(kdp)|(\|lc)|(penalty))" /e /r /s</v>
      </c>
      <c r="AG134" s="1" t="str">
        <f t="shared" si="81"/>
        <v>EC</v>
      </c>
      <c r="AH134" s="92" t="str">
        <f t="shared" si="82"/>
        <v>"%USERPROFILE%\Documents\GitHub\eaglep3\Utilities\RefineRTDCRunTimes.py" --tripid 222-17 --locoid 4045 --swversion DE.1.0.7.0 --startMP 204:232960 --initTime 2016-10-17T19:48:45 --startdatetime 2016-10-17T19:56:17 --delay 1 --endMP 204:150 --enddatetime 2016-10-17T20:36:39 --enforcementcount 0 &gt;&gt;C:\Users\stu\Documents\GitHub\eaglep3-reporting\EC\2016-10-17-refined-times.txt</v>
      </c>
      <c r="AI134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{"issue":{"subject":"","project_id":79,"tracker_id":40,"status_id":1,"priority_id":2,"assigned_to_id":23,"start_date":"2016-10-17","description":"","custom_fields":[{"id":1,"name":"Subdivision","value":"EC"},{"id":4,"name":"Milepost","value":"0.015"},{"id":17,"name":"Train ID","value":"222-17"},{"id":16,"name":"Locomotive ID","value":"4045"},{"id":130,"name":"Impact","value":""},{"id":150,"name":"Time of Event (Mountain Time)","value":"20:36:39"},{"id":151,"name":"Denver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593</v>
      </c>
      <c r="B135" s="7">
        <v>4038</v>
      </c>
      <c r="C135" s="22" t="s">
        <v>99</v>
      </c>
      <c r="D135" s="22" t="s">
        <v>264</v>
      </c>
      <c r="E135" s="13">
        <v>42660.807847222219</v>
      </c>
      <c r="F135" s="13">
        <v>42660.812928240739</v>
      </c>
      <c r="G135" s="7">
        <v>1</v>
      </c>
      <c r="H135" s="13" t="s">
        <v>261</v>
      </c>
      <c r="I135" s="13">
        <v>42660.838460648149</v>
      </c>
      <c r="J135" s="7">
        <v>0</v>
      </c>
      <c r="K135" s="112" t="str">
        <f t="shared" si="70"/>
        <v>4037/4038</v>
      </c>
      <c r="L135" s="22" t="str">
        <f>VLOOKUP(A135,'Trips&amp;Operators'!$C$1:$E$10000,3,FALSE)</f>
        <v>NEWELL</v>
      </c>
      <c r="M135" s="6">
        <f t="shared" si="71"/>
        <v>2.5532407409627922E-2</v>
      </c>
      <c r="N135" s="7">
        <f t="shared" si="72"/>
        <v>36.766666669864208</v>
      </c>
      <c r="O135" s="7"/>
      <c r="P135" s="7"/>
      <c r="Q135" s="23"/>
      <c r="R135" s="23"/>
      <c r="S135" s="35">
        <f t="shared" si="73"/>
        <v>1</v>
      </c>
      <c r="T135" s="50" t="str">
        <f t="shared" si="74"/>
        <v>NorthBound</v>
      </c>
      <c r="U135" s="18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75"/>
        <v>https://search-rtdc-monitor-bjffxe2xuh6vdkpspy63sjmuny.us-east-1.es.amazonaws.com/_plugin/kibana/#/discover/Steve-Slow-Train-Analysis-(2080s-and-2083s)?_g=(refreshInterval:(display:Off,section:0,value:0),time:(from:'2016-10-17 18:23:18-0600',mode:absolute,to:'2016-10-17 21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5" s="52" t="str">
        <f t="shared" si="76"/>
        <v>N</v>
      </c>
      <c r="X135" s="178">
        <f t="shared" si="63"/>
        <v>1</v>
      </c>
      <c r="Y135" s="67">
        <f t="shared" si="77"/>
        <v>4.5100000000000001E-2</v>
      </c>
      <c r="Z135" s="67">
        <f t="shared" si="78"/>
        <v>23.328900000000001</v>
      </c>
      <c r="AA135" s="67">
        <f t="shared" si="79"/>
        <v>23.283799999999999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80"/>
        <v>0223-17</v>
      </c>
      <c r="AE135" s="91" t="str">
        <f t="shared" si="45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35" s="88" t="str">
        <f t="shared" si="46"/>
        <v>"C:\Program Files (x86)\AstroGrep\AstroGrep.exe" /spath="%USERPROFILE%\AppData\Local\Temp\OnboardLogs" /stypes="app*4038*20161018*" /stext=" 02:.+((SYSTEM_STATE.+slice.+state.+changed )|(ment ac)|(system.+state.+changed )|(\[timeout)|(PRM\|1\|D)|(kpr)|(kdp)|(\|lc)|(penalty))" /e /r /s</v>
      </c>
      <c r="AG135" s="1" t="str">
        <f t="shared" si="81"/>
        <v>EC</v>
      </c>
      <c r="AH135" s="92" t="str">
        <f t="shared" si="82"/>
        <v>"%USERPROFILE%\Documents\GitHub\eaglep3\Utilities\RefineRTDCRunTimes.py" --tripid 223-17 --locoid 4038 --swversion DE.1.0.7.0 --startMP 204:451 --initTime 2016-10-17T19:23:18 --startdatetime 2016-10-17T19:30:37 --delay 1 --endMP 204:233289 --enddatetime 2016-10-17T20:07:23 --enforcementcount 0 &gt;&gt;C:\Users\stu\Documents\GitHub\eaglep3-reporting\EC\2016-10-17-refined-times.txt</v>
      </c>
      <c r="AI135" s="122" t="str">
        <f t="shared" si="83"/>
        <v>echo {"issue":{"subject":"","project_id":79,"tracker_id":40,"status_id":1,"priority_id":2,"assigned_to_id":23,"start_date":"2016-10-17","description":"","custom_fields":[{"id":1,"name":"Subdivision","value":"EC"},{"id":4,"name":"Milepost","value":"23.3289"},{"id":17,"name":"Train ID","value":"223-17"},{"id":16,"name":"Locomotive ID","value":"4038"},{"id":130,"name":"Impact","value":""},{"id":150,"name":"Time of Event (Mountain Time)","value":"20:07:23"},{"id":151,"name":"Denver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599</v>
      </c>
      <c r="B136" s="7">
        <v>4037</v>
      </c>
      <c r="C136" s="22" t="s">
        <v>99</v>
      </c>
      <c r="D136" s="22" t="s">
        <v>653</v>
      </c>
      <c r="E136" s="13">
        <v>42660.840138888889</v>
      </c>
      <c r="F136" s="13">
        <v>42660.851643518516</v>
      </c>
      <c r="G136" s="7">
        <v>1</v>
      </c>
      <c r="H136" s="13" t="s">
        <v>230</v>
      </c>
      <c r="I136" s="13">
        <v>42660.878333333334</v>
      </c>
      <c r="J136" s="7">
        <v>0</v>
      </c>
      <c r="K136" s="112" t="str">
        <f t="shared" ref="K136:K167" si="84">IF(ISEVEN(B136),(B136-1)&amp;"/"&amp;B136,B136&amp;"/"&amp;(B136+1))</f>
        <v>4037/4038</v>
      </c>
      <c r="L136" s="22" t="str">
        <f>VLOOKUP(A136,'Trips&amp;Operators'!$C$1:$E$10000,3,FALSE)</f>
        <v>NEWELL</v>
      </c>
      <c r="M136" s="6">
        <f t="shared" ref="M136:M167" si="85">I136-F136</f>
        <v>2.6689814818382729E-2</v>
      </c>
      <c r="N136" s="7">
        <f t="shared" ref="N136:N148" si="86">24*60*SUM($M136:$M136)</f>
        <v>38.43333333847113</v>
      </c>
      <c r="O136" s="7"/>
      <c r="P136" s="7"/>
      <c r="Q136" s="23"/>
      <c r="R136" s="23"/>
      <c r="S136" s="35">
        <f t="shared" ref="S136:S167" si="87">SUM(U136:U136)/IF(AG136="EC",12,1)</f>
        <v>1</v>
      </c>
      <c r="T136" s="50" t="str">
        <f t="shared" ref="T136:T167" si="88">IF(ISEVEN(LEFT(AD136,4)),"Southbound","NorthBound")</f>
        <v>Southbound</v>
      </c>
      <c r="U136" s="18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ref="V136:V167" si="89"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https://search-rtdc-monitor-bjffxe2xuh6vdkpspy63sjmuny.us-east-1.es.amazonaws.com/_plugin/kibana/#/discover/Steve-Slow-Train-Analysis-(2080s-and-2083s)?_g=(refreshInterval:(display:Off,section:0,value:0),time:(from:'2016-10-17 19:09:48-0600',mode:absolute,to:'2016-10-17 22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6" s="52" t="str">
        <f t="shared" ref="W136:W167" si="90">IF(AA136&lt;IF(AG136="EC",23,5.65),"Y","N")</f>
        <v>N</v>
      </c>
      <c r="X136" s="178">
        <f t="shared" si="63"/>
        <v>1</v>
      </c>
      <c r="Y136" s="67">
        <f t="shared" ref="Y136:Y167" si="91">RIGHT(D136,LEN(D136)-4)/10000</f>
        <v>23.297000000000001</v>
      </c>
      <c r="Z136" s="67">
        <f t="shared" ref="Z136:Z167" si="92">RIGHT(H136,LEN(H136)-4)/10000</f>
        <v>1.61E-2</v>
      </c>
      <c r="AA136" s="67">
        <f t="shared" ref="AA136:AA167" si="93">ABS(Z136-Y136)</f>
        <v>23.280899999999999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ref="AD136:AD167" si="94">IF(LEN(A136)=6,"0"&amp;A136,A136)</f>
        <v>0224-17</v>
      </c>
      <c r="AE136" s="91" t="str">
        <f t="shared" si="45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36" s="88" t="str">
        <f t="shared" si="46"/>
        <v>"C:\Program Files (x86)\AstroGrep\AstroGrep.exe" /spath="%USERPROFILE%\AppData\Local\Temp\OnboardLogs" /stypes="app*4037*20161018*" /stext=" 03:.+((SYSTEM_STATE.+slice.+state.+changed )|(ment ac)|(system.+state.+changed )|(\[timeout)|(PRM\|1\|D)|(kpr)|(kdp)|(\|lc)|(penalty))" /e /r /s</v>
      </c>
      <c r="AG136" s="1" t="str">
        <f t="shared" ref="AG136:AG167" si="95">IFERROR(IF(VALUE(LEFT(AD136,2))&lt;=2,"EC",IF(OR(VALUE(LEFT(AD136,2))=8,VALUE(LEFT(AD136,2))=18),"NW","Other")),"Other")</f>
        <v>EC</v>
      </c>
      <c r="AH136" s="92" t="str">
        <f t="shared" si="48"/>
        <v>"%USERPROFILE%\Documents\GitHub\eaglep3\Utilities\RefineRTDCRunTimes.py" --tripid 224-17 --locoid 4037 --swversion DE.1.0.7.0 --startMP 204:232970 --initTime 2016-10-17T20:09:48 --startdatetime 2016-10-17T20:26:22 --delay 1 --endMP 204:161 --enddatetime 2016-10-17T21:04:48 --enforcementcount 0 &gt;&gt;C:\Users\stu\Documents\GitHub\eaglep3-reporting\EC\2016-10-17-refined-times.txt</v>
      </c>
      <c r="AI136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{"issue":{"subject":"","project_id":79,"tracker_id":40,"status_id":1,"priority_id":2,"assigned_to_id":23,"start_date":"2016-10-17","description":"","custom_fields":[{"id":1,"name":"Subdivision","value":"EC"},{"id":4,"name":"Milepost","value":"0.0161"},{"id":17,"name":"Train ID","value":"224-17"},{"id":16,"name":"Locomotive ID","value":"4037"},{"id":130,"name":"Impact","value":""},{"id":150,"name":"Time of Event (Mountain Time)","value":"21:04:48"},{"id":151,"name":"Denver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597</v>
      </c>
      <c r="B137" s="7">
        <v>4002</v>
      </c>
      <c r="C137" s="22" t="s">
        <v>99</v>
      </c>
      <c r="D137" s="22" t="s">
        <v>251</v>
      </c>
      <c r="E137" s="13">
        <v>42660.830277777779</v>
      </c>
      <c r="F137" s="13">
        <v>42660.834108796298</v>
      </c>
      <c r="G137" s="7">
        <v>1</v>
      </c>
      <c r="H137" s="13" t="s">
        <v>240</v>
      </c>
      <c r="I137" s="13">
        <v>42660.859027777777</v>
      </c>
      <c r="J137" s="7">
        <v>0</v>
      </c>
      <c r="K137" s="112" t="str">
        <f t="shared" si="84"/>
        <v>4001/4002</v>
      </c>
      <c r="L137" s="22" t="str">
        <f>VLOOKUP(A137,'Trips&amp;Operators'!$C$1:$E$10000,3,FALSE)</f>
        <v>CHANDLER</v>
      </c>
      <c r="M137" s="6">
        <f t="shared" si="85"/>
        <v>2.491898147854954E-2</v>
      </c>
      <c r="N137" s="7">
        <f t="shared" si="86"/>
        <v>35.883333329111338</v>
      </c>
      <c r="O137" s="7"/>
      <c r="P137" s="7"/>
      <c r="Q137" s="23"/>
      <c r="R137" s="23"/>
      <c r="S137" s="35">
        <f t="shared" si="87"/>
        <v>1</v>
      </c>
      <c r="T137" s="50" t="str">
        <f t="shared" si="88"/>
        <v>NorthBound</v>
      </c>
      <c r="U137" s="18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18:55:36-0600',mode:absolute,to:'2016-10-17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7" s="52" t="str">
        <f t="shared" si="90"/>
        <v>N</v>
      </c>
      <c r="X137" s="178">
        <f t="shared" si="63"/>
        <v>1</v>
      </c>
      <c r="Y137" s="67">
        <f t="shared" si="91"/>
        <v>4.7800000000000002E-2</v>
      </c>
      <c r="Z137" s="67">
        <f t="shared" si="92"/>
        <v>23.33</v>
      </c>
      <c r="AA137" s="67">
        <f t="shared" si="93"/>
        <v>23.2822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94"/>
        <v>0225-17</v>
      </c>
      <c r="AE137" s="91" t="str">
        <f t="shared" si="45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37" s="88" t="str">
        <f t="shared" si="46"/>
        <v>"C:\Program Files (x86)\AstroGrep\AstroGrep.exe" /spath="%USERPROFILE%\AppData\Local\Temp\OnboardLogs" /stypes="app*4002*20161018*" /stext=" 02:.+((SYSTEM_STATE.+slice.+state.+changed )|(ment ac)|(system.+state.+changed )|(\[timeout)|(PRM\|1\|D)|(kpr)|(kdp)|(\|lc)|(penalty))" /e /r /s</v>
      </c>
      <c r="AG137" s="1" t="str">
        <f t="shared" si="95"/>
        <v>EC</v>
      </c>
      <c r="AH137" s="92" t="str">
        <f t="shared" ref="AH137" si="96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225-17 --locoid 4002 --swversion DE.1.0.7.0 --startMP 204:478 --initTime 2016-10-17T19:55:36 --startdatetime 2016-10-17T20:01:07 --delay 1 --endMP 204:233300 --enddatetime 2016-10-17T20:37:00 --enforcementcount 0 &gt;&gt;C:\Users\stu\Documents\GitHub\eaglep3-reporting\EC\2016-10-17-refined-times.txt</v>
      </c>
      <c r="AI137" s="122" t="str">
        <f t="shared" ref="AI137" si="97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{"issue":{"subject":"","project_id":79,"tracker_id":40,"status_id":1,"priority_id":2,"assigned_to_id":23,"start_date":"2016-10-17","description":"","custom_fields":[{"id":1,"name":"Subdivision","value":"EC"},{"id":4,"name":"Milepost","value":"23.33"},{"id":17,"name":"Train ID","value":"225-17"},{"id":16,"name":"Locomotive ID","value":"4002"},{"id":130,"name":"Impact","value":""},{"id":150,"name":"Time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603</v>
      </c>
      <c r="B138" s="7">
        <v>4001</v>
      </c>
      <c r="C138" s="22" t="s">
        <v>99</v>
      </c>
      <c r="D138" s="22" t="s">
        <v>381</v>
      </c>
      <c r="E138" s="13">
        <v>42660.870509259257</v>
      </c>
      <c r="F138" s="13">
        <v>42660.872546296298</v>
      </c>
      <c r="G138" s="7">
        <v>1</v>
      </c>
      <c r="H138" s="13" t="s">
        <v>236</v>
      </c>
      <c r="I138" s="13">
        <v>42660.900543981479</v>
      </c>
      <c r="J138" s="7">
        <v>0</v>
      </c>
      <c r="K138" s="112" t="str">
        <f t="shared" si="84"/>
        <v>4001/4002</v>
      </c>
      <c r="L138" s="22" t="str">
        <f>VLOOKUP(A138,'Trips&amp;Operators'!$C$1:$E$10000,3,FALSE)</f>
        <v>CHANDLER</v>
      </c>
      <c r="M138" s="6">
        <f t="shared" si="85"/>
        <v>2.7997685181617271E-2</v>
      </c>
      <c r="N138" s="7">
        <f t="shared" si="86"/>
        <v>40.31666666152887</v>
      </c>
      <c r="O138" s="7"/>
      <c r="P138" s="7"/>
      <c r="Q138" s="23"/>
      <c r="R138" s="23"/>
      <c r="S138" s="35">
        <f t="shared" si="87"/>
        <v>1</v>
      </c>
      <c r="T138" s="50" t="str">
        <f t="shared" si="88"/>
        <v>Southbound</v>
      </c>
      <c r="U138" s="18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19:53:32-0600',mode:absolute,to:'2016-10-17 22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8" s="52" t="str">
        <f t="shared" si="90"/>
        <v>N</v>
      </c>
      <c r="X138" s="178">
        <f t="shared" si="63"/>
        <v>1</v>
      </c>
      <c r="Y138" s="67">
        <f t="shared" si="91"/>
        <v>23.296800000000001</v>
      </c>
      <c r="Z138" s="67">
        <f t="shared" si="92"/>
        <v>1.43E-2</v>
      </c>
      <c r="AA138" s="67">
        <f t="shared" si="93"/>
        <v>23.282500000000002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94"/>
        <v>0226-17</v>
      </c>
      <c r="AE138" s="91" t="str">
        <f t="shared" si="45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38" s="88" t="str">
        <f t="shared" si="46"/>
        <v>"C:\Program Files (x86)\AstroGrep\AstroGrep.exe" /spath="%USERPROFILE%\AppData\Local\Temp\OnboardLogs" /stypes="app*4001*20161018*" /stext=" 03:.+((SYSTEM_STATE.+slice.+state.+changed )|(ment ac)|(system.+state.+changed )|(\[timeout)|(PRM\|1\|D)|(kpr)|(kdp)|(\|lc)|(penalty))" /e /r /s</v>
      </c>
      <c r="AG138" s="1" t="str">
        <f t="shared" si="95"/>
        <v>EC</v>
      </c>
      <c r="AH138" s="92" t="str">
        <f t="shared" si="48"/>
        <v>"%USERPROFILE%\Documents\GitHub\eaglep3\Utilities\RefineRTDCRunTimes.py" --tripid 226-17 --locoid 4001 --swversion DE.1.0.7.0 --startMP 204:232968 --initTime 2016-10-17T20:53:32 --startdatetime 2016-10-17T20:56:28 --delay 1 --endMP 204:143 --enddatetime 2016-10-17T21:36:47 --enforcementcount 0 &gt;&gt;C:\Users\stu\Documents\GitHub\eaglep3-reporting\EC\2016-10-17-refined-times.txt</v>
      </c>
      <c r="AI138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{"issue":{"subject":"","project_id":79,"tracker_id":40,"status_id":1,"priority_id":2,"assigned_to_id":23,"start_date":"2016-10-17","description":"","custom_fields":[{"id":1,"name":"Subdivision","value":"EC"},{"id":4,"name":"Milepost","value":"0.0143"},{"id":17,"name":"Train ID","value":"226-17"},{"id":16,"name":"Locomotive ID","value":"4001"},{"id":130,"name":"Impact","value":""},{"id":150,"name":"Time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600</v>
      </c>
      <c r="B139" s="7">
        <v>4011</v>
      </c>
      <c r="C139" s="22" t="s">
        <v>99</v>
      </c>
      <c r="D139" s="22" t="s">
        <v>636</v>
      </c>
      <c r="E139" s="13">
        <v>42660.850358796299</v>
      </c>
      <c r="F139" s="13">
        <v>42660.854432870372</v>
      </c>
      <c r="G139" s="7">
        <v>1</v>
      </c>
      <c r="H139" s="13" t="s">
        <v>240</v>
      </c>
      <c r="I139" s="13">
        <v>42660.880810185183</v>
      </c>
      <c r="J139" s="7">
        <v>0</v>
      </c>
      <c r="K139" s="112" t="str">
        <f t="shared" si="84"/>
        <v>4011/4012</v>
      </c>
      <c r="L139" s="22" t="str">
        <f>VLOOKUP(A139,'Trips&amp;Operators'!$C$1:$E$10000,3,FALSE)</f>
        <v>YANAI</v>
      </c>
      <c r="M139" s="6">
        <f t="shared" si="85"/>
        <v>2.6377314810815733E-2</v>
      </c>
      <c r="N139" s="7">
        <f t="shared" si="86"/>
        <v>37.983333327574655</v>
      </c>
      <c r="O139" s="7"/>
      <c r="P139" s="7"/>
      <c r="Q139" s="23"/>
      <c r="R139" s="23"/>
      <c r="S139" s="35">
        <f t="shared" si="87"/>
        <v>1</v>
      </c>
      <c r="T139" s="50" t="str">
        <f t="shared" si="88"/>
        <v>NorthBound</v>
      </c>
      <c r="U139" s="18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19:24:31-0600',mode:absolute,to:'2016-10-17 22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90"/>
        <v>N</v>
      </c>
      <c r="X139" s="178">
        <f t="shared" si="63"/>
        <v>1</v>
      </c>
      <c r="Y139" s="67">
        <f t="shared" si="91"/>
        <v>4.4900000000000002E-2</v>
      </c>
      <c r="Z139" s="67">
        <f t="shared" si="92"/>
        <v>23.33</v>
      </c>
      <c r="AA139" s="67">
        <f t="shared" si="93"/>
        <v>23.2851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94"/>
        <v>0227-17</v>
      </c>
      <c r="AE139" s="91" t="str">
        <f t="shared" si="45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39" s="88" t="str">
        <f t="shared" si="46"/>
        <v>"C:\Program Files (x86)\AstroGrep\AstroGrep.exe" /spath="%USERPROFILE%\AppData\Local\Temp\OnboardLogs" /stypes="app*4011*20161018*" /stext=" 03:.+((SYSTEM_STATE.+slice.+state.+changed )|(ment ac)|(system.+state.+changed )|(\[timeout)|(PRM\|1\|D)|(kpr)|(kdp)|(\|lc)|(penalty))" /e /r /s</v>
      </c>
      <c r="AG139" s="1" t="str">
        <f t="shared" si="95"/>
        <v>EC</v>
      </c>
      <c r="AH139" s="92" t="str">
        <f t="shared" si="48"/>
        <v>"%USERPROFILE%\Documents\GitHub\eaglep3\Utilities\RefineRTDCRunTimes.py" --tripid 227-17 --locoid 4011 --swversion DE.1.0.7.0 --startMP 204:449 --initTime 2016-10-17T20:24:31 --startdatetime 2016-10-17T20:30:23 --delay 1 --endMP 204:233300 --enddatetime 2016-10-17T21:08:22 --enforcementcount 0 &gt;&gt;C:\Users\stu\Documents\GitHub\eaglep3-reporting\EC\2016-10-17-refined-times.txt</v>
      </c>
      <c r="AI139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{"issue":{"subject":"","project_id":79,"tracker_id":40,"status_id":1,"priority_id":2,"assigned_to_id":23,"start_date":"2016-10-17","description":"","custom_fields":[{"id":1,"name":"Subdivision","value":"EC"},{"id":4,"name":"Milepost","value":"23.33"},{"id":17,"name":"Train ID","value":"227-17"},{"id":16,"name":"Locomotive ID","value":"4011"},{"id":130,"name":"Impact","value":""},{"id":150,"name":"Time of Event (Mountain Time)","value":"21:08:22"},{"id":151,"name":"Denver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605</v>
      </c>
      <c r="B140" s="7">
        <v>4012</v>
      </c>
      <c r="C140" s="22" t="s">
        <v>99</v>
      </c>
      <c r="D140" s="22" t="s">
        <v>285</v>
      </c>
      <c r="E140" s="13">
        <v>42660.882048611114</v>
      </c>
      <c r="F140" s="13">
        <v>42660.89335648148</v>
      </c>
      <c r="G140" s="7">
        <v>1</v>
      </c>
      <c r="H140" s="13" t="s">
        <v>176</v>
      </c>
      <c r="I140" s="13">
        <v>42660.921157407407</v>
      </c>
      <c r="J140" s="7">
        <v>0</v>
      </c>
      <c r="K140" s="112" t="str">
        <f t="shared" si="84"/>
        <v>4011/4012</v>
      </c>
      <c r="L140" s="22" t="str">
        <f>VLOOKUP(A140,'Trips&amp;Operators'!$C$1:$E$10000,3,FALSE)</f>
        <v>YANAI</v>
      </c>
      <c r="M140" s="6">
        <f t="shared" si="85"/>
        <v>2.7800925927294884E-2</v>
      </c>
      <c r="N140" s="7">
        <f t="shared" si="86"/>
        <v>40.033333335304633</v>
      </c>
      <c r="O140" s="7"/>
      <c r="P140" s="7"/>
      <c r="Q140" s="23"/>
      <c r="R140" s="23"/>
      <c r="S140" s="35">
        <f t="shared" si="87"/>
        <v>1</v>
      </c>
      <c r="T140" s="50" t="str">
        <f t="shared" si="88"/>
        <v>Southbound</v>
      </c>
      <c r="U140" s="18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20:10:09-0600',mode:absolute,to:'2016-10-17 23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si="90"/>
        <v>N</v>
      </c>
      <c r="X140" s="178">
        <f t="shared" si="63"/>
        <v>1</v>
      </c>
      <c r="Y140" s="67">
        <f t="shared" si="91"/>
        <v>23.297699999999999</v>
      </c>
      <c r="Z140" s="67">
        <f t="shared" si="92"/>
        <v>1.47E-2</v>
      </c>
      <c r="AA140" s="67">
        <f t="shared" si="93"/>
        <v>23.282999999999998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94"/>
        <v>0228-17</v>
      </c>
      <c r="AE140" s="91" t="str">
        <f t="shared" si="45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40" s="88" t="str">
        <f t="shared" si="46"/>
        <v>"C:\Program Files (x86)\AstroGrep\AstroGrep.exe" /spath="%USERPROFILE%\AppData\Local\Temp\OnboardLogs" /stypes="app*4012*20161018*" /stext=" 04:.+((SYSTEM_STATE.+slice.+state.+changed )|(ment ac)|(system.+state.+changed )|(\[timeout)|(PRM\|1\|D)|(kpr)|(kdp)|(\|lc)|(penalty))" /e /r /s</v>
      </c>
      <c r="AG140" s="1" t="str">
        <f t="shared" si="95"/>
        <v>EC</v>
      </c>
      <c r="AH140" s="92" t="str">
        <f t="shared" si="48"/>
        <v>"%USERPROFILE%\Documents\GitHub\eaglep3\Utilities\RefineRTDCRunTimes.py" --tripid 228-17 --locoid 4012 --swversion DE.1.0.7.0 --startMP 204:232977 --initTime 2016-10-17T21:10:09 --startdatetime 2016-10-17T21:26:26 --delay 1 --endMP 204:147 --enddatetime 2016-10-17T22:06:28 --enforcementcount 0 &gt;&gt;C:\Users\stu\Documents\GitHub\eaglep3-reporting\EC\2016-10-17-refined-times.txt</v>
      </c>
      <c r="AI140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ID","value":"228-17"},{"id":16,"name":"Locomotive ID","value":"4012"},{"id":130,"name":"Impact","value":""},{"id":150,"name":"Time of Event (Mountain Time)","value":"22:06:28"},{"id":151,"name":"Denver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602</v>
      </c>
      <c r="B141" s="7">
        <v>4046</v>
      </c>
      <c r="C141" s="22" t="s">
        <v>99</v>
      </c>
      <c r="D141" s="22" t="s">
        <v>248</v>
      </c>
      <c r="E141" s="13">
        <v>42660.868530092594</v>
      </c>
      <c r="F141" s="13">
        <v>42660.875196759262</v>
      </c>
      <c r="G141" s="7">
        <v>1</v>
      </c>
      <c r="H141" s="13" t="s">
        <v>262</v>
      </c>
      <c r="I141" s="13">
        <v>42660.901446759257</v>
      </c>
      <c r="J141" s="7">
        <v>0</v>
      </c>
      <c r="K141" s="112" t="str">
        <f t="shared" si="84"/>
        <v>4045/4046</v>
      </c>
      <c r="L141" s="22" t="str">
        <f>VLOOKUP(A141,'Trips&amp;Operators'!$C$1:$E$10000,3,FALSE)</f>
        <v>LEVERE</v>
      </c>
      <c r="M141" s="6">
        <f t="shared" si="85"/>
        <v>2.6249999995343387E-2</v>
      </c>
      <c r="N141" s="7">
        <f t="shared" si="86"/>
        <v>37.799999993294477</v>
      </c>
      <c r="O141" s="7"/>
      <c r="P141" s="7"/>
      <c r="Q141" s="23"/>
      <c r="R141" s="23"/>
      <c r="S141" s="35">
        <f t="shared" si="87"/>
        <v>1</v>
      </c>
      <c r="T141" s="50" t="str">
        <f t="shared" si="88"/>
        <v>NorthBound</v>
      </c>
      <c r="U141" s="18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19:50:41-0600',mode:absolute,to:'2016-10-17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1" s="52" t="str">
        <f t="shared" si="90"/>
        <v>N</v>
      </c>
      <c r="X141" s="178">
        <f t="shared" si="63"/>
        <v>1</v>
      </c>
      <c r="Y141" s="67">
        <f t="shared" si="91"/>
        <v>4.5699999999999998E-2</v>
      </c>
      <c r="Z141" s="67">
        <f t="shared" si="92"/>
        <v>23.3291</v>
      </c>
      <c r="AA141" s="67">
        <f t="shared" si="93"/>
        <v>23.2834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94"/>
        <v>0229-17</v>
      </c>
      <c r="AE141" s="91" t="str">
        <f t="shared" ref="AE141:AE204" si="9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41" s="88" t="str">
        <f t="shared" ref="AF141:AF204" si="9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/stypes="app*4046*20161018*" /stext=" 03:.+((SYSTEM_STATE.+slice.+state.+changed )|(ment ac)|(system.+state.+changed )|(\[timeout)|(PRM\|1\|D)|(kpr)|(kdp)|(\|lc)|(penalty))" /e /r /s</v>
      </c>
      <c r="AG141" s="1" t="str">
        <f t="shared" si="95"/>
        <v>EC</v>
      </c>
      <c r="AH141" s="92" t="str">
        <f t="shared" si="48"/>
        <v>"%USERPROFILE%\Documents\GitHub\eaglep3\Utilities\RefineRTDCRunTimes.py" --tripid 229-17 --locoid 4046 --swversion DE.1.0.7.0 --startMP 204:457 --initTime 2016-10-17T20:50:41 --startdatetime 2016-10-17T21:00:17 --delay 1 --endMP 204:233291 --enddatetime 2016-10-17T21:38:05 --enforcementcount 0 &gt;&gt;C:\Users\stu\Documents\GitHub\eaglep3-reporting\EC\2016-10-17-refined-times.txt</v>
      </c>
      <c r="AI141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{"issue":{"subject":"","project_id":79,"tracker_id":40,"status_id":1,"priority_id":2,"assigned_to_id":23,"start_date":"2016-10-17","description":"","custom_fields":[{"id":1,"name":"Subdivision","value":"EC"},{"id":4,"name":"Milepost","value":"23.3291"},{"id":17,"name":"Train ID","value":"229-17"},{"id":16,"name":"Locomotive ID","value":"4046"},{"id":130,"name":"Impact","value":""},{"id":150,"name":"Time of Event (Mountain Time)","value":"21:38:05"},{"id":151,"name":"Denver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608</v>
      </c>
      <c r="B142" s="7">
        <v>4045</v>
      </c>
      <c r="C142" s="22" t="s">
        <v>99</v>
      </c>
      <c r="D142" s="22" t="s">
        <v>313</v>
      </c>
      <c r="E142" s="13">
        <v>42660.908460648148</v>
      </c>
      <c r="F142" s="13">
        <v>42660.914074074077</v>
      </c>
      <c r="G142" s="7">
        <v>1</v>
      </c>
      <c r="H142" s="13" t="s">
        <v>176</v>
      </c>
      <c r="I142" s="13">
        <v>42660.945011574076</v>
      </c>
      <c r="J142" s="7">
        <v>0</v>
      </c>
      <c r="K142" s="112" t="str">
        <f t="shared" si="84"/>
        <v>4045/4046</v>
      </c>
      <c r="L142" s="22" t="str">
        <f>VLOOKUP(A142,'Trips&amp;Operators'!$C$1:$E$10000,3,FALSE)</f>
        <v>LEVERE</v>
      </c>
      <c r="M142" s="6">
        <f t="shared" si="85"/>
        <v>3.0937499999708962E-2</v>
      </c>
      <c r="N142" s="7">
        <f t="shared" si="86"/>
        <v>44.549999999580905</v>
      </c>
      <c r="O142" s="7"/>
      <c r="P142" s="7"/>
      <c r="Q142" s="23"/>
      <c r="R142" s="23"/>
      <c r="S142" s="35">
        <f t="shared" si="87"/>
        <v>1</v>
      </c>
      <c r="T142" s="50" t="str">
        <f t="shared" si="88"/>
        <v>Southbound</v>
      </c>
      <c r="U142" s="18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20:48:11-0600',mode:absolute,to:'2016-10-17 23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2" s="52" t="str">
        <f t="shared" si="90"/>
        <v>N</v>
      </c>
      <c r="X142" s="178">
        <f>VALUE(LEFT(AD142,4))-VALUE(LEFT(AD141,4))</f>
        <v>1</v>
      </c>
      <c r="Y142" s="67">
        <f t="shared" si="91"/>
        <v>23.2987</v>
      </c>
      <c r="Z142" s="67">
        <f t="shared" si="92"/>
        <v>1.47E-2</v>
      </c>
      <c r="AA142" s="67">
        <f t="shared" si="93"/>
        <v>23.283999999999999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94"/>
        <v>0230-17</v>
      </c>
      <c r="AE142" s="91" t="str">
        <f t="shared" si="98"/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142" s="88" t="str">
        <f t="shared" si="99"/>
        <v>"C:\Program Files (x86)\AstroGrep\AstroGrep.exe" /spath="%USERPROFILE%\AppData\Local\Temp\OnboardLogs" /stypes="app*4045*20161018*" /stext=" 04:.+((SYSTEM_STATE.+slice.+state.+changed )|(ment ac)|(system.+state.+changed )|(\[timeout)|(PRM\|1\|D)|(kpr)|(kdp)|(\|lc)|(penalty))" /e /r /s</v>
      </c>
      <c r="AG142" s="1" t="str">
        <f t="shared" si="95"/>
        <v>EC</v>
      </c>
      <c r="AH142" s="92" t="str">
        <f t="shared" si="48"/>
        <v>"%USERPROFILE%\Documents\GitHub\eaglep3\Utilities\RefineRTDCRunTimes.py" --tripid 230-17 --locoid 4045 --swversion DE.1.0.7.0 --startMP 204:232987 --initTime 2016-10-17T21:48:11 --startdatetime 2016-10-17T21:56:16 --delay 1 --endMP 204:147 --enddatetime 2016-10-17T22:40:49 --enforcementcount 0 &gt;&gt;C:\Users\stu\Documents\GitHub\eaglep3-reporting\EC\2016-10-17-refined-times.txt</v>
      </c>
      <c r="AI142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{"issue":{"subject":"","project_id":79,"tracker_id":40,"status_id":1,"priority_id":2,"assigned_to_id":23,"start_date":"2016-10-17","description":"","custom_fields":[{"id":1,"name":"Subdivision","value":"EC"},{"id":4,"name":"Milepost","value":"0.0147"},{"id":17,"name":"Train ID","value":"230-17"},{"id":16,"name":"Locomotive ID","value":"4045"},{"id":130,"name":"Impact","value":""},{"id":150,"name":"Time of Event (Mountain Time)","value":"22:40:49"},{"id":151,"name":"Denver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604</v>
      </c>
      <c r="B143" s="7">
        <v>4038</v>
      </c>
      <c r="C143" s="22" t="s">
        <v>99</v>
      </c>
      <c r="D143" s="22" t="s">
        <v>242</v>
      </c>
      <c r="E143" s="13">
        <v>42660.880682870367</v>
      </c>
      <c r="F143" s="13">
        <v>42660.896018518521</v>
      </c>
      <c r="G143" s="7">
        <v>1</v>
      </c>
      <c r="H143" s="13" t="s">
        <v>647</v>
      </c>
      <c r="I143" s="13">
        <v>42660.921967592592</v>
      </c>
      <c r="J143" s="7">
        <v>0</v>
      </c>
      <c r="K143" s="112" t="str">
        <f t="shared" si="84"/>
        <v>4037/4038</v>
      </c>
      <c r="L143" s="22" t="str">
        <f>VLOOKUP(A143,'Trips&amp;Operators'!$C$1:$E$10000,3,FALSE)</f>
        <v>NEWELL</v>
      </c>
      <c r="M143" s="6">
        <f t="shared" si="85"/>
        <v>2.5949074071832001E-2</v>
      </c>
      <c r="N143" s="7">
        <f t="shared" si="86"/>
        <v>37.366666663438082</v>
      </c>
      <c r="O143" s="7"/>
      <c r="P143" s="7"/>
      <c r="Q143" s="23"/>
      <c r="R143" s="23"/>
      <c r="S143" s="35">
        <f t="shared" si="87"/>
        <v>1</v>
      </c>
      <c r="T143" s="50" t="str">
        <f t="shared" si="88"/>
        <v>NorthBound</v>
      </c>
      <c r="U143" s="18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20:08:11-0600',mode:absolute,to:'2016-10-17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3" s="52" t="str">
        <f t="shared" si="90"/>
        <v>N</v>
      </c>
      <c r="X143" s="178">
        <f>VALUE(LEFT(AD143,4))-VALUE(LEFT(AD142,4))</f>
        <v>1</v>
      </c>
      <c r="Y143" s="67">
        <f t="shared" si="91"/>
        <v>4.6399999999999997E-2</v>
      </c>
      <c r="Z143" s="67">
        <f t="shared" si="92"/>
        <v>23.3323</v>
      </c>
      <c r="AA143" s="67">
        <f t="shared" si="93"/>
        <v>23.285900000000002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94"/>
        <v>0231-17</v>
      </c>
      <c r="AE143" s="91" t="str">
        <f t="shared" si="98"/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AF143" s="88" t="str">
        <f t="shared" si="99"/>
        <v>"C:\Program Files (x86)\AstroGrep\AstroGrep.exe" /spath="%USERPROFILE%\AppData\Local\Temp\OnboardLogs" /stypes="app*4038*20161018*" /stext=" 04:.+((SYSTEM_STATE.+slice.+state.+changed )|(ment ac)|(system.+state.+changed )|(\[timeout)|(PRM\|1\|D)|(kpr)|(kdp)|(\|lc)|(penalty))" /e /r /s</v>
      </c>
      <c r="AG143" s="1" t="str">
        <f t="shared" si="95"/>
        <v>EC</v>
      </c>
      <c r="AH143" s="92" t="str">
        <f t="shared" si="48"/>
        <v>"%USERPROFILE%\Documents\GitHub\eaglep3\Utilities\RefineRTDCRunTimes.py" --tripid 231-17 --locoid 4038 --swversion DE.1.0.7.0 --startMP 204:464 --initTime 2016-10-17T21:08:11 --startdatetime 2016-10-17T21:30:16 --delay 1 --endMP 204:233323 --enddatetime 2016-10-17T22:07:38 --enforcementcount 0 &gt;&gt;C:\Users\stu\Documents\GitHub\eaglep3-reporting\EC\2016-10-17-refined-times.txt</v>
      </c>
      <c r="AI143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{"issue":{"subject":"","project_id":79,"tracker_id":40,"status_id":1,"priority_id":2,"assigned_to_id":23,"start_date":"2016-10-17","description":"","custom_fields":[{"id":1,"name":"Subdivision","value":"EC"},{"id":4,"name":"Milepost","value":"23.3323"},{"id":17,"name":"Train ID","value":"231-17"},{"id":16,"name":"Locomotive ID","value":"4038"},{"id":130,"name":"Impact","value":""},{"id":150,"name":"Time of Event (Mountain Time)","value":"22:07:38"},{"id":151,"name":"Denver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424</v>
      </c>
      <c r="B144" s="7">
        <v>4037</v>
      </c>
      <c r="C144" s="22" t="s">
        <v>99</v>
      </c>
      <c r="D144" s="22" t="s">
        <v>286</v>
      </c>
      <c r="E144" s="13">
        <v>42660.928576388891</v>
      </c>
      <c r="F144" s="13">
        <v>42660.934930555559</v>
      </c>
      <c r="G144" s="7">
        <v>1</v>
      </c>
      <c r="H144" s="13" t="s">
        <v>656</v>
      </c>
      <c r="I144" s="13">
        <v>42660.968368055554</v>
      </c>
      <c r="J144" s="7">
        <v>0</v>
      </c>
      <c r="K144" s="112" t="str">
        <f t="shared" si="84"/>
        <v>4037/4038</v>
      </c>
      <c r="L144" s="22" t="str">
        <f>VLOOKUP(A144,'Trips&amp;Operators'!$C$1:$E$10000,3,FALSE)</f>
        <v>NEWELL</v>
      </c>
      <c r="M144" s="6">
        <f t="shared" si="85"/>
        <v>3.3437499994761311E-2</v>
      </c>
      <c r="N144" s="7">
        <f t="shared" si="86"/>
        <v>48.149999992456287</v>
      </c>
      <c r="O144" s="7"/>
      <c r="P144" s="7"/>
      <c r="Q144" s="23"/>
      <c r="R144" s="23"/>
      <c r="S144" s="35">
        <f t="shared" si="87"/>
        <v>1</v>
      </c>
      <c r="T144" s="50" t="str">
        <f t="shared" si="88"/>
        <v>Southbound</v>
      </c>
      <c r="U144" s="18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21:17:09-0600',mode:absolute,to:'2016-10-18 00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4" s="52" t="str">
        <f t="shared" si="90"/>
        <v>N</v>
      </c>
      <c r="X144" s="178">
        <f>VALUE(LEFT(AD144,4))-VALUE(LEFT(AD143,4))</f>
        <v>1</v>
      </c>
      <c r="Y144" s="67">
        <f t="shared" si="91"/>
        <v>23.299800000000001</v>
      </c>
      <c r="Z144" s="67">
        <f t="shared" si="92"/>
        <v>1.7000000000000001E-2</v>
      </c>
      <c r="AA144" s="67">
        <f t="shared" si="93"/>
        <v>23.282800000000002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94"/>
        <v>0232-17</v>
      </c>
      <c r="AE144" s="91" t="str">
        <f t="shared" si="98"/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AF144" s="88" t="str">
        <f t="shared" si="99"/>
        <v>"C:\Program Files (x86)\AstroGrep\AstroGrep.exe" /spath="%USERPROFILE%\AppData\Local\Temp\OnboardLogs" /stypes="app*4037*20161018*" /stext=" 05:.+((SYSTEM_STATE.+slice.+state.+changed )|(ment ac)|(system.+state.+changed )|(\[timeout)|(PRM\|1\|D)|(kpr)|(kdp)|(\|lc)|(penalty))" /e /r /s</v>
      </c>
      <c r="AG144" s="1" t="str">
        <f t="shared" si="95"/>
        <v>EC</v>
      </c>
      <c r="AH144" s="92" t="str">
        <f t="shared" si="48"/>
        <v>"%USERPROFILE%\Documents\GitHub\eaglep3\Utilities\RefineRTDCRunTimes.py" --tripid 232-17 --locoid 4037 --swversion DE.1.0.7.0 --startMP 204:232998 --initTime 2016-10-17T22:17:09 --startdatetime 2016-10-17T22:26:18 --delay 1 --endMP 204:170 --enddatetime 2016-10-17T23:14:27 --enforcementcount 0 &gt;&gt;C:\Users\stu\Documents\GitHub\eaglep3-reporting\EC\2016-10-17-refined-times.txt</v>
      </c>
      <c r="AI144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{"issue":{"subject":"","project_id":79,"tracker_id":40,"status_id":1,"priority_id":2,"assigned_to_id":23,"start_date":"2016-10-17","description":"","custom_fields":[{"id":1,"name":"Subdivision","value":"EC"},{"id":4,"name":"Milepost","value":"0.017"},{"id":17,"name":"Train ID","value":"232-17"},{"id":16,"name":"Locomotive ID","value":"4037"},{"id":130,"name":"Impact","value":""},{"id":150,"name":"Time of Event (Mountain Time)","value":"23:14:27"},{"id":151,"name":"Denver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609</v>
      </c>
      <c r="B145" s="7">
        <v>4002</v>
      </c>
      <c r="C145" s="22" t="s">
        <v>99</v>
      </c>
      <c r="D145" s="22" t="s">
        <v>682</v>
      </c>
      <c r="E145" s="13">
        <v>42660.914027777777</v>
      </c>
      <c r="F145" s="13">
        <v>42660.916944444441</v>
      </c>
      <c r="G145" s="7">
        <v>1</v>
      </c>
      <c r="H145" s="13" t="s">
        <v>677</v>
      </c>
      <c r="I145" s="13">
        <v>42660.942372685182</v>
      </c>
      <c r="J145" s="7">
        <v>0</v>
      </c>
      <c r="K145" s="112" t="str">
        <f t="shared" si="84"/>
        <v>4001/4002</v>
      </c>
      <c r="L145" s="22" t="str">
        <f>VLOOKUP(A145,'Trips&amp;Operators'!$C$1:$E$10000,3,FALSE)</f>
        <v>CHANDLER</v>
      </c>
      <c r="M145" s="6">
        <f t="shared" si="85"/>
        <v>2.5428240740438923E-2</v>
      </c>
      <c r="N145" s="7">
        <f t="shared" si="86"/>
        <v>36.616666666232049</v>
      </c>
      <c r="O145" s="7"/>
      <c r="P145" s="7"/>
      <c r="Q145" s="23"/>
      <c r="R145" s="23"/>
      <c r="S145" s="35">
        <f t="shared" si="87"/>
        <v>1</v>
      </c>
      <c r="T145" s="50" t="str">
        <f t="shared" si="88"/>
        <v>NorthBound</v>
      </c>
      <c r="U145" s="18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20:56:12-0600',mode:absolute,to:'2016-10-17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90"/>
        <v>N</v>
      </c>
      <c r="X145" s="178">
        <f>VALUE(LEFT(AD145,4))-VALUE(LEFT(AD144,4))</f>
        <v>1</v>
      </c>
      <c r="Y145" s="67">
        <f t="shared" si="91"/>
        <v>4.3700000000000003E-2</v>
      </c>
      <c r="Z145" s="67">
        <f t="shared" si="92"/>
        <v>23.328600000000002</v>
      </c>
      <c r="AA145" s="67">
        <f t="shared" si="93"/>
        <v>23.2849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94"/>
        <v>0233-17</v>
      </c>
      <c r="AE145" s="91" t="str">
        <f t="shared" si="98"/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AF145" s="88" t="str">
        <f t="shared" si="99"/>
        <v>"C:\Program Files (x86)\AstroGrep\AstroGrep.exe" /spath="%USERPROFILE%\AppData\Local\Temp\OnboardLogs" /stypes="app*4002*20161018*" /stext=" 04:.+((SYSTEM_STATE.+slice.+state.+changed )|(ment ac)|(system.+state.+changed )|(\[timeout)|(PRM\|1\|D)|(kpr)|(kdp)|(\|lc)|(penalty))" /e /r /s</v>
      </c>
      <c r="AG145" s="1" t="str">
        <f t="shared" si="95"/>
        <v>EC</v>
      </c>
      <c r="AH145" s="92" t="str">
        <f t="shared" si="48"/>
        <v>"%USERPROFILE%\Documents\GitHub\eaglep3\Utilities\RefineRTDCRunTimes.py" --tripid 233-17 --locoid 4002 --swversion DE.1.0.7.0 --startMP 204:437 --initTime 2016-10-17T21:56:12 --startdatetime 2016-10-17T22:00:24 --delay 1 --endMP 204:233286 --enddatetime 2016-10-17T22:37:01 --enforcementcount 0 &gt;&gt;C:\Users\stu\Documents\GitHub\eaglep3-reporting\EC\2016-10-17-refined-times.txt</v>
      </c>
      <c r="AI145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{"issue":{"subject":"","project_id":79,"tracker_id":40,"status_id":1,"priority_id":2,"assigned_to_id":23,"start_date":"2016-10-17","description":"","custom_fields":[{"id":1,"name":"Subdivision","value":"EC"},{"id":4,"name":"Milepost","value":"23.3286"},{"id":17,"name":"Train ID","value":"233-17"},{"id":16,"name":"Locomotive ID","value":"4002"},{"id":130,"name":"Impact","value":""},{"id":150,"name":"Time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613</v>
      </c>
      <c r="B146" s="7">
        <v>4001</v>
      </c>
      <c r="C146" s="22" t="s">
        <v>99</v>
      </c>
      <c r="D146" s="22" t="s">
        <v>327</v>
      </c>
      <c r="E146" s="13">
        <v>42660.945983796293</v>
      </c>
      <c r="F146" s="13">
        <v>42660.955879629626</v>
      </c>
      <c r="G146" s="7">
        <v>1</v>
      </c>
      <c r="H146" s="13" t="s">
        <v>257</v>
      </c>
      <c r="I146" s="13">
        <v>42661.006342592591</v>
      </c>
      <c r="J146" s="7">
        <v>0</v>
      </c>
      <c r="K146" s="112" t="str">
        <f t="shared" si="84"/>
        <v>4001/4002</v>
      </c>
      <c r="L146" s="22" t="str">
        <f>VLOOKUP(A146,'Trips&amp;Operators'!$C$1:$E$10000,3,FALSE)</f>
        <v>CHANDLER</v>
      </c>
      <c r="M146" s="6">
        <f t="shared" si="85"/>
        <v>5.0462962964957114E-2</v>
      </c>
      <c r="N146" s="7">
        <f t="shared" si="86"/>
        <v>72.666666669538245</v>
      </c>
      <c r="O146" s="7"/>
      <c r="P146" s="7"/>
      <c r="Q146" s="23"/>
      <c r="R146" s="23" t="s">
        <v>787</v>
      </c>
      <c r="S146" s="35">
        <f t="shared" si="87"/>
        <v>1</v>
      </c>
      <c r="T146" s="50" t="str">
        <f t="shared" si="88"/>
        <v>Southbound</v>
      </c>
      <c r="U146" s="18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21:42:13-0600',mode:absolute,to:'2016-10-18 01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 t="shared" si="90"/>
        <v>N</v>
      </c>
      <c r="X146" s="178">
        <f>VALUE(LEFT(AD146,4))-VALUE(LEFT(AD145,4))</f>
        <v>1</v>
      </c>
      <c r="Y146" s="67">
        <f t="shared" si="91"/>
        <v>23.296900000000001</v>
      </c>
      <c r="Z146" s="67">
        <f t="shared" si="92"/>
        <v>1.6E-2</v>
      </c>
      <c r="AA146" s="67">
        <f t="shared" si="93"/>
        <v>23.280900000000003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94"/>
        <v>0234-17</v>
      </c>
      <c r="AE146" s="91" t="str">
        <f t="shared" si="98"/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AF146" s="88" t="str">
        <f t="shared" si="99"/>
        <v>"C:\Program Files (x86)\AstroGrep\AstroGrep.exe" /spath="%USERPROFILE%\AppData\Local\Temp\OnboardLogs" /stypes="app*4001*20161018*" /stext=" 06:.+((SYSTEM_STATE.+slice.+state.+changed )|(ment ac)|(system.+state.+changed )|(\[timeout)|(PRM\|1\|D)|(kpr)|(kdp)|(\|lc)|(penalty))" /e /r /s</v>
      </c>
      <c r="AG146" s="1" t="str">
        <f t="shared" si="95"/>
        <v>EC</v>
      </c>
      <c r="AH146" s="92" t="str">
        <f t="shared" si="48"/>
        <v>"%USERPROFILE%\Documents\GitHub\eaglep3\Utilities\RefineRTDCRunTimes.py" --tripid 234-17 --locoid 4001 --swversion DE.1.0.7.0 --startMP 204:232969 --initTime 2016-10-17T22:42:13 --startdatetime 2016-10-17T22:56:28 --delay 1 --endMP 204:160 --enddatetime 2016-10-18T00:09:08 --enforcementcount 0 &gt;&gt;C:\Users\stu\Documents\GitHub\eaglep3-reporting\EC\2016-10-17-refined-times.txt</v>
      </c>
      <c r="AI146" s="122" t="str">
        <f t="shared" si="49"/>
        <v>echo {"issue":{"subject":"Extended stay at Peoria - OCS maintenance","project_id":79,"tracker_id":40,"status_id":1,"priority_id":2,"assigned_to_id":23,"start_date":"2016-10-18","description":"","custom_fields":[{"id":1,"name":"Subdivision","value":"EC"},{"id":4,"name":"Milepost","value":"0.016"},{"id":17,"name":"Train ID","value":"234-17"},{"id":16,"name":"Locomotive ID","value":"4001"},{"id":130,"name":"Impact","value":""},{"id":150,"name":"Time of Event (Mountain Time)","value":"00:09:08"},{"id":151,"name":"Denver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611</v>
      </c>
      <c r="B147" s="7">
        <v>4011</v>
      </c>
      <c r="C147" s="22" t="s">
        <v>99</v>
      </c>
      <c r="D147" s="22" t="s">
        <v>326</v>
      </c>
      <c r="E147" s="13">
        <v>42660.93372685185</v>
      </c>
      <c r="F147" s="13">
        <v>42660.945023148146</v>
      </c>
      <c r="G147" s="7">
        <v>1</v>
      </c>
      <c r="H147" s="13" t="s">
        <v>288</v>
      </c>
      <c r="I147" s="13">
        <v>42660.970335648148</v>
      </c>
      <c r="J147" s="7">
        <v>0</v>
      </c>
      <c r="K147" s="112" t="str">
        <f t="shared" si="84"/>
        <v>4011/4012</v>
      </c>
      <c r="L147" s="22" t="str">
        <f>VLOOKUP(A147,'Trips&amp;Operators'!$C$1:$E$10000,3,FALSE)</f>
        <v>YANAI</v>
      </c>
      <c r="M147" s="6">
        <f t="shared" si="85"/>
        <v>2.531250000174623E-2</v>
      </c>
      <c r="N147" s="7">
        <f t="shared" si="86"/>
        <v>36.450000002514571</v>
      </c>
      <c r="O147" s="7"/>
      <c r="P147" s="7"/>
      <c r="Q147" s="23"/>
      <c r="R147" s="23"/>
      <c r="S147" s="35">
        <f t="shared" si="87"/>
        <v>1</v>
      </c>
      <c r="T147" s="50" t="str">
        <f t="shared" si="88"/>
        <v>NorthBound</v>
      </c>
      <c r="U147" s="18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21:24:34-0600',mode:absolute,to:'2016-10-18 00:17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90"/>
        <v>N</v>
      </c>
      <c r="X147" s="178">
        <f t="shared" ref="X147:X151" si="100">VALUE(LEFT(AD147,4))-VALUE(LEFT(AD146,4))</f>
        <v>1</v>
      </c>
      <c r="Y147" s="67">
        <f t="shared" si="91"/>
        <v>4.3299999999999998E-2</v>
      </c>
      <c r="Z147" s="67">
        <f t="shared" si="92"/>
        <v>23.330100000000002</v>
      </c>
      <c r="AA147" s="67">
        <f t="shared" si="93"/>
        <v>23.286800000000003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94"/>
        <v>0235-17</v>
      </c>
      <c r="AE147" s="91" t="str">
        <f t="shared" si="98"/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AF147" s="88" t="str">
        <f t="shared" si="99"/>
        <v>"C:\Program Files (x86)\AstroGrep\AstroGrep.exe" /spath="%USERPROFILE%\AppData\Local\Temp\OnboardLogs" /stypes="app*4011*20161018*" /stext=" 05:.+((SYSTEM_STATE.+slice.+state.+changed )|(ment ac)|(system.+state.+changed )|(\[timeout)|(PRM\|1\|D)|(kpr)|(kdp)|(\|lc)|(penalty))" /e /r /s</v>
      </c>
      <c r="AG147" s="1" t="str">
        <f t="shared" si="95"/>
        <v>EC</v>
      </c>
      <c r="AH147" s="92" t="str">
        <f t="shared" si="48"/>
        <v>"%USERPROFILE%\Documents\GitHub\eaglep3\Utilities\RefineRTDCRunTimes.py" --tripid 235-17 --locoid 4011 --swversion DE.1.0.7.0 --startMP 204:433 --initTime 2016-10-17T22:24:34 --startdatetime 2016-10-17T22:40:50 --delay 1 --endMP 204:233301 --enddatetime 2016-10-17T23:17:17 --enforcementcount 0 &gt;&gt;C:\Users\stu\Documents\GitHub\eaglep3-reporting\EC\2016-10-17-refined-times.txt</v>
      </c>
      <c r="AI147" s="122" t="str">
        <f t="shared" si="49"/>
        <v>echo {"issue":{"subject":"","project_id":79,"tracker_id":40,"status_id":1,"priority_id":2,"assigned_to_id":23,"start_date":"2016-10-17","description":"","custom_fields":[{"id":1,"name":"Subdivision","value":"EC"},{"id":4,"name":"Milepost","value":"23.3301"},{"id":17,"name":"Train ID","value":"235-17"},{"id":16,"name":"Locomotive ID","value":"4011"},{"id":130,"name":"Impact","value":""},{"id":150,"name":"Time of Event (Mountain Time)","value":"23:17:17"},{"id":151,"name":"Denver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616</v>
      </c>
      <c r="B148" s="7">
        <v>4012</v>
      </c>
      <c r="C148" s="22" t="s">
        <v>99</v>
      </c>
      <c r="D148" s="22" t="s">
        <v>659</v>
      </c>
      <c r="E148" s="13">
        <v>42660.971909722219</v>
      </c>
      <c r="F148" s="13">
        <v>42660.976643518516</v>
      </c>
      <c r="G148" s="7">
        <v>1</v>
      </c>
      <c r="H148" s="13" t="s">
        <v>683</v>
      </c>
      <c r="I148" s="13">
        <v>42661.031469907408</v>
      </c>
      <c r="J148" s="7">
        <v>0</v>
      </c>
      <c r="K148" s="112" t="str">
        <f t="shared" si="84"/>
        <v>4011/4012</v>
      </c>
      <c r="L148" s="22" t="str">
        <f>VLOOKUP(A148,'Trips&amp;Operators'!$C$1:$E$10000,3,FALSE)</f>
        <v>YANAI</v>
      </c>
      <c r="M148" s="6">
        <f t="shared" si="85"/>
        <v>5.4826388892251998E-2</v>
      </c>
      <c r="N148" s="7">
        <f t="shared" si="86"/>
        <v>78.950000004842877</v>
      </c>
      <c r="O148" s="7"/>
      <c r="P148" s="7"/>
      <c r="Q148" s="23"/>
      <c r="R148" s="23" t="s">
        <v>787</v>
      </c>
      <c r="S148" s="35">
        <f t="shared" si="87"/>
        <v>1</v>
      </c>
      <c r="T148" s="50" t="str">
        <f t="shared" si="88"/>
        <v>Southbound</v>
      </c>
      <c r="U148" s="18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22:19:33-0600',mode:absolute,to:'2016-10-18 01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90"/>
        <v>N</v>
      </c>
      <c r="X148" s="178">
        <f t="shared" si="100"/>
        <v>1</v>
      </c>
      <c r="Y148" s="67">
        <f t="shared" si="91"/>
        <v>23.2986</v>
      </c>
      <c r="Z148" s="67">
        <f t="shared" si="92"/>
        <v>1.46E-2</v>
      </c>
      <c r="AA148" s="67">
        <f t="shared" si="93"/>
        <v>23.283999999999999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94"/>
        <v>0236-17</v>
      </c>
      <c r="AE148" s="91" t="str">
        <f t="shared" si="98"/>
        <v>aws s3 cp s3://rtdc.mdm.uploadarchive.raw/RTDC4012/ "%USERPROFILE%\AppData\Local\Temp\OnboardLogs"\RTDC4012\2016-10-17 --exclude "*" --recursive --include "*20161017*" &amp; "%USERPROFILE%\Documents\GitHub\mrs-test-scripts\Headless Mode &amp; Sideloading\WalkAndUnGZ.bat" "%USERPROFILE%\AppData\Local\Temp\OnboardLogs"\RTDC4012\2016-10-17 &amp; aws s3 cp s3://rtdc.mdm.uploadarchive.raw/RTDC4012/ "%USERPROFILE%\AppData\Local\Temp\OnboardLogs"\RTDC4012\2016-10-18 --exclude "*" --recursive --include "*20161018*" &amp; "%USERPROFILE%\Documents\GitHub\mrs-test-scripts\Headless Mode &amp; Sideloading\WalkAndUnGZ.bat" "%USERPROFILE%\AppData\Local\Temp\OnboardLogs"\RTDC4012\2016-10-18</v>
      </c>
      <c r="AF148" s="88" t="str">
        <f t="shared" si="99"/>
        <v>"C:\Program Files (x86)\AstroGrep\AstroGrep.exe" /spath="%USERPROFILE%\AppData\Local\Temp\OnboardLogs" /stypes="app*4012*20161018*" /stext=" 06:.+((SYSTEM_STATE.+slice.+state.+changed )|(ment ac)|(system.+state.+changed )|(\[timeout)|(PRM\|1\|D)|(kpr)|(kdp)|(\|lc)|(penalty))" /e /r /s</v>
      </c>
      <c r="AG148" s="1" t="str">
        <f t="shared" si="95"/>
        <v>EC</v>
      </c>
      <c r="AH148" s="92" t="str">
        <f t="shared" si="48"/>
        <v>"%USERPROFILE%\Documents\GitHub\eaglep3\Utilities\RefineRTDCRunTimes.py" --tripid 236-17 --locoid 4012 --swversion DE.1.0.7.0 --startMP 204:232986 --initTime 2016-10-17T23:19:33 --startdatetime 2016-10-17T23:26:22 --delay 1 --endMP 204:146 --enddatetime 2016-10-18T00:45:19 --enforcementcount 0 &gt;&gt;C:\Users\stu\Documents\GitHub\eaglep3-reporting\EC\2016-10-17-refined-times.txt</v>
      </c>
      <c r="AI148" s="122" t="str">
        <f t="shared" si="49"/>
        <v>echo {"issue":{"subject":"Extended stay at Peoria - OCS maintenance","project_id":79,"tracker_id":40,"status_id":1,"priority_id":2,"assigned_to_id":23,"start_date":"2016-10-18","description":"","custom_fields":[{"id":1,"name":"Subdivision","value":"EC"},{"id":4,"name":"Milepost","value":"0.0146"},{"id":17,"name":"Train ID","value":"236-17"},{"id":16,"name":"Locomotive ID","value":"4012"},{"id":130,"name":"Impact","value":""},{"id":150,"name":"Time of Event (Mountain Time)","value":"00:45:19"},{"id":151,"name":"Denver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776</v>
      </c>
      <c r="B149" s="7"/>
      <c r="C149" s="22" t="s">
        <v>99</v>
      </c>
      <c r="D149" s="22" t="s">
        <v>659</v>
      </c>
      <c r="E149" s="13">
        <v>42660.971909722219</v>
      </c>
      <c r="F149" s="13"/>
      <c r="G149" s="7">
        <v>1</v>
      </c>
      <c r="H149" s="13" t="s">
        <v>683</v>
      </c>
      <c r="I149" s="13"/>
      <c r="J149" s="7">
        <v>0</v>
      </c>
      <c r="K149" s="112" t="str">
        <f t="shared" si="84"/>
        <v>-1/</v>
      </c>
      <c r="L149" s="22" t="e">
        <f>VLOOKUP(A149,'Trips&amp;Operators'!$C$1:$E$10000,3,FALSE)</f>
        <v>#N/A</v>
      </c>
      <c r="M149" s="6">
        <f t="shared" si="85"/>
        <v>0</v>
      </c>
      <c r="N149" s="7"/>
      <c r="O149" s="7"/>
      <c r="P149" s="7">
        <v>1</v>
      </c>
      <c r="Q149" s="23"/>
      <c r="R149" s="23" t="s">
        <v>388</v>
      </c>
      <c r="S149" s="35">
        <f t="shared" si="87"/>
        <v>1</v>
      </c>
      <c r="T149" s="50" t="str">
        <f t="shared" si="88"/>
        <v>Southbound</v>
      </c>
      <c r="U149" s="18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22:19:33-0600',mode:absolute,to:'1900-01-00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9" s="52" t="str">
        <f t="shared" si="90"/>
        <v>N</v>
      </c>
      <c r="X149" s="178">
        <f t="shared" si="100"/>
        <v>2</v>
      </c>
      <c r="Y149" s="67">
        <f t="shared" si="91"/>
        <v>23.2986</v>
      </c>
      <c r="Z149" s="67">
        <f t="shared" si="92"/>
        <v>1.46E-2</v>
      </c>
      <c r="AA149" s="67">
        <f t="shared" si="93"/>
        <v>23.283999999999999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94"/>
        <v>0238-17</v>
      </c>
      <c r="AE149" s="91" t="str">
        <f t="shared" si="9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8" t="str">
        <f t="shared" si="99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9" s="1" t="str">
        <f t="shared" si="95"/>
        <v>EC</v>
      </c>
      <c r="AH149" s="92" t="str">
        <f t="shared" ref="AH149" si="101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238-17 --locoid  --swversion DE.1.0.7.0 --startMP 204:232986 --initTime 2016-10-17T23:19:33 --startdatetime 1900-01-00T00:00:00 --delay 1 --endMP 204:146 --enddatetime 1900-01-00T00:00:00 --enforcementcount 0 &gt;&gt;C:\Users\stu\Documents\GitHub\eaglep3-reporting\EC\2016-10-17-refined-times.txt</v>
      </c>
      <c r="AI149" s="122" t="str">
        <f t="shared" ref="AI149" si="102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init","project_id":79,"tracker_id":40,"status_id":1,"priority_id":2,"assigned_to_id":23,"start_date":"1900-01-00","description":"","custom_fields":[{"id":1,"name":"Subdivision","value":"EC"},{"id":4,"name":"Milepost","value":"0.0146"},{"id":17,"name":"Train ID","value":"238-17"},{"id":16,"name":"Locomotive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x14ac:dyDescent="0.25">
      <c r="A150" s="37" t="s">
        <v>615</v>
      </c>
      <c r="B150" s="7">
        <v>4046</v>
      </c>
      <c r="C150" s="22" t="s">
        <v>99</v>
      </c>
      <c r="D150" s="22" t="s">
        <v>233</v>
      </c>
      <c r="E150" s="13">
        <v>42660.961921296293</v>
      </c>
      <c r="F150" s="13">
        <v>42660.979363425926</v>
      </c>
      <c r="G150" s="7">
        <v>1</v>
      </c>
      <c r="H150" s="13" t="s">
        <v>254</v>
      </c>
      <c r="I150" s="13">
        <v>42661.006712962961</v>
      </c>
      <c r="J150" s="7">
        <v>0</v>
      </c>
      <c r="K150" s="112" t="str">
        <f t="shared" si="84"/>
        <v>4045/4046</v>
      </c>
      <c r="L150" s="22" t="str">
        <f>VLOOKUP(A150,'Trips&amp;Operators'!$C$1:$E$10000,3,FALSE)</f>
        <v>LEVERE</v>
      </c>
      <c r="M150" s="6">
        <f t="shared" si="85"/>
        <v>2.7349537034751847E-2</v>
      </c>
      <c r="N150" s="7">
        <f t="shared" ref="N150:N189" si="103">24*60*SUM($M150:$M150)</f>
        <v>39.38333333004266</v>
      </c>
      <c r="O150" s="7"/>
      <c r="P150" s="7"/>
      <c r="Q150" s="23"/>
      <c r="R150" s="23"/>
      <c r="S150" s="35">
        <f t="shared" si="87"/>
        <v>1</v>
      </c>
      <c r="T150" s="50" t="str">
        <f t="shared" si="88"/>
        <v>NorthBound</v>
      </c>
      <c r="U150" s="18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22:05:10-0600',mode:absolute,to:'2016-10-18 01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2" t="str">
        <f t="shared" si="90"/>
        <v>N</v>
      </c>
      <c r="X150" s="178">
        <f t="shared" si="100"/>
        <v>1</v>
      </c>
      <c r="Y150" s="67">
        <f t="shared" si="91"/>
        <v>4.58E-2</v>
      </c>
      <c r="Z150" s="67">
        <f t="shared" si="92"/>
        <v>23.329899999999999</v>
      </c>
      <c r="AA150" s="67">
        <f t="shared" si="93"/>
        <v>23.284099999999999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94"/>
        <v>0239-17</v>
      </c>
      <c r="AE150" s="91" t="str">
        <f t="shared" si="98"/>
        <v>aws s3 cp s3://rtdc.mdm.uploadarchive.raw/RTDC4046/ "%USERPROFILE%\AppData\Local\Temp\OnboardLogs"\RTDC4046\2016-10-17 --exclude "*" --recursive --include "*20161017*" &amp; "%USERPROFILE%\Documents\GitHub\mrs-test-scripts\Headless Mode &amp; Sideloading\WalkAndUnGZ.bat" "%USERPROFILE%\AppData\Local\Temp\OnboardLogs"\RTDC4046\2016-10-17 &amp; 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</v>
      </c>
      <c r="AF150" s="88" t="str">
        <f t="shared" si="99"/>
        <v>"C:\Program Files (x86)\AstroGrep\AstroGrep.exe" /spath="%USERPROFILE%\AppData\Local\Temp\OnboardLogs" /stypes="app*4046*20161018*" /stext=" 06:.+((SYSTEM_STATE.+slice.+state.+changed )|(ment ac)|(system.+state.+changed )|(\[timeout)|(PRM\|1\|D)|(kpr)|(kdp)|(\|lc)|(penalty))" /e /r /s</v>
      </c>
      <c r="AG150" s="1" t="str">
        <f t="shared" si="95"/>
        <v>EC</v>
      </c>
      <c r="AH150" s="92" t="str">
        <f t="shared" si="48"/>
        <v>"%USERPROFILE%\Documents\GitHub\eaglep3\Utilities\RefineRTDCRunTimes.py" --tripid 239-17 --locoid 4046 --swversion DE.1.0.7.0 --startMP 204:458 --initTime 2016-10-17T23:05:10 --startdatetime 2016-10-17T23:30:17 --delay 1 --endMP 204:233299 --enddatetime 2016-10-18T00:09:40 --enforcementcount 0 &gt;&gt;C:\Users\stu\Documents\GitHub\eaglep3-reporting\EC\2016-10-17-refined-times.txt</v>
      </c>
      <c r="AI150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{"issue":{"subject":"","project_id":79,"tracker_id":40,"status_id":1,"priority_id":2,"assigned_to_id":23,"start_date":"2016-10-18","description":"","custom_fields":[{"id":1,"name":"Subdivision","value":"EC"},{"id":4,"name":"Milepost","value":"23.3299"},{"id":17,"name":"Train ID","value":"239-17"},{"id":16,"name":"Locomotive ID","value":"4046"},{"id":130,"name":"Impact","value":""},{"id":150,"name":"Time of Event (Mountain Time)","value":"00:09:40"},{"id":151,"name":"Denver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618</v>
      </c>
      <c r="B151" s="7">
        <v>4045</v>
      </c>
      <c r="C151" s="22" t="s">
        <v>99</v>
      </c>
      <c r="D151" s="22" t="s">
        <v>684</v>
      </c>
      <c r="E151" s="13">
        <v>42661.014039351852</v>
      </c>
      <c r="F151" s="13">
        <v>42661.01829861111</v>
      </c>
      <c r="G151" s="7">
        <v>1</v>
      </c>
      <c r="H151" s="13" t="s">
        <v>232</v>
      </c>
      <c r="I151" s="13">
        <v>42661.059004629627</v>
      </c>
      <c r="J151" s="7">
        <v>0</v>
      </c>
      <c r="K151" s="112" t="str">
        <f t="shared" si="84"/>
        <v>4045/4046</v>
      </c>
      <c r="L151" s="22" t="str">
        <f>VLOOKUP(A151,'Trips&amp;Operators'!$C$1:$E$10000,3,FALSE)</f>
        <v>LEVERE</v>
      </c>
      <c r="M151" s="6">
        <f t="shared" si="85"/>
        <v>4.0706018517084885E-2</v>
      </c>
      <c r="N151" s="7">
        <f t="shared" si="103"/>
        <v>58.616666664602235</v>
      </c>
      <c r="O151" s="7"/>
      <c r="P151" s="7"/>
      <c r="Q151" s="23"/>
      <c r="R151" s="23" t="s">
        <v>787</v>
      </c>
      <c r="S151" s="35">
        <f t="shared" si="87"/>
        <v>1</v>
      </c>
      <c r="T151" s="50" t="str">
        <f t="shared" si="88"/>
        <v>Southbound</v>
      </c>
      <c r="U151" s="18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23:20:13-0600',mode:absolute,to:'2016-10-18 02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2" t="str">
        <f t="shared" si="90"/>
        <v>N</v>
      </c>
      <c r="X151" s="178">
        <f t="shared" si="100"/>
        <v>1</v>
      </c>
      <c r="Y151" s="67">
        <f t="shared" si="91"/>
        <v>23.296700000000001</v>
      </c>
      <c r="Z151" s="67">
        <f t="shared" si="92"/>
        <v>1.4500000000000001E-2</v>
      </c>
      <c r="AA151" s="67">
        <f t="shared" si="93"/>
        <v>23.2822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94"/>
        <v>0240-17</v>
      </c>
      <c r="AE151" s="91" t="str">
        <f t="shared" si="98"/>
        <v>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 &amp; 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</v>
      </c>
      <c r="AF151" s="88" t="str">
        <f t="shared" si="99"/>
        <v>"C:\Program Files (x86)\AstroGrep\AstroGrep.exe" /spath="%USERPROFILE%\AppData\Local\Temp\OnboardLogs" /stypes="app*4045*20161018*" /stext=" 07:.+((SYSTEM_STATE.+slice.+state.+changed )|(ment ac)|(system.+state.+changed )|(\[timeout)|(PRM\|1\|D)|(kpr)|(kdp)|(\|lc)|(penalty))" /e /r /s</v>
      </c>
      <c r="AG151" s="1" t="str">
        <f t="shared" si="95"/>
        <v>EC</v>
      </c>
      <c r="AH151" s="92" t="str">
        <f t="shared" si="48"/>
        <v>"%USERPROFILE%\Documents\GitHub\eaglep3\Utilities\RefineRTDCRunTimes.py" --tripid 240-17 --locoid 4045 --swversion DE.1.0.7.0 --startMP 204:232967 --initTime 2016-10-18T00:20:13 --startdatetime 2016-10-18T00:26:21 --delay 1 --endMP 204:145 --enddatetime 2016-10-18T01:24:58 --enforcementcount 0 &gt;&gt;C:\Users\stu\Documents\GitHub\eaglep3-reporting\EC\2016-10-17-refined-times.txt</v>
      </c>
      <c r="AI151" s="122" t="str">
        <f t="shared" si="49"/>
        <v>echo {"issue":{"subject":"Extended stay at Peoria - OCS maintenance","project_id":79,"tracker_id":40,"status_id":1,"priority_id":2,"assigned_to_id":23,"start_date":"2016-10-18","description":"","custom_fields":[{"id":1,"name":"Subdivision","value":"EC"},{"id":4,"name":"Milepost","value":"0.0145"},{"id":17,"name":"Train ID","value":"240-17"},{"id":16,"name":"Locomotive ID","value":"4045"},{"id":130,"name":"Impact","value":""},{"id":150,"name":"Time of Event (Mountain Time)","value":"01:24:58"},{"id":151,"name":"Denver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617</v>
      </c>
      <c r="B152" s="7">
        <v>4038</v>
      </c>
      <c r="C152" s="22" t="s">
        <v>99</v>
      </c>
      <c r="D152" s="22" t="s">
        <v>242</v>
      </c>
      <c r="E152" s="13">
        <v>42660.977256944447</v>
      </c>
      <c r="F152" s="13">
        <v>42661.006493055553</v>
      </c>
      <c r="G152" s="7">
        <v>1</v>
      </c>
      <c r="H152" s="13" t="s">
        <v>314</v>
      </c>
      <c r="I152" s="13">
        <v>42661.031585648147</v>
      </c>
      <c r="J152" s="7">
        <v>0</v>
      </c>
      <c r="K152" s="112" t="str">
        <f t="shared" si="84"/>
        <v>4037/4038</v>
      </c>
      <c r="L152" s="22" t="str">
        <f>VLOOKUP(A152,'Trips&amp;Operators'!$C$1:$E$10000,3,FALSE)</f>
        <v>NEWELL</v>
      </c>
      <c r="M152" s="6">
        <f t="shared" si="85"/>
        <v>2.5092592593864538E-2</v>
      </c>
      <c r="N152" s="7">
        <f t="shared" si="103"/>
        <v>36.133333335164934</v>
      </c>
      <c r="O152" s="7"/>
      <c r="P152" s="7"/>
      <c r="Q152" s="23"/>
      <c r="R152" s="23"/>
      <c r="S152" s="35">
        <f t="shared" si="87"/>
        <v>1</v>
      </c>
      <c r="T152" s="50" t="str">
        <f t="shared" si="88"/>
        <v>NorthBound</v>
      </c>
      <c r="U152" s="18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22:27:15-0600',mode:absolute,to:'2016-10-18 01:45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2" s="52" t="str">
        <f t="shared" si="90"/>
        <v>N</v>
      </c>
      <c r="X152" s="178">
        <f t="shared" ref="X152:X153" si="104">VALUE(LEFT(AD152,4))-VALUE(LEFT(AD151,4))</f>
        <v>1</v>
      </c>
      <c r="Y152" s="67">
        <f t="shared" si="91"/>
        <v>4.6399999999999997E-2</v>
      </c>
      <c r="Z152" s="67">
        <f t="shared" si="92"/>
        <v>23.330500000000001</v>
      </c>
      <c r="AA152" s="67">
        <f t="shared" si="93"/>
        <v>23.284100000000002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94"/>
        <v>0241-17</v>
      </c>
      <c r="AE152" s="91" t="str">
        <f t="shared" si="98"/>
        <v>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 &amp; aws s3 cp s3://rtdc.mdm.uploadarchive.raw/RTDC4038/ "%USERPROFILE%\AppData\Local\Temp\OnboardLogs"\RTDC4038\2016-10-19 --exclude "*" --recursive --include "*20161019*" &amp; "%USERPROFILE%\Documents\GitHub\mrs-test-scripts\Headless Mode &amp; Sideloading\WalkAndUnGZ.bat" "%USERPROFILE%\AppData\Local\Temp\OnboardLogs"\RTDC4038\2016-10-19</v>
      </c>
      <c r="AF152" s="88" t="str">
        <f t="shared" si="99"/>
        <v>"C:\Program Files (x86)\AstroGrep\AstroGrep.exe" /spath="%USERPROFILE%\AppData\Local\Temp\OnboardLogs" /stypes="app*4038*20161018*" /stext=" 06:.+((SYSTEM_STATE.+slice.+state.+changed )|(ment ac)|(system.+state.+changed )|(\[timeout)|(PRM\|1\|D)|(kpr)|(kdp)|(\|lc)|(penalty))" /e /r /s</v>
      </c>
      <c r="AG152" s="1" t="str">
        <f t="shared" si="95"/>
        <v>EC</v>
      </c>
      <c r="AH152" s="92" t="str">
        <f t="shared" si="48"/>
        <v>"%USERPROFILE%\Documents\GitHub\eaglep3\Utilities\RefineRTDCRunTimes.py" --tripid 241-17 --locoid 4038 --swversion DE.1.0.7.0 --startMP 204:464 --initTime 2016-10-17T23:27:15 --startdatetime 2016-10-18T00:09:21 --delay 1 --endMP 204:233305 --enddatetime 2016-10-18T00:45:29 --enforcementcount 0 &gt;&gt;C:\Users\stu\Documents\GitHub\eaglep3-reporting\EC\2016-10-17-refined-times.txt</v>
      </c>
      <c r="AI152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{"issue":{"subject":"","project_id":79,"tracker_id":40,"status_id":1,"priority_id":2,"assigned_to_id":23,"start_date":"2016-10-18","description":"","custom_fields":[{"id":1,"name":"Subdivision","value":"EC"},{"id":4,"name":"Milepost","value":"23.3305"},{"id":17,"name":"Train ID","value":"241-17"},{"id":16,"name":"Locomotive ID","value":"4038"},{"id":130,"name":"Impact","value":""},{"id":150,"name":"Time of Event (Mountain Time)","value":"00:45:29"},{"id":151,"name":"Denver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620</v>
      </c>
      <c r="B153" s="7">
        <v>4037</v>
      </c>
      <c r="C153" s="22" t="s">
        <v>99</v>
      </c>
      <c r="D153" s="22" t="s">
        <v>285</v>
      </c>
      <c r="E153" s="13">
        <v>42661.033229166664</v>
      </c>
      <c r="F153" s="13">
        <v>42661.039027777777</v>
      </c>
      <c r="G153" s="7">
        <v>1</v>
      </c>
      <c r="H153" s="13" t="s">
        <v>232</v>
      </c>
      <c r="I153" s="13">
        <v>42661.066250000003</v>
      </c>
      <c r="J153" s="7">
        <v>0</v>
      </c>
      <c r="K153" s="112" t="str">
        <f t="shared" si="84"/>
        <v>4037/4038</v>
      </c>
      <c r="L153" s="22" t="str">
        <f>VLOOKUP(A153,'Trips&amp;Operators'!$C$1:$E$10000,3,FALSE)</f>
        <v>NEWELL</v>
      </c>
      <c r="M153" s="6">
        <f t="shared" si="85"/>
        <v>2.7222222226555459E-2</v>
      </c>
      <c r="N153" s="7">
        <f t="shared" si="103"/>
        <v>39.200000006239861</v>
      </c>
      <c r="O153" s="7"/>
      <c r="P153" s="7"/>
      <c r="Q153" s="23"/>
      <c r="R153" s="23"/>
      <c r="S153" s="35">
        <f t="shared" si="87"/>
        <v>1</v>
      </c>
      <c r="T153" s="50" t="str">
        <f t="shared" si="88"/>
        <v>Southbound</v>
      </c>
      <c r="U153" s="18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23:47:51-0600',mode:absolute,to:'2016-10-18 02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3" s="52" t="str">
        <f t="shared" si="90"/>
        <v>N</v>
      </c>
      <c r="X153" s="178">
        <f t="shared" si="104"/>
        <v>1</v>
      </c>
      <c r="Y153" s="67">
        <f t="shared" si="91"/>
        <v>23.297699999999999</v>
      </c>
      <c r="Z153" s="67">
        <f t="shared" si="92"/>
        <v>1.4500000000000001E-2</v>
      </c>
      <c r="AA153" s="67">
        <f t="shared" si="93"/>
        <v>23.283199999999997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94"/>
        <v>0242-17</v>
      </c>
      <c r="AE153" s="91" t="str">
        <f t="shared" si="98"/>
        <v>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 &amp; aws s3 cp s3://rtdc.mdm.uploadarchive.raw/RTDC4037/ "%USERPROFILE%\AppData\Local\Temp\OnboardLogs"\RTDC4037\2016-10-19 --exclude "*" --recursive --include "*20161019*" &amp; "%USERPROFILE%\Documents\GitHub\mrs-test-scripts\Headless Mode &amp; Sideloading\WalkAndUnGZ.bat" "%USERPROFILE%\AppData\Local\Temp\OnboardLogs"\RTDC4037\2016-10-19</v>
      </c>
      <c r="AF153" s="88" t="str">
        <f t="shared" si="99"/>
        <v>"C:\Program Files (x86)\AstroGrep\AstroGrep.exe" /spath="%USERPROFILE%\AppData\Local\Temp\OnboardLogs" /stypes="app*4037*20161018*" /stext=" 07:.+((SYSTEM_STATE.+slice.+state.+changed )|(ment ac)|(system.+state.+changed )|(\[timeout)|(PRM\|1\|D)|(kpr)|(kdp)|(\|lc)|(penalty))" /e /r /s</v>
      </c>
      <c r="AG153" s="1" t="str">
        <f t="shared" si="95"/>
        <v>EC</v>
      </c>
      <c r="AH153" s="92" t="str">
        <f t="shared" si="48"/>
        <v>"%USERPROFILE%\Documents\GitHub\eaglep3\Utilities\RefineRTDCRunTimes.py" --tripid 242-17 --locoid 4037 --swversion DE.1.0.7.0 --startMP 204:232977 --initTime 2016-10-18T00:47:51 --startdatetime 2016-10-18T00:56:12 --delay 1 --endMP 204:145 --enddatetime 2016-10-18T01:35:24 --enforcementcount 0 &gt;&gt;C:\Users\stu\Documents\GitHub\eaglep3-reporting\EC\2016-10-17-refined-times.txt</v>
      </c>
      <c r="AI153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{"issue":{"subject":"","project_id":79,"tracker_id":40,"status_id":1,"priority_id":2,"assigned_to_id":23,"start_date":"2016-10-18","description":"","custom_fields":[{"id":1,"name":"Subdivision","value":"EC"},{"id":4,"name":"Milepost","value":"0.0145"},{"id":17,"name":"Train ID","value":"242-17"},{"id":16,"name":"Locomotive ID","value":"4037"},{"id":130,"name":"Impact","value":""},{"id":150,"name":"Time of Event (Mountain Time)","value":"01:35:24"},{"id":151,"name":"Denver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619</v>
      </c>
      <c r="B154" s="7">
        <v>4002</v>
      </c>
      <c r="C154" s="22" t="s">
        <v>99</v>
      </c>
      <c r="D154" s="22" t="s">
        <v>379</v>
      </c>
      <c r="E154" s="13">
        <v>42661.017175925925</v>
      </c>
      <c r="F154" s="13">
        <v>42661.031331018516</v>
      </c>
      <c r="G154" s="7">
        <v>1</v>
      </c>
      <c r="H154" s="13" t="s">
        <v>262</v>
      </c>
      <c r="I154" s="13">
        <v>42661.056712962964</v>
      </c>
      <c r="J154" s="7">
        <v>0</v>
      </c>
      <c r="K154" s="112" t="str">
        <f t="shared" si="84"/>
        <v>4001/4002</v>
      </c>
      <c r="L154" s="22" t="str">
        <f>VLOOKUP(A154,'Trips&amp;Operators'!$C$1:$E$10000,3,FALSE)</f>
        <v>CHANDLER</v>
      </c>
      <c r="M154" s="6">
        <f t="shared" si="85"/>
        <v>2.5381944447872229E-2</v>
      </c>
      <c r="N154" s="7">
        <f t="shared" si="103"/>
        <v>36.55000000493601</v>
      </c>
      <c r="O154" s="7"/>
      <c r="P154" s="7"/>
      <c r="Q154" s="23"/>
      <c r="R154" s="23"/>
      <c r="S154" s="35">
        <f t="shared" si="87"/>
        <v>1</v>
      </c>
      <c r="T154" s="50" t="str">
        <f t="shared" si="88"/>
        <v>NorthBound</v>
      </c>
      <c r="U154" s="18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23:24:44-0600',mode:absolute,to:'2016-10-18 02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4" s="52" t="str">
        <f t="shared" si="90"/>
        <v>N</v>
      </c>
      <c r="X154" s="178">
        <f t="shared" ref="X154:X189" si="105">VALUE(LEFT(AD154,4))-VALUE(LEFT(AD153,4))</f>
        <v>1</v>
      </c>
      <c r="Y154" s="67">
        <f t="shared" si="91"/>
        <v>4.8399999999999999E-2</v>
      </c>
      <c r="Z154" s="67">
        <f t="shared" si="92"/>
        <v>23.3291</v>
      </c>
      <c r="AA154" s="67">
        <f t="shared" si="93"/>
        <v>23.2807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94"/>
        <v>0243-17</v>
      </c>
      <c r="AE154" s="91" t="str">
        <f t="shared" si="98"/>
        <v>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 &amp; 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</v>
      </c>
      <c r="AF154" s="88" t="str">
        <f t="shared" si="99"/>
        <v>"C:\Program Files (x86)\AstroGrep\AstroGrep.exe" /spath="%USERPROFILE%\AppData\Local\Temp\OnboardLogs" /stypes="app*4002*20161018*" /stext=" 07:.+((SYSTEM_STATE.+slice.+state.+changed )|(ment ac)|(system.+state.+changed )|(\[timeout)|(PRM\|1\|D)|(kpr)|(kdp)|(\|lc)|(penalty))" /e /r /s</v>
      </c>
      <c r="AG154" s="1" t="str">
        <f t="shared" si="95"/>
        <v>EC</v>
      </c>
      <c r="AH154" s="92" t="str">
        <f t="shared" si="48"/>
        <v>"%USERPROFILE%\Documents\GitHub\eaglep3\Utilities\RefineRTDCRunTimes.py" --tripid 243-17 --locoid 4002 --swversion DE.1.0.7.0 --startMP 204:484 --initTime 2016-10-18T00:24:44 --startdatetime 2016-10-18T00:45:07 --delay 1 --endMP 204:233291 --enddatetime 2016-10-18T01:21:40 --enforcementcount 0 &gt;&gt;C:\Users\stu\Documents\GitHub\eaglep3-reporting\EC\2016-10-17-refined-times.txt</v>
      </c>
      <c r="AI154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{"issue":{"subject":"","project_id":79,"tracker_id":40,"status_id":1,"priority_id":2,"assigned_to_id":23,"start_date":"2016-10-18","description":"","custom_fields":[{"id":1,"name":"Subdivision","value":"EC"},{"id":4,"name":"Milepost","value":"23.3291"},{"id":17,"name":"Train ID","value":"243-17"},{"id":16,"name":"Locomotive ID","value":"4002"},{"id":130,"name":"Impact","value":""},{"id":150,"name":"Time of Event (Mountain Time)","value":"01:21:40"},{"id":151,"name":"Denver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622</v>
      </c>
      <c r="B155" s="7">
        <v>4001</v>
      </c>
      <c r="C155" s="22" t="s">
        <v>99</v>
      </c>
      <c r="D155" s="22" t="s">
        <v>650</v>
      </c>
      <c r="E155" s="13">
        <v>42661.059641203705</v>
      </c>
      <c r="F155" s="13">
        <v>42661.060717592591</v>
      </c>
      <c r="G155" s="7">
        <v>1</v>
      </c>
      <c r="H155" s="13" t="s">
        <v>651</v>
      </c>
      <c r="I155" s="13">
        <v>42661.08761574074</v>
      </c>
      <c r="J155" s="7">
        <v>0</v>
      </c>
      <c r="K155" s="112" t="str">
        <f t="shared" si="84"/>
        <v>4001/4002</v>
      </c>
      <c r="L155" s="22" t="str">
        <f>VLOOKUP(A155,'Trips&amp;Operators'!$C$1:$E$10000,3,FALSE)</f>
        <v>CHANDLER</v>
      </c>
      <c r="M155" s="6">
        <f t="shared" si="85"/>
        <v>2.6898148149484769E-2</v>
      </c>
      <c r="N155" s="7">
        <f t="shared" si="103"/>
        <v>38.733333335258067</v>
      </c>
      <c r="O155" s="7"/>
      <c r="P155" s="7"/>
      <c r="Q155" s="23"/>
      <c r="R155" s="23"/>
      <c r="S155" s="35">
        <f t="shared" si="87"/>
        <v>1</v>
      </c>
      <c r="T155" s="50" t="str">
        <f t="shared" si="88"/>
        <v>Southbound</v>
      </c>
      <c r="U155" s="18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https://search-rtdc-monitor-bjffxe2xuh6vdkpspy63sjmuny.us-east-1.es.amazonaws.com/_plugin/kibana/#/discover/Steve-Slow-Train-Analysis-(2080s-and-2083s)?_g=(refreshInterval:(display:Off,section:0,value:0),time:(from:'2016-10-18 00:25:53-0600',mode:absolute,to:'2016-10-18 03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5" s="52" t="str">
        <f t="shared" si="90"/>
        <v>N</v>
      </c>
      <c r="X155" s="178">
        <f t="shared" si="105"/>
        <v>1</v>
      </c>
      <c r="Y155" s="67">
        <f t="shared" si="91"/>
        <v>23.2957</v>
      </c>
      <c r="Z155" s="67">
        <f t="shared" si="92"/>
        <v>1.5800000000000002E-2</v>
      </c>
      <c r="AA155" s="67">
        <f t="shared" si="93"/>
        <v>23.279900000000001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94"/>
        <v>0244-17</v>
      </c>
      <c r="AE155" s="91" t="str">
        <f t="shared" si="98"/>
        <v>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 &amp; 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</v>
      </c>
      <c r="AF155" s="88" t="str">
        <f t="shared" si="99"/>
        <v>"C:\Program Files (x86)\AstroGrep\AstroGrep.exe" /spath="%USERPROFILE%\AppData\Local\Temp\OnboardLogs" /stypes="app*4001*20161018*" /stext=" 08:.+((SYSTEM_STATE.+slice.+state.+changed )|(ment ac)|(system.+state.+changed )|(\[timeout)|(PRM\|1\|D)|(kpr)|(kdp)|(\|lc)|(penalty))" /e /r /s</v>
      </c>
      <c r="AG155" s="1" t="str">
        <f t="shared" si="95"/>
        <v>EC</v>
      </c>
      <c r="AH155" s="92" t="str">
        <f t="shared" si="48"/>
        <v>"%USERPROFILE%\Documents\GitHub\eaglep3\Utilities\RefineRTDCRunTimes.py" --tripid 244-17 --locoid 4001 --swversion DE.1.0.7.0 --startMP 204:232957 --initTime 2016-10-18T01:25:53 --startdatetime 2016-10-18T01:27:26 --delay 1 --endMP 204:158 --enddatetime 2016-10-18T02:06:10 --enforcementcount 0 &gt;&gt;C:\Users\stu\Documents\GitHub\eaglep3-reporting\EC\2016-10-17-refined-times.txt</v>
      </c>
      <c r="AI155" s="122" t="str">
        <f t="shared" si="49"/>
        <v>echo {"issue":{"subject":"","project_id":79,"tracker_id":40,"status_id":1,"priority_id":2,"assigned_to_id":23,"start_date":"2016-10-18","description":"","custom_fields":[{"id":1,"name":"Subdivision","value":"EC"},{"id":4,"name":"Milepost","value":"0.0158"},{"id":17,"name":"Train ID","value":"244-17"},{"id":16,"name":"Locomotive ID","value":"4001"},{"id":130,"name":"Impact","value":""},{"id":150,"name":"Time of Event (Mountain Time)","value":"02:06:10"},{"id":151,"name":"Denver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441</v>
      </c>
      <c r="B156" s="7">
        <v>4054</v>
      </c>
      <c r="C156" s="22" t="s">
        <v>99</v>
      </c>
      <c r="D156" s="22" t="s">
        <v>296</v>
      </c>
      <c r="E156" s="13">
        <v>42660.214837962965</v>
      </c>
      <c r="F156" s="13">
        <v>42660.216261574074</v>
      </c>
      <c r="G156" s="7">
        <v>1</v>
      </c>
      <c r="H156" s="13" t="s">
        <v>385</v>
      </c>
      <c r="I156" s="13">
        <v>42660.226226851853</v>
      </c>
      <c r="J156" s="7">
        <v>0</v>
      </c>
      <c r="K156" s="112" t="str">
        <f t="shared" si="84"/>
        <v>4053/4054</v>
      </c>
      <c r="L156" s="22" t="str">
        <f>VLOOKUP(A156,'Trips&amp;Operators'!$C$1:$E$10000,3,FALSE)</f>
        <v>OUN</v>
      </c>
      <c r="M156" s="6">
        <f t="shared" si="85"/>
        <v>9.9652777789742686E-3</v>
      </c>
      <c r="N156" s="7">
        <f t="shared" si="103"/>
        <v>14.350000001722947</v>
      </c>
      <c r="O156" s="7"/>
      <c r="P156" s="7"/>
      <c r="Q156" s="23"/>
      <c r="R156" s="23"/>
      <c r="S156" s="35">
        <f t="shared" si="87"/>
        <v>1</v>
      </c>
      <c r="T156" s="50" t="str">
        <f t="shared" si="88"/>
        <v>Southbound</v>
      </c>
      <c r="U156" s="18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04:09:22-0600',mode:absolute,to:'2016-10-17 06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6" s="52" t="str">
        <f t="shared" si="90"/>
        <v>N</v>
      </c>
      <c r="X156" s="178">
        <f t="shared" si="105"/>
        <v>556</v>
      </c>
      <c r="Y156" s="67">
        <f t="shared" si="91"/>
        <v>5.8608000000000002</v>
      </c>
      <c r="Z156" s="67">
        <f t="shared" si="92"/>
        <v>6.8400000000000002E-2</v>
      </c>
      <c r="AA156" s="67">
        <f t="shared" si="93"/>
        <v>5.7924000000000007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94"/>
        <v>0800-17</v>
      </c>
      <c r="AE156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56" s="88" t="str">
        <f t="shared" si="99"/>
        <v>"C:\Program Files (x86)\AstroGrep\AstroGrep.exe" /spath="%USERPROFILE%\AppData\Local\Temp\OnboardLogs" /stypes="app*4054*20161017*" /stext=" 11:.+((SYSTEM_STATE.+slice.+state.+changed )|(ment ac)|(system.+state.+changed )|(\[timeout)|(PRM\|1\|D)|(kpr)|(kdp)|(\|lc)|(penalty))" /e /r /s</v>
      </c>
      <c r="AG156" s="1" t="str">
        <f t="shared" si="95"/>
        <v>NW</v>
      </c>
      <c r="AH156" s="92" t="str">
        <f t="shared" si="48"/>
        <v>"%USERPROFILE%\Documents\GitHub\eaglep3\Utilities\RefineRTDCRunTimes.py" --tripid 800-17 --locoid 4054 --swversion DE.1.0.7.0 --startMP 300:58608 --initTime 2016-10-17T05:09:22 --startdatetime 2016-10-17T05:11:25 --delay 1 --endMP 204:684 --enddatetime 2016-10-17T05:25:46 --enforcementcount 0 &gt;&gt;C:\Users\stu\Documents\GitHub\eaglep3-reporting\EC\2016-10-17-refined-times.txt</v>
      </c>
      <c r="AI156" s="122" t="str">
        <f t="shared" si="49"/>
        <v>echo {"issue":{"subject":"","project_id":79,"tracker_id":40,"status_id":1,"priority_id":2,"assigned_to_id":23,"start_date":"2016-10-17","description":"","custom_fields":[{"id":1,"name":"Subdivision","value":"NW"},{"id":4,"name":"Milepost","value":"0.0684"},{"id":17,"name":"Train ID","value":"800-17"},{"id":16,"name":"Locomotive ID","value":"4054"},{"id":130,"name":"Impact","value":""},{"id":150,"name":"Time of Event (Mountain Time)","value":"05:25:46"},{"id":151,"name":"Denver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446</v>
      </c>
      <c r="B157" s="7">
        <v>4053</v>
      </c>
      <c r="C157" s="22" t="s">
        <v>99</v>
      </c>
      <c r="D157" s="22" t="s">
        <v>704</v>
      </c>
      <c r="E157" s="13">
        <v>42660.237812500003</v>
      </c>
      <c r="F157" s="13">
        <v>42660.244004629632</v>
      </c>
      <c r="G157" s="7">
        <v>1</v>
      </c>
      <c r="H157" s="13" t="s">
        <v>705</v>
      </c>
      <c r="I157" s="13">
        <v>42660.253634259258</v>
      </c>
      <c r="J157" s="7">
        <v>0</v>
      </c>
      <c r="K157" s="112" t="str">
        <f t="shared" si="84"/>
        <v>4053/4054</v>
      </c>
      <c r="L157" s="22" t="str">
        <f>VLOOKUP(A157,'Trips&amp;Operators'!$C$1:$E$10000,3,FALSE)</f>
        <v>OUN</v>
      </c>
      <c r="M157" s="6">
        <f t="shared" si="85"/>
        <v>9.6296296251239255E-3</v>
      </c>
      <c r="N157" s="7">
        <f t="shared" si="103"/>
        <v>13.866666660178453</v>
      </c>
      <c r="O157" s="7"/>
      <c r="P157" s="7"/>
      <c r="Q157" s="23"/>
      <c r="R157" s="23"/>
      <c r="S157" s="35">
        <f t="shared" si="87"/>
        <v>1</v>
      </c>
      <c r="T157" s="50" t="str">
        <f t="shared" si="88"/>
        <v>NorthBound</v>
      </c>
      <c r="U157" s="18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04:42:27-0600',mode:absolute,to:'2016-10-17 07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7" s="52" t="str">
        <f t="shared" si="90"/>
        <v>N</v>
      </c>
      <c r="X157" s="178">
        <f t="shared" si="105"/>
        <v>1</v>
      </c>
      <c r="Y157" s="67">
        <f t="shared" si="91"/>
        <v>9.74E-2</v>
      </c>
      <c r="Z157" s="67">
        <f t="shared" si="92"/>
        <v>5.8917999999999999</v>
      </c>
      <c r="AA157" s="67">
        <f t="shared" si="93"/>
        <v>5.7943999999999996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94"/>
        <v>0801-17</v>
      </c>
      <c r="AE157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57" s="88" t="str">
        <f t="shared" si="99"/>
        <v>"C:\Program Files (x86)\AstroGrep\AstroGrep.exe" /spath="%USERPROFILE%\AppData\Local\Temp\OnboardLogs" /stypes="app*4053*20161017*" /stext=" 12:.+((SYSTEM_STATE.+slice.+state.+changed )|(ment ac)|(system.+state.+changed )|(\[timeout)|(PRM\|1\|D)|(kpr)|(kdp)|(\|lc)|(penalty))" /e /r /s</v>
      </c>
      <c r="AG157" s="1" t="str">
        <f t="shared" si="95"/>
        <v>NW</v>
      </c>
      <c r="AH157" s="92" t="str">
        <f t="shared" ref="AH157:AH223" si="10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801-17 --locoid 4053 --swversion DE.1.0.7.0 --startMP 204:974 --initTime 2016-10-17T05:42:27 --startdatetime 2016-10-17T05:51:22 --delay 1 --endMP 300:58918 --enddatetime 2016-10-17T06:05:14 --enforcementcount 0 &gt;&gt;C:\Users\stu\Documents\GitHub\eaglep3-reporting\EC\2016-10-17-refined-times.txt</v>
      </c>
      <c r="AI157" s="122" t="str">
        <f t="shared" ref="AI157:AI223" si="10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{"issue":{"subject":"","project_id":79,"tracker_id":40,"status_id":1,"priority_id":2,"assigned_to_id":23,"start_date":"2016-10-17","description":"","custom_fields":[{"id":1,"name":"Subdivision","value":"NW"},{"id":4,"name":"Milepost","value":"5.8918"},{"id":17,"name":"Train ID","value":"801-17"},{"id":16,"name":"Locomotive ID","value":"4053"},{"id":130,"name":"Impact","value":""},{"id":150,"name":"Time of Event (Mountain Time)","value":"06:05:14"},{"id":151,"name":"Denver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448</v>
      </c>
      <c r="B158" s="7">
        <v>4054</v>
      </c>
      <c r="C158" s="22" t="s">
        <v>99</v>
      </c>
      <c r="D158" s="22" t="s">
        <v>371</v>
      </c>
      <c r="E158" s="13">
        <v>42660.254872685182</v>
      </c>
      <c r="F158" s="13">
        <v>42660.256481481483</v>
      </c>
      <c r="G158" s="7">
        <v>1</v>
      </c>
      <c r="H158" s="13" t="s">
        <v>706</v>
      </c>
      <c r="I158" s="13">
        <v>42660.268020833333</v>
      </c>
      <c r="J158" s="7">
        <v>0</v>
      </c>
      <c r="K158" s="112" t="str">
        <f t="shared" si="84"/>
        <v>4053/4054</v>
      </c>
      <c r="L158" s="22" t="str">
        <f>VLOOKUP(A158,'Trips&amp;Operators'!$C$1:$E$10000,3,FALSE)</f>
        <v>OUN</v>
      </c>
      <c r="M158" s="6">
        <f t="shared" si="85"/>
        <v>1.1539351849933155E-2</v>
      </c>
      <c r="N158" s="7">
        <f t="shared" si="103"/>
        <v>16.616666663903743</v>
      </c>
      <c r="O158" s="7"/>
      <c r="P158" s="7"/>
      <c r="Q158" s="23"/>
      <c r="R158" s="23"/>
      <c r="S158" s="35">
        <f t="shared" si="87"/>
        <v>1</v>
      </c>
      <c r="T158" s="50" t="str">
        <f t="shared" si="88"/>
        <v>Southbound</v>
      </c>
      <c r="U158" s="18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05:07:01-0600',mode:absolute,to:'2016-10-17 07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8" s="52" t="str">
        <f t="shared" si="90"/>
        <v>N</v>
      </c>
      <c r="X158" s="178">
        <f t="shared" si="105"/>
        <v>1</v>
      </c>
      <c r="Y158" s="67">
        <f t="shared" si="91"/>
        <v>5.8611000000000004</v>
      </c>
      <c r="Z158" s="67">
        <f t="shared" si="92"/>
        <v>1.44E-2</v>
      </c>
      <c r="AA158" s="67">
        <f t="shared" si="93"/>
        <v>5.8467000000000002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94"/>
        <v>0802-17</v>
      </c>
      <c r="AE158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58" s="88" t="str">
        <f t="shared" si="99"/>
        <v>"C:\Program Files (x86)\AstroGrep\AstroGrep.exe" /spath="%USERPROFILE%\AppData\Local\Temp\OnboardLogs" /stypes="app*4054*20161017*" /stext=" 12:.+((SYSTEM_STATE.+slice.+state.+changed )|(ment ac)|(system.+state.+changed )|(\[timeout)|(PRM\|1\|D)|(kpr)|(kdp)|(\|lc)|(penalty))" /e /r /s</v>
      </c>
      <c r="AG158" s="1" t="str">
        <f t="shared" si="95"/>
        <v>NW</v>
      </c>
      <c r="AH158" s="92" t="str">
        <f t="shared" si="106"/>
        <v>"%USERPROFILE%\Documents\GitHub\eaglep3\Utilities\RefineRTDCRunTimes.py" --tripid 802-17 --locoid 4054 --swversion DE.1.0.7.0 --startMP 300:58611 --initTime 2016-10-17T06:07:01 --startdatetime 2016-10-17T06:09:20 --delay 1 --endMP 204:144 --enddatetime 2016-10-17T06:25:57 --enforcementcount 0 &gt;&gt;C:\Users\stu\Documents\GitHub\eaglep3-reporting\EC\2016-10-17-refined-times.txt</v>
      </c>
      <c r="AI15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{"issue":{"subject":"","project_id":79,"tracker_id":40,"status_id":1,"priority_id":2,"assigned_to_id":23,"start_date":"2016-10-17","description":"","custom_fields":[{"id":1,"name":"Subdivision","value":"NW"},{"id":4,"name":"Milepost","value":"0.0144"},{"id":17,"name":"Train ID","value":"802-17"},{"id":16,"name":"Locomotive ID","value":"4054"},{"id":130,"name":"Impact","value":""},{"id":150,"name":"Time of Event (Mountain Time)","value":"06:25:57"},{"id":151,"name":"Denver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452</v>
      </c>
      <c r="B159" s="7">
        <v>4029</v>
      </c>
      <c r="C159" s="22" t="s">
        <v>99</v>
      </c>
      <c r="D159" s="22" t="s">
        <v>707</v>
      </c>
      <c r="E159" s="13">
        <v>42660.26525462963</v>
      </c>
      <c r="F159" s="13">
        <v>42660.266423611109</v>
      </c>
      <c r="G159" s="7">
        <v>0</v>
      </c>
      <c r="H159" s="13" t="s">
        <v>375</v>
      </c>
      <c r="I159" s="13">
        <v>42660.275729166664</v>
      </c>
      <c r="J159" s="7">
        <v>0</v>
      </c>
      <c r="K159" s="112" t="str">
        <f t="shared" si="84"/>
        <v>4029/4030</v>
      </c>
      <c r="L159" s="22" t="str">
        <f>VLOOKUP(A159,'Trips&amp;Operators'!$C$1:$E$10000,3,FALSE)</f>
        <v>ROCHA</v>
      </c>
      <c r="M159" s="6">
        <f t="shared" si="85"/>
        <v>9.3055555553291924E-3</v>
      </c>
      <c r="N159" s="7">
        <f t="shared" si="103"/>
        <v>13.399999999674037</v>
      </c>
      <c r="O159" s="7"/>
      <c r="P159" s="7"/>
      <c r="Q159" s="23"/>
      <c r="R159" s="23"/>
      <c r="S159" s="35">
        <f t="shared" si="87"/>
        <v>1</v>
      </c>
      <c r="T159" s="50" t="str">
        <f t="shared" si="88"/>
        <v>NorthBound</v>
      </c>
      <c r="U159" s="18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05:21:58-0600',mode:absolute,to:'2016-10-17 07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9" s="52" t="str">
        <f t="shared" si="90"/>
        <v>N</v>
      </c>
      <c r="X159" s="178">
        <f t="shared" si="105"/>
        <v>1</v>
      </c>
      <c r="Y159" s="67">
        <f t="shared" si="91"/>
        <v>9.5799999999999996E-2</v>
      </c>
      <c r="Z159" s="67">
        <f t="shared" si="92"/>
        <v>5.8973000000000004</v>
      </c>
      <c r="AA159" s="67">
        <f t="shared" si="93"/>
        <v>5.8015000000000008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94"/>
        <v>0803-17</v>
      </c>
      <c r="AE15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59" s="88" t="str">
        <f t="shared" si="99"/>
        <v>"C:\Program Files (x86)\AstroGrep\AstroGrep.exe" /spath="%USERPROFILE%\AppData\Local\Temp\OnboardLogs" /stypes="app*4029*20161017*" /stext=" 12:.+((SYSTEM_STATE.+slice.+state.+changed )|(ment ac)|(system.+state.+changed )|(\[timeout)|(PRM\|1\|D)|(kpr)|(kdp)|(\|lc)|(penalty))" /e /r /s</v>
      </c>
      <c r="AG159" s="1" t="str">
        <f t="shared" si="95"/>
        <v>NW</v>
      </c>
      <c r="AH159" s="92" t="str">
        <f t="shared" si="106"/>
        <v>"%USERPROFILE%\Documents\GitHub\eaglep3\Utilities\RefineRTDCRunTimes.py" --tripid 803-17 --locoid 4029 --swversion DE.1.0.7.0 --startMP 204:958 --initTime 2016-10-17T06:21:58 --startdatetime 2016-10-17T06:23:39 --delay 0 --endMP 300:58973 --enddatetime 2016-10-17T06:37:03 --enforcementcount 0 &gt;&gt;C:\Users\stu\Documents\GitHub\eaglep3-reporting\EC\2016-10-17-refined-times.txt</v>
      </c>
      <c r="AI15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{"issue":{"subject":"","project_id":79,"tracker_id":40,"status_id":1,"priority_id":2,"assigned_to_id":23,"start_date":"2016-10-17","description":"","custom_fields":[{"id":1,"name":"Subdivision","value":"NW"},{"id":4,"name":"Milepost","value":"5.8973"},{"id":17,"name":"Train ID","value":"803-17"},{"id":16,"name":"Locomotive ID","value":"4029"},{"id":130,"name":"Impact","value":""},{"id":150,"name":"Time of Event (Mountain Time)","value":"06:37:03"},{"id":151,"name":"Denver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454</v>
      </c>
      <c r="B160" s="7">
        <v>4030</v>
      </c>
      <c r="C160" s="22" t="s">
        <v>99</v>
      </c>
      <c r="D160" s="22" t="s">
        <v>334</v>
      </c>
      <c r="E160" s="13">
        <v>42660.276828703703</v>
      </c>
      <c r="F160" s="13">
        <v>42660.320636574077</v>
      </c>
      <c r="G160" s="7">
        <v>2</v>
      </c>
      <c r="H160" s="13" t="s">
        <v>708</v>
      </c>
      <c r="I160" s="13">
        <v>42660.331122685187</v>
      </c>
      <c r="J160" s="7">
        <v>0</v>
      </c>
      <c r="K160" s="112" t="str">
        <f t="shared" si="84"/>
        <v>4029/4030</v>
      </c>
      <c r="L160" s="22" t="str">
        <f>VLOOKUP(A160,'Trips&amp;Operators'!$C$1:$E$10000,3,FALSE)</f>
        <v>ROCHA</v>
      </c>
      <c r="M160" s="6">
        <f t="shared" si="85"/>
        <v>1.0486111110367347E-2</v>
      </c>
      <c r="N160" s="7">
        <f t="shared" si="103"/>
        <v>15.099999998928979</v>
      </c>
      <c r="O160" s="7"/>
      <c r="P160" s="7"/>
      <c r="Q160" s="23"/>
      <c r="R160" s="23"/>
      <c r="S160" s="35">
        <f t="shared" si="87"/>
        <v>1</v>
      </c>
      <c r="T160" s="50" t="str">
        <f t="shared" si="88"/>
        <v>Southbound</v>
      </c>
      <c r="U160" s="18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05:38:38-0600',mode:absolute,to:'2016-10-17 08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0" s="52" t="str">
        <f t="shared" si="90"/>
        <v>N</v>
      </c>
      <c r="X160" s="178">
        <f t="shared" si="105"/>
        <v>1</v>
      </c>
      <c r="Y160" s="67">
        <f t="shared" si="91"/>
        <v>5.8653000000000004</v>
      </c>
      <c r="Z160" s="67">
        <f t="shared" si="92"/>
        <v>6.8900000000000003E-2</v>
      </c>
      <c r="AA160" s="67">
        <f t="shared" si="93"/>
        <v>5.7964000000000002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94"/>
        <v>0804-17</v>
      </c>
      <c r="AE16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60" s="88" t="str">
        <f t="shared" si="99"/>
        <v>"C:\Program Files (x86)\AstroGrep\AstroGrep.exe" /spath="%USERPROFILE%\AppData\Local\Temp\OnboardLogs" /stypes="app*4030*20161017*" /stext=" 13:.+((SYSTEM_STATE.+slice.+state.+changed )|(ment ac)|(system.+state.+changed )|(\[timeout)|(PRM\|1\|D)|(kpr)|(kdp)|(\|lc)|(penalty))" /e /r /s</v>
      </c>
      <c r="AG160" s="1" t="str">
        <f t="shared" si="95"/>
        <v>NW</v>
      </c>
      <c r="AH160" s="92" t="str">
        <f t="shared" si="106"/>
        <v>"%USERPROFILE%\Documents\GitHub\eaglep3\Utilities\RefineRTDCRunTimes.py" --tripid 804-17 --locoid 4030 --swversion DE.1.0.7.0 --startMP 300:58653 --initTime 2016-10-17T06:38:38 --startdatetime 2016-10-17T07:41:43 --delay 2 --endMP 204:689 --enddatetime 2016-10-17T07:56:49 --enforcementcount 0 &gt;&gt;C:\Users\stu\Documents\GitHub\eaglep3-reporting\EC\2016-10-17-refined-times.txt</v>
      </c>
      <c r="AI16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{"issue":{"subject":"","project_id":79,"tracker_id":40,"status_id":1,"priority_id":2,"assigned_to_id":23,"start_date":"2016-10-17","description":"","custom_fields":[{"id":1,"name":"Subdivision","value":"NW"},{"id":4,"name":"Milepost","value":"0.0689"},{"id":17,"name":"Train ID","value":"804-17"},{"id":16,"name":"Locomotive ID","value":"4030"},{"id":130,"name":"Impact","value":""},{"id":150,"name":"Time of Event (Mountain Time)","value":"07:56:49"},{"id":151,"name":"Denver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456</v>
      </c>
      <c r="B161" s="7">
        <v>4053</v>
      </c>
      <c r="C161" s="22" t="s">
        <v>99</v>
      </c>
      <c r="D161" s="22" t="s">
        <v>657</v>
      </c>
      <c r="E161" s="13">
        <v>42660.280081018522</v>
      </c>
      <c r="F161" s="13">
        <v>42660.285775462966</v>
      </c>
      <c r="G161" s="7">
        <v>1</v>
      </c>
      <c r="H161" s="13" t="s">
        <v>316</v>
      </c>
      <c r="I161" s="13">
        <v>42660.295439814814</v>
      </c>
      <c r="J161" s="7">
        <v>0</v>
      </c>
      <c r="K161" s="112" t="str">
        <f t="shared" si="84"/>
        <v>4053/4054</v>
      </c>
      <c r="L161" s="22" t="str">
        <f>VLOOKUP(A161,'Trips&amp;Operators'!$C$1:$E$10000,3,FALSE)</f>
        <v>OUN</v>
      </c>
      <c r="M161" s="6">
        <f t="shared" si="85"/>
        <v>9.6643518481869251E-3</v>
      </c>
      <c r="N161" s="7">
        <f t="shared" si="103"/>
        <v>13.916666661389172</v>
      </c>
      <c r="O161" s="7"/>
      <c r="P161" s="7"/>
      <c r="Q161" s="23"/>
      <c r="R161" s="23"/>
      <c r="S161" s="35">
        <f t="shared" si="87"/>
        <v>1</v>
      </c>
      <c r="T161" s="50" t="str">
        <f t="shared" si="88"/>
        <v>NorthBound</v>
      </c>
      <c r="U161" s="18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05:43:19-0600',mode:absolute,to:'2016-10-17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1" s="52" t="str">
        <f t="shared" si="90"/>
        <v>N</v>
      </c>
      <c r="X161" s="178">
        <f t="shared" si="105"/>
        <v>1</v>
      </c>
      <c r="Y161" s="67">
        <f t="shared" si="91"/>
        <v>4.4200000000000003E-2</v>
      </c>
      <c r="Z161" s="67">
        <f t="shared" si="92"/>
        <v>5.8925999999999998</v>
      </c>
      <c r="AA161" s="67">
        <f t="shared" si="93"/>
        <v>5.8483999999999998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94"/>
        <v>0805-17</v>
      </c>
      <c r="AE161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61" s="88" t="str">
        <f t="shared" si="99"/>
        <v>"C:\Program Files (x86)\AstroGrep\AstroGrep.exe" /spath="%USERPROFILE%\AppData\Local\Temp\OnboardLogs" /stypes="app*4053*20161017*" /stext=" 13:.+((SYSTEM_STATE.+slice.+state.+changed )|(ment ac)|(system.+state.+changed )|(\[timeout)|(PRM\|1\|D)|(kpr)|(kdp)|(\|lc)|(penalty))" /e /r /s</v>
      </c>
      <c r="AG161" s="1" t="str">
        <f t="shared" si="95"/>
        <v>NW</v>
      </c>
      <c r="AH161" s="92" t="str">
        <f t="shared" si="106"/>
        <v>"%USERPROFILE%\Documents\GitHub\eaglep3\Utilities\RefineRTDCRunTimes.py" --tripid 805-17 --locoid 4053 --swversion DE.1.0.7.0 --startMP 204:442 --initTime 2016-10-17T06:43:19 --startdatetime 2016-10-17T06:51:31 --delay 1 --endMP 300:58926 --enddatetime 2016-10-17T07:05:26 --enforcementcount 0 &gt;&gt;C:\Users\stu\Documents\GitHub\eaglep3-reporting\EC\2016-10-17-refined-times.txt</v>
      </c>
      <c r="AI16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{"issue":{"subject":"","project_id":79,"tracker_id":40,"status_id":1,"priority_id":2,"assigned_to_id":23,"start_date":"2016-10-17","description":"","custom_fields":[{"id":1,"name":"Subdivision","value":"NW"},{"id":4,"name":"Milepost","value":"5.8926"},{"id":17,"name":"Train ID","value":"805-17"},{"id":16,"name":"Locomotive ID","value":"4053"},{"id":130,"name":"Impact","value":""},{"id":150,"name":"Time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460</v>
      </c>
      <c r="B162" s="7">
        <v>4054</v>
      </c>
      <c r="C162" s="22" t="s">
        <v>99</v>
      </c>
      <c r="D162" s="22" t="s">
        <v>318</v>
      </c>
      <c r="E162" s="13">
        <v>42660.296759259261</v>
      </c>
      <c r="F162" s="13">
        <v>42660.298159722224</v>
      </c>
      <c r="G162" s="7">
        <v>1</v>
      </c>
      <c r="H162" s="13" t="s">
        <v>709</v>
      </c>
      <c r="I162" s="13">
        <v>42660.309861111113</v>
      </c>
      <c r="J162" s="7">
        <v>0</v>
      </c>
      <c r="K162" s="112" t="str">
        <f t="shared" si="84"/>
        <v>4053/4054</v>
      </c>
      <c r="L162" s="22" t="str">
        <f>VLOOKUP(A162,'Trips&amp;Operators'!$C$1:$E$10000,3,FALSE)</f>
        <v>OUN</v>
      </c>
      <c r="M162" s="6">
        <f t="shared" si="85"/>
        <v>1.17013888884685E-2</v>
      </c>
      <c r="N162" s="7">
        <f t="shared" si="103"/>
        <v>16.84999999939464</v>
      </c>
      <c r="O162" s="7"/>
      <c r="P162" s="7"/>
      <c r="Q162" s="23"/>
      <c r="R162" s="23"/>
      <c r="S162" s="35">
        <f t="shared" si="87"/>
        <v>1</v>
      </c>
      <c r="T162" s="50" t="str">
        <f t="shared" si="88"/>
        <v>Southbound</v>
      </c>
      <c r="U162" s="18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06:07:20-0600',mode:absolute,to:'2016-10-17 08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2" s="52" t="str">
        <f t="shared" si="90"/>
        <v>N</v>
      </c>
      <c r="X162" s="178">
        <f t="shared" si="105"/>
        <v>1</v>
      </c>
      <c r="Y162" s="67">
        <f t="shared" si="91"/>
        <v>5.8619000000000003</v>
      </c>
      <c r="Z162" s="67">
        <f t="shared" si="92"/>
        <v>6.8000000000000005E-2</v>
      </c>
      <c r="AA162" s="67">
        <f t="shared" si="93"/>
        <v>5.7939000000000007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94"/>
        <v>0806-17</v>
      </c>
      <c r="AE162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62" s="88" t="str">
        <f t="shared" si="99"/>
        <v>"C:\Program Files (x86)\AstroGrep\AstroGrep.exe" /spath="%USERPROFILE%\AppData\Local\Temp\OnboardLogs" /stypes="app*4054*20161017*" /stext=" 13:.+((SYSTEM_STATE.+slice.+state.+changed )|(ment ac)|(system.+state.+changed )|(\[timeout)|(PRM\|1\|D)|(kpr)|(kdp)|(\|lc)|(penalty))" /e /r /s</v>
      </c>
      <c r="AG162" s="1" t="str">
        <f t="shared" si="95"/>
        <v>NW</v>
      </c>
      <c r="AH162" s="92" t="str">
        <f t="shared" si="106"/>
        <v>"%USERPROFILE%\Documents\GitHub\eaglep3\Utilities\RefineRTDCRunTimes.py" --tripid 806-17 --locoid 4054 --swversion DE.1.0.7.0 --startMP 300:58619 --initTime 2016-10-17T07:07:20 --startdatetime 2016-10-17T07:09:21 --delay 1 --endMP 204:680 --enddatetime 2016-10-17T07:26:12 --enforcementcount 0 &gt;&gt;C:\Users\stu\Documents\GitHub\eaglep3-reporting\EC\2016-10-17-refined-times.txt</v>
      </c>
      <c r="AI16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{"issue":{"subject":"","project_id":79,"tracker_id":40,"status_id":1,"priority_id":2,"assigned_to_id":23,"start_date":"2016-10-17","description":"","custom_fields":[{"id":1,"name":"Subdivision","value":"NW"},{"id":4,"name":"Milepost","value":"0.068"},{"id":17,"name":"Train ID","value":"806-17"},{"id":16,"name":"Locomotive ID","value":"4054"},{"id":130,"name":"Impact","value":""},{"id":150,"name":"Time of Event (Mountain Time)","value":"07:26:12"},{"id":151,"name":"Denver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404</v>
      </c>
      <c r="B163" s="7">
        <v>4029</v>
      </c>
      <c r="C163" s="22" t="s">
        <v>99</v>
      </c>
      <c r="D163" s="22" t="s">
        <v>710</v>
      </c>
      <c r="E163" s="13">
        <v>42660.301469907405</v>
      </c>
      <c r="F163" s="13">
        <v>42660.306516203702</v>
      </c>
      <c r="G163" s="7">
        <v>1</v>
      </c>
      <c r="H163" s="13" t="s">
        <v>315</v>
      </c>
      <c r="I163" s="13">
        <v>42660.316990740743</v>
      </c>
      <c r="J163" s="7">
        <v>0</v>
      </c>
      <c r="K163" s="112" t="str">
        <f t="shared" si="84"/>
        <v>4029/4030</v>
      </c>
      <c r="L163" s="22" t="str">
        <f>VLOOKUP(A163,'Trips&amp;Operators'!$C$1:$E$10000,3,FALSE)</f>
        <v>ROCHA</v>
      </c>
      <c r="M163" s="6">
        <f t="shared" si="85"/>
        <v>1.0474537040863652E-2</v>
      </c>
      <c r="N163" s="7">
        <f t="shared" si="103"/>
        <v>15.083333338843659</v>
      </c>
      <c r="O163" s="7"/>
      <c r="P163" s="7"/>
      <c r="Q163" s="23"/>
      <c r="R163" s="23"/>
      <c r="S163" s="35">
        <f t="shared" si="87"/>
        <v>1</v>
      </c>
      <c r="T163" s="50" t="str">
        <f t="shared" si="88"/>
        <v>NorthBound</v>
      </c>
      <c r="U163" s="18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06:14:07-0600',mode:absolute,to:'2016-10-17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3" s="52" t="str">
        <f t="shared" si="90"/>
        <v>N</v>
      </c>
      <c r="X163" s="178">
        <f t="shared" si="105"/>
        <v>1</v>
      </c>
      <c r="Y163" s="67">
        <f t="shared" si="91"/>
        <v>9.11E-2</v>
      </c>
      <c r="Z163" s="67">
        <f t="shared" si="92"/>
        <v>5.8929</v>
      </c>
      <c r="AA163" s="67">
        <f t="shared" si="93"/>
        <v>5.8018000000000001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94"/>
        <v>0807-17</v>
      </c>
      <c r="AE163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63" s="88" t="str">
        <f t="shared" si="99"/>
        <v>"C:\Program Files (x86)\AstroGrep\AstroGrep.exe" /spath="%USERPROFILE%\AppData\Local\Temp\OnboardLogs" /stypes="app*4029*20161017*" /stext=" 13:.+((SYSTEM_STATE.+slice.+state.+changed )|(ment ac)|(system.+state.+changed )|(\[timeout)|(PRM\|1\|D)|(kpr)|(kdp)|(\|lc)|(penalty))" /e /r /s</v>
      </c>
      <c r="AG163" s="1" t="str">
        <f t="shared" si="95"/>
        <v>NW</v>
      </c>
      <c r="AH163" s="92" t="str">
        <f t="shared" si="106"/>
        <v>"%USERPROFILE%\Documents\GitHub\eaglep3\Utilities\RefineRTDCRunTimes.py" --tripid 807-17 --locoid 4029 --swversion DE.1.0.7.0 --startMP 204:911 --initTime 2016-10-17T07:14:07 --startdatetime 2016-10-17T07:21:23 --delay 1 --endMP 300:58929 --enddatetime 2016-10-17T07:36:28 --enforcementcount 0 &gt;&gt;C:\Users\stu\Documents\GitHub\eaglep3-reporting\EC\2016-10-17-refined-times.txt</v>
      </c>
      <c r="AI163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{"issue":{"subject":"","project_id":79,"tracker_id":40,"status_id":1,"priority_id":2,"assigned_to_id":23,"start_date":"2016-10-17","description":"","custom_fields":[{"id":1,"name":"Subdivision","value":"NW"},{"id":4,"name":"Milepost","value":"5.8929"},{"id":17,"name":"Train ID","value":"807-17"},{"id":16,"name":"Locomotive ID","value":"4029"},{"id":130,"name":"Impact","value":""},{"id":150,"name":"Time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465</v>
      </c>
      <c r="B164" s="7">
        <v>4030</v>
      </c>
      <c r="C164" s="22" t="s">
        <v>99</v>
      </c>
      <c r="D164" s="22" t="s">
        <v>367</v>
      </c>
      <c r="E164" s="13">
        <v>42660.318541666667</v>
      </c>
      <c r="F164" s="13">
        <v>42660.320636574077</v>
      </c>
      <c r="G164" s="7">
        <v>1</v>
      </c>
      <c r="H164" s="13" t="s">
        <v>708</v>
      </c>
      <c r="I164" s="13">
        <v>42660.331122685187</v>
      </c>
      <c r="J164" s="7">
        <v>0</v>
      </c>
      <c r="K164" s="112" t="str">
        <f t="shared" si="84"/>
        <v>4029/4030</v>
      </c>
      <c r="L164" s="22" t="str">
        <f>VLOOKUP(A164,'Trips&amp;Operators'!$C$1:$E$10000,3,FALSE)</f>
        <v>ROCHA</v>
      </c>
      <c r="M164" s="6">
        <f t="shared" si="85"/>
        <v>1.0486111110367347E-2</v>
      </c>
      <c r="N164" s="7">
        <f t="shared" si="103"/>
        <v>15.099999998928979</v>
      </c>
      <c r="O164" s="7"/>
      <c r="P164" s="7"/>
      <c r="Q164" s="23"/>
      <c r="R164" s="23"/>
      <c r="S164" s="35">
        <f t="shared" si="87"/>
        <v>1</v>
      </c>
      <c r="T164" s="50" t="str">
        <f t="shared" si="88"/>
        <v>Southbound</v>
      </c>
      <c r="U164" s="18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06:38:42-0600',mode:absolute,to:'2016-10-17 08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4" s="52" t="str">
        <f t="shared" si="90"/>
        <v>N</v>
      </c>
      <c r="X164" s="178">
        <f t="shared" si="105"/>
        <v>1</v>
      </c>
      <c r="Y164" s="67">
        <f t="shared" si="91"/>
        <v>5.8615000000000004</v>
      </c>
      <c r="Z164" s="67">
        <f t="shared" si="92"/>
        <v>6.8900000000000003E-2</v>
      </c>
      <c r="AA164" s="67">
        <f t="shared" si="93"/>
        <v>5.7926000000000002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94"/>
        <v>0808-17</v>
      </c>
      <c r="AE164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64" s="88" t="str">
        <f t="shared" si="99"/>
        <v>"C:\Program Files (x86)\AstroGrep\AstroGrep.exe" /spath="%USERPROFILE%\AppData\Local\Temp\OnboardLogs" /stypes="app*4030*20161017*" /stext=" 13:.+((SYSTEM_STATE.+slice.+state.+changed )|(ment ac)|(system.+state.+changed )|(\[timeout)|(PRM\|1\|D)|(kpr)|(kdp)|(\|lc)|(penalty))" /e /r /s</v>
      </c>
      <c r="AG164" s="1" t="str">
        <f t="shared" si="95"/>
        <v>NW</v>
      </c>
      <c r="AH164" s="92" t="str">
        <f t="shared" si="106"/>
        <v>"%USERPROFILE%\Documents\GitHub\eaglep3\Utilities\RefineRTDCRunTimes.py" --tripid 808-17 --locoid 4030 --swversion DE.1.0.7.0 --startMP 300:58615 --initTime 2016-10-17T07:38:42 --startdatetime 2016-10-17T07:41:43 --delay 1 --endMP 204:689 --enddatetime 2016-10-17T07:56:49 --enforcementcount 0 &gt;&gt;C:\Users\stu\Documents\GitHub\eaglep3-reporting\EC\2016-10-17-refined-times.txt</v>
      </c>
      <c r="AI164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{"issue":{"subject":"","project_id":79,"tracker_id":40,"status_id":1,"priority_id":2,"assigned_to_id":23,"start_date":"2016-10-17","description":"","custom_fields":[{"id":1,"name":"Subdivision","value":"NW"},{"id":4,"name":"Milepost","value":"0.0689"},{"id":17,"name":"Train ID","value":"808-17"},{"id":16,"name":"Locomotive ID","value":"4030"},{"id":130,"name":"Impact","value":""},{"id":150,"name":"Time of Event (Mountain Time)","value":"07:56:49"},{"id":151,"name":"Denver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467</v>
      </c>
      <c r="B165" s="7">
        <v>4053</v>
      </c>
      <c r="C165" s="22" t="s">
        <v>99</v>
      </c>
      <c r="D165" s="22" t="s">
        <v>711</v>
      </c>
      <c r="E165" s="13">
        <v>42660.322476851848</v>
      </c>
      <c r="F165" s="13">
        <v>42660.327349537038</v>
      </c>
      <c r="G165" s="7">
        <v>1</v>
      </c>
      <c r="H165" s="13" t="s">
        <v>315</v>
      </c>
      <c r="I165" s="13">
        <v>42660.336412037039</v>
      </c>
      <c r="J165" s="7">
        <v>0</v>
      </c>
      <c r="K165" s="112" t="str">
        <f t="shared" si="84"/>
        <v>4053/4054</v>
      </c>
      <c r="L165" s="22" t="str">
        <f>VLOOKUP(A165,'Trips&amp;Operators'!$C$1:$E$10000,3,FALSE)</f>
        <v>OUN</v>
      </c>
      <c r="M165" s="6">
        <f t="shared" si="85"/>
        <v>9.0625000011641532E-3</v>
      </c>
      <c r="N165" s="7">
        <f t="shared" si="103"/>
        <v>13.050000001676381</v>
      </c>
      <c r="O165" s="7"/>
      <c r="P165" s="7"/>
      <c r="Q165" s="23"/>
      <c r="R165" s="23"/>
      <c r="S165" s="35">
        <f t="shared" si="87"/>
        <v>1</v>
      </c>
      <c r="T165" s="50" t="str">
        <f t="shared" si="88"/>
        <v>NorthBound</v>
      </c>
      <c r="U165" s="18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06:44:22-0600',mode:absolute,to:'2016-10-17 09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5" s="52" t="str">
        <f t="shared" si="90"/>
        <v>N</v>
      </c>
      <c r="X165" s="178">
        <f t="shared" si="105"/>
        <v>1</v>
      </c>
      <c r="Y165" s="67">
        <f t="shared" si="91"/>
        <v>9.69E-2</v>
      </c>
      <c r="Z165" s="67">
        <f t="shared" si="92"/>
        <v>5.8929</v>
      </c>
      <c r="AA165" s="67">
        <f t="shared" si="93"/>
        <v>5.7960000000000003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94"/>
        <v>0809-17</v>
      </c>
      <c r="AE165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65" s="88" t="str">
        <f t="shared" si="99"/>
        <v>"C:\Program Files (x86)\AstroGrep\AstroGrep.exe" /spath="%USERPROFILE%\AppData\Local\Temp\OnboardLogs" /stypes="app*4053*20161017*" /stext=" 14:.+((SYSTEM_STATE.+slice.+state.+changed )|(ment ac)|(system.+state.+changed )|(\[timeout)|(PRM\|1\|D)|(kpr)|(kdp)|(\|lc)|(penalty))" /e /r /s</v>
      </c>
      <c r="AG165" s="1" t="str">
        <f t="shared" si="95"/>
        <v>NW</v>
      </c>
      <c r="AH165" s="92" t="str">
        <f t="shared" si="106"/>
        <v>"%USERPROFILE%\Documents\GitHub\eaglep3\Utilities\RefineRTDCRunTimes.py" --tripid 809-17 --locoid 4053 --swversion DE.1.0.7.0 --startMP 204:969 --initTime 2016-10-17T07:44:22 --startdatetime 2016-10-17T07:51:23 --delay 1 --endMP 300:58929 --enddatetime 2016-10-17T08:04:26 --enforcementcount 0 &gt;&gt;C:\Users\stu\Documents\GitHub\eaglep3-reporting\EC\2016-10-17-refined-times.txt</v>
      </c>
      <c r="AI165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{"issue":{"subject":"","project_id":79,"tracker_id":40,"status_id":1,"priority_id":2,"assigned_to_id":23,"start_date":"2016-10-17","description":"","custom_fields":[{"id":1,"name":"Subdivision","value":"NW"},{"id":4,"name":"Milepost","value":"5.8929"},{"id":17,"name":"Train ID","value":"809-17"},{"id":16,"name":"Locomotive ID","value":"4053"},{"id":130,"name":"Impact","value":""},{"id":150,"name":"Time of Event (Mountain Time)","value":"08:04:26"},{"id":151,"name":"Denver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466</v>
      </c>
      <c r="B166" s="7">
        <v>4054</v>
      </c>
      <c r="C166" s="22" t="s">
        <v>99</v>
      </c>
      <c r="D166" s="22" t="s">
        <v>712</v>
      </c>
      <c r="E166" s="13">
        <v>42660.337939814817</v>
      </c>
      <c r="F166" s="13">
        <v>42660.339409722219</v>
      </c>
      <c r="G166" s="7">
        <v>1</v>
      </c>
      <c r="H166" s="13" t="s">
        <v>713</v>
      </c>
      <c r="I166" s="13">
        <v>42660.351354166669</v>
      </c>
      <c r="J166" s="7">
        <v>0</v>
      </c>
      <c r="K166" s="112" t="str">
        <f t="shared" si="84"/>
        <v>4053/4054</v>
      </c>
      <c r="L166" s="22" t="str">
        <f>VLOOKUP(A166,'Trips&amp;Operators'!$C$1:$E$10000,3,FALSE)</f>
        <v>OUN</v>
      </c>
      <c r="M166" s="6">
        <f t="shared" si="85"/>
        <v>1.1944444449909497E-2</v>
      </c>
      <c r="N166" s="7">
        <f t="shared" si="103"/>
        <v>17.200000007869676</v>
      </c>
      <c r="O166" s="7"/>
      <c r="P166" s="7"/>
      <c r="Q166" s="23"/>
      <c r="R166" s="23"/>
      <c r="S166" s="35">
        <f t="shared" si="87"/>
        <v>1</v>
      </c>
      <c r="T166" s="50" t="str">
        <f t="shared" si="88"/>
        <v>Southbound</v>
      </c>
      <c r="U166" s="18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07:06:38-0600',mode:absolute,to:'2016-10-17 09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6" s="52" t="str">
        <f t="shared" si="90"/>
        <v>N</v>
      </c>
      <c r="X166" s="178">
        <f t="shared" si="105"/>
        <v>1</v>
      </c>
      <c r="Y166" s="67">
        <f t="shared" si="91"/>
        <v>5.8616999999999999</v>
      </c>
      <c r="Z166" s="67">
        <f t="shared" si="92"/>
        <v>6.6799999999999998E-2</v>
      </c>
      <c r="AA166" s="67">
        <f t="shared" si="93"/>
        <v>5.7949000000000002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94"/>
        <v>0810-17</v>
      </c>
      <c r="AE166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66" s="88" t="str">
        <f t="shared" si="99"/>
        <v>"C:\Program Files (x86)\AstroGrep\AstroGrep.exe" /spath="%USERPROFILE%\AppData\Local\Temp\OnboardLogs" /stypes="app*4054*20161017*" /stext=" 14:.+((SYSTEM_STATE.+slice.+state.+changed )|(ment ac)|(system.+state.+changed )|(\[timeout)|(PRM\|1\|D)|(kpr)|(kdp)|(\|lc)|(penalty))" /e /r /s</v>
      </c>
      <c r="AG166" s="1" t="str">
        <f t="shared" si="95"/>
        <v>NW</v>
      </c>
      <c r="AH166" s="92" t="str">
        <f t="shared" si="106"/>
        <v>"%USERPROFILE%\Documents\GitHub\eaglep3\Utilities\RefineRTDCRunTimes.py" --tripid 810-17 --locoid 4054 --swversion DE.1.0.7.0 --startMP 300:58617 --initTime 2016-10-17T08:06:38 --startdatetime 2016-10-17T08:08:45 --delay 1 --endMP 204:668 --enddatetime 2016-10-17T08:25:57 --enforcementcount 0 &gt;&gt;C:\Users\stu\Documents\GitHub\eaglep3-reporting\EC\2016-10-17-refined-times.txt</v>
      </c>
      <c r="AI166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{"issue":{"subject":"","project_id":79,"tracker_id":40,"status_id":1,"priority_id":2,"assigned_to_id":23,"start_date":"2016-10-17","description":"","custom_fields":[{"id":1,"name":"Subdivision","value":"NW"},{"id":4,"name":"Milepost","value":"0.0668"},{"id":17,"name":"Train ID","value":"810-17"},{"id":16,"name":"Locomotive ID","value":"4054"},{"id":130,"name":"Impact","value":""},{"id":150,"name":"Time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470</v>
      </c>
      <c r="B167" s="7">
        <v>4029</v>
      </c>
      <c r="C167" s="22" t="s">
        <v>99</v>
      </c>
      <c r="D167" s="22" t="s">
        <v>714</v>
      </c>
      <c r="E167" s="13">
        <v>42660.33934027778</v>
      </c>
      <c r="F167" s="13">
        <v>42660.348124999997</v>
      </c>
      <c r="G167" s="7">
        <v>1</v>
      </c>
      <c r="H167" s="13" t="s">
        <v>715</v>
      </c>
      <c r="I167" s="13">
        <v>42660.357708333337</v>
      </c>
      <c r="J167" s="7">
        <v>0</v>
      </c>
      <c r="K167" s="112" t="str">
        <f t="shared" si="84"/>
        <v>4029/4030</v>
      </c>
      <c r="L167" s="22" t="str">
        <f>VLOOKUP(A167,'Trips&amp;Operators'!$C$1:$E$10000,3,FALSE)</f>
        <v>ROCHA</v>
      </c>
      <c r="M167" s="6">
        <f t="shared" si="85"/>
        <v>9.5833333398331888E-3</v>
      </c>
      <c r="N167" s="7">
        <f t="shared" si="103"/>
        <v>13.800000009359792</v>
      </c>
      <c r="O167" s="7"/>
      <c r="P167" s="7"/>
      <c r="Q167" s="23"/>
      <c r="R167" s="23"/>
      <c r="S167" s="35">
        <f t="shared" si="87"/>
        <v>1</v>
      </c>
      <c r="T167" s="50" t="str">
        <f t="shared" si="88"/>
        <v>NorthBound</v>
      </c>
      <c r="U167" s="18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https://search-rtdc-monitor-bjffxe2xuh6vdkpspy63sjmuny.us-east-1.es.amazonaws.com/_plugin/kibana/#/discover/Steve-Slow-Train-Analysis-(2080s-and-2083s)?_g=(refreshInterval:(display:Off,section:0,value:0),time:(from:'2016-10-17 07:08:39-0600',mode:absolute,to:'2016-10-17 09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7" s="52" t="str">
        <f t="shared" si="90"/>
        <v>N</v>
      </c>
      <c r="X167" s="178">
        <f t="shared" si="105"/>
        <v>1</v>
      </c>
      <c r="Y167" s="67">
        <f t="shared" si="91"/>
        <v>9.7600000000000006E-2</v>
      </c>
      <c r="Z167" s="67">
        <f t="shared" si="92"/>
        <v>5.8939000000000004</v>
      </c>
      <c r="AA167" s="67">
        <f t="shared" si="93"/>
        <v>5.7963000000000005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94"/>
        <v>0811-17</v>
      </c>
      <c r="AE167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67" s="88" t="str">
        <f t="shared" si="99"/>
        <v>"C:\Program Files (x86)\AstroGrep\AstroGrep.exe" /spath="%USERPROFILE%\AppData\Local\Temp\OnboardLogs" /stypes="app*4029*20161017*" /stext=" 14:.+((SYSTEM_STATE.+slice.+state.+changed )|(ment ac)|(system.+state.+changed )|(\[timeout)|(PRM\|1\|D)|(kpr)|(kdp)|(\|lc)|(penalty))" /e /r /s</v>
      </c>
      <c r="AG167" s="1" t="str">
        <f t="shared" si="95"/>
        <v>NW</v>
      </c>
      <c r="AH167" s="92" t="str">
        <f t="shared" si="106"/>
        <v>"%USERPROFILE%\Documents\GitHub\eaglep3\Utilities\RefineRTDCRunTimes.py" --tripid 811-17 --locoid 4029 --swversion DE.1.0.7.0 --startMP 204:976 --initTime 2016-10-17T08:08:39 --startdatetime 2016-10-17T08:21:18 --delay 1 --endMP 300:58939 --enddatetime 2016-10-17T08:35:06 --enforcementcount 0 &gt;&gt;C:\Users\stu\Documents\GitHub\eaglep3-reporting\EC\2016-10-17-refined-times.txt</v>
      </c>
      <c r="AI167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{"issue":{"subject":"","project_id":79,"tracker_id":40,"status_id":1,"priority_id":2,"assigned_to_id":23,"start_date":"2016-10-17","description":"","custom_fields":[{"id":1,"name":"Subdivision","value":"NW"},{"id":4,"name":"Milepost","value":"5.8939"},{"id":17,"name":"Train ID","value":"811-17"},{"id":16,"name":"Locomotive ID","value":"4029"},{"id":130,"name":"Impact","value":""},{"id":150,"name":"Time of Event (Mountain Time)","value":"08:35:06"},{"id":151,"name":"Denver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475</v>
      </c>
      <c r="B168" s="7">
        <v>4030</v>
      </c>
      <c r="C168" s="22" t="s">
        <v>99</v>
      </c>
      <c r="D168" s="22" t="s">
        <v>716</v>
      </c>
      <c r="E168" s="13">
        <v>42660.358958333331</v>
      </c>
      <c r="F168" s="13">
        <v>42660.361238425925</v>
      </c>
      <c r="G168" s="7">
        <v>1</v>
      </c>
      <c r="H168" s="13" t="s">
        <v>717</v>
      </c>
      <c r="I168" s="13">
        <v>42660.37164351852</v>
      </c>
      <c r="J168" s="7">
        <v>0</v>
      </c>
      <c r="K168" s="112" t="str">
        <f t="shared" ref="K168:K189" si="108">IF(ISEVEN(B168),(B168-1)&amp;"/"&amp;B168,B168&amp;"/"&amp;(B168+1))</f>
        <v>4029/4030</v>
      </c>
      <c r="L168" s="22" t="str">
        <f>VLOOKUP(A168,'Trips&amp;Operators'!$C$1:$E$10000,3,FALSE)</f>
        <v>ROCHA</v>
      </c>
      <c r="M168" s="6">
        <f t="shared" ref="M168:M189" si="109">I168-F168</f>
        <v>1.0405092594737653E-2</v>
      </c>
      <c r="N168" s="7">
        <f t="shared" si="103"/>
        <v>14.98333333642222</v>
      </c>
      <c r="O168" s="7"/>
      <c r="P168" s="7"/>
      <c r="Q168" s="23"/>
      <c r="R168" s="23"/>
      <c r="S168" s="35">
        <f t="shared" ref="S168:S189" si="110">SUM(U168:U168)/IF(AG168="EC",12,1)</f>
        <v>1</v>
      </c>
      <c r="T168" s="50" t="str">
        <f t="shared" ref="T168:T189" si="111">IF(ISEVEN(LEFT(AD168,4)),"Southbound","NorthBound")</f>
        <v>Southbound</v>
      </c>
      <c r="U168" s="18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ref="V168:V189" si="112"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https://search-rtdc-monitor-bjffxe2xuh6vdkpspy63sjmuny.us-east-1.es.amazonaws.com/_plugin/kibana/#/discover/Steve-Slow-Train-Analysis-(2080s-and-2083s)?_g=(refreshInterval:(display:Off,section:0,value:0),time:(from:'2016-10-17 07:36:54-0600',mode:absolute,to:'2016-10-17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8" s="52" t="str">
        <f t="shared" ref="W168:W189" si="113">IF(AA168&lt;IF(AG168="EC",23,5.65),"Y","N")</f>
        <v>N</v>
      </c>
      <c r="X168" s="178">
        <f t="shared" si="105"/>
        <v>1</v>
      </c>
      <c r="Y168" s="67">
        <f t="shared" ref="Y168:Y189" si="114">RIGHT(D168,LEN(D168)-4)/10000</f>
        <v>5.8624000000000001</v>
      </c>
      <c r="Z168" s="67">
        <f t="shared" ref="Z168:Z189" si="115">RIGHT(H168,LEN(H168)-4)/10000</f>
        <v>7.1900000000000006E-2</v>
      </c>
      <c r="AA168" s="67">
        <f t="shared" ref="AA168:AA189" si="116">ABS(Z168-Y168)</f>
        <v>5.7904999999999998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ref="AD168:AD189" si="117">IF(LEN(A168)=6,"0"&amp;A168,A168)</f>
        <v>0812-17</v>
      </c>
      <c r="AE168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68" s="88" t="str">
        <f t="shared" si="99"/>
        <v>"C:\Program Files (x86)\AstroGrep\AstroGrep.exe" /spath="%USERPROFILE%\AppData\Local\Temp\OnboardLogs" /stypes="app*4030*20161017*" /stext=" 14:.+((SYSTEM_STATE.+slice.+state.+changed )|(ment ac)|(system.+state.+changed )|(\[timeout)|(PRM\|1\|D)|(kpr)|(kdp)|(\|lc)|(penalty))" /e /r /s</v>
      </c>
      <c r="AG168" s="1" t="str">
        <f t="shared" ref="AG168:AG189" si="118">IFERROR(IF(VALUE(LEFT(AD168,2))&lt;=2,"EC",IF(OR(VALUE(LEFT(AD168,2))=8,VALUE(LEFT(AD168,2))=18),"NW","Other")),"Other")</f>
        <v>NW</v>
      </c>
      <c r="AH168" s="92" t="str">
        <f t="shared" si="106"/>
        <v>"%USERPROFILE%\Documents\GitHub\eaglep3\Utilities\RefineRTDCRunTimes.py" --tripid 812-17 --locoid 4030 --swversion DE.1.0.7.0 --startMP 300:58624 --initTime 2016-10-17T08:36:54 --startdatetime 2016-10-17T08:40:11 --delay 1 --endMP 204:719 --enddatetime 2016-10-17T08:55:10 --enforcementcount 0 &gt;&gt;C:\Users\stu\Documents\GitHub\eaglep3-reporting\EC\2016-10-17-refined-times.txt</v>
      </c>
      <c r="AI16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{"issue":{"subject":"","project_id":79,"tracker_id":40,"status_id":1,"priority_id":2,"assigned_to_id":23,"start_date":"2016-10-17","description":"","custom_fields":[{"id":1,"name":"Subdivision","value":"NW"},{"id":4,"name":"Milepost","value":"0.0719"},{"id":17,"name":"Train ID","value":"812-17"},{"id":16,"name":"Locomotive ID","value":"4030"},{"id":130,"name":"Impact","value":""},{"id":150,"name":"Time of Event (Mountain Time)","value":"08:55:10"},{"id":151,"name":"Denver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408</v>
      </c>
      <c r="B169" s="7">
        <v>4029</v>
      </c>
      <c r="C169" s="22" t="s">
        <v>99</v>
      </c>
      <c r="D169" s="22" t="s">
        <v>718</v>
      </c>
      <c r="E169" s="13">
        <v>42660.387731481482</v>
      </c>
      <c r="F169" s="13">
        <v>42660.389745370368</v>
      </c>
      <c r="G169" s="7">
        <v>1</v>
      </c>
      <c r="H169" s="13" t="s">
        <v>719</v>
      </c>
      <c r="I169" s="13">
        <v>42660.398738425924</v>
      </c>
      <c r="J169" s="7">
        <v>0</v>
      </c>
      <c r="K169" s="112" t="str">
        <f t="shared" si="108"/>
        <v>4029/4030</v>
      </c>
      <c r="L169" s="22" t="str">
        <f>VLOOKUP(A169,'Trips&amp;Operators'!$C$1:$E$10000,3,FALSE)</f>
        <v>ROCHA</v>
      </c>
      <c r="M169" s="6">
        <f t="shared" si="109"/>
        <v>8.9930555550381541E-3</v>
      </c>
      <c r="N169" s="7">
        <f t="shared" si="103"/>
        <v>12.949999999254942</v>
      </c>
      <c r="O169" s="7"/>
      <c r="P169" s="7"/>
      <c r="Q169" s="23"/>
      <c r="R169" s="23"/>
      <c r="S169" s="35">
        <f t="shared" si="110"/>
        <v>1</v>
      </c>
      <c r="T169" s="50" t="str">
        <f t="shared" si="111"/>
        <v>NorthBound</v>
      </c>
      <c r="U169" s="18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08:18:20-0600',mode:absolute,to:'2016-10-17 10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9" s="52" t="str">
        <f t="shared" si="113"/>
        <v>N</v>
      </c>
      <c r="X169" s="178">
        <f t="shared" si="105"/>
        <v>1</v>
      </c>
      <c r="Y169" s="67">
        <f t="shared" si="114"/>
        <v>9.9000000000000005E-2</v>
      </c>
      <c r="Z169" s="67">
        <f t="shared" si="115"/>
        <v>5.8963000000000001</v>
      </c>
      <c r="AA169" s="67">
        <f t="shared" si="116"/>
        <v>5.7972999999999999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117"/>
        <v>0813-17</v>
      </c>
      <c r="AE16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69" s="88" t="str">
        <f t="shared" si="99"/>
        <v>"C:\Program Files (x86)\AstroGrep\AstroGrep.exe" /spath="%USERPROFILE%\AppData\Local\Temp\OnboardLogs" /stypes="app*4029*20161017*" /stext=" 15:.+((SYSTEM_STATE.+slice.+state.+changed )|(ment ac)|(system.+state.+changed )|(\[timeout)|(PRM\|1\|D)|(kpr)|(kdp)|(\|lc)|(penalty))" /e /r /s</v>
      </c>
      <c r="AG169" s="1" t="str">
        <f t="shared" si="118"/>
        <v>NW</v>
      </c>
      <c r="AH169" s="92" t="str">
        <f t="shared" si="106"/>
        <v>"%USERPROFILE%\Documents\GitHub\eaglep3\Utilities\RefineRTDCRunTimes.py" --tripid 813-17 --locoid 4029 --swversion DE.1.0.7.0 --startMP 204:990 --initTime 2016-10-17T09:18:20 --startdatetime 2016-10-17T09:21:14 --delay 1 --endMP 300:58963 --enddatetime 2016-10-17T09:34:11 --enforcementcount 0 &gt;&gt;C:\Users\stu\Documents\GitHub\eaglep3-reporting\EC\2016-10-17-refined-times.txt</v>
      </c>
      <c r="AI16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{"issue":{"subject":"","project_id":79,"tracker_id":40,"status_id":1,"priority_id":2,"assigned_to_id":23,"start_date":"2016-10-17","description":"","custom_fields":[{"id":1,"name":"Subdivision","value":"NW"},{"id":4,"name":"Milepost","value":"5.8963"},{"id":17,"name":"Train ID","value":"813-17"},{"id":16,"name":"Locomotive ID","value":"4029"},{"id":130,"name":"Impact","value":""},{"id":150,"name":"Time of Event (Mountain Time)","value":"09:34:11"},{"id":151,"name":"Denver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409</v>
      </c>
      <c r="B170" s="7">
        <v>4030</v>
      </c>
      <c r="C170" s="22" t="s">
        <v>99</v>
      </c>
      <c r="D170" s="22" t="s">
        <v>378</v>
      </c>
      <c r="E170" s="13">
        <v>42660.399791666663</v>
      </c>
      <c r="F170" s="13">
        <v>42660.40115740741</v>
      </c>
      <c r="G170" s="7">
        <v>1</v>
      </c>
      <c r="H170" s="13" t="s">
        <v>720</v>
      </c>
      <c r="I170" s="13">
        <v>42660.415590277778</v>
      </c>
      <c r="J170" s="7">
        <v>0</v>
      </c>
      <c r="K170" s="112" t="str">
        <f t="shared" si="108"/>
        <v>4029/4030</v>
      </c>
      <c r="L170" s="22" t="str">
        <f>VLOOKUP(A170,'Trips&amp;Operators'!$C$1:$E$10000,3,FALSE)</f>
        <v>ROCHA</v>
      </c>
      <c r="M170" s="6">
        <f t="shared" si="109"/>
        <v>1.4432870368182193E-2</v>
      </c>
      <c r="N170" s="7">
        <f t="shared" si="103"/>
        <v>20.783333330182359</v>
      </c>
      <c r="O170" s="7"/>
      <c r="P170" s="7"/>
      <c r="Q170" s="23"/>
      <c r="R170" s="23"/>
      <c r="S170" s="35">
        <f t="shared" si="110"/>
        <v>1</v>
      </c>
      <c r="T170" s="50" t="str">
        <f t="shared" si="111"/>
        <v>Southbound</v>
      </c>
      <c r="U170" s="18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0" s="52" t="str">
        <f t="shared" si="113"/>
        <v>N</v>
      </c>
      <c r="X170" s="178">
        <f t="shared" si="105"/>
        <v>1</v>
      </c>
      <c r="Y170" s="67">
        <f t="shared" si="114"/>
        <v>5.8648999999999996</v>
      </c>
      <c r="Z170" s="67">
        <f t="shared" si="115"/>
        <v>6.7100000000000007E-2</v>
      </c>
      <c r="AA170" s="67">
        <f t="shared" si="116"/>
        <v>5.7977999999999996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117"/>
        <v>0814-17</v>
      </c>
      <c r="AE17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0" s="88" t="str">
        <f t="shared" si="99"/>
        <v>"C:\Program Files (x86)\AstroGrep\AstroGrep.exe" /spath="%USERPROFILE%\AppData\Local\Temp\OnboardLogs" /stypes="app*4030*20161017*" /stext=" 15:.+((SYSTEM_STATE.+slice.+state.+changed )|(ment ac)|(system.+state.+changed )|(\[timeout)|(PRM\|1\|D)|(kpr)|(kdp)|(\|lc)|(penalty))" /e /r /s</v>
      </c>
      <c r="AG170" s="1" t="str">
        <f t="shared" si="118"/>
        <v>NW</v>
      </c>
      <c r="AH170" s="92" t="str">
        <f t="shared" si="106"/>
        <v>"%USERPROFILE%\Documents\GitHub\eaglep3\Utilities\RefineRTDCRunTimes.py" --tripid 814-17 --locoid 4030 --swversion DE.1.0.7.0 --startMP 300:58649 --initTime 2016-10-17T09:35:42 --startdatetime 2016-10-17T09:37:40 --delay 1 --endMP 204:671 --enddatetime 2016-10-17T09:58:27 --enforcementcount 0 &gt;&gt;C:\Users\stu\Documents\GitHub\eaglep3-reporting\EC\2016-10-17-refined-times.txt</v>
      </c>
      <c r="AI17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{"issue":{"subject":"","project_id":79,"tracker_id":40,"status_id":1,"priority_id":2,"assigned_to_id":23,"start_date":"2016-10-17","description":"","custom_fields":[{"id":1,"name":"Subdivision","value":"NW"},{"id":4,"name":"Milepost","value":"0.0671"},{"id":17,"name":"Train ID","value":"814-17"},{"id":16,"name":"Locomotive ID","value":"4030"},{"id":130,"name":"Impact","value":""},{"id":150,"name":"Time of Event (Mountain Time)","value":"09:58:27"},{"id":151,"name":"Denver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487</v>
      </c>
      <c r="B171" s="7">
        <v>4029</v>
      </c>
      <c r="C171" s="22" t="s">
        <v>99</v>
      </c>
      <c r="D171" s="22" t="s">
        <v>721</v>
      </c>
      <c r="E171" s="13">
        <v>42660.42423611111</v>
      </c>
      <c r="F171" s="13">
        <v>42660.431481481479</v>
      </c>
      <c r="G171" s="7">
        <v>7</v>
      </c>
      <c r="H171" s="13" t="s">
        <v>722</v>
      </c>
      <c r="I171" s="13">
        <v>42660.441099537034</v>
      </c>
      <c r="J171" s="7">
        <v>0</v>
      </c>
      <c r="K171" s="112" t="str">
        <f t="shared" si="108"/>
        <v>4029/4030</v>
      </c>
      <c r="L171" s="22" t="str">
        <f>VLOOKUP(A171,'Trips&amp;Operators'!$C$1:$E$10000,3,FALSE)</f>
        <v>ROCHA</v>
      </c>
      <c r="M171" s="6">
        <f t="shared" si="109"/>
        <v>9.6180555556202307E-3</v>
      </c>
      <c r="N171" s="7">
        <f t="shared" si="103"/>
        <v>13.850000000093132</v>
      </c>
      <c r="O171" s="7"/>
      <c r="P171" s="7"/>
      <c r="Q171" s="23"/>
      <c r="R171" s="23"/>
      <c r="S171" s="35">
        <f t="shared" si="110"/>
        <v>1</v>
      </c>
      <c r="T171" s="50" t="str">
        <f t="shared" si="111"/>
        <v>NorthBound</v>
      </c>
      <c r="U171" s="18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09:10:54-0600',mode:absolute,to:'2016-10-17 11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1" s="52" t="str">
        <f t="shared" si="113"/>
        <v>N</v>
      </c>
      <c r="X171" s="178">
        <f t="shared" si="105"/>
        <v>1</v>
      </c>
      <c r="Y171" s="67">
        <f t="shared" si="114"/>
        <v>9.6199999999999994E-2</v>
      </c>
      <c r="Z171" s="67">
        <f t="shared" si="115"/>
        <v>5.8098999999999998</v>
      </c>
      <c r="AA171" s="67">
        <f t="shared" si="116"/>
        <v>5.7137000000000002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117"/>
        <v>0815-17</v>
      </c>
      <c r="AE171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1" s="88" t="str">
        <f t="shared" si="99"/>
        <v>"C:\Program Files (x86)\AstroGrep\AstroGrep.exe" /spath="%USERPROFILE%\AppData\Local\Temp\OnboardLogs" /stypes="app*4029*20161017*" /stext=" 16:.+((SYSTEM_STATE.+slice.+state.+changed )|(ment ac)|(system.+state.+changed )|(\[timeout)|(PRM\|1\|D)|(kpr)|(kdp)|(\|lc)|(penalty))" /e /r /s</v>
      </c>
      <c r="AG171" s="1" t="str">
        <f t="shared" si="118"/>
        <v>NW</v>
      </c>
      <c r="AH171" s="92" t="str">
        <f t="shared" si="106"/>
        <v>"%USERPROFILE%\Documents\GitHub\eaglep3\Utilities\RefineRTDCRunTimes.py" --tripid 815-17 --locoid 4029 --swversion DE.1.0.7.0 --startMP 204:962 --initTime 2016-10-17T10:10:54 --startdatetime 2016-10-17T10:21:20 --delay 7 --endMP 300:58099 --enddatetime 2016-10-17T10:35:11 --enforcementcount 0 &gt;&gt;C:\Users\stu\Documents\GitHub\eaglep3-reporting\EC\2016-10-17-refined-times.txt</v>
      </c>
      <c r="AI17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{"issue":{"subject":"","project_id":79,"tracker_id":40,"status_id":1,"priority_id":2,"assigned_to_id":23,"start_date":"2016-10-17","description":"","custom_fields":[{"id":1,"name":"Subdivision","value":"NW"},{"id":4,"name":"Milepost","value":"5.8099"},{"id":17,"name":"Train ID","value":"815-17"},{"id":16,"name":"Locomotive ID","value":"4029"},{"id":130,"name":"Impact","value":""},{"id":150,"name":"Time of Event (Mountain Time)","value":"10:35:11"},{"id":151,"name":"Denver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493</v>
      </c>
      <c r="B172" s="7">
        <v>4030</v>
      </c>
      <c r="C172" s="22" t="s">
        <v>99</v>
      </c>
      <c r="D172" s="22" t="s">
        <v>723</v>
      </c>
      <c r="E172" s="13">
        <v>42660.442870370367</v>
      </c>
      <c r="F172" s="13">
        <v>42660.444756944446</v>
      </c>
      <c r="G172" s="7">
        <v>2</v>
      </c>
      <c r="H172" s="13" t="s">
        <v>724</v>
      </c>
      <c r="I172" s="13">
        <v>42660.456493055557</v>
      </c>
      <c r="J172" s="7">
        <v>0</v>
      </c>
      <c r="K172" s="112" t="str">
        <f t="shared" si="108"/>
        <v>4029/4030</v>
      </c>
      <c r="L172" s="22" t="str">
        <f>VLOOKUP(A172,'Trips&amp;Operators'!$C$1:$E$10000,3,FALSE)</f>
        <v>ROCHA</v>
      </c>
      <c r="M172" s="6">
        <f t="shared" si="109"/>
        <v>1.17361111115315E-2</v>
      </c>
      <c r="N172" s="7">
        <f t="shared" si="103"/>
        <v>16.90000000060536</v>
      </c>
      <c r="O172" s="7"/>
      <c r="P172" s="7"/>
      <c r="Q172" s="23"/>
      <c r="R172" s="23"/>
      <c r="S172" s="35">
        <f t="shared" si="110"/>
        <v>1</v>
      </c>
      <c r="T172" s="50" t="str">
        <f t="shared" si="111"/>
        <v>Southbound</v>
      </c>
      <c r="U172" s="18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09:37:44-0600',mode:absolute,to:'2016-10-17 11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2" s="52" t="str">
        <f t="shared" si="113"/>
        <v>N</v>
      </c>
      <c r="X172" s="178">
        <f t="shared" si="105"/>
        <v>1</v>
      </c>
      <c r="Y172" s="67">
        <f t="shared" si="114"/>
        <v>5.8613</v>
      </c>
      <c r="Z172" s="67">
        <f t="shared" si="115"/>
        <v>6.7799999999999999E-2</v>
      </c>
      <c r="AA172" s="67">
        <f t="shared" si="116"/>
        <v>5.7934999999999999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17"/>
        <v>0816-17</v>
      </c>
      <c r="AE172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2" s="88" t="str">
        <f t="shared" si="99"/>
        <v>"C:\Program Files (x86)\AstroGrep\AstroGrep.exe" /spath="%USERPROFILE%\AppData\Local\Temp\OnboardLogs" /stypes="app*4030*20161017*" /stext=" 16:.+((SYSTEM_STATE.+slice.+state.+changed )|(ment ac)|(system.+state.+changed )|(\[timeout)|(PRM\|1\|D)|(kpr)|(kdp)|(\|lc)|(penalty))" /e /r /s</v>
      </c>
      <c r="AG172" s="1" t="str">
        <f t="shared" si="118"/>
        <v>NW</v>
      </c>
      <c r="AH172" s="92" t="str">
        <f t="shared" si="106"/>
        <v>"%USERPROFILE%\Documents\GitHub\eaglep3\Utilities\RefineRTDCRunTimes.py" --tripid 816-17 --locoid 4030 --swversion DE.1.0.7.0 --startMP 300:58613 --initTime 2016-10-17T10:37:44 --startdatetime 2016-10-17T10:40:27 --delay 2 --endMP 204:678 --enddatetime 2016-10-17T10:57:21 --enforcementcount 0 &gt;&gt;C:\Users\stu\Documents\GitHub\eaglep3-reporting\EC\2016-10-17-refined-times.txt</v>
      </c>
      <c r="AI17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{"issue":{"subject":"","project_id":79,"tracker_id":40,"status_id":1,"priority_id":2,"assigned_to_id":23,"start_date":"2016-10-17","description":"","custom_fields":[{"id":1,"name":"Subdivision","value":"NW"},{"id":4,"name":"Milepost","value":"0.0678"},{"id":17,"name":"Train ID","value":"816-17"},{"id":16,"name":"Locomotive ID","value":"4030"},{"id":130,"name":"Impact","value":""},{"id":150,"name":"Time of Event (Mountain Time)","value":"10:57:21"},{"id":151,"name":"Denver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501</v>
      </c>
      <c r="B173" s="7">
        <v>4029</v>
      </c>
      <c r="C173" s="22" t="s">
        <v>99</v>
      </c>
      <c r="D173" s="22" t="s">
        <v>725</v>
      </c>
      <c r="E173" s="13">
        <v>42660.467280092591</v>
      </c>
      <c r="F173" s="13">
        <v>42660.473113425927</v>
      </c>
      <c r="G173" s="7">
        <v>2</v>
      </c>
      <c r="H173" s="13" t="s">
        <v>726</v>
      </c>
      <c r="I173" s="13">
        <v>42660.482974537037</v>
      </c>
      <c r="J173" s="7">
        <v>0</v>
      </c>
      <c r="K173" s="112" t="str">
        <f t="shared" si="108"/>
        <v>4029/4030</v>
      </c>
      <c r="L173" s="22" t="str">
        <f>VLOOKUP(A173,'Trips&amp;Operators'!$C$1:$E$10000,3,FALSE)</f>
        <v>ROCHA</v>
      </c>
      <c r="M173" s="6">
        <f t="shared" si="109"/>
        <v>9.8611111097852699E-3</v>
      </c>
      <c r="N173" s="7">
        <f t="shared" si="103"/>
        <v>14.199999998090789</v>
      </c>
      <c r="O173" s="7"/>
      <c r="P173" s="7"/>
      <c r="Q173" s="23"/>
      <c r="R173" s="23"/>
      <c r="S173" s="35">
        <f t="shared" si="110"/>
        <v>1</v>
      </c>
      <c r="T173" s="50" t="str">
        <f t="shared" si="111"/>
        <v>NorthBound</v>
      </c>
      <c r="U173" s="18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10:12:53-0600',mode:absolute,to:'2016-10-17 12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3" s="52" t="str">
        <f t="shared" si="113"/>
        <v>N</v>
      </c>
      <c r="X173" s="178">
        <f t="shared" si="105"/>
        <v>1</v>
      </c>
      <c r="Y173" s="67">
        <f t="shared" si="114"/>
        <v>9.7799999999999998E-2</v>
      </c>
      <c r="Z173" s="67">
        <f t="shared" si="115"/>
        <v>5.8916000000000004</v>
      </c>
      <c r="AA173" s="67">
        <f t="shared" si="116"/>
        <v>5.7938000000000001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17"/>
        <v>0817-17</v>
      </c>
      <c r="AE173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3" s="88" t="str">
        <f t="shared" si="99"/>
        <v>"C:\Program Files (x86)\AstroGrep\AstroGrep.exe" /spath="%USERPROFILE%\AppData\Local\Temp\OnboardLogs" /stypes="app*4029*20161017*" /stext=" 17:.+((SYSTEM_STATE.+slice.+state.+changed )|(ment ac)|(system.+state.+changed )|(\[timeout)|(PRM\|1\|D)|(kpr)|(kdp)|(\|lc)|(penalty))" /e /r /s</v>
      </c>
      <c r="AG173" s="1" t="str">
        <f t="shared" si="118"/>
        <v>NW</v>
      </c>
      <c r="AH173" s="92" t="str">
        <f t="shared" si="106"/>
        <v>"%USERPROFILE%\Documents\GitHub\eaglep3\Utilities\RefineRTDCRunTimes.py" --tripid 817-17 --locoid 4029 --swversion DE.1.0.7.0 --startMP 204:978 --initTime 2016-10-17T11:12:53 --startdatetime 2016-10-17T11:21:17 --delay 2 --endMP 300:58916 --enddatetime 2016-10-17T11:35:29 --enforcementcount 0 &gt;&gt;C:\Users\stu\Documents\GitHub\eaglep3-reporting\EC\2016-10-17-refined-times.txt</v>
      </c>
      <c r="AI173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{"issue":{"subject":"","project_id":79,"tracker_id":40,"status_id":1,"priority_id":2,"assigned_to_id":23,"start_date":"2016-10-17","description":"","custom_fields":[{"id":1,"name":"Subdivision","value":"NW"},{"id":4,"name":"Milepost","value":"5.8916"},{"id":17,"name":"Train ID","value":"817-17"},{"id":16,"name":"Locomotive ID","value":"4029"},{"id":130,"name":"Impact","value":""},{"id":150,"name":"Time of Event (Mountain Time)","value":"11:35:29"},{"id":151,"name":"Denver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412</v>
      </c>
      <c r="B174" s="7">
        <v>4030</v>
      </c>
      <c r="C174" s="22" t="s">
        <v>99</v>
      </c>
      <c r="D174" s="22" t="s">
        <v>727</v>
      </c>
      <c r="E174" s="13">
        <v>42660.484212962961</v>
      </c>
      <c r="F174" s="13">
        <v>42660.485972222225</v>
      </c>
      <c r="G174" s="7">
        <v>2</v>
      </c>
      <c r="H174" s="13" t="s">
        <v>728</v>
      </c>
      <c r="I174" s="13">
        <v>42660.498402777775</v>
      </c>
      <c r="J174" s="7">
        <v>0</v>
      </c>
      <c r="K174" s="112" t="str">
        <f t="shared" si="108"/>
        <v>4029/4030</v>
      </c>
      <c r="L174" s="22" t="str">
        <f>VLOOKUP(A174,'Trips&amp;Operators'!$C$1:$E$10000,3,FALSE)</f>
        <v>ROCHA</v>
      </c>
      <c r="M174" s="6">
        <f t="shared" si="109"/>
        <v>1.2430555550963618E-2</v>
      </c>
      <c r="N174" s="7">
        <f t="shared" si="103"/>
        <v>17.89999999338761</v>
      </c>
      <c r="O174" s="7"/>
      <c r="P174" s="7"/>
      <c r="Q174" s="23"/>
      <c r="R174" s="23"/>
      <c r="S174" s="35">
        <f t="shared" si="110"/>
        <v>1</v>
      </c>
      <c r="T174" s="50" t="str">
        <f t="shared" si="111"/>
        <v>Southbound</v>
      </c>
      <c r="U174" s="18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10:37:16-0600',mode:absolute,to:'2016-10-17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4" s="52" t="str">
        <f t="shared" si="113"/>
        <v>N</v>
      </c>
      <c r="X174" s="178">
        <f t="shared" si="105"/>
        <v>1</v>
      </c>
      <c r="Y174" s="67">
        <f t="shared" si="114"/>
        <v>5.8596000000000004</v>
      </c>
      <c r="Z174" s="67">
        <f t="shared" si="115"/>
        <v>7.3999999999999996E-2</v>
      </c>
      <c r="AA174" s="67">
        <f t="shared" si="116"/>
        <v>5.7856000000000005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17"/>
        <v>0818-17</v>
      </c>
      <c r="AE174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4" s="88" t="str">
        <f t="shared" si="99"/>
        <v>"C:\Program Files (x86)\AstroGrep\AstroGrep.exe" /spath="%USERPROFILE%\AppData\Local\Temp\OnboardLogs" /stypes="app*4030*20161017*" /stext=" 17:.+((SYSTEM_STATE.+slice.+state.+changed )|(ment ac)|(system.+state.+changed )|(\[timeout)|(PRM\|1\|D)|(kpr)|(kdp)|(\|lc)|(penalty))" /e /r /s</v>
      </c>
      <c r="AG174" s="1" t="str">
        <f t="shared" si="118"/>
        <v>NW</v>
      </c>
      <c r="AH174" s="92" t="str">
        <f t="shared" si="106"/>
        <v>"%USERPROFILE%\Documents\GitHub\eaglep3\Utilities\RefineRTDCRunTimes.py" --tripid 818-17 --locoid 4030 --swversion DE.1.0.7.0 --startMP 300:58596 --initTime 2016-10-17T11:37:16 --startdatetime 2016-10-17T11:39:48 --delay 2 --endMP 204:740 --enddatetime 2016-10-17T11:57:42 --enforcementcount 0 &gt;&gt;C:\Users\stu\Documents\GitHub\eaglep3-reporting\EC\2016-10-17-refined-times.txt</v>
      </c>
      <c r="AI174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{"issue":{"subject":"","project_id":79,"tracker_id":40,"status_id":1,"priority_id":2,"assigned_to_id":23,"start_date":"2016-10-17","description":"","custom_fields":[{"id":1,"name":"Subdivision","value":"NW"},{"id":4,"name":"Milepost","value":"0.074"},{"id":17,"name":"Train ID","value":"818-17"},{"id":16,"name":"Locomotive ID","value":"4030"},{"id":130,"name":"Impact","value":""},{"id":150,"name":"Time of Event (Mountain Time)","value":"11:57:42"},{"id":151,"name":"Denver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414</v>
      </c>
      <c r="B175" s="7">
        <v>4029</v>
      </c>
      <c r="C175" s="22" t="s">
        <v>99</v>
      </c>
      <c r="D175" s="22" t="s">
        <v>729</v>
      </c>
      <c r="E175" s="13">
        <v>42660.505069444444</v>
      </c>
      <c r="F175" s="13">
        <v>42660.514803240738</v>
      </c>
      <c r="G175" s="7">
        <v>4</v>
      </c>
      <c r="H175" s="13" t="s">
        <v>730</v>
      </c>
      <c r="I175" s="13">
        <v>42660.525081018517</v>
      </c>
      <c r="J175" s="7">
        <v>0</v>
      </c>
      <c r="K175" s="112" t="str">
        <f t="shared" si="108"/>
        <v>4029/4030</v>
      </c>
      <c r="L175" s="22" t="str">
        <f>VLOOKUP(A175,'Trips&amp;Operators'!$C$1:$E$10000,3,FALSE)</f>
        <v>ROCHA</v>
      </c>
      <c r="M175" s="6">
        <f t="shared" si="109"/>
        <v>1.0277777779265307E-2</v>
      </c>
      <c r="N175" s="7">
        <f t="shared" si="103"/>
        <v>14.800000002142042</v>
      </c>
      <c r="O175" s="7"/>
      <c r="P175" s="7"/>
      <c r="Q175" s="23"/>
      <c r="R175" s="23"/>
      <c r="S175" s="35">
        <f t="shared" si="110"/>
        <v>1</v>
      </c>
      <c r="T175" s="50" t="str">
        <f t="shared" si="111"/>
        <v>NorthBound</v>
      </c>
      <c r="U175" s="18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11:07:18-0600',mode:absolute,to:'2016-10-17 13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5" s="52" t="str">
        <f t="shared" si="113"/>
        <v>N</v>
      </c>
      <c r="X175" s="178">
        <f t="shared" si="105"/>
        <v>1</v>
      </c>
      <c r="Y175" s="67">
        <f t="shared" si="114"/>
        <v>0.1021</v>
      </c>
      <c r="Z175" s="67">
        <f t="shared" si="115"/>
        <v>5.8940999999999999</v>
      </c>
      <c r="AA175" s="67">
        <f t="shared" si="116"/>
        <v>5.7919999999999998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17"/>
        <v>0819-17</v>
      </c>
      <c r="AE175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5" s="88" t="str">
        <f t="shared" si="99"/>
        <v>"C:\Program Files (x86)\AstroGrep\AstroGrep.exe" /spath="%USERPROFILE%\AppData\Local\Temp\OnboardLogs" /stypes="app*4029*20161017*" /stext=" 18:.+((SYSTEM_STATE.+slice.+state.+changed )|(ment ac)|(system.+state.+changed )|(\[timeout)|(PRM\|1\|D)|(kpr)|(kdp)|(\|lc)|(penalty))" /e /r /s</v>
      </c>
      <c r="AG175" s="1" t="str">
        <f t="shared" si="118"/>
        <v>NW</v>
      </c>
      <c r="AH175" s="92" t="str">
        <f t="shared" si="106"/>
        <v>"%USERPROFILE%\Documents\GitHub\eaglep3\Utilities\RefineRTDCRunTimes.py" --tripid 819-17 --locoid 4029 --swversion DE.1.0.7.0 --startMP 204:1021 --initTime 2016-10-17T12:07:18 --startdatetime 2016-10-17T12:21:19 --delay 4 --endMP 300:58941 --enddatetime 2016-10-17T12:36:07 --enforcementcount 0 &gt;&gt;C:\Users\stu\Documents\GitHub\eaglep3-reporting\EC\2016-10-17-refined-times.txt</v>
      </c>
      <c r="AI175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{"issue":{"subject":"","project_id":79,"tracker_id":40,"status_id":1,"priority_id":2,"assigned_to_id":23,"start_date":"2016-10-17","description":"","custom_fields":[{"id":1,"name":"Subdivision","value":"NW"},{"id":4,"name":"Milepost","value":"5.8941"},{"id":17,"name":"Train ID","value":"819-17"},{"id":16,"name":"Locomotive ID","value":"4029"},{"id":130,"name":"Impact","value":""},{"id":150,"name":"Time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515</v>
      </c>
      <c r="B176" s="7">
        <v>4030</v>
      </c>
      <c r="C176" s="22" t="s">
        <v>99</v>
      </c>
      <c r="D176" s="22" t="s">
        <v>318</v>
      </c>
      <c r="E176" s="13">
        <v>42660.526388888888</v>
      </c>
      <c r="F176" s="13">
        <v>42660.528298611112</v>
      </c>
      <c r="G176" s="7">
        <v>1</v>
      </c>
      <c r="H176" s="13" t="s">
        <v>373</v>
      </c>
      <c r="I176" s="13">
        <v>42660.540636574071</v>
      </c>
      <c r="J176" s="7">
        <v>0</v>
      </c>
      <c r="K176" s="112" t="str">
        <f t="shared" si="108"/>
        <v>4029/4030</v>
      </c>
      <c r="L176" s="22" t="str">
        <f>VLOOKUP(A176,'Trips&amp;Operators'!$C$1:$E$10000,3,FALSE)</f>
        <v>ROCHA</v>
      </c>
      <c r="M176" s="6">
        <f t="shared" si="109"/>
        <v>1.2337962958554272E-2</v>
      </c>
      <c r="N176" s="7">
        <f t="shared" si="103"/>
        <v>17.766666660318151</v>
      </c>
      <c r="O176" s="7"/>
      <c r="P176" s="7"/>
      <c r="Q176" s="23"/>
      <c r="R176" s="23"/>
      <c r="S176" s="35">
        <f t="shared" si="110"/>
        <v>1</v>
      </c>
      <c r="T176" s="50" t="str">
        <f t="shared" si="111"/>
        <v>Southbound</v>
      </c>
      <c r="U176" s="18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11:38:00-0600',mode:absolute,to:'2016-10-17 13:58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6" s="52" t="str">
        <f t="shared" si="113"/>
        <v>N</v>
      </c>
      <c r="X176" s="178">
        <f t="shared" si="105"/>
        <v>1</v>
      </c>
      <c r="Y176" s="67">
        <f t="shared" si="114"/>
        <v>5.8619000000000003</v>
      </c>
      <c r="Z176" s="67">
        <f t="shared" si="115"/>
        <v>7.1199999999999999E-2</v>
      </c>
      <c r="AA176" s="67">
        <f t="shared" si="116"/>
        <v>5.7907000000000002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17"/>
        <v>0820-17</v>
      </c>
      <c r="AE176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6" s="88" t="str">
        <f t="shared" si="99"/>
        <v>"C:\Program Files (x86)\AstroGrep\AstroGrep.exe" /spath="%USERPROFILE%\AppData\Local\Temp\OnboardLogs" /stypes="app*4030*20161017*" /stext=" 18:.+((SYSTEM_STATE.+slice.+state.+changed )|(ment ac)|(system.+state.+changed )|(\[timeout)|(PRM\|1\|D)|(kpr)|(kdp)|(\|lc)|(penalty))" /e /r /s</v>
      </c>
      <c r="AG176" s="1" t="str">
        <f t="shared" si="118"/>
        <v>NW</v>
      </c>
      <c r="AH176" s="92" t="str">
        <f t="shared" si="106"/>
        <v>"%USERPROFILE%\Documents\GitHub\eaglep3\Utilities\RefineRTDCRunTimes.py" --tripid 820-17 --locoid 4030 --swversion DE.1.0.7.0 --startMP 300:58619 --initTime 2016-10-17T12:38:00 --startdatetime 2016-10-17T12:40:45 --delay 1 --endMP 204:712 --enddatetime 2016-10-17T12:58:31 --enforcementcount 0 &gt;&gt;C:\Users\stu\Documents\GitHub\eaglep3-reporting\EC\2016-10-17-refined-times.txt</v>
      </c>
      <c r="AI176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{"issue":{"subject":"","project_id":79,"tracker_id":40,"status_id":1,"priority_id":2,"assigned_to_id":23,"start_date":"2016-10-17","description":"","custom_fields":[{"id":1,"name":"Subdivision","value":"NW"},{"id":4,"name":"Milepost","value":"0.0712"},{"id":17,"name":"Train ID","value":"820-17"},{"id":16,"name":"Locomotive ID","value":"4030"},{"id":130,"name":"Impact","value":""},{"id":150,"name":"Time of Event (Mountain Time)","value":"12:58:31"},{"id":151,"name":"Denver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417</v>
      </c>
      <c r="B177" s="7">
        <v>4029</v>
      </c>
      <c r="C177" s="22" t="s">
        <v>99</v>
      </c>
      <c r="D177" s="22" t="s">
        <v>731</v>
      </c>
      <c r="E177" s="13">
        <v>42660.552314814813</v>
      </c>
      <c r="F177" s="13">
        <v>42660.556493055556</v>
      </c>
      <c r="G177" s="7">
        <v>1</v>
      </c>
      <c r="H177" s="13" t="s">
        <v>377</v>
      </c>
      <c r="I177" s="13">
        <v>42660.566342592596</v>
      </c>
      <c r="J177" s="7">
        <v>0</v>
      </c>
      <c r="K177" s="112" t="str">
        <f t="shared" si="108"/>
        <v>4029/4030</v>
      </c>
      <c r="L177" s="22" t="str">
        <f>VLOOKUP(A177,'Trips&amp;Operators'!$C$1:$E$10000,3,FALSE)</f>
        <v>BRUDER</v>
      </c>
      <c r="M177" s="6">
        <f t="shared" si="109"/>
        <v>9.8495370402815752E-3</v>
      </c>
      <c r="N177" s="7">
        <f t="shared" si="103"/>
        <v>14.183333338005468</v>
      </c>
      <c r="O177" s="7"/>
      <c r="P177" s="7"/>
      <c r="Q177" s="23"/>
      <c r="R177" s="23"/>
      <c r="S177" s="35">
        <f t="shared" si="110"/>
        <v>1</v>
      </c>
      <c r="T177" s="50" t="str">
        <f t="shared" si="111"/>
        <v>NorthBound</v>
      </c>
      <c r="U177" s="18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12:15:20-0600',mode:absolute,to:'2016-10-17 14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7" s="52" t="str">
        <f t="shared" si="113"/>
        <v>N</v>
      </c>
      <c r="X177" s="178">
        <f t="shared" si="105"/>
        <v>1</v>
      </c>
      <c r="Y177" s="67">
        <f t="shared" si="114"/>
        <v>0.1</v>
      </c>
      <c r="Z177" s="67">
        <f t="shared" si="115"/>
        <v>5.8956</v>
      </c>
      <c r="AA177" s="67">
        <f t="shared" si="116"/>
        <v>5.7956000000000003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17"/>
        <v>0821-17</v>
      </c>
      <c r="AE177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7" s="88" t="str">
        <f t="shared" si="99"/>
        <v>"C:\Program Files (x86)\AstroGrep\AstroGrep.exe" /spath="%USERPROFILE%\AppData\Local\Temp\OnboardLogs" /stypes="app*4029*20161017*" /stext=" 19:.+((SYSTEM_STATE.+slice.+state.+changed )|(ment ac)|(system.+state.+changed )|(\[timeout)|(PRM\|1\|D)|(kpr)|(kdp)|(\|lc)|(penalty))" /e /r /s</v>
      </c>
      <c r="AG177" s="1" t="str">
        <f t="shared" si="118"/>
        <v>NW</v>
      </c>
      <c r="AH177" s="92" t="str">
        <f t="shared" si="106"/>
        <v>"%USERPROFILE%\Documents\GitHub\eaglep3\Utilities\RefineRTDCRunTimes.py" --tripid 821-17 --locoid 4029 --swversion DE.1.0.7.0 --startMP 204:1000 --initTime 2016-10-17T13:15:20 --startdatetime 2016-10-17T13:21:21 --delay 1 --endMP 300:58956 --enddatetime 2016-10-17T13:35:32 --enforcementcount 0 &gt;&gt;C:\Users\stu\Documents\GitHub\eaglep3-reporting\EC\2016-10-17-refined-times.txt</v>
      </c>
      <c r="AI177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{"issue":{"subject":"","project_id":79,"tracker_id":40,"status_id":1,"priority_id":2,"assigned_to_id":23,"start_date":"2016-10-17","description":"","custom_fields":[{"id":1,"name":"Subdivision","value":"NW"},{"id":4,"name":"Milepost","value":"5.8956"},{"id":17,"name":"Train ID","value":"821-17"},{"id":16,"name":"Locomotive ID","value":"4029"},{"id":130,"name":"Impact","value":""},{"id":150,"name":"Time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522</v>
      </c>
      <c r="B178" s="7">
        <v>4030</v>
      </c>
      <c r="C178" s="22" t="s">
        <v>99</v>
      </c>
      <c r="D178" s="22" t="s">
        <v>732</v>
      </c>
      <c r="E178" s="13">
        <v>42660.568055555559</v>
      </c>
      <c r="F178" s="13">
        <v>42660.57</v>
      </c>
      <c r="G178" s="7">
        <v>1</v>
      </c>
      <c r="H178" s="13" t="s">
        <v>713</v>
      </c>
      <c r="I178" s="13">
        <v>42660.580474537041</v>
      </c>
      <c r="J178" s="7">
        <v>0</v>
      </c>
      <c r="K178" s="112" t="str">
        <f t="shared" si="108"/>
        <v>4029/4030</v>
      </c>
      <c r="L178" s="22" t="str">
        <f>VLOOKUP(A178,'Trips&amp;Operators'!$C$1:$E$10000,3,FALSE)</f>
        <v>BRUDER</v>
      </c>
      <c r="M178" s="6">
        <f t="shared" si="109"/>
        <v>1.0474537040863652E-2</v>
      </c>
      <c r="N178" s="7">
        <f t="shared" si="103"/>
        <v>15.083333338843659</v>
      </c>
      <c r="O178" s="7"/>
      <c r="P178" s="7"/>
      <c r="Q178" s="23"/>
      <c r="R178" s="23"/>
      <c r="S178" s="35">
        <f t="shared" si="110"/>
        <v>1</v>
      </c>
      <c r="T178" s="50" t="str">
        <f t="shared" si="111"/>
        <v>Southbound</v>
      </c>
      <c r="U178" s="18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12:38:00-0600',mode:absolute,to:'2016-10-17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8" s="52" t="str">
        <f t="shared" si="113"/>
        <v>N</v>
      </c>
      <c r="X178" s="178">
        <f t="shared" si="105"/>
        <v>1</v>
      </c>
      <c r="Y178" s="67">
        <f t="shared" si="114"/>
        <v>5.8635999999999999</v>
      </c>
      <c r="Z178" s="67">
        <f t="shared" si="115"/>
        <v>6.6799999999999998E-2</v>
      </c>
      <c r="AA178" s="67">
        <f t="shared" si="116"/>
        <v>5.7968000000000002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17"/>
        <v>0822-17</v>
      </c>
      <c r="AE178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78" s="88" t="str">
        <f t="shared" si="99"/>
        <v>"C:\Program Files (x86)\AstroGrep\AstroGrep.exe" /spath="%USERPROFILE%\AppData\Local\Temp\OnboardLogs" /stypes="app*4030*20161017*" /stext=" 19:.+((SYSTEM_STATE.+slice.+state.+changed )|(ment ac)|(system.+state.+changed )|(\[timeout)|(PRM\|1\|D)|(kpr)|(kdp)|(\|lc)|(penalty))" /e /r /s</v>
      </c>
      <c r="AG178" s="1" t="str">
        <f t="shared" si="118"/>
        <v>NW</v>
      </c>
      <c r="AH178" s="92" t="str">
        <f t="shared" si="106"/>
        <v>"%USERPROFILE%\Documents\GitHub\eaglep3\Utilities\RefineRTDCRunTimes.py" --tripid 822-17 --locoid 4030 --swversion DE.1.0.7.0 --startMP 300:58636 --initTime 2016-10-17T13:38:00 --startdatetime 2016-10-17T13:40:48 --delay 1 --endMP 204:668 --enddatetime 2016-10-17T13:55:53 --enforcementcount 0 &gt;&gt;C:\Users\stu\Documents\GitHub\eaglep3-reporting\EC\2016-10-17-refined-times.txt</v>
      </c>
      <c r="AI17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{"issue":{"subject":"","project_id":79,"tracker_id":40,"status_id":1,"priority_id":2,"assigned_to_id":23,"start_date":"2016-10-17","description":"","custom_fields":[{"id":1,"name":"Subdivision","value":"NW"},{"id":4,"name":"Milepost","value":"0.0668"},{"id":17,"name":"Train ID","value":"822-17"},{"id":16,"name":"Locomotive ID","value":"4030"},{"id":130,"name":"Impact","value":""},{"id":150,"name":"Time of Event (Mountain Time)","value":"13:55:53"},{"id":151,"name":"Denver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528</v>
      </c>
      <c r="B179" s="7">
        <v>4029</v>
      </c>
      <c r="C179" s="22" t="s">
        <v>99</v>
      </c>
      <c r="D179" s="22" t="s">
        <v>704</v>
      </c>
      <c r="E179" s="13">
        <v>42660.590925925928</v>
      </c>
      <c r="F179" s="13">
        <v>42660.598113425927</v>
      </c>
      <c r="G179" s="7">
        <v>1</v>
      </c>
      <c r="H179" s="13" t="s">
        <v>733</v>
      </c>
      <c r="I179" s="13">
        <v>42660.608194444445</v>
      </c>
      <c r="J179" s="7">
        <v>0</v>
      </c>
      <c r="K179" s="112" t="str">
        <f t="shared" si="108"/>
        <v>4029/4030</v>
      </c>
      <c r="L179" s="22" t="str">
        <f>VLOOKUP(A179,'Trips&amp;Operators'!$C$1:$E$10000,3,FALSE)</f>
        <v>BRUDER</v>
      </c>
      <c r="M179" s="6">
        <f t="shared" si="109"/>
        <v>1.0081018517666962E-2</v>
      </c>
      <c r="N179" s="7">
        <f t="shared" si="103"/>
        <v>14.516666665440425</v>
      </c>
      <c r="O179" s="7"/>
      <c r="P179" s="7"/>
      <c r="Q179" s="23"/>
      <c r="R179" s="23"/>
      <c r="S179" s="35">
        <f t="shared" si="110"/>
        <v>1</v>
      </c>
      <c r="T179" s="50" t="str">
        <f t="shared" si="111"/>
        <v>NorthBound</v>
      </c>
      <c r="U179" s="18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13:10:56-0600',mode:absolute,to:'2016-10-17 15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9" s="52" t="str">
        <f t="shared" si="113"/>
        <v>N</v>
      </c>
      <c r="X179" s="178">
        <f t="shared" si="105"/>
        <v>1</v>
      </c>
      <c r="Y179" s="67">
        <f t="shared" si="114"/>
        <v>9.74E-2</v>
      </c>
      <c r="Z179" s="67">
        <f t="shared" si="115"/>
        <v>5.8944000000000001</v>
      </c>
      <c r="AA179" s="67">
        <f t="shared" si="116"/>
        <v>5.7969999999999997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17"/>
        <v>0823-17</v>
      </c>
      <c r="AE17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79" s="88" t="str">
        <f t="shared" si="99"/>
        <v>"C:\Program Files (x86)\AstroGrep\AstroGrep.exe" /spath="%USERPROFILE%\AppData\Local\Temp\OnboardLogs" /stypes="app*4029*20161017*" /stext=" 20:.+((SYSTEM_STATE.+slice.+state.+changed )|(ment ac)|(system.+state.+changed )|(\[timeout)|(PRM\|1\|D)|(kpr)|(kdp)|(\|lc)|(penalty))" /e /r /s</v>
      </c>
      <c r="AG179" s="1" t="str">
        <f t="shared" si="118"/>
        <v>NW</v>
      </c>
      <c r="AH179" s="92" t="str">
        <f t="shared" si="106"/>
        <v>"%USERPROFILE%\Documents\GitHub\eaglep3\Utilities\RefineRTDCRunTimes.py" --tripid 823-17 --locoid 4029 --swversion DE.1.0.7.0 --startMP 204:974 --initTime 2016-10-17T14:10:56 --startdatetime 2016-10-17T14:21:17 --delay 1 --endMP 300:58944 --enddatetime 2016-10-17T14:35:48 --enforcementcount 0 &gt;&gt;C:\Users\stu\Documents\GitHub\eaglep3-reporting\EC\2016-10-17-refined-times.txt</v>
      </c>
      <c r="AI17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{"issue":{"subject":"","project_id":79,"tracker_id":40,"status_id":1,"priority_id":2,"assigned_to_id":23,"start_date":"2016-10-17","description":"","custom_fields":[{"id":1,"name":"Subdivision","value":"NW"},{"id":4,"name":"Milepost","value":"5.8944"},{"id":17,"name":"Train ID","value":"823-17"},{"id":16,"name":"Locomotive ID","value":"4029"},{"id":130,"name":"Impact","value":""},{"id":150,"name":"Time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532</v>
      </c>
      <c r="B180" s="7">
        <v>4030</v>
      </c>
      <c r="C180" s="22" t="s">
        <v>99</v>
      </c>
      <c r="D180" s="22" t="s">
        <v>374</v>
      </c>
      <c r="E180" s="13">
        <v>42660.609537037039</v>
      </c>
      <c r="F180" s="13">
        <v>42660.611215277779</v>
      </c>
      <c r="G180" s="7">
        <v>1</v>
      </c>
      <c r="H180" s="13" t="s">
        <v>734</v>
      </c>
      <c r="I180" s="13">
        <v>42660.62159722222</v>
      </c>
      <c r="J180" s="7">
        <v>0</v>
      </c>
      <c r="K180" s="112" t="str">
        <f t="shared" si="108"/>
        <v>4029/4030</v>
      </c>
      <c r="L180" s="22" t="str">
        <f>VLOOKUP(A180,'Trips&amp;Operators'!$C$1:$E$10000,3,FALSE)</f>
        <v>BRUDER</v>
      </c>
      <c r="M180" s="6">
        <f t="shared" si="109"/>
        <v>1.0381944441178348E-2</v>
      </c>
      <c r="N180" s="7">
        <f t="shared" si="103"/>
        <v>14.949999995296821</v>
      </c>
      <c r="O180" s="7"/>
      <c r="P180" s="7"/>
      <c r="Q180" s="23"/>
      <c r="R180" s="23"/>
      <c r="S180" s="35">
        <f t="shared" si="110"/>
        <v>1</v>
      </c>
      <c r="T180" s="50" t="str">
        <f t="shared" si="111"/>
        <v>Southbound</v>
      </c>
      <c r="U180" s="18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13:37:44-0600',mode:absolute,to:'2016-10-17 15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0" s="52" t="str">
        <f t="shared" si="113"/>
        <v>N</v>
      </c>
      <c r="X180" s="178">
        <f t="shared" si="105"/>
        <v>1</v>
      </c>
      <c r="Y180" s="67">
        <f t="shared" si="114"/>
        <v>5.8632</v>
      </c>
      <c r="Z180" s="67">
        <f t="shared" si="115"/>
        <v>6.7500000000000004E-2</v>
      </c>
      <c r="AA180" s="67">
        <f t="shared" si="116"/>
        <v>5.7957000000000001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17"/>
        <v>0824-17</v>
      </c>
      <c r="AE18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80" s="88" t="str">
        <f t="shared" si="99"/>
        <v>"C:\Program Files (x86)\AstroGrep\AstroGrep.exe" /spath="%USERPROFILE%\AppData\Local\Temp\OnboardLogs" /stypes="app*4030*20161017*" /stext=" 20:.+((SYSTEM_STATE.+slice.+state.+changed )|(ment ac)|(system.+state.+changed )|(\[timeout)|(PRM\|1\|D)|(kpr)|(kdp)|(\|lc)|(penalty))" /e /r /s</v>
      </c>
      <c r="AG180" s="1" t="str">
        <f t="shared" si="118"/>
        <v>NW</v>
      </c>
      <c r="AH180" s="92" t="str">
        <f t="shared" si="106"/>
        <v>"%USERPROFILE%\Documents\GitHub\eaglep3\Utilities\RefineRTDCRunTimes.py" --tripid 824-17 --locoid 4030 --swversion DE.1.0.7.0 --startMP 300:58632 --initTime 2016-10-17T14:37:44 --startdatetime 2016-10-17T14:40:09 --delay 1 --endMP 204:675 --enddatetime 2016-10-17T14:55:06 --enforcementcount 0 &gt;&gt;C:\Users\stu\Documents\GitHub\eaglep3-reporting\EC\2016-10-17-refined-times.txt</v>
      </c>
      <c r="AI18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{"issue":{"subject":"","project_id":79,"tracker_id":40,"status_id":1,"priority_id":2,"assigned_to_id":23,"start_date":"2016-10-17","description":"","custom_fields":[{"id":1,"name":"Subdivision","value":"NW"},{"id":4,"name":"Milepost","value":"0.0675"},{"id":17,"name":"Train ID","value":"824-17"},{"id":16,"name":"Locomotive ID","value":"4030"},{"id":130,"name":"Impact","value":""},{"id":150,"name":"Time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536</v>
      </c>
      <c r="B181" s="7">
        <v>4029</v>
      </c>
      <c r="C181" s="22" t="s">
        <v>99</v>
      </c>
      <c r="D181" s="22" t="s">
        <v>704</v>
      </c>
      <c r="E181" s="13">
        <v>42660.627152777779</v>
      </c>
      <c r="F181" s="13">
        <v>42660.639803240738</v>
      </c>
      <c r="G181" s="7">
        <v>1</v>
      </c>
      <c r="H181" s="13" t="s">
        <v>730</v>
      </c>
      <c r="I181" s="13">
        <v>42660.649687500001</v>
      </c>
      <c r="J181" s="7">
        <v>0</v>
      </c>
      <c r="K181" s="112" t="str">
        <f t="shared" si="108"/>
        <v>4029/4030</v>
      </c>
      <c r="L181" s="22" t="str">
        <f>VLOOKUP(A181,'Trips&amp;Operators'!$C$1:$E$10000,3,FALSE)</f>
        <v>BRUDER</v>
      </c>
      <c r="M181" s="6">
        <f t="shared" si="109"/>
        <v>9.8842592633445747E-3</v>
      </c>
      <c r="N181" s="7">
        <f t="shared" si="103"/>
        <v>14.233333339216188</v>
      </c>
      <c r="O181" s="7"/>
      <c r="P181" s="7"/>
      <c r="Q181" s="23"/>
      <c r="R181" s="23"/>
      <c r="S181" s="35">
        <f t="shared" si="110"/>
        <v>1</v>
      </c>
      <c r="T181" s="50" t="str">
        <f t="shared" si="111"/>
        <v>NorthBound</v>
      </c>
      <c r="U181" s="18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14:03:06-0600',mode:absolute,to:'2016-10-17 16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1" s="52" t="str">
        <f t="shared" si="113"/>
        <v>N</v>
      </c>
      <c r="X181" s="178">
        <f t="shared" si="105"/>
        <v>1</v>
      </c>
      <c r="Y181" s="67">
        <f t="shared" si="114"/>
        <v>9.74E-2</v>
      </c>
      <c r="Z181" s="67">
        <f t="shared" si="115"/>
        <v>5.8940999999999999</v>
      </c>
      <c r="AA181" s="67">
        <f t="shared" si="116"/>
        <v>5.7966999999999995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17"/>
        <v>0825-17</v>
      </c>
      <c r="AE181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81" s="88" t="str">
        <f t="shared" si="99"/>
        <v>"C:\Program Files (x86)\AstroGrep\AstroGrep.exe" /spath="%USERPROFILE%\AppData\Local\Temp\OnboardLogs" /stypes="app*4029*20161017*" /stext=" 21:.+((SYSTEM_STATE.+slice.+state.+changed )|(ment ac)|(system.+state.+changed )|(\[timeout)|(PRM\|1\|D)|(kpr)|(kdp)|(\|lc)|(penalty))" /e /r /s</v>
      </c>
      <c r="AG181" s="1" t="str">
        <f t="shared" si="118"/>
        <v>NW</v>
      </c>
      <c r="AH181" s="92" t="str">
        <f t="shared" si="106"/>
        <v>"%USERPROFILE%\Documents\GitHub\eaglep3\Utilities\RefineRTDCRunTimes.py" --tripid 825-17 --locoid 4029 --swversion DE.1.0.7.0 --startMP 204:974 --initTime 2016-10-17T15:03:06 --startdatetime 2016-10-17T15:21:19 --delay 1 --endMP 300:58941 --enddatetime 2016-10-17T15:35:33 --enforcementcount 0 &gt;&gt;C:\Users\stu\Documents\GitHub\eaglep3-reporting\EC\2016-10-17-refined-times.txt</v>
      </c>
      <c r="AI18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{"issue":{"subject":"","project_id":79,"tracker_id":40,"status_id":1,"priority_id":2,"assigned_to_id":23,"start_date":"2016-10-17","description":"","custom_fields":[{"id":1,"name":"Subdivision","value":"NW"},{"id":4,"name":"Milepost","value":"5.8941"},{"id":17,"name":"Train ID","value":"825-17"},{"id":16,"name":"Locomotive ID","value":"4029"},{"id":130,"name":"Impact","value":""},{"id":150,"name":"Time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542</v>
      </c>
      <c r="B182" s="7">
        <v>4030</v>
      </c>
      <c r="C182" s="22" t="s">
        <v>99</v>
      </c>
      <c r="D182" s="22" t="s">
        <v>735</v>
      </c>
      <c r="E182" s="13">
        <v>42660.651608796295</v>
      </c>
      <c r="F182" s="13">
        <v>42660.653726851851</v>
      </c>
      <c r="G182" s="7">
        <v>1</v>
      </c>
      <c r="H182" s="13" t="s">
        <v>736</v>
      </c>
      <c r="I182" s="13">
        <v>42660.664756944447</v>
      </c>
      <c r="J182" s="7">
        <v>0</v>
      </c>
      <c r="K182" s="112" t="str">
        <f t="shared" si="108"/>
        <v>4029/4030</v>
      </c>
      <c r="L182" s="22" t="str">
        <f>VLOOKUP(A182,'Trips&amp;Operators'!$C$1:$E$10000,3,FALSE)</f>
        <v>BRUDER</v>
      </c>
      <c r="M182" s="6">
        <f t="shared" si="109"/>
        <v>1.1030092595319729E-2</v>
      </c>
      <c r="N182" s="7">
        <f t="shared" si="103"/>
        <v>15.88333333726041</v>
      </c>
      <c r="O182" s="7"/>
      <c r="P182" s="7"/>
      <c r="Q182" s="23"/>
      <c r="R182" s="23"/>
      <c r="S182" s="35">
        <f t="shared" si="110"/>
        <v>1</v>
      </c>
      <c r="T182" s="50" t="str">
        <f t="shared" si="111"/>
        <v>Southbound</v>
      </c>
      <c r="U182" s="18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14:38:19-0600',mode:absolute,to:'2016-10-17 16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2" s="52" t="str">
        <f t="shared" si="113"/>
        <v>N</v>
      </c>
      <c r="X182" s="178">
        <f t="shared" si="105"/>
        <v>1</v>
      </c>
      <c r="Y182" s="67">
        <f t="shared" si="114"/>
        <v>5.8628</v>
      </c>
      <c r="Z182" s="67">
        <f t="shared" si="115"/>
        <v>1.3100000000000001E-2</v>
      </c>
      <c r="AA182" s="67">
        <f t="shared" si="116"/>
        <v>5.8497000000000003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17"/>
        <v>0826-17</v>
      </c>
      <c r="AE182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82" s="88" t="str">
        <f t="shared" si="99"/>
        <v>"C:\Program Files (x86)\AstroGrep\AstroGrep.exe" /spath="%USERPROFILE%\AppData\Local\Temp\OnboardLogs" /stypes="app*4030*20161017*" /stext=" 21:.+((SYSTEM_STATE.+slice.+state.+changed )|(ment ac)|(system.+state.+changed )|(\[timeout)|(PRM\|1\|D)|(kpr)|(kdp)|(\|lc)|(penalty))" /e /r /s</v>
      </c>
      <c r="AG182" s="1" t="str">
        <f t="shared" si="118"/>
        <v>NW</v>
      </c>
      <c r="AH182" s="92" t="str">
        <f t="shared" si="106"/>
        <v>"%USERPROFILE%\Documents\GitHub\eaglep3\Utilities\RefineRTDCRunTimes.py" --tripid 826-17 --locoid 4030 --swversion DE.1.0.7.0 --startMP 300:58628 --initTime 2016-10-17T15:38:19 --startdatetime 2016-10-17T15:41:22 --delay 1 --endMP 204:131 --enddatetime 2016-10-17T15:57:15 --enforcementcount 0 &gt;&gt;C:\Users\stu\Documents\GitHub\eaglep3-reporting\EC\2016-10-17-refined-times.txt</v>
      </c>
      <c r="AI18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{"issue":{"subject":"","project_id":79,"tracker_id":40,"status_id":1,"priority_id":2,"assigned_to_id":23,"start_date":"2016-10-17","description":"","custom_fields":[{"id":1,"name":"Subdivision","value":"NW"},{"id":4,"name":"Milepost","value":"0.0131"},{"id":17,"name":"Train ID","value":"826-17"},{"id":16,"name":"Locomotive ID","value":"4030"},{"id":130,"name":"Impact","value":""},{"id":150,"name":"Time of Event (Mountain Time)","value":"15:57:15"},{"id":151,"name":"Denver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545</v>
      </c>
      <c r="B183" s="7">
        <v>4053</v>
      </c>
      <c r="C183" s="22" t="s">
        <v>99</v>
      </c>
      <c r="D183" s="22" t="s">
        <v>372</v>
      </c>
      <c r="E183" s="13">
        <v>42660.662476851852</v>
      </c>
      <c r="F183" s="13">
        <v>42660.664386574077</v>
      </c>
      <c r="G183" s="7">
        <v>1</v>
      </c>
      <c r="H183" s="13" t="s">
        <v>316</v>
      </c>
      <c r="I183" s="13">
        <v>42660.67459490741</v>
      </c>
      <c r="J183" s="7">
        <v>0</v>
      </c>
      <c r="K183" s="112" t="str">
        <f t="shared" si="108"/>
        <v>4053/4054</v>
      </c>
      <c r="L183" s="22" t="str">
        <f>VLOOKUP(A183,'Trips&amp;Operators'!$C$1:$E$10000,3,FALSE)</f>
        <v>DELGADO</v>
      </c>
      <c r="M183" s="6">
        <f t="shared" si="109"/>
        <v>1.0208333333139308E-2</v>
      </c>
      <c r="N183" s="7">
        <f t="shared" si="103"/>
        <v>14.699999999720603</v>
      </c>
      <c r="O183" s="7"/>
      <c r="P183" s="7"/>
      <c r="Q183" s="23"/>
      <c r="R183" s="23"/>
      <c r="S183" s="35">
        <f t="shared" si="110"/>
        <v>1</v>
      </c>
      <c r="T183" s="50" t="str">
        <f t="shared" si="111"/>
        <v>NorthBound</v>
      </c>
      <c r="U183" s="18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14:53:58-0600',mode:absolute,to:'2016-10-17 17:11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3" s="52" t="str">
        <f t="shared" si="113"/>
        <v>N</v>
      </c>
      <c r="X183" s="178">
        <f t="shared" si="105"/>
        <v>1</v>
      </c>
      <c r="Y183" s="67">
        <f t="shared" si="114"/>
        <v>0.1002</v>
      </c>
      <c r="Z183" s="67">
        <f t="shared" si="115"/>
        <v>5.8925999999999998</v>
      </c>
      <c r="AA183" s="67">
        <f t="shared" si="116"/>
        <v>5.7923999999999998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17"/>
        <v>0827-17</v>
      </c>
      <c r="AE183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83" s="88" t="str">
        <f t="shared" si="99"/>
        <v>"C:\Program Files (x86)\AstroGrep\AstroGrep.exe" /spath="%USERPROFILE%\AppData\Local\Temp\OnboardLogs" /stypes="app*4053*20161017*" /stext=" 22:.+((SYSTEM_STATE.+slice.+state.+changed )|(ment ac)|(system.+state.+changed )|(\[timeout)|(PRM\|1\|D)|(kpr)|(kdp)|(\|lc)|(penalty))" /e /r /s</v>
      </c>
      <c r="AG183" s="1" t="str">
        <f t="shared" si="118"/>
        <v>NW</v>
      </c>
      <c r="AH183" s="92" t="str">
        <f t="shared" si="106"/>
        <v>"%USERPROFILE%\Documents\GitHub\eaglep3\Utilities\RefineRTDCRunTimes.py" --tripid 827-17 --locoid 4053 --swversion DE.1.0.7.0 --startMP 204:1002 --initTime 2016-10-17T15:53:58 --startdatetime 2016-10-17T15:56:43 --delay 1 --endMP 300:58926 --enddatetime 2016-10-17T16:11:25 --enforcementcount 0 &gt;&gt;C:\Users\stu\Documents\GitHub\eaglep3-reporting\EC\2016-10-17-refined-times.txt</v>
      </c>
      <c r="AI183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{"issue":{"subject":"","project_id":79,"tracker_id":40,"status_id":1,"priority_id":2,"assigned_to_id":23,"start_date":"2016-10-17","description":"","custom_fields":[{"id":1,"name":"Subdivision","value":"NW"},{"id":4,"name":"Milepost","value":"5.8926"},{"id":17,"name":"Train ID","value":"827-17"},{"id":16,"name":"Locomotive ID","value":"4053"},{"id":130,"name":"Impact","value":""},{"id":150,"name":"Time of Event (Mountain Time)","value":"16:11:25"},{"id":151,"name":"Denver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550</v>
      </c>
      <c r="B184" s="7">
        <v>4054</v>
      </c>
      <c r="C184" s="22" t="s">
        <v>99</v>
      </c>
      <c r="D184" s="22" t="s">
        <v>370</v>
      </c>
      <c r="E184" s="13">
        <v>42660.675613425927</v>
      </c>
      <c r="F184" s="13">
        <v>42660.67695601852</v>
      </c>
      <c r="G184" s="7">
        <v>1</v>
      </c>
      <c r="H184" s="13" t="s">
        <v>368</v>
      </c>
      <c r="I184" s="13">
        <v>42660.6874537037</v>
      </c>
      <c r="J184" s="7">
        <v>0</v>
      </c>
      <c r="K184" s="112" t="str">
        <f t="shared" si="108"/>
        <v>4053/4054</v>
      </c>
      <c r="L184" s="22" t="str">
        <f>VLOOKUP(A184,'Trips&amp;Operators'!$C$1:$E$10000,3,FALSE)</f>
        <v>DELGADO</v>
      </c>
      <c r="M184" s="6">
        <f t="shared" si="109"/>
        <v>1.0497685179871041E-2</v>
      </c>
      <c r="N184" s="7">
        <f t="shared" si="103"/>
        <v>15.1166666590143</v>
      </c>
      <c r="O184" s="7"/>
      <c r="P184" s="7"/>
      <c r="Q184" s="23"/>
      <c r="R184" s="23"/>
      <c r="S184" s="35">
        <f t="shared" si="110"/>
        <v>1</v>
      </c>
      <c r="T184" s="50" t="str">
        <f t="shared" si="111"/>
        <v>Southbound</v>
      </c>
      <c r="U184" s="18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15:12:53-0600',mode:absolute,to:'2016-10-17 17:29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4" s="52" t="str">
        <f t="shared" si="113"/>
        <v>N</v>
      </c>
      <c r="X184" s="178">
        <f t="shared" si="105"/>
        <v>1</v>
      </c>
      <c r="Y184" s="67">
        <f t="shared" si="114"/>
        <v>5.8609</v>
      </c>
      <c r="Z184" s="67">
        <f t="shared" si="115"/>
        <v>7.3400000000000007E-2</v>
      </c>
      <c r="AA184" s="67">
        <f t="shared" si="116"/>
        <v>5.7874999999999996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17"/>
        <v>0828-17</v>
      </c>
      <c r="AE184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84" s="88" t="str">
        <f t="shared" si="99"/>
        <v>"C:\Program Files (x86)\AstroGrep\AstroGrep.exe" /spath="%USERPROFILE%\AppData\Local\Temp\OnboardLogs" /stypes="app*4054*20161017*" /stext=" 22:.+((SYSTEM_STATE.+slice.+state.+changed )|(ment ac)|(system.+state.+changed )|(\[timeout)|(PRM\|1\|D)|(kpr)|(kdp)|(\|lc)|(penalty))" /e /r /s</v>
      </c>
      <c r="AG184" s="1" t="str">
        <f t="shared" si="118"/>
        <v>NW</v>
      </c>
      <c r="AH184" s="92" t="str">
        <f t="shared" si="106"/>
        <v>"%USERPROFILE%\Documents\GitHub\eaglep3\Utilities\RefineRTDCRunTimes.py" --tripid 828-17 --locoid 4054 --swversion DE.1.0.7.0 --startMP 300:58609 --initTime 2016-10-17T16:12:53 --startdatetime 2016-10-17T16:14:49 --delay 1 --endMP 204:734 --enddatetime 2016-10-17T16:29:56 --enforcementcount 0 &gt;&gt;C:\Users\stu\Documents\GitHub\eaglep3-reporting\EC\2016-10-17-refined-times.txt</v>
      </c>
      <c r="AI184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{"issue":{"subject":"","project_id":79,"tracker_id":40,"status_id":1,"priority_id":2,"assigned_to_id":23,"start_date":"2016-10-17","description":"","custom_fields":[{"id":1,"name":"Subdivision","value":"NW"},{"id":4,"name":"Milepost","value":"0.0734"},{"id":17,"name":"Train ID","value":"828-17"},{"id":16,"name":"Locomotive ID","value":"4054"},{"id":130,"name":"Impact","value":""},{"id":150,"name":"Time of Event (Mountain Time)","value":"16:29:56"},{"id":151,"name":"Denver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548</v>
      </c>
      <c r="B185" s="7">
        <v>4029</v>
      </c>
      <c r="C185" s="22" t="s">
        <v>99</v>
      </c>
      <c r="D185" s="22" t="s">
        <v>239</v>
      </c>
      <c r="E185" s="13">
        <v>42660.673715277779</v>
      </c>
      <c r="F185" s="13">
        <v>42660.681597222225</v>
      </c>
      <c r="G185" s="7">
        <v>1</v>
      </c>
      <c r="H185" s="13" t="s">
        <v>737</v>
      </c>
      <c r="I185" s="13">
        <v>42660.691770833335</v>
      </c>
      <c r="J185" s="7">
        <v>0</v>
      </c>
      <c r="K185" s="112" t="str">
        <f t="shared" si="108"/>
        <v>4029/4030</v>
      </c>
      <c r="L185" s="22" t="str">
        <f>VLOOKUP(A185,'Trips&amp;Operators'!$C$1:$E$10000,3,FALSE)</f>
        <v>BRUDER</v>
      </c>
      <c r="M185" s="6">
        <f t="shared" si="109"/>
        <v>1.0173611110076308E-2</v>
      </c>
      <c r="N185" s="7">
        <f t="shared" si="103"/>
        <v>14.649999998509884</v>
      </c>
      <c r="O185" s="7"/>
      <c r="P185" s="7"/>
      <c r="Q185" s="23"/>
      <c r="R185" s="23"/>
      <c r="S185" s="35">
        <f t="shared" si="110"/>
        <v>1</v>
      </c>
      <c r="T185" s="50" t="str">
        <f t="shared" si="111"/>
        <v>NorthBound</v>
      </c>
      <c r="U185" s="18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15:10:09-0600',mode:absolute,to:'2016-10-17 17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5" s="52" t="str">
        <f t="shared" si="113"/>
        <v>N</v>
      </c>
      <c r="X185" s="178">
        <f t="shared" si="105"/>
        <v>1</v>
      </c>
      <c r="Y185" s="67">
        <f t="shared" si="114"/>
        <v>4.53E-2</v>
      </c>
      <c r="Z185" s="67">
        <f t="shared" si="115"/>
        <v>5.8945999999999996</v>
      </c>
      <c r="AA185" s="67">
        <f t="shared" si="116"/>
        <v>5.8492999999999995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17"/>
        <v>0829-17</v>
      </c>
      <c r="AE185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85" s="88" t="str">
        <f t="shared" si="99"/>
        <v>"C:\Program Files (x86)\AstroGrep\AstroGrep.exe" /spath="%USERPROFILE%\AppData\Local\Temp\OnboardLogs" /stypes="app*4029*20161017*" /stext=" 22:.+((SYSTEM_STATE.+slice.+state.+changed )|(ment ac)|(system.+state.+changed )|(\[timeout)|(PRM\|1\|D)|(kpr)|(kdp)|(\|lc)|(penalty))" /e /r /s</v>
      </c>
      <c r="AG185" s="1" t="str">
        <f t="shared" si="118"/>
        <v>NW</v>
      </c>
      <c r="AH185" s="92" t="str">
        <f t="shared" si="106"/>
        <v>"%USERPROFILE%\Documents\GitHub\eaglep3\Utilities\RefineRTDCRunTimes.py" --tripid 829-17 --locoid 4029 --swversion DE.1.0.7.0 --startMP 204:453 --initTime 2016-10-17T16:10:09 --startdatetime 2016-10-17T16:21:30 --delay 1 --endMP 300:58946 --enddatetime 2016-10-17T16:36:09 --enforcementcount 0 &gt;&gt;C:\Users\stu\Documents\GitHub\eaglep3-reporting\EC\2016-10-17-refined-times.txt</v>
      </c>
      <c r="AI185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{"issue":{"subject":"","project_id":79,"tracker_id":40,"status_id":1,"priority_id":2,"assigned_to_id":23,"start_date":"2016-10-17","description":"","custom_fields":[{"id":1,"name":"Subdivision","value":"NW"},{"id":4,"name":"Milepost","value":"5.8946"},{"id":17,"name":"Train ID","value":"829-17"},{"id":16,"name":"Locomotive ID","value":"4029"},{"id":130,"name":"Impact","value":""},{"id":150,"name":"Time of Event (Mountain Time)","value":"16:36:09"},{"id":151,"name":"Denver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555</v>
      </c>
      <c r="B186" s="7">
        <v>4030</v>
      </c>
      <c r="C186" s="22" t="s">
        <v>99</v>
      </c>
      <c r="D186" s="22" t="s">
        <v>738</v>
      </c>
      <c r="E186" s="13">
        <v>42660.693333333336</v>
      </c>
      <c r="F186" s="13">
        <v>42660.695138888892</v>
      </c>
      <c r="G186" s="7">
        <v>1</v>
      </c>
      <c r="H186" s="13" t="s">
        <v>709</v>
      </c>
      <c r="I186" s="13">
        <v>42660.706875000003</v>
      </c>
      <c r="J186" s="7">
        <v>0</v>
      </c>
      <c r="K186" s="112" t="str">
        <f t="shared" si="108"/>
        <v>4029/4030</v>
      </c>
      <c r="L186" s="22" t="str">
        <f>VLOOKUP(A186,'Trips&amp;Operators'!$C$1:$E$10000,3,FALSE)</f>
        <v>BRUDER</v>
      </c>
      <c r="M186" s="6">
        <f t="shared" si="109"/>
        <v>1.17361111115315E-2</v>
      </c>
      <c r="N186" s="7">
        <f t="shared" si="103"/>
        <v>16.90000000060536</v>
      </c>
      <c r="O186" s="7"/>
      <c r="P186" s="7"/>
      <c r="Q186" s="23"/>
      <c r="R186" s="23"/>
      <c r="S186" s="35">
        <f t="shared" si="110"/>
        <v>1</v>
      </c>
      <c r="T186" s="50" t="str">
        <f t="shared" si="111"/>
        <v>Southbound</v>
      </c>
      <c r="U186" s="18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15:38:24-0600',mode:absolute,to:'2016-10-17 17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6" s="52" t="str">
        <f t="shared" si="113"/>
        <v>N</v>
      </c>
      <c r="X186" s="178">
        <f t="shared" si="105"/>
        <v>1</v>
      </c>
      <c r="Y186" s="67">
        <f t="shared" si="114"/>
        <v>5.8643000000000001</v>
      </c>
      <c r="Z186" s="67">
        <f t="shared" si="115"/>
        <v>6.8000000000000005E-2</v>
      </c>
      <c r="AA186" s="67">
        <f t="shared" si="116"/>
        <v>5.7963000000000005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17"/>
        <v>0830-17</v>
      </c>
      <c r="AE186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86" s="88" t="str">
        <f t="shared" si="99"/>
        <v>"C:\Program Files (x86)\AstroGrep\AstroGrep.exe" /spath="%USERPROFILE%\AppData\Local\Temp\OnboardLogs" /stypes="app*4030*20161017*" /stext=" 22:.+((SYSTEM_STATE.+slice.+state.+changed )|(ment ac)|(system.+state.+changed )|(\[timeout)|(PRM\|1\|D)|(kpr)|(kdp)|(\|lc)|(penalty))" /e /r /s</v>
      </c>
      <c r="AG186" s="1" t="str">
        <f t="shared" si="118"/>
        <v>NW</v>
      </c>
      <c r="AH186" s="92" t="str">
        <f t="shared" si="106"/>
        <v>"%USERPROFILE%\Documents\GitHub\eaglep3\Utilities\RefineRTDCRunTimes.py" --tripid 830-17 --locoid 4030 --swversion DE.1.0.7.0 --startMP 300:58643 --initTime 2016-10-17T16:38:24 --startdatetime 2016-10-17T16:41:00 --delay 1 --endMP 204:680 --enddatetime 2016-10-17T16:57:54 --enforcementcount 0 &gt;&gt;C:\Users\stu\Documents\GitHub\eaglep3-reporting\EC\2016-10-17-refined-times.txt</v>
      </c>
      <c r="AI186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{"issue":{"subject":"","project_id":79,"tracker_id":40,"status_id":1,"priority_id":2,"assigned_to_id":23,"start_date":"2016-10-17","description":"","custom_fields":[{"id":1,"name":"Subdivision","value":"NW"},{"id":4,"name":"Milepost","value":"0.068"},{"id":17,"name":"Train ID","value":"830-17"},{"id":16,"name":"Locomotive ID","value":"4030"},{"id":130,"name":"Impact","value":""},{"id":150,"name":"Time of Event (Mountain Time)","value":"16:57:54"},{"id":151,"name":"Denver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556</v>
      </c>
      <c r="B187" s="7">
        <v>4053</v>
      </c>
      <c r="C187" s="22" t="s">
        <v>99</v>
      </c>
      <c r="D187" s="22" t="s">
        <v>317</v>
      </c>
      <c r="E187" s="13">
        <v>42660.698993055557</v>
      </c>
      <c r="F187" s="13">
        <v>42660.702418981484</v>
      </c>
      <c r="G187" s="7">
        <v>1</v>
      </c>
      <c r="H187" s="13" t="s">
        <v>726</v>
      </c>
      <c r="I187" s="13">
        <v>42660.713125000002</v>
      </c>
      <c r="J187" s="7">
        <v>0</v>
      </c>
      <c r="K187" s="112" t="str">
        <f t="shared" si="108"/>
        <v>4053/4054</v>
      </c>
      <c r="L187" s="22" t="str">
        <f>VLOOKUP(A187,'Trips&amp;Operators'!$C$1:$E$10000,3,FALSE)</f>
        <v>DELGADO</v>
      </c>
      <c r="M187" s="6">
        <f t="shared" si="109"/>
        <v>1.0706018518249039E-2</v>
      </c>
      <c r="N187" s="7">
        <f t="shared" si="103"/>
        <v>15.416666666278616</v>
      </c>
      <c r="O187" s="7"/>
      <c r="P187" s="7"/>
      <c r="Q187" s="23"/>
      <c r="R187" s="23"/>
      <c r="S187" s="35">
        <f t="shared" si="110"/>
        <v>1</v>
      </c>
      <c r="T187" s="50" t="str">
        <f t="shared" si="111"/>
        <v>NorthBound</v>
      </c>
      <c r="U187" s="18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15:46:33-0600',mode:absolute,to:'2016-10-17 18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7" s="52" t="str">
        <f t="shared" si="113"/>
        <v>N</v>
      </c>
      <c r="X187" s="178">
        <f t="shared" si="105"/>
        <v>1</v>
      </c>
      <c r="Y187" s="67">
        <f t="shared" si="114"/>
        <v>0.1018</v>
      </c>
      <c r="Z187" s="67">
        <f t="shared" si="115"/>
        <v>5.8916000000000004</v>
      </c>
      <c r="AA187" s="67">
        <f t="shared" si="116"/>
        <v>5.7898000000000005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17"/>
        <v>0831-17</v>
      </c>
      <c r="AE187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87" s="88" t="str">
        <f t="shared" si="99"/>
        <v>"C:\Program Files (x86)\AstroGrep\AstroGrep.exe" /spath="%USERPROFILE%\AppData\Local\Temp\OnboardLogs" /stypes="app*4053*20161017*" /stext=" 23:.+((SYSTEM_STATE.+slice.+state.+changed )|(ment ac)|(system.+state.+changed )|(\[timeout)|(PRM\|1\|D)|(kpr)|(kdp)|(\|lc)|(penalty))" /e /r /s</v>
      </c>
      <c r="AG187" s="1" t="str">
        <f t="shared" si="118"/>
        <v>NW</v>
      </c>
      <c r="AH187" s="92" t="str">
        <f t="shared" si="106"/>
        <v>"%USERPROFILE%\Documents\GitHub\eaglep3\Utilities\RefineRTDCRunTimes.py" --tripid 831-17 --locoid 4053 --swversion DE.1.0.7.0 --startMP 204:1018 --initTime 2016-10-17T16:46:33 --startdatetime 2016-10-17T16:51:29 --delay 1 --endMP 300:58916 --enddatetime 2016-10-17T17:06:54 --enforcementcount 0 &gt;&gt;C:\Users\stu\Documents\GitHub\eaglep3-reporting\EC\2016-10-17-refined-times.txt</v>
      </c>
      <c r="AI187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{"issue":{"subject":"","project_id":79,"tracker_id":40,"status_id":1,"priority_id":2,"assigned_to_id":23,"start_date":"2016-10-17","description":"","custom_fields":[{"id":1,"name":"Subdivision","value":"NW"},{"id":4,"name":"Milepost","value":"5.8916"},{"id":17,"name":"Train ID","value":"831-17"},{"id":16,"name":"Locomotive ID","value":"4053"},{"id":130,"name":"Impact","value":""},{"id":150,"name":"Time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562</v>
      </c>
      <c r="B188" s="7">
        <v>4054</v>
      </c>
      <c r="C188" s="22" t="s">
        <v>99</v>
      </c>
      <c r="D188" s="22" t="s">
        <v>723</v>
      </c>
      <c r="E188" s="13">
        <v>42660.714386574073</v>
      </c>
      <c r="F188" s="13">
        <v>42660.715682870374</v>
      </c>
      <c r="G188" s="7">
        <v>1</v>
      </c>
      <c r="H188" s="13" t="s">
        <v>739</v>
      </c>
      <c r="I188" s="13">
        <v>42660.728958333333</v>
      </c>
      <c r="J188" s="7">
        <v>0</v>
      </c>
      <c r="K188" s="112" t="str">
        <f t="shared" si="108"/>
        <v>4053/4054</v>
      </c>
      <c r="L188" s="22" t="str">
        <f>VLOOKUP(A188,'Trips&amp;Operators'!$C$1:$E$10000,3,FALSE)</f>
        <v>DELGADO</v>
      </c>
      <c r="M188" s="6">
        <f t="shared" si="109"/>
        <v>1.3275462959427387E-2</v>
      </c>
      <c r="N188" s="7">
        <f t="shared" si="103"/>
        <v>19.116666661575437</v>
      </c>
      <c r="O188" s="7"/>
      <c r="P188" s="7"/>
      <c r="Q188" s="23"/>
      <c r="R188" s="23"/>
      <c r="S188" s="35">
        <f t="shared" si="110"/>
        <v>1</v>
      </c>
      <c r="T188" s="50" t="str">
        <f t="shared" si="111"/>
        <v>Southbound</v>
      </c>
      <c r="U188" s="18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16:08:43-0600',mode:absolute,to:'2016-10-17 18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8" s="52" t="str">
        <f t="shared" si="113"/>
        <v>N</v>
      </c>
      <c r="X188" s="178">
        <f t="shared" si="105"/>
        <v>1</v>
      </c>
      <c r="Y188" s="67">
        <f t="shared" si="114"/>
        <v>5.8613</v>
      </c>
      <c r="Z188" s="67">
        <f t="shared" si="115"/>
        <v>7.4099999999999999E-2</v>
      </c>
      <c r="AA188" s="67">
        <f t="shared" si="116"/>
        <v>5.7872000000000003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17"/>
        <v>0832-17</v>
      </c>
      <c r="AE188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88" s="88" t="str">
        <f t="shared" si="99"/>
        <v>"C:\Program Files (x86)\AstroGrep\AstroGrep.exe" /spath="%USERPROFILE%\AppData\Local\Temp\OnboardLogs" /stypes="app*4054*20161017*" /stext=" 23:.+((SYSTEM_STATE.+slice.+state.+changed )|(ment ac)|(system.+state.+changed )|(\[timeout)|(PRM\|1\|D)|(kpr)|(kdp)|(\|lc)|(penalty))" /e /r /s</v>
      </c>
      <c r="AG188" s="1" t="str">
        <f t="shared" si="118"/>
        <v>NW</v>
      </c>
      <c r="AH188" s="92" t="str">
        <f t="shared" si="106"/>
        <v>"%USERPROFILE%\Documents\GitHub\eaglep3\Utilities\RefineRTDCRunTimes.py" --tripid 832-17 --locoid 4054 --swversion DE.1.0.7.0 --startMP 300:58613 --initTime 2016-10-17T17:08:43 --startdatetime 2016-10-17T17:10:35 --delay 1 --endMP 204:741 --enddatetime 2016-10-17T17:29:42 --enforcementcount 0 &gt;&gt;C:\Users\stu\Documents\GitHub\eaglep3-reporting\EC\2016-10-17-refined-times.txt</v>
      </c>
      <c r="AI18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{"issue":{"subject":"","project_id":79,"tracker_id":40,"status_id":1,"priority_id":2,"assigned_to_id":23,"start_date":"2016-10-17","description":"","custom_fields":[{"id":1,"name":"Subdivision","value":"NW"},{"id":4,"name":"Milepost","value":"0.0741"},{"id":17,"name":"Train ID","value":"832-17"},{"id":16,"name":"Locomotive ID","value":"4054"},{"id":130,"name":"Impact","value":""},{"id":150,"name":"Time of Event (Mountain Time)","value":"17:29:42"},{"id":151,"name":"Denver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559</v>
      </c>
      <c r="B189" s="7">
        <v>4029</v>
      </c>
      <c r="C189" s="22" t="s">
        <v>99</v>
      </c>
      <c r="D189" s="22" t="s">
        <v>740</v>
      </c>
      <c r="E189" s="13">
        <v>42660.709421296298</v>
      </c>
      <c r="F189" s="13">
        <v>42660.72315972222</v>
      </c>
      <c r="G189" s="7">
        <v>1</v>
      </c>
      <c r="H189" s="13" t="s">
        <v>741</v>
      </c>
      <c r="I189" s="13">
        <v>42660.732997685183</v>
      </c>
      <c r="J189" s="7">
        <v>0</v>
      </c>
      <c r="K189" s="112" t="str">
        <f t="shared" si="108"/>
        <v>4029/4030</v>
      </c>
      <c r="L189" s="22" t="str">
        <f>VLOOKUP(A189,'Trips&amp;Operators'!$C$1:$E$10000,3,FALSE)</f>
        <v>BRUDER</v>
      </c>
      <c r="M189" s="6">
        <f t="shared" si="109"/>
        <v>9.8379629635019228E-3</v>
      </c>
      <c r="N189" s="7">
        <f t="shared" si="103"/>
        <v>14.166666667442769</v>
      </c>
      <c r="O189" s="7"/>
      <c r="P189" s="7"/>
      <c r="Q189" s="23"/>
      <c r="R189" s="23"/>
      <c r="S189" s="35">
        <f t="shared" si="110"/>
        <v>1</v>
      </c>
      <c r="T189" s="50" t="str">
        <f t="shared" si="111"/>
        <v>NorthBound</v>
      </c>
      <c r="U189" s="18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12"/>
        <v>https://search-rtdc-monitor-bjffxe2xuh6vdkpspy63sjmuny.us-east-1.es.amazonaws.com/_plugin/kibana/#/discover/Steve-Slow-Train-Analysis-(2080s-and-2083s)?_g=(refreshInterval:(display:Off,section:0,value:0),time:(from:'2016-10-17 16:01:34-0600',mode:absolute,to:'2016-10-17 18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9" s="52" t="str">
        <f t="shared" si="113"/>
        <v>N</v>
      </c>
      <c r="X189" s="178">
        <f t="shared" si="105"/>
        <v>1</v>
      </c>
      <c r="Y189" s="67">
        <f t="shared" si="114"/>
        <v>9.7199999999999995E-2</v>
      </c>
      <c r="Z189" s="67">
        <f t="shared" si="115"/>
        <v>5.8960999999999997</v>
      </c>
      <c r="AA189" s="67">
        <f t="shared" si="116"/>
        <v>5.7988999999999997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17"/>
        <v>0833-17</v>
      </c>
      <c r="AE18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89" s="88" t="str">
        <f t="shared" si="99"/>
        <v>"C:\Program Files (x86)\AstroGrep\AstroGrep.exe" /spath="%USERPROFILE%\AppData\Local\Temp\OnboardLogs" /stypes="app*4029*20161017*" /stext=" 23:.+((SYSTEM_STATE.+slice.+state.+changed )|(ment ac)|(system.+state.+changed )|(\[timeout)|(PRM\|1\|D)|(kpr)|(kdp)|(\|lc)|(penalty))" /e /r /s</v>
      </c>
      <c r="AG189" s="1" t="str">
        <f t="shared" si="118"/>
        <v>NW</v>
      </c>
      <c r="AH189" s="92" t="str">
        <f t="shared" si="106"/>
        <v>"%USERPROFILE%\Documents\GitHub\eaglep3\Utilities\RefineRTDCRunTimes.py" --tripid 833-17 --locoid 4029 --swversion DE.1.0.7.0 --startMP 204:972 --initTime 2016-10-17T17:01:34 --startdatetime 2016-10-17T17:21:21 --delay 1 --endMP 300:58961 --enddatetime 2016-10-17T17:35:31 --enforcementcount 0 &gt;&gt;C:\Users\stu\Documents\GitHub\eaglep3-reporting\EC\2016-10-17-refined-times.txt</v>
      </c>
      <c r="AI189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{"issue":{"subject":"","project_id":79,"tracker_id":40,"status_id":1,"priority_id":2,"assigned_to_id":23,"start_date":"2016-10-17","description":"","custom_fields":[{"id":1,"name":"Subdivision","value":"NW"},{"id":4,"name":"Milepost","value":"5.8961"},{"id":17,"name":"Train ID","value":"833-17"},{"id":16,"name":"Locomotive ID","value":"4029"},{"id":130,"name":"Impact","value":""},{"id":150,"name":"Time of Event (Mountain Time)","value":"17:35:31"},{"id":151,"name":"Denver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570</v>
      </c>
      <c r="B190" s="7">
        <v>4030</v>
      </c>
      <c r="C190" s="22" t="s">
        <v>99</v>
      </c>
      <c r="D190" s="22" t="s">
        <v>376</v>
      </c>
      <c r="E190" s="13">
        <v>42660.7344212963</v>
      </c>
      <c r="F190" s="13">
        <v>42660.736215277779</v>
      </c>
      <c r="G190" s="7">
        <v>1</v>
      </c>
      <c r="H190" s="13" t="s">
        <v>734</v>
      </c>
      <c r="I190" s="13">
        <v>42660.750335648147</v>
      </c>
      <c r="J190" s="7">
        <v>0</v>
      </c>
      <c r="K190" s="112" t="str">
        <f t="shared" ref="K190:K197" si="119">IF(ISEVEN(B190),(B190-1)&amp;"/"&amp;B190,B190&amp;"/"&amp;(B190+1))</f>
        <v>4029/4030</v>
      </c>
      <c r="L190" s="22" t="str">
        <f>VLOOKUP(A190,'Trips&amp;Operators'!$C$1:$E$10000,3,FALSE)</f>
        <v>BRUDER</v>
      </c>
      <c r="M190" s="6">
        <f t="shared" ref="M190:M197" si="120">I190-F190</f>
        <v>1.4120370367891155E-2</v>
      </c>
      <c r="N190" s="7">
        <f t="shared" ref="N190:N197" si="121">24*60*SUM($M190:$M190)</f>
        <v>20.333333329763263</v>
      </c>
      <c r="O190" s="7"/>
      <c r="P190" s="7"/>
      <c r="Q190" s="23"/>
      <c r="R190" s="23"/>
      <c r="S190" s="35">
        <f t="shared" ref="S190:S197" si="122">SUM(U190:U190)/IF(AG190="EC",12,1)</f>
        <v>1</v>
      </c>
      <c r="T190" s="50" t="str">
        <f t="shared" ref="T190:T197" si="123">IF(ISEVEN(LEFT(AD190,4)),"Southbound","NorthBound")</f>
        <v>Southbound</v>
      </c>
      <c r="U190" s="18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ref="V190:V197" si="124"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https://search-rtdc-monitor-bjffxe2xuh6vdkpspy63sjmuny.us-east-1.es.amazonaws.com/_plugin/kibana/#/discover/Steve-Slow-Train-Analysis-(2080s-and-2083s)?_g=(refreshInterval:(display:Off,section:0,value:0),time:(from:'2016-10-17 16:37:34-0600',mode:absolute,to:'2016-10-17 19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52" t="str">
        <f t="shared" ref="W190:W197" si="125">IF(AA190&lt;IF(AG190="EC",23,5.65),"Y","N")</f>
        <v>N</v>
      </c>
      <c r="X190" s="178">
        <f t="shared" ref="X190:X202" si="126">VALUE(LEFT(AD190,4))-VALUE(LEFT(AD189,4))</f>
        <v>1</v>
      </c>
      <c r="Y190" s="67">
        <f t="shared" ref="Y190:Y197" si="127">RIGHT(D190,LEN(D190)-4)/10000</f>
        <v>5.8647</v>
      </c>
      <c r="Z190" s="67">
        <f t="shared" ref="Z190:Z197" si="128">RIGHT(H190,LEN(H190)-4)/10000</f>
        <v>6.7500000000000004E-2</v>
      </c>
      <c r="AA190" s="67">
        <f t="shared" ref="AA190:AA197" si="129">ABS(Z190-Y190)</f>
        <v>5.7972000000000001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ref="AD190:AD197" si="130">IF(LEN(A190)=6,"0"&amp;A190,A190)</f>
        <v>0834-17</v>
      </c>
      <c r="AE19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0" s="88" t="str">
        <f t="shared" si="99"/>
        <v>"C:\Program Files (x86)\AstroGrep\AstroGrep.exe" /spath="%USERPROFILE%\AppData\Local\Temp\OnboardLogs" /stypes="app*4030*20161018*" /stext=" 00:.+((SYSTEM_STATE.+slice.+state.+changed )|(ment ac)|(system.+state.+changed )|(\[timeout)|(PRM\|1\|D)|(kpr)|(kdp)|(\|lc)|(penalty))" /e /r /s</v>
      </c>
      <c r="AG190" s="1" t="str">
        <f t="shared" ref="AG190:AG197" si="131">IFERROR(IF(VALUE(LEFT(AD190,2))&lt;=2,"EC",IF(OR(VALUE(LEFT(AD190,2))=8,VALUE(LEFT(AD190,2))=18),"NW","Other")),"Other")</f>
        <v>NW</v>
      </c>
      <c r="AH190" s="92" t="str">
        <f t="shared" ref="AH190:AH197" si="132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834-17 --locoid 4030 --swversion DE.1.0.7.0 --startMP 300:58647 --initTime 2016-10-17T17:37:34 --startdatetime 2016-10-17T17:40:09 --delay 1 --endMP 204:675 --enddatetime 2016-10-17T18:00:29 --enforcementcount 0 &gt;&gt;C:\Users\stu\Documents\GitHub\eaglep3-reporting\EC\2016-10-17-refined-times.txt</v>
      </c>
      <c r="AI190" s="122" t="str">
        <f t="shared" ref="AI190:AI197" si="133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{"issue":{"subject":"","project_id":79,"tracker_id":40,"status_id":1,"priority_id":2,"assigned_to_id":23,"start_date":"2016-10-17","description":"","custom_fields":[{"id":1,"name":"Subdivision","value":"NW"},{"id":4,"name":"Milepost","value":"0.0675"},{"id":17,"name":"Train ID","value":"834-17"},{"id":16,"name":"Locomotive ID","value":"4030"},{"id":130,"name":"Impact","value":""},{"id":150,"name":"Time of Event (Mountain Time)","value":"18:00:29"},{"id":151,"name":"Denver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572</v>
      </c>
      <c r="B191" s="7">
        <v>4053</v>
      </c>
      <c r="C191" s="22" t="s">
        <v>99</v>
      </c>
      <c r="D191" s="22" t="s">
        <v>777</v>
      </c>
      <c r="E191" s="13">
        <v>42660.740671296298</v>
      </c>
      <c r="F191" s="13">
        <v>42660.744675925926</v>
      </c>
      <c r="G191" s="7">
        <v>2</v>
      </c>
      <c r="H191" s="13" t="s">
        <v>316</v>
      </c>
      <c r="I191" s="13">
        <v>42660.755104166667</v>
      </c>
      <c r="J191" s="7">
        <v>0</v>
      </c>
      <c r="K191" s="112" t="str">
        <f t="shared" si="119"/>
        <v>4053/4054</v>
      </c>
      <c r="L191" s="22" t="str">
        <f>VLOOKUP(A191,'Trips&amp;Operators'!$C$1:$E$10000,3,FALSE)</f>
        <v>DELGADO</v>
      </c>
      <c r="M191" s="6">
        <f t="shared" si="120"/>
        <v>1.0428240741021E-2</v>
      </c>
      <c r="N191" s="7">
        <f t="shared" si="121"/>
        <v>15.01666666707024</v>
      </c>
      <c r="O191" s="7"/>
      <c r="P191" s="7"/>
      <c r="Q191" s="23"/>
      <c r="R191" s="23"/>
      <c r="S191" s="35">
        <f t="shared" si="122"/>
        <v>1</v>
      </c>
      <c r="T191" s="50" t="str">
        <f t="shared" si="123"/>
        <v>NorthBound</v>
      </c>
      <c r="U191" s="18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16:46:34-0600',mode:absolute,to:'2016-10-17 19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1" s="52" t="str">
        <f t="shared" si="125"/>
        <v>N</v>
      </c>
      <c r="X191" s="178">
        <f t="shared" si="126"/>
        <v>1</v>
      </c>
      <c r="Y191" s="67">
        <f t="shared" si="127"/>
        <v>0.106</v>
      </c>
      <c r="Z191" s="67">
        <f t="shared" si="128"/>
        <v>5.8925999999999998</v>
      </c>
      <c r="AA191" s="67">
        <f t="shared" si="129"/>
        <v>5.7866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30"/>
        <v>0835-17</v>
      </c>
      <c r="AE191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91" s="88" t="str">
        <f t="shared" si="99"/>
        <v>"C:\Program Files (x86)\AstroGrep\AstroGrep.exe" /spath="%USERPROFILE%\AppData\Local\Temp\OnboardLogs" /stypes="app*4053*20161018*" /stext=" 00:.+((SYSTEM_STATE.+slice.+state.+changed )|(ment ac)|(system.+state.+changed )|(\[timeout)|(PRM\|1\|D)|(kpr)|(kdp)|(\|lc)|(penalty))" /e /r /s</v>
      </c>
      <c r="AG191" s="1" t="str">
        <f t="shared" si="131"/>
        <v>NW</v>
      </c>
      <c r="AH191" s="92" t="str">
        <f t="shared" si="132"/>
        <v>"%USERPROFILE%\Documents\GitHub\eaglep3\Utilities\RefineRTDCRunTimes.py" --tripid 835-17 --locoid 4053 --swversion DE.1.0.7.0 --startMP 204:1060 --initTime 2016-10-17T17:46:34 --startdatetime 2016-10-17T17:52:20 --delay 2 --endMP 300:58926 --enddatetime 2016-10-17T18:07:21 --enforcementcount 0 &gt;&gt;C:\Users\stu\Documents\GitHub\eaglep3-reporting\EC\2016-10-17-refined-times.txt</v>
      </c>
      <c r="AI191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{"issue":{"subject":"","project_id":79,"tracker_id":40,"status_id":1,"priority_id":2,"assigned_to_id":23,"start_date":"2016-10-17","description":"","custom_fields":[{"id":1,"name":"Subdivision","value":"NW"},{"id":4,"name":"Milepost","value":"5.8926"},{"id":17,"name":"Train ID","value":"835-17"},{"id":16,"name":"Locomotive ID","value":"4053"},{"id":130,"name":"Impact","value":""},{"id":150,"name":"Time of Event (Mountain Time)","value":"18:07:21"},{"id":151,"name":"Denver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579</v>
      </c>
      <c r="B192" s="7">
        <v>4054</v>
      </c>
      <c r="C192" s="22" t="s">
        <v>99</v>
      </c>
      <c r="D192" s="22" t="s">
        <v>296</v>
      </c>
      <c r="E192" s="13">
        <v>42660.759363425925</v>
      </c>
      <c r="F192" s="13">
        <v>42660.766643518517</v>
      </c>
      <c r="G192" s="7">
        <v>2</v>
      </c>
      <c r="H192" s="13" t="s">
        <v>331</v>
      </c>
      <c r="I192" s="13">
        <v>42660.777638888889</v>
      </c>
      <c r="J192" s="7">
        <v>0</v>
      </c>
      <c r="K192" s="112" t="str">
        <f t="shared" si="119"/>
        <v>4053/4054</v>
      </c>
      <c r="L192" s="22" t="str">
        <f>VLOOKUP(A192,'Trips&amp;Operators'!$C$1:$E$10000,3,FALSE)</f>
        <v>DELGADO</v>
      </c>
      <c r="M192" s="6">
        <f t="shared" si="120"/>
        <v>1.099537037225673E-2</v>
      </c>
      <c r="N192" s="7">
        <f t="shared" si="121"/>
        <v>15.833333336049691</v>
      </c>
      <c r="O192" s="7"/>
      <c r="P192" s="7"/>
      <c r="Q192" s="23"/>
      <c r="R192" s="23"/>
      <c r="S192" s="35">
        <f t="shared" si="122"/>
        <v>1</v>
      </c>
      <c r="T192" s="50" t="str">
        <f t="shared" si="123"/>
        <v>Southbound</v>
      </c>
      <c r="U192" s="18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17:13:29-0600',mode:absolute,to:'2016-10-17 19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2" s="52" t="str">
        <f t="shared" si="125"/>
        <v>N</v>
      </c>
      <c r="X192" s="178">
        <f t="shared" si="126"/>
        <v>1</v>
      </c>
      <c r="Y192" s="67">
        <f t="shared" si="127"/>
        <v>5.8608000000000002</v>
      </c>
      <c r="Z192" s="67">
        <f t="shared" si="128"/>
        <v>7.2599999999999998E-2</v>
      </c>
      <c r="AA192" s="67">
        <f t="shared" si="129"/>
        <v>5.7881999999999998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30"/>
        <v>0836-17</v>
      </c>
      <c r="AE192" s="91" t="str">
        <f t="shared" si="98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192" s="88" t="str">
        <f t="shared" si="99"/>
        <v>"C:\Program Files (x86)\AstroGrep\AstroGrep.exe" /spath="%USERPROFILE%\AppData\Local\Temp\OnboardLogs" /stypes="app*4054*20161018*" /stext=" 00:.+((SYSTEM_STATE.+slice.+state.+changed )|(ment ac)|(system.+state.+changed )|(\[timeout)|(PRM\|1\|D)|(kpr)|(kdp)|(\|lc)|(penalty))" /e /r /s</v>
      </c>
      <c r="AG192" s="1" t="str">
        <f t="shared" si="131"/>
        <v>NW</v>
      </c>
      <c r="AH192" s="92" t="str">
        <f t="shared" si="132"/>
        <v>"%USERPROFILE%\Documents\GitHub\eaglep3\Utilities\RefineRTDCRunTimes.py" --tripid 836-17 --locoid 4054 --swversion DE.1.0.7.0 --startMP 300:58608 --initTime 2016-10-17T18:13:29 --startdatetime 2016-10-17T18:23:58 --delay 2 --endMP 204:726 --enddatetime 2016-10-17T18:39:48 --enforcementcount 0 &gt;&gt;C:\Users\stu\Documents\GitHub\eaglep3-reporting\EC\2016-10-17-refined-times.txt</v>
      </c>
      <c r="AI192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{"issue":{"subject":"","project_id":79,"tracker_id":40,"status_id":1,"priority_id":2,"assigned_to_id":23,"start_date":"2016-10-17","description":"","custom_fields":[{"id":1,"name":"Subdivision","value":"NW"},{"id":4,"name":"Milepost","value":"0.0726"},{"id":17,"name":"Train ID","value":"836-17"},{"id":16,"name":"Locomotive ID","value":"4054"},{"id":130,"name":"Impact","value":""},{"id":150,"name":"Time of Event (Mountain Time)","value":"18:39:48"},{"id":151,"name":"Denver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578</v>
      </c>
      <c r="B193" s="7">
        <v>4029</v>
      </c>
      <c r="C193" s="22" t="s">
        <v>99</v>
      </c>
      <c r="D193" s="22" t="s">
        <v>740</v>
      </c>
      <c r="E193" s="13">
        <v>42660.752696759257</v>
      </c>
      <c r="F193" s="13">
        <v>42660.764791666668</v>
      </c>
      <c r="G193" s="7">
        <v>2</v>
      </c>
      <c r="H193" s="13" t="s">
        <v>715</v>
      </c>
      <c r="I193" s="13">
        <v>42660.775729166664</v>
      </c>
      <c r="J193" s="7">
        <v>0</v>
      </c>
      <c r="K193" s="112" t="str">
        <f t="shared" si="119"/>
        <v>4029/4030</v>
      </c>
      <c r="L193" s="22" t="str">
        <f>VLOOKUP(A193,'Trips&amp;Operators'!$C$1:$E$10000,3,FALSE)</f>
        <v>BRUDER</v>
      </c>
      <c r="M193" s="6">
        <f t="shared" si="120"/>
        <v>1.0937499995634425E-2</v>
      </c>
      <c r="N193" s="7">
        <f t="shared" si="121"/>
        <v>15.749999993713573</v>
      </c>
      <c r="O193" s="7"/>
      <c r="P193" s="7"/>
      <c r="Q193" s="23"/>
      <c r="R193" s="23"/>
      <c r="S193" s="35">
        <f t="shared" si="122"/>
        <v>1</v>
      </c>
      <c r="T193" s="50" t="str">
        <f t="shared" si="123"/>
        <v>NorthBound</v>
      </c>
      <c r="U193" s="18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17:03:53-0600',mode:absolute,to:'2016-10-17 19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3" s="52" t="str">
        <f t="shared" si="125"/>
        <v>N</v>
      </c>
      <c r="X193" s="178">
        <f t="shared" si="126"/>
        <v>1</v>
      </c>
      <c r="Y193" s="67">
        <f t="shared" si="127"/>
        <v>9.7199999999999995E-2</v>
      </c>
      <c r="Z193" s="67">
        <f t="shared" si="128"/>
        <v>5.8939000000000004</v>
      </c>
      <c r="AA193" s="67">
        <f t="shared" si="129"/>
        <v>5.7967000000000004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30"/>
        <v>0837-17</v>
      </c>
      <c r="AE193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93" s="88" t="str">
        <f t="shared" si="99"/>
        <v>"C:\Program Files (x86)\AstroGrep\AstroGrep.exe" /spath="%USERPROFILE%\AppData\Local\Temp\OnboardLogs" /stypes="app*4029*20161018*" /stext=" 00:.+((SYSTEM_STATE.+slice.+state.+changed )|(ment ac)|(system.+state.+changed )|(\[timeout)|(PRM\|1\|D)|(kpr)|(kdp)|(\|lc)|(penalty))" /e /r /s</v>
      </c>
      <c r="AG193" s="1" t="str">
        <f t="shared" si="131"/>
        <v>NW</v>
      </c>
      <c r="AH193" s="92" t="str">
        <f t="shared" si="132"/>
        <v>"%USERPROFILE%\Documents\GitHub\eaglep3\Utilities\RefineRTDCRunTimes.py" --tripid 837-17 --locoid 4029 --swversion DE.1.0.7.0 --startMP 204:972 --initTime 2016-10-17T18:03:53 --startdatetime 2016-10-17T18:21:18 --delay 2 --endMP 300:58939 --enddatetime 2016-10-17T18:37:03 --enforcementcount 0 &gt;&gt;C:\Users\stu\Documents\GitHub\eaglep3-reporting\EC\2016-10-17-refined-times.txt</v>
      </c>
      <c r="AI193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{"issue":{"subject":"","project_id":79,"tracker_id":40,"status_id":1,"priority_id":2,"assigned_to_id":23,"start_date":"2016-10-17","description":"","custom_fields":[{"id":1,"name":"Subdivision","value":"NW"},{"id":4,"name":"Milepost","value":"5.8939"},{"id":17,"name":"Train ID","value":"837-17"},{"id":16,"name":"Locomotive ID","value":"4029"},{"id":130,"name":"Impact","value":""},{"id":150,"name":"Time of Event (Mountain Time)","value":"18:37:03"},{"id":151,"name":"Denver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584</v>
      </c>
      <c r="B194" s="7">
        <v>4030</v>
      </c>
      <c r="C194" s="22" t="s">
        <v>99</v>
      </c>
      <c r="D194" s="22" t="s">
        <v>778</v>
      </c>
      <c r="E194" s="13">
        <v>42660.777245370373</v>
      </c>
      <c r="F194" s="13">
        <v>42660.779004629629</v>
      </c>
      <c r="G194" s="7">
        <v>1</v>
      </c>
      <c r="H194" s="13" t="s">
        <v>724</v>
      </c>
      <c r="I194" s="13">
        <v>42660.789930555555</v>
      </c>
      <c r="J194" s="7">
        <v>0</v>
      </c>
      <c r="K194" s="112" t="str">
        <f t="shared" si="119"/>
        <v>4029/4030</v>
      </c>
      <c r="L194" s="22" t="str">
        <f>VLOOKUP(A194,'Trips&amp;Operators'!$C$1:$E$10000,3,FALSE)</f>
        <v>BRUDER</v>
      </c>
      <c r="M194" s="6">
        <f t="shared" si="120"/>
        <v>1.0925925926130731E-2</v>
      </c>
      <c r="N194" s="7">
        <f t="shared" si="121"/>
        <v>15.733333333628252</v>
      </c>
      <c r="O194" s="7"/>
      <c r="P194" s="7"/>
      <c r="Q194" s="23"/>
      <c r="R194" s="23"/>
      <c r="S194" s="35">
        <f t="shared" si="122"/>
        <v>1</v>
      </c>
      <c r="T194" s="50" t="str">
        <f t="shared" si="123"/>
        <v>Southbound</v>
      </c>
      <c r="U194" s="18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17:39:14-0600',mode:absolute,to:'2016-10-17 19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125"/>
        <v>N</v>
      </c>
      <c r="X194" s="178">
        <f t="shared" si="126"/>
        <v>1</v>
      </c>
      <c r="Y194" s="67">
        <f t="shared" si="127"/>
        <v>5.8623000000000003</v>
      </c>
      <c r="Z194" s="67">
        <f t="shared" si="128"/>
        <v>6.7799999999999999E-2</v>
      </c>
      <c r="AA194" s="67">
        <f t="shared" si="129"/>
        <v>5.7945000000000002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30"/>
        <v>0838-17</v>
      </c>
      <c r="AE194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4" s="88" t="str">
        <f t="shared" si="99"/>
        <v>"C:\Program Files (x86)\AstroGrep\AstroGrep.exe" /spath="%USERPROFILE%\AppData\Local\Temp\OnboardLogs" /stypes="app*4030*20161018*" /stext=" 00:.+((SYSTEM_STATE.+slice.+state.+changed )|(ment ac)|(system.+state.+changed )|(\[timeout)|(PRM\|1\|D)|(kpr)|(kdp)|(\|lc)|(penalty))" /e /r /s</v>
      </c>
      <c r="AG194" s="1" t="str">
        <f t="shared" si="131"/>
        <v>NW</v>
      </c>
      <c r="AH194" s="92" t="str">
        <f t="shared" si="132"/>
        <v>"%USERPROFILE%\Documents\GitHub\eaglep3\Utilities\RefineRTDCRunTimes.py" --tripid 838-17 --locoid 4030 --swversion DE.1.0.7.0 --startMP 300:58623 --initTime 2016-10-17T18:39:14 --startdatetime 2016-10-17T18:41:46 --delay 1 --endMP 204:678 --enddatetime 2016-10-17T18:57:30 --enforcementcount 0 &gt;&gt;C:\Users\stu\Documents\GitHub\eaglep3-reporting\EC\2016-10-17-refined-times.txt</v>
      </c>
      <c r="AI194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{"issue":{"subject":"","project_id":79,"tracker_id":40,"status_id":1,"priority_id":2,"assigned_to_id":23,"start_date":"2016-10-17","description":"","custom_fields":[{"id":1,"name":"Subdivision","value":"NW"},{"id":4,"name":"Milepost","value":"0.0678"},{"id":17,"name":"Train ID","value":"838-17"},{"id":16,"name":"Locomotive ID","value":"4030"},{"id":130,"name":"Impact","value":""},{"id":150,"name":"Time of Event (Mountain Time)","value":"18:57:30"},{"id":151,"name":"Denver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585</v>
      </c>
      <c r="B195" s="7">
        <v>4053</v>
      </c>
      <c r="C195" s="22" t="s">
        <v>99</v>
      </c>
      <c r="D195" s="22" t="s">
        <v>369</v>
      </c>
      <c r="E195" s="13">
        <v>42660.779432870368</v>
      </c>
      <c r="F195" s="13">
        <v>42660.785624999997</v>
      </c>
      <c r="G195" s="7">
        <v>1</v>
      </c>
      <c r="H195" s="13" t="s">
        <v>726</v>
      </c>
      <c r="I195" s="13">
        <v>42660.796111111114</v>
      </c>
      <c r="J195" s="7">
        <v>0</v>
      </c>
      <c r="K195" s="112" t="str">
        <f t="shared" si="119"/>
        <v>4053/4054</v>
      </c>
      <c r="L195" s="22" t="str">
        <f>VLOOKUP(A195,'Trips&amp;Operators'!$C$1:$E$10000,3,FALSE)</f>
        <v>DELGADO</v>
      </c>
      <c r="M195" s="6">
        <f t="shared" si="120"/>
        <v>1.0486111117643304E-2</v>
      </c>
      <c r="N195" s="7">
        <f t="shared" si="121"/>
        <v>15.100000009406358</v>
      </c>
      <c r="O195" s="7"/>
      <c r="P195" s="7"/>
      <c r="Q195" s="23"/>
      <c r="R195" s="23"/>
      <c r="S195" s="35">
        <f t="shared" si="122"/>
        <v>1</v>
      </c>
      <c r="T195" s="50" t="str">
        <f t="shared" si="123"/>
        <v>NorthBound</v>
      </c>
      <c r="U195" s="18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17:42:23-0600',mode:absolute,to:'2016-10-17 20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5" s="52" t="str">
        <f t="shared" si="125"/>
        <v>N</v>
      </c>
      <c r="X195" s="178">
        <f t="shared" si="126"/>
        <v>1</v>
      </c>
      <c r="Y195" s="67">
        <f t="shared" si="127"/>
        <v>0.1007</v>
      </c>
      <c r="Z195" s="67">
        <f t="shared" si="128"/>
        <v>5.8916000000000004</v>
      </c>
      <c r="AA195" s="67">
        <f t="shared" si="129"/>
        <v>5.7909000000000006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30"/>
        <v>0839-17</v>
      </c>
      <c r="AE195" s="91" t="str">
        <f t="shared" si="98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195" s="88" t="str">
        <f t="shared" si="99"/>
        <v>"C:\Program Files (x86)\AstroGrep\AstroGrep.exe" /spath="%USERPROFILE%\AppData\Local\Temp\OnboardLogs" /stypes="app*4053*20161018*" /stext=" 01:.+((SYSTEM_STATE.+slice.+state.+changed )|(ment ac)|(system.+state.+changed )|(\[timeout)|(PRM\|1\|D)|(kpr)|(kdp)|(\|lc)|(penalty))" /e /r /s</v>
      </c>
      <c r="AG195" s="1" t="str">
        <f t="shared" si="131"/>
        <v>NW</v>
      </c>
      <c r="AH195" s="92" t="str">
        <f t="shared" si="132"/>
        <v>"%USERPROFILE%\Documents\GitHub\eaglep3\Utilities\RefineRTDCRunTimes.py" --tripid 839-17 --locoid 4053 --swversion DE.1.0.7.0 --startMP 204:1007 --initTime 2016-10-17T18:42:23 --startdatetime 2016-10-17T18:51:18 --delay 1 --endMP 300:58916 --enddatetime 2016-10-17T19:06:24 --enforcementcount 0 &gt;&gt;C:\Users\stu\Documents\GitHub\eaglep3-reporting\EC\2016-10-17-refined-times.txt</v>
      </c>
      <c r="AI195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{"issue":{"subject":"","project_id":79,"tracker_id":40,"status_id":1,"priority_id":2,"assigned_to_id":23,"start_date":"2016-10-17","description":"","custom_fields":[{"id":1,"name":"Subdivision","value":"NW"},{"id":4,"name":"Milepost","value":"5.8916"},{"id":17,"name":"Train ID","value":"839-17"},{"id":16,"name":"Locomotive ID","value":"4053"},{"id":130,"name":"Impact","value":""},{"id":150,"name":"Time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595</v>
      </c>
      <c r="B196" s="7">
        <v>4030</v>
      </c>
      <c r="C196" s="22" t="s">
        <v>99</v>
      </c>
      <c r="D196" s="22" t="s">
        <v>779</v>
      </c>
      <c r="E196" s="13">
        <v>42660.818124999998</v>
      </c>
      <c r="F196" s="13">
        <v>42660.820428240739</v>
      </c>
      <c r="G196" s="7">
        <v>1</v>
      </c>
      <c r="H196" s="13" t="s">
        <v>780</v>
      </c>
      <c r="I196" s="13">
        <v>42660.832650462966</v>
      </c>
      <c r="J196" s="7">
        <v>0</v>
      </c>
      <c r="K196" s="112" t="str">
        <f t="shared" si="119"/>
        <v>4029/4030</v>
      </c>
      <c r="L196" s="22" t="str">
        <f>VLOOKUP(A196,'Trips&amp;Operators'!$C$1:$E$10000,3,FALSE)</f>
        <v>BRUDER</v>
      </c>
      <c r="M196" s="6">
        <f t="shared" si="120"/>
        <v>1.2222222227137536E-2</v>
      </c>
      <c r="N196" s="7">
        <f t="shared" si="121"/>
        <v>17.600000007078052</v>
      </c>
      <c r="O196" s="7"/>
      <c r="P196" s="7"/>
      <c r="Q196" s="23"/>
      <c r="R196" s="23"/>
      <c r="S196" s="35">
        <f t="shared" si="122"/>
        <v>1</v>
      </c>
      <c r="T196" s="50" t="str">
        <f t="shared" si="123"/>
        <v>Southbound</v>
      </c>
      <c r="U196" s="18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18:38:06-0600',mode:absolute,to:'2016-10-17 20:59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6" s="52" t="str">
        <f t="shared" si="125"/>
        <v>N</v>
      </c>
      <c r="X196" s="178">
        <f t="shared" si="126"/>
        <v>1</v>
      </c>
      <c r="Y196" s="67">
        <f t="shared" si="127"/>
        <v>5.8640999999999996</v>
      </c>
      <c r="Z196" s="67">
        <f t="shared" si="128"/>
        <v>6.8500000000000005E-2</v>
      </c>
      <c r="AA196" s="67">
        <f t="shared" si="129"/>
        <v>5.7955999999999994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30"/>
        <v>0840-17</v>
      </c>
      <c r="AE196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6" s="88" t="str">
        <f t="shared" si="99"/>
        <v>"C:\Program Files (x86)\AstroGrep\AstroGrep.exe" /spath="%USERPROFILE%\AppData\Local\Temp\OnboardLogs" /stypes="app*4030*20161018*" /stext=" 01:.+((SYSTEM_STATE.+slice.+state.+changed )|(ment ac)|(system.+state.+changed )|(\[timeout)|(PRM\|1\|D)|(kpr)|(kdp)|(\|lc)|(penalty))" /e /r /s</v>
      </c>
      <c r="AG196" s="1" t="str">
        <f t="shared" si="131"/>
        <v>NW</v>
      </c>
      <c r="AH196" s="92" t="str">
        <f t="shared" si="132"/>
        <v>"%USERPROFILE%\Documents\GitHub\eaglep3\Utilities\RefineRTDCRunTimes.py" --tripid 840-17 --locoid 4030 --swversion DE.1.0.7.0 --startMP 300:58641 --initTime 2016-10-17T19:38:06 --startdatetime 2016-10-17T19:41:25 --delay 1 --endMP 204:685 --enddatetime 2016-10-17T19:59:01 --enforcementcount 0 &gt;&gt;C:\Users\stu\Documents\GitHub\eaglep3-reporting\EC\2016-10-17-refined-times.txt</v>
      </c>
      <c r="AI196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{"issue":{"subject":"","project_id":79,"tracker_id":40,"status_id":1,"priority_id":2,"assigned_to_id":23,"start_date":"2016-10-17","description":"","custom_fields":[{"id":1,"name":"Subdivision","value":"NW"},{"id":4,"name":"Milepost","value":"0.0685"},{"id":17,"name":"Train ID","value":"840-17"},{"id":16,"name":"Locomotive ID","value":"4030"},{"id":130,"name":"Impact","value":""},{"id":150,"name":"Time of Event (Mountain Time)","value":"19:59:01"},{"id":151,"name":"Denver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589</v>
      </c>
      <c r="B197" s="7">
        <v>4029</v>
      </c>
      <c r="C197" s="22" t="s">
        <v>99</v>
      </c>
      <c r="D197" s="22" t="s">
        <v>781</v>
      </c>
      <c r="E197" s="13">
        <v>42660.792037037034</v>
      </c>
      <c r="F197" s="13">
        <v>42660.806493055556</v>
      </c>
      <c r="G197" s="7">
        <v>2</v>
      </c>
      <c r="H197" s="13" t="s">
        <v>782</v>
      </c>
      <c r="I197" s="13">
        <v>42660.81653935185</v>
      </c>
      <c r="J197" s="7">
        <v>0</v>
      </c>
      <c r="K197" s="112" t="str">
        <f t="shared" si="119"/>
        <v>4029/4030</v>
      </c>
      <c r="L197" s="22" t="str">
        <f>VLOOKUP(A197,'Trips&amp;Operators'!$C$1:$E$10000,3,FALSE)</f>
        <v>BRUDER</v>
      </c>
      <c r="M197" s="6">
        <f t="shared" si="120"/>
        <v>1.0046296294603962E-2</v>
      </c>
      <c r="N197" s="7">
        <f t="shared" si="121"/>
        <v>14.466666664229706</v>
      </c>
      <c r="O197" s="7"/>
      <c r="P197" s="7"/>
      <c r="Q197" s="23"/>
      <c r="R197" s="23"/>
      <c r="S197" s="35">
        <f t="shared" si="122"/>
        <v>1</v>
      </c>
      <c r="T197" s="50" t="str">
        <f t="shared" si="123"/>
        <v>NorthBound</v>
      </c>
      <c r="U197" s="18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24"/>
        <v>https://search-rtdc-monitor-bjffxe2xuh6vdkpspy63sjmuny.us-east-1.es.amazonaws.com/_plugin/kibana/#/discover/Steve-Slow-Train-Analysis-(2080s-and-2083s)?_g=(refreshInterval:(display:Off,section:0,value:0),time:(from:'2016-10-17 18:00:32-0600',mode:absolute,to:'2016-10-17 20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52" t="str">
        <f t="shared" si="125"/>
        <v>N</v>
      </c>
      <c r="X197" s="178">
        <f t="shared" si="126"/>
        <v>1</v>
      </c>
      <c r="Y197" s="67">
        <f t="shared" si="127"/>
        <v>9.8500000000000004E-2</v>
      </c>
      <c r="Z197" s="67">
        <f t="shared" si="128"/>
        <v>5.8958000000000004</v>
      </c>
      <c r="AA197" s="67">
        <f t="shared" si="129"/>
        <v>5.7973000000000008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30"/>
        <v>0841-17</v>
      </c>
      <c r="AE197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97" s="88" t="str">
        <f t="shared" si="99"/>
        <v>"C:\Program Files (x86)\AstroGrep\AstroGrep.exe" /spath="%USERPROFILE%\AppData\Local\Temp\OnboardLogs" /stypes="app*4029*20161018*" /stext=" 01:.+((SYSTEM_STATE.+slice.+state.+changed )|(ment ac)|(system.+state.+changed )|(\[timeout)|(PRM\|1\|D)|(kpr)|(kdp)|(\|lc)|(penalty))" /e /r /s</v>
      </c>
      <c r="AG197" s="1" t="str">
        <f t="shared" si="131"/>
        <v>NW</v>
      </c>
      <c r="AH197" s="92" t="str">
        <f t="shared" si="132"/>
        <v>"%USERPROFILE%\Documents\GitHub\eaglep3\Utilities\RefineRTDCRunTimes.py" --tripid 841-17 --locoid 4029 --swversion DE.1.0.7.0 --startMP 204:985 --initTime 2016-10-17T19:00:32 --startdatetime 2016-10-17T19:21:21 --delay 2 --endMP 300:58958 --enddatetime 2016-10-17T19:35:49 --enforcementcount 0 &gt;&gt;C:\Users\stu\Documents\GitHub\eaglep3-reporting\EC\2016-10-17-refined-times.txt</v>
      </c>
      <c r="AI197" s="122" t="str">
        <f t="shared" si="133"/>
        <v>echo {"issue":{"subject":"","project_id":79,"tracker_id":40,"status_id":1,"priority_id":2,"assigned_to_id":23,"start_date":"2016-10-17","description":"","custom_fields":[{"id":1,"name":"Subdivision","value":"NW"},{"id":4,"name":"Milepost","value":"5.8958"},{"id":17,"name":"Train ID","value":"841-17"},{"id":16,"name":"Locomotive ID","value":"4029"},{"id":130,"name":"Impact","value":""},{"id":150,"name":"Time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601</v>
      </c>
      <c r="B198" s="7">
        <v>4030</v>
      </c>
      <c r="C198" s="22" t="s">
        <v>99</v>
      </c>
      <c r="D198" s="22" t="s">
        <v>333</v>
      </c>
      <c r="E198" s="13">
        <v>42660.859814814816</v>
      </c>
      <c r="F198" s="13">
        <v>42660.861597222225</v>
      </c>
      <c r="G198" s="7">
        <v>1</v>
      </c>
      <c r="H198" s="13" t="s">
        <v>742</v>
      </c>
      <c r="I198" s="13">
        <v>42660.872002314813</v>
      </c>
      <c r="J198" s="7">
        <v>0</v>
      </c>
      <c r="K198" s="112" t="str">
        <f t="shared" ref="K198:K223" si="134">IF(ISEVEN(B198),(B198-1)&amp;"/"&amp;B198,B198&amp;"/"&amp;(B198+1))</f>
        <v>4029/4030</v>
      </c>
      <c r="L198" s="22" t="str">
        <f>VLOOKUP(A198,'Trips&amp;Operators'!$C$1:$E$10000,3,FALSE)</f>
        <v>BRUDER</v>
      </c>
      <c r="M198" s="6">
        <f t="shared" ref="M198:M223" si="135">I198-F198</f>
        <v>1.0405092587461695E-2</v>
      </c>
      <c r="N198" s="7">
        <f t="shared" ref="N198:N223" si="136">24*60*SUM($M198:$M198)</f>
        <v>14.983333325944841</v>
      </c>
      <c r="O198" s="7"/>
      <c r="P198" s="7"/>
      <c r="Q198" s="23"/>
      <c r="R198" s="23"/>
      <c r="S198" s="35">
        <f t="shared" ref="S198:S223" si="137">SUM(U198:U198)/IF(AG198="EC",12,1)</f>
        <v>1</v>
      </c>
      <c r="T198" s="50" t="str">
        <f t="shared" ref="T198:T223" si="138">IF(ISEVEN(LEFT(AD198,4)),"Southbound","NorthBound")</f>
        <v>Southbound</v>
      </c>
      <c r="U198" s="18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ref="V198:V223" si="139"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https://search-rtdc-monitor-bjffxe2xuh6vdkpspy63sjmuny.us-east-1.es.amazonaws.com/_plugin/kibana/#/discover/Steve-Slow-Train-Analysis-(2080s-and-2083s)?_g=(refreshInterval:(display:Off,section:0,value:0),time:(from:'2016-10-17 19:38:08-0600',mode:absolute,to:'2016-10-17 21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8" s="52" t="str">
        <f t="shared" ref="W198:W223" si="140">IF(AA198&lt;IF(AG198="EC",23,5.65),"Y","N")</f>
        <v>N</v>
      </c>
      <c r="X198" s="178">
        <f t="shared" si="126"/>
        <v>1</v>
      </c>
      <c r="Y198" s="67">
        <f t="shared" ref="Y198:Y223" si="141">RIGHT(D198,LEN(D198)-4)/10000</f>
        <v>5.8639999999999999</v>
      </c>
      <c r="Z198" s="67">
        <f t="shared" ref="Z198:Z223" si="142">RIGHT(H198,LEN(H198)-4)/10000</f>
        <v>6.6299999999999998E-2</v>
      </c>
      <c r="AA198" s="67">
        <f t="shared" ref="AA198:AA223" si="143">ABS(Z198-Y198)</f>
        <v>5.7976999999999999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ref="AD198:AD223" si="144">IF(LEN(A198)=6,"0"&amp;A198,A198)</f>
        <v>0842-17</v>
      </c>
      <c r="AE198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198" s="88" t="str">
        <f t="shared" si="99"/>
        <v>"C:\Program Files (x86)\AstroGrep\AstroGrep.exe" /spath="%USERPROFILE%\AppData\Local\Temp\OnboardLogs" /stypes="app*4030*20161018*" /stext=" 02:.+((SYSTEM_STATE.+slice.+state.+changed )|(ment ac)|(system.+state.+changed )|(\[timeout)|(PRM\|1\|D)|(kpr)|(kdp)|(\|lc)|(penalty))" /e /r /s</v>
      </c>
      <c r="AG198" s="1" t="str">
        <f t="shared" ref="AG198:AG223" si="145">IFERROR(IF(VALUE(LEFT(AD198,2))&lt;=2,"EC",IF(OR(VALUE(LEFT(AD198,2))=8,VALUE(LEFT(AD198,2))=18),"NW","Other")),"Other")</f>
        <v>NW</v>
      </c>
      <c r="AH198" s="92" t="str">
        <f t="shared" si="106"/>
        <v>"%USERPROFILE%\Documents\GitHub\eaglep3\Utilities\RefineRTDCRunTimes.py" --tripid 842-17 --locoid 4030 --swversion DE.1.0.7.0 --startMP 300:58640 --initTime 2016-10-17T20:38:08 --startdatetime 2016-10-17T20:40:42 --delay 1 --endMP 204:663 --enddatetime 2016-10-17T20:55:41 --enforcementcount 0 &gt;&gt;C:\Users\stu\Documents\GitHub\eaglep3-reporting\EC\2016-10-17-refined-times.txt</v>
      </c>
      <c r="AI198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{"issue":{"subject":"","project_id":79,"tracker_id":40,"status_id":1,"priority_id":2,"assigned_to_id":23,"start_date":"2016-10-17","description":"","custom_fields":[{"id":1,"name":"Subdivision","value":"NW"},{"id":4,"name":"Milepost","value":"0.0663"},{"id":17,"name":"Train ID","value":"842-17"},{"id":16,"name":"Locomotive ID","value":"4030"},{"id":130,"name":"Impact","value":""},{"id":150,"name":"Time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598</v>
      </c>
      <c r="B199" s="7">
        <v>4029</v>
      </c>
      <c r="C199" s="22" t="s">
        <v>99</v>
      </c>
      <c r="D199" s="22" t="s">
        <v>781</v>
      </c>
      <c r="E199" s="13">
        <v>42660.835023148145</v>
      </c>
      <c r="F199" s="13">
        <v>42660.848171296297</v>
      </c>
      <c r="G199" s="7">
        <v>1</v>
      </c>
      <c r="H199" s="13" t="s">
        <v>377</v>
      </c>
      <c r="I199" s="13">
        <v>42660.858148148145</v>
      </c>
      <c r="J199" s="7">
        <v>0</v>
      </c>
      <c r="K199" s="112" t="str">
        <f t="shared" si="134"/>
        <v>4029/4030</v>
      </c>
      <c r="L199" s="22" t="str">
        <f>VLOOKUP(A199,'Trips&amp;Operators'!$C$1:$E$10000,3,FALSE)</f>
        <v>BRUDER</v>
      </c>
      <c r="M199" s="6">
        <f t="shared" si="135"/>
        <v>9.9768518484779634E-3</v>
      </c>
      <c r="N199" s="7">
        <f t="shared" si="136"/>
        <v>14.366666661808267</v>
      </c>
      <c r="O199" s="7"/>
      <c r="P199" s="7"/>
      <c r="Q199" s="23"/>
      <c r="R199" s="23"/>
      <c r="S199" s="35">
        <f t="shared" si="137"/>
        <v>1</v>
      </c>
      <c r="T199" s="50" t="str">
        <f t="shared" si="138"/>
        <v>NorthBound</v>
      </c>
      <c r="U199" s="18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19:02:26-0600',mode:absolute,to:'2016-10-17 21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9" s="52" t="str">
        <f t="shared" si="140"/>
        <v>N</v>
      </c>
      <c r="X199" s="178">
        <f t="shared" si="126"/>
        <v>1</v>
      </c>
      <c r="Y199" s="67">
        <f t="shared" si="141"/>
        <v>9.8500000000000004E-2</v>
      </c>
      <c r="Z199" s="67">
        <f t="shared" si="142"/>
        <v>5.8956</v>
      </c>
      <c r="AA199" s="67">
        <f t="shared" si="143"/>
        <v>5.7971000000000004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44"/>
        <v>0843-17</v>
      </c>
      <c r="AE199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199" s="88" t="str">
        <f t="shared" si="99"/>
        <v>"C:\Program Files (x86)\AstroGrep\AstroGrep.exe" /spath="%USERPROFILE%\AppData\Local\Temp\OnboardLogs" /stypes="app*4029*20161018*" /stext=" 02:.+((SYSTEM_STATE.+slice.+state.+changed )|(ment ac)|(system.+state.+changed )|(\[timeout)|(PRM\|1\|D)|(kpr)|(kdp)|(\|lc)|(penalty))" /e /r /s</v>
      </c>
      <c r="AG199" s="1" t="str">
        <f t="shared" si="145"/>
        <v>NW</v>
      </c>
      <c r="AH199" s="92" t="str">
        <f t="shared" ref="AH199" si="146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843-17 --locoid 4029 --swversion DE.1.0.7.0 --startMP 204:985 --initTime 2016-10-17T20:02:26 --startdatetime 2016-10-17T20:21:22 --delay 1 --endMP 300:58956 --enddatetime 2016-10-17T20:35:44 --enforcementcount 0 &gt;&gt;C:\Users\stu\Documents\GitHub\eaglep3-reporting\EC\2016-10-17-refined-times.txt</v>
      </c>
      <c r="AI199" s="122" t="str">
        <f t="shared" ref="AI199" si="147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{"issue":{"subject":"","project_id":79,"tracker_id":40,"status_id":1,"priority_id":2,"assigned_to_id":23,"start_date":"2016-10-17","description":"","custom_fields":[{"id":1,"name":"Subdivision","value":"NW"},{"id":4,"name":"Milepost","value":"5.8956"},{"id":17,"name":"Train ID","value":"843-17"},{"id":16,"name":"Locomotive ID","value":"4029"},{"id":130,"name":"Impact","value":""},{"id":150,"name":"Time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607</v>
      </c>
      <c r="B200" s="7">
        <v>4030</v>
      </c>
      <c r="C200" s="22" t="s">
        <v>99</v>
      </c>
      <c r="D200" s="22" t="s">
        <v>743</v>
      </c>
      <c r="E200" s="13">
        <v>42660.900925925926</v>
      </c>
      <c r="F200" s="13">
        <v>42660.902743055558</v>
      </c>
      <c r="G200" s="7">
        <v>1</v>
      </c>
      <c r="H200" s="13" t="s">
        <v>744</v>
      </c>
      <c r="I200" s="13">
        <v>42660.914293981485</v>
      </c>
      <c r="J200" s="7">
        <v>0</v>
      </c>
      <c r="K200" s="112" t="str">
        <f t="shared" si="134"/>
        <v>4029/4030</v>
      </c>
      <c r="L200" s="22" t="str">
        <f>VLOOKUP(A200,'Trips&amp;Operators'!$C$1:$E$10000,3,FALSE)</f>
        <v>DELGADO</v>
      </c>
      <c r="M200" s="6">
        <f t="shared" si="135"/>
        <v>1.1550925926712807E-2</v>
      </c>
      <c r="N200" s="7">
        <f t="shared" si="136"/>
        <v>16.633333334466442</v>
      </c>
      <c r="O200" s="7"/>
      <c r="P200" s="7"/>
      <c r="Q200" s="23"/>
      <c r="R200" s="23"/>
      <c r="S200" s="35">
        <f t="shared" si="137"/>
        <v>1</v>
      </c>
      <c r="T200" s="50" t="str">
        <f t="shared" si="138"/>
        <v>Southbound</v>
      </c>
      <c r="U200" s="18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20:37:20-0600',mode:absolute,to:'2016-10-17 22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0" s="52" t="str">
        <f t="shared" si="140"/>
        <v>N</v>
      </c>
      <c r="X200" s="178">
        <f t="shared" si="126"/>
        <v>1</v>
      </c>
      <c r="Y200" s="67">
        <f t="shared" si="141"/>
        <v>5.8601999999999999</v>
      </c>
      <c r="Z200" s="67">
        <f t="shared" si="142"/>
        <v>6.8699999999999997E-2</v>
      </c>
      <c r="AA200" s="67">
        <f t="shared" si="143"/>
        <v>5.7915000000000001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44"/>
        <v>0844-17</v>
      </c>
      <c r="AE200" s="91" t="str">
        <f t="shared" si="98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200" s="88" t="str">
        <f t="shared" si="99"/>
        <v>"C:\Program Files (x86)\AstroGrep\AstroGrep.exe" /spath="%USERPROFILE%\AppData\Local\Temp\OnboardLogs" /stypes="app*4030*20161018*" /stext=" 03:.+((SYSTEM_STATE.+slice.+state.+changed )|(ment ac)|(system.+state.+changed )|(\[timeout)|(PRM\|1\|D)|(kpr)|(kdp)|(\|lc)|(penalty))" /e /r /s</v>
      </c>
      <c r="AG200" s="1" t="str">
        <f t="shared" si="145"/>
        <v>NW</v>
      </c>
      <c r="AH200" s="92" t="str">
        <f t="shared" si="106"/>
        <v>"%USERPROFILE%\Documents\GitHub\eaglep3\Utilities\RefineRTDCRunTimes.py" --tripid 844-17 --locoid 4030 --swversion DE.1.0.7.0 --startMP 300:58602 --initTime 2016-10-17T21:37:20 --startdatetime 2016-10-17T21:39:57 --delay 1 --endMP 204:687 --enddatetime 2016-10-17T21:56:35 --enforcementcount 0 &gt;&gt;C:\Users\stu\Documents\GitHub\eaglep3-reporting\EC\2016-10-17-refined-times.txt</v>
      </c>
      <c r="AI200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{"issue":{"subject":"","project_id":79,"tracker_id":40,"status_id":1,"priority_id":2,"assigned_to_id":23,"start_date":"2016-10-17","description":"","custom_fields":[{"id":1,"name":"Subdivision","value":"NW"},{"id":4,"name":"Milepost","value":"0.0687"},{"id":17,"name":"Train ID","value":"844-17"},{"id":16,"name":"Locomotive ID","value":"4030"},{"id":130,"name":"Impact","value":""},{"id":150,"name":"Time of Event (Mountain Time)","value":"21:56:35"},{"id":151,"name":"Denver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606</v>
      </c>
      <c r="B201" s="7">
        <v>4029</v>
      </c>
      <c r="C201" s="22" t="s">
        <v>99</v>
      </c>
      <c r="D201" s="22" t="s">
        <v>745</v>
      </c>
      <c r="E201" s="13">
        <v>42660.884293981479</v>
      </c>
      <c r="F201" s="13">
        <v>42660.889837962961</v>
      </c>
      <c r="G201" s="7">
        <v>1</v>
      </c>
      <c r="H201" s="13" t="s">
        <v>746</v>
      </c>
      <c r="I201" s="13">
        <v>42660.899861111109</v>
      </c>
      <c r="J201" s="7">
        <v>0</v>
      </c>
      <c r="K201" s="112" t="str">
        <f t="shared" si="134"/>
        <v>4029/4030</v>
      </c>
      <c r="L201" s="22" t="str">
        <f>VLOOKUP(A201,'Trips&amp;Operators'!$C$1:$E$10000,3,FALSE)</f>
        <v>DELGADO</v>
      </c>
      <c r="M201" s="6">
        <f t="shared" si="135"/>
        <v>1.0023148148320615E-2</v>
      </c>
      <c r="N201" s="7">
        <f t="shared" si="136"/>
        <v>14.433333333581686</v>
      </c>
      <c r="O201" s="7"/>
      <c r="P201" s="7"/>
      <c r="Q201" s="23"/>
      <c r="R201" s="23"/>
      <c r="S201" s="35">
        <f t="shared" si="137"/>
        <v>1</v>
      </c>
      <c r="T201" s="50" t="str">
        <f t="shared" si="138"/>
        <v>NorthBound</v>
      </c>
      <c r="U201" s="18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20:13:23-0600',mode:absolute,to:'2016-10-17 22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1" s="52" t="str">
        <f t="shared" si="140"/>
        <v>N</v>
      </c>
      <c r="X201" s="178">
        <f t="shared" si="126"/>
        <v>1</v>
      </c>
      <c r="Y201" s="67">
        <f t="shared" si="141"/>
        <v>9.7900000000000001E-2</v>
      </c>
      <c r="Z201" s="67">
        <f t="shared" si="142"/>
        <v>5.8928000000000003</v>
      </c>
      <c r="AA201" s="67">
        <f t="shared" si="143"/>
        <v>5.7949000000000002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44"/>
        <v>0845-17</v>
      </c>
      <c r="AE201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201" s="88" t="str">
        <f t="shared" si="99"/>
        <v>"C:\Program Files (x86)\AstroGrep\AstroGrep.exe" /spath="%USERPROFILE%\AppData\Local\Temp\OnboardLogs" /stypes="app*4029*20161018*" /stext=" 03:.+((SYSTEM_STATE.+slice.+state.+changed )|(ment ac)|(system.+state.+changed )|(\[timeout)|(PRM\|1\|D)|(kpr)|(kdp)|(\|lc)|(penalty))" /e /r /s</v>
      </c>
      <c r="AG201" s="1" t="str">
        <f t="shared" si="145"/>
        <v>NW</v>
      </c>
      <c r="AH201" s="92" t="str">
        <f t="shared" si="106"/>
        <v>"%USERPROFILE%\Documents\GitHub\eaglep3\Utilities\RefineRTDCRunTimes.py" --tripid 845-17 --locoid 4029 --swversion DE.1.0.7.0 --startMP 204:979 --initTime 2016-10-17T21:13:23 --startdatetime 2016-10-17T21:21:22 --delay 1 --endMP 300:58928 --enddatetime 2016-10-17T21:35:48 --enforcementcount 0 &gt;&gt;C:\Users\stu\Documents\GitHub\eaglep3-reporting\EC\2016-10-17-refined-times.txt</v>
      </c>
      <c r="AI201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{"issue":{"subject":"","project_id":79,"tracker_id":40,"status_id":1,"priority_id":2,"assigned_to_id":23,"start_date":"2016-10-17","description":"","custom_fields":[{"id":1,"name":"Subdivision","value":"NW"},{"id":4,"name":"Milepost","value":"5.8928"},{"id":17,"name":"Train ID","value":"845-17"},{"id":16,"name":"Locomotive ID","value":"4029"},{"id":130,"name":"Impact","value":""},{"id":150,"name":"Time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610</v>
      </c>
      <c r="B202" s="7">
        <v>4029</v>
      </c>
      <c r="C202" s="22" t="s">
        <v>99</v>
      </c>
      <c r="D202" s="22" t="s">
        <v>747</v>
      </c>
      <c r="E202" s="13">
        <v>42660.924120370371</v>
      </c>
      <c r="F202" s="13">
        <v>42660.931608796294</v>
      </c>
      <c r="G202" s="7">
        <v>1</v>
      </c>
      <c r="H202" s="13" t="s">
        <v>332</v>
      </c>
      <c r="I202" s="13">
        <v>42660.942013888889</v>
      </c>
      <c r="J202" s="7">
        <v>0</v>
      </c>
      <c r="K202" s="112" t="str">
        <f t="shared" si="134"/>
        <v>4029/4030</v>
      </c>
      <c r="L202" s="22" t="str">
        <f>VLOOKUP(A202,'Trips&amp;Operators'!$C$1:$E$10000,3,FALSE)</f>
        <v>DELGADO</v>
      </c>
      <c r="M202" s="6">
        <f t="shared" si="135"/>
        <v>1.0405092594737653E-2</v>
      </c>
      <c r="N202" s="7">
        <f t="shared" si="136"/>
        <v>14.98333333642222</v>
      </c>
      <c r="O202" s="7"/>
      <c r="P202" s="7"/>
      <c r="Q202" s="23"/>
      <c r="R202" s="23"/>
      <c r="S202" s="35">
        <f t="shared" si="137"/>
        <v>1</v>
      </c>
      <c r="T202" s="50" t="str">
        <f t="shared" si="138"/>
        <v>NorthBound</v>
      </c>
      <c r="U202" s="18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21:10:44-0600',mode:absolute,to:'2016-10-17 23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52" t="str">
        <f t="shared" si="140"/>
        <v>N</v>
      </c>
      <c r="X202" s="178">
        <f t="shared" si="126"/>
        <v>2</v>
      </c>
      <c r="Y202" s="67">
        <f t="shared" si="141"/>
        <v>9.64E-2</v>
      </c>
      <c r="Z202" s="67">
        <f t="shared" si="142"/>
        <v>5.8924000000000003</v>
      </c>
      <c r="AA202" s="67">
        <f t="shared" si="143"/>
        <v>5.7960000000000003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44"/>
        <v>0847-17</v>
      </c>
      <c r="AE202" s="91" t="str">
        <f t="shared" si="98"/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AF202" s="88" t="str">
        <f t="shared" si="99"/>
        <v>"C:\Program Files (x86)\AstroGrep\AstroGrep.exe" /spath="%USERPROFILE%\AppData\Local\Temp\OnboardLogs" /stypes="app*4029*20161018*" /stext=" 04:.+((SYSTEM_STATE.+slice.+state.+changed )|(ment ac)|(system.+state.+changed )|(\[timeout)|(PRM\|1\|D)|(kpr)|(kdp)|(\|lc)|(penalty))" /e /r /s</v>
      </c>
      <c r="AG202" s="1" t="str">
        <f t="shared" si="145"/>
        <v>NW</v>
      </c>
      <c r="AH202" s="92" t="str">
        <f t="shared" si="106"/>
        <v>"%USERPROFILE%\Documents\GitHub\eaglep3\Utilities\RefineRTDCRunTimes.py" --tripid 847-17 --locoid 4029 --swversion DE.1.0.7.0 --startMP 204:964 --initTime 2016-10-17T22:10:44 --startdatetime 2016-10-17T22:21:31 --delay 1 --endMP 300:58924 --enddatetime 2016-10-17T22:36:30 --enforcementcount 0 &gt;&gt;C:\Users\stu\Documents\GitHub\eaglep3-reporting\EC\2016-10-17-refined-times.txt</v>
      </c>
      <c r="AI202" s="122" t="str">
        <f t="shared" si="107"/>
        <v>echo {"issue":{"subject":"","project_id":79,"tracker_id":40,"status_id":1,"priority_id":2,"assigned_to_id":23,"start_date":"2016-10-17","description":"","custom_fields":[{"id":1,"name":"Subdivision","value":"NW"},{"id":4,"name":"Milepost","value":"5.8924"},{"id":17,"name":"Train ID","value":"847-17"},{"id":16,"name":"Locomotive ID","value":"4029"},{"id":130,"name":"Impact","value":""},{"id":150,"name":"Time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353</v>
      </c>
      <c r="B203" s="7">
        <v>4017</v>
      </c>
      <c r="C203" s="22" t="s">
        <v>99</v>
      </c>
      <c r="D203" s="22" t="s">
        <v>386</v>
      </c>
      <c r="E203" s="13">
        <v>42660.111203703702</v>
      </c>
      <c r="F203" s="13">
        <v>42660.11246527778</v>
      </c>
      <c r="G203" s="7">
        <v>1</v>
      </c>
      <c r="H203" s="13" t="s">
        <v>325</v>
      </c>
      <c r="I203" s="13">
        <v>42660.120995370373</v>
      </c>
      <c r="J203" s="7">
        <v>0</v>
      </c>
      <c r="K203" s="112" t="str">
        <f t="shared" si="134"/>
        <v>4017/4018</v>
      </c>
      <c r="L203" s="22" t="str">
        <f>VLOOKUP(A203,'Trips&amp;Operators'!$C$1:$E$10000,3,FALSE)</f>
        <v>KILLION</v>
      </c>
      <c r="M203" s="6">
        <f t="shared" si="135"/>
        <v>8.5300925929914229E-3</v>
      </c>
      <c r="N203" s="7">
        <f t="shared" si="136"/>
        <v>12.283333333907649</v>
      </c>
      <c r="O203" s="7"/>
      <c r="P203" s="7"/>
      <c r="Q203" s="23"/>
      <c r="R203" s="23"/>
      <c r="S203" s="35">
        <f t="shared" si="137"/>
        <v>1</v>
      </c>
      <c r="T203" s="50" t="str">
        <f t="shared" si="138"/>
        <v>Southbound</v>
      </c>
      <c r="U203" s="18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01:40:08-0600',mode:absolute,to:'2016-10-17 03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3" s="52" t="str">
        <f t="shared" si="140"/>
        <v>Y</v>
      </c>
      <c r="X203" s="178">
        <f t="shared" ref="X203:X223" si="148">VALUE(LEFT(AD203,4))-VALUE(LEFT(AD202,4))</f>
        <v>-545</v>
      </c>
      <c r="Y203" s="67">
        <f t="shared" si="141"/>
        <v>2.3163</v>
      </c>
      <c r="Z203" s="67">
        <f t="shared" si="142"/>
        <v>1.5599999999999999E-2</v>
      </c>
      <c r="AA203" s="67">
        <f t="shared" si="143"/>
        <v>2.3007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44"/>
        <v>0302-17</v>
      </c>
      <c r="AE203" s="91" t="str">
        <f t="shared" si="98"/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AF203" s="88" t="str">
        <f t="shared" si="99"/>
        <v>"C:\Program Files (x86)\AstroGrep\AstroGrep.exe" /spath="%USERPROFILE%\AppData\Local\Temp\OnboardLogs" /stypes="app*4017*20161017*" /stext=" 08:.+((SYSTEM_STATE.+slice.+state.+changed )|(ment ac)|(system.+state.+changed )|(\[timeout)|(PRM\|1\|D)|(kpr)|(kdp)|(\|lc)|(penalty))" /e /r /s</v>
      </c>
      <c r="AG203" s="1" t="str">
        <f t="shared" si="145"/>
        <v>Other</v>
      </c>
      <c r="AH203" s="92" t="str">
        <f t="shared" si="106"/>
        <v>"%USERPROFILE%\Documents\GitHub\eaglep3\Utilities\RefineRTDCRunTimes.py" --tripid 302-17 --locoid 4017 --swversion DE.1.0.7.0 --startMP 300:23163 --initTime 2016-10-17T02:40:08 --startdatetime 2016-10-17T02:41:57 --delay 1 --endMP 204:156 --enddatetime 2016-10-17T02:54:14 --enforcementcount 0 &gt;&gt;C:\Users\stu\Documents\GitHub\eaglep3-reporting\EC\2016-10-17-refined-times.txt</v>
      </c>
      <c r="AI203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{"issue":{"subject":"","project_id":79,"tracker_id":40,"status_id":1,"priority_id":2,"assigned_to_id":23,"start_date":"2016-10-17","description":"","custom_fields":[{"id":1,"name":"Subdivision","value":"Other"},{"id":4,"name":"Milepost","value":"0.0156"},{"id":17,"name":"Train ID","value":"302-17"},{"id":16,"name":"Locomotive ID","value":"4017"},{"id":130,"name":"Impact","value":""},{"id":150,"name":"Time of Event (Mountain Time)","value":"02:54:14"},{"id":151,"name":"Denver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426</v>
      </c>
      <c r="B204" s="7">
        <v>4032</v>
      </c>
      <c r="C204" s="22" t="s">
        <v>99</v>
      </c>
      <c r="D204" s="22" t="s">
        <v>685</v>
      </c>
      <c r="E204" s="13">
        <v>42660.141979166663</v>
      </c>
      <c r="F204" s="13">
        <v>42660.143287037034</v>
      </c>
      <c r="G204" s="7">
        <v>1</v>
      </c>
      <c r="H204" s="13">
        <v>8.5395833333333329</v>
      </c>
      <c r="I204" s="13">
        <v>42660.149664351855</v>
      </c>
      <c r="J204" s="7">
        <v>0</v>
      </c>
      <c r="K204" s="112" t="str">
        <f t="shared" si="134"/>
        <v>4031/4032</v>
      </c>
      <c r="L204" s="22" t="str">
        <f>VLOOKUP(A204,'Trips&amp;Operators'!$C$1:$E$10000,3,FALSE)</f>
        <v>ACKERMAN</v>
      </c>
      <c r="M204" s="6">
        <f t="shared" si="135"/>
        <v>6.3773148212931119E-3</v>
      </c>
      <c r="N204" s="7">
        <f t="shared" si="136"/>
        <v>9.1833333426620811</v>
      </c>
      <c r="O204" s="7"/>
      <c r="P204" s="7"/>
      <c r="Q204" s="23"/>
      <c r="R204" s="23"/>
      <c r="S204" s="35">
        <f t="shared" si="137"/>
        <v>0</v>
      </c>
      <c r="T204" s="50" t="str">
        <f t="shared" si="138"/>
        <v>Southbound</v>
      </c>
      <c r="U204" s="18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02:24:27-0600',mode:absolute,to:'2016-10-17 04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4" s="52" t="str">
        <f t="shared" si="140"/>
        <v>N</v>
      </c>
      <c r="X204" s="178">
        <f t="shared" si="148"/>
        <v>2</v>
      </c>
      <c r="Y204" s="67">
        <f t="shared" si="141"/>
        <v>2.2323</v>
      </c>
      <c r="Z204" s="67">
        <f t="shared" si="142"/>
        <v>95833333.333299994</v>
      </c>
      <c r="AA204" s="67">
        <f t="shared" si="143"/>
        <v>95833331.100999996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44"/>
        <v>0304-17</v>
      </c>
      <c r="AE204" s="91" t="str">
        <f t="shared" si="98"/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AF204" s="88" t="str">
        <f t="shared" si="99"/>
        <v>"C:\Program Files (x86)\AstroGrep\AstroGrep.exe" /spath="%USERPROFILE%\AppData\Local\Temp\OnboardLogs" /stypes="app*4032*20161017*" /stext=" 09:.+((SYSTEM_STATE.+slice.+state.+changed )|(ment ac)|(system.+state.+changed )|(\[timeout)|(PRM\|1\|D)|(kpr)|(kdp)|(\|lc)|(penalty))" /e /r /s</v>
      </c>
      <c r="AG204" s="1" t="str">
        <f t="shared" si="145"/>
        <v>Other</v>
      </c>
      <c r="AH204" s="92" t="str">
        <f t="shared" si="106"/>
        <v>"%USERPROFILE%\Documents\GitHub\eaglep3\Utilities\RefineRTDCRunTimes.py" --tripid 304-17 --locoid 4032 --swversion DE.1.0.7.0 --startMP 300:22323 --initTime 2016-10-17T03:24:27 --startdatetime 2016-10-17T03:26:20 --delay 1 --endMP 8.53958333333333 --enddatetime 2016-10-17T03:35:31 --enforcementcount 0 &gt;&gt;C:\Users\stu\Documents\GitHub\eaglep3-reporting\EC\2016-10-17-refined-times.txt</v>
      </c>
      <c r="AI204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95833333.3333"},{"id":17,"name":"Train ID","value":"304-17"},{"id":16,"name":"Locomotive ID","value":"4032"},{"id":130,"name":"Impact","value":""},{"id":150,"name":"Time of Event (Mountain Time)","value":"03:35:31"},{"id":151,"name":"Denver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427</v>
      </c>
      <c r="B205" s="7">
        <v>4045</v>
      </c>
      <c r="C205" s="22" t="s">
        <v>99</v>
      </c>
      <c r="D205" s="22" t="s">
        <v>686</v>
      </c>
      <c r="E205" s="13">
        <v>42660.161666666667</v>
      </c>
      <c r="F205" s="13">
        <v>42660.162812499999</v>
      </c>
      <c r="G205" s="7">
        <v>0</v>
      </c>
      <c r="H205" s="13" t="s">
        <v>687</v>
      </c>
      <c r="I205" s="13">
        <v>42660.169120370374</v>
      </c>
      <c r="J205" s="7">
        <v>0</v>
      </c>
      <c r="K205" s="112" t="str">
        <f t="shared" si="134"/>
        <v>4045/4046</v>
      </c>
      <c r="L205" s="22" t="str">
        <f>VLOOKUP(A205,'Trips&amp;Operators'!$C$1:$E$10000,3,FALSE)</f>
        <v>ROBINSON</v>
      </c>
      <c r="M205" s="6">
        <f t="shared" si="135"/>
        <v>6.3078703751671128E-3</v>
      </c>
      <c r="N205" s="7">
        <f t="shared" si="136"/>
        <v>9.0833333402406424</v>
      </c>
      <c r="O205" s="7"/>
      <c r="P205" s="7"/>
      <c r="Q205" s="23"/>
      <c r="R205" s="23"/>
      <c r="S205" s="35">
        <f t="shared" si="137"/>
        <v>1</v>
      </c>
      <c r="T205" s="50" t="str">
        <f t="shared" si="138"/>
        <v>Southbound</v>
      </c>
      <c r="U205" s="18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02:52:48-0600',mode:absolute,to:'2016-10-17 05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5" s="52" t="str">
        <f t="shared" si="140"/>
        <v>Y</v>
      </c>
      <c r="X205" s="178">
        <f t="shared" si="148"/>
        <v>2</v>
      </c>
      <c r="Y205" s="67">
        <f t="shared" si="141"/>
        <v>1.8788</v>
      </c>
      <c r="Z205" s="67">
        <f t="shared" si="142"/>
        <v>1.21E-2</v>
      </c>
      <c r="AA205" s="67">
        <f t="shared" si="143"/>
        <v>1.8667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44"/>
        <v>0306-17</v>
      </c>
      <c r="AE205" s="91" t="str">
        <f t="shared" ref="AE205:AE223" si="14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"%USERPROFILE%\AppData\Local\Temp\OnboardLogs"\RTDC4045\2016-10-17 --exclude "*" --recursive --include "*20161017*" &amp; "%USERPROFILE%\Documents\GitHub\mrs-test-scripts\Headless Mode &amp; Sideloading\WalkAndUnGZ.bat" "%USERPROFILE%\AppData\Local\Temp\OnboardLogs"\RTDC4045\2016-10-17 &amp; aws s3 cp s3://rtdc.mdm.uploadarchive.raw/RTDC4045/ "%USERPROFILE%\AppData\Local\Temp\OnboardLogs"\RTDC4045\2016-10-18 --exclude "*" --recursive --include "*20161018*" &amp; "%USERPROFILE%\Documents\GitHub\mrs-test-scripts\Headless Mode &amp; Sideloading\WalkAndUnGZ.bat" "%USERPROFILE%\AppData\Local\Temp\OnboardLogs"\RTDC4045\2016-10-18</v>
      </c>
      <c r="AF205" s="88" t="str">
        <f t="shared" ref="AF205:AF223" si="15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/stypes="app*4045*20161017*" /stext=" 10:.+((SYSTEM_STATE.+slice.+state.+changed )|(ment ac)|(system.+state.+changed )|(\[timeout)|(PRM\|1\|D)|(kpr)|(kdp)|(\|lc)|(penalty))" /e /r /s</v>
      </c>
      <c r="AG205" s="1" t="str">
        <f t="shared" si="145"/>
        <v>Other</v>
      </c>
      <c r="AH205" s="92" t="str">
        <f t="shared" si="106"/>
        <v>"%USERPROFILE%\Documents\GitHub\eaglep3\Utilities\RefineRTDCRunTimes.py" --tripid 306-17 --locoid 4045 --swversion DE.1.0.7.0 --startMP 300:18788 --initTime 2016-10-17T03:52:48 --startdatetime 2016-10-17T03:54:27 --delay 0 --endMP 204:121 --enddatetime 2016-10-17T04:03:32 --enforcementcount 0 &gt;&gt;C:\Users\stu\Documents\GitHub\eaglep3-reporting\EC\2016-10-17-refined-times.txt</v>
      </c>
      <c r="AI205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{"issue":{"subject":"","project_id":79,"tracker_id":40,"status_id":1,"priority_id":2,"assigned_to_id":23,"start_date":"2016-10-17","description":"","custom_fields":[{"id":1,"name":"Subdivision","value":"Other"},{"id":4,"name":"Milepost","value":"0.0121"},{"id":17,"name":"Train ID","value":"306-17"},{"id":16,"name":"Locomotive ID","value":"4045"},{"id":130,"name":"Impact","value":""},{"id":150,"name":"Time of Event (Mountain Time)","value":"04:03:32"},{"id":151,"name":"Denver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429</v>
      </c>
      <c r="B206" s="7">
        <v>4043</v>
      </c>
      <c r="C206" s="22" t="s">
        <v>99</v>
      </c>
      <c r="D206" s="22" t="s">
        <v>688</v>
      </c>
      <c r="E206" s="13">
        <v>42660.184571759259</v>
      </c>
      <c r="F206" s="13">
        <v>42660.186018518521</v>
      </c>
      <c r="G206" s="7">
        <v>1</v>
      </c>
      <c r="H206" s="13" t="s">
        <v>231</v>
      </c>
      <c r="I206" s="13">
        <v>42660.194421296299</v>
      </c>
      <c r="J206" s="7">
        <v>0</v>
      </c>
      <c r="K206" s="112" t="str">
        <f t="shared" si="134"/>
        <v>4043/4044</v>
      </c>
      <c r="L206" s="22" t="str">
        <f>VLOOKUP(A206,'Trips&amp;Operators'!$C$1:$E$10000,3,FALSE)</f>
        <v>SPECTOR</v>
      </c>
      <c r="M206" s="6">
        <f t="shared" si="135"/>
        <v>8.4027777775190771E-3</v>
      </c>
      <c r="N206" s="7">
        <f t="shared" si="136"/>
        <v>12.099999999627471</v>
      </c>
      <c r="O206" s="7"/>
      <c r="P206" s="7"/>
      <c r="Q206" s="23"/>
      <c r="R206" s="23"/>
      <c r="S206" s="35">
        <f t="shared" si="137"/>
        <v>1</v>
      </c>
      <c r="T206" s="50" t="str">
        <f t="shared" si="138"/>
        <v>Southbound</v>
      </c>
      <c r="U206" s="18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03:25:47-0600',mode:absolute,to:'2016-10-17 05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2" t="str">
        <f t="shared" si="140"/>
        <v>Y</v>
      </c>
      <c r="X206" s="178">
        <f t="shared" si="148"/>
        <v>2</v>
      </c>
      <c r="Y206" s="67">
        <f t="shared" si="141"/>
        <v>2.2094</v>
      </c>
      <c r="Z206" s="67">
        <f t="shared" si="142"/>
        <v>1.54E-2</v>
      </c>
      <c r="AA206" s="67">
        <f t="shared" si="143"/>
        <v>2.194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44"/>
        <v>0308-17</v>
      </c>
      <c r="AE206" s="91" t="str">
        <f t="shared" si="149"/>
        <v>aws s3 cp s3://rtdc.mdm.uploadarchive.raw/RTDC4043/ "%USERPROFILE%\AppData\Local\Temp\OnboardLogs"\RTDC4043\2016-10-17 --exclude "*" --recursive --include "*20161017*" &amp; "%USERPROFILE%\Documents\GitHub\mrs-test-scripts\Headless Mode &amp; Sideloading\WalkAndUnGZ.bat" "%USERPROFILE%\AppData\Local\Temp\OnboardLogs"\RTDC4043\2016-10-17 &amp; aws s3 cp s3://rtdc.mdm.uploadarchive.raw/RTDC4043/ "%USERPROFILE%\AppData\Local\Temp\OnboardLogs"\RTDC4043\2016-10-18 --exclude "*" --recursive --include "*20161018*" &amp; "%USERPROFILE%\Documents\GitHub\mrs-test-scripts\Headless Mode &amp; Sideloading\WalkAndUnGZ.bat" "%USERPROFILE%\AppData\Local\Temp\OnboardLogs"\RTDC4043\2016-10-18</v>
      </c>
      <c r="AF206" s="88" t="str">
        <f t="shared" si="150"/>
        <v>"C:\Program Files (x86)\AstroGrep\AstroGrep.exe" /spath="%USERPROFILE%\AppData\Local\Temp\OnboardLogs" /stypes="app*4043*20161017*" /stext=" 10:.+((SYSTEM_STATE.+slice.+state.+changed )|(ment ac)|(system.+state.+changed )|(\[timeout)|(PRM\|1\|D)|(kpr)|(kdp)|(\|lc)|(penalty))" /e /r /s</v>
      </c>
      <c r="AG206" s="1" t="str">
        <f t="shared" si="145"/>
        <v>Other</v>
      </c>
      <c r="AH206" s="92" t="str">
        <f t="shared" si="106"/>
        <v>"%USERPROFILE%\Documents\GitHub\eaglep3\Utilities\RefineRTDCRunTimes.py" --tripid 308-17 --locoid 4043 --swversion DE.1.0.7.0 --startMP 300:22094 --initTime 2016-10-17T04:25:47 --startdatetime 2016-10-17T04:27:52 --delay 1 --endMP 204:154 --enddatetime 2016-10-17T04:39:58 --enforcementcount 0 &gt;&gt;C:\Users\stu\Documents\GitHub\eaglep3-reporting\EC\2016-10-17-refined-times.txt</v>
      </c>
      <c r="AI206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{"issue":{"subject":"","project_id":79,"tracker_id":40,"status_id":1,"priority_id":2,"assigned_to_id":23,"start_date":"2016-10-17","description":"","custom_fields":[{"id":1,"name":"Subdivision","value":"Other"},{"id":4,"name":"Milepost","value":"0.0154"},{"id":17,"name":"Train ID","value":"308-17"},{"id":16,"name":"Locomotive ID","value":"4043"},{"id":130,"name":"Impact","value":""},{"id":150,"name":"Time of Event (Mountain Time)","value":"04:39:58"},{"id":151,"name":"Denver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625</v>
      </c>
      <c r="B207" s="7">
        <v>4002</v>
      </c>
      <c r="C207" s="22" t="s">
        <v>99</v>
      </c>
      <c r="D207" s="22" t="s">
        <v>250</v>
      </c>
      <c r="E207" s="13">
        <v>42661.090300925927</v>
      </c>
      <c r="F207" s="13">
        <v>25568.708333333332</v>
      </c>
      <c r="G207" s="7">
        <v>1</v>
      </c>
      <c r="H207" s="13" t="s">
        <v>689</v>
      </c>
      <c r="I207" s="13">
        <v>25568.708333333332</v>
      </c>
      <c r="J207" s="7">
        <v>0</v>
      </c>
      <c r="K207" s="112" t="str">
        <f t="shared" si="134"/>
        <v>4001/4002</v>
      </c>
      <c r="L207" s="22" t="str">
        <f>VLOOKUP(A207,'Trips&amp;Operators'!$C$1:$E$10000,3,FALSE)</f>
        <v>CHANDLER</v>
      </c>
      <c r="M207" s="6">
        <f t="shared" si="135"/>
        <v>0</v>
      </c>
      <c r="N207" s="7">
        <f t="shared" si="136"/>
        <v>0</v>
      </c>
      <c r="O207" s="7"/>
      <c r="P207" s="7"/>
      <c r="Q207" s="23"/>
      <c r="R207" s="23"/>
      <c r="S207" s="35">
        <f t="shared" si="137"/>
        <v>1</v>
      </c>
      <c r="T207" s="50" t="str">
        <f t="shared" si="138"/>
        <v>NorthBound</v>
      </c>
      <c r="U207" s="18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01:10:02-0600',mode:absolute,to:'1969-12-31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7" s="52" t="str">
        <f t="shared" si="140"/>
        <v>Y</v>
      </c>
      <c r="X207" s="178">
        <f t="shared" si="148"/>
        <v>1</v>
      </c>
      <c r="Y207" s="67">
        <f t="shared" si="141"/>
        <v>4.6600000000000003E-2</v>
      </c>
      <c r="Z207" s="67">
        <f t="shared" si="142"/>
        <v>1.2091000000000001</v>
      </c>
      <c r="AA207" s="67">
        <f t="shared" si="143"/>
        <v>1.1625000000000001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44"/>
        <v>0309-17</v>
      </c>
      <c r="AE207" s="91" t="str">
        <f t="shared" si="14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7" s="88" t="str">
        <f t="shared" si="150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07" s="1" t="str">
        <f t="shared" si="145"/>
        <v>Other</v>
      </c>
      <c r="AH207" s="92" t="str">
        <f t="shared" si="106"/>
        <v>"%USERPROFILE%\Documents\GitHub\eaglep3\Utilities\RefineRTDCRunTimes.py" --tripid 309-17 --locoid 4002 --swversion DE.1.0.7.0 --startMP 204:466 --initTime 2016-10-18T02:10:02 --startdatetime 1969-12-31T17:00:00 --delay 1 --endMP 300:12091 --enddatetime 1969-12-31T17:00:00 --enforcementcount 0 &gt;&gt;C:\Users\stu\Documents\GitHub\eaglep3-reporting\EC\2016-10-17-refined-times.txt</v>
      </c>
      <c r="AI207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{"issue":{"subject":"","project_id":79,"tracker_id":40,"status_id":1,"priority_id":2,"assigned_to_id":23,"start_date":"1969-12-31","description":"","custom_fields":[{"id":1,"name":"Subdivision","value":"Other"},{"id":4,"name":"Milepost","value":"1.2091"},{"id":17,"name":"Train ID","value":"309-17"},{"id":16,"name":"Locomotive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433</v>
      </c>
      <c r="B208" s="7">
        <v>4039</v>
      </c>
      <c r="C208" s="22" t="s">
        <v>99</v>
      </c>
      <c r="D208" s="22" t="s">
        <v>690</v>
      </c>
      <c r="E208" s="13">
        <v>42660.190740740742</v>
      </c>
      <c r="F208" s="13">
        <v>42660.191874999997</v>
      </c>
      <c r="G208" s="7">
        <v>1</v>
      </c>
      <c r="H208" s="13" t="s">
        <v>691</v>
      </c>
      <c r="I208" s="13">
        <v>42660.202893518515</v>
      </c>
      <c r="J208" s="7">
        <v>0</v>
      </c>
      <c r="K208" s="112" t="str">
        <f t="shared" si="134"/>
        <v>4039/4040</v>
      </c>
      <c r="L208" s="22" t="str">
        <f>VLOOKUP(A208,'Trips&amp;Operators'!$C$1:$E$10000,3,FALSE)</f>
        <v>YORK</v>
      </c>
      <c r="M208" s="6">
        <f t="shared" si="135"/>
        <v>1.1018518518540077E-2</v>
      </c>
      <c r="N208" s="7">
        <f t="shared" si="136"/>
        <v>15.866666666697711</v>
      </c>
      <c r="O208" s="7"/>
      <c r="P208" s="7"/>
      <c r="Q208" s="23"/>
      <c r="R208" s="23"/>
      <c r="S208" s="35">
        <f t="shared" si="137"/>
        <v>1</v>
      </c>
      <c r="T208" s="50" t="str">
        <f t="shared" si="138"/>
        <v>Southbound</v>
      </c>
      <c r="U208" s="18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03:34:40-0600',mode:absolute,to:'2016-10-17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8" s="52" t="str">
        <f t="shared" si="140"/>
        <v>Y</v>
      </c>
      <c r="X208" s="178">
        <f t="shared" si="148"/>
        <v>1</v>
      </c>
      <c r="Y208" s="67">
        <f t="shared" si="141"/>
        <v>2.3620000000000001</v>
      </c>
      <c r="Z208" s="67">
        <f t="shared" si="142"/>
        <v>0.1464</v>
      </c>
      <c r="AA208" s="67">
        <f t="shared" si="143"/>
        <v>2.2156000000000002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44"/>
        <v>0310-17</v>
      </c>
      <c r="AE208" s="91" t="str">
        <f t="shared" si="149"/>
        <v>aws s3 cp s3://rtdc.mdm.uploadarchive.raw/RTDC4039/ "%USERPROFILE%\AppData\Local\Temp\OnboardLogs"\RTDC4039\2016-10-17 --exclude "*" --recursive --include "*20161017*" &amp; "%USERPROFILE%\Documents\GitHub\mrs-test-scripts\Headless Mode &amp; Sideloading\WalkAndUnGZ.bat" "%USERPROFILE%\AppData\Local\Temp\OnboardLogs"\RTDC4039\2016-10-17 &amp; aws s3 cp s3://rtdc.mdm.uploadarchive.raw/RTDC4039/ "%USERPROFILE%\AppData\Local\Temp\OnboardLogs"\RTDC4039\2016-10-18 --exclude "*" --recursive --include "*20161018*" &amp; "%USERPROFILE%\Documents\GitHub\mrs-test-scripts\Headless Mode &amp; Sideloading\WalkAndUnGZ.bat" "%USERPROFILE%\AppData\Local\Temp\OnboardLogs"\RTDC4039\2016-10-18</v>
      </c>
      <c r="AF208" s="88" t="str">
        <f t="shared" si="150"/>
        <v>"C:\Program Files (x86)\AstroGrep\AstroGrep.exe" /spath="%USERPROFILE%\AppData\Local\Temp\OnboardLogs" /stypes="app*4039*20161017*" /stext=" 10:.+((SYSTEM_STATE.+slice.+state.+changed )|(ment ac)|(system.+state.+changed )|(\[timeout)|(PRM\|1\|D)|(kpr)|(kdp)|(\|lc)|(penalty))" /e /r /s</v>
      </c>
      <c r="AG208" s="1" t="str">
        <f t="shared" si="145"/>
        <v>Other</v>
      </c>
      <c r="AH208" s="92" t="str">
        <f t="shared" si="106"/>
        <v>"%USERPROFILE%\Documents\GitHub\eaglep3\Utilities\RefineRTDCRunTimes.py" --tripid 310-17 --locoid 4039 --swversion DE.1.0.7.0 --startMP 300:23620 --initTime 2016-10-17T04:34:40 --startdatetime 2016-10-17T04:36:18 --delay 1 --endMP 204:1464 --enddatetime 2016-10-17T04:52:10 --enforcementcount 0 &gt;&gt;C:\Users\stu\Documents\GitHub\eaglep3-reporting\EC\2016-10-17-refined-times.txt</v>
      </c>
      <c r="AI208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{"issue":{"subject":"","project_id":79,"tracker_id":40,"status_id":1,"priority_id":2,"assigned_to_id":23,"start_date":"2016-10-17","description":"","custom_fields":[{"id":1,"name":"Subdivision","value":"Other"},{"id":4,"name":"Milepost","value":"0.1464"},{"id":17,"name":"Train ID","value":"310-17"},{"id":16,"name":"Locomotive ID","value":"4039"},{"id":130,"name":"Impact","value":""},{"id":150,"name":"Time of Event (Mountain Time)","value":"04:52:10"},{"id":151,"name":"Denver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623</v>
      </c>
      <c r="B209" s="7">
        <v>4046</v>
      </c>
      <c r="C209" s="22" t="s">
        <v>99</v>
      </c>
      <c r="D209" s="22" t="s">
        <v>259</v>
      </c>
      <c r="E209" s="13">
        <v>42661.073078703703</v>
      </c>
      <c r="F209" s="13">
        <v>42661.074641203704</v>
      </c>
      <c r="G209" s="7">
        <v>1</v>
      </c>
      <c r="H209" s="13" t="s">
        <v>692</v>
      </c>
      <c r="I209" s="13">
        <v>42661.081608796296</v>
      </c>
      <c r="J209" s="7">
        <v>0</v>
      </c>
      <c r="K209" s="112" t="str">
        <f t="shared" si="134"/>
        <v>4045/4046</v>
      </c>
      <c r="L209" s="22" t="str">
        <f>VLOOKUP(A209,'Trips&amp;Operators'!$C$1:$E$10000,3,FALSE)</f>
        <v>NEWELL</v>
      </c>
      <c r="M209" s="6">
        <f t="shared" si="135"/>
        <v>6.9675925915362313E-3</v>
      </c>
      <c r="N209" s="7">
        <f t="shared" si="136"/>
        <v>10.033333331812173</v>
      </c>
      <c r="O209" s="7"/>
      <c r="P209" s="7"/>
      <c r="Q209" s="23"/>
      <c r="R209" s="23"/>
      <c r="S209" s="35">
        <f t="shared" si="137"/>
        <v>1</v>
      </c>
      <c r="T209" s="50" t="str">
        <f t="shared" si="138"/>
        <v>NorthBound</v>
      </c>
      <c r="U209" s="18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00:45:14-0600',mode:absolute,to:'2016-10-18 02:57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9" s="52" t="str">
        <f t="shared" si="140"/>
        <v>Y</v>
      </c>
      <c r="X209" s="178">
        <f t="shared" si="148"/>
        <v>1</v>
      </c>
      <c r="Y209" s="67">
        <f t="shared" si="141"/>
        <v>4.5999999999999999E-2</v>
      </c>
      <c r="Z209" s="67">
        <f t="shared" si="142"/>
        <v>2.2854000000000001</v>
      </c>
      <c r="AA209" s="67">
        <f t="shared" si="143"/>
        <v>2.2394000000000003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44"/>
        <v>0311-17</v>
      </c>
      <c r="AE209" s="91" t="str">
        <f t="shared" si="149"/>
        <v>aws s3 cp s3://rtdc.mdm.uploadarchive.raw/RTDC4046/ "%USERPROFILE%\AppData\Local\Temp\OnboardLogs"\RTDC4046\2016-10-18 --exclude "*" --recursive --include "*20161018*" &amp; "%USERPROFILE%\Documents\GitHub\mrs-test-scripts\Headless Mode &amp; Sideloading\WalkAndUnGZ.bat" "%USERPROFILE%\AppData\Local\Temp\OnboardLogs"\RTDC4046\2016-10-18 &amp; 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</v>
      </c>
      <c r="AF209" s="88" t="str">
        <f t="shared" si="150"/>
        <v>"C:\Program Files (x86)\AstroGrep\AstroGrep.exe" /spath="%USERPROFILE%\AppData\Local\Temp\OnboardLogs" /stypes="app*4046*20161018*" /stext=" 07:.+((SYSTEM_STATE.+slice.+state.+changed )|(ment ac)|(system.+state.+changed )|(\[timeout)|(PRM\|1\|D)|(kpr)|(kdp)|(\|lc)|(penalty))" /e /r /s</v>
      </c>
      <c r="AG209" s="1" t="str">
        <f t="shared" si="145"/>
        <v>Other</v>
      </c>
      <c r="AH209" s="92" t="str">
        <f t="shared" si="106"/>
        <v>"%USERPROFILE%\Documents\GitHub\eaglep3\Utilities\RefineRTDCRunTimes.py" --tripid 311-17 --locoid 4046 --swversion DE.1.0.7.0 --startMP 204:460 --initTime 2016-10-18T01:45:14 --startdatetime 2016-10-18T01:47:29 --delay 1 --endMP 300:22854 --enddatetime 2016-10-18T01:57:31 --enforcementcount 0 &gt;&gt;C:\Users\stu\Documents\GitHub\eaglep3-reporting\EC\2016-10-17-refined-times.txt</v>
      </c>
      <c r="AI209" s="122" t="str">
        <f t="shared" si="107"/>
        <v>echo {"issue":{"subject":"","project_id":79,"tracker_id":40,"status_id":1,"priority_id":2,"assigned_to_id":23,"start_date":"2016-10-18","description":"","custom_fields":[{"id":1,"name":"Subdivision","value":"Other"},{"id":4,"name":"Milepost","value":"2.2854"},{"id":17,"name":"Train ID","value":"311-17"},{"id":16,"name":"Locomotive ID","value":"4046"},{"id":130,"name":"Impact","value":""},{"id":150,"name":"Time of Event (Mountain Time)","value":"01:57:31"},{"id":151,"name":"Denver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7" t="s">
        <v>624</v>
      </c>
      <c r="B210" s="7">
        <v>4038</v>
      </c>
      <c r="C210" s="22" t="s">
        <v>99</v>
      </c>
      <c r="D210" s="22" t="s">
        <v>250</v>
      </c>
      <c r="E210" s="13">
        <v>42661.069791666669</v>
      </c>
      <c r="F210" s="13">
        <v>25568.708333333332</v>
      </c>
      <c r="G210" s="7">
        <v>1</v>
      </c>
      <c r="H210" s="13" t="s">
        <v>693</v>
      </c>
      <c r="I210" s="13">
        <v>25568.708333333332</v>
      </c>
      <c r="J210" s="7">
        <v>0</v>
      </c>
      <c r="K210" s="112" t="str">
        <f t="shared" si="134"/>
        <v>4037/4038</v>
      </c>
      <c r="L210" s="22" t="str">
        <f>VLOOKUP(A210,'Trips&amp;Operators'!$C$1:$E$10000,3,FALSE)</f>
        <v>NEWELL</v>
      </c>
      <c r="M210" s="6">
        <f t="shared" si="135"/>
        <v>0</v>
      </c>
      <c r="N210" s="7">
        <f t="shared" si="136"/>
        <v>0</v>
      </c>
      <c r="O210" s="7"/>
      <c r="P210" s="7"/>
      <c r="Q210" s="23"/>
      <c r="R210" s="23"/>
      <c r="S210" s="35">
        <f t="shared" si="137"/>
        <v>1</v>
      </c>
      <c r="T210" s="50" t="str">
        <f t="shared" si="138"/>
        <v>NorthBound</v>
      </c>
      <c r="U210" s="18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00:40:30-0600',mode:absolute,to:'1969-12-31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0" s="52" t="str">
        <f t="shared" si="140"/>
        <v>Y</v>
      </c>
      <c r="X210" s="178">
        <f t="shared" si="148"/>
        <v>2</v>
      </c>
      <c r="Y210" s="67">
        <f t="shared" si="141"/>
        <v>4.6600000000000003E-2</v>
      </c>
      <c r="Z210" s="67">
        <f t="shared" si="142"/>
        <v>2.3304</v>
      </c>
      <c r="AA210" s="67">
        <f t="shared" si="143"/>
        <v>2.2837999999999998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44"/>
        <v>0313-17</v>
      </c>
      <c r="AE210" s="91" t="str">
        <f t="shared" si="149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0" s="88" t="str">
        <f t="shared" si="150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0" s="1" t="str">
        <f t="shared" si="145"/>
        <v>Other</v>
      </c>
      <c r="AH210" s="92" t="str">
        <f t="shared" si="106"/>
        <v>"%USERPROFILE%\Documents\GitHub\eaglep3\Utilities\RefineRTDCRunTimes.py" --tripid 313-17 --locoid 4038 --swversion DE.1.0.7.0 --startMP 204:466 --initTime 2016-10-18T01:40:30 --startdatetime 1969-12-31T17:00:00 --delay 1 --endMP 300:23304 --enddatetime 1969-12-31T17:00:00 --enforcementcount 0 &gt;&gt;C:\Users\stu\Documents\GitHub\eaglep3-reporting\EC\2016-10-17-refined-times.txt</v>
      </c>
      <c r="AI210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352</v>
      </c>
      <c r="B211" s="7">
        <v>4042</v>
      </c>
      <c r="C211" s="22" t="s">
        <v>99</v>
      </c>
      <c r="D211" s="22" t="s">
        <v>251</v>
      </c>
      <c r="E211" s="13">
        <v>42660.090694444443</v>
      </c>
      <c r="F211" s="13">
        <v>25568.708333333332</v>
      </c>
      <c r="G211" s="7">
        <v>1</v>
      </c>
      <c r="H211" s="13" t="s">
        <v>387</v>
      </c>
      <c r="I211" s="13">
        <v>25568.708333333332</v>
      </c>
      <c r="J211" s="7">
        <v>0</v>
      </c>
      <c r="K211" s="112" t="str">
        <f t="shared" si="134"/>
        <v>4041/4042</v>
      </c>
      <c r="L211" s="22" t="str">
        <f>VLOOKUP(A211,'Trips&amp;Operators'!$C$1:$E$10000,3,FALSE)</f>
        <v>CHANDLER</v>
      </c>
      <c r="M211" s="6">
        <f t="shared" si="135"/>
        <v>0</v>
      </c>
      <c r="N211" s="7">
        <f t="shared" si="136"/>
        <v>0</v>
      </c>
      <c r="O211" s="7"/>
      <c r="P211" s="7"/>
      <c r="Q211" s="23"/>
      <c r="R211" s="23"/>
      <c r="S211" s="35">
        <f t="shared" si="137"/>
        <v>1</v>
      </c>
      <c r="T211" s="50" t="str">
        <f t="shared" si="138"/>
        <v>NorthBound</v>
      </c>
      <c r="U211" s="18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01:10:36-0600',mode:absolute,to:'1969-12-31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1" s="52" t="str">
        <f t="shared" si="140"/>
        <v>Y</v>
      </c>
      <c r="X211" s="178">
        <f t="shared" si="148"/>
        <v>2</v>
      </c>
      <c r="Y211" s="67">
        <f t="shared" si="141"/>
        <v>4.7800000000000002E-2</v>
      </c>
      <c r="Z211" s="67">
        <f t="shared" si="142"/>
        <v>1.379</v>
      </c>
      <c r="AA211" s="67">
        <f t="shared" si="143"/>
        <v>1.3311999999999999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44"/>
        <v>0315-16</v>
      </c>
      <c r="AE211" s="91" t="str">
        <f t="shared" si="149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1" s="88" t="str">
        <f t="shared" si="150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1" s="1" t="str">
        <f t="shared" si="145"/>
        <v>Other</v>
      </c>
      <c r="AH211" s="92" t="str">
        <f t="shared" si="106"/>
        <v>"%USERPROFILE%\Documents\GitHub\eaglep3\Utilities\RefineRTDCRunTimes.py" --tripid 315-16 --locoid 4042 --swversion DE.1.0.7.0 --startMP 204:478 --initTime 2016-10-17T02:10:36 --startdatetime 1969-12-31T17:00:00 --delay 1 --endMP 300:13790 --enddatetime 1969-12-31T17:00:00 --enforcementcount 0 &gt;&gt;C:\Users\stu\Documents\GitHub\eaglep3-reporting\EC\2016-10-17-refined-times.txt</v>
      </c>
      <c r="AI211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{"issue":{"subject":"","project_id":79,"tracker_id":40,"status_id":1,"priority_id":2,"assigned_to_id":23,"start_date":"1969-12-31","description":"","custom_fields":[{"id":1,"name":"Subdivision","value":"Other"},{"id":4,"name":"Milepost","value":"1.379"},{"id":17,"name":"Train ID","value":"315-16"},{"id":16,"name":"Locomotive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621</v>
      </c>
      <c r="B212" s="7">
        <v>4011</v>
      </c>
      <c r="C212" s="22" t="s">
        <v>99</v>
      </c>
      <c r="D212" s="22" t="s">
        <v>311</v>
      </c>
      <c r="E212" s="13">
        <v>42661.047013888892</v>
      </c>
      <c r="F212" s="13">
        <v>25568.708333333332</v>
      </c>
      <c r="G212" s="7">
        <v>1</v>
      </c>
      <c r="H212" s="13" t="s">
        <v>694</v>
      </c>
      <c r="I212" s="13">
        <v>25568.708333333332</v>
      </c>
      <c r="J212" s="7">
        <v>0</v>
      </c>
      <c r="K212" s="112" t="str">
        <f t="shared" si="134"/>
        <v>4011/4012</v>
      </c>
      <c r="L212" s="22" t="str">
        <f>VLOOKUP(A212,'Trips&amp;Operators'!$C$1:$E$10000,3,FALSE)</f>
        <v>YANAI</v>
      </c>
      <c r="M212" s="6">
        <f t="shared" si="135"/>
        <v>0</v>
      </c>
      <c r="N212" s="7">
        <f t="shared" si="136"/>
        <v>0</v>
      </c>
      <c r="O212" s="7"/>
      <c r="P212" s="7"/>
      <c r="Q212" s="23"/>
      <c r="R212" s="23"/>
      <c r="S212" s="35">
        <f t="shared" si="137"/>
        <v>1</v>
      </c>
      <c r="T212" s="50" t="str">
        <f t="shared" si="138"/>
        <v>NorthBound</v>
      </c>
      <c r="U212" s="18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https://search-rtdc-monitor-bjffxe2xuh6vdkpspy63sjmuny.us-east-1.es.amazonaws.com/_plugin/kibana/#/discover/Steve-Slow-Train-Analysis-(2080s-and-2083s)?_g=(refreshInterval:(display:Off,section:0,value:0),time:(from:'2016-10-18 00:07:42-0600',mode:absolute,to:'1969-12-31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2" s="52" t="str">
        <f t="shared" si="140"/>
        <v>Y</v>
      </c>
      <c r="X212" s="178">
        <f t="shared" si="148"/>
        <v>0</v>
      </c>
      <c r="Y212" s="67">
        <f t="shared" si="141"/>
        <v>4.4400000000000002E-2</v>
      </c>
      <c r="Z212" s="67">
        <f t="shared" si="142"/>
        <v>2.3069999999999999</v>
      </c>
      <c r="AA212" s="67">
        <f t="shared" si="143"/>
        <v>2.2625999999999999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44"/>
        <v>0315-17</v>
      </c>
      <c r="AE212" s="91" t="str">
        <f t="shared" si="14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2" s="88" t="str">
        <f t="shared" si="150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12" s="1" t="str">
        <f t="shared" si="145"/>
        <v>Other</v>
      </c>
      <c r="AH212" s="92" t="str">
        <f t="shared" si="106"/>
        <v>"%USERPROFILE%\Documents\GitHub\eaglep3\Utilities\RefineRTDCRunTimes.py" --tripid 315-17 --locoid 4011 --swversion DE.1.0.7.0 --startMP 204:444 --initTime 2016-10-18T01:07:42 --startdatetime 1969-12-31T17:00:00 --delay 1 --endMP 300:23070 --enddatetime 1969-12-31T17:00:00 --enforcementcount 0 &gt;&gt;C:\Users\stu\Documents\GitHub\eaglep3-reporting\EC\2016-10-17-refined-times.txt</v>
      </c>
      <c r="AI212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{"issue":{"subject":"","project_id":79,"tracker_id":40,"status_id":1,"priority_id":2,"assigned_to_id":23,"start_date":"1969-12-31","description":"","custom_fields":[{"id":1,"name":"Subdivision","value":"Other"},{"id":4,"name":"Milepost","value":"2.307"},{"id":17,"name":"Train ID","value":"315-17"},{"id":16,"name":"Locomotive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435</v>
      </c>
      <c r="B213" s="7">
        <v>4053</v>
      </c>
      <c r="C213" s="22" t="s">
        <v>99</v>
      </c>
      <c r="D213" s="22" t="s">
        <v>748</v>
      </c>
      <c r="E213" s="13">
        <v>42660.204074074078</v>
      </c>
      <c r="F213" s="13">
        <v>42660.206250000003</v>
      </c>
      <c r="G213" s="7">
        <v>2</v>
      </c>
      <c r="H213" s="13" t="s">
        <v>749</v>
      </c>
      <c r="I213" s="13">
        <v>42660.209097222221</v>
      </c>
      <c r="J213" s="7">
        <v>0</v>
      </c>
      <c r="K213" s="112" t="str">
        <f t="shared" si="134"/>
        <v>4053/4054</v>
      </c>
      <c r="L213" s="22" t="str">
        <f>VLOOKUP(A213,'Trips&amp;Operators'!$C$1:$E$10000,3,FALSE)</f>
        <v>OUN</v>
      </c>
      <c r="M213" s="6">
        <f t="shared" si="135"/>
        <v>2.8472222184063867E-3</v>
      </c>
      <c r="N213" s="7">
        <f t="shared" si="136"/>
        <v>4.0999999945051968</v>
      </c>
      <c r="O213" s="7"/>
      <c r="P213" s="7"/>
      <c r="Q213" s="23"/>
      <c r="R213" s="23"/>
      <c r="S213" s="35">
        <f t="shared" si="137"/>
        <v>0</v>
      </c>
      <c r="T213" s="50" t="str">
        <f t="shared" si="138"/>
        <v>NorthBound</v>
      </c>
      <c r="U213" s="18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03:53:52-0600',mode:absolute,to:'2016-10-17 06:01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3" s="52" t="str">
        <f t="shared" si="140"/>
        <v>Y</v>
      </c>
      <c r="X213" s="178">
        <f t="shared" si="148"/>
        <v>586</v>
      </c>
      <c r="Y213" s="67">
        <f t="shared" si="141"/>
        <v>2.9799000000000002</v>
      </c>
      <c r="Z213" s="67">
        <f t="shared" si="142"/>
        <v>3.8839000000000001</v>
      </c>
      <c r="AA213" s="67">
        <f t="shared" si="143"/>
        <v>0.90399999999999991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44"/>
        <v>0901-17</v>
      </c>
      <c r="AE213" s="91" t="str">
        <f t="shared" si="149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213" s="88" t="str">
        <f t="shared" si="150"/>
        <v>"C:\Program Files (x86)\AstroGrep\AstroGrep.exe" /spath="%USERPROFILE%\AppData\Local\Temp\OnboardLogs" /stypes="app*4053*20161017*" /stext=" 11:.+((SYSTEM_STATE.+slice.+state.+changed )|(ment ac)|(system.+state.+changed )|(\[timeout)|(PRM\|1\|D)|(kpr)|(kdp)|(\|lc)|(penalty))" /e /r /s</v>
      </c>
      <c r="AG213" s="1" t="str">
        <f t="shared" si="145"/>
        <v>Other</v>
      </c>
      <c r="AH213" s="92" t="str">
        <f t="shared" si="106"/>
        <v>"%USERPROFILE%\Documents\GitHub\eaglep3\Utilities\RefineRTDCRunTimes.py" --tripid 901-17 --locoid 4053 --swversion DE.1.0.7.0 --startMP 300:29799 --initTime 2016-10-17T04:53:52 --startdatetime 2016-10-17T04:57:00 --delay 2 --endMP 300:38839 --enddatetime 2016-10-17T05:01:06 --enforcementcount 0 &gt;&gt;C:\Users\stu\Documents\GitHub\eaglep3-reporting\EC\2016-10-17-refined-times.txt</v>
      </c>
      <c r="AI213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{"issue":{"subject":"","project_id":79,"tracker_id":40,"status_id":1,"priority_id":2,"assigned_to_id":23,"start_date":"2016-10-17","description":"","custom_fields":[{"id":1,"name":"Subdivision","value":"Other"},{"id":4,"name":"Milepost","value":"3.8839"},{"id":17,"name":"Train ID","value":"901-17"},{"id":16,"name":"Locomotive ID","value":"4053"},{"id":130,"name":"Impact","value":""},{"id":150,"name":"Time of Event (Mountain Time)","value":"05:01:06"},{"id":151,"name":"Denver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449</v>
      </c>
      <c r="B214" s="7">
        <v>4030</v>
      </c>
      <c r="C214" s="22" t="s">
        <v>99</v>
      </c>
      <c r="D214" s="22" t="s">
        <v>750</v>
      </c>
      <c r="E214" s="13">
        <v>42660.257407407407</v>
      </c>
      <c r="F214" s="13">
        <v>42660.258460648147</v>
      </c>
      <c r="G214" s="7">
        <v>0</v>
      </c>
      <c r="H214" s="13" t="s">
        <v>751</v>
      </c>
      <c r="I214" s="13">
        <v>42660.264247685183</v>
      </c>
      <c r="J214" s="7">
        <v>0</v>
      </c>
      <c r="K214" s="112" t="str">
        <f t="shared" si="134"/>
        <v>4029/4030</v>
      </c>
      <c r="L214" s="22" t="str">
        <f>VLOOKUP(A214,'Trips&amp;Operators'!$C$1:$E$10000,3,FALSE)</f>
        <v>ROCHA</v>
      </c>
      <c r="M214" s="6">
        <f t="shared" si="135"/>
        <v>5.7870370364980772E-3</v>
      </c>
      <c r="N214" s="7">
        <f t="shared" si="136"/>
        <v>8.3333333325572312</v>
      </c>
      <c r="O214" s="7"/>
      <c r="P214" s="7"/>
      <c r="Q214" s="23"/>
      <c r="R214" s="23"/>
      <c r="S214" s="35">
        <f t="shared" si="137"/>
        <v>1</v>
      </c>
      <c r="T214" s="50" t="str">
        <f t="shared" si="138"/>
        <v>Southbound</v>
      </c>
      <c r="U214" s="18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05:10:40-0600',mode:absolute,to:'2016-10-17 07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4" s="52" t="str">
        <f t="shared" si="140"/>
        <v>Y</v>
      </c>
      <c r="X214" s="178">
        <f t="shared" si="148"/>
        <v>1</v>
      </c>
      <c r="Y214" s="67">
        <f t="shared" si="141"/>
        <v>2.3410000000000002</v>
      </c>
      <c r="Z214" s="67">
        <f t="shared" si="142"/>
        <v>6.7699999999999996E-2</v>
      </c>
      <c r="AA214" s="67">
        <f t="shared" si="143"/>
        <v>2.2733000000000003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144"/>
        <v>0902-17</v>
      </c>
      <c r="AE214" s="91" t="str">
        <f t="shared" si="149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214" s="88" t="str">
        <f t="shared" si="150"/>
        <v>"C:\Program Files (x86)\AstroGrep\AstroGrep.exe" /spath="%USERPROFILE%\AppData\Local\Temp\OnboardLogs" /stypes="app*4030*20161017*" /stext=" 12:.+((SYSTEM_STATE.+slice.+state.+changed )|(ment ac)|(system.+state.+changed )|(\[timeout)|(PRM\|1\|D)|(kpr)|(kdp)|(\|lc)|(penalty))" /e /r /s</v>
      </c>
      <c r="AG214" s="1" t="str">
        <f t="shared" si="145"/>
        <v>Other</v>
      </c>
      <c r="AH214" s="92" t="str">
        <f t="shared" si="106"/>
        <v>"%USERPROFILE%\Documents\GitHub\eaglep3\Utilities\RefineRTDCRunTimes.py" --tripid 902-17 --locoid 4030 --swversion DE.1.0.7.0 --startMP 300:23410 --initTime 2016-10-17T06:10:40 --startdatetime 2016-10-17T06:12:11 --delay 0 --endMP 204:677 --enddatetime 2016-10-17T06:20:31 --enforcementcount 0 &gt;&gt;C:\Users\stu\Documents\GitHub\eaglep3-reporting\EC\2016-10-17-refined-times.txt</v>
      </c>
      <c r="AI214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{"issue":{"subject":"","project_id":79,"tracker_id":40,"status_id":1,"priority_id":2,"assigned_to_id":23,"start_date":"2016-10-17","description":"","custom_fields":[{"id":1,"name":"Subdivision","value":"Other"},{"id":4,"name":"Milepost","value":"0.0677"},{"id":17,"name":"Train ID","value":"902-17"},{"id":16,"name":"Locomotive ID","value":"4030"},{"id":130,"name":"Impact","value":""},{"id":150,"name":"Time of Event (Mountain Time)","value":"06:20:31"},{"id":151,"name":"Denver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474</v>
      </c>
      <c r="B215" s="7">
        <v>4053</v>
      </c>
      <c r="C215" s="22" t="s">
        <v>99</v>
      </c>
      <c r="D215" s="22" t="s">
        <v>747</v>
      </c>
      <c r="E215" s="13">
        <v>42660.353564814817</v>
      </c>
      <c r="F215" s="13">
        <v>42660.355266203704</v>
      </c>
      <c r="G215" s="7">
        <v>0</v>
      </c>
      <c r="H215" s="13" t="s">
        <v>752</v>
      </c>
      <c r="I215" s="13">
        <v>42660.361527777779</v>
      </c>
      <c r="J215" s="7">
        <v>0</v>
      </c>
      <c r="K215" s="112" t="str">
        <f t="shared" si="134"/>
        <v>4053/4054</v>
      </c>
      <c r="L215" s="22" t="str">
        <f>VLOOKUP(A215,'Trips&amp;Operators'!$C$1:$E$10000,3,FALSE)</f>
        <v>OUN</v>
      </c>
      <c r="M215" s="6">
        <f t="shared" si="135"/>
        <v>6.2615740753244609E-3</v>
      </c>
      <c r="N215" s="7">
        <f t="shared" si="136"/>
        <v>9.0166666684672236</v>
      </c>
      <c r="O215" s="7"/>
      <c r="P215" s="7"/>
      <c r="Q215" s="23"/>
      <c r="R215" s="23"/>
      <c r="S215" s="35">
        <f t="shared" si="137"/>
        <v>1</v>
      </c>
      <c r="T215" s="50" t="str">
        <f t="shared" si="138"/>
        <v>NorthBound</v>
      </c>
      <c r="U215" s="18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07:29:08-0600',mode:absolute,to:'2016-10-17 09:40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5" s="52" t="str">
        <f t="shared" si="140"/>
        <v>Y</v>
      </c>
      <c r="X215" s="178">
        <f t="shared" si="148"/>
        <v>1</v>
      </c>
      <c r="Y215" s="67">
        <f t="shared" si="141"/>
        <v>9.64E-2</v>
      </c>
      <c r="Z215" s="67">
        <f t="shared" si="142"/>
        <v>2.4956999999999998</v>
      </c>
      <c r="AA215" s="67">
        <f t="shared" si="143"/>
        <v>2.3992999999999998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144"/>
        <v>0903-17</v>
      </c>
      <c r="AE215" s="91" t="str">
        <f t="shared" si="149"/>
        <v>aws s3 cp s3://rtdc.mdm.uploadarchive.raw/RTDC4053/ "%USERPROFILE%\AppData\Local\Temp\OnboardLogs"\RTDC4053\2016-10-17 --exclude "*" --recursive --include "*20161017*" &amp; "%USERPROFILE%\Documents\GitHub\mrs-test-scripts\Headless Mode &amp; Sideloading\WalkAndUnGZ.bat" "%USERPROFILE%\AppData\Local\Temp\OnboardLogs"\RTDC4053\2016-10-17 &amp; aws s3 cp s3://rtdc.mdm.uploadarchive.raw/RTDC4053/ "%USERPROFILE%\AppData\Local\Temp\OnboardLogs"\RTDC4053\2016-10-18 --exclude "*" --recursive --include "*20161018*" &amp; "%USERPROFILE%\Documents\GitHub\mrs-test-scripts\Headless Mode &amp; Sideloading\WalkAndUnGZ.bat" "%USERPROFILE%\AppData\Local\Temp\OnboardLogs"\RTDC4053\2016-10-18</v>
      </c>
      <c r="AF215" s="88" t="str">
        <f t="shared" si="150"/>
        <v>"C:\Program Files (x86)\AstroGrep\AstroGrep.exe" /spath="%USERPROFILE%\AppData\Local\Temp\OnboardLogs" /stypes="app*4053*20161017*" /stext=" 14:.+((SYSTEM_STATE.+slice.+state.+changed )|(ment ac)|(system.+state.+changed )|(\[timeout)|(PRM\|1\|D)|(kpr)|(kdp)|(\|lc)|(penalty))" /e /r /s</v>
      </c>
      <c r="AG215" s="1" t="str">
        <f t="shared" si="145"/>
        <v>Other</v>
      </c>
      <c r="AH215" s="92" t="str">
        <f t="shared" si="106"/>
        <v>"%USERPROFILE%\Documents\GitHub\eaglep3\Utilities\RefineRTDCRunTimes.py" --tripid 903-17 --locoid 4053 --swversion DE.1.0.7.0 --startMP 204:964 --initTime 2016-10-17T08:29:08 --startdatetime 2016-10-17T08:31:35 --delay 0 --endMP 300:24957 --enddatetime 2016-10-17T08:40:36 --enforcementcount 0 &gt;&gt;C:\Users\stu\Documents\GitHub\eaglep3-reporting\EC\2016-10-17-refined-times.txt</v>
      </c>
      <c r="AI215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{"issue":{"subject":"","project_id":79,"tracker_id":40,"status_id":1,"priority_id":2,"assigned_to_id":23,"start_date":"2016-10-17","description":"","custom_fields":[{"id":1,"name":"Subdivision","value":"Other"},{"id":4,"name":"Milepost","value":"2.4957"},{"id":17,"name":"Train ID","value":"903-17"},{"id":16,"name":"Locomotive ID","value":"4053"},{"id":130,"name":"Impact","value":""},{"id":150,"name":"Time of Event (Mountain Time)","value":"08:40:36"},{"id":151,"name":"Denver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421</v>
      </c>
      <c r="B216" s="7">
        <v>4054</v>
      </c>
      <c r="C216" s="22" t="s">
        <v>99</v>
      </c>
      <c r="D216" s="22" t="s">
        <v>753</v>
      </c>
      <c r="E216" s="13">
        <v>42660.65452546296</v>
      </c>
      <c r="F216" s="13">
        <v>42660.655266203707</v>
      </c>
      <c r="G216" s="7">
        <v>0</v>
      </c>
      <c r="H216" s="13" t="s">
        <v>754</v>
      </c>
      <c r="I216" s="13">
        <v>42660.661192129628</v>
      </c>
      <c r="J216" s="7">
        <v>0</v>
      </c>
      <c r="K216" s="112" t="str">
        <f t="shared" si="134"/>
        <v>4053/4054</v>
      </c>
      <c r="L216" s="22" t="str">
        <f>VLOOKUP(A216,'Trips&amp;Operators'!$C$1:$E$10000,3,FALSE)</f>
        <v>DELGADO</v>
      </c>
      <c r="M216" s="6">
        <f t="shared" si="135"/>
        <v>5.9259259214741178E-3</v>
      </c>
      <c r="N216" s="7">
        <f t="shared" si="136"/>
        <v>8.5333333269227296</v>
      </c>
      <c r="O216" s="7"/>
      <c r="P216" s="7"/>
      <c r="Q216" s="23"/>
      <c r="R216" s="23"/>
      <c r="S216" s="35">
        <f t="shared" si="137"/>
        <v>1</v>
      </c>
      <c r="T216" s="50" t="str">
        <f t="shared" si="138"/>
        <v>Southbound</v>
      </c>
      <c r="U216" s="18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14:42:31-0600',mode:absolute,to:'2016-10-17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6" s="52" t="str">
        <f t="shared" si="140"/>
        <v>Y</v>
      </c>
      <c r="X216" s="178">
        <f t="shared" si="148"/>
        <v>1</v>
      </c>
      <c r="Y216" s="67">
        <f t="shared" si="141"/>
        <v>2.2265000000000001</v>
      </c>
      <c r="Z216" s="67">
        <f t="shared" si="142"/>
        <v>7.0999999999999994E-2</v>
      </c>
      <c r="AA216" s="67">
        <f t="shared" si="143"/>
        <v>2.1555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144"/>
        <v>0904-17</v>
      </c>
      <c r="AE216" s="91" t="str">
        <f t="shared" si="149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216" s="88" t="str">
        <f t="shared" si="150"/>
        <v>"C:\Program Files (x86)\AstroGrep\AstroGrep.exe" /spath="%USERPROFILE%\AppData\Local\Temp\OnboardLogs" /stypes="app*4054*20161017*" /stext=" 21:.+((SYSTEM_STATE.+slice.+state.+changed )|(ment ac)|(system.+state.+changed )|(\[timeout)|(PRM\|1\|D)|(kpr)|(kdp)|(\|lc)|(penalty))" /e /r /s</v>
      </c>
      <c r="AG216" s="1" t="str">
        <f t="shared" si="145"/>
        <v>Other</v>
      </c>
      <c r="AH216" s="92" t="str">
        <f t="shared" si="106"/>
        <v>"%USERPROFILE%\Documents\GitHub\eaglep3\Utilities\RefineRTDCRunTimes.py" --tripid 904-17 --locoid 4054 --swversion DE.1.0.7.0 --startMP 300:22265 --initTime 2016-10-17T15:42:31 --startdatetime 2016-10-17T15:43:35 --delay 0 --endMP 204:710 --enddatetime 2016-10-17T15:52:07 --enforcementcount 0 &gt;&gt;C:\Users\stu\Documents\GitHub\eaglep3-reporting\EC\2016-10-17-refined-times.txt</v>
      </c>
      <c r="AI216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{"issue":{"subject":"","project_id":79,"tracker_id":40,"status_id":1,"priority_id":2,"assigned_to_id":23,"start_date":"2016-10-17","description":"","custom_fields":[{"id":1,"name":"Subdivision","value":"Other"},{"id":4,"name":"Milepost","value":"0.071"},{"id":17,"name":"Train ID","value":"904-17"},{"id":16,"name":"Locomotive ID","value":"4054"},{"id":130,"name":"Impact","value":""},{"id":150,"name":"Time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421</v>
      </c>
      <c r="B217" s="7">
        <v>4054</v>
      </c>
      <c r="C217" s="22" t="s">
        <v>99</v>
      </c>
      <c r="D217" s="22" t="s">
        <v>755</v>
      </c>
      <c r="E217" s="13">
        <v>42660.648923611108</v>
      </c>
      <c r="F217" s="13">
        <v>42660.655266203707</v>
      </c>
      <c r="G217" s="7">
        <v>2</v>
      </c>
      <c r="H217" s="13" t="s">
        <v>756</v>
      </c>
      <c r="I217" s="13">
        <v>42660.661192129628</v>
      </c>
      <c r="J217" s="7">
        <v>0</v>
      </c>
      <c r="K217" s="112" t="str">
        <f t="shared" si="134"/>
        <v>4053/4054</v>
      </c>
      <c r="L217" s="22" t="str">
        <f>VLOOKUP(A217,'Trips&amp;Operators'!$C$1:$E$10000,3,FALSE)</f>
        <v>DELGADO</v>
      </c>
      <c r="M217" s="6">
        <f t="shared" si="135"/>
        <v>5.9259259214741178E-3</v>
      </c>
      <c r="N217" s="7">
        <f t="shared" si="136"/>
        <v>8.5333333269227296</v>
      </c>
      <c r="O217" s="7"/>
      <c r="P217" s="7"/>
      <c r="Q217" s="23"/>
      <c r="R217" s="23"/>
      <c r="S217" s="35">
        <f t="shared" si="137"/>
        <v>0</v>
      </c>
      <c r="T217" s="50" t="str">
        <f t="shared" si="138"/>
        <v>Southbound</v>
      </c>
      <c r="U217" s="18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14:34:27-0600',mode:absolute,to:'2016-10-17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7" s="52" t="str">
        <f t="shared" si="140"/>
        <v>Y</v>
      </c>
      <c r="X217" s="178">
        <f t="shared" si="148"/>
        <v>0</v>
      </c>
      <c r="Y217" s="67">
        <f t="shared" si="141"/>
        <v>2.4668999999999999</v>
      </c>
      <c r="Z217" s="67">
        <f t="shared" si="142"/>
        <v>2.4359999999999999</v>
      </c>
      <c r="AA217" s="67">
        <f t="shared" si="143"/>
        <v>3.0899999999999928E-2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144"/>
        <v>0904-17</v>
      </c>
      <c r="AE217" s="91" t="str">
        <f t="shared" si="149"/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AF217" s="88" t="str">
        <f t="shared" si="150"/>
        <v>"C:\Program Files (x86)\AstroGrep\AstroGrep.exe" /spath="%USERPROFILE%\AppData\Local\Temp\OnboardLogs" /stypes="app*4054*20161017*" /stext=" 21:.+((SYSTEM_STATE.+slice.+state.+changed )|(ment ac)|(system.+state.+changed )|(\[timeout)|(PRM\|1\|D)|(kpr)|(kdp)|(\|lc)|(penalty))" /e /r /s</v>
      </c>
      <c r="AG217" s="1" t="str">
        <f t="shared" si="145"/>
        <v>Other</v>
      </c>
      <c r="AH217" s="92" t="str">
        <f t="shared" si="106"/>
        <v>"%USERPROFILE%\Documents\GitHub\eaglep3\Utilities\RefineRTDCRunTimes.py" --tripid 904-17 --locoid 4054 --swversion DE.1.0.7.0 --startMP 300:24669 --initTime 2016-10-17T15:34:27 --startdatetime 2016-10-17T15:43:35 --delay 2 --endMP 300:24360 --enddatetime 2016-10-17T15:52:07 --enforcementcount 0 &gt;&gt;C:\Users\stu\Documents\GitHub\eaglep3-reporting\EC\2016-10-17-refined-times.txt</v>
      </c>
      <c r="AI217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{"issue":{"subject":"","project_id":79,"tracker_id":40,"status_id":1,"priority_id":2,"assigned_to_id":23,"start_date":"2016-10-17","description":"","custom_fields":[{"id":1,"name":"Subdivision","value":"Other"},{"id":4,"name":"Milepost","value":"2.436"},{"id":17,"name":"Train ID","value":"904-17"},{"id":16,"name":"Locomotive ID","value":"4054"},{"id":130,"name":"Impact","value":""},{"id":150,"name":"Time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612</v>
      </c>
      <c r="B218" s="7">
        <v>4030</v>
      </c>
      <c r="C218" s="22" t="s">
        <v>99</v>
      </c>
      <c r="D218" s="22" t="s">
        <v>367</v>
      </c>
      <c r="E218" s="13">
        <v>42660.943414351852</v>
      </c>
      <c r="F218" s="13">
        <v>42660.944803240738</v>
      </c>
      <c r="G218" s="7">
        <v>1</v>
      </c>
      <c r="H218" s="13" t="s">
        <v>757</v>
      </c>
      <c r="I218" s="13">
        <v>42660.950474537036</v>
      </c>
      <c r="J218" s="7">
        <v>0</v>
      </c>
      <c r="K218" s="112" t="str">
        <f t="shared" si="134"/>
        <v>4029/4030</v>
      </c>
      <c r="L218" s="22" t="str">
        <f>VLOOKUP(A218,'Trips&amp;Operators'!$C$1:$E$10000,3,FALSE)</f>
        <v>DELGADO</v>
      </c>
      <c r="M218" s="6">
        <f t="shared" si="135"/>
        <v>5.6712962978053838E-3</v>
      </c>
      <c r="N218" s="7">
        <f t="shared" si="136"/>
        <v>8.1666666688397527</v>
      </c>
      <c r="O218" s="7"/>
      <c r="P218" s="7"/>
      <c r="Q218" s="23"/>
      <c r="R218" s="23"/>
      <c r="S218" s="35">
        <f t="shared" si="137"/>
        <v>0</v>
      </c>
      <c r="T218" s="50" t="str">
        <f t="shared" si="138"/>
        <v>Southbound</v>
      </c>
      <c r="U218" s="18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21:38:31-0600',mode:absolute,to:'2016-10-17 23:48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8" s="52" t="str">
        <f t="shared" si="140"/>
        <v>Y</v>
      </c>
      <c r="X218" s="178">
        <f t="shared" si="148"/>
        <v>4</v>
      </c>
      <c r="Y218" s="67">
        <f t="shared" si="141"/>
        <v>5.8615000000000004</v>
      </c>
      <c r="Z218" s="67">
        <f t="shared" si="142"/>
        <v>2.1757</v>
      </c>
      <c r="AA218" s="67">
        <f t="shared" si="143"/>
        <v>3.6858000000000004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144"/>
        <v>0908-17</v>
      </c>
      <c r="AE218" s="91" t="str">
        <f t="shared" si="149"/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AF218" s="88" t="str">
        <f t="shared" si="150"/>
        <v>"C:\Program Files (x86)\AstroGrep\AstroGrep.exe" /spath="%USERPROFILE%\AppData\Local\Temp\OnboardLogs" /stypes="app*4030*20161018*" /stext=" 04:.+((SYSTEM_STATE.+slice.+state.+changed )|(ment ac)|(system.+state.+changed )|(\[timeout)|(PRM\|1\|D)|(kpr)|(kdp)|(\|lc)|(penalty))" /e /r /s</v>
      </c>
      <c r="AG218" s="1" t="str">
        <f t="shared" si="145"/>
        <v>Other</v>
      </c>
      <c r="AH218" s="92" t="str">
        <f t="shared" si="106"/>
        <v>"%USERPROFILE%\Documents\GitHub\eaglep3\Utilities\RefineRTDCRunTimes.py" --tripid 908-17 --locoid 4030 --swversion DE.1.0.7.0 --startMP 300:58615 --initTime 2016-10-17T22:38:31 --startdatetime 2016-10-17T22:40:31 --delay 1 --endMP 300:21757 --enddatetime 2016-10-17T22:48:41 --enforcementcount 0 &gt;&gt;C:\Users\stu\Documents\GitHub\eaglep3-reporting\EC\2016-10-17-refined-times.txt</v>
      </c>
      <c r="AI218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{"issue":{"subject":"","project_id":79,"tracker_id":40,"status_id":1,"priority_id":2,"assigned_to_id":23,"start_date":"2016-10-17","description":"","custom_fields":[{"id":1,"name":"Subdivision","value":"Other"},{"id":4,"name":"Milepost","value":"2.1757"},{"id":17,"name":"Train ID","value":"908-17"},{"id":16,"name":"Locomotive ID","value":"4030"},{"id":130,"name":"Impact","value":""},{"id":150,"name":"Time of Event (Mountain Time)","value":"22:48:41"},{"id":151,"name":"Denver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492</v>
      </c>
      <c r="B219" s="7">
        <v>4008</v>
      </c>
      <c r="C219" s="22" t="s">
        <v>99</v>
      </c>
      <c r="D219" s="22" t="s">
        <v>695</v>
      </c>
      <c r="E219" s="13">
        <v>42660.439456018517</v>
      </c>
      <c r="F219" s="13">
        <v>42660.440428240741</v>
      </c>
      <c r="G219" s="7">
        <v>1</v>
      </c>
      <c r="H219" s="13" t="s">
        <v>696</v>
      </c>
      <c r="I219" s="13">
        <v>42660.446261574078</v>
      </c>
      <c r="J219" s="7">
        <v>0</v>
      </c>
      <c r="K219" s="112" t="str">
        <f t="shared" si="134"/>
        <v>4007/4008</v>
      </c>
      <c r="L219" s="22" t="str">
        <f>VLOOKUP(A219,'Trips&amp;Operators'!$C$1:$E$10000,3,FALSE)</f>
        <v>BARTLETT</v>
      </c>
      <c r="M219" s="6">
        <f t="shared" si="135"/>
        <v>5.8333333363407291E-3</v>
      </c>
      <c r="N219" s="7">
        <f t="shared" si="136"/>
        <v>8.40000000433065</v>
      </c>
      <c r="O219" s="7"/>
      <c r="P219" s="7"/>
      <c r="Q219" s="23"/>
      <c r="R219" s="23"/>
      <c r="S219" s="35">
        <f t="shared" si="137"/>
        <v>0</v>
      </c>
      <c r="T219" s="50" t="e">
        <f t="shared" si="138"/>
        <v>#VALUE!</v>
      </c>
      <c r="U219" s="18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09:32:49-0600',mode:absolute,to:'2016-10-17 11:42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52" t="str">
        <f t="shared" si="140"/>
        <v>Y</v>
      </c>
      <c r="X219" s="178" t="e">
        <f t="shared" si="148"/>
        <v>#VALUE!</v>
      </c>
      <c r="Y219" s="67">
        <f t="shared" si="141"/>
        <v>2.2382</v>
      </c>
      <c r="Z219" s="67">
        <f t="shared" si="142"/>
        <v>6.6E-3</v>
      </c>
      <c r="AA219" s="67">
        <f t="shared" si="143"/>
        <v>2.2315999999999998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144"/>
        <v>50-17</v>
      </c>
      <c r="AE219" s="91" t="str">
        <f t="shared" si="149"/>
        <v>aws s3 cp s3://rtdc.mdm.uploadarchive.raw/RTDC4008/ "%USERPROFILE%\AppData\Local\Temp\OnboardLogs"\RTDC4008\2016-10-17 --exclude "*" --recursive --include "*20161017*" &amp; "%USERPROFILE%\Documents\GitHub\mrs-test-scripts\Headless Mode &amp; Sideloading\WalkAndUnGZ.bat" "%USERPROFILE%\AppData\Local\Temp\OnboardLogs"\RTDC4008\2016-10-17 &amp; aws s3 cp s3://rtdc.mdm.uploadarchive.raw/RTDC4008/ "%USERPROFILE%\AppData\Local\Temp\OnboardLogs"\RTDC4008\2016-10-18 --exclude "*" --recursive --include "*20161018*" &amp; "%USERPROFILE%\Documents\GitHub\mrs-test-scripts\Headless Mode &amp; Sideloading\WalkAndUnGZ.bat" "%USERPROFILE%\AppData\Local\Temp\OnboardLogs"\RTDC4008\2016-10-18</v>
      </c>
      <c r="AF219" s="88" t="str">
        <f t="shared" si="150"/>
        <v>"C:\Program Files (x86)\AstroGrep\AstroGrep.exe" /spath="%USERPROFILE%\AppData\Local\Temp\OnboardLogs" /stypes="app*4008*20161017*" /stext=" 16:.+((SYSTEM_STATE.+slice.+state.+changed )|(ment ac)|(system.+state.+changed )|(\[timeout)|(PRM\|1\|D)|(kpr)|(kdp)|(\|lc)|(penalty))" /e /r /s</v>
      </c>
      <c r="AG219" s="1" t="str">
        <f t="shared" si="145"/>
        <v>Other</v>
      </c>
      <c r="AH219" s="92" t="str">
        <f t="shared" si="106"/>
        <v>"%USERPROFILE%\Documents\GitHub\eaglep3\Utilities\RefineRTDCRunTimes.py" --tripid 50-17 --locoid 4008 --swversion DE.1.0.7.0 --startMP 300:22382 --initTime 2016-10-17T10:32:49 --startdatetime 2016-10-17T10:34:13 --delay 1 --endMP 204:66 --enddatetime 2016-10-17T10:42:37 --enforcementcount 0 &gt;&gt;C:\Users\stu\Documents\GitHub\eaglep3-reporting\EC\2016-10-17-refined-times.txt</v>
      </c>
      <c r="AI219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{"issue":{"subject":"","project_id":79,"tracker_id":40,"status_id":1,"priority_id":2,"assigned_to_id":23,"start_date":"2016-10-17","description":"","custom_fields":[{"id":1,"name":"Subdivision","value":"Other"},{"id":4,"name":"Milepost","value":"0.0066"},{"id":17,"name":"Train ID","value":"50-17"},{"id":16,"name":"Locomotive ID","value":"4008"},{"id":130,"name":"Impact","value":""},{"id":150,"name":"Time of Event (Mountain Time)","value":"10:42:37"},{"id":151,"name":"Denver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497</v>
      </c>
      <c r="B220" s="7">
        <v>4021</v>
      </c>
      <c r="C220" s="22" t="s">
        <v>99</v>
      </c>
      <c r="D220" s="22" t="s">
        <v>697</v>
      </c>
      <c r="E220" s="13">
        <v>42660.458738425928</v>
      </c>
      <c r="F220" s="13">
        <v>42660.459849537037</v>
      </c>
      <c r="G220" s="7">
        <v>1</v>
      </c>
      <c r="H220" s="13" t="s">
        <v>698</v>
      </c>
      <c r="I220" s="13">
        <v>42660.466215277775</v>
      </c>
      <c r="J220" s="7">
        <v>0</v>
      </c>
      <c r="K220" s="112" t="str">
        <f t="shared" si="134"/>
        <v>4021/4022</v>
      </c>
      <c r="L220" s="22" t="str">
        <f>VLOOKUP(A220,'Trips&amp;Operators'!$C$1:$E$10000,3,FALSE)</f>
        <v>SWANSON</v>
      </c>
      <c r="M220" s="6">
        <f t="shared" si="135"/>
        <v>6.3657407372375019E-3</v>
      </c>
      <c r="N220" s="7">
        <f t="shared" si="136"/>
        <v>9.1666666616220027</v>
      </c>
      <c r="O220" s="7"/>
      <c r="P220" s="7"/>
      <c r="Q220" s="23"/>
      <c r="R220" s="23"/>
      <c r="S220" s="35">
        <f t="shared" si="137"/>
        <v>0</v>
      </c>
      <c r="T220" s="50" t="e">
        <f t="shared" si="138"/>
        <v>#VALUE!</v>
      </c>
      <c r="U220" s="18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10:00:35-0600',mode:absolute,to:'2016-10-17 12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0" s="52" t="str">
        <f t="shared" si="140"/>
        <v>Y</v>
      </c>
      <c r="X220" s="178" t="e">
        <f t="shared" si="148"/>
        <v>#VALUE!</v>
      </c>
      <c r="Y220" s="67">
        <f t="shared" si="141"/>
        <v>2.3292000000000002</v>
      </c>
      <c r="Z220" s="67">
        <f t="shared" si="142"/>
        <v>8.6300000000000002E-2</v>
      </c>
      <c r="AA220" s="67">
        <f t="shared" si="143"/>
        <v>2.2429000000000001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144"/>
        <v>52-17</v>
      </c>
      <c r="AE220" s="91" t="str">
        <f t="shared" si="149"/>
        <v>aws s3 cp s3://rtdc.mdm.uploadarchive.raw/RTDC4021/ "%USERPROFILE%\AppData\Local\Temp\OnboardLogs"\RTDC4021\2016-10-17 --exclude "*" --recursive --include "*20161017*" &amp; "%USERPROFILE%\Documents\GitHub\mrs-test-scripts\Headless Mode &amp; Sideloading\WalkAndUnGZ.bat" "%USERPROFILE%\AppData\Local\Temp\OnboardLogs"\RTDC4021\2016-10-17 &amp; aws s3 cp s3://rtdc.mdm.uploadarchive.raw/RTDC4021/ "%USERPROFILE%\AppData\Local\Temp\OnboardLogs"\RTDC4021\2016-10-18 --exclude "*" --recursive --include "*20161018*" &amp; "%USERPROFILE%\Documents\GitHub\mrs-test-scripts\Headless Mode &amp; Sideloading\WalkAndUnGZ.bat" "%USERPROFILE%\AppData\Local\Temp\OnboardLogs"\RTDC4021\2016-10-18</v>
      </c>
      <c r="AF220" s="88" t="str">
        <f t="shared" si="150"/>
        <v>"C:\Program Files (x86)\AstroGrep\AstroGrep.exe" /spath="%USERPROFILE%\AppData\Local\Temp\OnboardLogs" /stypes="app*4021*20161017*" /stext=" 17:.+((SYSTEM_STATE.+slice.+state.+changed )|(ment ac)|(system.+state.+changed )|(\[timeout)|(PRM\|1\|D)|(kpr)|(kdp)|(\|lc)|(penalty))" /e /r /s</v>
      </c>
      <c r="AG220" s="1" t="str">
        <f t="shared" si="145"/>
        <v>Other</v>
      </c>
      <c r="AH220" s="92" t="str">
        <f t="shared" si="106"/>
        <v>"%USERPROFILE%\Documents\GitHub\eaglep3\Utilities\RefineRTDCRunTimes.py" --tripid 52-17 --locoid 4021 --swversion DE.1.0.7.0 --startMP 300:23292 --initTime 2016-10-17T11:00:35 --startdatetime 2016-10-17T11:02:11 --delay 1 --endMP 204:863 --enddatetime 2016-10-17T11:11:21 --enforcementcount 0 &gt;&gt;C:\Users\stu\Documents\GitHub\eaglep3-reporting\EC\2016-10-17-refined-times.txt</v>
      </c>
      <c r="AI220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{"issue":{"subject":"","project_id":79,"tracker_id":40,"status_id":1,"priority_id":2,"assigned_to_id":23,"start_date":"2016-10-17","description":"","custom_fields":[{"id":1,"name":"Subdivision","value":"Other"},{"id":4,"name":"Milepost","value":"0.0863"},{"id":17,"name":"Train ID","value":"52-17"},{"id":16,"name":"Locomotive ID","value":"4021"},{"id":130,"name":"Impact","value":""},{"id":150,"name":"Time of Event (Mountain Time)","value":"11:11:21"},{"id":151,"name":"Denver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7" t="s">
        <v>502</v>
      </c>
      <c r="B221" s="7">
        <v>4007</v>
      </c>
      <c r="C221" s="22" t="s">
        <v>99</v>
      </c>
      <c r="D221" s="22" t="s">
        <v>699</v>
      </c>
      <c r="E221" s="13">
        <v>42660.470289351855</v>
      </c>
      <c r="F221" s="13">
        <v>42660.472395833334</v>
      </c>
      <c r="G221" s="7">
        <v>2</v>
      </c>
      <c r="H221" s="13" t="s">
        <v>700</v>
      </c>
      <c r="I221" s="13">
        <v>42660.477106481485</v>
      </c>
      <c r="J221" s="7">
        <v>0</v>
      </c>
      <c r="K221" s="112" t="str">
        <f t="shared" si="134"/>
        <v>4007/4008</v>
      </c>
      <c r="L221" s="22" t="str">
        <f>VLOOKUP(A221,'Trips&amp;Operators'!$C$1:$E$10000,3,FALSE)</f>
        <v>GRASTON</v>
      </c>
      <c r="M221" s="6">
        <f t="shared" si="135"/>
        <v>4.7106481506489217E-3</v>
      </c>
      <c r="N221" s="7">
        <f t="shared" si="136"/>
        <v>6.7833333369344473</v>
      </c>
      <c r="O221" s="7"/>
      <c r="P221" s="7"/>
      <c r="Q221" s="23"/>
      <c r="R221" s="23"/>
      <c r="S221" s="35">
        <f t="shared" si="137"/>
        <v>0</v>
      </c>
      <c r="T221" s="50" t="e">
        <f t="shared" si="138"/>
        <v>#VALUE!</v>
      </c>
      <c r="U221" s="18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10:17:13-0600',mode:absolute,to:'2016-10-17 12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1" s="52" t="str">
        <f t="shared" si="140"/>
        <v>Y</v>
      </c>
      <c r="X221" s="178" t="e">
        <f t="shared" si="148"/>
        <v>#VALUE!</v>
      </c>
      <c r="Y221" s="67">
        <f t="shared" si="141"/>
        <v>3.6799999999999999E-2</v>
      </c>
      <c r="Z221" s="67">
        <f t="shared" si="142"/>
        <v>2.4239000000000002</v>
      </c>
      <c r="AA221" s="67">
        <f t="shared" si="143"/>
        <v>2.3871000000000002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144"/>
        <v>55-17</v>
      </c>
      <c r="AE221" s="91" t="str">
        <f t="shared" si="149"/>
        <v>aws s3 cp s3://rtdc.mdm.uploadarchive.raw/RTDC4007/ "%USERPROFILE%\AppData\Local\Temp\OnboardLogs"\RTDC4007\2016-10-17 --exclude "*" --recursive --include "*20161017*" &amp; "%USERPROFILE%\Documents\GitHub\mrs-test-scripts\Headless Mode &amp; Sideloading\WalkAndUnGZ.bat" "%USERPROFILE%\AppData\Local\Temp\OnboardLogs"\RTDC4007\2016-10-17 &amp; aws s3 cp s3://rtdc.mdm.uploadarchive.raw/RTDC4007/ "%USERPROFILE%\AppData\Local\Temp\OnboardLogs"\RTDC4007\2016-10-18 --exclude "*" --recursive --include "*20161018*" &amp; "%USERPROFILE%\Documents\GitHub\mrs-test-scripts\Headless Mode &amp; Sideloading\WalkAndUnGZ.bat" "%USERPROFILE%\AppData\Local\Temp\OnboardLogs"\RTDC4007\2016-10-18</v>
      </c>
      <c r="AF221" s="88" t="str">
        <f t="shared" si="150"/>
        <v>"C:\Program Files (x86)\AstroGrep\AstroGrep.exe" /spath="%USERPROFILE%\AppData\Local\Temp\OnboardLogs" /stypes="app*4007*20161017*" /stext=" 17:.+((SYSTEM_STATE.+slice.+state.+changed )|(ment ac)|(system.+state.+changed )|(\[timeout)|(PRM\|1\|D)|(kpr)|(kdp)|(\|lc)|(penalty))" /e /r /s</v>
      </c>
      <c r="AG221" s="1" t="str">
        <f t="shared" si="145"/>
        <v>Other</v>
      </c>
      <c r="AH221" s="92" t="str">
        <f t="shared" si="106"/>
        <v>"%USERPROFILE%\Documents\GitHub\eaglep3\Utilities\RefineRTDCRunTimes.py" --tripid 55-17 --locoid 4007 --swversion DE.1.0.7.0 --startMP 204:368 --initTime 2016-10-17T11:17:13 --startdatetime 2016-10-17T11:20:15 --delay 2 --endMP 300:24239 --enddatetime 2016-10-17T11:27:02 --enforcementcount 0 &gt;&gt;C:\Users\stu\Documents\GitHub\eaglep3-reporting\EC\2016-10-17-refined-times.txt</v>
      </c>
      <c r="AI221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{"issue":{"subject":"","project_id":79,"tracker_id":40,"status_id":1,"priority_id":2,"assigned_to_id":23,"start_date":"2016-10-17","description":"","custom_fields":[{"id":1,"name":"Subdivision","value":"Other"},{"id":4,"name":"Milepost","value":"2.4239"},{"id":17,"name":"Train ID","value":"55-17"},{"id":16,"name":"Locomotive ID","value":"4007"},{"id":130,"name":"Impact","value":""},{"id":150,"name":"Time of Event (Mountain Time)","value":"11:27:02"},{"id":151,"name":"Denver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s="21" customFormat="1" x14ac:dyDescent="0.25">
      <c r="A222" s="37" t="s">
        <v>564</v>
      </c>
      <c r="B222" s="7">
        <v>4021</v>
      </c>
      <c r="C222" s="22" t="s">
        <v>99</v>
      </c>
      <c r="D222" s="22" t="s">
        <v>701</v>
      </c>
      <c r="E222" s="13">
        <v>42660.714884259258</v>
      </c>
      <c r="F222" s="13">
        <v>42660.720185185186</v>
      </c>
      <c r="G222" s="7">
        <v>6</v>
      </c>
      <c r="H222" s="13" t="s">
        <v>702</v>
      </c>
      <c r="I222" s="13">
        <v>42660.726342592592</v>
      </c>
      <c r="J222" s="7">
        <v>0</v>
      </c>
      <c r="K222" s="112" t="str">
        <f t="shared" si="134"/>
        <v>4021/4022</v>
      </c>
      <c r="L222" s="22" t="str">
        <f>VLOOKUP(A222,'Trips&amp;Operators'!$C$1:$E$10000,3,FALSE)</f>
        <v>NEWELL</v>
      </c>
      <c r="M222" s="6">
        <f t="shared" si="135"/>
        <v>6.1574074061354622E-3</v>
      </c>
      <c r="N222" s="7">
        <f t="shared" si="136"/>
        <v>8.8666666648350656</v>
      </c>
      <c r="O222" s="7"/>
      <c r="P222" s="7"/>
      <c r="Q222" s="23"/>
      <c r="R222" s="23"/>
      <c r="S222" s="35">
        <f t="shared" si="137"/>
        <v>0</v>
      </c>
      <c r="T222" s="50" t="e">
        <f t="shared" si="138"/>
        <v>#VALUE!</v>
      </c>
      <c r="U222" s="18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16:09:26-0600',mode:absolute,to:'2016-10-17 18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2" s="52" t="str">
        <f t="shared" si="140"/>
        <v>Y</v>
      </c>
      <c r="X222" s="178" t="e">
        <f t="shared" si="148"/>
        <v>#VALUE!</v>
      </c>
      <c r="Y222" s="67">
        <f t="shared" si="141"/>
        <v>2.3109999999999999</v>
      </c>
      <c r="Z222" s="67">
        <f t="shared" si="142"/>
        <v>9.3899999999999997E-2</v>
      </c>
      <c r="AA222" s="67">
        <f t="shared" si="143"/>
        <v>2.2170999999999998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144"/>
        <v>56-17</v>
      </c>
      <c r="AE222" s="91" t="str">
        <f t="shared" si="149"/>
        <v>aws s3 cp s3://rtdc.mdm.uploadarchive.raw/RTDC4021/ "%USERPROFILE%\AppData\Local\Temp\OnboardLogs"\RTDC4021\2016-10-17 --exclude "*" --recursive --include "*20161017*" &amp; "%USERPROFILE%\Documents\GitHub\mrs-test-scripts\Headless Mode &amp; Sideloading\WalkAndUnGZ.bat" "%USERPROFILE%\AppData\Local\Temp\OnboardLogs"\RTDC4021\2016-10-17 &amp; aws s3 cp s3://rtdc.mdm.uploadarchive.raw/RTDC4021/ "%USERPROFILE%\AppData\Local\Temp\OnboardLogs"\RTDC4021\2016-10-18 --exclude "*" --recursive --include "*20161018*" &amp; "%USERPROFILE%\Documents\GitHub\mrs-test-scripts\Headless Mode &amp; Sideloading\WalkAndUnGZ.bat" "%USERPROFILE%\AppData\Local\Temp\OnboardLogs"\RTDC4021\2016-10-18</v>
      </c>
      <c r="AF222" s="88" t="str">
        <f t="shared" si="150"/>
        <v>"C:\Program Files (x86)\AstroGrep\AstroGrep.exe" /spath="%USERPROFILE%\AppData\Local\Temp\OnboardLogs" /stypes="app*4021*20161017*" /stext=" 23:.+((SYSTEM_STATE.+slice.+state.+changed )|(ment ac)|(system.+state.+changed )|(\[timeout)|(PRM\|1\|D)|(kpr)|(kdp)|(\|lc)|(penalty))" /e /r /s</v>
      </c>
      <c r="AG222" s="1" t="str">
        <f t="shared" si="145"/>
        <v>Other</v>
      </c>
      <c r="AH222" s="92" t="str">
        <f t="shared" si="106"/>
        <v>"%USERPROFILE%\Documents\GitHub\eaglep3\Utilities\RefineRTDCRunTimes.py" --tripid 56-17 --locoid 4021 --swversion DE.1.0.7.0 --startMP 300:23110 --initTime 2016-10-17T17:09:26 --startdatetime 2016-10-17T17:17:04 --delay 6 --endMP 204:939 --enddatetime 2016-10-17T17:25:56 --enforcementcount 0 &gt;&gt;C:\Users\stu\Documents\GitHub\eaglep3-reporting\EC\2016-10-17-refined-times.txt</v>
      </c>
      <c r="AI222" s="122" t="str">
        <f t="shared" si="107"/>
        <v>echo {"issue":{"subject":"","project_id":79,"tracker_id":40,"status_id":1,"priority_id":2,"assigned_to_id":23,"start_date":"2016-10-17","description":"","custom_fields":[{"id":1,"name":"Subdivision","value":"Other"},{"id":4,"name":"Milepost","value":"0.0939"},{"id":17,"name":"Train ID","value":"56-17"},{"id":16,"name":"Locomotive ID","value":"4021"},{"id":130,"name":"Impact","value":""},{"id":150,"name":"Time of Event (Mountain Time)","value":"17:25:56"},{"id":151,"name":"Denver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566</v>
      </c>
      <c r="B223" s="7">
        <v>4025</v>
      </c>
      <c r="C223" s="22" t="s">
        <v>99</v>
      </c>
      <c r="D223" s="22" t="s">
        <v>703</v>
      </c>
      <c r="E223" s="13">
        <v>42660.727800925924</v>
      </c>
      <c r="F223" s="13">
        <v>25568.708333333332</v>
      </c>
      <c r="G223" s="7">
        <v>1</v>
      </c>
      <c r="H223" s="13" t="s">
        <v>337</v>
      </c>
      <c r="I223" s="13">
        <v>25568.708333333332</v>
      </c>
      <c r="J223" s="7">
        <v>0</v>
      </c>
      <c r="K223" s="112" t="str">
        <f t="shared" si="134"/>
        <v>4025/4026</v>
      </c>
      <c r="L223" s="22" t="str">
        <f>VLOOKUP(A223,'Trips&amp;Operators'!$C$1:$E$10000,3,FALSE)</f>
        <v>CRAYTON</v>
      </c>
      <c r="M223" s="6">
        <f t="shared" si="135"/>
        <v>0</v>
      </c>
      <c r="N223" s="7">
        <f t="shared" si="136"/>
        <v>0</v>
      </c>
      <c r="O223" s="7"/>
      <c r="P223" s="7"/>
      <c r="Q223" s="23"/>
      <c r="R223" s="23"/>
      <c r="S223" s="35">
        <f t="shared" si="137"/>
        <v>0</v>
      </c>
      <c r="T223" s="50" t="e">
        <f t="shared" si="138"/>
        <v>#VALUE!</v>
      </c>
      <c r="U223" s="18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39"/>
        <v>https://search-rtdc-monitor-bjffxe2xuh6vdkpspy63sjmuny.us-east-1.es.amazonaws.com/_plugin/kibana/#/discover/Steve-Slow-Train-Analysis-(2080s-and-2083s)?_g=(refreshInterval:(display:Off,section:0,value:0),time:(from:'2016-10-17 16:28:02-0600',mode:absolute,to:'1969-12-31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3" s="52" t="str">
        <f t="shared" si="140"/>
        <v>Y</v>
      </c>
      <c r="X223" s="178" t="e">
        <f t="shared" si="148"/>
        <v>#VALUE!</v>
      </c>
      <c r="Y223" s="67">
        <f t="shared" si="141"/>
        <v>0.1479</v>
      </c>
      <c r="Z223" s="67">
        <f t="shared" si="142"/>
        <v>2.3306</v>
      </c>
      <c r="AA223" s="67">
        <f t="shared" si="143"/>
        <v>2.1827000000000001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144"/>
        <v>67-17</v>
      </c>
      <c r="AE223" s="91" t="str">
        <f t="shared" si="14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3" s="88" t="str">
        <f t="shared" si="150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23" s="1" t="str">
        <f t="shared" si="145"/>
        <v>Other</v>
      </c>
      <c r="AH223" s="92" t="str">
        <f t="shared" si="106"/>
        <v>"%USERPROFILE%\Documents\GitHub\eaglep3\Utilities\RefineRTDCRunTimes.py" --tripid 67-17 --locoid 4025 --swversion DE.1.0.7.0 --startMP 204:1479 --initTime 2016-10-17T17:28:02 --startdatetime 1969-12-31T17:00:00 --delay 1 --endMP 300:23306 --enddatetime 1969-12-31T17:00:00 --enforcementcount 0 &gt;&gt;C:\Users\stu\Documents\GitHub\eaglep3-reporting\EC\2016-10-17-refined-times.txt</v>
      </c>
      <c r="AI223" s="122" t="str">
        <f t="shared" si="10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ID","value":"67-17"},{"id":16,"name":"Locomotive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 s="172"/>
      <c r="V224"/>
      <c r="W224"/>
      <c r="X224" s="172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 s="172"/>
      <c r="V225"/>
      <c r="W225"/>
      <c r="X225" s="172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 s="172"/>
      <c r="V226"/>
      <c r="W226"/>
      <c r="X226" s="172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 s="172"/>
      <c r="V227"/>
      <c r="W227"/>
      <c r="X227" s="172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1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 s="172"/>
      <c r="V228"/>
      <c r="W228"/>
      <c r="X228" s="172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V229"/>
      <c r="W229"/>
      <c r="X229" s="172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V230"/>
      <c r="W230"/>
      <c r="X230" s="172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V231"/>
      <c r="W231"/>
      <c r="X231" s="172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V232"/>
      <c r="W232"/>
      <c r="X232" s="17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V233"/>
      <c r="W233"/>
      <c r="X233" s="172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/>
      <c r="W234"/>
      <c r="X234" s="172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/>
      <c r="W235"/>
      <c r="X235" s="172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/>
      <c r="W236"/>
      <c r="X236" s="172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/>
      <c r="W237"/>
      <c r="X237" s="172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/>
      <c r="W238"/>
      <c r="X238" s="172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/>
      <c r="W239"/>
      <c r="X239" s="172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/>
      <c r="W240"/>
      <c r="X240" s="172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/>
      <c r="W241"/>
      <c r="X241" s="172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/>
      <c r="W242"/>
      <c r="X242" s="17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/>
      <c r="W243"/>
      <c r="X243" s="172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/>
      <c r="W244"/>
      <c r="X244" s="172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/>
      <c r="W245"/>
      <c r="X245" s="172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/>
      <c r="W246"/>
      <c r="X246" s="172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/>
      <c r="W247"/>
      <c r="X247" s="172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/>
      <c r="W248"/>
      <c r="X248" s="172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/>
      <c r="W249"/>
      <c r="X249" s="172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/>
      <c r="W250"/>
      <c r="X250" s="172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/>
      <c r="W251"/>
      <c r="X251" s="172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/>
      <c r="W252"/>
      <c r="X252" s="17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/>
      <c r="W253"/>
      <c r="X253" s="172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/>
      <c r="W254"/>
      <c r="X254" s="172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/>
      <c r="W255"/>
      <c r="X255" s="172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/>
      <c r="W256"/>
      <c r="X256" s="172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/>
      <c r="W257"/>
      <c r="X257" s="172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/>
      <c r="W258"/>
      <c r="X258" s="172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/>
      <c r="W259"/>
      <c r="X259" s="172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/>
      <c r="W260"/>
      <c r="X260" s="172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/>
      <c r="W261"/>
      <c r="X261" s="172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/>
      <c r="W262"/>
      <c r="X262" s="17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V263"/>
      <c r="W263"/>
      <c r="X263" s="172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V264"/>
      <c r="W264"/>
      <c r="X264" s="172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V265"/>
      <c r="W265"/>
      <c r="X265" s="172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V266"/>
      <c r="W266"/>
      <c r="X266" s="172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V267"/>
      <c r="W267"/>
      <c r="X267" s="172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V268"/>
      <c r="W268"/>
      <c r="X268" s="172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V269"/>
      <c r="W269"/>
      <c r="X269" s="172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V270"/>
      <c r="W270"/>
      <c r="X270" s="172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V271"/>
      <c r="W271"/>
      <c r="X271" s="172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V272"/>
      <c r="W272"/>
      <c r="X272" s="1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V273"/>
      <c r="W273"/>
      <c r="X273" s="172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V274"/>
      <c r="W274"/>
      <c r="X274" s="172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V275"/>
      <c r="W275"/>
      <c r="X275" s="172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V276"/>
      <c r="W276"/>
      <c r="X276" s="172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V277"/>
      <c r="W277"/>
      <c r="X277" s="172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V278"/>
      <c r="W278"/>
      <c r="X278" s="172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V279"/>
      <c r="W279"/>
      <c r="X279" s="172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V280"/>
      <c r="W280"/>
      <c r="X280" s="172"/>
      <c r="Y280"/>
      <c r="Z280"/>
      <c r="AA280"/>
      <c r="AB280"/>
      <c r="AC280"/>
      <c r="AD280"/>
      <c r="AE280"/>
      <c r="AF280"/>
      <c r="AH280"/>
      <c r="AI280"/>
    </row>
    <row r="281" spans="1:3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S281"/>
      <c r="V281"/>
      <c r="W281"/>
      <c r="X281" s="172"/>
      <c r="Y281"/>
      <c r="Z281"/>
      <c r="AA281"/>
      <c r="AB281"/>
      <c r="AC281"/>
      <c r="AD281"/>
      <c r="AE281"/>
      <c r="AF281"/>
      <c r="AH281"/>
      <c r="AI281"/>
    </row>
  </sheetData>
  <autoFilter ref="A12:AG281">
    <sortState ref="A13:AG257">
      <sortCondition ref="AG13:AG199"/>
      <sortCondition ref="AD13:AD199"/>
    </sortState>
  </autoFilter>
  <sortState ref="A13:AH200">
    <sortCondition ref="AG13:AG200"/>
    <sortCondition ref="AD13:AD200"/>
  </sortState>
  <mergeCells count="1">
    <mergeCell ref="A11:P11"/>
  </mergeCells>
  <conditionalFormatting sqref="W11:W12 W282:X1048576 W13:X223">
    <cfRule type="cellIs" dxfId="10" priority="344" operator="equal">
      <formula>"Y"</formula>
    </cfRule>
  </conditionalFormatting>
  <conditionalFormatting sqref="X282:X1048576 X13:X223">
    <cfRule type="cellIs" dxfId="9" priority="327" operator="greaterThan">
      <formula>1</formula>
    </cfRule>
  </conditionalFormatting>
  <conditionalFormatting sqref="X282:X1048576 X12:X223">
    <cfRule type="cellIs" dxfId="8" priority="324" operator="equal">
      <formula>0</formula>
    </cfRule>
  </conditionalFormatting>
  <conditionalFormatting sqref="A13:S22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Values'!$C$2:$C$14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5" workbookViewId="0">
      <selection activeCell="L26" sqref="L2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3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5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39"/>
      <c r="P1" s="139"/>
      <c r="R1" s="89"/>
      <c r="S1" s="101"/>
      <c r="T1" s="86"/>
      <c r="V1" s="48"/>
      <c r="AC1" s="145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5" t="s">
        <v>80</v>
      </c>
      <c r="M2" s="134"/>
      <c r="N2" s="156"/>
      <c r="O2" s="141">
        <f>COUNTIF($O$7:$O$369,"=Y")</f>
        <v>2</v>
      </c>
      <c r="P2" s="136"/>
      <c r="R2" s="89"/>
      <c r="S2" s="101"/>
      <c r="T2" s="86"/>
      <c r="V2" s="48"/>
      <c r="AC2" s="146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7" t="s">
        <v>81</v>
      </c>
      <c r="M3" s="135"/>
      <c r="N3" s="158"/>
      <c r="O3" s="142">
        <f>COUNTA($O$7:$O$369)-O2</f>
        <v>31</v>
      </c>
      <c r="P3" s="136"/>
      <c r="R3" s="89"/>
      <c r="S3" s="101"/>
      <c r="T3" s="86"/>
      <c r="V3" s="48"/>
      <c r="AC3" s="146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39"/>
      <c r="P4" s="139"/>
      <c r="R4" s="89"/>
      <c r="S4" s="101"/>
      <c r="T4" s="86"/>
      <c r="V4" s="48"/>
      <c r="AC4" s="146"/>
    </row>
    <row r="5" spans="1:29" s="10" customFormat="1" ht="15" customHeight="1" x14ac:dyDescent="0.25">
      <c r="A5" s="186" t="str">
        <f>"Eagle P3 Braking Events - "&amp;TEXT(Variables!$A$2,"YYYY-mm-dd")</f>
        <v>Eagle P3 Braking Events - 2016-10-17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9"/>
      <c r="R5" s="99"/>
      <c r="S5" s="102"/>
      <c r="T5" s="104"/>
      <c r="V5" s="49"/>
      <c r="AC5" s="14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3" t="s">
        <v>35</v>
      </c>
      <c r="E6" s="143" t="s">
        <v>34</v>
      </c>
      <c r="F6" s="143" t="s">
        <v>33</v>
      </c>
      <c r="G6" s="143" t="s">
        <v>32</v>
      </c>
      <c r="H6" s="143" t="s">
        <v>31</v>
      </c>
      <c r="I6" s="143" t="s">
        <v>159</v>
      </c>
      <c r="J6" s="143" t="s">
        <v>30</v>
      </c>
      <c r="K6" s="143" t="s">
        <v>29</v>
      </c>
      <c r="L6" s="143" t="s">
        <v>28</v>
      </c>
      <c r="M6" s="125" t="s">
        <v>160</v>
      </c>
      <c r="N6" s="160" t="s">
        <v>47</v>
      </c>
      <c r="O6" s="143" t="s">
        <v>27</v>
      </c>
      <c r="P6" s="14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8" t="s">
        <v>181</v>
      </c>
    </row>
    <row r="7" spans="1:29" s="1" customFormat="1" x14ac:dyDescent="0.25">
      <c r="A7" s="36">
        <v>42660.45621527778</v>
      </c>
      <c r="B7" s="31" t="s">
        <v>393</v>
      </c>
      <c r="C7" s="31" t="s">
        <v>411</v>
      </c>
      <c r="D7" s="31" t="s">
        <v>49</v>
      </c>
      <c r="E7" s="31" t="s">
        <v>155</v>
      </c>
      <c r="F7" s="47">
        <v>0</v>
      </c>
      <c r="G7" s="47">
        <v>103</v>
      </c>
      <c r="H7" s="47">
        <v>42032</v>
      </c>
      <c r="I7" s="47">
        <v>42158</v>
      </c>
      <c r="J7" s="31" t="s">
        <v>154</v>
      </c>
      <c r="K7" s="47">
        <v>42779</v>
      </c>
      <c r="L7" s="162" t="s">
        <v>50</v>
      </c>
      <c r="M7" s="163">
        <f t="shared" ref="M7:M39" si="0">CONVERT((I7-K7)/10000,"mi","ft")*IF(L7="Increasing Mileposts (1)",-1,1)</f>
        <v>327.88799999999998</v>
      </c>
      <c r="N7" s="164" t="str">
        <f>VLOOKUP(C7,'Trips&amp;Operators'!$C$1:$E$99999,3,FALSE)</f>
        <v>MALAVE</v>
      </c>
      <c r="O7" s="144" t="s">
        <v>265</v>
      </c>
      <c r="P7" s="165" t="s">
        <v>783</v>
      </c>
      <c r="Q7" s="31"/>
      <c r="R7" s="100" t="str">
        <f>VLOOKUP(C7,'Train Runs'!$A$13:$AE$10025,31,0)</f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S7" s="103" t="str">
        <f>VLOOKUP(C7,'Train Runs'!$A$13:$AE$10025,22,0)</f>
        <v>https://search-rtdc-monitor-bjffxe2xuh6vdkpspy63sjmuny.us-east-1.es.amazonaws.com/_plugin/kibana/#/discover/Steve-Slow-Train-Analysis-(2080s-and-2083s)?_g=(refreshInterval:(display:Off,section:0,value:0),time:(from:'2016-10-17 09:42:45-0600',mode:absolute,to:'2016-10-17 12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7" s="105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/stypes="*4038*201610171*" /stext=" 16:.+((SYSTEM_STATE.+slice.+state.+changed )|(ment ac)|(system.+state.+changed )|(\[timeout)|(PRM\|1\|D)|(kpr)|(kdp)|(\|lc)|(penalty))" /e /r /s</v>
      </c>
      <c r="U7" s="9" t="str">
        <f t="shared" ref="U7:U39" si="2">MID(B7,13,4)</f>
        <v>4038</v>
      </c>
      <c r="V7" s="36">
        <f t="shared" ref="V7:V39" si="3">A7+6/24</f>
        <v>42660.70621527778</v>
      </c>
      <c r="W7" s="50" t="str">
        <f t="shared" ref="W7:W39" si="4">IF(VALUE(LEFT(IF(LEN(C7)=6,"0"&amp;C7,C7),2))&lt;=2,"EC",IF(OR(VALUE(LEFT(IF(LEN(C7)=6,"0"&amp;C7,C7),2))=8,VALUE(LEFT(IF(LEN(C7)=6,"0"&amp;C7,C7),2))=18),"NW","Other"))</f>
        <v>EC</v>
      </c>
      <c r="X7" s="50" t="str">
        <f t="shared" ref="X7:X39" si="5">IF(AND(E7="TRACK WARRANT AUTHORITY",G7&lt;10),"OMIT","KEEP")</f>
        <v>KEEP</v>
      </c>
      <c r="Y7" s="122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C","project_id":79,"tracker_id":40,"status_id":1,"priority_id":2,"assigned_to_id":23,"start_date":"2016-10-17","description":"","custom_fields":[{"id":1,"name":"Subdivision","value":"EC"},{"id":4,"name":"Milepost","value":"4.2779"},{"id":17,"name":"Train ID","value":"157-17"},{"id":16,"name":"Locomotive ID","value":"4038"},{"id":130,"name":"Impact","value":""},{"id":150,"name":"Time of Event (Mountain Time)","value":"10:56:57"},{"id":151,"name":"Denver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5" t="str">
        <f t="shared" ref="AC7:AC3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"%USERPROFILE%\AppData\Local\Temp\OnboardLogs"\RTDC4038\*4038*201610171* | grep -SE "((Enforcement Ac)|(PRM))" -</v>
      </c>
    </row>
    <row r="8" spans="1:29" s="1" customFormat="1" x14ac:dyDescent="0.25">
      <c r="A8" s="36">
        <v>42660.289583333331</v>
      </c>
      <c r="B8" s="31" t="s">
        <v>401</v>
      </c>
      <c r="C8" s="31" t="s">
        <v>402</v>
      </c>
      <c r="D8" s="31" t="s">
        <v>189</v>
      </c>
      <c r="E8" s="31" t="s">
        <v>155</v>
      </c>
      <c r="F8" s="47">
        <v>0</v>
      </c>
      <c r="G8" s="47">
        <v>170</v>
      </c>
      <c r="H8" s="47">
        <v>63208</v>
      </c>
      <c r="I8" s="47">
        <v>63082</v>
      </c>
      <c r="J8" s="31" t="s">
        <v>154</v>
      </c>
      <c r="K8" s="47">
        <v>63309</v>
      </c>
      <c r="L8" s="162" t="s">
        <v>51</v>
      </c>
      <c r="M8" s="163">
        <f t="shared" si="0"/>
        <v>-119.85599999999999</v>
      </c>
      <c r="N8" s="164" t="str">
        <f>VLOOKUP(C8,'Trips&amp;Operators'!$C$1:$E$99999,3,FALSE)</f>
        <v>MALAVE</v>
      </c>
      <c r="O8" s="144" t="s">
        <v>265</v>
      </c>
      <c r="P8" s="165" t="s">
        <v>389</v>
      </c>
      <c r="Q8" s="31"/>
      <c r="R8" s="100" t="str">
        <f>VLOOKUP(C8,'Train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8" s="103" t="str">
        <f>VLOOKUP(C8,'Train Runs'!$A$13:$AE$10025,22,0)</f>
        <v>https://search-rtdc-monitor-bjffxe2xuh6vdkpspy63sjmuny.us-east-1.es.amazonaws.com/_plugin/kibana/#/discover/Steve-Slow-Train-Analysis-(2080s-and-2083s)?_g=(refreshInterval:(display:Off,section:0,value:0),time:(from:'2016-10-17 05:23:45-0600',mode:absolute,to:'2016-10-17 08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5" t="str">
        <f t="shared" si="1"/>
        <v>"C:\Program Files (x86)\AstroGrep\AstroGrep.exe" /spath="%USERPROFILE%\AppData\Local\Temp\OnboardLogs" /stypes="*4037*201610171*" /stext=" 12:.+((SYSTEM_STATE.+slice.+state.+changed )|(ment ac)|(system.+state.+changed )|(\[timeout)|(PRM\|1\|D)|(kpr)|(kdp)|(\|lc)|(penalty))" /e /r /s</v>
      </c>
      <c r="U8" s="9" t="str">
        <f t="shared" si="2"/>
        <v>4037</v>
      </c>
      <c r="V8" s="36">
        <f t="shared" si="3"/>
        <v>42660.539583333331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arrival","project_id":79,"tracker_id":40,"status_id":1,"priority_id":2,"assigned_to_id":23,"start_date":"2016-10-17","description":"","custom_fields":[{"id":1,"name":"Subdivision","value":"EC"},{"id":4,"name":"Milepost","value":"6.3309"},{"id":17,"name":"Train ID","value":"116-17"},{"id":16,"name":"Locomotive ID","value":"4037"},{"id":130,"name":"Impact","value":""},{"id":150,"name":"Time of Event (Mountain Time)","value":"06:57:00"},{"id":151,"name":"Denver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5" t="str">
        <f t="shared" si="7"/>
        <v>grep -hSE -A100 "Enforcement Action" "%USERPROFILE%\AppData\Local\Temp\OnboardLogs"\RTDC4037\*4037*201610171* | grep -SE "((Enforcement Ac)|(PRM))" -</v>
      </c>
    </row>
    <row r="9" spans="1:29" s="1" customFormat="1" x14ac:dyDescent="0.25">
      <c r="A9" s="36">
        <v>42660.55667824074</v>
      </c>
      <c r="B9" s="31" t="s">
        <v>340</v>
      </c>
      <c r="C9" s="31" t="s">
        <v>415</v>
      </c>
      <c r="D9" s="31" t="s">
        <v>49</v>
      </c>
      <c r="E9" s="31" t="s">
        <v>155</v>
      </c>
      <c r="F9" s="47">
        <v>100</v>
      </c>
      <c r="G9" s="47">
        <v>168</v>
      </c>
      <c r="H9" s="47">
        <v>63816</v>
      </c>
      <c r="I9" s="47">
        <v>63573</v>
      </c>
      <c r="J9" s="31" t="s">
        <v>154</v>
      </c>
      <c r="K9" s="47">
        <v>63309</v>
      </c>
      <c r="L9" s="162" t="s">
        <v>51</v>
      </c>
      <c r="M9" s="163">
        <f t="shared" si="0"/>
        <v>139.392</v>
      </c>
      <c r="N9" s="164" t="str">
        <f>VLOOKUP(C9,'Trips&amp;Operators'!$C$1:$E$99999,3,FALSE)</f>
        <v>BRANDNER</v>
      </c>
      <c r="O9" s="144" t="s">
        <v>265</v>
      </c>
      <c r="P9" s="165" t="s">
        <v>389</v>
      </c>
      <c r="Q9" s="31"/>
      <c r="R9" s="100" t="str">
        <f>VLOOKUP(C9,'Train Runs'!$A$13:$AE$10025,31,0)</f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S9" s="103" t="str">
        <f>VLOOKUP(C9,'Train Runs'!$A$13:$AE$10025,22,0)</f>
        <v>https://search-rtdc-monitor-bjffxe2xuh6vdkpspy63sjmuny.us-east-1.es.amazonaws.com/_plugin/kibana/#/discover/Steve-Slow-Train-Analysis-(2080s-and-2083s)?_g=(refreshInterval:(display:Off,section:0,value:0),time:(from:'2016-10-17 11:55:38-0600',mode:absolute,to:'2016-10-17 14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5" t="str">
        <f t="shared" si="1"/>
        <v>"C:\Program Files (x86)\AstroGrep\AstroGrep.exe" /spath="%USERPROFILE%\AppData\Local\Temp\OnboardLogs" /stypes="*4026*201610171*" /stext=" 19:.+((SYSTEM_STATE.+slice.+state.+changed )|(ment ac)|(system.+state.+changed )|(\[timeout)|(PRM\|1\|D)|(kpr)|(kdp)|(\|lc)|(penalty))" /e /r /s</v>
      </c>
      <c r="U9" s="9" t="str">
        <f t="shared" si="2"/>
        <v>4026</v>
      </c>
      <c r="V9" s="36">
        <f t="shared" si="3"/>
        <v>42660.80667824074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arrival","project_id":79,"tracker_id":40,"status_id":1,"priority_id":2,"assigned_to_id":23,"start_date":"2016-10-17","description":"","custom_fields":[{"id":1,"name":"Subdivision","value":"EC"},{"id":4,"name":"Milepost","value":"6.3309"},{"id":17,"name":"Train ID","value":"168-17"},{"id":16,"name":"Locomotive ID","value":"4026"},{"id":130,"name":"Impact","value":""},{"id":150,"name":"Time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5" t="str">
        <f t="shared" si="7"/>
        <v>grep -hSE -A100 "Enforcement Action" "%USERPROFILE%\AppData\Local\Temp\OnboardLogs"\RTDC4026\*4026*201610171* | grep -SE "((Enforcement Ac)|(PRM))" -</v>
      </c>
    </row>
    <row r="10" spans="1:29" s="1" customFormat="1" x14ac:dyDescent="0.25">
      <c r="A10" s="36">
        <v>42660.650891203702</v>
      </c>
      <c r="B10" s="31" t="s">
        <v>401</v>
      </c>
      <c r="C10" s="31" t="s">
        <v>419</v>
      </c>
      <c r="D10" s="31" t="s">
        <v>49</v>
      </c>
      <c r="E10" s="31" t="s">
        <v>155</v>
      </c>
      <c r="F10" s="47">
        <v>0</v>
      </c>
      <c r="G10" s="47">
        <v>211</v>
      </c>
      <c r="H10" s="47">
        <v>79297</v>
      </c>
      <c r="I10" s="47">
        <v>78985</v>
      </c>
      <c r="J10" s="31" t="s">
        <v>154</v>
      </c>
      <c r="K10" s="47">
        <v>78469</v>
      </c>
      <c r="L10" s="162" t="s">
        <v>51</v>
      </c>
      <c r="M10" s="163">
        <f t="shared" si="0"/>
        <v>272.44799999999998</v>
      </c>
      <c r="N10" s="164" t="str">
        <f>VLOOKUP(C10,'Trips&amp;Operators'!$C$1:$E$99999,3,FALSE)</f>
        <v>SHOOK</v>
      </c>
      <c r="O10" s="144" t="s">
        <v>265</v>
      </c>
      <c r="P10" s="165" t="s">
        <v>783</v>
      </c>
      <c r="Q10" s="31"/>
      <c r="R10" s="100" t="str">
        <f>VLOOKUP(C10,'Train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10" s="103" t="str">
        <f>VLOOKUP(C10,'Train Runs'!$A$13:$AE$10025,22,0)</f>
        <v>https://search-rtdc-monitor-bjffxe2xuh6vdkpspy63sjmuny.us-east-1.es.amazonaws.com/_plugin/kibana/#/discover/Steve-Slow-Train-Analysis-(2080s-and-2083s)?_g=(refreshInterval:(display:Off,section:0,value:0),time:(from:'2016-10-17 14:07:28-0600',mode:absolute,to:'2016-10-17 17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0" s="105" t="str">
        <f t="shared" si="1"/>
        <v>"C:\Program Files (x86)\AstroGrep\AstroGrep.exe" /spath="%USERPROFILE%\AppData\Local\Temp\OnboardLogs" /stypes="*4037*201610172*" /stext=" 21:.+((SYSTEM_STATE.+slice.+state.+changed )|(ment ac)|(system.+state.+changed )|(\[timeout)|(PRM\|1\|D)|(kpr)|(kdp)|(\|lc)|(penalty))" /e /r /s</v>
      </c>
      <c r="U10" s="9" t="str">
        <f t="shared" si="2"/>
        <v>4037</v>
      </c>
      <c r="V10" s="36">
        <f t="shared" si="3"/>
        <v>42660.900891203702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{"issue":{"subject":"Form C","project_id":79,"tracker_id":40,"status_id":1,"priority_id":2,"assigned_to_id":23,"start_date":"2016-10-17","description":"","custom_fields":[{"id":1,"name":"Subdivision","value":"EC"},{"id":4,"name":"Milepost","value":"7.8469"},{"id":17,"name":"Train ID","value":"186-17"},{"id":16,"name":"Locomotive ID","value":"4037"},{"id":130,"name":"Impact","value":""},{"id":150,"name":"Time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5" t="str">
        <f t="shared" si="7"/>
        <v>grep -hSE -A100 "Enforcement Action" "%USERPROFILE%\AppData\Local\Temp\OnboardLogs"\RTDC4037\*4037*201610172* | grep -SE "((Enforcement Ac)|(PRM))" -</v>
      </c>
    </row>
    <row r="11" spans="1:29" s="1" customFormat="1" x14ac:dyDescent="0.25">
      <c r="A11" s="36">
        <v>42660.515034722222</v>
      </c>
      <c r="B11" s="31" t="s">
        <v>221</v>
      </c>
      <c r="C11" s="31" t="s">
        <v>413</v>
      </c>
      <c r="D11" s="31" t="s">
        <v>49</v>
      </c>
      <c r="E11" s="31" t="s">
        <v>155</v>
      </c>
      <c r="F11" s="47">
        <v>350</v>
      </c>
      <c r="G11" s="47">
        <v>403</v>
      </c>
      <c r="H11" s="47">
        <v>78559</v>
      </c>
      <c r="I11" s="47">
        <v>77741</v>
      </c>
      <c r="J11" s="31" t="s">
        <v>154</v>
      </c>
      <c r="K11" s="47">
        <v>78469</v>
      </c>
      <c r="L11" s="162" t="s">
        <v>51</v>
      </c>
      <c r="M11" s="163">
        <f t="shared" si="0"/>
        <v>-384.38400000000001</v>
      </c>
      <c r="N11" s="164" t="str">
        <f>VLOOKUP(C11,'Trips&amp;Operators'!$C$1:$E$99999,3,FALSE)</f>
        <v>STEWART</v>
      </c>
      <c r="O11" s="144" t="s">
        <v>265</v>
      </c>
      <c r="P11" s="165" t="s">
        <v>389</v>
      </c>
      <c r="Q11" s="31"/>
      <c r="R11" s="100" t="str">
        <f>VLOOKUP(C11,'Train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11" s="103" t="str">
        <f>VLOOKUP(C11,'Train Runs'!$A$13:$AE$10025,22,0)</f>
        <v>https://search-rtdc-monitor-bjffxe2xuh6vdkpspy63sjmuny.us-east-1.es.amazonaws.com/_plugin/kibana/#/discover/Steve-Slow-Train-Analysis-(2080s-and-2083s)?_g=(refreshInterval:(display:Off,section:0,value:0),time:(from:'2016-10-17 10:52:04-0600',mode:absolute,to:'2016-10-17 13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/stypes="*4032*201610171*" /stext=" 18:.+((SYSTEM_STATE.+slice.+state.+changed )|(ment ac)|(system.+state.+changed )|(\[timeout)|(PRM\|1\|D)|(kpr)|(kdp)|(\|lc)|(penalty))" /e /r /s</v>
      </c>
      <c r="U11" s="9" t="str">
        <f t="shared" si="2"/>
        <v>4032</v>
      </c>
      <c r="V11" s="36">
        <f t="shared" si="3"/>
        <v>42660.765034722222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arrival","project_id":79,"tracker_id":40,"status_id":1,"priority_id":2,"assigned_to_id":23,"start_date":"2016-10-17","description":"","custom_fields":[{"id":1,"name":"Subdivision","value":"EC"},{"id":4,"name":"Milepost","value":"7.8469"},{"id":17,"name":"Train ID","value":"160-17"},{"id":16,"name":"Locomotive ID","value":"4032"},{"id":130,"name":"Impact","value":""},{"id":150,"name":"Time of Event (Mountain Time)","value":"12:21:39"},{"id":151,"name":"Denver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5" t="str">
        <f t="shared" si="7"/>
        <v>grep -hSE -A100 "Enforcement Action" "%USERPROFILE%\AppData\Local\Temp\OnboardLogs"\RTDC4032\*4032*201610171* | grep -SE "((Enforcement Ac)|(PRM))" -</v>
      </c>
    </row>
    <row r="12" spans="1:29" s="1" customFormat="1" x14ac:dyDescent="0.25">
      <c r="A12" s="36">
        <v>42660.376967592594</v>
      </c>
      <c r="B12" s="31" t="s">
        <v>221</v>
      </c>
      <c r="C12" s="31" t="s">
        <v>407</v>
      </c>
      <c r="D12" s="31" t="s">
        <v>49</v>
      </c>
      <c r="E12" s="31" t="s">
        <v>266</v>
      </c>
      <c r="F12" s="47">
        <v>200</v>
      </c>
      <c r="G12" s="47">
        <v>285</v>
      </c>
      <c r="H12" s="47">
        <v>6150</v>
      </c>
      <c r="I12" s="47">
        <v>5678</v>
      </c>
      <c r="J12" s="31" t="s">
        <v>267</v>
      </c>
      <c r="K12" s="47">
        <v>5439</v>
      </c>
      <c r="L12" s="162" t="s">
        <v>51</v>
      </c>
      <c r="M12" s="163">
        <f t="shared" si="0"/>
        <v>126.19199999999999</v>
      </c>
      <c r="N12" s="164" t="str">
        <f>VLOOKUP(C12,'Trips&amp;Operators'!$C$1:$E$99999,3,FALSE)</f>
        <v>ACKERMAN</v>
      </c>
      <c r="O12" s="144" t="s">
        <v>265</v>
      </c>
      <c r="P12" s="165"/>
      <c r="Q12" s="31"/>
      <c r="R12" s="100" t="str">
        <f>VLOOKUP(C12,'Train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12" s="103" t="str">
        <f>VLOOKUP(C12,'Train Runs'!$A$13:$AE$10025,22,0)</f>
        <v>https://search-rtdc-monitor-bjffxe2xuh6vdkpspy63sjmuny.us-east-1.es.amazonaws.com/_plugin/kibana/#/discover/Steve-Slow-Train-Analysis-(2080s-and-2083s)?_g=(refreshInterval:(display:Off,section:0,value:0),time:(from:'2016-10-17 07:11:01-0600',mode:absolute,to:'2016-10-17 10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/stypes="*4032*201610171*" /stext=" 15:.+((SYSTEM_STATE.+slice.+state.+changed )|(ment ac)|(system.+state.+changed )|(\[timeout)|(PRM\|1\|D)|(kpr)|(kdp)|(\|lc)|(penalty))" /e /r /s</v>
      </c>
      <c r="U12" s="9" t="str">
        <f t="shared" si="2"/>
        <v>4032</v>
      </c>
      <c r="V12" s="36">
        <f t="shared" si="3"/>
        <v>42660.626967592594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{"issue":{"subject":"","project_id":79,"tracker_id":40,"status_id":1,"priority_id":2,"assigned_to_id":23,"start_date":"2016-10-17","description":"","custom_fields":[{"id":1,"name":"Subdivision","value":"EC"},{"id":4,"name":"Milepost","value":"0.5439"},{"id":17,"name":"Train ID","value":"132-17"},{"id":16,"name":"Locomotive ID","value":"4032"},{"id":130,"name":"Impact","value":""},{"id":150,"name":"Time of Event (Mountain Time)","value":"09:02:50"},{"id":151,"name":"Denver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5" t="str">
        <f t="shared" si="7"/>
        <v>grep -hSE -A100 "Enforcement Action" "%USERPROFILE%\AppData\Local\Temp\OnboardLogs"\RTDC4032\*4032*201610171* | grep -SE "((Enforcement Ac)|(PRM))" -</v>
      </c>
    </row>
    <row r="13" spans="1:29" s="1" customFormat="1" x14ac:dyDescent="0.25">
      <c r="A13" s="36">
        <v>42660.557604166665</v>
      </c>
      <c r="B13" s="31" t="s">
        <v>300</v>
      </c>
      <c r="C13" s="31" t="s">
        <v>416</v>
      </c>
      <c r="D13" s="31" t="s">
        <v>49</v>
      </c>
      <c r="E13" s="31" t="s">
        <v>266</v>
      </c>
      <c r="F13" s="47">
        <v>200</v>
      </c>
      <c r="G13" s="47">
        <v>321</v>
      </c>
      <c r="H13" s="47">
        <v>26427</v>
      </c>
      <c r="I13" s="47">
        <v>27150</v>
      </c>
      <c r="J13" s="31" t="s">
        <v>267</v>
      </c>
      <c r="K13" s="47">
        <v>27333</v>
      </c>
      <c r="L13" s="162" t="s">
        <v>50</v>
      </c>
      <c r="M13" s="163">
        <f t="shared" si="0"/>
        <v>96.623999999999995</v>
      </c>
      <c r="N13" s="164" t="str">
        <f>VLOOKUP(C13,'Trips&amp;Operators'!$C$1:$E$99999,3,FALSE)</f>
        <v>BONDS</v>
      </c>
      <c r="O13" s="144" t="s">
        <v>265</v>
      </c>
      <c r="P13" s="165"/>
      <c r="Q13" s="31"/>
      <c r="R13" s="100" t="str">
        <f>VLOOKUP(C13,'Train Runs'!$A$13:$AE$10025,31,0)</f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S13" s="103" t="str">
        <f>VLOOKUP(C13,'Train Runs'!$A$13:$AE$10025,22,0)</f>
        <v>https://search-rtdc-monitor-bjffxe2xuh6vdkpspy63sjmuny.us-east-1.es.amazonaws.com/_plugin/kibana/#/discover/Steve-Slow-Train-Analysis-(2080s-and-2083s)?_g=(refreshInterval:(display:Off,section:0,value:0),time:(from:'2016-10-17 12:09:44-0600',mode:absolute,to:'2016-10-17 14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3" s="105" t="str">
        <f t="shared" si="1"/>
        <v>"C:\Program Files (x86)\AstroGrep\AstroGrep.exe" /spath="%USERPROFILE%\AppData\Local\Temp\OnboardLogs" /stypes="*4011*201610171*" /stext=" 19:.+((SYSTEM_STATE.+slice.+state.+changed )|(ment ac)|(system.+state.+changed )|(\[timeout)|(PRM\|1\|D)|(kpr)|(kdp)|(\|lc)|(penalty))" /e /r /s</v>
      </c>
      <c r="U13" s="9" t="str">
        <f t="shared" si="2"/>
        <v>4011</v>
      </c>
      <c r="V13" s="36">
        <f t="shared" si="3"/>
        <v>42660.807604166665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{"issue":{"subject":"","project_id":79,"tracker_id":40,"status_id":1,"priority_id":2,"assigned_to_id":23,"start_date":"2016-10-17","description":"","custom_fields":[{"id":1,"name":"Subdivision","value":"EC"},{"id":4,"name":"Milepost","value":"2.7333"},{"id":17,"name":"Train ID","value":"177-17"},{"id":16,"name":"Locomotive ID","value":"4011"},{"id":130,"name":"Impact","value":""},{"id":150,"name":"Time of Event (Mountain Time)","value":"13:22:57"},{"id":151,"name":"Denver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5" t="str">
        <f t="shared" si="7"/>
        <v>grep -hSE -A100 "Enforcement Action" "%USERPROFILE%\AppData\Local\Temp\OnboardLogs"\RTDC4011\*4011*201610171* | grep -SE "((Enforcement Ac)|(PRM))" -</v>
      </c>
    </row>
    <row r="14" spans="1:29" s="1" customFormat="1" x14ac:dyDescent="0.25">
      <c r="A14" s="36">
        <v>42660.357164351852</v>
      </c>
      <c r="B14" s="31" t="s">
        <v>300</v>
      </c>
      <c r="C14" s="31" t="s">
        <v>406</v>
      </c>
      <c r="D14" s="31" t="s">
        <v>49</v>
      </c>
      <c r="E14" s="31" t="s">
        <v>266</v>
      </c>
      <c r="F14" s="47">
        <v>150</v>
      </c>
      <c r="G14" s="47">
        <v>344</v>
      </c>
      <c r="H14" s="47">
        <v>229068</v>
      </c>
      <c r="I14" s="47">
        <v>229809</v>
      </c>
      <c r="J14" s="31" t="s">
        <v>267</v>
      </c>
      <c r="K14" s="47">
        <v>230436</v>
      </c>
      <c r="L14" s="162" t="s">
        <v>50</v>
      </c>
      <c r="M14" s="163">
        <f t="shared" si="0"/>
        <v>331.05600000000004</v>
      </c>
      <c r="N14" s="164" t="str">
        <f>VLOOKUP(C14,'Trips&amp;Operators'!$C$1:$E$99999,3,FALSE)</f>
        <v>YORK</v>
      </c>
      <c r="O14" s="144" t="s">
        <v>265</v>
      </c>
      <c r="P14" s="165"/>
      <c r="Q14" s="31"/>
      <c r="R14" s="100" t="str">
        <f>VLOOKUP(C14,'Train Runs'!$A$13:$AE$10025,31,0)</f>
        <v>aws s3 cp s3://rtdc.mdm.uploadarchive.raw/RTDC4011/ "%USERPROFILE%\AppData\Local\Temp\OnboardLogs"\RTDC4011\2016-10-17 --exclude "*" --recursive --include "*20161017*" &amp; "%USERPROFILE%\Documents\GitHub\mrs-test-scripts\Headless Mode &amp; Sideloading\WalkAndUnGZ.bat" "%USERPROFILE%\AppData\Local\Temp\OnboardLogs"\RTDC4011\2016-10-17 &amp; aws s3 cp s3://rtdc.mdm.uploadarchive.raw/RTDC4011/ "%USERPROFILE%\AppData\Local\Temp\OnboardLogs"\RTDC4011\2016-10-18 --exclude "*" --recursive --include "*20161018*" &amp; "%USERPROFILE%\Documents\GitHub\mrs-test-scripts\Headless Mode &amp; Sideloading\WalkAndUnGZ.bat" "%USERPROFILE%\AppData\Local\Temp\OnboardLogs"\RTDC4011\2016-10-18</v>
      </c>
      <c r="S14" s="103" t="str">
        <f>VLOOKUP(C14,'Train Runs'!$A$13:$AE$10025,22,0)</f>
        <v>https://search-rtdc-monitor-bjffxe2xuh6vdkpspy63sjmuny.us-east-1.es.amazonaws.com/_plugin/kibana/#/discover/Steve-Slow-Train-Analysis-(2080s-and-2083s)?_g=(refreshInterval:(display:Off,section:0,value:0),time:(from:'2016-10-17 06:50:16-0600',mode:absolute,to:'2016-10-17 09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4" s="105" t="str">
        <f t="shared" si="1"/>
        <v>"C:\Program Files (x86)\AstroGrep\AstroGrep.exe" /spath="%USERPROFILE%\AppData\Local\Temp\OnboardLogs" /stypes="*4011*201610171*" /stext=" 14:.+((SYSTEM_STATE.+slice.+state.+changed )|(ment ac)|(system.+state.+changed )|(\[timeout)|(PRM\|1\|D)|(kpr)|(kdp)|(\|lc)|(penalty))" /e /r /s</v>
      </c>
      <c r="U14" s="9" t="str">
        <f t="shared" si="2"/>
        <v>4011</v>
      </c>
      <c r="V14" s="36">
        <f t="shared" si="3"/>
        <v>42660.607164351852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{"issue":{"subject":"","project_id":79,"tracker_id":40,"status_id":1,"priority_id":2,"assigned_to_id":23,"start_date":"2016-10-17","description":"","custom_fields":[{"id":1,"name":"Subdivision","value":"EC"},{"id":4,"name":"Milepost","value":"23.0436"},{"id":17,"name":"Train ID","value":"135-17"},{"id":16,"name":"Locomotive ID","value":"4011"},{"id":130,"name":"Impact","value":""},{"id":150,"name":"Time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5" t="str">
        <f t="shared" si="7"/>
        <v>grep -hSE -A100 "Enforcement Action" "%USERPROFILE%\AppData\Local\Temp\OnboardLogs"\RTDC4011\*4011*201610171* | grep -SE "((Enforcement Ac)|(PRM))" -</v>
      </c>
    </row>
    <row r="15" spans="1:29" s="1" customFormat="1" x14ac:dyDescent="0.25">
      <c r="A15" s="36">
        <v>42660.414861111109</v>
      </c>
      <c r="B15" s="31" t="s">
        <v>401</v>
      </c>
      <c r="C15" s="31" t="s">
        <v>410</v>
      </c>
      <c r="D15" s="31" t="s">
        <v>98</v>
      </c>
      <c r="E15" s="31" t="s">
        <v>266</v>
      </c>
      <c r="F15" s="47">
        <v>350</v>
      </c>
      <c r="G15" s="47">
        <v>401</v>
      </c>
      <c r="H15" s="47">
        <v>229230</v>
      </c>
      <c r="I15" s="47">
        <v>228348</v>
      </c>
      <c r="J15" s="31" t="s">
        <v>267</v>
      </c>
      <c r="K15" s="47">
        <v>232107</v>
      </c>
      <c r="L15" s="162" t="s">
        <v>51</v>
      </c>
      <c r="M15" s="163">
        <f t="shared" si="0"/>
        <v>-1984.752</v>
      </c>
      <c r="N15" s="164" t="str">
        <f>VLOOKUP(C15,'Trips&amp;Operators'!$C$1:$E$99999,3,FALSE)</f>
        <v>MALAVE</v>
      </c>
      <c r="O15" s="144" t="s">
        <v>265</v>
      </c>
      <c r="P15" s="165"/>
      <c r="Q15" s="31"/>
      <c r="R15" s="100" t="str">
        <f>VLOOKUP(C15,'Train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15" s="103" t="str">
        <f>VLOOKUP(C15,'Train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08:54:17-0600',mode:absolute,to:'2016-10-17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/stypes="*4037*201610171*" /stext=" 15:.+((SYSTEM_STATE.+slice.+state.+changed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42660.664861111109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{"issue":{"subject":"","project_id":79,"tracker_id":40,"status_id":1,"priority_id":2,"assigned_to_id":23,"start_date":"2016-10-17","description":"","custom_fields":[{"id":1,"name":"Subdivision","value":"EC"},{"id":4,"name":"Milepost","value":"23.2107"},{"id":17,"name":"Train ID","value":"144-17"},{"id":16,"name":"Locomotive ID","value":"4037"},{"id":130,"name":"Impact","value":""},{"id":150,"name":"Time of Event (Mountain Time)","value":"09:57:24"},{"id":151,"name":"Denver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5" t="str">
        <f t="shared" si="7"/>
        <v>grep -hSE -A100 "Enforcement Action" "%USERPROFILE%\AppData\Local\Temp\OnboardLogs"\RTDC4037\*4037*201610171* | grep -SE "((Enforcement Ac)|(PRM))" -</v>
      </c>
    </row>
    <row r="16" spans="1:29" s="1" customFormat="1" x14ac:dyDescent="0.25">
      <c r="A16" s="36">
        <v>42660.268182870372</v>
      </c>
      <c r="B16" s="31" t="s">
        <v>268</v>
      </c>
      <c r="C16" s="31" t="s">
        <v>399</v>
      </c>
      <c r="D16" s="31" t="s">
        <v>49</v>
      </c>
      <c r="E16" s="31" t="s">
        <v>269</v>
      </c>
      <c r="F16" s="47">
        <v>0</v>
      </c>
      <c r="G16" s="47">
        <v>384</v>
      </c>
      <c r="H16" s="47">
        <v>129143</v>
      </c>
      <c r="I16" s="47">
        <v>128264</v>
      </c>
      <c r="J16" s="31" t="s">
        <v>270</v>
      </c>
      <c r="K16" s="47">
        <v>127587</v>
      </c>
      <c r="L16" s="162" t="s">
        <v>51</v>
      </c>
      <c r="M16" s="163">
        <f t="shared" si="0"/>
        <v>357.45600000000002</v>
      </c>
      <c r="N16" s="164" t="str">
        <f>VLOOKUP(C16,'Trips&amp;Operators'!$C$1:$E$99999,3,FALSE)</f>
        <v>KILLION</v>
      </c>
      <c r="O16" s="144" t="s">
        <v>265</v>
      </c>
      <c r="P16" s="165" t="s">
        <v>390</v>
      </c>
      <c r="Q16" s="31"/>
      <c r="R16" s="100" t="str">
        <f>VLOOKUP(C16,'Train Runs'!$A$13:$AE$10025,31,0)</f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S16" s="103" t="str">
        <f>VLOOKUP(C16,'Train Runs'!$A$13:$AE$10025,22,0)</f>
        <v>https://search-rtdc-monitor-bjffxe2xuh6vdkpspy63sjmuny.us-east-1.es.amazonaws.com/_plugin/kibana/#/discover/Steve-Slow-Train-Analysis-(2080s-and-2083s)?_g=(refreshInterval:(display:Off,section:0,value:0),time:(from:'2016-10-17 05:04:01-0600',mode:absolute,to:'2016-10-17 07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5" t="str">
        <f t="shared" si="1"/>
        <v>"C:\Program Files (x86)\AstroGrep\AstroGrep.exe" /spath="%USERPROFILE%\AppData\Local\Temp\OnboardLogs" /stypes="*4017*201610171*" /stext=" 12:.+((SYSTEM_STATE.+slice.+state.+changed )|(ment ac)|(system.+state.+changed )|(\[timeout)|(PRM\|1\|D)|(kpr)|(kdp)|(\|lc)|(penalty))" /e /r /s</v>
      </c>
      <c r="U16" s="9" t="str">
        <f t="shared" si="2"/>
        <v>4017</v>
      </c>
      <c r="V16" s="36">
        <f t="shared" si="3"/>
        <v>42660.518182870372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{"issue":{"subject":"40th 4S STOP, cleared afterward","project_id":79,"tracker_id":40,"status_id":1,"priority_id":2,"assigned_to_id":23,"start_date":"2016-10-17","description":"","custom_fields":[{"id":1,"name":"Subdivision","value":"EC"},{"id":4,"name":"Milepost","value":"12.7587"},{"id":17,"name":"Train ID","value":"114-17"},{"id":16,"name":"Locomotive ID","value":"4017"},{"id":130,"name":"Impact","value":""},{"id":150,"name":"Time of Event (Mountain Time)","value":"06:26:11"},{"id":151,"name":"Denver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5" t="str">
        <f t="shared" si="7"/>
        <v>grep -hSE -A100 "Enforcement Action" "%USERPROFILE%\AppData\Local\Temp\OnboardLogs"\RTDC4017\*4017*201610171* | grep -SE "((Enforcement Ac)|(PRM))" -</v>
      </c>
    </row>
    <row r="17" spans="1:30" s="1" customFormat="1" x14ac:dyDescent="0.25">
      <c r="A17" s="36">
        <v>42660.324421296296</v>
      </c>
      <c r="B17" s="31" t="s">
        <v>340</v>
      </c>
      <c r="C17" s="31" t="s">
        <v>405</v>
      </c>
      <c r="D17" s="31" t="s">
        <v>49</v>
      </c>
      <c r="E17" s="31" t="s">
        <v>269</v>
      </c>
      <c r="F17" s="47">
        <v>0</v>
      </c>
      <c r="G17" s="47">
        <v>448</v>
      </c>
      <c r="H17" s="47">
        <v>194280</v>
      </c>
      <c r="I17" s="47">
        <v>192844</v>
      </c>
      <c r="J17" s="31" t="s">
        <v>270</v>
      </c>
      <c r="K17" s="47">
        <v>191723</v>
      </c>
      <c r="L17" s="162" t="s">
        <v>51</v>
      </c>
      <c r="M17" s="163">
        <f t="shared" si="0"/>
        <v>591.88800000000003</v>
      </c>
      <c r="N17" s="164" t="str">
        <f>VLOOKUP(C17,'Trips&amp;Operators'!$C$1:$E$99999,3,FALSE)</f>
        <v>STARKS</v>
      </c>
      <c r="O17" s="144" t="s">
        <v>265</v>
      </c>
      <c r="P17" s="165" t="s">
        <v>392</v>
      </c>
      <c r="Q17" s="31"/>
      <c r="R17" s="100" t="str">
        <f>VLOOKUP(C17,'Train Runs'!$A$13:$AE$10025,31,0)</f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S17" s="103" t="str">
        <f>VLOOKUP(C17,'Train Runs'!$A$13:$AE$10025,22,0)</f>
        <v>https://search-rtdc-monitor-bjffxe2xuh6vdkpspy63sjmuny.us-east-1.es.amazonaws.com/_plugin/kibana/#/discover/Steve-Slow-Train-Analysis-(2080s-and-2083s)?_g=(refreshInterval:(display:Off,section:0,value:0),time:(from:'2016-10-17 06:37:10-0600',mode:absolute,to:'2016-10-17 09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/stypes="*4026*201610171*" /stext=" 13:.+((SYSTEM_STATE.+slice.+state.+changed )|(ment ac)|(system.+state.+changed )|(\[timeout)|(PRM\|1\|D)|(kpr)|(kdp)|(\|lc)|(penalty))" /e /r /s</v>
      </c>
      <c r="U17" s="9" t="str">
        <f t="shared" si="2"/>
        <v>4026</v>
      </c>
      <c r="V17" s="36">
        <f t="shared" si="3"/>
        <v>42660.574421296296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{"issue":{"subject":"Pena 4S STOP, cleared afterward","project_id":79,"tracker_id":40,"status_id":1,"priority_id":2,"assigned_to_id":23,"start_date":"2016-10-17","description":"","custom_fields":[{"id":1,"name":"Subdivision","value":"EC"},{"id":4,"name":"Milepost","value":"19.1723"},{"id":17,"name":"Train ID","value":"126-17"},{"id":16,"name":"Locomotive ID","value":"4026"},{"id":130,"name":"Impact","value":""},{"id":150,"name":"Time of Event (Mountain Time)","value":"07:47:10"},{"id":151,"name":"Denver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5" t="str">
        <f t="shared" si="7"/>
        <v>grep -hSE -A100 "Enforcement Action" "%USERPROFILE%\AppData\Local\Temp\OnboardLogs"\RTDC4026\*4026*201610171* | grep -SE "((Enforcement Ac)|(PRM))" -</v>
      </c>
    </row>
    <row r="18" spans="1:30" s="1" customFormat="1" x14ac:dyDescent="0.25">
      <c r="A18" s="36">
        <v>42660.200821759259</v>
      </c>
      <c r="B18" s="31" t="s">
        <v>268</v>
      </c>
      <c r="C18" s="31" t="s">
        <v>395</v>
      </c>
      <c r="D18" s="31" t="s">
        <v>49</v>
      </c>
      <c r="E18" s="31" t="s">
        <v>271</v>
      </c>
      <c r="F18" s="47">
        <v>0</v>
      </c>
      <c r="G18" s="47">
        <v>99</v>
      </c>
      <c r="H18" s="47">
        <v>385</v>
      </c>
      <c r="I18" s="47">
        <v>256</v>
      </c>
      <c r="J18" s="31" t="s">
        <v>272</v>
      </c>
      <c r="K18" s="47">
        <v>1</v>
      </c>
      <c r="L18" s="162" t="s">
        <v>51</v>
      </c>
      <c r="M18" s="163">
        <f t="shared" si="0"/>
        <v>134.63999999999999</v>
      </c>
      <c r="N18" s="164" t="str">
        <f>VLOOKUP(C18,'Trips&amp;Operators'!$C$1:$E$99999,3,FALSE)</f>
        <v>KILLION</v>
      </c>
      <c r="O18" s="144" t="s">
        <v>265</v>
      </c>
      <c r="P18" s="165"/>
      <c r="Q18" s="31"/>
      <c r="R18" s="100" t="str">
        <f>VLOOKUP(C18,'Train Runs'!$A$13:$AE$10025,31,0)</f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S18" s="103" t="str">
        <f>VLOOKUP(C18,'Train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03:01:28-0600',mode:absolute,to:'2016-10-17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8" s="105" t="str">
        <f t="shared" si="1"/>
        <v>"C:\Program Files (x86)\AstroGrep\AstroGrep.exe" /spath="%USERPROFILE%\AppData\Local\Temp\OnboardLogs" /stypes="*4017*201610171*" /stext=" 10:.+((SYSTEM_STATE.+slice.+state.+changed )|(ment ac)|(system.+state.+changed )|(\[timeout)|(PRM\|1\|D)|(kpr)|(kdp)|(\|lc)|(penalty))" /e /r /s</v>
      </c>
      <c r="U18" s="9" t="str">
        <f t="shared" si="2"/>
        <v>4017</v>
      </c>
      <c r="V18" s="36">
        <f t="shared" si="3"/>
        <v>42660.450821759259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ID","value":"102-17"},{"id":16,"name":"Locomotive ID","value":"4017"},{"id":130,"name":"Impact","value":""},{"id":150,"name":"Time of Event (Mountain Time)","value":"04:49:11"},{"id":151,"name":"Denver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5" t="str">
        <f t="shared" si="7"/>
        <v>grep -hSE -A100 "Enforcement Action" "%USERPROFILE%\AppData\Local\Temp\OnboardLogs"\RTDC4017\*4017*201610171* | grep -SE "((Enforcement Ac)|(PRM))" -</v>
      </c>
    </row>
    <row r="19" spans="1:30" s="1" customFormat="1" x14ac:dyDescent="0.25">
      <c r="A19" s="36">
        <v>42660.201249999998</v>
      </c>
      <c r="B19" s="31" t="s">
        <v>268</v>
      </c>
      <c r="C19" s="31" t="s">
        <v>395</v>
      </c>
      <c r="D19" s="31" t="s">
        <v>49</v>
      </c>
      <c r="E19" s="31" t="s">
        <v>271</v>
      </c>
      <c r="F19" s="47">
        <v>0</v>
      </c>
      <c r="G19" s="47">
        <v>54</v>
      </c>
      <c r="H19" s="47">
        <v>169</v>
      </c>
      <c r="I19" s="47">
        <v>132</v>
      </c>
      <c r="J19" s="31" t="s">
        <v>272</v>
      </c>
      <c r="K19" s="47">
        <v>1</v>
      </c>
      <c r="L19" s="162" t="s">
        <v>51</v>
      </c>
      <c r="M19" s="163">
        <f t="shared" si="0"/>
        <v>69.168000000000006</v>
      </c>
      <c r="N19" s="164" t="str">
        <f>VLOOKUP(C19,'Trips&amp;Operators'!$C$1:$E$99999,3,FALSE)</f>
        <v>KILLION</v>
      </c>
      <c r="O19" s="144" t="s">
        <v>265</v>
      </c>
      <c r="P19" s="165"/>
      <c r="Q19" s="31"/>
      <c r="R19" s="100" t="str">
        <f>VLOOKUP(C19,'Train Runs'!$A$13:$AE$10025,31,0)</f>
        <v>aws s3 cp s3://rtdc.mdm.uploadarchive.raw/RTDC4017/ "%USERPROFILE%\AppData\Local\Temp\OnboardLogs"\RTDC4017\2016-10-17 --exclude "*" --recursive --include "*20161017*" &amp; "%USERPROFILE%\Documents\GitHub\mrs-test-scripts\Headless Mode &amp; Sideloading\WalkAndUnGZ.bat" "%USERPROFILE%\AppData\Local\Temp\OnboardLogs"\RTDC4017\2016-10-17 &amp; aws s3 cp s3://rtdc.mdm.uploadarchive.raw/RTDC4017/ "%USERPROFILE%\AppData\Local\Temp\OnboardLogs"\RTDC4017\2016-10-18 --exclude "*" --recursive --include "*20161018*" &amp; "%USERPROFILE%\Documents\GitHub\mrs-test-scripts\Headless Mode &amp; Sideloading\WalkAndUnGZ.bat" "%USERPROFILE%\AppData\Local\Temp\OnboardLogs"\RTDC4017\2016-10-18</v>
      </c>
      <c r="S19" s="103" t="str">
        <f>VLOOKUP(C19,'Train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03:01:28-0600',mode:absolute,to:'2016-10-17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/stypes="*4017*201610171*" /stext=" 10:.+((SYSTEM_STATE.+slice.+state.+changed )|(ment ac)|(system.+state.+changed )|(\[timeout)|(PRM\|1\|D)|(kpr)|(kdp)|(\|lc)|(penalty))" /e /r /s</v>
      </c>
      <c r="U19" s="9" t="str">
        <f t="shared" si="2"/>
        <v>4017</v>
      </c>
      <c r="V19" s="36">
        <f t="shared" si="3"/>
        <v>42660.451249999998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ID","value":"102-17"},{"id":16,"name":"Locomotive ID","value":"4017"},{"id":130,"name":"Impact","value":""},{"id":150,"name":"Time of Event (Mountain Time)","value":"04:49:48"},{"id":151,"name":"Denver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5" t="str">
        <f t="shared" si="7"/>
        <v>grep -hSE -A100 "Enforcement Action" "%USERPROFILE%\AppData\Local\Temp\OnboardLogs"\RTDC4017\*4017*201610171* | grep -SE "((Enforcement Ac)|(PRM))" -</v>
      </c>
    </row>
    <row r="20" spans="1:30" x14ac:dyDescent="0.25">
      <c r="A20" s="36">
        <v>42660.222303240742</v>
      </c>
      <c r="B20" s="31" t="s">
        <v>221</v>
      </c>
      <c r="C20" s="31" t="s">
        <v>398</v>
      </c>
      <c r="D20" s="31" t="s">
        <v>49</v>
      </c>
      <c r="E20" s="31" t="s">
        <v>271</v>
      </c>
      <c r="F20" s="47">
        <v>0</v>
      </c>
      <c r="G20" s="47">
        <v>44</v>
      </c>
      <c r="H20" s="47">
        <v>242</v>
      </c>
      <c r="I20" s="47">
        <v>214</v>
      </c>
      <c r="J20" s="31" t="s">
        <v>272</v>
      </c>
      <c r="K20" s="47">
        <v>1</v>
      </c>
      <c r="L20" s="162" t="s">
        <v>51</v>
      </c>
      <c r="M20" s="163">
        <f t="shared" si="0"/>
        <v>112.464</v>
      </c>
      <c r="N20" s="164" t="str">
        <f>VLOOKUP(C20,'Trips&amp;Operators'!$C$1:$E$99999,3,FALSE)</f>
        <v>ACKERMAN</v>
      </c>
      <c r="O20" s="144" t="s">
        <v>265</v>
      </c>
      <c r="P20" s="165"/>
      <c r="Q20" s="31"/>
      <c r="R20" s="100" t="str">
        <f>VLOOKUP(C20,'Train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20" s="103" t="str">
        <f>VLOOKUP(C20,'Train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03:33:05-0600',mode:absolute,to:'2016-10-17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5" t="str">
        <f t="shared" si="1"/>
        <v>"C:\Program Files (x86)\AstroGrep\AstroGrep.exe" /spath="%USERPROFILE%\AppData\Local\Temp\OnboardLogs" /stypes="*4032*201610171*" /stext=" 11:.+((SYSTEM_STATE.+slice.+state.+changed )|(ment ac)|(system.+state.+changed )|(\[timeout)|(PRM\|1\|D)|(kpr)|(kdp)|(\|lc)|(penalty))" /e /r /s</v>
      </c>
      <c r="U20" s="9" t="str">
        <f t="shared" si="2"/>
        <v>4032</v>
      </c>
      <c r="V20" s="36">
        <f t="shared" si="3"/>
        <v>42660.472303240742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ID","value":"104-17"},{"id":16,"name":"Locomotive ID","value":"4032"},{"id":130,"name":"Impact","value":""},{"id":150,"name":"Time of Event (Mountain Time)","value":"05:20:07"},{"id":151,"name":"Denver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5" t="str">
        <f t="shared" si="7"/>
        <v>grep -hSE -A100 "Enforcement Action" "%USERPROFILE%\AppData\Local\Temp\OnboardLogs"\RTDC4032\*4032*201610171* | grep -SE "((Enforcement Ac)|(PRM))" -</v>
      </c>
      <c r="AD20" s="1"/>
    </row>
    <row r="21" spans="1:30" s="1" customFormat="1" x14ac:dyDescent="0.25">
      <c r="A21" s="36">
        <v>42660.274895833332</v>
      </c>
      <c r="B21" s="31" t="s">
        <v>340</v>
      </c>
      <c r="C21" s="31" t="s">
        <v>400</v>
      </c>
      <c r="D21" s="31" t="s">
        <v>49</v>
      </c>
      <c r="E21" s="31" t="s">
        <v>271</v>
      </c>
      <c r="F21" s="47">
        <v>0</v>
      </c>
      <c r="G21" s="47">
        <v>77</v>
      </c>
      <c r="H21" s="47">
        <v>289</v>
      </c>
      <c r="I21" s="47">
        <v>240</v>
      </c>
      <c r="J21" s="31" t="s">
        <v>272</v>
      </c>
      <c r="K21" s="47">
        <v>1</v>
      </c>
      <c r="L21" s="162" t="s">
        <v>51</v>
      </c>
      <c r="M21" s="163">
        <f t="shared" si="0"/>
        <v>126.19199999999999</v>
      </c>
      <c r="N21" s="164" t="str">
        <f>VLOOKUP(C21,'Trips&amp;Operators'!$C$1:$E$99999,3,FALSE)</f>
        <v>STARKS</v>
      </c>
      <c r="O21" s="144" t="s">
        <v>265</v>
      </c>
      <c r="P21" s="165"/>
      <c r="Q21" s="31"/>
      <c r="R21" s="100" t="str">
        <f>VLOOKUP(C21,'Train Runs'!$A$13:$AE$10025,31,0)</f>
        <v>aws s3 cp s3://rtdc.mdm.uploadarchive.raw/RTDC4026/ "%USERPROFILE%\AppData\Local\Temp\OnboardLogs"\RTDC4026\2016-10-17 --exclude "*" --recursive --include "*20161017*" &amp; "%USERPROFILE%\Documents\GitHub\mrs-test-scripts\Headless Mode &amp; Sideloading\WalkAndUnGZ.bat" "%USERPROFILE%\AppData\Local\Temp\OnboardLogs"\RTDC4026\2016-10-17 &amp; aws s3 cp s3://rtdc.mdm.uploadarchive.raw/RTDC4026/ "%USERPROFILE%\AppData\Local\Temp\OnboardLogs"\RTDC4026\2016-10-18 --exclude "*" --recursive --include "*20161018*" &amp; "%USERPROFILE%\Documents\GitHub\mrs-test-scripts\Headless Mode &amp; Sideloading\WalkAndUnGZ.bat" "%USERPROFILE%\AppData\Local\Temp\OnboardLogs"\RTDC4026\2016-10-18</v>
      </c>
      <c r="S21" s="103" t="str">
        <f>VLOOKUP(C21,'Train Runs'!$A$13:$AE$10025,22,0)</f>
        <v>https://search-rtdc-monitor-bjffxe2xuh6vdkpspy63sjmuny.us-east-1.es.amazonaws.com/_plugin/kibana/#/discover/Steve-Slow-Train-Analysis-(2080s-and-2083s)?_g=(refreshInterval:(display:Off,section:0,value:0),time:(from:'2016-10-17 04:52:48-0600',mode:absolute,to:'2016-10-17 07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/stypes="*4026*201610171*" /stext=" 12:.+((SYSTEM_STATE.+slice.+state.+changed )|(ment ac)|(system.+state.+changed )|(\[timeout)|(PRM\|1\|D)|(kpr)|(kdp)|(\|lc)|(penalty))" /e /r /s</v>
      </c>
      <c r="U21" s="9" t="str">
        <f t="shared" si="2"/>
        <v>4026</v>
      </c>
      <c r="V21" s="36">
        <f t="shared" si="3"/>
        <v>42660.524895833332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ID","value":"112-17"},{"id":16,"name":"Locomotive ID","value":"4026"},{"id":130,"name":"Impact","value":""},{"id":150,"name":"Time of Event (Mountain Time)","value":"06:35:51"},{"id":151,"name":"Denver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5" t="str">
        <f t="shared" si="7"/>
        <v>grep -hSE -A100 "Enforcement Action" "%USERPROFILE%\AppData\Local\Temp\OnboardLogs"\RTDC4026\*4026*201610171* | grep -SE "((Enforcement Ac)|(PRM))" -</v>
      </c>
    </row>
    <row r="22" spans="1:30" x14ac:dyDescent="0.25">
      <c r="A22" s="36">
        <v>42660.308125000003</v>
      </c>
      <c r="B22" s="31" t="s">
        <v>221</v>
      </c>
      <c r="C22" s="31" t="s">
        <v>403</v>
      </c>
      <c r="D22" s="31" t="s">
        <v>49</v>
      </c>
      <c r="E22" s="31" t="s">
        <v>271</v>
      </c>
      <c r="F22" s="47">
        <v>0</v>
      </c>
      <c r="G22" s="47">
        <v>57</v>
      </c>
      <c r="H22" s="47">
        <v>203</v>
      </c>
      <c r="I22" s="47">
        <v>165</v>
      </c>
      <c r="J22" s="31" t="s">
        <v>272</v>
      </c>
      <c r="K22" s="47">
        <v>1</v>
      </c>
      <c r="L22" s="162" t="s">
        <v>51</v>
      </c>
      <c r="M22" s="163">
        <f t="shared" si="0"/>
        <v>86.592000000000013</v>
      </c>
      <c r="N22" s="164" t="str">
        <f>VLOOKUP(C22,'Trips&amp;Operators'!$C$1:$E$99999,3,FALSE)</f>
        <v>ACKERMAN</v>
      </c>
      <c r="O22" s="144" t="s">
        <v>265</v>
      </c>
      <c r="P22" s="165"/>
      <c r="Q22" s="31"/>
      <c r="R22" s="100" t="str">
        <f>VLOOKUP(C22,'Train Runs'!$A$13:$AE$10025,31,0)</f>
        <v>aws s3 cp s3://rtdc.mdm.uploadarchive.raw/RTDC4032/ "%USERPROFILE%\AppData\Local\Temp\OnboardLogs"\RTDC4032\2016-10-17 --exclude "*" --recursive --include "*20161017*" &amp; "%USERPROFILE%\Documents\GitHub\mrs-test-scripts\Headless Mode &amp; Sideloading\WalkAndUnGZ.bat" "%USERPROFILE%\AppData\Local\Temp\OnboardLogs"\RTDC4032\2016-10-17 &amp; aws s3 cp s3://rtdc.mdm.uploadarchive.raw/RTDC4032/ "%USERPROFILE%\AppData\Local\Temp\OnboardLogs"\RTDC4032\2016-10-18 --exclude "*" --recursive --include "*20161018*" &amp; "%USERPROFILE%\Documents\GitHub\mrs-test-scripts\Headless Mode &amp; Sideloading\WalkAndUnGZ.bat" "%USERPROFILE%\AppData\Local\Temp\OnboardLogs"\RTDC4032\2016-10-18</v>
      </c>
      <c r="S22" s="103" t="str">
        <f>VLOOKUP(C22,'Train Runs'!$A$13:$AE$10025,22,0)</f>
        <v>https://search-rtdc-monitor-bjffxe2xuh6vdkpspy63sjmuny.us-east-1.es.amazonaws.com/_plugin/kibana/#/discover/Steve-Slow-Train-Analysis-(2080s-and-2083s)?_g=(refreshInterval:(display:Off,section:0,value:0),time:(from:'2016-10-17 05:26:34-0600',mode:absolute,to:'2016-10-17 08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5" t="str">
        <f t="shared" si="1"/>
        <v>"C:\Program Files (x86)\AstroGrep\AstroGrep.exe" /spath="%USERPROFILE%\AppData\Local\Temp\OnboardLogs" /stypes="*4032*201610171*" /stext=" 13:.+((SYSTEM_STATE.+slice.+state.+changed )|(ment ac)|(system.+state.+changed )|(\[timeout)|(PRM\|1\|D)|(kpr)|(kdp)|(\|lc)|(penalty))" /e /r /s</v>
      </c>
      <c r="U22" s="9" t="str">
        <f t="shared" si="2"/>
        <v>4032</v>
      </c>
      <c r="V22" s="36">
        <f t="shared" si="3"/>
        <v>42660.558125000003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ID","value":"118-17"},{"id":16,"name":"Locomotive ID","value":"4032"},{"id":130,"name":"Impact","value":""},{"id":150,"name":"Time of Event (Mountain Time)","value":"07:23:42"},{"id":151,"name":"Denver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5" t="str">
        <f t="shared" si="7"/>
        <v>grep -hSE -A100 "Enforcement Action" "%USERPROFILE%\AppData\Local\Temp\OnboardLogs"\RTDC4032\*4032*201610171* | grep -SE "((Enforcement Ac)|(PRM))" -</v>
      </c>
      <c r="AD22" s="1"/>
    </row>
    <row r="23" spans="1:30" x14ac:dyDescent="0.25">
      <c r="A23" s="36">
        <v>42660.442916666667</v>
      </c>
      <c r="B23" s="31" t="s">
        <v>401</v>
      </c>
      <c r="C23" s="31" t="s">
        <v>410</v>
      </c>
      <c r="D23" s="31" t="s">
        <v>49</v>
      </c>
      <c r="E23" s="31" t="s">
        <v>271</v>
      </c>
      <c r="F23" s="47">
        <v>0</v>
      </c>
      <c r="G23" s="47">
        <v>52</v>
      </c>
      <c r="H23" s="47">
        <v>183</v>
      </c>
      <c r="I23" s="47">
        <v>136</v>
      </c>
      <c r="J23" s="31" t="s">
        <v>272</v>
      </c>
      <c r="K23" s="47">
        <v>1</v>
      </c>
      <c r="L23" s="162" t="s">
        <v>51</v>
      </c>
      <c r="M23" s="163">
        <f t="shared" si="0"/>
        <v>71.28</v>
      </c>
      <c r="N23" s="164" t="str">
        <f>VLOOKUP(C23,'Trips&amp;Operators'!$C$1:$E$99999,3,FALSE)</f>
        <v>MALAVE</v>
      </c>
      <c r="O23" s="144" t="s">
        <v>265</v>
      </c>
      <c r="P23" s="165"/>
      <c r="Q23" s="31"/>
      <c r="R23" s="100" t="str">
        <f>VLOOKUP(C23,'Train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23" s="103" t="str">
        <f>VLOOKUP(C23,'Train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08:54:17-0600',mode:absolute,to:'2016-10-17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3" s="105" t="str">
        <f t="shared" si="1"/>
        <v>"C:\Program Files (x86)\AstroGrep\AstroGrep.exe" /spath="%USERPROFILE%\AppData\Local\Temp\OnboardLogs" /stypes="*4037*201610171*" /stext=" 16:.+((SYSTEM_STATE.+slice.+state.+changed )|(ment ac)|(system.+state.+changed )|(\[timeout)|(PRM\|1\|D)|(kpr)|(kdp)|(\|lc)|(penalty))" /e /r /s</v>
      </c>
      <c r="U23" s="9" t="str">
        <f t="shared" si="2"/>
        <v>4037</v>
      </c>
      <c r="V23" s="36">
        <f t="shared" si="3"/>
        <v>42660.692916666667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ID","value":"144-17"},{"id":16,"name":"Locomotive ID","value":"4037"},{"id":130,"name":"Impact","value":""},{"id":150,"name":"Time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5" t="str">
        <f t="shared" si="7"/>
        <v>grep -hSE -A100 "Enforcement Action" "%USERPROFILE%\AppData\Local\Temp\OnboardLogs"\RTDC4037\*4037*201610171* | grep -SE "((Enforcement Ac)|(PRM))" -</v>
      </c>
      <c r="AD23" s="1"/>
    </row>
    <row r="24" spans="1:30" x14ac:dyDescent="0.25">
      <c r="A24" s="36">
        <v>42660.608206018522</v>
      </c>
      <c r="B24" s="31" t="s">
        <v>280</v>
      </c>
      <c r="C24" s="31" t="s">
        <v>418</v>
      </c>
      <c r="D24" s="31" t="s">
        <v>49</v>
      </c>
      <c r="E24" s="31" t="s">
        <v>271</v>
      </c>
      <c r="F24" s="47">
        <v>0</v>
      </c>
      <c r="G24" s="47">
        <v>60</v>
      </c>
      <c r="H24" s="47">
        <v>209</v>
      </c>
      <c r="I24" s="47">
        <v>141</v>
      </c>
      <c r="J24" s="31" t="s">
        <v>272</v>
      </c>
      <c r="K24" s="47">
        <v>1</v>
      </c>
      <c r="L24" s="162" t="s">
        <v>51</v>
      </c>
      <c r="M24" s="163">
        <f t="shared" si="0"/>
        <v>73.92</v>
      </c>
      <c r="N24" s="164" t="str">
        <f>VLOOKUP(C24,'Trips&amp;Operators'!$C$1:$E$99999,3,FALSE)</f>
        <v>BARTLETT</v>
      </c>
      <c r="O24" s="144" t="s">
        <v>265</v>
      </c>
      <c r="P24" s="165"/>
      <c r="Q24" s="31"/>
      <c r="R24" s="100" t="str">
        <f>VLOOKUP(C24,'Train Runs'!$A$13:$AE$10025,31,0)</f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S24" s="103" t="str">
        <f>VLOOKUP(C24,'Train Runs'!$A$13:$AE$10025,22,0)</f>
        <v>https://search-rtdc-monitor-bjffxe2xuh6vdkpspy63sjmuny.us-east-1.es.amazonaws.com/_plugin/kibana/#/discover/Steve-Slow-Train-Analysis-(2080s-and-2083s)?_g=(refreshInterval:(display:Off,section:0,value:0),time:(from:'2016-10-17 12:40:37-0600',mode:absolute,to:'2016-10-17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/stypes="*4001*201610172*" /stext=" 20:.+((SYSTEM_STATE.+slice.+state.+changed )|(ment ac)|(system.+state.+changed )|(\[timeout)|(PRM\|1\|D)|(kpr)|(kdp)|(\|lc)|(penalty))" /e /r /s</v>
      </c>
      <c r="U24" s="9" t="str">
        <f t="shared" si="2"/>
        <v>4001</v>
      </c>
      <c r="V24" s="36">
        <f t="shared" si="3"/>
        <v>42660.858206018522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ID","value":"176-17"},{"id":16,"name":"Locomotive ID","value":"4001"},{"id":130,"name":"Impact","value":""},{"id":150,"name":"Time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5" t="str">
        <f t="shared" si="7"/>
        <v>grep -hSE -A100 "Enforcement Action" "%USERPROFILE%\AppData\Local\Temp\OnboardLogs"\RTDC4001\*4001*201610172* | grep -SE "((Enforcement Ac)|(PRM))" -</v>
      </c>
      <c r="AD24" s="1"/>
    </row>
    <row r="25" spans="1:30" ht="15" customHeight="1" x14ac:dyDescent="0.25">
      <c r="A25" s="36">
        <v>42660.826701388891</v>
      </c>
      <c r="B25" s="31" t="s">
        <v>280</v>
      </c>
      <c r="C25" s="31" t="s">
        <v>423</v>
      </c>
      <c r="D25" s="31" t="s">
        <v>49</v>
      </c>
      <c r="E25" s="31" t="s">
        <v>271</v>
      </c>
      <c r="F25" s="47">
        <v>0</v>
      </c>
      <c r="G25" s="47">
        <v>51</v>
      </c>
      <c r="H25" s="47">
        <v>189</v>
      </c>
      <c r="I25" s="47">
        <v>130</v>
      </c>
      <c r="J25" s="31" t="s">
        <v>272</v>
      </c>
      <c r="K25" s="47">
        <v>1</v>
      </c>
      <c r="L25" s="162" t="s">
        <v>51</v>
      </c>
      <c r="M25" s="163">
        <f t="shared" si="0"/>
        <v>68.111999999999995</v>
      </c>
      <c r="N25" s="164" t="str">
        <f>VLOOKUP(C25,'Trips&amp;Operators'!$C$1:$E$99999,3,FALSE)</f>
        <v>CHANDLER</v>
      </c>
      <c r="O25" s="144" t="s">
        <v>265</v>
      </c>
      <c r="P25" s="165"/>
      <c r="Q25" s="31"/>
      <c r="R25" s="100" t="str">
        <f>VLOOKUP(C25,'Train Runs'!$A$13:$AE$10025,31,0)</f>
        <v>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 &amp; aws s3 cp s3://rtdc.mdm.uploadarchive.raw/RTDC4001/ "%USERPROFILE%\AppData\Local\Temp\OnboardLogs"\RTDC4001\2016-10-18 --exclude "*" --recursive --include "*20161018*" &amp; "%USERPROFILE%\Documents\GitHub\mrs-test-scripts\Headless Mode &amp; Sideloading\WalkAndUnGZ.bat" "%USERPROFILE%\AppData\Local\Temp\OnboardLogs"\RTDC4001\2016-10-18</v>
      </c>
      <c r="S25" s="103" t="str">
        <f>VLOOKUP(C25,'Train Runs'!$A$13:$AE$10025,22,0)</f>
        <v>https://search-rtdc-monitor-bjffxe2xuh6vdkpspy63sjmuny.us-east-1.es.amazonaws.com/_plugin/kibana/#/discover/Steve-Slow-Train-Analysis-(2080s-and-2083s)?_g=(refreshInterval:(display:Off,section:0,value:0),time:(from:'2016-10-17 18:05:57-0600',mode:absolute,to:'2016-10-17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5" s="105" t="str">
        <f t="shared" si="1"/>
        <v>"C:\Program Files (x86)\AstroGrep\AstroGrep.exe" /spath="%USERPROFILE%\AppData\Local\Temp\OnboardLogs" /stypes="*4001*201610180*" /stext=" 01:.+((SYSTEM_STATE.+slice.+state.+changed )|(ment ac)|(system.+state.+changed )|(\[timeout)|(PRM\|1\|D)|(kpr)|(kdp)|(\|lc)|(penalty))" /e /r /s</v>
      </c>
      <c r="U25" s="9" t="str">
        <f t="shared" si="2"/>
        <v>4001</v>
      </c>
      <c r="V25" s="36">
        <f t="shared" si="3"/>
        <v>42661.076701388891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ID","value":"218-17"},{"id":16,"name":"Locomotive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5" t="str">
        <f t="shared" si="7"/>
        <v>grep -hSE -A100 "Enforcement Action" "%USERPROFILE%\AppData\Local\Temp\OnboardLogs"\RTDC4001\*4001*201610180* | grep -SE "((Enforcement Ac)|(PRM))" -</v>
      </c>
      <c r="AD25" s="1"/>
    </row>
    <row r="26" spans="1:30" x14ac:dyDescent="0.25">
      <c r="A26" s="36">
        <v>42660.968368055554</v>
      </c>
      <c r="B26" s="31" t="s">
        <v>401</v>
      </c>
      <c r="C26" s="31" t="s">
        <v>424</v>
      </c>
      <c r="D26" s="31" t="s">
        <v>49</v>
      </c>
      <c r="E26" s="31" t="s">
        <v>271</v>
      </c>
      <c r="F26" s="47">
        <v>0</v>
      </c>
      <c r="G26" s="47">
        <v>53</v>
      </c>
      <c r="H26" s="47">
        <v>178</v>
      </c>
      <c r="I26" s="47">
        <v>134</v>
      </c>
      <c r="J26" s="31" t="s">
        <v>272</v>
      </c>
      <c r="K26" s="47">
        <v>1</v>
      </c>
      <c r="L26" s="162" t="s">
        <v>51</v>
      </c>
      <c r="M26" s="163">
        <f t="shared" si="0"/>
        <v>70.224000000000004</v>
      </c>
      <c r="N26" s="164" t="str">
        <f>VLOOKUP(C26,'Trips&amp;Operators'!$C$1:$E$99999,3,FALSE)</f>
        <v>NEWELL</v>
      </c>
      <c r="O26" s="144" t="s">
        <v>265</v>
      </c>
      <c r="P26" s="165"/>
      <c r="Q26" s="31"/>
      <c r="R26" s="100" t="str">
        <f>VLOOKUP(C26,'Train Runs'!$A$13:$AE$10025,31,0)</f>
        <v>aws s3 cp s3://rtdc.mdm.uploadarchive.raw/RTDC4037/ "%USERPROFILE%\AppData\Local\Temp\OnboardLogs"\RTDC4037\2016-10-17 --exclude "*" --recursive --include "*20161017*" &amp; "%USERPROFILE%\Documents\GitHub\mrs-test-scripts\Headless Mode &amp; Sideloading\WalkAndUnGZ.bat" "%USERPROFILE%\AppData\Local\Temp\OnboardLogs"\RTDC4037\2016-10-17 &amp; aws s3 cp s3://rtdc.mdm.uploadarchive.raw/RTDC4037/ "%USERPROFILE%\AppData\Local\Temp\OnboardLogs"\RTDC4037\2016-10-18 --exclude "*" --recursive --include "*20161018*" &amp; "%USERPROFILE%\Documents\GitHub\mrs-test-scripts\Headless Mode &amp; Sideloading\WalkAndUnGZ.bat" "%USERPROFILE%\AppData\Local\Temp\OnboardLogs"\RTDC4037\2016-10-18</v>
      </c>
      <c r="S26" s="103" t="str">
        <f>VLOOKUP(C26,'Train Runs'!$A$13:$AE$10025,22,0)</f>
        <v>https://search-rtdc-monitor-bjffxe2xuh6vdkpspy63sjmuny.us-east-1.es.amazonaws.com/_plugin/kibana/#/discover/Steve-Slow-Train-Analysis-(2080s-and-2083s)?_g=(refreshInterval:(display:Off,section:0,value:0),time:(from:'2016-10-17 21:17:09-0600',mode:absolute,to:'2016-10-18 00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6" s="105" t="str">
        <f t="shared" si="1"/>
        <v>"C:\Program Files (x86)\AstroGrep\AstroGrep.exe" /spath="%USERPROFILE%\AppData\Local\Temp\OnboardLogs" /stypes="*4037*201610180*" /stext=" 05:.+((SYSTEM_STATE.+slice.+state.+changed )|(ment ac)|(system.+state.+changed )|(\[timeout)|(PRM\|1\|D)|(kpr)|(kdp)|(\|lc)|(penalty))" /e /r /s</v>
      </c>
      <c r="U26" s="9" t="str">
        <f t="shared" si="2"/>
        <v>4037</v>
      </c>
      <c r="V26" s="36">
        <f t="shared" si="3"/>
        <v>42661.218368055554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{"issue":{"subject":"","project_id":79,"tracker_id":40,"status_id":1,"priority_id":2,"assigned_to_id":23,"start_date":"2016-10-17","description":"","custom_fields":[{"id":1,"name":"Subdivision","value":"EC"},{"id":4,"name":"Milepost","value":"0.0001"},{"id":17,"name":"Train ID","value":"232-17"},{"id":16,"name":"Locomotive ID","value":"4037"},{"id":130,"name":"Impact","value":""},{"id":150,"name":"Time of Event (Mountain Time)","value":"23:14:27"},{"id":151,"name":"Denver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5" t="str">
        <f t="shared" si="7"/>
        <v>grep -hSE -A100 "Enforcement Action" "%USERPROFILE%\AppData\Local\Temp\OnboardLogs"\RTDC4037\*4037*201610180* | grep -SE "((Enforcement Ac)|(PRM))" -</v>
      </c>
      <c r="AD26" s="1"/>
    </row>
    <row r="27" spans="1:30" x14ac:dyDescent="0.25">
      <c r="A27" s="36">
        <v>42660.181967592594</v>
      </c>
      <c r="B27" s="31" t="s">
        <v>393</v>
      </c>
      <c r="C27" s="31" t="s">
        <v>394</v>
      </c>
      <c r="D27" s="31" t="s">
        <v>49</v>
      </c>
      <c r="E27" s="31" t="s">
        <v>271</v>
      </c>
      <c r="F27" s="47">
        <v>0</v>
      </c>
      <c r="G27" s="47">
        <v>28</v>
      </c>
      <c r="H27" s="47">
        <v>233401</v>
      </c>
      <c r="I27" s="47">
        <v>233414</v>
      </c>
      <c r="J27" s="31" t="s">
        <v>272</v>
      </c>
      <c r="K27" s="47">
        <v>233491</v>
      </c>
      <c r="L27" s="162" t="s">
        <v>50</v>
      </c>
      <c r="M27" s="163">
        <f t="shared" si="0"/>
        <v>40.655999999999999</v>
      </c>
      <c r="N27" s="164" t="str">
        <f>VLOOKUP(C27,'Trips&amp;Operators'!$C$1:$E$99999,3,FALSE)</f>
        <v>ACKERMAN</v>
      </c>
      <c r="O27" s="144" t="s">
        <v>265</v>
      </c>
      <c r="P27" s="165"/>
      <c r="Q27" s="31"/>
      <c r="R27" s="100" t="str">
        <f>VLOOKUP(C27,'Train Runs'!$A$13:$AE$10025,31,0)</f>
        <v>aws s3 cp s3://rtdc.mdm.uploadarchive.raw/RTDC4038/ "%USERPROFILE%\AppData\Local\Temp\OnboardLogs"\RTDC4038\2016-10-17 --exclude "*" --recursive --include "*20161017*" &amp; "%USERPROFILE%\Documents\GitHub\mrs-test-scripts\Headless Mode &amp; Sideloading\WalkAndUnGZ.bat" "%USERPROFILE%\AppData\Local\Temp\OnboardLogs"\RTDC4038\2016-10-17 &amp; aws s3 cp s3://rtdc.mdm.uploadarchive.raw/RTDC4038/ "%USERPROFILE%\AppData\Local\Temp\OnboardLogs"\RTDC4038\2016-10-18 --exclude "*" --recursive --include "*20161018*" &amp; "%USERPROFILE%\Documents\GitHub\mrs-test-scripts\Headless Mode &amp; Sideloading\WalkAndUnGZ.bat" "%USERPROFILE%\AppData\Local\Temp\OnboardLogs"\RTDC4038\2016-10-18</v>
      </c>
      <c r="S27" s="103" t="str">
        <f>VLOOKUP(C27,'Train Runs'!$A$13:$AE$10025,22,0)</f>
        <v>https://search-rtdc-monitor-bjffxe2xuh6vdkpspy63sjmuny.us-east-1.es.amazonaws.com/_plugin/kibana/#/discover/Steve-Slow-Train-Analysis-(2080s-and-2083s)?_g=(refreshInterval:(display:Off,section:0,value:0),time:(from:'2016-10-17 02:40:10-0600',mode:absolute,to:'2016-10-17 05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7" s="105" t="str">
        <f t="shared" si="1"/>
        <v>"C:\Program Files (x86)\AstroGrep\AstroGrep.exe" /spath="%USERPROFILE%\AppData\Local\Temp\OnboardLogs" /stypes="*4038*201610171*" /stext=" 10:.+((SYSTEM_STATE.+slice.+state.+changed )|(ment ac)|(system.+state.+changed )|(\[timeout)|(PRM\|1\|D)|(kpr)|(kdp)|(\|lc)|(penalty))" /e /r /s</v>
      </c>
      <c r="U27" s="9" t="str">
        <f t="shared" si="2"/>
        <v>4038</v>
      </c>
      <c r="V27" s="36">
        <f t="shared" si="3"/>
        <v>42660.431967592594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{"issue":{"subject":"","project_id":79,"tracker_id":40,"status_id":1,"priority_id":2,"assigned_to_id":23,"start_date":"2016-10-17","description":"","custom_fields":[{"id":1,"name":"Subdivision","value":"EC"},{"id":4,"name":"Milepost","value":"23.3491"},{"id":17,"name":"Train ID","value":"103-17"},{"id":16,"name":"Locomotive ID","value":"4038"},{"id":130,"name":"Impact","value":""},{"id":150,"name":"Time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5" t="str">
        <f t="shared" si="7"/>
        <v>grep -hSE -A100 "Enforcement Action" "%USERPROFILE%\AppData\Local\Temp\OnboardLogs"\RTDC4038\*4038*201610171* | grep -SE "((Enforcement Ac)|(PRM))" -</v>
      </c>
      <c r="AD27" s="1"/>
    </row>
    <row r="28" spans="1:30" x14ac:dyDescent="0.25">
      <c r="A28" s="36">
        <v>42660.202534722222</v>
      </c>
      <c r="B28" s="31" t="s">
        <v>396</v>
      </c>
      <c r="C28" s="31" t="s">
        <v>397</v>
      </c>
      <c r="D28" s="31" t="s">
        <v>49</v>
      </c>
      <c r="E28" s="31" t="s">
        <v>271</v>
      </c>
      <c r="F28" s="47">
        <v>0</v>
      </c>
      <c r="G28" s="47">
        <v>16</v>
      </c>
      <c r="H28" s="47">
        <v>233456</v>
      </c>
      <c r="I28" s="47">
        <v>233485</v>
      </c>
      <c r="J28" s="31" t="s">
        <v>272</v>
      </c>
      <c r="K28" s="47">
        <v>233491</v>
      </c>
      <c r="L28" s="162" t="s">
        <v>50</v>
      </c>
      <c r="M28" s="163">
        <f t="shared" si="0"/>
        <v>3.1680000000000001</v>
      </c>
      <c r="N28" s="164" t="str">
        <f>VLOOKUP(C28,'Trips&amp;Operators'!$C$1:$E$99999,3,FALSE)</f>
        <v>ROBINSON</v>
      </c>
      <c r="O28" s="144" t="s">
        <v>265</v>
      </c>
      <c r="P28" s="165"/>
      <c r="Q28" s="31"/>
      <c r="R28" s="100" t="str">
        <f>VLOOKUP(C28,'Train Runs'!$A$13:$AE$10025,31,0)</f>
        <v>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 &amp; aws s3 cp s3://rtdc.mdm.uploadarchive.raw/RTDC4002/ "%USERPROFILE%\AppData\Local\Temp\OnboardLogs"\RTDC4002\2016-10-18 --exclude "*" --recursive --include "*20161018*" &amp; "%USERPROFILE%\Documents\GitHub\mrs-test-scripts\Headless Mode &amp; Sideloading\WalkAndUnGZ.bat" "%USERPROFILE%\AppData\Local\Temp\OnboardLogs"\RTDC4002\2016-10-18</v>
      </c>
      <c r="S28" s="103" t="str">
        <f>VLOOKUP(C28,'Train Runs'!$A$13:$AE$10025,22,0)</f>
        <v>https://search-rtdc-monitor-bjffxe2xuh6vdkpspy63sjmuny.us-east-1.es.amazonaws.com/_plugin/kibana/#/discover/Steve-Slow-Train-Analysis-(2080s-and-2083s)?_g=(refreshInterval:(display:Off,section:0,value:0),time:(from:'2016-10-17 03:07:09-0600',mode:absolute,to:'2016-10-17 05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8" s="105" t="str">
        <f t="shared" si="1"/>
        <v>"C:\Program Files (x86)\AstroGrep\AstroGrep.exe" /spath="%USERPROFILE%\AppData\Local\Temp\OnboardLogs" /stypes="*4002*201610171*" /stext=" 10:.+((SYSTEM_STATE.+slice.+state.+changed )|(ment ac)|(system.+state.+changed )|(\[timeout)|(PRM\|1\|D)|(kpr)|(kdp)|(\|lc)|(penalty))" /e /r /s</v>
      </c>
      <c r="U28" s="9" t="str">
        <f t="shared" si="2"/>
        <v>4002</v>
      </c>
      <c r="V28" s="36">
        <f t="shared" si="3"/>
        <v>42660.452534722222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{"issue":{"subject":"","project_id":79,"tracker_id":40,"status_id":1,"priority_id":2,"assigned_to_id":23,"start_date":"2016-10-17","description":"","custom_fields":[{"id":1,"name":"Subdivision","value":"EC"},{"id":4,"name":"Milepost","value":"23.3491"},{"id":17,"name":"Train ID","value":"105-17"},{"id":16,"name":"Locomotive ID","value":"4002"},{"id":130,"name":"Impact","value":""},{"id":150,"name":"Time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5" t="str">
        <f t="shared" si="7"/>
        <v>grep -hSE -A100 "Enforcement Action" "%USERPROFILE%\AppData\Local\Temp\OnboardLogs"\RTDC4002\*4002*201610171* | grep -SE "((Enforcement Ac)|(PRM))" -</v>
      </c>
      <c r="AD28" s="1"/>
    </row>
    <row r="29" spans="1:30" x14ac:dyDescent="0.25">
      <c r="A29" s="36">
        <v>42660.411064814813</v>
      </c>
      <c r="B29" s="31" t="s">
        <v>343</v>
      </c>
      <c r="C29" s="31" t="s">
        <v>409</v>
      </c>
      <c r="D29" s="31" t="s">
        <v>49</v>
      </c>
      <c r="E29" s="31" t="s">
        <v>155</v>
      </c>
      <c r="F29" s="47">
        <v>0</v>
      </c>
      <c r="G29" s="47">
        <v>492</v>
      </c>
      <c r="H29" s="47">
        <v>17002</v>
      </c>
      <c r="I29" s="47">
        <v>15575</v>
      </c>
      <c r="J29" s="31" t="s">
        <v>154</v>
      </c>
      <c r="K29" s="47">
        <v>15777</v>
      </c>
      <c r="L29" s="162" t="s">
        <v>51</v>
      </c>
      <c r="M29" s="163">
        <f t="shared" si="0"/>
        <v>-106.65600000000001</v>
      </c>
      <c r="N29" s="164" t="str">
        <f>VLOOKUP(C29,'Trips&amp;Operators'!$C$1:$E$99999,3,FALSE)</f>
        <v>ROCHA</v>
      </c>
      <c r="O29" s="144" t="s">
        <v>206</v>
      </c>
      <c r="P29" s="165" t="s">
        <v>784</v>
      </c>
      <c r="Q29" s="31"/>
      <c r="R29" s="100" t="str">
        <f>VLOOKUP(C29,'Train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29" s="103" t="str">
        <f>VLOOKUP(C29,'Train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9" s="105" t="str">
        <f t="shared" si="1"/>
        <v>"C:\Program Files (x86)\AstroGrep\AstroGrep.exe" /spath="%USERPROFILE%\AppData\Local\Temp\OnboardLogs" /stypes="*4030*201610171*" /stext=" 15:.+((SYSTEM_STATE.+slice.+state.+changed )|(ment ac)|(system.+state.+changed )|(\[timeout)|(PRM\|1\|D)|(kpr)|(kdp)|(\|lc)|(penalty))" /e /r /s</v>
      </c>
      <c r="U29" s="9" t="str">
        <f t="shared" si="2"/>
        <v>4030</v>
      </c>
      <c r="V29" s="36">
        <f t="shared" si="3"/>
        <v>42660.661064814813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{"issue":{"subject":"Early arrival - 41st station","project_id":79,"tracker_id":40,"status_id":1,"priority_id":2,"assigned_to_id":23,"start_date":"2016-10-17","description":"","custom_fields":[{"id":1,"name":"Subdivision","value":"NW"},{"id":4,"name":"Milepost","value":"1.5777"},{"id":17,"name":"Train ID","value":"814-17"},{"id":16,"name":"Locomotive ID","value":"4030"},{"id":130,"name":"Impact","value":""},{"id":150,"name":"Time of Event (Mountain Time)","value":"09:51:56"},{"id":151,"name":"Denver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5" t="str">
        <f t="shared" si="7"/>
        <v>grep -hSE -A100 "Enforcement Action" "%USERPROFILE%\AppData\Local\Temp\OnboardLogs"\RTDC4030\*4030*201610171* | grep -SE "((Enforcement Ac)|(PRM))" -</v>
      </c>
      <c r="AD29" s="1"/>
    </row>
    <row r="30" spans="1:30" x14ac:dyDescent="0.25">
      <c r="A30" s="36">
        <v>42660.492361111108</v>
      </c>
      <c r="B30" s="31" t="s">
        <v>343</v>
      </c>
      <c r="C30" s="31" t="s">
        <v>412</v>
      </c>
      <c r="D30" s="31" t="s">
        <v>49</v>
      </c>
      <c r="E30" s="31" t="s">
        <v>266</v>
      </c>
      <c r="F30" s="47">
        <v>300</v>
      </c>
      <c r="G30" s="47">
        <v>379</v>
      </c>
      <c r="H30" s="47">
        <v>24532</v>
      </c>
      <c r="I30" s="47">
        <v>23485</v>
      </c>
      <c r="J30" s="31" t="s">
        <v>267</v>
      </c>
      <c r="K30" s="47">
        <v>23491</v>
      </c>
      <c r="L30" s="162" t="s">
        <v>51</v>
      </c>
      <c r="M30" s="163">
        <f t="shared" si="0"/>
        <v>-3.1680000000000001</v>
      </c>
      <c r="N30" s="164" t="str">
        <f>VLOOKUP(C30,'Trips&amp;Operators'!$C$1:$E$99999,3,FALSE)</f>
        <v>ROCHA</v>
      </c>
      <c r="O30" s="144" t="s">
        <v>265</v>
      </c>
      <c r="P30" s="165"/>
      <c r="Q30" s="31"/>
      <c r="R30" s="100" t="str">
        <f>VLOOKUP(C30,'Train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0" s="103" t="str">
        <f>VLOOKUP(C30,'Train Runs'!$A$13:$AE$10025,22,0)</f>
        <v>https://search-rtdc-monitor-bjffxe2xuh6vdkpspy63sjmuny.us-east-1.es.amazonaws.com/_plugin/kibana/#/discover/Steve-Slow-Train-Analysis-(2080s-and-2083s)?_g=(refreshInterval:(display:Off,section:0,value:0),time:(from:'2016-10-17 10:37:16-0600',mode:absolute,to:'2016-10-17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0" s="105" t="str">
        <f t="shared" si="1"/>
        <v>"C:\Program Files (x86)\AstroGrep\AstroGrep.exe" /spath="%USERPROFILE%\AppData\Local\Temp\OnboardLogs" /stypes="*4030*201610171*" /stext=" 17:.+((SYSTEM_STATE.+slice.+state.+changed )|(ment ac)|(system.+state.+changed )|(\[timeout)|(PRM\|1\|D)|(kpr)|(kdp)|(\|lc)|(penalty))" /e /r /s</v>
      </c>
      <c r="U30" s="9" t="str">
        <f t="shared" si="2"/>
        <v>4030</v>
      </c>
      <c r="V30" s="36">
        <f t="shared" si="3"/>
        <v>42660.742361111108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{"issue":{"subject":"","project_id":79,"tracker_id":40,"status_id":1,"priority_id":2,"assigned_to_id":23,"start_date":"2016-10-17","description":"","custom_fields":[{"id":1,"name":"Subdivision","value":"NW"},{"id":4,"name":"Milepost","value":"2.3491"},{"id":17,"name":"Train ID","value":"818-17"},{"id":16,"name":"Locomotive ID","value":"4030"},{"id":130,"name":"Impact","value":""},{"id":150,"name":"Time of Event (Mountain Time)","value":"11:49:00"},{"id":151,"name":"Denver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5" t="str">
        <f t="shared" si="7"/>
        <v>grep -hSE -A100 "Enforcement Action" "%USERPROFILE%\AppData\Local\Temp\OnboardLogs"\RTDC4030\*4030*201610171* | grep -SE "((Enforcement Ac)|(PRM))" -</v>
      </c>
      <c r="AD30" s="1"/>
    </row>
    <row r="31" spans="1:30" ht="15" customHeight="1" x14ac:dyDescent="0.25">
      <c r="A31" s="36">
        <v>42660.523032407407</v>
      </c>
      <c r="B31" s="31" t="s">
        <v>338</v>
      </c>
      <c r="C31" s="31" t="s">
        <v>414</v>
      </c>
      <c r="D31" s="31" t="s">
        <v>49</v>
      </c>
      <c r="E31" s="31" t="s">
        <v>266</v>
      </c>
      <c r="F31" s="47">
        <v>150</v>
      </c>
      <c r="G31" s="47">
        <v>368</v>
      </c>
      <c r="H31" s="47">
        <v>55700</v>
      </c>
      <c r="I31" s="47">
        <v>56560</v>
      </c>
      <c r="J31" s="31" t="s">
        <v>267</v>
      </c>
      <c r="K31" s="47">
        <v>57008</v>
      </c>
      <c r="L31" s="162" t="s">
        <v>50</v>
      </c>
      <c r="M31" s="163">
        <f t="shared" si="0"/>
        <v>236.54400000000001</v>
      </c>
      <c r="N31" s="164" t="str">
        <f>VLOOKUP(C31,'Trips&amp;Operators'!$C$1:$E$99999,3,FALSE)</f>
        <v>ROCHA</v>
      </c>
      <c r="O31" s="144" t="s">
        <v>265</v>
      </c>
      <c r="P31" s="165"/>
      <c r="Q31" s="31"/>
      <c r="R31" s="100" t="str">
        <f>VLOOKUP(C31,'Train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1" s="103" t="str">
        <f>VLOOKUP(C31,'Train Runs'!$A$13:$AE$10025,22,0)</f>
        <v>https://search-rtdc-monitor-bjffxe2xuh6vdkpspy63sjmuny.us-east-1.es.amazonaws.com/_plugin/kibana/#/discover/Steve-Slow-Train-Analysis-(2080s-and-2083s)?_g=(refreshInterval:(display:Off,section:0,value:0),time:(from:'2016-10-17 11:07:18-0600',mode:absolute,to:'2016-10-17 13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1" s="105" t="str">
        <f t="shared" si="1"/>
        <v>"C:\Program Files (x86)\AstroGrep\AstroGrep.exe" /spath="%USERPROFILE%\AppData\Local\Temp\OnboardLogs" /stypes="*4029*201610171*" /stext=" 18:.+((SYSTEM_STATE.+slice.+state.+changed )|(ment ac)|(system.+state.+changed )|(\[timeout)|(PRM\|1\|D)|(kpr)|(kdp)|(\|lc)|(penalty))" /e /r /s</v>
      </c>
      <c r="U31" s="9" t="str">
        <f t="shared" si="2"/>
        <v>4029</v>
      </c>
      <c r="V31" s="36">
        <f t="shared" si="3"/>
        <v>42660.773032407407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{"issue":{"subject":"","project_id":79,"tracker_id":40,"status_id":1,"priority_id":2,"assigned_to_id":23,"start_date":"2016-10-17","description":"","custom_fields":[{"id":1,"name":"Subdivision","value":"NW"},{"id":4,"name":"Milepost","value":"5.7008"},{"id":17,"name":"Train ID","value":"819-17"},{"id":16,"name":"Locomotive ID","value":"4029"},{"id":130,"name":"Impact","value":""},{"id":150,"name":"Time of Event (Mountain Time)","value":"12:33:10"},{"id":151,"name":"Denver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5" t="str">
        <f t="shared" si="7"/>
        <v>grep -hSE -A100 "Enforcement Action" "%USERPROFILE%\AppData\Local\Temp\OnboardLogs"\RTDC4029\*4029*201610171* | grep -SE "((Enforcement Ac)|(PRM))" -</v>
      </c>
      <c r="AD31" s="1"/>
    </row>
    <row r="32" spans="1:30" x14ac:dyDescent="0.25">
      <c r="A32" s="36">
        <v>42660.408946759257</v>
      </c>
      <c r="B32" s="31" t="s">
        <v>343</v>
      </c>
      <c r="C32" s="31" t="s">
        <v>409</v>
      </c>
      <c r="D32" s="31" t="s">
        <v>49</v>
      </c>
      <c r="E32" s="31" t="s">
        <v>269</v>
      </c>
      <c r="F32" s="47">
        <v>0</v>
      </c>
      <c r="G32" s="47">
        <v>242</v>
      </c>
      <c r="H32" s="47">
        <v>25110</v>
      </c>
      <c r="I32" s="47">
        <v>24479</v>
      </c>
      <c r="J32" s="31" t="s">
        <v>270</v>
      </c>
      <c r="K32" s="47">
        <v>24235</v>
      </c>
      <c r="L32" s="162" t="s">
        <v>51</v>
      </c>
      <c r="M32" s="163">
        <f t="shared" si="0"/>
        <v>128.83199999999999</v>
      </c>
      <c r="N32" s="164" t="str">
        <f>VLOOKUP(C32,'Trips&amp;Operators'!$C$1:$E$99999,3,FALSE)</f>
        <v>ROCHA</v>
      </c>
      <c r="O32" s="144" t="s">
        <v>265</v>
      </c>
      <c r="P32" s="165" t="s">
        <v>785</v>
      </c>
      <c r="Q32" s="31"/>
      <c r="R32" s="100" t="str">
        <f>VLOOKUP(C32,'Train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2" s="103" t="str">
        <f>VLOOKUP(C32,'Train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2" s="105" t="str">
        <f t="shared" si="1"/>
        <v>"C:\Program Files (x86)\AstroGrep\AstroGrep.exe" /spath="%USERPROFILE%\AppData\Local\Temp\OnboardLogs" /stypes="*4030*201610171*" /stext=" 15:.+((SYSTEM_STATE.+slice.+state.+changed )|(ment ac)|(system.+state.+changed )|(\[timeout)|(PRM\|1\|D)|(kpr)|(kdp)|(\|lc)|(penalty))" /e /r /s</v>
      </c>
      <c r="U32" s="9" t="str">
        <f t="shared" si="2"/>
        <v>4030</v>
      </c>
      <c r="V32" s="36">
        <f t="shared" si="3"/>
        <v>42660.658946759257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{"issue":{"subject":"CRMF 2S STOP, cleared afterward","project_id":79,"tracker_id":40,"status_id":1,"priority_id":2,"assigned_to_id":23,"start_date":"2016-10-17","description":"","custom_fields":[{"id":1,"name":"Subdivision","value":"NW"},{"id":4,"name":"Milepost","value":"2.4235"},{"id":17,"name":"Train ID","value":"814-17"},{"id":16,"name":"Locomotive ID","value":"4030"},{"id":130,"name":"Impact","value":""},{"id":150,"name":"Time of Event (Mountain Time)","value":"09:48:53"},{"id":151,"name":"Denver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5" t="str">
        <f t="shared" si="7"/>
        <v>grep -hSE -A100 "Enforcement Action" "%USERPROFILE%\AppData\Local\Temp\OnboardLogs"\RTDC4030\*4030*201610171* | grep -SE "((Enforcement Ac)|(PRM))" -</v>
      </c>
      <c r="AD32" s="1"/>
    </row>
    <row r="33" spans="1:30" ht="15" customHeight="1" x14ac:dyDescent="0.25">
      <c r="A33" s="36">
        <v>42660.312256944446</v>
      </c>
      <c r="B33" s="31" t="s">
        <v>338</v>
      </c>
      <c r="C33" s="31" t="s">
        <v>404</v>
      </c>
      <c r="D33" s="31" t="s">
        <v>49</v>
      </c>
      <c r="E33" s="31" t="s">
        <v>269</v>
      </c>
      <c r="F33" s="47">
        <v>0</v>
      </c>
      <c r="G33" s="47">
        <v>372</v>
      </c>
      <c r="H33" s="47">
        <v>35311</v>
      </c>
      <c r="I33" s="47">
        <v>36405</v>
      </c>
      <c r="J33" s="31" t="s">
        <v>270</v>
      </c>
      <c r="K33" s="47">
        <v>37575</v>
      </c>
      <c r="L33" s="162" t="s">
        <v>50</v>
      </c>
      <c r="M33" s="163">
        <f t="shared" si="0"/>
        <v>617.76</v>
      </c>
      <c r="N33" s="164" t="str">
        <f>VLOOKUP(C33,'Trips&amp;Operators'!$C$1:$E$99999,3,FALSE)</f>
        <v>ROCHA</v>
      </c>
      <c r="O33" s="144" t="s">
        <v>206</v>
      </c>
      <c r="P33" s="165" t="s">
        <v>391</v>
      </c>
      <c r="Q33" s="31"/>
      <c r="R33" s="100" t="str">
        <f>VLOOKUP(C33,'Train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3" s="103" t="str">
        <f>VLOOKUP(C33,'Train Runs'!$A$13:$AE$10025,22,0)</f>
        <v>https://search-rtdc-monitor-bjffxe2xuh6vdkpspy63sjmuny.us-east-1.es.amazonaws.com/_plugin/kibana/#/discover/Steve-Slow-Train-Analysis-(2080s-and-2083s)?_g=(refreshInterval:(display:Off,section:0,value:0),time:(from:'2016-10-17 06:14:07-0600',mode:absolute,to:'2016-10-17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3" s="105" t="str">
        <f t="shared" si="1"/>
        <v>"C:\Program Files (x86)\AstroGrep\AstroGrep.exe" /spath="%USERPROFILE%\AppData\Local\Temp\OnboardLogs" /stypes="*4029*201610171*" /stext=" 13:.+((SYSTEM_STATE.+slice.+state.+changed )|(ment ac)|(system.+state.+changed )|(\[timeout)|(PRM\|1\|D)|(kpr)|(kdp)|(\|lc)|(penalty))" /e /r /s</v>
      </c>
      <c r="U33" s="9" t="str">
        <f t="shared" si="2"/>
        <v>4029</v>
      </c>
      <c r="V33" s="36">
        <f t="shared" si="3"/>
        <v>42660.562256944446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{"issue":{"subject":"Wi-MAX outage","project_id":79,"tracker_id":40,"status_id":1,"priority_id":2,"assigned_to_id":23,"start_date":"2016-10-17","description":"http://stevetu21.github.io/eaglep3/load_kml.html?kml=http://rtdc.gmaps-snips.s3.amazonaws.com/53ef04c1-506c-435e-ba70-584d2c7a061c.kml","custom_fields":[{"id":1,"name":"Subdivision","value":"NW"},{"id":4,"name":"Milepost","value":"3.7575"},{"id":17,"name":"Train ID","value":"807-17"},{"id":16,"name":"Locomotive ID","value":"4029"},{"id":130,"name":"Impact","value":"Enforcement"},{"id":150,"name":"Time of Event (Mountain Time)","value":"07:29:39"},{"id":151,"name":"Denver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171" t="s">
        <v>786</v>
      </c>
      <c r="AA33" s="53" t="s">
        <v>126</v>
      </c>
      <c r="AB33" s="53" t="s">
        <v>139</v>
      </c>
      <c r="AC33" s="145" t="str">
        <f t="shared" si="7"/>
        <v>grep -hSE -A100 "Enforcement Action" "%USERPROFILE%\AppData\Local\Temp\OnboardLogs"\RTDC4029\*4029*201610171* | grep -SE "((Enforcement Ac)|(PRM))" -</v>
      </c>
      <c r="AD33" s="1"/>
    </row>
    <row r="34" spans="1:30" x14ac:dyDescent="0.25">
      <c r="A34" s="36">
        <v>42660.415590277778</v>
      </c>
      <c r="B34" s="31" t="s">
        <v>343</v>
      </c>
      <c r="C34" s="31" t="s">
        <v>409</v>
      </c>
      <c r="D34" s="31" t="s">
        <v>49</v>
      </c>
      <c r="E34" s="31" t="s">
        <v>271</v>
      </c>
      <c r="F34" s="47">
        <v>0</v>
      </c>
      <c r="G34" s="47">
        <v>35</v>
      </c>
      <c r="H34" s="47">
        <v>670</v>
      </c>
      <c r="I34" s="47">
        <v>643</v>
      </c>
      <c r="J34" s="31" t="s">
        <v>272</v>
      </c>
      <c r="K34" s="47">
        <v>575</v>
      </c>
      <c r="L34" s="162" t="s">
        <v>51</v>
      </c>
      <c r="M34" s="163">
        <f t="shared" si="0"/>
        <v>35.904000000000003</v>
      </c>
      <c r="N34" s="164" t="str">
        <f>VLOOKUP(C34,'Trips&amp;Operators'!$C$1:$E$99999,3,FALSE)</f>
        <v>ROCHA</v>
      </c>
      <c r="O34" s="144" t="s">
        <v>265</v>
      </c>
      <c r="P34" s="165"/>
      <c r="Q34" s="31"/>
      <c r="R34" s="100" t="str">
        <f>VLOOKUP(C34,'Train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4" s="103" t="str">
        <f>VLOOKUP(C34,'Train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08:35:42-0600',mode:absolute,to:'2016-10-17 10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4" s="105" t="str">
        <f t="shared" si="1"/>
        <v>"C:\Program Files (x86)\AstroGrep\AstroGrep.exe" /spath="%USERPROFILE%\AppData\Local\Temp\OnboardLogs" /stypes="*4030*201610171*" /stext=" 15:.+((SYSTEM_STATE.+slice.+state.+changed )|(ment ac)|(system.+state.+changed )|(\[timeout)|(PRM\|1\|D)|(kpr)|(kdp)|(\|lc)|(penalty))" /e /r /s</v>
      </c>
      <c r="U34" s="9" t="str">
        <f t="shared" si="2"/>
        <v>4030</v>
      </c>
      <c r="V34" s="36">
        <f t="shared" si="3"/>
        <v>42660.665590277778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{"issue":{"subject":"","project_id":79,"tracker_id":40,"status_id":1,"priority_id":2,"assigned_to_id":23,"start_date":"2016-10-17","description":"","custom_fields":[{"id":1,"name":"Subdivision","value":"NW"},{"id":4,"name":"Milepost","value":"0.0575"},{"id":17,"name":"Train ID","value":"814-17"},{"id":16,"name":"Locomotive ID","value":"4030"},{"id":130,"name":"Impact","value":""},{"id":150,"name":"Time of Event (Mountain Time)","value":"09:58:27"},{"id":151,"name":"Denver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5" t="str">
        <f t="shared" si="7"/>
        <v>grep -hSE -A100 "Enforcement Action" "%USERPROFILE%\AppData\Local\Temp\OnboardLogs"\RTDC4030\*4030*201610171* | grep -SE "((Enforcement Ac)|(PRM))" -</v>
      </c>
      <c r="AD34" s="1"/>
    </row>
    <row r="35" spans="1:30" x14ac:dyDescent="0.25">
      <c r="A35" s="36">
        <v>42660.498402777775</v>
      </c>
      <c r="B35" s="31" t="s">
        <v>343</v>
      </c>
      <c r="C35" s="31" t="s">
        <v>412</v>
      </c>
      <c r="D35" s="31" t="s">
        <v>49</v>
      </c>
      <c r="E35" s="31" t="s">
        <v>271</v>
      </c>
      <c r="F35" s="47">
        <v>0</v>
      </c>
      <c r="G35" s="47">
        <v>56</v>
      </c>
      <c r="H35" s="47">
        <v>757</v>
      </c>
      <c r="I35" s="47">
        <v>705</v>
      </c>
      <c r="J35" s="31" t="s">
        <v>272</v>
      </c>
      <c r="K35" s="47">
        <v>575</v>
      </c>
      <c r="L35" s="162" t="s">
        <v>51</v>
      </c>
      <c r="M35" s="163">
        <f t="shared" si="0"/>
        <v>68.64</v>
      </c>
      <c r="N35" s="164" t="str">
        <f>VLOOKUP(C35,'Trips&amp;Operators'!$C$1:$E$99999,3,FALSE)</f>
        <v>ROCHA</v>
      </c>
      <c r="O35" s="144" t="s">
        <v>265</v>
      </c>
      <c r="P35" s="165"/>
      <c r="Q35" s="31"/>
      <c r="R35" s="100" t="str">
        <f>VLOOKUP(C35,'Train Runs'!$A$13:$AE$10025,31,0)</f>
        <v>aws s3 cp s3://rtdc.mdm.uploadarchive.raw/RTDC4030/ "%USERPROFILE%\AppData\Local\Temp\OnboardLogs"\RTDC4030\2016-10-17 --exclude "*" --recursive --include "*20161017*" &amp; "%USERPROFILE%\Documents\GitHub\mrs-test-scripts\Headless Mode &amp; Sideloading\WalkAndUnGZ.bat" "%USERPROFILE%\AppData\Local\Temp\OnboardLogs"\RTDC4030\2016-10-17 &amp; aws s3 cp s3://rtdc.mdm.uploadarchive.raw/RTDC4030/ "%USERPROFILE%\AppData\Local\Temp\OnboardLogs"\RTDC4030\2016-10-18 --exclude "*" --recursive --include "*20161018*" &amp; "%USERPROFILE%\Documents\GitHub\mrs-test-scripts\Headless Mode &amp; Sideloading\WalkAndUnGZ.bat" "%USERPROFILE%\AppData\Local\Temp\OnboardLogs"\RTDC4030\2016-10-18</v>
      </c>
      <c r="S35" s="103" t="str">
        <f>VLOOKUP(C35,'Train Runs'!$A$13:$AE$10025,22,0)</f>
        <v>https://search-rtdc-monitor-bjffxe2xuh6vdkpspy63sjmuny.us-east-1.es.amazonaws.com/_plugin/kibana/#/discover/Steve-Slow-Train-Analysis-(2080s-and-2083s)?_g=(refreshInterval:(display:Off,section:0,value:0),time:(from:'2016-10-17 10:37:16-0600',mode:absolute,to:'2016-10-17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5" t="str">
        <f t="shared" si="1"/>
        <v>"C:\Program Files (x86)\AstroGrep\AstroGrep.exe" /spath="%USERPROFILE%\AppData\Local\Temp\OnboardLogs" /stypes="*4030*201610171*" /stext=" 17:.+((SYSTEM_STATE.+slice.+state.+changed )|(ment ac)|(system.+state.+changed )|(\[timeout)|(PRM\|1\|D)|(kpr)|(kdp)|(\|lc)|(penalty))" /e /r /s</v>
      </c>
      <c r="U35" s="9" t="str">
        <f t="shared" si="2"/>
        <v>4030</v>
      </c>
      <c r="V35" s="36">
        <f t="shared" si="3"/>
        <v>42660.748402777775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{"issue":{"subject":"","project_id":79,"tracker_id":40,"status_id":1,"priority_id":2,"assigned_to_id":23,"start_date":"2016-10-17","description":"","custom_fields":[{"id":1,"name":"Subdivision","value":"NW"},{"id":4,"name":"Milepost","value":"0.0575"},{"id":17,"name":"Train ID","value":"818-17"},{"id":16,"name":"Locomotive ID","value":"4030"},{"id":130,"name":"Impact","value":""},{"id":150,"name":"Time of Event (Mountain Time)","value":"11:57:42"},{"id":151,"name":"Denver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5" t="str">
        <f t="shared" si="7"/>
        <v>grep -hSE -A100 "Enforcement Action" "%USERPROFILE%\AppData\Local\Temp\OnboardLogs"\RTDC4030\*4030*201610171* | grep -SE "((Enforcement Ac)|(PRM))" -</v>
      </c>
      <c r="AD35" s="1"/>
    </row>
    <row r="36" spans="1:30" x14ac:dyDescent="0.25">
      <c r="A36" s="36">
        <v>42660.39875</v>
      </c>
      <c r="B36" s="31" t="s">
        <v>338</v>
      </c>
      <c r="C36" s="31" t="s">
        <v>408</v>
      </c>
      <c r="D36" s="31" t="s">
        <v>49</v>
      </c>
      <c r="E36" s="31" t="s">
        <v>271</v>
      </c>
      <c r="F36" s="47">
        <v>0</v>
      </c>
      <c r="G36" s="47">
        <v>41</v>
      </c>
      <c r="H36" s="47">
        <v>58961</v>
      </c>
      <c r="I36" s="47">
        <v>58993</v>
      </c>
      <c r="J36" s="31" t="s">
        <v>272</v>
      </c>
      <c r="K36" s="47">
        <v>59048</v>
      </c>
      <c r="L36" s="162" t="s">
        <v>50</v>
      </c>
      <c r="M36" s="163">
        <f t="shared" si="0"/>
        <v>29.04</v>
      </c>
      <c r="N36" s="164" t="str">
        <f>VLOOKUP(C36,'Trips&amp;Operators'!$C$1:$E$99999,3,FALSE)</f>
        <v>ROCHA</v>
      </c>
      <c r="O36" s="144" t="s">
        <v>265</v>
      </c>
      <c r="P36" s="165"/>
      <c r="Q36" s="31"/>
      <c r="R36" s="100" t="str">
        <f>VLOOKUP(C36,'Train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6" s="103" t="str">
        <f>VLOOKUP(C36,'Train Runs'!$A$13:$AE$10025,22,0)</f>
        <v>https://search-rtdc-monitor-bjffxe2xuh6vdkpspy63sjmuny.us-east-1.es.amazonaws.com/_plugin/kibana/#/discover/Steve-Slow-Train-Analysis-(2080s-and-2083s)?_g=(refreshInterval:(display:Off,section:0,value:0),time:(from:'2016-10-17 08:18:20-0600',mode:absolute,to:'2016-10-17 10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5" t="str">
        <f t="shared" si="1"/>
        <v>"C:\Program Files (x86)\AstroGrep\AstroGrep.exe" /spath="%USERPROFILE%\AppData\Local\Temp\OnboardLogs" /stypes="*4029*201610171*" /stext=" 15:.+((SYSTEM_STATE.+slice.+state.+changed )|(ment ac)|(system.+state.+changed )|(\[timeout)|(PRM\|1\|D)|(kpr)|(kdp)|(\|lc)|(penalty))" /e /r /s</v>
      </c>
      <c r="U36" s="9" t="str">
        <f t="shared" si="2"/>
        <v>4029</v>
      </c>
      <c r="V36" s="36">
        <f t="shared" si="3"/>
        <v>42660.64875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{"issue":{"subject":"","project_id":79,"tracker_id":40,"status_id":1,"priority_id":2,"assigned_to_id":23,"start_date":"2016-10-17","description":"","custom_fields":[{"id":1,"name":"Subdivision","value":"NW"},{"id":4,"name":"Milepost","value":"5.9048"},{"id":17,"name":"Train ID","value":"813-17"},{"id":16,"name":"Locomotive ID","value":"4029"},{"id":130,"name":"Impact","value":""},{"id":150,"name":"Time of Event (Mountain Time)","value":"09:34:12"},{"id":151,"name":"Denver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5" t="str">
        <f t="shared" si="7"/>
        <v>grep -hSE -A100 "Enforcement Action" "%USERPROFILE%\AppData\Local\Temp\OnboardLogs"\RTDC4029\*4029*201610171* | grep -SE "((Enforcement Ac)|(PRM))" -</v>
      </c>
      <c r="AD36" s="1"/>
    </row>
    <row r="37" spans="1:30" ht="15" customHeight="1" x14ac:dyDescent="0.25">
      <c r="A37" s="36">
        <v>42660.566342592596</v>
      </c>
      <c r="B37" s="31" t="s">
        <v>338</v>
      </c>
      <c r="C37" s="31" t="s">
        <v>417</v>
      </c>
      <c r="D37" s="31" t="s">
        <v>49</v>
      </c>
      <c r="E37" s="31" t="s">
        <v>271</v>
      </c>
      <c r="F37" s="47">
        <v>0</v>
      </c>
      <c r="G37" s="47">
        <v>35</v>
      </c>
      <c r="H37" s="47">
        <v>58976</v>
      </c>
      <c r="I37" s="47">
        <v>58988</v>
      </c>
      <c r="J37" s="31" t="s">
        <v>272</v>
      </c>
      <c r="K37" s="47">
        <v>59048</v>
      </c>
      <c r="L37" s="162" t="s">
        <v>50</v>
      </c>
      <c r="M37" s="163">
        <f t="shared" si="0"/>
        <v>31.68</v>
      </c>
      <c r="N37" s="164" t="str">
        <f>VLOOKUP(C37,'Trips&amp;Operators'!$C$1:$E$99999,3,FALSE)</f>
        <v>BRUDER</v>
      </c>
      <c r="O37" s="144" t="s">
        <v>265</v>
      </c>
      <c r="P37" s="165"/>
      <c r="Q37" s="31"/>
      <c r="R37" s="100" t="str">
        <f>VLOOKUP(C37,'Train Runs'!$A$13:$AE$10025,31,0)</f>
        <v>aws s3 cp s3://rtdc.mdm.uploadarchive.raw/RTDC4029/ "%USERPROFILE%\AppData\Local\Temp\OnboardLogs"\RTDC4029\2016-10-17 --exclude "*" --recursive --include "*20161017*" &amp; "%USERPROFILE%\Documents\GitHub\mrs-test-scripts\Headless Mode &amp; Sideloading\WalkAndUnGZ.bat" "%USERPROFILE%\AppData\Local\Temp\OnboardLogs"\RTDC4029\2016-10-17 &amp; aws s3 cp s3://rtdc.mdm.uploadarchive.raw/RTDC4029/ "%USERPROFILE%\AppData\Local\Temp\OnboardLogs"\RTDC4029\2016-10-18 --exclude "*" --recursive --include "*20161018*" &amp; "%USERPROFILE%\Documents\GitHub\mrs-test-scripts\Headless Mode &amp; Sideloading\WalkAndUnGZ.bat" "%USERPROFILE%\AppData\Local\Temp\OnboardLogs"\RTDC4029\2016-10-18</v>
      </c>
      <c r="S37" s="103" t="str">
        <f>VLOOKUP(C37,'Train Runs'!$A$13:$AE$10025,22,0)</f>
        <v>https://search-rtdc-monitor-bjffxe2xuh6vdkpspy63sjmuny.us-east-1.es.amazonaws.com/_plugin/kibana/#/discover/Steve-Slow-Train-Analysis-(2080s-and-2083s)?_g=(refreshInterval:(display:Off,section:0,value:0),time:(from:'2016-10-17 12:15:20-0600',mode:absolute,to:'2016-10-17 14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5" t="str">
        <f t="shared" si="1"/>
        <v>"C:\Program Files (x86)\AstroGrep\AstroGrep.exe" /spath="%USERPROFILE%\AppData\Local\Temp\OnboardLogs" /stypes="*4029*201610171*" /stext=" 19:.+((SYSTEM_STATE.+slice.+state.+changed )|(ment ac)|(system.+state.+changed )|(\[timeout)|(PRM\|1\|D)|(kpr)|(kdp)|(\|lc)|(penalty))" /e /r /s</v>
      </c>
      <c r="U37" s="9" t="str">
        <f t="shared" si="2"/>
        <v>4029</v>
      </c>
      <c r="V37" s="36">
        <f t="shared" si="3"/>
        <v>42660.816342592596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{"issue":{"subject":"","project_id":79,"tracker_id":40,"status_id":1,"priority_id":2,"assigned_to_id":23,"start_date":"2016-10-17","description":"","custom_fields":[{"id":1,"name":"Subdivision","value":"NW"},{"id":4,"name":"Milepost","value":"5.9048"},{"id":17,"name":"Train ID","value":"821-17"},{"id":16,"name":"Locomotive ID","value":"4029"},{"id":130,"name":"Impact","value":""},{"id":150,"name":"Time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5" t="str">
        <f t="shared" si="7"/>
        <v>grep -hSE -A100 "Enforcement Action" "%USERPROFILE%\AppData\Local\Temp\OnboardLogs"\RTDC4029\*4029*201610171* | grep -SE "((Enforcement Ac)|(PRM))" -</v>
      </c>
      <c r="AD37" s="1"/>
    </row>
    <row r="38" spans="1:30" x14ac:dyDescent="0.25">
      <c r="A38" s="36">
        <v>42660.651365740741</v>
      </c>
      <c r="B38" s="31" t="s">
        <v>420</v>
      </c>
      <c r="C38" s="31" t="s">
        <v>421</v>
      </c>
      <c r="D38" s="31" t="s">
        <v>49</v>
      </c>
      <c r="E38" s="31" t="s">
        <v>269</v>
      </c>
      <c r="F38" s="47">
        <v>0</v>
      </c>
      <c r="G38" s="47">
        <v>64</v>
      </c>
      <c r="H38" s="47">
        <v>24352</v>
      </c>
      <c r="I38" s="47">
        <v>24328</v>
      </c>
      <c r="J38" s="31" t="s">
        <v>270</v>
      </c>
      <c r="K38" s="47">
        <v>24235</v>
      </c>
      <c r="L38" s="162" t="s">
        <v>51</v>
      </c>
      <c r="M38" s="163">
        <f t="shared" si="0"/>
        <v>49.103999999999999</v>
      </c>
      <c r="N38" s="164" t="str">
        <f>VLOOKUP(C38,'Trips&amp;Operators'!$C$1:$E$99999,3,FALSE)</f>
        <v>DELGADO</v>
      </c>
      <c r="O38" s="144" t="s">
        <v>265</v>
      </c>
      <c r="P38" s="165"/>
      <c r="Q38" s="31"/>
      <c r="R38" s="100" t="str">
        <f>VLOOKUP(C38,'Train Runs'!$A$13:$AE$10025,31,0)</f>
        <v>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 &amp; aws s3 cp s3://rtdc.mdm.uploadarchive.raw/RTDC4054/ "%USERPROFILE%\AppData\Local\Temp\OnboardLogs"\RTDC4054\2016-10-18 --exclude "*" --recursive --include "*20161018*" &amp; "%USERPROFILE%\Documents\GitHub\mrs-test-scripts\Headless Mode &amp; Sideloading\WalkAndUnGZ.bat" "%USERPROFILE%\AppData\Local\Temp\OnboardLogs"\RTDC4054\2016-10-18</v>
      </c>
      <c r="S38" s="103" t="str">
        <f>VLOOKUP(C38,'Train Runs'!$A$13:$AE$10025,22,0)</f>
        <v>https://search-rtdc-monitor-bjffxe2xuh6vdkpspy63sjmuny.us-east-1.es.amazonaws.com/_plugin/kibana/#/discover/Steve-Slow-Train-Analysis-(2080s-and-2083s)?_g=(refreshInterval:(display:Off,section:0,value:0),time:(from:'2016-10-17 14:42:31-0600',mode:absolute,to:'2016-10-17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8" s="105" t="str">
        <f t="shared" si="1"/>
        <v>"C:\Program Files (x86)\AstroGrep\AstroGrep.exe" /spath="%USERPROFILE%\AppData\Local\Temp\OnboardLogs" /stypes="*4054*201610172*" /stext=" 21:.+((SYSTEM_STATE.+slice.+state.+changed )|(ment ac)|(system.+state.+changed )|(\[timeout)|(PRM\|1\|D)|(kpr)|(kdp)|(\|lc)|(penalty))" /e /r /s</v>
      </c>
      <c r="U38" s="9" t="str">
        <f t="shared" si="2"/>
        <v>4054</v>
      </c>
      <c r="V38" s="36">
        <f t="shared" si="3"/>
        <v>42660.901365740741</v>
      </c>
      <c r="W38" s="50" t="str">
        <f t="shared" si="4"/>
        <v>Other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{"issue":{"subject":"","project_id":79,"tracker_id":40,"status_id":1,"priority_id":2,"assigned_to_id":23,"start_date":"2016-10-17","description":"","custom_fields":[{"id":1,"name":"Subdivision","value":"Other"},{"id":4,"name":"Milepost","value":"2.4235"},{"id":17,"name":"Train ID","value":"904-17"},{"id":16,"name":"Locomotive ID","value":"4054"},{"id":130,"name":"Impact","value":""},{"id":150,"name":"Time of Event (Mountain Time)","value":"15:37:58"},{"id":151,"name":"Denver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5" t="str">
        <f t="shared" si="7"/>
        <v>grep -hSE -A100 "Enforcement Action" "%USERPROFILE%\AppData\Local\Temp\OnboardLogs"\RTDC4054\*4054*201610172* | grep -SE "((Enforcement Ac)|(PRM))" -</v>
      </c>
      <c r="AD38" s="1"/>
    </row>
    <row r="39" spans="1:30" x14ac:dyDescent="0.25">
      <c r="A39" s="36">
        <v>42660.737916666665</v>
      </c>
      <c r="B39" s="31" t="s">
        <v>281</v>
      </c>
      <c r="C39" s="31" t="s">
        <v>422</v>
      </c>
      <c r="D39" s="31" t="s">
        <v>49</v>
      </c>
      <c r="E39" s="31" t="s">
        <v>271</v>
      </c>
      <c r="F39" s="47">
        <v>0</v>
      </c>
      <c r="G39" s="47">
        <v>20</v>
      </c>
      <c r="H39" s="47">
        <v>43</v>
      </c>
      <c r="I39" s="47">
        <v>28</v>
      </c>
      <c r="J39" s="31" t="s">
        <v>272</v>
      </c>
      <c r="K39" s="47">
        <v>1</v>
      </c>
      <c r="L39" s="162" t="s">
        <v>51</v>
      </c>
      <c r="M39" s="163">
        <f t="shared" si="0"/>
        <v>14.256</v>
      </c>
      <c r="N39" s="164" t="str">
        <f>VLOOKUP(C39,'Trips&amp;Operators'!$C$1:$E$99999,3,FALSE)</f>
        <v>MATTHEWS</v>
      </c>
      <c r="O39" s="144" t="s">
        <v>265</v>
      </c>
      <c r="P39" s="165"/>
      <c r="Q39" s="31"/>
      <c r="R39" s="100" t="e">
        <f>VLOOKUP(C39,'Train Runs'!$A$13:$AE$10025,31,0)</f>
        <v>#N/A</v>
      </c>
      <c r="S39" s="103" t="e">
        <f>VLOOKUP(C39,'Train Runs'!$A$13:$AE$10025,22,0)</f>
        <v>#N/A</v>
      </c>
      <c r="T39" s="105" t="str">
        <f t="shared" si="1"/>
        <v>"C:\Program Files (x86)\AstroGrep\AstroGrep.exe" /spath="%USERPROFILE%\AppData\Local\Temp\OnboardLogs" /stypes="*4041*201610172*" /stext=" 23:.+((SYSTEM_STATE.+slice.+state.+changed )|(ment ac)|(system.+state.+changed )|(\[timeout)|(PRM\|1\|D)|(kpr)|(kdp)|(\|lc)|(penalty))" /e /r /s</v>
      </c>
      <c r="U39" s="9" t="str">
        <f t="shared" si="2"/>
        <v>4041</v>
      </c>
      <c r="V39" s="36">
        <f t="shared" si="3"/>
        <v>42660.987916666665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{"issue":{"subject":"","project_id":79,"tracker_id":40,"status_id":1,"priority_id":2,"assigned_to_id":23,"start_date":"2016-10-17","description":"","custom_fields":[{"id":1,"name":"Subdivision","value":"Other"},{"id":4,"name":"Milepost","value":"0.0001"},{"id":17,"name":"Train ID","value":"54-17"},{"id":16,"name":"Locomotive ID","value":"4041"},{"id":130,"name":"Impact","value":""},{"id":150,"name":"Time of Event (Mountain Time)","value":"17:42:36"},{"id":151,"name":"Denver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5" t="str">
        <f t="shared" si="7"/>
        <v>grep -hSE -A100 "Enforcement Action" "%USERPROFILE%\AppData\Local\Temp\OnboardLogs"\RTDC4041\*4041*201610172* | grep -SE "((Enforcement Ac)|(PRM))" -</v>
      </c>
      <c r="AD39" s="1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39"/>
      <sortCondition ref="E7:E39"/>
      <sortCondition ref="K7:K39"/>
      <sortCondition ref="F7:F39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39">
    <cfRule type="cellIs" dxfId="1" priority="2" operator="equal">
      <formula>"Y"</formula>
    </cfRule>
  </conditionalFormatting>
  <conditionalFormatting sqref="A7:P39">
    <cfRule type="expression" dxfId="0" priority="1">
      <formula>$O7="Y"</formula>
    </cfRule>
  </conditionalFormatting>
  <hyperlinks>
    <hyperlink ref="Z3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AB7:AB39</xm:sqref>
        </x14:dataValidation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" sqref="E3"/>
    </sheetView>
  </sheetViews>
  <sheetFormatPr defaultRowHeight="15" x14ac:dyDescent="0.25"/>
  <cols>
    <col min="1" max="1" width="9.140625" style="13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39"/>
      <c r="B1" s="187" t="str">
        <f>"Trips that did not appear in PTC Data "&amp;TEXT(Variables!$A$2,"YYYY-mm-dd")</f>
        <v>Trips that did not appear in PTC Data 2016-10-17</v>
      </c>
      <c r="C1" s="187"/>
      <c r="D1" s="187"/>
      <c r="E1" s="187"/>
      <c r="F1" s="187"/>
    </row>
    <row r="2" spans="1:11" s="24" customFormat="1" ht="45" x14ac:dyDescent="0.25">
      <c r="A2" s="14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85">
        <v>237</v>
      </c>
      <c r="B3" s="47" t="str">
        <f>A3&amp;"-"&amp;IF(DAY(Variables!$A$2)&lt;10,0,"")&amp;DAY(Variables!$A$2)</f>
        <v>237-17</v>
      </c>
      <c r="C3" s="166"/>
      <c r="D3" s="167"/>
      <c r="E3" s="31" t="s">
        <v>775</v>
      </c>
      <c r="F3" s="22" t="str">
        <f>VLOOKUP(B3,'Trips&amp;Operators'!$C$2:$E$10000,3,FALSE)</f>
        <v>LEVERE</v>
      </c>
      <c r="G3" s="22" t="str">
        <f>VLOOKUP(B3,'Trips&amp;Operators'!$C$1:$F$10000,4,FALSE)</f>
        <v>rtdc.l.rtdc.4046:itc</v>
      </c>
      <c r="H3" s="30">
        <f>VLOOKUP(B3,'Trips&amp;Operators'!$C$1:$H$10000,5,FALSE)</f>
        <v>42660.949583333335</v>
      </c>
      <c r="I3" s="50" t="str">
        <f t="shared" ref="I3:I2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22237-17%22)),sort:!(Time,asc))</v>
      </c>
      <c r="J3" s="31" t="e">
        <f>VLOOKUP(B3,'Train Runs'!$A$13:$A$100022,1,FALSE)</f>
        <v>#N/A</v>
      </c>
      <c r="K3" s="21" t="e">
        <f t="shared" ref="K3:K20" si="1">IF(VLOOKUP(A3,$K$59:$K$82,1,FALSE),"Cancelled")</f>
        <v>#N/A</v>
      </c>
    </row>
    <row r="4" spans="1:11" x14ac:dyDescent="0.25">
      <c r="A4" s="154"/>
      <c r="B4" s="47" t="str">
        <f>A4&amp;"-"&amp;IF(DAY(Variables!$A$2)&lt;10,0,"")&amp;DAY(Variables!$A$2)</f>
        <v>-17</v>
      </c>
      <c r="C4" s="166"/>
      <c r="D4" s="167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31" t="e">
        <f>VLOOKUP(B4,'Train Runs'!$A$13:$A$100022,1,FALSE)</f>
        <v>#N/A</v>
      </c>
      <c r="K4" s="21" t="e">
        <f t="shared" si="1"/>
        <v>#N/A</v>
      </c>
    </row>
    <row r="5" spans="1:11" x14ac:dyDescent="0.25">
      <c r="A5" s="154"/>
      <c r="B5" s="47" t="str">
        <f>A5&amp;"-"&amp;IF(DAY(Variables!$A$2)&lt;10,0,"")&amp;DAY(Variables!$A$2)</f>
        <v>-17</v>
      </c>
      <c r="C5" s="166"/>
      <c r="D5" s="167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31" t="e">
        <f>VLOOKUP(B5,'Train Runs'!$A$13:$A$100022,1,FALSE)</f>
        <v>#N/A</v>
      </c>
      <c r="K5" s="21" t="e">
        <f t="shared" si="1"/>
        <v>#N/A</v>
      </c>
    </row>
    <row r="6" spans="1:11" x14ac:dyDescent="0.25">
      <c r="A6" s="154"/>
      <c r="B6" s="47" t="str">
        <f>A6&amp;"-"&amp;IF(DAY(Variables!$A$2)&lt;10,0,"")&amp;DAY(Variables!$A$2)</f>
        <v>-17</v>
      </c>
      <c r="C6" s="166"/>
      <c r="D6" s="167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31" t="e">
        <f>VLOOKUP(B6,'Train Runs'!$A$13:$A$100022,1,FALSE)</f>
        <v>#N/A</v>
      </c>
      <c r="K6" s="21" t="e">
        <f t="shared" si="1"/>
        <v>#N/A</v>
      </c>
    </row>
    <row r="7" spans="1:11" s="21" customFormat="1" x14ac:dyDescent="0.25">
      <c r="A7" s="154"/>
      <c r="B7" s="47" t="str">
        <f>A7&amp;"-"&amp;IF(DAY(Variables!$A$2)&lt;10,0,"")&amp;DAY(Variables!$A$2)</f>
        <v>-17</v>
      </c>
      <c r="C7" s="166"/>
      <c r="D7" s="167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31" t="e">
        <f>VLOOKUP(B7,'Train Runs'!$A$13:$A$100022,1,FALSE)</f>
        <v>#N/A</v>
      </c>
      <c r="K7" s="21" t="e">
        <f t="shared" si="1"/>
        <v>#N/A</v>
      </c>
    </row>
    <row r="8" spans="1:11" x14ac:dyDescent="0.25">
      <c r="A8" s="154"/>
      <c r="B8" s="47" t="str">
        <f>A8&amp;"-"&amp;IF(DAY(Variables!$A$2)&lt;10,0,"")&amp;DAY(Variables!$A$2)</f>
        <v>-17</v>
      </c>
      <c r="C8" s="166"/>
      <c r="D8" s="167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8" s="31" t="e">
        <f>VLOOKUP(B8,'Train Runs'!$A$13:$A$100022,1,FALSE)</f>
        <v>#N/A</v>
      </c>
      <c r="K8" s="21" t="e">
        <f t="shared" si="1"/>
        <v>#N/A</v>
      </c>
    </row>
    <row r="9" spans="1:11" x14ac:dyDescent="0.25">
      <c r="A9" s="154"/>
      <c r="B9" s="47" t="str">
        <f>A9&amp;"-"&amp;IF(DAY(Variables!$A$2)&lt;10,0,"")&amp;DAY(Variables!$A$2)</f>
        <v>-17</v>
      </c>
      <c r="C9" s="166"/>
      <c r="D9" s="167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9" s="31" t="e">
        <f>VLOOKUP(B9,'Train Runs'!$A$13:$A$100022,1,FALSE)</f>
        <v>#N/A</v>
      </c>
      <c r="K9" s="21" t="e">
        <f t="shared" si="1"/>
        <v>#N/A</v>
      </c>
    </row>
    <row r="10" spans="1:11" x14ac:dyDescent="0.25">
      <c r="A10" s="154"/>
      <c r="B10" s="47" t="str">
        <f>A10&amp;"-"&amp;IF(DAY(Variables!$A$2)&lt;10,0,"")&amp;DAY(Variables!$A$2)</f>
        <v>-17</v>
      </c>
      <c r="C10" s="166"/>
      <c r="D10" s="167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0" s="31" t="e">
        <f>VLOOKUP(B10,'Train Runs'!$A$13:$A$100022,1,FALSE)</f>
        <v>#N/A</v>
      </c>
      <c r="K10" s="21" t="e">
        <f t="shared" si="1"/>
        <v>#N/A</v>
      </c>
    </row>
    <row r="11" spans="1:11" x14ac:dyDescent="0.25">
      <c r="A11" s="154"/>
      <c r="B11" s="47" t="str">
        <f>A11&amp;"-"&amp;IF(DAY(Variables!$A$2)&lt;10,0,"")&amp;DAY(Variables!$A$2)</f>
        <v>-17</v>
      </c>
      <c r="C11" s="166"/>
      <c r="D11" s="167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1" s="31" t="e">
        <f>VLOOKUP(B11,'Train Runs'!$A$13:$A$100022,1,FALSE)</f>
        <v>#N/A</v>
      </c>
      <c r="K11" s="21" t="e">
        <f t="shared" si="1"/>
        <v>#N/A</v>
      </c>
    </row>
    <row r="12" spans="1:11" x14ac:dyDescent="0.25">
      <c r="A12" s="154"/>
      <c r="B12" s="47" t="str">
        <f>A12&amp;"-"&amp;IF(DAY(Variables!$A$2)&lt;10,0,"")&amp;DAY(Variables!$A$2)</f>
        <v>-17</v>
      </c>
      <c r="C12" s="166"/>
      <c r="D12" s="167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2" s="31" t="e">
        <f>VLOOKUP(B12,'Train Runs'!$A$13:$A$100022,1,FALSE)</f>
        <v>#N/A</v>
      </c>
      <c r="K12" s="21" t="e">
        <f t="shared" si="1"/>
        <v>#N/A</v>
      </c>
    </row>
    <row r="13" spans="1:11" x14ac:dyDescent="0.25">
      <c r="A13" s="154"/>
      <c r="B13" s="47" t="str">
        <f>A13&amp;"-"&amp;IF(DAY(Variables!$A$2)&lt;10,0,"")&amp;DAY(Variables!$A$2)</f>
        <v>-17</v>
      </c>
      <c r="C13" s="166"/>
      <c r="D13" s="167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3" s="31" t="e">
        <f>VLOOKUP(B13,'Train Runs'!$A$13:$A$100022,1,FALSE)</f>
        <v>#N/A</v>
      </c>
      <c r="K13" s="21" t="e">
        <f t="shared" si="1"/>
        <v>#N/A</v>
      </c>
    </row>
    <row r="14" spans="1:11" x14ac:dyDescent="0.25">
      <c r="A14" s="154"/>
      <c r="B14" s="47" t="str">
        <f>A14&amp;"-"&amp;IF(DAY(Variables!$A$2)&lt;10,0,"")&amp;DAY(Variables!$A$2)</f>
        <v>-17</v>
      </c>
      <c r="C14" s="166"/>
      <c r="D14" s="167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4" s="31" t="e">
        <f>VLOOKUP(B14,'Train Runs'!$A$13:$A$100022,1,FALSE)</f>
        <v>#N/A</v>
      </c>
      <c r="K14" s="21" t="e">
        <f t="shared" si="1"/>
        <v>#N/A</v>
      </c>
    </row>
    <row r="15" spans="1:11" x14ac:dyDescent="0.25">
      <c r="A15" s="154"/>
      <c r="B15" s="47" t="str">
        <f>A15&amp;"-"&amp;IF(DAY(Variables!$A$2)&lt;10,0,"")&amp;DAY(Variables!$A$2)</f>
        <v>-17</v>
      </c>
      <c r="C15" s="166"/>
      <c r="D15" s="167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5" s="31" t="e">
        <f>VLOOKUP(B15,'Train Runs'!$A$13:$A$100022,1,FALSE)</f>
        <v>#N/A</v>
      </c>
      <c r="K15" s="21" t="e">
        <f t="shared" si="1"/>
        <v>#N/A</v>
      </c>
    </row>
    <row r="16" spans="1:11" x14ac:dyDescent="0.25">
      <c r="A16" s="154"/>
      <c r="B16" s="47" t="str">
        <f>A16&amp;"-"&amp;IF(DAY(Variables!$A$2)&lt;10,0,"")&amp;DAY(Variables!$A$2)</f>
        <v>-17</v>
      </c>
      <c r="C16" s="166"/>
      <c r="D16" s="167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6" s="31" t="e">
        <f>VLOOKUP(B16,'Train Runs'!$A$13:$A$100022,1,FALSE)</f>
        <v>#N/A</v>
      </c>
      <c r="K16" s="21" t="e">
        <f t="shared" si="1"/>
        <v>#N/A</v>
      </c>
    </row>
    <row r="17" spans="1:11" x14ac:dyDescent="0.25">
      <c r="A17" s="154"/>
      <c r="B17" s="47" t="str">
        <f>A17&amp;"-"&amp;IF(DAY(Variables!$A$2)&lt;10,0,"")&amp;DAY(Variables!$A$2)</f>
        <v>-17</v>
      </c>
      <c r="C17" s="166"/>
      <c r="D17" s="167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7" s="31" t="e">
        <f>VLOOKUP(B17,'Train Runs'!$A$13:$A$100022,1,FALSE)</f>
        <v>#N/A</v>
      </c>
      <c r="K17" s="21" t="e">
        <f t="shared" si="1"/>
        <v>#N/A</v>
      </c>
    </row>
    <row r="18" spans="1:11" x14ac:dyDescent="0.25">
      <c r="A18" s="154"/>
      <c r="B18" s="47" t="str">
        <f>A18&amp;"-"&amp;IF(DAY(Variables!$A$2)&lt;10,0,"")&amp;DAY(Variables!$A$2)</f>
        <v>-17</v>
      </c>
      <c r="C18" s="166"/>
      <c r="D18" s="167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8" s="31" t="e">
        <f>VLOOKUP(B18,'Train Runs'!$A$13:$A$100022,1,FALSE)</f>
        <v>#N/A</v>
      </c>
      <c r="K18" s="21" t="e">
        <f t="shared" si="1"/>
        <v>#N/A</v>
      </c>
    </row>
    <row r="19" spans="1:11" x14ac:dyDescent="0.25">
      <c r="A19" s="154"/>
      <c r="B19" s="47" t="str">
        <f>A19&amp;"-"&amp;IF(DAY(Variables!$A$2)&lt;10,0,"")&amp;DAY(Variables!$A$2)</f>
        <v>-17</v>
      </c>
      <c r="C19" s="166"/>
      <c r="D19" s="167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9" s="31" t="e">
        <f>VLOOKUP(B19,'Train Runs'!$A$13:$A$100022,1,FALSE)</f>
        <v>#N/A</v>
      </c>
      <c r="K19" s="21" t="e">
        <f t="shared" si="1"/>
        <v>#N/A</v>
      </c>
    </row>
    <row r="20" spans="1:11" x14ac:dyDescent="0.25">
      <c r="A20" s="154"/>
      <c r="B20" s="47" t="str">
        <f>A20&amp;"-"&amp;IF(DAY(Variables!$A$2)&lt;10,0,"")&amp;DAY(Variables!$A$2)</f>
        <v>-17</v>
      </c>
      <c r="C20" s="166"/>
      <c r="D20" s="167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20" s="31" t="e">
        <f>VLOOKUP(B20,'Train Runs'!$A$13:$A$100022,1,FALSE)</f>
        <v>#N/A</v>
      </c>
      <c r="K20" s="21" t="e">
        <f t="shared" si="1"/>
        <v>#N/A</v>
      </c>
    </row>
    <row r="21" spans="1:11" x14ac:dyDescent="0.25">
      <c r="C21" s="110"/>
      <c r="D21" s="110"/>
      <c r="E21" s="31"/>
      <c r="F21" s="22"/>
      <c r="G21" s="22"/>
      <c r="H21" s="30"/>
      <c r="I21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42660.03224537037</v>
      </c>
      <c r="B2" s="21" t="s">
        <v>273</v>
      </c>
      <c r="C2" s="21" t="s">
        <v>347</v>
      </c>
      <c r="D2" s="21">
        <v>2360000</v>
      </c>
      <c r="E2" s="21" t="s">
        <v>223</v>
      </c>
      <c r="F2" s="21" t="str">
        <f t="shared" ref="F2:F65" si="0">B2</f>
        <v>rtdc.l.rtdc.4040:itc</v>
      </c>
      <c r="G2" s="8">
        <f t="shared" ref="G2:G65" si="1">A2</f>
        <v>42660.03224537037</v>
      </c>
    </row>
    <row r="3" spans="1:7" x14ac:dyDescent="0.25">
      <c r="A3" s="8">
        <v>42660.03392361111</v>
      </c>
      <c r="B3" s="21" t="s">
        <v>274</v>
      </c>
      <c r="C3" s="21" t="s">
        <v>348</v>
      </c>
      <c r="D3" s="21">
        <v>1810000</v>
      </c>
      <c r="E3" s="21" t="s">
        <v>283</v>
      </c>
      <c r="F3" s="21" t="str">
        <f t="shared" si="0"/>
        <v>rtdc.l.rtdc.4028:itc</v>
      </c>
      <c r="G3" s="8">
        <f t="shared" si="1"/>
        <v>42660.03392361111</v>
      </c>
    </row>
    <row r="4" spans="1:7" x14ac:dyDescent="0.25">
      <c r="A4" s="8">
        <v>42660.049710648149</v>
      </c>
      <c r="B4" s="21" t="s">
        <v>338</v>
      </c>
      <c r="C4" s="21" t="s">
        <v>349</v>
      </c>
      <c r="D4" s="21">
        <v>2350000</v>
      </c>
      <c r="E4" s="21" t="s">
        <v>346</v>
      </c>
      <c r="F4" s="21" t="str">
        <f t="shared" si="0"/>
        <v>rtdc.l.rtdc.4029:itc</v>
      </c>
      <c r="G4" s="8">
        <f t="shared" si="1"/>
        <v>42660.049710648149</v>
      </c>
    </row>
    <row r="5" spans="1:7" x14ac:dyDescent="0.25">
      <c r="A5" s="8">
        <v>42660.050902777781</v>
      </c>
      <c r="B5" s="21" t="s">
        <v>338</v>
      </c>
      <c r="C5" s="21" t="s">
        <v>349</v>
      </c>
      <c r="D5" s="21">
        <v>2350000</v>
      </c>
      <c r="E5" s="21" t="s">
        <v>346</v>
      </c>
      <c r="F5" s="21" t="str">
        <f t="shared" si="0"/>
        <v>rtdc.l.rtdc.4029:itc</v>
      </c>
      <c r="G5" s="8">
        <f t="shared" si="1"/>
        <v>42660.050902777781</v>
      </c>
    </row>
    <row r="6" spans="1:7" x14ac:dyDescent="0.25">
      <c r="A6" s="8">
        <v>42660.059351851851</v>
      </c>
      <c r="B6" s="21" t="s">
        <v>281</v>
      </c>
      <c r="C6" s="21" t="s">
        <v>350</v>
      </c>
      <c r="D6" s="21">
        <v>1800000</v>
      </c>
      <c r="E6" s="21" t="s">
        <v>214</v>
      </c>
      <c r="F6" s="21" t="str">
        <f t="shared" si="0"/>
        <v>rtdc.l.rtdc.4041:itc</v>
      </c>
      <c r="G6" s="8">
        <f t="shared" si="1"/>
        <v>42660.059351851851</v>
      </c>
    </row>
    <row r="7" spans="1:7" x14ac:dyDescent="0.25">
      <c r="A7" s="8">
        <v>42660.068518518521</v>
      </c>
      <c r="B7" s="21" t="s">
        <v>284</v>
      </c>
      <c r="C7" s="21" t="s">
        <v>351</v>
      </c>
      <c r="D7" s="21">
        <v>1810000</v>
      </c>
      <c r="E7" s="21" t="s">
        <v>283</v>
      </c>
      <c r="F7" s="21" t="str">
        <f t="shared" si="0"/>
        <v>rtdc.l.rtdc.4027:itc</v>
      </c>
      <c r="G7" s="8">
        <f t="shared" si="1"/>
        <v>42660.068518518521</v>
      </c>
    </row>
    <row r="8" spans="1:7" x14ac:dyDescent="0.25">
      <c r="A8" s="8">
        <v>42660.070104166669</v>
      </c>
      <c r="B8" s="21" t="s">
        <v>284</v>
      </c>
      <c r="C8" s="21" t="s">
        <v>351</v>
      </c>
      <c r="D8" s="21">
        <v>1810000</v>
      </c>
      <c r="E8" s="21" t="s">
        <v>283</v>
      </c>
      <c r="F8" s="21" t="str">
        <f t="shared" si="0"/>
        <v>rtdc.l.rtdc.4027:itc</v>
      </c>
      <c r="G8" s="8">
        <f t="shared" si="1"/>
        <v>42660.070104166669</v>
      </c>
    </row>
    <row r="9" spans="1:7" ht="15.75" thickBot="1" x14ac:dyDescent="0.3">
      <c r="A9" s="25">
        <v>42660.090983796297</v>
      </c>
      <c r="B9" s="21" t="s">
        <v>279</v>
      </c>
      <c r="C9" s="21" t="s">
        <v>352</v>
      </c>
      <c r="D9" s="21">
        <v>1800000</v>
      </c>
      <c r="E9" s="21" t="s">
        <v>214</v>
      </c>
      <c r="F9" s="21" t="str">
        <f t="shared" si="0"/>
        <v>rtdc.l.rtdc.4042:itc</v>
      </c>
      <c r="G9" s="8">
        <f t="shared" si="1"/>
        <v>42660.090983796297</v>
      </c>
    </row>
    <row r="10" spans="1:7" x14ac:dyDescent="0.25">
      <c r="A10" s="8">
        <v>42660.11178240741</v>
      </c>
      <c r="B10" s="21" t="s">
        <v>268</v>
      </c>
      <c r="C10" s="21" t="s">
        <v>353</v>
      </c>
      <c r="D10" s="21">
        <v>2030000</v>
      </c>
      <c r="E10" s="21" t="s">
        <v>320</v>
      </c>
      <c r="F10" s="21" t="str">
        <f t="shared" si="0"/>
        <v>rtdc.l.rtdc.4017:itc</v>
      </c>
      <c r="G10" s="8">
        <f t="shared" si="1"/>
        <v>42660.11178240741</v>
      </c>
    </row>
    <row r="11" spans="1:7" x14ac:dyDescent="0.25">
      <c r="A11" s="8">
        <v>42660.124444444446</v>
      </c>
      <c r="B11" s="21" t="s">
        <v>341</v>
      </c>
      <c r="C11" s="21" t="s">
        <v>425</v>
      </c>
      <c r="D11" s="21">
        <v>2030000</v>
      </c>
      <c r="E11" s="21" t="s">
        <v>320</v>
      </c>
      <c r="F11" s="21" t="str">
        <f t="shared" si="0"/>
        <v>rtdc.l.rtdc.4025:itc</v>
      </c>
      <c r="G11" s="8">
        <f t="shared" si="1"/>
        <v>42660.124444444446</v>
      </c>
    </row>
    <row r="12" spans="1:7" x14ac:dyDescent="0.25">
      <c r="A12" s="8">
        <v>42660.142511574071</v>
      </c>
      <c r="B12" s="21" t="s">
        <v>221</v>
      </c>
      <c r="C12" s="21" t="s">
        <v>426</v>
      </c>
      <c r="D12" s="21">
        <v>1260000</v>
      </c>
      <c r="E12" s="21" t="s">
        <v>339</v>
      </c>
      <c r="F12" s="21" t="str">
        <f t="shared" si="0"/>
        <v>rtdc.l.rtdc.4032:itc</v>
      </c>
      <c r="G12" s="8">
        <f t="shared" si="1"/>
        <v>42660.142511574071</v>
      </c>
    </row>
    <row r="13" spans="1:7" x14ac:dyDescent="0.25">
      <c r="A13" s="8">
        <v>42660.153495370374</v>
      </c>
      <c r="B13" s="21" t="s">
        <v>393</v>
      </c>
      <c r="C13" s="21" t="s">
        <v>394</v>
      </c>
      <c r="D13" s="21">
        <v>1260000</v>
      </c>
      <c r="E13" s="21" t="s">
        <v>339</v>
      </c>
      <c r="F13" s="21" t="str">
        <f t="shared" si="0"/>
        <v>rtdc.l.rtdc.4038:itc</v>
      </c>
      <c r="G13" s="8">
        <f t="shared" si="1"/>
        <v>42660.153495370374</v>
      </c>
    </row>
    <row r="14" spans="1:7" x14ac:dyDescent="0.25">
      <c r="A14" s="8">
        <v>42660.159189814818</v>
      </c>
      <c r="B14" s="21" t="s">
        <v>298</v>
      </c>
      <c r="C14" s="21" t="s">
        <v>427</v>
      </c>
      <c r="D14" s="21">
        <v>2140000</v>
      </c>
      <c r="E14" s="21" t="s">
        <v>428</v>
      </c>
      <c r="F14" s="21" t="str">
        <f t="shared" si="0"/>
        <v>rtdc.l.rtdc.4045:itc</v>
      </c>
      <c r="G14" s="8">
        <f t="shared" si="1"/>
        <v>42660.159189814818</v>
      </c>
    </row>
    <row r="15" spans="1:7" x14ac:dyDescent="0.25">
      <c r="A15" s="8">
        <v>42660.160462962966</v>
      </c>
      <c r="B15" s="21" t="s">
        <v>298</v>
      </c>
      <c r="C15" s="21" t="s">
        <v>427</v>
      </c>
      <c r="D15" s="21">
        <v>2140000</v>
      </c>
      <c r="E15" s="21" t="s">
        <v>428</v>
      </c>
      <c r="F15" s="21" t="str">
        <f t="shared" si="0"/>
        <v>rtdc.l.rtdc.4045:itc</v>
      </c>
      <c r="G15" s="8">
        <f t="shared" si="1"/>
        <v>42660.160462962966</v>
      </c>
    </row>
    <row r="16" spans="1:7" x14ac:dyDescent="0.25">
      <c r="A16" s="8">
        <v>42660.161990740744</v>
      </c>
      <c r="B16" s="21" t="s">
        <v>298</v>
      </c>
      <c r="C16" s="21" t="s">
        <v>427</v>
      </c>
      <c r="D16" s="21">
        <v>2140000</v>
      </c>
      <c r="E16" s="21" t="s">
        <v>428</v>
      </c>
      <c r="F16" s="21" t="str">
        <f t="shared" si="0"/>
        <v>rtdc.l.rtdc.4045:itc</v>
      </c>
      <c r="G16" s="8">
        <f t="shared" si="1"/>
        <v>42660.161990740744</v>
      </c>
    </row>
    <row r="17" spans="1:7" x14ac:dyDescent="0.25">
      <c r="A17" s="8">
        <v>42660.167997685188</v>
      </c>
      <c r="B17" s="21" t="s">
        <v>268</v>
      </c>
      <c r="C17" s="21" t="s">
        <v>395</v>
      </c>
      <c r="D17" s="21">
        <v>2030000</v>
      </c>
      <c r="E17" s="21" t="s">
        <v>320</v>
      </c>
      <c r="F17" s="21" t="str">
        <f t="shared" si="0"/>
        <v>rtdc.l.rtdc.4017:itc</v>
      </c>
      <c r="G17" s="8">
        <f t="shared" si="1"/>
        <v>42660.167997685188</v>
      </c>
    </row>
    <row r="18" spans="1:7" x14ac:dyDescent="0.25">
      <c r="A18" s="8">
        <v>42660.172210648147</v>
      </c>
      <c r="B18" s="21" t="s">
        <v>396</v>
      </c>
      <c r="C18" s="21" t="s">
        <v>397</v>
      </c>
      <c r="D18" s="21">
        <v>2140000</v>
      </c>
      <c r="E18" s="21" t="s">
        <v>428</v>
      </c>
      <c r="F18" s="21" t="str">
        <f t="shared" si="0"/>
        <v>rtdc.l.rtdc.4002:itc</v>
      </c>
      <c r="G18" s="8">
        <f t="shared" si="1"/>
        <v>42660.172210648147</v>
      </c>
    </row>
    <row r="19" spans="1:7" x14ac:dyDescent="0.25">
      <c r="A19" s="8">
        <v>42660.185046296298</v>
      </c>
      <c r="B19" s="21" t="s">
        <v>216</v>
      </c>
      <c r="C19" s="21" t="s">
        <v>429</v>
      </c>
      <c r="D19" s="21">
        <v>1090000</v>
      </c>
      <c r="E19" s="21" t="s">
        <v>430</v>
      </c>
      <c r="F19" s="21" t="str">
        <f t="shared" si="0"/>
        <v>rtdc.l.rtdc.4043:itc</v>
      </c>
      <c r="G19" s="8">
        <f t="shared" si="1"/>
        <v>42660.185046296298</v>
      </c>
    </row>
    <row r="20" spans="1:7" x14ac:dyDescent="0.25">
      <c r="A20" s="8">
        <v>42660.189120370371</v>
      </c>
      <c r="B20" s="21" t="s">
        <v>300</v>
      </c>
      <c r="C20" s="21" t="s">
        <v>431</v>
      </c>
      <c r="D20" s="21">
        <v>1240000</v>
      </c>
      <c r="E20" s="21" t="s">
        <v>432</v>
      </c>
      <c r="F20" s="21" t="str">
        <f t="shared" si="0"/>
        <v>rtdc.l.rtdc.4011:itc</v>
      </c>
      <c r="G20" s="8">
        <f t="shared" si="1"/>
        <v>42660.189120370371</v>
      </c>
    </row>
    <row r="21" spans="1:7" x14ac:dyDescent="0.25">
      <c r="A21" s="8">
        <v>42660.190532407411</v>
      </c>
      <c r="B21" s="21" t="s">
        <v>221</v>
      </c>
      <c r="C21" s="21" t="s">
        <v>398</v>
      </c>
      <c r="D21" s="21">
        <v>1260000</v>
      </c>
      <c r="E21" s="21" t="s">
        <v>339</v>
      </c>
      <c r="F21" s="21" t="str">
        <f t="shared" si="0"/>
        <v>rtdc.l.rtdc.4032:itc</v>
      </c>
      <c r="G21" s="8">
        <f t="shared" si="1"/>
        <v>42660.190532407411</v>
      </c>
    </row>
    <row r="22" spans="1:7" x14ac:dyDescent="0.25">
      <c r="A22" s="27">
        <v>42660.191250000003</v>
      </c>
      <c r="B22" s="21" t="s">
        <v>219</v>
      </c>
      <c r="C22" s="21" t="s">
        <v>433</v>
      </c>
      <c r="D22" s="21">
        <v>1830000</v>
      </c>
      <c r="E22" s="21" t="s">
        <v>321</v>
      </c>
      <c r="F22" s="21" t="str">
        <f t="shared" si="0"/>
        <v>rtdc.l.rtdc.4039:itc</v>
      </c>
      <c r="G22" s="8">
        <f t="shared" si="1"/>
        <v>42660.191250000003</v>
      </c>
    </row>
    <row r="23" spans="1:7" x14ac:dyDescent="0.25">
      <c r="A23" s="8">
        <v>42660.197199074071</v>
      </c>
      <c r="B23" s="21" t="s">
        <v>434</v>
      </c>
      <c r="C23" s="21" t="s">
        <v>435</v>
      </c>
      <c r="D23" s="21">
        <v>2110000</v>
      </c>
      <c r="E23" s="21" t="s">
        <v>436</v>
      </c>
      <c r="F23" s="21" t="str">
        <f t="shared" si="0"/>
        <v>rtdc.l.rtdc.4053:itc</v>
      </c>
      <c r="G23" s="8">
        <f t="shared" si="1"/>
        <v>42660.197199074071</v>
      </c>
    </row>
    <row r="24" spans="1:7" x14ac:dyDescent="0.25">
      <c r="A24" s="8">
        <v>42660.197824074072</v>
      </c>
      <c r="B24" s="21" t="s">
        <v>434</v>
      </c>
      <c r="C24" s="21" t="s">
        <v>435</v>
      </c>
      <c r="D24" s="21">
        <v>2110000</v>
      </c>
      <c r="E24" s="21" t="s">
        <v>436</v>
      </c>
      <c r="F24" s="21" t="str">
        <f t="shared" si="0"/>
        <v>rtdc.l.rtdc.4053:itc</v>
      </c>
      <c r="G24" s="8">
        <f t="shared" si="1"/>
        <v>42660.197824074072</v>
      </c>
    </row>
    <row r="25" spans="1:7" x14ac:dyDescent="0.25">
      <c r="A25" s="8">
        <v>42660.198148148149</v>
      </c>
      <c r="B25" s="21" t="s">
        <v>198</v>
      </c>
      <c r="C25" s="21" t="s">
        <v>437</v>
      </c>
      <c r="D25" s="21">
        <v>1090000</v>
      </c>
      <c r="E25" s="21" t="s">
        <v>430</v>
      </c>
      <c r="F25" s="21" t="str">
        <f t="shared" si="0"/>
        <v>rtdc.l.rtdc.4044:itc</v>
      </c>
      <c r="G25" s="8">
        <f t="shared" si="1"/>
        <v>42660.198148148149</v>
      </c>
    </row>
    <row r="26" spans="1:7" x14ac:dyDescent="0.25">
      <c r="A26" s="8">
        <v>42660.203159722223</v>
      </c>
      <c r="B26" s="21" t="s">
        <v>434</v>
      </c>
      <c r="C26" s="21" t="s">
        <v>435</v>
      </c>
      <c r="D26" s="21">
        <v>2110000</v>
      </c>
      <c r="E26" s="21" t="s">
        <v>436</v>
      </c>
      <c r="F26" s="21" t="str">
        <f t="shared" si="0"/>
        <v>rtdc.l.rtdc.4053:itc</v>
      </c>
      <c r="G26" s="8">
        <f t="shared" si="1"/>
        <v>42660.203159722223</v>
      </c>
    </row>
    <row r="27" spans="1:7" x14ac:dyDescent="0.25">
      <c r="A27" s="8">
        <v>42660.205520833333</v>
      </c>
      <c r="B27" s="21" t="s">
        <v>434</v>
      </c>
      <c r="C27" s="21" t="s">
        <v>435</v>
      </c>
      <c r="D27" s="21">
        <v>2110000</v>
      </c>
      <c r="E27" s="21" t="s">
        <v>436</v>
      </c>
      <c r="F27" s="21" t="str">
        <f t="shared" si="0"/>
        <v>rtdc.l.rtdc.4053:itc</v>
      </c>
      <c r="G27" s="8">
        <f t="shared" si="1"/>
        <v>42660.205520833333</v>
      </c>
    </row>
    <row r="28" spans="1:7" x14ac:dyDescent="0.25">
      <c r="A28" s="8">
        <v>42660.209074074075</v>
      </c>
      <c r="B28" s="21" t="s">
        <v>298</v>
      </c>
      <c r="C28" s="21" t="s">
        <v>438</v>
      </c>
      <c r="D28" s="21">
        <v>2140000</v>
      </c>
      <c r="E28" s="21" t="s">
        <v>428</v>
      </c>
      <c r="F28" s="21" t="str">
        <f t="shared" si="0"/>
        <v>rtdc.l.rtdc.4045:itc</v>
      </c>
      <c r="G28" s="8">
        <f t="shared" si="1"/>
        <v>42660.209074074075</v>
      </c>
    </row>
    <row r="29" spans="1:7" x14ac:dyDescent="0.25">
      <c r="A29" s="8">
        <v>42660.211435185185</v>
      </c>
      <c r="B29" s="21" t="s">
        <v>341</v>
      </c>
      <c r="C29" s="21" t="s">
        <v>439</v>
      </c>
      <c r="D29" s="21">
        <v>1110000</v>
      </c>
      <c r="E29" s="21" t="s">
        <v>342</v>
      </c>
      <c r="F29" s="21" t="str">
        <f t="shared" si="0"/>
        <v>rtdc.l.rtdc.4025:itc</v>
      </c>
      <c r="G29" s="8">
        <f t="shared" si="1"/>
        <v>42660.211435185185</v>
      </c>
    </row>
    <row r="30" spans="1:7" x14ac:dyDescent="0.25">
      <c r="A30" s="8">
        <v>42660.212962962964</v>
      </c>
      <c r="B30" s="21" t="s">
        <v>188</v>
      </c>
      <c r="C30" s="21" t="s">
        <v>440</v>
      </c>
      <c r="D30" s="21">
        <v>2030000</v>
      </c>
      <c r="E30" s="21" t="s">
        <v>320</v>
      </c>
      <c r="F30" s="21" t="str">
        <f t="shared" si="0"/>
        <v>rtdc.l.rtdc.4018:itc</v>
      </c>
      <c r="G30" s="8">
        <f t="shared" si="1"/>
        <v>42660.212962962964</v>
      </c>
    </row>
    <row r="31" spans="1:7" x14ac:dyDescent="0.25">
      <c r="A31" s="8">
        <v>42660.215254629627</v>
      </c>
      <c r="B31" s="21" t="s">
        <v>420</v>
      </c>
      <c r="C31" s="21" t="s">
        <v>441</v>
      </c>
      <c r="D31" s="21">
        <v>2110000</v>
      </c>
      <c r="E31" s="21" t="s">
        <v>436</v>
      </c>
      <c r="F31" s="21" t="str">
        <f t="shared" si="0"/>
        <v>rtdc.l.rtdc.4054:itc</v>
      </c>
      <c r="G31" s="8">
        <f t="shared" si="1"/>
        <v>42660.215254629627</v>
      </c>
    </row>
    <row r="32" spans="1:7" x14ac:dyDescent="0.25">
      <c r="A32" s="8">
        <v>42660.224548611113</v>
      </c>
      <c r="B32" s="21" t="s">
        <v>299</v>
      </c>
      <c r="C32" s="21" t="s">
        <v>442</v>
      </c>
      <c r="D32" s="21">
        <v>1240000</v>
      </c>
      <c r="E32" s="21" t="s">
        <v>432</v>
      </c>
      <c r="F32" s="21" t="str">
        <f t="shared" si="0"/>
        <v>rtdc.l.rtdc.4012:itc</v>
      </c>
      <c r="G32" s="8">
        <f t="shared" si="1"/>
        <v>42660.224548611113</v>
      </c>
    </row>
    <row r="33" spans="1:7" x14ac:dyDescent="0.25">
      <c r="A33" s="8">
        <v>42660.225057870368</v>
      </c>
      <c r="B33" s="21" t="s">
        <v>299</v>
      </c>
      <c r="C33" s="21" t="s">
        <v>442</v>
      </c>
      <c r="D33" s="21">
        <v>1240000</v>
      </c>
      <c r="E33" s="21" t="s">
        <v>432</v>
      </c>
      <c r="F33" s="21" t="str">
        <f t="shared" si="0"/>
        <v>rtdc.l.rtdc.4012:itc</v>
      </c>
      <c r="G33" s="8">
        <f t="shared" si="1"/>
        <v>42660.225057870368</v>
      </c>
    </row>
    <row r="34" spans="1:7" x14ac:dyDescent="0.25">
      <c r="A34" s="8">
        <v>42660.226770833331</v>
      </c>
      <c r="B34" s="21" t="s">
        <v>393</v>
      </c>
      <c r="C34" s="21" t="s">
        <v>443</v>
      </c>
      <c r="D34" s="21">
        <v>1310000</v>
      </c>
      <c r="E34" s="21" t="s">
        <v>282</v>
      </c>
      <c r="F34" s="21" t="str">
        <f t="shared" si="0"/>
        <v>rtdc.l.rtdc.4038:itc</v>
      </c>
      <c r="G34" s="8">
        <f t="shared" si="1"/>
        <v>42660.226770833331</v>
      </c>
    </row>
    <row r="35" spans="1:7" x14ac:dyDescent="0.25">
      <c r="A35" s="8">
        <v>42660.233784722222</v>
      </c>
      <c r="B35" s="21" t="s">
        <v>222</v>
      </c>
      <c r="C35" s="21" t="s">
        <v>444</v>
      </c>
      <c r="D35" s="21">
        <v>1260000</v>
      </c>
      <c r="E35" s="21" t="s">
        <v>339</v>
      </c>
      <c r="F35" s="21" t="str">
        <f t="shared" si="0"/>
        <v>rtdc.l.rtdc.4031:itc</v>
      </c>
      <c r="G35" s="8">
        <f t="shared" si="1"/>
        <v>42660.233784722222</v>
      </c>
    </row>
    <row r="36" spans="1:7" x14ac:dyDescent="0.25">
      <c r="A36" s="8">
        <v>42660.234826388885</v>
      </c>
      <c r="B36" s="21" t="s">
        <v>216</v>
      </c>
      <c r="C36" s="21" t="s">
        <v>445</v>
      </c>
      <c r="D36" s="21">
        <v>1090000</v>
      </c>
      <c r="E36" s="21" t="s">
        <v>430</v>
      </c>
      <c r="F36" s="21" t="str">
        <f t="shared" si="0"/>
        <v>rtdc.l.rtdc.4043:itc</v>
      </c>
      <c r="G36" s="8">
        <f t="shared" si="1"/>
        <v>42660.234826388885</v>
      </c>
    </row>
    <row r="37" spans="1:7" x14ac:dyDescent="0.25">
      <c r="A37" s="8">
        <v>42660.238171296296</v>
      </c>
      <c r="B37" s="21" t="s">
        <v>434</v>
      </c>
      <c r="C37" s="21" t="s">
        <v>446</v>
      </c>
      <c r="D37" s="21">
        <v>2110000</v>
      </c>
      <c r="E37" s="21" t="s">
        <v>436</v>
      </c>
      <c r="F37" s="21" t="str">
        <f t="shared" si="0"/>
        <v>rtdc.l.rtdc.4053:itc</v>
      </c>
      <c r="G37" s="8">
        <f t="shared" si="1"/>
        <v>42660.238171296296</v>
      </c>
    </row>
    <row r="38" spans="1:7" x14ac:dyDescent="0.25">
      <c r="A38" s="8">
        <v>42660.24591435185</v>
      </c>
      <c r="B38" s="21" t="s">
        <v>340</v>
      </c>
      <c r="C38" s="21" t="s">
        <v>400</v>
      </c>
      <c r="D38" s="21">
        <v>1110000</v>
      </c>
      <c r="E38" s="21" t="s">
        <v>342</v>
      </c>
      <c r="F38" s="21" t="str">
        <f t="shared" si="0"/>
        <v>rtdc.l.rtdc.4026:itc</v>
      </c>
      <c r="G38" s="8">
        <f t="shared" si="1"/>
        <v>42660.24591435185</v>
      </c>
    </row>
    <row r="39" spans="1:7" x14ac:dyDescent="0.25">
      <c r="A39" s="8">
        <v>42660.251898148148</v>
      </c>
      <c r="B39" s="21" t="s">
        <v>396</v>
      </c>
      <c r="C39" s="21" t="s">
        <v>447</v>
      </c>
      <c r="D39" s="21">
        <v>2140000</v>
      </c>
      <c r="E39" s="21" t="s">
        <v>428</v>
      </c>
      <c r="F39" s="21" t="str">
        <f t="shared" si="0"/>
        <v>rtdc.l.rtdc.4002:itc</v>
      </c>
      <c r="G39" s="8">
        <f t="shared" si="1"/>
        <v>42660.251898148148</v>
      </c>
    </row>
    <row r="40" spans="1:7" x14ac:dyDescent="0.25">
      <c r="A40" s="8">
        <v>42660.25267361111</v>
      </c>
      <c r="B40" s="26" t="s">
        <v>396</v>
      </c>
      <c r="C40" s="21" t="s">
        <v>447</v>
      </c>
      <c r="D40" s="21">
        <v>2140000</v>
      </c>
      <c r="E40" s="21" t="s">
        <v>428</v>
      </c>
      <c r="F40" s="21" t="str">
        <f t="shared" si="0"/>
        <v>rtdc.l.rtdc.4002:itc</v>
      </c>
      <c r="G40" s="8">
        <f t="shared" si="1"/>
        <v>42660.25267361111</v>
      </c>
    </row>
    <row r="41" spans="1:7" x14ac:dyDescent="0.25">
      <c r="A41" s="8">
        <v>42660.253182870372</v>
      </c>
      <c r="B41" s="21" t="s">
        <v>268</v>
      </c>
      <c r="C41" s="21" t="s">
        <v>399</v>
      </c>
      <c r="D41" s="21">
        <v>2030000</v>
      </c>
      <c r="E41" s="21" t="s">
        <v>320</v>
      </c>
      <c r="F41" s="21" t="str">
        <f t="shared" si="0"/>
        <v>rtdc.l.rtdc.4017:itc</v>
      </c>
      <c r="G41" s="8">
        <f t="shared" si="1"/>
        <v>42660.253182870372</v>
      </c>
    </row>
    <row r="42" spans="1:7" x14ac:dyDescent="0.25">
      <c r="A42" s="8">
        <v>42660.253576388888</v>
      </c>
      <c r="B42" s="21" t="s">
        <v>396</v>
      </c>
      <c r="C42" s="21" t="s">
        <v>447</v>
      </c>
      <c r="D42" s="21">
        <v>2140000</v>
      </c>
      <c r="E42" s="21" t="s">
        <v>428</v>
      </c>
      <c r="F42" s="21" t="str">
        <f t="shared" si="0"/>
        <v>rtdc.l.rtdc.4002:itc</v>
      </c>
      <c r="G42" s="8">
        <f t="shared" si="1"/>
        <v>42660.253576388888</v>
      </c>
    </row>
    <row r="43" spans="1:7" x14ac:dyDescent="0.25">
      <c r="A43" s="8">
        <v>42660.255300925928</v>
      </c>
      <c r="B43" s="21" t="s">
        <v>420</v>
      </c>
      <c r="C43" s="21" t="s">
        <v>448</v>
      </c>
      <c r="D43" s="21">
        <v>2110000</v>
      </c>
      <c r="E43" s="21" t="s">
        <v>436</v>
      </c>
      <c r="F43" s="21" t="str">
        <f t="shared" si="0"/>
        <v>rtdc.l.rtdc.4054:itc</v>
      </c>
      <c r="G43" s="8">
        <f t="shared" si="1"/>
        <v>42660.255300925928</v>
      </c>
    </row>
    <row r="44" spans="1:7" x14ac:dyDescent="0.25">
      <c r="A44" s="8">
        <v>42660.256145833337</v>
      </c>
      <c r="B44" s="21" t="s">
        <v>343</v>
      </c>
      <c r="C44" s="21" t="s">
        <v>449</v>
      </c>
      <c r="D44" s="21">
        <v>900000</v>
      </c>
      <c r="E44" s="21" t="s">
        <v>450</v>
      </c>
      <c r="F44" s="21" t="str">
        <f t="shared" si="0"/>
        <v>rtdc.l.rtdc.4030:itc</v>
      </c>
      <c r="G44" s="8">
        <f t="shared" si="1"/>
        <v>42660.256145833337</v>
      </c>
    </row>
    <row r="45" spans="1:7" x14ac:dyDescent="0.25">
      <c r="A45" s="8">
        <v>42660.256261574075</v>
      </c>
      <c r="B45" s="21" t="s">
        <v>300</v>
      </c>
      <c r="C45" s="21" t="s">
        <v>451</v>
      </c>
      <c r="D45" s="21">
        <v>1830000</v>
      </c>
      <c r="E45" s="21" t="s">
        <v>321</v>
      </c>
      <c r="F45" s="21" t="str">
        <f t="shared" si="0"/>
        <v>rtdc.l.rtdc.4011:itc</v>
      </c>
      <c r="G45" s="8">
        <f t="shared" si="1"/>
        <v>42660.256261574075</v>
      </c>
    </row>
    <row r="46" spans="1:7" x14ac:dyDescent="0.25">
      <c r="A46" s="8">
        <v>42660.256689814814</v>
      </c>
      <c r="B46" s="21" t="s">
        <v>343</v>
      </c>
      <c r="C46" s="21" t="s">
        <v>449</v>
      </c>
      <c r="D46" s="21">
        <v>900000</v>
      </c>
      <c r="E46" s="21" t="s">
        <v>450</v>
      </c>
      <c r="F46" s="21" t="str">
        <f t="shared" si="0"/>
        <v>rtdc.l.rtdc.4030:itc</v>
      </c>
      <c r="G46" s="8">
        <f t="shared" si="1"/>
        <v>42660.256689814814</v>
      </c>
    </row>
    <row r="47" spans="1:7" x14ac:dyDescent="0.25">
      <c r="A47" s="8">
        <v>42660.257685185185</v>
      </c>
      <c r="B47" s="21" t="s">
        <v>343</v>
      </c>
      <c r="C47" s="21" t="s">
        <v>449</v>
      </c>
      <c r="D47" s="21">
        <v>900000</v>
      </c>
      <c r="E47" s="21" t="s">
        <v>450</v>
      </c>
      <c r="F47" s="21" t="str">
        <f t="shared" si="0"/>
        <v>rtdc.l.rtdc.4030:itc</v>
      </c>
      <c r="G47" s="8">
        <f t="shared" si="1"/>
        <v>42660.257685185185</v>
      </c>
    </row>
    <row r="48" spans="1:7" x14ac:dyDescent="0.25">
      <c r="A48" s="8">
        <v>42660.265590277777</v>
      </c>
      <c r="B48" s="21" t="s">
        <v>338</v>
      </c>
      <c r="C48" s="21" t="s">
        <v>452</v>
      </c>
      <c r="D48" s="21">
        <v>900000</v>
      </c>
      <c r="E48" s="21" t="s">
        <v>450</v>
      </c>
      <c r="F48" s="21" t="str">
        <f t="shared" si="0"/>
        <v>rtdc.l.rtdc.4029:itc</v>
      </c>
      <c r="G48" s="8">
        <f t="shared" si="1"/>
        <v>42660.265590277777</v>
      </c>
    </row>
    <row r="49" spans="1:7" x14ac:dyDescent="0.25">
      <c r="A49" s="8">
        <v>42660.26699074074</v>
      </c>
      <c r="B49" s="21" t="s">
        <v>401</v>
      </c>
      <c r="C49" s="21" t="s">
        <v>402</v>
      </c>
      <c r="D49" s="21">
        <v>1310000</v>
      </c>
      <c r="E49" s="21" t="s">
        <v>282</v>
      </c>
      <c r="F49" s="21" t="str">
        <f t="shared" si="0"/>
        <v>rtdc.l.rtdc.4037:itc</v>
      </c>
      <c r="G49" s="8">
        <f t="shared" si="1"/>
        <v>42660.26699074074</v>
      </c>
    </row>
    <row r="50" spans="1:7" x14ac:dyDescent="0.25">
      <c r="A50" s="8">
        <v>42660.268912037034</v>
      </c>
      <c r="B50" s="21" t="s">
        <v>221</v>
      </c>
      <c r="C50" s="21" t="s">
        <v>403</v>
      </c>
      <c r="D50" s="21">
        <v>1260000</v>
      </c>
      <c r="E50" s="21" t="s">
        <v>339</v>
      </c>
      <c r="F50" s="21" t="str">
        <f t="shared" si="0"/>
        <v>rtdc.l.rtdc.4032:itc</v>
      </c>
      <c r="G50" s="8">
        <f t="shared" si="1"/>
        <v>42660.268912037034</v>
      </c>
    </row>
    <row r="51" spans="1:7" x14ac:dyDescent="0.25">
      <c r="A51" s="8">
        <v>42660.270069444443</v>
      </c>
      <c r="B51" s="21" t="s">
        <v>198</v>
      </c>
      <c r="C51" s="21" t="s">
        <v>453</v>
      </c>
      <c r="D51" s="21">
        <v>1090000</v>
      </c>
      <c r="E51" s="21" t="s">
        <v>430</v>
      </c>
      <c r="F51" s="21" t="str">
        <f t="shared" si="0"/>
        <v>rtdc.l.rtdc.4044:itc</v>
      </c>
      <c r="G51" s="8">
        <f t="shared" si="1"/>
        <v>42660.270069444443</v>
      </c>
    </row>
    <row r="52" spans="1:7" x14ac:dyDescent="0.25">
      <c r="A52" s="8">
        <v>42660.277233796296</v>
      </c>
      <c r="B52" s="21" t="s">
        <v>343</v>
      </c>
      <c r="C52" s="21" t="s">
        <v>454</v>
      </c>
      <c r="D52" s="21">
        <v>900000</v>
      </c>
      <c r="E52" s="21" t="s">
        <v>450</v>
      </c>
      <c r="F52" s="21" t="str">
        <f t="shared" si="0"/>
        <v>rtdc.l.rtdc.4030:itc</v>
      </c>
      <c r="G52" s="8">
        <f t="shared" si="1"/>
        <v>42660.277233796296</v>
      </c>
    </row>
    <row r="53" spans="1:7" x14ac:dyDescent="0.25">
      <c r="A53" s="8">
        <v>42660.278622685182</v>
      </c>
      <c r="B53" s="21" t="s">
        <v>341</v>
      </c>
      <c r="C53" s="21" t="s">
        <v>455</v>
      </c>
      <c r="D53" s="21">
        <v>1110000</v>
      </c>
      <c r="E53" s="21" t="s">
        <v>342</v>
      </c>
      <c r="F53" s="21" t="str">
        <f t="shared" si="0"/>
        <v>rtdc.l.rtdc.4025:itc</v>
      </c>
      <c r="G53" s="8">
        <f t="shared" si="1"/>
        <v>42660.278622685182</v>
      </c>
    </row>
    <row r="54" spans="1:7" x14ac:dyDescent="0.25">
      <c r="A54" s="8">
        <v>42660.280439814815</v>
      </c>
      <c r="B54" s="21" t="s">
        <v>434</v>
      </c>
      <c r="C54" s="21" t="s">
        <v>456</v>
      </c>
      <c r="D54" s="21">
        <v>2110000</v>
      </c>
      <c r="E54" s="21" t="s">
        <v>436</v>
      </c>
      <c r="F54" s="21" t="str">
        <f t="shared" si="0"/>
        <v>rtdc.l.rtdc.4053:itc</v>
      </c>
      <c r="G54" s="8">
        <f t="shared" si="1"/>
        <v>42660.280439814815</v>
      </c>
    </row>
    <row r="55" spans="1:7" x14ac:dyDescent="0.25">
      <c r="A55" s="8">
        <v>42660.283182870371</v>
      </c>
      <c r="B55" s="21" t="s">
        <v>280</v>
      </c>
      <c r="C55" s="21" t="s">
        <v>457</v>
      </c>
      <c r="D55" s="21">
        <v>2140000</v>
      </c>
      <c r="E55" s="21" t="s">
        <v>428</v>
      </c>
      <c r="F55" s="21" t="str">
        <f t="shared" si="0"/>
        <v>rtdc.l.rtdc.4001:itc</v>
      </c>
      <c r="G55" s="8">
        <f t="shared" si="1"/>
        <v>42660.283182870371</v>
      </c>
    </row>
    <row r="56" spans="1:7" x14ac:dyDescent="0.25">
      <c r="A56" s="8">
        <v>42660.287604166668</v>
      </c>
      <c r="B56" s="21" t="s">
        <v>299</v>
      </c>
      <c r="C56" s="21" t="s">
        <v>458</v>
      </c>
      <c r="D56" s="21">
        <v>1830000</v>
      </c>
      <c r="E56" s="21" t="s">
        <v>321</v>
      </c>
      <c r="F56" s="21" t="str">
        <f t="shared" si="0"/>
        <v>rtdc.l.rtdc.4012:itc</v>
      </c>
      <c r="G56" s="8">
        <f t="shared" si="1"/>
        <v>42660.287604166668</v>
      </c>
    </row>
    <row r="57" spans="1:7" x14ac:dyDescent="0.25">
      <c r="A57" s="8">
        <v>42660.289421296293</v>
      </c>
      <c r="B57" s="21" t="s">
        <v>188</v>
      </c>
      <c r="C57" s="21" t="s">
        <v>459</v>
      </c>
      <c r="D57" s="21">
        <v>2030000</v>
      </c>
      <c r="E57" s="21" t="s">
        <v>320</v>
      </c>
      <c r="F57" s="21" t="str">
        <f t="shared" si="0"/>
        <v>rtdc.l.rtdc.4018:itc</v>
      </c>
      <c r="G57" s="8">
        <f t="shared" si="1"/>
        <v>42660.289421296293</v>
      </c>
    </row>
    <row r="58" spans="1:7" x14ac:dyDescent="0.25">
      <c r="A58" s="8">
        <v>42660.297094907408</v>
      </c>
      <c r="B58" s="21" t="s">
        <v>420</v>
      </c>
      <c r="C58" s="21" t="s">
        <v>460</v>
      </c>
      <c r="D58" s="21">
        <v>2110000</v>
      </c>
      <c r="E58" s="21" t="s">
        <v>436</v>
      </c>
      <c r="F58" s="21" t="str">
        <f t="shared" si="0"/>
        <v>rtdc.l.rtdc.4054:itc</v>
      </c>
      <c r="G58" s="8">
        <f t="shared" si="1"/>
        <v>42660.297094907408</v>
      </c>
    </row>
    <row r="59" spans="1:7" x14ac:dyDescent="0.25">
      <c r="A59" s="8">
        <v>42660.298773148148</v>
      </c>
      <c r="B59" s="21" t="s">
        <v>299</v>
      </c>
      <c r="C59" s="21" t="s">
        <v>458</v>
      </c>
      <c r="D59" s="21">
        <v>1830000</v>
      </c>
      <c r="E59" s="21" t="s">
        <v>321</v>
      </c>
      <c r="F59" s="21" t="str">
        <f t="shared" si="0"/>
        <v>rtdc.l.rtdc.4012:itc</v>
      </c>
      <c r="G59" s="8">
        <f t="shared" si="1"/>
        <v>42660.298773148148</v>
      </c>
    </row>
    <row r="60" spans="1:7" x14ac:dyDescent="0.25">
      <c r="A60" s="8">
        <v>42660.302037037036</v>
      </c>
      <c r="B60" s="21" t="s">
        <v>338</v>
      </c>
      <c r="C60" s="21" t="s">
        <v>404</v>
      </c>
      <c r="D60" s="21">
        <v>900000</v>
      </c>
      <c r="E60" s="21" t="s">
        <v>450</v>
      </c>
      <c r="F60" s="21" t="str">
        <f t="shared" si="0"/>
        <v>rtdc.l.rtdc.4029:itc</v>
      </c>
      <c r="G60" s="8">
        <f t="shared" si="1"/>
        <v>42660.302037037036</v>
      </c>
    </row>
    <row r="61" spans="1:7" x14ac:dyDescent="0.25">
      <c r="A61" s="8">
        <v>42660.302210648151</v>
      </c>
      <c r="B61" s="21" t="s">
        <v>393</v>
      </c>
      <c r="C61" s="21" t="s">
        <v>461</v>
      </c>
      <c r="D61" s="21">
        <v>1310000</v>
      </c>
      <c r="E61" s="21" t="s">
        <v>282</v>
      </c>
      <c r="F61" s="21" t="str">
        <f t="shared" si="0"/>
        <v>rtdc.l.rtdc.4038:itc</v>
      </c>
      <c r="G61" s="8">
        <f t="shared" si="1"/>
        <v>42660.302210648151</v>
      </c>
    </row>
    <row r="62" spans="1:7" x14ac:dyDescent="0.25">
      <c r="A62" s="8">
        <v>42660.304525462961</v>
      </c>
      <c r="B62" s="21" t="s">
        <v>216</v>
      </c>
      <c r="C62" s="21" t="s">
        <v>462</v>
      </c>
      <c r="D62" s="21">
        <v>1090000</v>
      </c>
      <c r="E62" s="21" t="s">
        <v>430</v>
      </c>
      <c r="F62" s="21" t="str">
        <f t="shared" si="0"/>
        <v>rtdc.l.rtdc.4043:itc</v>
      </c>
      <c r="G62" s="8">
        <f t="shared" si="1"/>
        <v>42660.304525462961</v>
      </c>
    </row>
    <row r="63" spans="1:7" x14ac:dyDescent="0.25">
      <c r="A63" s="8">
        <v>42660.310868055552</v>
      </c>
      <c r="B63" s="21" t="s">
        <v>222</v>
      </c>
      <c r="C63" s="21" t="s">
        <v>463</v>
      </c>
      <c r="D63" s="21">
        <v>1260000</v>
      </c>
      <c r="E63" s="21" t="s">
        <v>339</v>
      </c>
      <c r="F63" s="21" t="str">
        <f t="shared" si="0"/>
        <v>rtdc.l.rtdc.4031:itc</v>
      </c>
      <c r="G63" s="8">
        <f t="shared" si="1"/>
        <v>42660.310868055552</v>
      </c>
    </row>
    <row r="64" spans="1:7" x14ac:dyDescent="0.25">
      <c r="A64" s="27">
        <v>42660.317847222221</v>
      </c>
      <c r="B64" s="21" t="s">
        <v>340</v>
      </c>
      <c r="C64" s="21" t="s">
        <v>405</v>
      </c>
      <c r="D64" s="21">
        <v>1110000</v>
      </c>
      <c r="E64" s="21" t="s">
        <v>342</v>
      </c>
      <c r="F64" s="21" t="str">
        <f t="shared" si="0"/>
        <v>rtdc.l.rtdc.4026:itc</v>
      </c>
      <c r="G64" s="8">
        <f t="shared" si="1"/>
        <v>42660.317847222221</v>
      </c>
    </row>
    <row r="65" spans="1:7" x14ac:dyDescent="0.25">
      <c r="A65" s="8">
        <v>42660.318854166668</v>
      </c>
      <c r="B65" s="21" t="s">
        <v>396</v>
      </c>
      <c r="C65" s="21" t="s">
        <v>464</v>
      </c>
      <c r="D65" s="21">
        <v>2140000</v>
      </c>
      <c r="E65" s="21" t="s">
        <v>428</v>
      </c>
      <c r="F65" s="21" t="str">
        <f t="shared" si="0"/>
        <v>rtdc.l.rtdc.4002:itc</v>
      </c>
      <c r="G65" s="8">
        <f t="shared" si="1"/>
        <v>42660.318854166668</v>
      </c>
    </row>
    <row r="66" spans="1:7" x14ac:dyDescent="0.25">
      <c r="A66" s="8">
        <v>42660.319328703707</v>
      </c>
      <c r="B66" s="21" t="s">
        <v>343</v>
      </c>
      <c r="C66" s="21" t="s">
        <v>465</v>
      </c>
      <c r="D66" s="21">
        <v>900000</v>
      </c>
      <c r="E66" s="21" t="s">
        <v>450</v>
      </c>
      <c r="F66" s="21" t="str">
        <f t="shared" ref="F66:F129" si="2">B66</f>
        <v>rtdc.l.rtdc.4030:itc</v>
      </c>
      <c r="G66" s="8">
        <f t="shared" ref="G66:G129" si="3">A66</f>
        <v>42660.319328703707</v>
      </c>
    </row>
    <row r="67" spans="1:7" x14ac:dyDescent="0.25">
      <c r="A67" s="8">
        <v>42660.322256944448</v>
      </c>
      <c r="B67" s="21" t="s">
        <v>434</v>
      </c>
      <c r="C67" s="21" t="s">
        <v>466</v>
      </c>
      <c r="D67" s="21">
        <v>2110000</v>
      </c>
      <c r="E67" s="21" t="s">
        <v>436</v>
      </c>
      <c r="F67" s="21" t="str">
        <f t="shared" si="2"/>
        <v>rtdc.l.rtdc.4053:itc</v>
      </c>
      <c r="G67" s="8">
        <f t="shared" si="3"/>
        <v>42660.322256944448</v>
      </c>
    </row>
    <row r="68" spans="1:7" x14ac:dyDescent="0.25">
      <c r="A68" s="8">
        <v>42660.322847222225</v>
      </c>
      <c r="B68" s="21" t="s">
        <v>434</v>
      </c>
      <c r="C68" s="21" t="s">
        <v>467</v>
      </c>
      <c r="D68" s="21">
        <v>2110000</v>
      </c>
      <c r="E68" s="21" t="s">
        <v>436</v>
      </c>
      <c r="F68" s="21" t="str">
        <f t="shared" si="2"/>
        <v>rtdc.l.rtdc.4053:itc</v>
      </c>
      <c r="G68" s="8">
        <f t="shared" si="3"/>
        <v>42660.322847222225</v>
      </c>
    </row>
    <row r="69" spans="1:7" x14ac:dyDescent="0.25">
      <c r="A69" s="8">
        <v>42660.322881944441</v>
      </c>
      <c r="B69" s="21" t="s">
        <v>268</v>
      </c>
      <c r="C69" s="21" t="s">
        <v>468</v>
      </c>
      <c r="D69" s="21">
        <v>2030000</v>
      </c>
      <c r="E69" s="21" t="s">
        <v>320</v>
      </c>
      <c r="F69" s="21" t="str">
        <f t="shared" si="2"/>
        <v>rtdc.l.rtdc.4017:itc</v>
      </c>
      <c r="G69" s="8">
        <f t="shared" si="3"/>
        <v>42660.322881944441</v>
      </c>
    </row>
    <row r="70" spans="1:7" x14ac:dyDescent="0.25">
      <c r="A70" s="8">
        <v>42660.326863425929</v>
      </c>
      <c r="B70" s="21" t="s">
        <v>300</v>
      </c>
      <c r="C70" s="21" t="s">
        <v>406</v>
      </c>
      <c r="D70" s="21">
        <v>1830000</v>
      </c>
      <c r="E70" s="21" t="s">
        <v>321</v>
      </c>
      <c r="F70" s="21" t="str">
        <f t="shared" si="2"/>
        <v>rtdc.l.rtdc.4011:itc</v>
      </c>
      <c r="G70" s="8">
        <f t="shared" si="3"/>
        <v>42660.326863425929</v>
      </c>
    </row>
    <row r="71" spans="1:7" x14ac:dyDescent="0.25">
      <c r="A71" s="8">
        <v>42660.338310185187</v>
      </c>
      <c r="B71" s="21" t="s">
        <v>420</v>
      </c>
      <c r="C71" s="21" t="s">
        <v>466</v>
      </c>
      <c r="D71" s="21">
        <v>2110000</v>
      </c>
      <c r="E71" s="21" t="s">
        <v>436</v>
      </c>
      <c r="F71" s="21" t="str">
        <f t="shared" si="2"/>
        <v>rtdc.l.rtdc.4054:itc</v>
      </c>
      <c r="G71" s="8">
        <f t="shared" si="3"/>
        <v>42660.338310185187</v>
      </c>
    </row>
    <row r="72" spans="1:7" x14ac:dyDescent="0.25">
      <c r="A72" s="8">
        <v>42660.339768518519</v>
      </c>
      <c r="B72" s="21" t="s">
        <v>198</v>
      </c>
      <c r="C72" s="21" t="s">
        <v>469</v>
      </c>
      <c r="D72" s="21">
        <v>1090000</v>
      </c>
      <c r="E72" s="21" t="s">
        <v>430</v>
      </c>
      <c r="F72" s="21" t="str">
        <f t="shared" si="2"/>
        <v>rtdc.l.rtdc.4044:itc</v>
      </c>
      <c r="G72" s="8">
        <f t="shared" si="3"/>
        <v>42660.339768518519</v>
      </c>
    </row>
    <row r="73" spans="1:7" x14ac:dyDescent="0.25">
      <c r="A73" s="8">
        <v>42660.339814814812</v>
      </c>
      <c r="B73" s="21" t="s">
        <v>338</v>
      </c>
      <c r="C73" s="21" t="s">
        <v>470</v>
      </c>
      <c r="D73" s="21">
        <v>900000</v>
      </c>
      <c r="E73" s="21" t="s">
        <v>450</v>
      </c>
      <c r="F73" s="21" t="str">
        <f t="shared" si="2"/>
        <v>rtdc.l.rtdc.4029:itc</v>
      </c>
      <c r="G73" s="8">
        <f t="shared" si="3"/>
        <v>42660.339814814812</v>
      </c>
    </row>
    <row r="74" spans="1:7" x14ac:dyDescent="0.25">
      <c r="A74" s="8">
        <v>42660.339907407404</v>
      </c>
      <c r="B74" s="21" t="s">
        <v>401</v>
      </c>
      <c r="C74" s="21" t="s">
        <v>471</v>
      </c>
      <c r="D74" s="21">
        <v>1310000</v>
      </c>
      <c r="E74" s="21" t="s">
        <v>282</v>
      </c>
      <c r="F74" s="21" t="str">
        <f t="shared" si="2"/>
        <v>rtdc.l.rtdc.4037:itc</v>
      </c>
      <c r="G74" s="8">
        <f t="shared" si="3"/>
        <v>42660.339907407404</v>
      </c>
    </row>
    <row r="75" spans="1:7" x14ac:dyDescent="0.25">
      <c r="A75" s="8">
        <v>42660.341469907406</v>
      </c>
      <c r="B75" s="21" t="s">
        <v>221</v>
      </c>
      <c r="C75" s="21" t="s">
        <v>407</v>
      </c>
      <c r="D75" s="21">
        <v>1260000</v>
      </c>
      <c r="E75" s="21" t="s">
        <v>339</v>
      </c>
      <c r="F75" s="21" t="str">
        <f t="shared" si="2"/>
        <v>rtdc.l.rtdc.4032:itc</v>
      </c>
      <c r="G75" s="8">
        <f t="shared" si="3"/>
        <v>42660.341469907406</v>
      </c>
    </row>
    <row r="76" spans="1:7" x14ac:dyDescent="0.25">
      <c r="A76" s="8">
        <v>42660.349363425928</v>
      </c>
      <c r="B76" s="21" t="s">
        <v>280</v>
      </c>
      <c r="C76" s="21" t="s">
        <v>472</v>
      </c>
      <c r="D76" s="21">
        <v>2140000</v>
      </c>
      <c r="E76" s="21" t="s">
        <v>428</v>
      </c>
      <c r="F76" s="21" t="str">
        <f t="shared" si="2"/>
        <v>rtdc.l.rtdc.4001:itc</v>
      </c>
      <c r="G76" s="8">
        <f t="shared" si="3"/>
        <v>42660.349363425928</v>
      </c>
    </row>
    <row r="77" spans="1:7" x14ac:dyDescent="0.25">
      <c r="A77" s="8">
        <v>42660.351446759261</v>
      </c>
      <c r="B77" s="21" t="s">
        <v>341</v>
      </c>
      <c r="C77" s="21" t="s">
        <v>473</v>
      </c>
      <c r="D77" s="21">
        <v>1110000</v>
      </c>
      <c r="E77" s="21" t="s">
        <v>342</v>
      </c>
      <c r="F77" s="21" t="str">
        <f t="shared" si="2"/>
        <v>rtdc.l.rtdc.4025:itc</v>
      </c>
      <c r="G77" s="8">
        <f t="shared" si="3"/>
        <v>42660.351446759261</v>
      </c>
    </row>
    <row r="78" spans="1:7" x14ac:dyDescent="0.25">
      <c r="A78" s="8">
        <v>42660.353877314818</v>
      </c>
      <c r="B78" s="21" t="s">
        <v>434</v>
      </c>
      <c r="C78" s="21" t="s">
        <v>474</v>
      </c>
      <c r="D78" s="21">
        <v>2110000</v>
      </c>
      <c r="E78" s="21" t="s">
        <v>436</v>
      </c>
      <c r="F78" s="21" t="str">
        <f t="shared" si="2"/>
        <v>rtdc.l.rtdc.4053:itc</v>
      </c>
      <c r="G78" s="8">
        <f t="shared" si="3"/>
        <v>42660.353877314818</v>
      </c>
    </row>
    <row r="79" spans="1:7" x14ac:dyDescent="0.25">
      <c r="A79" s="8">
        <v>42660.359444444446</v>
      </c>
      <c r="B79" s="21" t="s">
        <v>343</v>
      </c>
      <c r="C79" s="21" t="s">
        <v>475</v>
      </c>
      <c r="D79" s="21">
        <v>900000</v>
      </c>
      <c r="E79" s="21" t="s">
        <v>450</v>
      </c>
      <c r="F79" s="21" t="str">
        <f t="shared" si="2"/>
        <v>rtdc.l.rtdc.4030:itc</v>
      </c>
      <c r="G79" s="8">
        <f t="shared" si="3"/>
        <v>42660.359444444446</v>
      </c>
    </row>
    <row r="80" spans="1:7" x14ac:dyDescent="0.25">
      <c r="A80" s="8">
        <v>42660.359768518516</v>
      </c>
      <c r="B80" s="21" t="s">
        <v>299</v>
      </c>
      <c r="C80" s="21" t="s">
        <v>476</v>
      </c>
      <c r="D80" s="21">
        <v>1830000</v>
      </c>
      <c r="E80" s="21" t="s">
        <v>321</v>
      </c>
      <c r="F80" s="21" t="str">
        <f t="shared" si="2"/>
        <v>rtdc.l.rtdc.4012:itc</v>
      </c>
      <c r="G80" s="8">
        <f t="shared" si="3"/>
        <v>42660.359768518516</v>
      </c>
    </row>
    <row r="81" spans="1:7" x14ac:dyDescent="0.25">
      <c r="A81" s="8">
        <v>42660.361828703702</v>
      </c>
      <c r="B81" s="21" t="s">
        <v>188</v>
      </c>
      <c r="C81" s="21" t="s">
        <v>477</v>
      </c>
      <c r="D81" s="21">
        <v>2030000</v>
      </c>
      <c r="E81" s="21" t="s">
        <v>320</v>
      </c>
      <c r="F81" s="21" t="str">
        <f t="shared" si="2"/>
        <v>rtdc.l.rtdc.4018:itc</v>
      </c>
      <c r="G81" s="8">
        <f t="shared" si="3"/>
        <v>42660.361828703702</v>
      </c>
    </row>
    <row r="82" spans="1:7" x14ac:dyDescent="0.25">
      <c r="A82" s="8">
        <v>42660.373819444445</v>
      </c>
      <c r="B82" s="21" t="s">
        <v>393</v>
      </c>
      <c r="C82" s="21" t="s">
        <v>478</v>
      </c>
      <c r="D82" s="21">
        <v>1310000</v>
      </c>
      <c r="E82" s="21" t="s">
        <v>282</v>
      </c>
      <c r="F82" s="21" t="str">
        <f t="shared" si="2"/>
        <v>rtdc.l.rtdc.4038:itc</v>
      </c>
      <c r="G82" s="8">
        <f t="shared" si="3"/>
        <v>42660.373819444445</v>
      </c>
    </row>
    <row r="83" spans="1:7" x14ac:dyDescent="0.25">
      <c r="A83" s="8">
        <v>42660.377835648149</v>
      </c>
      <c r="B83" s="21" t="s">
        <v>216</v>
      </c>
      <c r="C83" s="21" t="s">
        <v>479</v>
      </c>
      <c r="D83" s="21">
        <v>1090000</v>
      </c>
      <c r="E83" s="21" t="s">
        <v>430</v>
      </c>
      <c r="F83" s="21" t="str">
        <f t="shared" si="2"/>
        <v>rtdc.l.rtdc.4043:itc</v>
      </c>
      <c r="G83" s="8">
        <f t="shared" si="3"/>
        <v>42660.377835648149</v>
      </c>
    </row>
    <row r="84" spans="1:7" x14ac:dyDescent="0.25">
      <c r="A84" s="8">
        <v>42660.381469907406</v>
      </c>
      <c r="B84" s="21" t="s">
        <v>222</v>
      </c>
      <c r="C84" s="21" t="s">
        <v>480</v>
      </c>
      <c r="D84" s="21">
        <v>1260000</v>
      </c>
      <c r="E84" s="21" t="s">
        <v>339</v>
      </c>
      <c r="F84" s="21" t="str">
        <f t="shared" si="2"/>
        <v>rtdc.l.rtdc.4031:itc</v>
      </c>
      <c r="G84" s="8">
        <f t="shared" si="3"/>
        <v>42660.381469907406</v>
      </c>
    </row>
    <row r="85" spans="1:7" x14ac:dyDescent="0.25">
      <c r="A85" s="8">
        <v>42660.388055555559</v>
      </c>
      <c r="B85" s="21" t="s">
        <v>338</v>
      </c>
      <c r="C85" s="21" t="s">
        <v>408</v>
      </c>
      <c r="D85" s="21">
        <v>900000</v>
      </c>
      <c r="E85" s="21" t="s">
        <v>450</v>
      </c>
      <c r="F85" s="21" t="str">
        <f t="shared" si="2"/>
        <v>rtdc.l.rtdc.4029:itc</v>
      </c>
      <c r="G85" s="8">
        <f t="shared" si="3"/>
        <v>42660.388055555559</v>
      </c>
    </row>
    <row r="86" spans="1:7" x14ac:dyDescent="0.25">
      <c r="A86" s="8">
        <v>42660.390289351853</v>
      </c>
      <c r="B86" s="21" t="s">
        <v>340</v>
      </c>
      <c r="C86" s="21" t="s">
        <v>481</v>
      </c>
      <c r="D86" s="21">
        <v>1110000</v>
      </c>
      <c r="E86" s="21" t="s">
        <v>342</v>
      </c>
      <c r="F86" s="21" t="str">
        <f t="shared" si="2"/>
        <v>rtdc.l.rtdc.4026:itc</v>
      </c>
      <c r="G86" s="8">
        <f t="shared" si="3"/>
        <v>42660.390289351853</v>
      </c>
    </row>
    <row r="87" spans="1:7" x14ac:dyDescent="0.25">
      <c r="A87" s="8">
        <v>42660.394050925926</v>
      </c>
      <c r="B87" s="21" t="s">
        <v>396</v>
      </c>
      <c r="C87" s="21" t="s">
        <v>482</v>
      </c>
      <c r="D87" s="21">
        <v>2140000</v>
      </c>
      <c r="E87" s="21" t="s">
        <v>428</v>
      </c>
      <c r="F87" s="21" t="str">
        <f t="shared" si="2"/>
        <v>rtdc.l.rtdc.4002:itc</v>
      </c>
      <c r="G87" s="8">
        <f t="shared" si="3"/>
        <v>42660.394050925926</v>
      </c>
    </row>
    <row r="88" spans="1:7" x14ac:dyDescent="0.25">
      <c r="A88" s="8">
        <v>42660.398379629631</v>
      </c>
      <c r="B88" s="21" t="s">
        <v>268</v>
      </c>
      <c r="C88" s="21" t="s">
        <v>483</v>
      </c>
      <c r="D88" s="21">
        <v>2030000</v>
      </c>
      <c r="E88" s="21" t="s">
        <v>320</v>
      </c>
      <c r="F88" s="21" t="str">
        <f t="shared" si="2"/>
        <v>rtdc.l.rtdc.4017:itc</v>
      </c>
      <c r="G88" s="8">
        <f t="shared" si="3"/>
        <v>42660.398379629631</v>
      </c>
    </row>
    <row r="89" spans="1:7" x14ac:dyDescent="0.25">
      <c r="A89" s="8">
        <v>42660.40016203704</v>
      </c>
      <c r="B89" s="21" t="s">
        <v>343</v>
      </c>
      <c r="C89" s="21" t="s">
        <v>409</v>
      </c>
      <c r="D89" s="21">
        <v>900000</v>
      </c>
      <c r="E89" s="21" t="s">
        <v>450</v>
      </c>
      <c r="F89" s="21" t="str">
        <f t="shared" si="2"/>
        <v>rtdc.l.rtdc.4030:itc</v>
      </c>
      <c r="G89" s="8">
        <f t="shared" si="3"/>
        <v>42660.40016203704</v>
      </c>
    </row>
    <row r="90" spans="1:7" x14ac:dyDescent="0.25">
      <c r="A90" s="8">
        <v>42660.40116898148</v>
      </c>
      <c r="B90" s="21" t="s">
        <v>300</v>
      </c>
      <c r="C90" s="21" t="s">
        <v>484</v>
      </c>
      <c r="D90" s="21">
        <v>1830000</v>
      </c>
      <c r="E90" s="21" t="s">
        <v>321</v>
      </c>
      <c r="F90" s="21" t="str">
        <f t="shared" si="2"/>
        <v>rtdc.l.rtdc.4011:itc</v>
      </c>
      <c r="G90" s="8">
        <f t="shared" si="3"/>
        <v>42660.40116898148</v>
      </c>
    </row>
    <row r="91" spans="1:7" x14ac:dyDescent="0.25">
      <c r="A91" s="8">
        <v>42660.412986111114</v>
      </c>
      <c r="B91" s="21" t="s">
        <v>401</v>
      </c>
      <c r="C91" s="21" t="s">
        <v>410</v>
      </c>
      <c r="D91" s="21">
        <v>1310000</v>
      </c>
      <c r="E91" s="21" t="s">
        <v>282</v>
      </c>
      <c r="F91" s="21" t="str">
        <f t="shared" si="2"/>
        <v>rtdc.l.rtdc.4037:itc</v>
      </c>
      <c r="G91" s="8">
        <f t="shared" si="3"/>
        <v>42660.412986111114</v>
      </c>
    </row>
    <row r="92" spans="1:7" x14ac:dyDescent="0.25">
      <c r="A92" s="8">
        <v>42660.41302083333</v>
      </c>
      <c r="B92" s="21" t="s">
        <v>198</v>
      </c>
      <c r="C92" s="21" t="s">
        <v>485</v>
      </c>
      <c r="D92" s="21">
        <v>1090000</v>
      </c>
      <c r="E92" s="21" t="s">
        <v>430</v>
      </c>
      <c r="F92" s="21" t="str">
        <f t="shared" si="2"/>
        <v>rtdc.l.rtdc.4044:itc</v>
      </c>
      <c r="G92" s="8">
        <f t="shared" si="3"/>
        <v>42660.41302083333</v>
      </c>
    </row>
    <row r="93" spans="1:7" x14ac:dyDescent="0.25">
      <c r="A93" s="8">
        <v>42660.420046296298</v>
      </c>
      <c r="B93" s="21" t="s">
        <v>221</v>
      </c>
      <c r="C93" s="21" t="s">
        <v>486</v>
      </c>
      <c r="D93" s="21">
        <v>1260000</v>
      </c>
      <c r="E93" s="21" t="s">
        <v>339</v>
      </c>
      <c r="F93" s="21" t="str">
        <f t="shared" si="2"/>
        <v>rtdc.l.rtdc.4032:itc</v>
      </c>
      <c r="G93" s="8">
        <f t="shared" si="3"/>
        <v>42660.420046296298</v>
      </c>
    </row>
    <row r="94" spans="1:7" x14ac:dyDescent="0.25">
      <c r="A94" s="8">
        <v>42660.424745370372</v>
      </c>
      <c r="B94" s="21" t="s">
        <v>338</v>
      </c>
      <c r="C94" s="21" t="s">
        <v>487</v>
      </c>
      <c r="D94" s="21">
        <v>900000</v>
      </c>
      <c r="E94" s="21" t="s">
        <v>450</v>
      </c>
      <c r="F94" s="21" t="str">
        <f t="shared" si="2"/>
        <v>rtdc.l.rtdc.4029:itc</v>
      </c>
      <c r="G94" s="8">
        <f t="shared" si="3"/>
        <v>42660.424745370372</v>
      </c>
    </row>
    <row r="95" spans="1:7" x14ac:dyDescent="0.25">
      <c r="A95" s="8">
        <v>42660.425694444442</v>
      </c>
      <c r="B95" s="21" t="s">
        <v>280</v>
      </c>
      <c r="C95" s="21" t="s">
        <v>488</v>
      </c>
      <c r="D95" s="21">
        <v>2140000</v>
      </c>
      <c r="E95" s="21" t="s">
        <v>428</v>
      </c>
      <c r="F95" s="21" t="str">
        <f t="shared" si="2"/>
        <v>rtdc.l.rtdc.4001:itc</v>
      </c>
      <c r="G95" s="8">
        <f t="shared" si="3"/>
        <v>42660.425694444442</v>
      </c>
    </row>
    <row r="96" spans="1:7" x14ac:dyDescent="0.25">
      <c r="A96" s="8">
        <v>42660.426527777781</v>
      </c>
      <c r="B96" s="21" t="s">
        <v>341</v>
      </c>
      <c r="C96" s="21" t="s">
        <v>489</v>
      </c>
      <c r="D96" s="21">
        <v>1110000</v>
      </c>
      <c r="E96" s="21" t="s">
        <v>342</v>
      </c>
      <c r="F96" s="21" t="str">
        <f t="shared" si="2"/>
        <v>rtdc.l.rtdc.4025:itc</v>
      </c>
      <c r="G96" s="8">
        <f t="shared" si="3"/>
        <v>42660.426527777781</v>
      </c>
    </row>
    <row r="97" spans="1:7" x14ac:dyDescent="0.25">
      <c r="A97" s="8">
        <v>42660.433738425927</v>
      </c>
      <c r="B97" s="21" t="s">
        <v>299</v>
      </c>
      <c r="C97" s="21" t="s">
        <v>490</v>
      </c>
      <c r="D97" s="21">
        <v>1830000</v>
      </c>
      <c r="E97" s="21" t="s">
        <v>321</v>
      </c>
      <c r="F97" s="21" t="str">
        <f t="shared" si="2"/>
        <v>rtdc.l.rtdc.4012:itc</v>
      </c>
      <c r="G97" s="8">
        <f t="shared" si="3"/>
        <v>42660.433738425927</v>
      </c>
    </row>
    <row r="98" spans="1:7" x14ac:dyDescent="0.25">
      <c r="A98" s="8">
        <v>42660.434884259259</v>
      </c>
      <c r="B98" s="21" t="s">
        <v>188</v>
      </c>
      <c r="C98" s="21" t="s">
        <v>491</v>
      </c>
      <c r="D98" s="21">
        <v>2110000</v>
      </c>
      <c r="E98" s="21" t="s">
        <v>436</v>
      </c>
      <c r="F98" s="21" t="str">
        <f t="shared" si="2"/>
        <v>rtdc.l.rtdc.4018:itc</v>
      </c>
      <c r="G98" s="8">
        <f t="shared" si="3"/>
        <v>42660.434884259259</v>
      </c>
    </row>
    <row r="99" spans="1:7" x14ac:dyDescent="0.25">
      <c r="A99" s="8">
        <v>42660.438125000001</v>
      </c>
      <c r="B99" s="21" t="s">
        <v>197</v>
      </c>
      <c r="C99" s="21" t="s">
        <v>492</v>
      </c>
      <c r="D99" s="21">
        <v>1280000</v>
      </c>
      <c r="E99" s="21" t="s">
        <v>344</v>
      </c>
      <c r="F99" s="21" t="str">
        <f t="shared" si="2"/>
        <v>rtdc.l.rtdc.4008:itc</v>
      </c>
      <c r="G99" s="8">
        <f t="shared" si="3"/>
        <v>42660.438125000001</v>
      </c>
    </row>
    <row r="100" spans="1:7" x14ac:dyDescent="0.25">
      <c r="A100" s="8">
        <v>42660.438842592594</v>
      </c>
      <c r="B100" s="21" t="s">
        <v>197</v>
      </c>
      <c r="C100" s="21" t="s">
        <v>492</v>
      </c>
      <c r="D100" s="21">
        <v>1280000</v>
      </c>
      <c r="E100" s="21" t="s">
        <v>344</v>
      </c>
      <c r="F100" s="21" t="str">
        <f t="shared" si="2"/>
        <v>rtdc.l.rtdc.4008:itc</v>
      </c>
      <c r="G100" s="8">
        <f t="shared" si="3"/>
        <v>42660.438842592594</v>
      </c>
    </row>
    <row r="101" spans="1:7" x14ac:dyDescent="0.25">
      <c r="A101" s="8">
        <v>42660.439780092594</v>
      </c>
      <c r="B101" s="21" t="s">
        <v>197</v>
      </c>
      <c r="C101" s="21" t="s">
        <v>492</v>
      </c>
      <c r="D101" s="21">
        <v>1280000</v>
      </c>
      <c r="E101" s="21" t="s">
        <v>344</v>
      </c>
      <c r="F101" s="21" t="str">
        <f t="shared" si="2"/>
        <v>rtdc.l.rtdc.4008:itc</v>
      </c>
      <c r="G101" s="8">
        <f t="shared" si="3"/>
        <v>42660.439780092594</v>
      </c>
    </row>
    <row r="102" spans="1:7" x14ac:dyDescent="0.25">
      <c r="A102" s="8">
        <v>42660.443576388891</v>
      </c>
      <c r="B102" s="21" t="s">
        <v>343</v>
      </c>
      <c r="C102" s="21" t="s">
        <v>493</v>
      </c>
      <c r="D102" s="21">
        <v>900000</v>
      </c>
      <c r="E102" s="21" t="s">
        <v>450</v>
      </c>
      <c r="F102" s="21" t="str">
        <f t="shared" si="2"/>
        <v>rtdc.l.rtdc.4030:itc</v>
      </c>
      <c r="G102" s="8">
        <f t="shared" si="3"/>
        <v>42660.443576388891</v>
      </c>
    </row>
    <row r="103" spans="1:7" x14ac:dyDescent="0.25">
      <c r="A103" s="8">
        <v>42660.446620370371</v>
      </c>
      <c r="B103" s="21" t="s">
        <v>393</v>
      </c>
      <c r="C103" s="21" t="s">
        <v>411</v>
      </c>
      <c r="D103" s="21">
        <v>1310000</v>
      </c>
      <c r="E103" s="21" t="s">
        <v>282</v>
      </c>
      <c r="F103" s="21" t="str">
        <f t="shared" si="2"/>
        <v>rtdc.l.rtdc.4038:itc</v>
      </c>
      <c r="G103" s="8">
        <f t="shared" si="3"/>
        <v>42660.446620370371</v>
      </c>
    </row>
    <row r="104" spans="1:7" x14ac:dyDescent="0.25">
      <c r="A104" s="8">
        <v>42660.452557870369</v>
      </c>
      <c r="B104" s="21" t="s">
        <v>216</v>
      </c>
      <c r="C104" s="21" t="s">
        <v>494</v>
      </c>
      <c r="D104" s="21">
        <v>1090000</v>
      </c>
      <c r="E104" s="21" t="s">
        <v>430</v>
      </c>
      <c r="F104" s="21" t="str">
        <f t="shared" si="2"/>
        <v>rtdc.l.rtdc.4043:itc</v>
      </c>
      <c r="G104" s="8">
        <f t="shared" si="3"/>
        <v>42660.452557870369</v>
      </c>
    </row>
    <row r="105" spans="1:7" x14ac:dyDescent="0.25">
      <c r="A105" s="8">
        <v>42660.456284722219</v>
      </c>
      <c r="B105" s="21" t="s">
        <v>222</v>
      </c>
      <c r="C105" s="21" t="s">
        <v>495</v>
      </c>
      <c r="D105" s="21">
        <v>880000</v>
      </c>
      <c r="E105" s="21" t="s">
        <v>301</v>
      </c>
      <c r="F105" s="21" t="str">
        <f t="shared" si="2"/>
        <v>rtdc.l.rtdc.4031:itc</v>
      </c>
      <c r="G105" s="8">
        <f t="shared" si="3"/>
        <v>42660.456284722219</v>
      </c>
    </row>
    <row r="106" spans="1:7" x14ac:dyDescent="0.25">
      <c r="A106" s="8">
        <v>42660.457673611112</v>
      </c>
      <c r="B106" s="21" t="s">
        <v>496</v>
      </c>
      <c r="C106" s="21" t="s">
        <v>497</v>
      </c>
      <c r="D106" s="21">
        <v>2150000</v>
      </c>
      <c r="E106" s="21" t="s">
        <v>345</v>
      </c>
      <c r="F106" s="21" t="str">
        <f t="shared" si="2"/>
        <v>rtdc.l.rtdc.4021:itc</v>
      </c>
      <c r="G106" s="8">
        <f t="shared" si="3"/>
        <v>42660.457673611112</v>
      </c>
    </row>
    <row r="107" spans="1:7" x14ac:dyDescent="0.25">
      <c r="A107" s="8">
        <v>42660.458229166667</v>
      </c>
      <c r="B107" s="21" t="s">
        <v>496</v>
      </c>
      <c r="C107" s="21" t="s">
        <v>497</v>
      </c>
      <c r="D107" s="21">
        <v>2150000</v>
      </c>
      <c r="E107" s="21" t="s">
        <v>345</v>
      </c>
      <c r="F107" s="21" t="str">
        <f t="shared" si="2"/>
        <v>rtdc.l.rtdc.4021:itc</v>
      </c>
      <c r="G107" s="8">
        <f t="shared" si="3"/>
        <v>42660.458229166667</v>
      </c>
    </row>
    <row r="108" spans="1:7" x14ac:dyDescent="0.25">
      <c r="A108" s="8">
        <v>42660.459050925929</v>
      </c>
      <c r="B108" s="21" t="s">
        <v>496</v>
      </c>
      <c r="C108" s="21" t="s">
        <v>497</v>
      </c>
      <c r="D108" s="21">
        <v>2150000</v>
      </c>
      <c r="E108" s="21" t="s">
        <v>345</v>
      </c>
      <c r="F108" s="21" t="str">
        <f t="shared" si="2"/>
        <v>rtdc.l.rtdc.4021:itc</v>
      </c>
      <c r="G108" s="8">
        <f t="shared" si="3"/>
        <v>42660.459050925929</v>
      </c>
    </row>
    <row r="109" spans="1:7" x14ac:dyDescent="0.25">
      <c r="A109" s="8">
        <v>42660.46361111111</v>
      </c>
      <c r="B109" s="21" t="s">
        <v>340</v>
      </c>
      <c r="C109" s="21" t="s">
        <v>498</v>
      </c>
      <c r="D109" s="21">
        <v>1110000</v>
      </c>
      <c r="E109" s="21" t="s">
        <v>342</v>
      </c>
      <c r="F109" s="21" t="str">
        <f t="shared" si="2"/>
        <v>rtdc.l.rtdc.4026:itc</v>
      </c>
      <c r="G109" s="8">
        <f t="shared" si="3"/>
        <v>42660.46361111111</v>
      </c>
    </row>
    <row r="110" spans="1:7" x14ac:dyDescent="0.25">
      <c r="A110" s="8">
        <v>42660.46769675926</v>
      </c>
      <c r="B110" s="21" t="s">
        <v>396</v>
      </c>
      <c r="C110" s="21" t="s">
        <v>499</v>
      </c>
      <c r="D110" s="21">
        <v>2100000</v>
      </c>
      <c r="E110" s="21" t="s">
        <v>500</v>
      </c>
      <c r="F110" s="21" t="str">
        <f t="shared" si="2"/>
        <v>rtdc.l.rtdc.4002:itc</v>
      </c>
      <c r="G110" s="8">
        <f t="shared" si="3"/>
        <v>42660.46769675926</v>
      </c>
    </row>
    <row r="111" spans="1:7" x14ac:dyDescent="0.25">
      <c r="A111" s="8">
        <v>42660.467766203707</v>
      </c>
      <c r="B111" s="21" t="s">
        <v>338</v>
      </c>
      <c r="C111" s="21" t="s">
        <v>501</v>
      </c>
      <c r="D111" s="21">
        <v>900000</v>
      </c>
      <c r="E111" s="21" t="s">
        <v>450</v>
      </c>
      <c r="F111" s="21" t="str">
        <f t="shared" si="2"/>
        <v>rtdc.l.rtdc.4029:itc</v>
      </c>
      <c r="G111" s="8">
        <f t="shared" si="3"/>
        <v>42660.467766203707</v>
      </c>
    </row>
    <row r="112" spans="1:7" x14ac:dyDescent="0.25">
      <c r="A112" s="8">
        <v>42660.470879629633</v>
      </c>
      <c r="B112" s="21" t="s">
        <v>199</v>
      </c>
      <c r="C112" s="21" t="s">
        <v>502</v>
      </c>
      <c r="D112" s="21">
        <v>1240000</v>
      </c>
      <c r="E112" s="21" t="s">
        <v>432</v>
      </c>
      <c r="F112" s="21" t="str">
        <f t="shared" si="2"/>
        <v>rtdc.l.rtdc.4007:itc</v>
      </c>
      <c r="G112" s="8">
        <f t="shared" si="3"/>
        <v>42660.470879629633</v>
      </c>
    </row>
    <row r="113" spans="1:7" x14ac:dyDescent="0.25">
      <c r="A113" s="8">
        <v>42660.472800925927</v>
      </c>
      <c r="B113" s="21" t="s">
        <v>268</v>
      </c>
      <c r="C113" s="21" t="s">
        <v>503</v>
      </c>
      <c r="D113" s="21">
        <v>2110000</v>
      </c>
      <c r="E113" s="21" t="s">
        <v>436</v>
      </c>
      <c r="F113" s="21" t="str">
        <f t="shared" si="2"/>
        <v>rtdc.l.rtdc.4017:itc</v>
      </c>
      <c r="G113" s="8">
        <f t="shared" si="3"/>
        <v>42660.472800925927</v>
      </c>
    </row>
    <row r="114" spans="1:7" x14ac:dyDescent="0.25">
      <c r="A114" s="8">
        <v>42660.475995370369</v>
      </c>
      <c r="B114" s="21" t="s">
        <v>300</v>
      </c>
      <c r="C114" s="21" t="s">
        <v>504</v>
      </c>
      <c r="D114" s="21">
        <v>2150000</v>
      </c>
      <c r="E114" s="21" t="s">
        <v>345</v>
      </c>
      <c r="F114" s="21" t="str">
        <f t="shared" si="2"/>
        <v>rtdc.l.rtdc.4011:itc</v>
      </c>
      <c r="G114" s="8">
        <f t="shared" si="3"/>
        <v>42660.475995370369</v>
      </c>
    </row>
    <row r="115" spans="1:7" x14ac:dyDescent="0.25">
      <c r="A115" s="8">
        <v>42660.484664351854</v>
      </c>
      <c r="B115" s="21" t="s">
        <v>343</v>
      </c>
      <c r="C115" s="21" t="s">
        <v>412</v>
      </c>
      <c r="D115" s="21">
        <v>900000</v>
      </c>
      <c r="E115" s="21" t="s">
        <v>450</v>
      </c>
      <c r="F115" s="21" t="str">
        <f t="shared" si="2"/>
        <v>rtdc.l.rtdc.4030:itc</v>
      </c>
      <c r="G115" s="8">
        <f t="shared" si="3"/>
        <v>42660.484664351854</v>
      </c>
    </row>
    <row r="116" spans="1:7" x14ac:dyDescent="0.25">
      <c r="A116" s="8">
        <v>42660.485810185186</v>
      </c>
      <c r="B116" s="21" t="s">
        <v>401</v>
      </c>
      <c r="C116" s="21" t="s">
        <v>505</v>
      </c>
      <c r="D116" s="21">
        <v>1310000</v>
      </c>
      <c r="E116" s="21" t="s">
        <v>282</v>
      </c>
      <c r="F116" s="21" t="str">
        <f t="shared" si="2"/>
        <v>rtdc.l.rtdc.4037:itc</v>
      </c>
      <c r="G116" s="8">
        <f t="shared" si="3"/>
        <v>42660.485810185186</v>
      </c>
    </row>
    <row r="117" spans="1:7" x14ac:dyDescent="0.25">
      <c r="A117" s="8">
        <v>42660.487453703703</v>
      </c>
      <c r="B117" s="21" t="s">
        <v>198</v>
      </c>
      <c r="C117" s="21" t="s">
        <v>506</v>
      </c>
      <c r="D117" s="21">
        <v>930000</v>
      </c>
      <c r="E117" s="21" t="s">
        <v>302</v>
      </c>
      <c r="F117" s="21" t="str">
        <f t="shared" si="2"/>
        <v>rtdc.l.rtdc.4044:itc</v>
      </c>
      <c r="G117" s="8">
        <f t="shared" si="3"/>
        <v>42660.487453703703</v>
      </c>
    </row>
    <row r="118" spans="1:7" x14ac:dyDescent="0.25">
      <c r="A118" s="8">
        <v>42660.495335648149</v>
      </c>
      <c r="B118" s="21" t="s">
        <v>221</v>
      </c>
      <c r="C118" s="21" t="s">
        <v>413</v>
      </c>
      <c r="D118" s="21">
        <v>880000</v>
      </c>
      <c r="E118" s="21" t="s">
        <v>301</v>
      </c>
      <c r="F118" s="21" t="str">
        <f t="shared" si="2"/>
        <v>rtdc.l.rtdc.4032:itc</v>
      </c>
      <c r="G118" s="8">
        <f t="shared" si="3"/>
        <v>42660.495335648149</v>
      </c>
    </row>
    <row r="119" spans="1:7" x14ac:dyDescent="0.25">
      <c r="A119" s="8">
        <v>42660.500289351854</v>
      </c>
      <c r="B119" s="21" t="s">
        <v>341</v>
      </c>
      <c r="C119" s="21" t="s">
        <v>507</v>
      </c>
      <c r="D119" s="21">
        <v>2360000</v>
      </c>
      <c r="E119" s="21" t="s">
        <v>223</v>
      </c>
      <c r="F119" s="21" t="str">
        <f t="shared" si="2"/>
        <v>rtdc.l.rtdc.4025:itc</v>
      </c>
      <c r="G119" s="8">
        <f t="shared" si="3"/>
        <v>42660.500289351854</v>
      </c>
    </row>
    <row r="120" spans="1:7" x14ac:dyDescent="0.25">
      <c r="A120" s="8">
        <v>42660.501319444447</v>
      </c>
      <c r="B120" s="21" t="s">
        <v>280</v>
      </c>
      <c r="C120" s="21" t="s">
        <v>508</v>
      </c>
      <c r="D120" s="21">
        <v>2100000</v>
      </c>
      <c r="E120" s="21" t="s">
        <v>500</v>
      </c>
      <c r="F120" s="21" t="str">
        <f t="shared" si="2"/>
        <v>rtdc.l.rtdc.4001:itc</v>
      </c>
      <c r="G120" s="8">
        <f t="shared" si="3"/>
        <v>42660.501319444447</v>
      </c>
    </row>
    <row r="121" spans="1:7" x14ac:dyDescent="0.25">
      <c r="A121" s="8">
        <v>42660.505787037036</v>
      </c>
      <c r="B121" s="21" t="s">
        <v>338</v>
      </c>
      <c r="C121" s="21" t="s">
        <v>414</v>
      </c>
      <c r="D121" s="21">
        <v>900000</v>
      </c>
      <c r="E121" s="21" t="s">
        <v>450</v>
      </c>
      <c r="F121" s="21" t="str">
        <f t="shared" si="2"/>
        <v>rtdc.l.rtdc.4029:itc</v>
      </c>
      <c r="G121" s="8">
        <f t="shared" si="3"/>
        <v>42660.505787037036</v>
      </c>
    </row>
    <row r="122" spans="1:7" x14ac:dyDescent="0.25">
      <c r="A122" s="8">
        <v>42660.509513888886</v>
      </c>
      <c r="B122" s="26" t="s">
        <v>188</v>
      </c>
      <c r="C122" s="21" t="s">
        <v>509</v>
      </c>
      <c r="D122" s="21">
        <v>1540000</v>
      </c>
      <c r="E122" s="21" t="s">
        <v>510</v>
      </c>
      <c r="F122" s="21" t="str">
        <f t="shared" si="2"/>
        <v>rtdc.l.rtdc.4018:itc</v>
      </c>
      <c r="G122" s="8">
        <f t="shared" si="3"/>
        <v>42660.509513888886</v>
      </c>
    </row>
    <row r="123" spans="1:7" x14ac:dyDescent="0.25">
      <c r="A123" s="8">
        <v>42660.510659722226</v>
      </c>
      <c r="B123" s="21" t="s">
        <v>299</v>
      </c>
      <c r="C123" s="21" t="s">
        <v>511</v>
      </c>
      <c r="D123" s="21">
        <v>2150000</v>
      </c>
      <c r="E123" s="21" t="s">
        <v>345</v>
      </c>
      <c r="F123" s="21" t="str">
        <f t="shared" si="2"/>
        <v>rtdc.l.rtdc.4012:itc</v>
      </c>
      <c r="G123" s="8">
        <f t="shared" si="3"/>
        <v>42660.510659722226</v>
      </c>
    </row>
    <row r="124" spans="1:7" x14ac:dyDescent="0.25">
      <c r="A124" s="8">
        <v>42660.518888888888</v>
      </c>
      <c r="B124" s="21" t="s">
        <v>393</v>
      </c>
      <c r="C124" s="21" t="s">
        <v>512</v>
      </c>
      <c r="D124" s="21">
        <v>2000000</v>
      </c>
      <c r="E124" s="21" t="s">
        <v>513</v>
      </c>
      <c r="F124" s="21" t="str">
        <f t="shared" si="2"/>
        <v>rtdc.l.rtdc.4038:itc</v>
      </c>
      <c r="G124" s="8">
        <f t="shared" si="3"/>
        <v>42660.518888888888</v>
      </c>
    </row>
    <row r="125" spans="1:7" x14ac:dyDescent="0.25">
      <c r="A125" s="8">
        <v>42660.524189814816</v>
      </c>
      <c r="B125" s="21" t="s">
        <v>216</v>
      </c>
      <c r="C125" s="21" t="s">
        <v>514</v>
      </c>
      <c r="D125" s="21">
        <v>930000</v>
      </c>
      <c r="E125" s="21" t="s">
        <v>302</v>
      </c>
      <c r="F125" s="21" t="str">
        <f t="shared" si="2"/>
        <v>rtdc.l.rtdc.4043:itc</v>
      </c>
      <c r="G125" s="8">
        <f t="shared" si="3"/>
        <v>42660.524189814816</v>
      </c>
    </row>
    <row r="126" spans="1:7" x14ac:dyDescent="0.25">
      <c r="A126" s="8">
        <v>42660.526944444442</v>
      </c>
      <c r="B126" s="21" t="s">
        <v>343</v>
      </c>
      <c r="C126" s="21" t="s">
        <v>515</v>
      </c>
      <c r="D126" s="21">
        <v>900000</v>
      </c>
      <c r="E126" s="21" t="s">
        <v>450</v>
      </c>
      <c r="F126" s="21" t="str">
        <f t="shared" si="2"/>
        <v>rtdc.l.rtdc.4030:itc</v>
      </c>
      <c r="G126" s="8">
        <f t="shared" si="3"/>
        <v>42660.526944444442</v>
      </c>
    </row>
    <row r="127" spans="1:7" x14ac:dyDescent="0.25">
      <c r="A127" s="8">
        <v>42660.529722222222</v>
      </c>
      <c r="B127" s="21" t="s">
        <v>222</v>
      </c>
      <c r="C127" s="21" t="s">
        <v>516</v>
      </c>
      <c r="D127" s="21">
        <v>880000</v>
      </c>
      <c r="E127" s="21" t="s">
        <v>301</v>
      </c>
      <c r="F127" s="21" t="str">
        <f t="shared" si="2"/>
        <v>rtdc.l.rtdc.4031:itc</v>
      </c>
      <c r="G127" s="8">
        <f t="shared" si="3"/>
        <v>42660.529722222222</v>
      </c>
    </row>
    <row r="128" spans="1:7" x14ac:dyDescent="0.25">
      <c r="A128" s="8">
        <v>42660.539305555554</v>
      </c>
      <c r="B128" s="21" t="s">
        <v>340</v>
      </c>
      <c r="C128" s="21" t="s">
        <v>415</v>
      </c>
      <c r="D128" s="21">
        <v>2360000</v>
      </c>
      <c r="E128" s="21" t="s">
        <v>223</v>
      </c>
      <c r="F128" s="21" t="str">
        <f t="shared" si="2"/>
        <v>rtdc.l.rtdc.4026:itc</v>
      </c>
      <c r="G128" s="8">
        <f t="shared" si="3"/>
        <v>42660.539305555554</v>
      </c>
    </row>
    <row r="129" spans="1:7" x14ac:dyDescent="0.25">
      <c r="A129" s="8">
        <v>42660.540486111109</v>
      </c>
      <c r="B129" s="21" t="s">
        <v>396</v>
      </c>
      <c r="C129" s="21" t="s">
        <v>517</v>
      </c>
      <c r="D129" s="21">
        <v>1280000</v>
      </c>
      <c r="E129" s="21" t="s">
        <v>344</v>
      </c>
      <c r="F129" s="21" t="str">
        <f t="shared" si="2"/>
        <v>rtdc.l.rtdc.4002:itc</v>
      </c>
      <c r="G129" s="8">
        <f t="shared" si="3"/>
        <v>42660.540486111109</v>
      </c>
    </row>
    <row r="130" spans="1:7" x14ac:dyDescent="0.25">
      <c r="A130" s="8">
        <v>42660.546458333331</v>
      </c>
      <c r="B130" s="21" t="s">
        <v>268</v>
      </c>
      <c r="C130" s="21" t="s">
        <v>518</v>
      </c>
      <c r="D130" s="21">
        <v>1540000</v>
      </c>
      <c r="E130" s="21" t="s">
        <v>510</v>
      </c>
      <c r="F130" s="21" t="str">
        <f t="shared" ref="F130:F193" si="4">B130</f>
        <v>rtdc.l.rtdc.4017:itc</v>
      </c>
      <c r="G130" s="8">
        <f t="shared" ref="G130:G193" si="5">A130</f>
        <v>42660.546458333331</v>
      </c>
    </row>
    <row r="131" spans="1:7" x14ac:dyDescent="0.25">
      <c r="A131" s="8">
        <v>42660.549027777779</v>
      </c>
      <c r="B131" s="21" t="s">
        <v>300</v>
      </c>
      <c r="C131" s="21" t="s">
        <v>416</v>
      </c>
      <c r="D131" s="21">
        <v>940000</v>
      </c>
      <c r="E131" s="21" t="s">
        <v>519</v>
      </c>
      <c r="F131" s="21" t="str">
        <f t="shared" si="4"/>
        <v>rtdc.l.rtdc.4011:itc</v>
      </c>
      <c r="G131" s="8">
        <f t="shared" si="5"/>
        <v>42660.549027777779</v>
      </c>
    </row>
    <row r="132" spans="1:7" x14ac:dyDescent="0.25">
      <c r="A132" s="8">
        <v>42660.552858796298</v>
      </c>
      <c r="B132" s="21" t="s">
        <v>338</v>
      </c>
      <c r="C132" s="21" t="s">
        <v>417</v>
      </c>
      <c r="D132" s="21">
        <v>1770000</v>
      </c>
      <c r="E132" s="21" t="s">
        <v>322</v>
      </c>
      <c r="F132" s="21" t="str">
        <f t="shared" si="4"/>
        <v>rtdc.l.rtdc.4029:itc</v>
      </c>
      <c r="G132" s="8">
        <f t="shared" si="5"/>
        <v>42660.552858796298</v>
      </c>
    </row>
    <row r="133" spans="1:7" x14ac:dyDescent="0.25">
      <c r="A133" s="8">
        <v>42660.555115740739</v>
      </c>
      <c r="B133" s="21" t="s">
        <v>401</v>
      </c>
      <c r="C133" s="21" t="s">
        <v>520</v>
      </c>
      <c r="D133" s="21">
        <v>2020000</v>
      </c>
      <c r="E133" s="21" t="s">
        <v>303</v>
      </c>
      <c r="F133" s="21" t="str">
        <f t="shared" si="4"/>
        <v>rtdc.l.rtdc.4037:itc</v>
      </c>
      <c r="G133" s="8">
        <f t="shared" si="5"/>
        <v>42660.555115740739</v>
      </c>
    </row>
    <row r="134" spans="1:7" x14ac:dyDescent="0.25">
      <c r="A134" s="8">
        <v>42660.559641203705</v>
      </c>
      <c r="B134" s="21" t="s">
        <v>198</v>
      </c>
      <c r="C134" s="21" t="s">
        <v>521</v>
      </c>
      <c r="D134" s="21">
        <v>930000</v>
      </c>
      <c r="E134" s="21" t="s">
        <v>302</v>
      </c>
      <c r="F134" s="21" t="str">
        <f t="shared" si="4"/>
        <v>rtdc.l.rtdc.4044:itc</v>
      </c>
      <c r="G134" s="8">
        <f t="shared" si="5"/>
        <v>42660.559641203705</v>
      </c>
    </row>
    <row r="135" spans="1:7" x14ac:dyDescent="0.25">
      <c r="A135" s="8">
        <v>42660.568680555552</v>
      </c>
      <c r="B135" s="21" t="s">
        <v>343</v>
      </c>
      <c r="C135" s="21" t="s">
        <v>522</v>
      </c>
      <c r="D135" s="21">
        <v>1770000</v>
      </c>
      <c r="E135" s="21" t="s">
        <v>322</v>
      </c>
      <c r="F135" s="21" t="str">
        <f t="shared" si="4"/>
        <v>rtdc.l.rtdc.4030:itc</v>
      </c>
      <c r="G135" s="8">
        <f t="shared" si="5"/>
        <v>42660.568680555552</v>
      </c>
    </row>
    <row r="136" spans="1:7" x14ac:dyDescent="0.25">
      <c r="A136" s="8">
        <v>42660.568715277775</v>
      </c>
      <c r="B136" s="21" t="s">
        <v>221</v>
      </c>
      <c r="C136" s="21" t="s">
        <v>523</v>
      </c>
      <c r="D136" s="21">
        <v>880000</v>
      </c>
      <c r="E136" s="21" t="s">
        <v>301</v>
      </c>
      <c r="F136" s="21" t="str">
        <f t="shared" si="4"/>
        <v>rtdc.l.rtdc.4032:itc</v>
      </c>
      <c r="G136" s="8">
        <f t="shared" si="5"/>
        <v>42660.568715277775</v>
      </c>
    </row>
    <row r="137" spans="1:7" x14ac:dyDescent="0.25">
      <c r="A137" s="8">
        <v>42660.569212962961</v>
      </c>
      <c r="B137" s="21" t="s">
        <v>341</v>
      </c>
      <c r="C137" s="21" t="s">
        <v>524</v>
      </c>
      <c r="D137" s="21">
        <v>2360000</v>
      </c>
      <c r="E137" s="21" t="s">
        <v>223</v>
      </c>
      <c r="F137" s="21" t="str">
        <f t="shared" si="4"/>
        <v>rtdc.l.rtdc.4025:itc</v>
      </c>
      <c r="G137" s="8">
        <f t="shared" si="5"/>
        <v>42660.569212962961</v>
      </c>
    </row>
    <row r="138" spans="1:7" x14ac:dyDescent="0.25">
      <c r="A138" s="8">
        <v>42660.570509259262</v>
      </c>
      <c r="B138" s="21" t="s">
        <v>280</v>
      </c>
      <c r="C138" s="21" t="s">
        <v>418</v>
      </c>
      <c r="D138" s="21">
        <v>1280000</v>
      </c>
      <c r="E138" s="21" t="s">
        <v>344</v>
      </c>
      <c r="F138" s="21" t="str">
        <f t="shared" si="4"/>
        <v>rtdc.l.rtdc.4001:itc</v>
      </c>
      <c r="G138" s="8">
        <f t="shared" si="5"/>
        <v>42660.570509259262</v>
      </c>
    </row>
    <row r="139" spans="1:7" x14ac:dyDescent="0.25">
      <c r="A139" s="8">
        <v>42660.581134259257</v>
      </c>
      <c r="B139" s="21" t="s">
        <v>188</v>
      </c>
      <c r="C139" s="21" t="s">
        <v>525</v>
      </c>
      <c r="D139" s="21">
        <v>1540000</v>
      </c>
      <c r="E139" s="21" t="s">
        <v>510</v>
      </c>
      <c r="F139" s="21" t="str">
        <f t="shared" si="4"/>
        <v>rtdc.l.rtdc.4018:itc</v>
      </c>
      <c r="G139" s="8">
        <f t="shared" si="5"/>
        <v>42660.581134259257</v>
      </c>
    </row>
    <row r="140" spans="1:7" x14ac:dyDescent="0.25">
      <c r="A140" s="8">
        <v>42660.585196759261</v>
      </c>
      <c r="B140" s="21" t="s">
        <v>299</v>
      </c>
      <c r="C140" s="21" t="s">
        <v>526</v>
      </c>
      <c r="D140" s="21">
        <v>940000</v>
      </c>
      <c r="E140" s="21" t="s">
        <v>519</v>
      </c>
      <c r="F140" s="21" t="str">
        <f t="shared" si="4"/>
        <v>rtdc.l.rtdc.4012:itc</v>
      </c>
      <c r="G140" s="8">
        <f t="shared" si="5"/>
        <v>42660.585196759261</v>
      </c>
    </row>
    <row r="141" spans="1:7" x14ac:dyDescent="0.25">
      <c r="A141" s="8">
        <v>42660.589687500003</v>
      </c>
      <c r="B141" s="21" t="s">
        <v>393</v>
      </c>
      <c r="C141" s="21" t="s">
        <v>527</v>
      </c>
      <c r="D141" s="21">
        <v>2020000</v>
      </c>
      <c r="E141" s="21" t="s">
        <v>303</v>
      </c>
      <c r="F141" s="21" t="str">
        <f t="shared" si="4"/>
        <v>rtdc.l.rtdc.4038:itc</v>
      </c>
      <c r="G141" s="8">
        <f t="shared" si="5"/>
        <v>42660.589687500003</v>
      </c>
    </row>
    <row r="142" spans="1:7" x14ac:dyDescent="0.25">
      <c r="A142" s="8">
        <v>42660.591539351852</v>
      </c>
      <c r="B142" s="21" t="s">
        <v>338</v>
      </c>
      <c r="C142" s="21" t="s">
        <v>528</v>
      </c>
      <c r="D142" s="21">
        <v>1770000</v>
      </c>
      <c r="E142" s="21" t="s">
        <v>322</v>
      </c>
      <c r="F142" s="21" t="str">
        <f t="shared" si="4"/>
        <v>rtdc.l.rtdc.4029:itc</v>
      </c>
      <c r="G142" s="8">
        <f t="shared" si="5"/>
        <v>42660.591539351852</v>
      </c>
    </row>
    <row r="143" spans="1:7" x14ac:dyDescent="0.25">
      <c r="A143" s="8">
        <v>42660.597187500003</v>
      </c>
      <c r="B143" s="21" t="s">
        <v>216</v>
      </c>
      <c r="C143" s="21" t="s">
        <v>529</v>
      </c>
      <c r="D143" s="21">
        <v>930000</v>
      </c>
      <c r="E143" s="21" t="s">
        <v>302</v>
      </c>
      <c r="F143" s="21" t="str">
        <f t="shared" si="4"/>
        <v>rtdc.l.rtdc.4043:itc</v>
      </c>
      <c r="G143" s="8">
        <f t="shared" si="5"/>
        <v>42660.597187500003</v>
      </c>
    </row>
    <row r="144" spans="1:7" x14ac:dyDescent="0.25">
      <c r="A144" s="8">
        <v>42660.604375000003</v>
      </c>
      <c r="B144" s="21" t="s">
        <v>222</v>
      </c>
      <c r="C144" s="21" t="s">
        <v>530</v>
      </c>
      <c r="D144" s="21">
        <v>880000</v>
      </c>
      <c r="E144" s="21" t="s">
        <v>301</v>
      </c>
      <c r="F144" s="21" t="str">
        <f t="shared" si="4"/>
        <v>rtdc.l.rtdc.4031:itc</v>
      </c>
      <c r="G144" s="8">
        <f t="shared" si="5"/>
        <v>42660.604375000003</v>
      </c>
    </row>
    <row r="145" spans="1:7" x14ac:dyDescent="0.25">
      <c r="A145" s="8">
        <v>42660.609513888892</v>
      </c>
      <c r="B145" s="21" t="s">
        <v>340</v>
      </c>
      <c r="C145" s="21" t="s">
        <v>531</v>
      </c>
      <c r="D145" s="21">
        <v>2360000</v>
      </c>
      <c r="E145" s="21" t="s">
        <v>223</v>
      </c>
      <c r="F145" s="21" t="str">
        <f t="shared" si="4"/>
        <v>rtdc.l.rtdc.4026:itc</v>
      </c>
      <c r="G145" s="8">
        <f t="shared" si="5"/>
        <v>42660.609513888892</v>
      </c>
    </row>
    <row r="146" spans="1:7" x14ac:dyDescent="0.25">
      <c r="A146" s="8">
        <v>42660.610011574077</v>
      </c>
      <c r="B146" s="21" t="s">
        <v>343</v>
      </c>
      <c r="C146" s="21" t="s">
        <v>532</v>
      </c>
      <c r="D146" s="21">
        <v>1770000</v>
      </c>
      <c r="E146" s="21" t="s">
        <v>322</v>
      </c>
      <c r="F146" s="21" t="str">
        <f t="shared" si="4"/>
        <v>rtdc.l.rtdc.4030:itc</v>
      </c>
      <c r="G146" s="8">
        <f t="shared" si="5"/>
        <v>42660.610011574077</v>
      </c>
    </row>
    <row r="147" spans="1:7" x14ac:dyDescent="0.25">
      <c r="A147" s="8">
        <v>42660.611226851855</v>
      </c>
      <c r="B147" s="21" t="s">
        <v>396</v>
      </c>
      <c r="C147" s="21" t="s">
        <v>533</v>
      </c>
      <c r="D147" s="21">
        <v>1280000</v>
      </c>
      <c r="E147" s="21" t="s">
        <v>344</v>
      </c>
      <c r="F147" s="21" t="str">
        <f t="shared" si="4"/>
        <v>rtdc.l.rtdc.4002:itc</v>
      </c>
      <c r="G147" s="8">
        <f t="shared" si="5"/>
        <v>42660.611226851855</v>
      </c>
    </row>
    <row r="148" spans="1:7" x14ac:dyDescent="0.25">
      <c r="A148" s="8">
        <v>42660.619317129633</v>
      </c>
      <c r="B148" s="21" t="s">
        <v>268</v>
      </c>
      <c r="C148" s="21" t="s">
        <v>534</v>
      </c>
      <c r="D148" s="21">
        <v>1540000</v>
      </c>
      <c r="E148" s="21" t="s">
        <v>510</v>
      </c>
      <c r="F148" s="21" t="str">
        <f t="shared" si="4"/>
        <v>rtdc.l.rtdc.4017:itc</v>
      </c>
      <c r="G148" s="8">
        <f t="shared" si="5"/>
        <v>42660.619317129633</v>
      </c>
    </row>
    <row r="149" spans="1:7" x14ac:dyDescent="0.25">
      <c r="A149" s="8">
        <v>42660.620972222219</v>
      </c>
      <c r="B149" s="21" t="s">
        <v>300</v>
      </c>
      <c r="C149" s="21" t="s">
        <v>535</v>
      </c>
      <c r="D149" s="21">
        <v>940000</v>
      </c>
      <c r="E149" s="21" t="s">
        <v>519</v>
      </c>
      <c r="F149" s="21" t="str">
        <f t="shared" si="4"/>
        <v>rtdc.l.rtdc.4011:itc</v>
      </c>
      <c r="G149" s="8">
        <f t="shared" si="5"/>
        <v>42660.620972222219</v>
      </c>
    </row>
    <row r="150" spans="1:7" x14ac:dyDescent="0.25">
      <c r="A150" s="8">
        <v>42660.627800925926</v>
      </c>
      <c r="B150" s="21" t="s">
        <v>338</v>
      </c>
      <c r="C150" s="21" t="s">
        <v>536</v>
      </c>
      <c r="D150" s="21">
        <v>1770000</v>
      </c>
      <c r="E150" s="21" t="s">
        <v>322</v>
      </c>
      <c r="F150" s="21" t="str">
        <f t="shared" si="4"/>
        <v>rtdc.l.rtdc.4029:itc</v>
      </c>
      <c r="G150" s="8">
        <f t="shared" si="5"/>
        <v>42660.627800925926</v>
      </c>
    </row>
    <row r="151" spans="1:7" x14ac:dyDescent="0.25">
      <c r="A151" s="8">
        <v>42660.630752314813</v>
      </c>
      <c r="B151" s="21" t="s">
        <v>401</v>
      </c>
      <c r="C151" s="21" t="s">
        <v>419</v>
      </c>
      <c r="D151" s="21">
        <v>2020000</v>
      </c>
      <c r="E151" s="21" t="s">
        <v>303</v>
      </c>
      <c r="F151" s="21" t="str">
        <f t="shared" si="4"/>
        <v>rtdc.l.rtdc.4037:itc</v>
      </c>
      <c r="G151" s="8">
        <f t="shared" si="5"/>
        <v>42660.630752314813</v>
      </c>
    </row>
    <row r="152" spans="1:7" x14ac:dyDescent="0.25">
      <c r="A152" s="8">
        <v>42660.633923611109</v>
      </c>
      <c r="B152" s="21" t="s">
        <v>198</v>
      </c>
      <c r="C152" s="21" t="s">
        <v>537</v>
      </c>
      <c r="D152" s="21">
        <v>930000</v>
      </c>
      <c r="E152" s="21" t="s">
        <v>302</v>
      </c>
      <c r="F152" s="21" t="str">
        <f t="shared" si="4"/>
        <v>rtdc.l.rtdc.4044:itc</v>
      </c>
      <c r="G152" s="8">
        <f t="shared" si="5"/>
        <v>42660.633923611109</v>
      </c>
    </row>
    <row r="153" spans="1:7" x14ac:dyDescent="0.25">
      <c r="A153" s="8">
        <v>42660.64166666667</v>
      </c>
      <c r="B153" s="21" t="s">
        <v>221</v>
      </c>
      <c r="C153" s="21" t="s">
        <v>538</v>
      </c>
      <c r="D153" s="21">
        <v>880000</v>
      </c>
      <c r="E153" s="21" t="s">
        <v>301</v>
      </c>
      <c r="F153" s="21" t="str">
        <f t="shared" si="4"/>
        <v>rtdc.l.rtdc.4032:itc</v>
      </c>
      <c r="G153" s="8">
        <f t="shared" si="5"/>
        <v>42660.64166666667</v>
      </c>
    </row>
    <row r="154" spans="1:7" x14ac:dyDescent="0.25">
      <c r="A154" s="8">
        <v>42660.647534722222</v>
      </c>
      <c r="B154" s="21" t="s">
        <v>341</v>
      </c>
      <c r="C154" s="21" t="s">
        <v>539</v>
      </c>
      <c r="D154" s="21">
        <v>2360000</v>
      </c>
      <c r="E154" s="21" t="s">
        <v>223</v>
      </c>
      <c r="F154" s="21" t="str">
        <f t="shared" si="4"/>
        <v>rtdc.l.rtdc.4025:itc</v>
      </c>
      <c r="G154" s="8">
        <f t="shared" si="5"/>
        <v>42660.647534722222</v>
      </c>
    </row>
    <row r="155" spans="1:7" x14ac:dyDescent="0.25">
      <c r="A155" s="8">
        <v>42660.649988425925</v>
      </c>
      <c r="B155" s="21" t="s">
        <v>420</v>
      </c>
      <c r="C155" s="21" t="s">
        <v>421</v>
      </c>
      <c r="D155" s="21">
        <v>2370000</v>
      </c>
      <c r="E155" s="21" t="s">
        <v>540</v>
      </c>
      <c r="F155" s="21" t="str">
        <f t="shared" si="4"/>
        <v>rtdc.l.rtdc.4054:itc</v>
      </c>
      <c r="G155" s="8">
        <f t="shared" si="5"/>
        <v>42660.649988425925</v>
      </c>
    </row>
    <row r="156" spans="1:7" x14ac:dyDescent="0.25">
      <c r="A156" s="8">
        <v>42660.650335648148</v>
      </c>
      <c r="B156" s="21" t="s">
        <v>280</v>
      </c>
      <c r="C156" s="21" t="s">
        <v>541</v>
      </c>
      <c r="D156" s="21">
        <v>1280000</v>
      </c>
      <c r="E156" s="21" t="s">
        <v>344</v>
      </c>
      <c r="F156" s="21" t="str">
        <f t="shared" si="4"/>
        <v>rtdc.l.rtdc.4001:itc</v>
      </c>
      <c r="G156" s="8">
        <f t="shared" si="5"/>
        <v>42660.650335648148</v>
      </c>
    </row>
    <row r="157" spans="1:7" x14ac:dyDescent="0.25">
      <c r="A157" s="8">
        <v>42660.652372685188</v>
      </c>
      <c r="B157" s="21" t="s">
        <v>343</v>
      </c>
      <c r="C157" s="21" t="s">
        <v>542</v>
      </c>
      <c r="D157" s="21">
        <v>1770000</v>
      </c>
      <c r="E157" s="21" t="s">
        <v>322</v>
      </c>
      <c r="F157" s="21" t="str">
        <f t="shared" si="4"/>
        <v>rtdc.l.rtdc.4030:itc</v>
      </c>
      <c r="G157" s="8">
        <f t="shared" si="5"/>
        <v>42660.652372685188</v>
      </c>
    </row>
    <row r="158" spans="1:7" x14ac:dyDescent="0.25">
      <c r="A158" s="8">
        <v>42660.654699074075</v>
      </c>
      <c r="B158" s="21" t="s">
        <v>420</v>
      </c>
      <c r="C158" s="21" t="s">
        <v>421</v>
      </c>
      <c r="D158" s="21">
        <v>2370000</v>
      </c>
      <c r="E158" s="21" t="s">
        <v>540</v>
      </c>
      <c r="F158" s="21" t="str">
        <f t="shared" si="4"/>
        <v>rtdc.l.rtdc.4054:itc</v>
      </c>
      <c r="G158" s="8">
        <f t="shared" si="5"/>
        <v>42660.654699074075</v>
      </c>
    </row>
    <row r="159" spans="1:7" x14ac:dyDescent="0.25">
      <c r="A159" s="8">
        <v>42660.655810185184</v>
      </c>
      <c r="B159" s="21" t="s">
        <v>188</v>
      </c>
      <c r="C159" s="21" t="s">
        <v>543</v>
      </c>
      <c r="D159" s="21">
        <v>1540000</v>
      </c>
      <c r="E159" s="21" t="s">
        <v>510</v>
      </c>
      <c r="F159" s="21" t="str">
        <f t="shared" si="4"/>
        <v>rtdc.l.rtdc.4018:itc</v>
      </c>
      <c r="G159" s="8">
        <f t="shared" si="5"/>
        <v>42660.655810185184</v>
      </c>
    </row>
    <row r="160" spans="1:7" x14ac:dyDescent="0.25">
      <c r="A160" s="8">
        <v>42660.65861111111</v>
      </c>
      <c r="B160" s="21" t="s">
        <v>299</v>
      </c>
      <c r="C160" s="21" t="s">
        <v>544</v>
      </c>
      <c r="D160" s="21">
        <v>940000</v>
      </c>
      <c r="E160" s="21" t="s">
        <v>519</v>
      </c>
      <c r="F160" s="21" t="str">
        <f t="shared" si="4"/>
        <v>rtdc.l.rtdc.4012:itc</v>
      </c>
      <c r="G160" s="8">
        <f t="shared" si="5"/>
        <v>42660.65861111111</v>
      </c>
    </row>
    <row r="161" spans="1:7" x14ac:dyDescent="0.25">
      <c r="A161" s="8">
        <v>42660.662974537037</v>
      </c>
      <c r="B161" s="21" t="s">
        <v>434</v>
      </c>
      <c r="C161" s="21" t="s">
        <v>545</v>
      </c>
      <c r="D161" s="21">
        <v>2370000</v>
      </c>
      <c r="E161" s="21" t="s">
        <v>540</v>
      </c>
      <c r="F161" s="21" t="str">
        <f t="shared" si="4"/>
        <v>rtdc.l.rtdc.4053:itc</v>
      </c>
      <c r="G161" s="8">
        <f t="shared" si="5"/>
        <v>42660.662974537037</v>
      </c>
    </row>
    <row r="162" spans="1:7" x14ac:dyDescent="0.25">
      <c r="A162" s="8">
        <v>42660.665000000001</v>
      </c>
      <c r="B162" s="21" t="s">
        <v>393</v>
      </c>
      <c r="C162" s="21" t="s">
        <v>419</v>
      </c>
      <c r="D162" s="21">
        <v>2020000</v>
      </c>
      <c r="E162" s="21" t="s">
        <v>303</v>
      </c>
      <c r="F162" s="21" t="str">
        <f t="shared" si="4"/>
        <v>rtdc.l.rtdc.4038:itc</v>
      </c>
      <c r="G162" s="8">
        <f t="shared" si="5"/>
        <v>42660.665000000001</v>
      </c>
    </row>
    <row r="163" spans="1:7" x14ac:dyDescent="0.25">
      <c r="A163" s="8">
        <v>42660.666909722226</v>
      </c>
      <c r="B163" s="21" t="s">
        <v>393</v>
      </c>
      <c r="C163" s="21" t="s">
        <v>546</v>
      </c>
      <c r="D163" s="21">
        <v>2020000</v>
      </c>
      <c r="E163" s="21" t="s">
        <v>303</v>
      </c>
      <c r="F163" s="21" t="str">
        <f t="shared" si="4"/>
        <v>rtdc.l.rtdc.4038:itc</v>
      </c>
      <c r="G163" s="8">
        <f t="shared" si="5"/>
        <v>42660.666909722226</v>
      </c>
    </row>
    <row r="164" spans="1:7" x14ac:dyDescent="0.25">
      <c r="A164" s="8">
        <v>42660.673391203702</v>
      </c>
      <c r="B164" s="21" t="s">
        <v>216</v>
      </c>
      <c r="C164" s="21" t="s">
        <v>547</v>
      </c>
      <c r="D164" s="21">
        <v>930000</v>
      </c>
      <c r="E164" s="21" t="s">
        <v>302</v>
      </c>
      <c r="F164" s="21" t="str">
        <f t="shared" si="4"/>
        <v>rtdc.l.rtdc.4043:itc</v>
      </c>
      <c r="G164" s="8">
        <f t="shared" si="5"/>
        <v>42660.673391203702</v>
      </c>
    </row>
    <row r="165" spans="1:7" x14ac:dyDescent="0.25">
      <c r="A165" s="8">
        <v>42660.674270833333</v>
      </c>
      <c r="B165" s="21" t="s">
        <v>338</v>
      </c>
      <c r="C165" s="21" t="s">
        <v>548</v>
      </c>
      <c r="D165" s="21">
        <v>1770000</v>
      </c>
      <c r="E165" s="21" t="s">
        <v>322</v>
      </c>
      <c r="F165" s="21" t="str">
        <f t="shared" si="4"/>
        <v>rtdc.l.rtdc.4029:itc</v>
      </c>
      <c r="G165" s="8">
        <f t="shared" si="5"/>
        <v>42660.674270833333</v>
      </c>
    </row>
    <row r="166" spans="1:7" x14ac:dyDescent="0.25">
      <c r="A166" s="8">
        <v>42660.674386574072</v>
      </c>
      <c r="B166" s="21" t="s">
        <v>222</v>
      </c>
      <c r="C166" s="21" t="s">
        <v>549</v>
      </c>
      <c r="D166" s="21">
        <v>880000</v>
      </c>
      <c r="E166" s="21" t="s">
        <v>301</v>
      </c>
      <c r="F166" s="21" t="str">
        <f t="shared" si="4"/>
        <v>rtdc.l.rtdc.4031:itc</v>
      </c>
      <c r="G166" s="8">
        <f t="shared" si="5"/>
        <v>42660.674386574072</v>
      </c>
    </row>
    <row r="167" spans="1:7" x14ac:dyDescent="0.25">
      <c r="A167" s="8">
        <v>42660.675925925927</v>
      </c>
      <c r="B167" s="21" t="s">
        <v>420</v>
      </c>
      <c r="C167" s="21" t="s">
        <v>550</v>
      </c>
      <c r="D167" s="21">
        <v>2370000</v>
      </c>
      <c r="E167" s="21" t="s">
        <v>540</v>
      </c>
      <c r="F167" s="21" t="str">
        <f t="shared" si="4"/>
        <v>rtdc.l.rtdc.4054:itc</v>
      </c>
      <c r="G167" s="8">
        <f t="shared" si="5"/>
        <v>42660.675925925927</v>
      </c>
    </row>
    <row r="168" spans="1:7" x14ac:dyDescent="0.25">
      <c r="A168" s="8">
        <v>42660.685370370367</v>
      </c>
      <c r="B168" s="21" t="s">
        <v>396</v>
      </c>
      <c r="C168" s="21" t="s">
        <v>551</v>
      </c>
      <c r="D168" s="21">
        <v>1280000</v>
      </c>
      <c r="E168" s="21" t="s">
        <v>344</v>
      </c>
      <c r="F168" s="21" t="str">
        <f t="shared" si="4"/>
        <v>rtdc.l.rtdc.4002:itc</v>
      </c>
      <c r="G168" s="8">
        <f t="shared" si="5"/>
        <v>42660.685370370367</v>
      </c>
    </row>
    <row r="169" spans="1:7" x14ac:dyDescent="0.25">
      <c r="A169" s="8">
        <v>42660.686678240738</v>
      </c>
      <c r="B169" s="21" t="s">
        <v>340</v>
      </c>
      <c r="C169" s="21" t="s">
        <v>552</v>
      </c>
      <c r="D169" s="21">
        <v>2360000</v>
      </c>
      <c r="E169" s="21" t="s">
        <v>223</v>
      </c>
      <c r="F169" s="21" t="str">
        <f t="shared" si="4"/>
        <v>rtdc.l.rtdc.4026:itc</v>
      </c>
      <c r="G169" s="8">
        <f t="shared" si="5"/>
        <v>42660.686678240738</v>
      </c>
    </row>
    <row r="170" spans="1:7" x14ac:dyDescent="0.25">
      <c r="A170" s="8">
        <v>42660.692627314813</v>
      </c>
      <c r="B170" s="21" t="s">
        <v>268</v>
      </c>
      <c r="C170" s="21" t="s">
        <v>553</v>
      </c>
      <c r="D170" s="21">
        <v>1540000</v>
      </c>
      <c r="E170" s="21" t="s">
        <v>510</v>
      </c>
      <c r="F170" s="21" t="str">
        <f t="shared" si="4"/>
        <v>rtdc.l.rtdc.4017:itc</v>
      </c>
      <c r="G170" s="8">
        <f t="shared" si="5"/>
        <v>42660.692627314813</v>
      </c>
    </row>
    <row r="171" spans="1:7" x14ac:dyDescent="0.25">
      <c r="A171" s="8">
        <v>42660.693148148152</v>
      </c>
      <c r="B171" s="21" t="s">
        <v>300</v>
      </c>
      <c r="C171" s="21" t="s">
        <v>554</v>
      </c>
      <c r="D171" s="21">
        <v>940000</v>
      </c>
      <c r="E171" s="21" t="s">
        <v>519</v>
      </c>
      <c r="F171" s="21" t="str">
        <f t="shared" si="4"/>
        <v>rtdc.l.rtdc.4011:itc</v>
      </c>
      <c r="G171" s="8">
        <f t="shared" si="5"/>
        <v>42660.693148148152</v>
      </c>
    </row>
    <row r="172" spans="1:7" x14ac:dyDescent="0.25">
      <c r="A172" s="8">
        <v>42660.69394675926</v>
      </c>
      <c r="B172" s="21" t="s">
        <v>343</v>
      </c>
      <c r="C172" s="21" t="s">
        <v>555</v>
      </c>
      <c r="D172" s="21">
        <v>1770000</v>
      </c>
      <c r="E172" s="21" t="s">
        <v>322</v>
      </c>
      <c r="F172" s="21" t="str">
        <f t="shared" si="4"/>
        <v>rtdc.l.rtdc.4030:itc</v>
      </c>
      <c r="G172" s="8">
        <f t="shared" si="5"/>
        <v>42660.69394675926</v>
      </c>
    </row>
    <row r="173" spans="1:7" x14ac:dyDescent="0.25">
      <c r="A173" s="8">
        <v>42660.699340277781</v>
      </c>
      <c r="B173" s="21" t="s">
        <v>434</v>
      </c>
      <c r="C173" s="21" t="s">
        <v>556</v>
      </c>
      <c r="D173" s="21">
        <v>2370000</v>
      </c>
      <c r="E173" s="21" t="s">
        <v>540</v>
      </c>
      <c r="F173" s="21" t="str">
        <f t="shared" si="4"/>
        <v>rtdc.l.rtdc.4053:itc</v>
      </c>
      <c r="G173" s="8">
        <f t="shared" si="5"/>
        <v>42660.699340277781</v>
      </c>
    </row>
    <row r="174" spans="1:7" x14ac:dyDescent="0.25">
      <c r="A174" s="8">
        <v>42660.701469907406</v>
      </c>
      <c r="B174" s="21" t="s">
        <v>401</v>
      </c>
      <c r="C174" s="21" t="s">
        <v>557</v>
      </c>
      <c r="D174" s="21">
        <v>2020000</v>
      </c>
      <c r="E174" s="21" t="s">
        <v>303</v>
      </c>
      <c r="F174" s="21" t="str">
        <f t="shared" si="4"/>
        <v>rtdc.l.rtdc.4037:itc</v>
      </c>
      <c r="G174" s="8">
        <f t="shared" si="5"/>
        <v>42660.701469907406</v>
      </c>
    </row>
    <row r="175" spans="1:7" x14ac:dyDescent="0.25">
      <c r="A175" s="8">
        <v>42660.706643518519</v>
      </c>
      <c r="B175" s="21" t="s">
        <v>198</v>
      </c>
      <c r="C175" s="21" t="s">
        <v>558</v>
      </c>
      <c r="D175" s="21">
        <v>930000</v>
      </c>
      <c r="E175" s="21" t="s">
        <v>302</v>
      </c>
      <c r="F175" s="21" t="str">
        <f t="shared" si="4"/>
        <v>rtdc.l.rtdc.4044:itc</v>
      </c>
      <c r="G175" s="8">
        <f t="shared" si="5"/>
        <v>42660.706643518519</v>
      </c>
    </row>
    <row r="176" spans="1:7" x14ac:dyDescent="0.25">
      <c r="A176" s="8">
        <v>42660.709918981483</v>
      </c>
      <c r="B176" s="21" t="s">
        <v>338</v>
      </c>
      <c r="C176" s="21" t="s">
        <v>559</v>
      </c>
      <c r="D176" s="21">
        <v>1770000</v>
      </c>
      <c r="E176" s="21" t="s">
        <v>322</v>
      </c>
      <c r="F176" s="21" t="str">
        <f t="shared" si="4"/>
        <v>rtdc.l.rtdc.4029:itc</v>
      </c>
      <c r="G176" s="8">
        <f t="shared" si="5"/>
        <v>42660.709918981483</v>
      </c>
    </row>
    <row r="177" spans="1:7" x14ac:dyDescent="0.25">
      <c r="A177" s="8">
        <v>42660.713240740741</v>
      </c>
      <c r="B177" s="21" t="s">
        <v>221</v>
      </c>
      <c r="C177" s="21" t="s">
        <v>560</v>
      </c>
      <c r="D177" s="21">
        <v>880000</v>
      </c>
      <c r="E177" s="21" t="s">
        <v>301</v>
      </c>
      <c r="F177" s="21" t="str">
        <f t="shared" si="4"/>
        <v>rtdc.l.rtdc.4032:itc</v>
      </c>
      <c r="G177" s="8">
        <f t="shared" si="5"/>
        <v>42660.713240740741</v>
      </c>
    </row>
    <row r="178" spans="1:7" x14ac:dyDescent="0.25">
      <c r="A178" s="8">
        <v>42660.714687500003</v>
      </c>
      <c r="B178" s="21" t="s">
        <v>200</v>
      </c>
      <c r="C178" s="21" t="s">
        <v>561</v>
      </c>
      <c r="D178" s="21">
        <v>1180000</v>
      </c>
      <c r="E178" s="21" t="s">
        <v>190</v>
      </c>
      <c r="F178" s="21" t="str">
        <f t="shared" si="4"/>
        <v>rtdc.l.rtdc.4046:itc</v>
      </c>
      <c r="G178" s="8">
        <f t="shared" si="5"/>
        <v>42660.714687500003</v>
      </c>
    </row>
    <row r="179" spans="1:7" x14ac:dyDescent="0.25">
      <c r="A179" s="8">
        <v>42660.71471064815</v>
      </c>
      <c r="B179" s="21" t="s">
        <v>420</v>
      </c>
      <c r="C179" s="21" t="s">
        <v>562</v>
      </c>
      <c r="D179" s="21">
        <v>2370000</v>
      </c>
      <c r="E179" s="21" t="s">
        <v>540</v>
      </c>
      <c r="F179" s="21" t="str">
        <f t="shared" si="4"/>
        <v>rtdc.l.rtdc.4054:itc</v>
      </c>
      <c r="G179" s="8">
        <f t="shared" si="5"/>
        <v>42660.71471064815</v>
      </c>
    </row>
    <row r="180" spans="1:7" x14ac:dyDescent="0.25">
      <c r="A180" s="8">
        <v>42660.716273148151</v>
      </c>
      <c r="B180" s="21" t="s">
        <v>280</v>
      </c>
      <c r="C180" s="21" t="s">
        <v>563</v>
      </c>
      <c r="D180" s="21">
        <v>1280000</v>
      </c>
      <c r="E180" s="21" t="s">
        <v>344</v>
      </c>
      <c r="F180" s="21" t="str">
        <f t="shared" si="4"/>
        <v>rtdc.l.rtdc.4001:itc</v>
      </c>
      <c r="G180" s="8">
        <f t="shared" si="5"/>
        <v>42660.716273148151</v>
      </c>
    </row>
    <row r="181" spans="1:7" x14ac:dyDescent="0.25">
      <c r="A181" s="8">
        <v>42660.718645833331</v>
      </c>
      <c r="B181" s="21" t="s">
        <v>496</v>
      </c>
      <c r="C181" s="21" t="s">
        <v>564</v>
      </c>
      <c r="D181" s="21">
        <v>1810000</v>
      </c>
      <c r="E181" s="21" t="s">
        <v>283</v>
      </c>
      <c r="F181" s="21" t="str">
        <f t="shared" si="4"/>
        <v>rtdc.l.rtdc.4021:itc</v>
      </c>
      <c r="G181" s="8">
        <f t="shared" si="5"/>
        <v>42660.718645833331</v>
      </c>
    </row>
    <row r="182" spans="1:7" x14ac:dyDescent="0.25">
      <c r="A182" s="8">
        <v>42660.725578703707</v>
      </c>
      <c r="B182" s="21" t="s">
        <v>188</v>
      </c>
      <c r="C182" s="21" t="s">
        <v>565</v>
      </c>
      <c r="D182" s="21">
        <v>2360000</v>
      </c>
      <c r="E182" s="21" t="s">
        <v>223</v>
      </c>
      <c r="F182" s="21" t="str">
        <f t="shared" si="4"/>
        <v>rtdc.l.rtdc.4018:itc</v>
      </c>
      <c r="G182" s="8">
        <f t="shared" si="5"/>
        <v>42660.725578703707</v>
      </c>
    </row>
    <row r="183" spans="1:7" x14ac:dyDescent="0.25">
      <c r="A183" s="8">
        <v>42660.728229166663</v>
      </c>
      <c r="B183" s="21" t="s">
        <v>341</v>
      </c>
      <c r="C183" s="21" t="s">
        <v>566</v>
      </c>
      <c r="D183" s="21">
        <v>2250000</v>
      </c>
      <c r="E183" s="21" t="s">
        <v>567</v>
      </c>
      <c r="F183" s="21" t="str">
        <f t="shared" si="4"/>
        <v>rtdc.l.rtdc.4025:itc</v>
      </c>
      <c r="G183" s="8">
        <f t="shared" si="5"/>
        <v>42660.728229166663</v>
      </c>
    </row>
    <row r="184" spans="1:7" x14ac:dyDescent="0.25">
      <c r="A184" s="8">
        <v>42660.73233796296</v>
      </c>
      <c r="B184" s="21" t="s">
        <v>281</v>
      </c>
      <c r="C184" s="21" t="s">
        <v>422</v>
      </c>
      <c r="D184" s="21">
        <v>150000</v>
      </c>
      <c r="E184" s="21" t="s">
        <v>568</v>
      </c>
      <c r="F184" s="21" t="str">
        <f t="shared" si="4"/>
        <v>rtdc.l.rtdc.4041:itc</v>
      </c>
      <c r="G184" s="8">
        <f t="shared" si="5"/>
        <v>42660.73233796296</v>
      </c>
    </row>
    <row r="185" spans="1:7" x14ac:dyDescent="0.25">
      <c r="A185" s="8">
        <v>42660.733726851853</v>
      </c>
      <c r="B185" s="21" t="s">
        <v>299</v>
      </c>
      <c r="C185" s="21" t="s">
        <v>569</v>
      </c>
      <c r="D185" s="21">
        <v>940000</v>
      </c>
      <c r="E185" s="21" t="s">
        <v>519</v>
      </c>
      <c r="F185" s="21" t="str">
        <f t="shared" si="4"/>
        <v>rtdc.l.rtdc.4012:itc</v>
      </c>
      <c r="G185" s="8">
        <f t="shared" si="5"/>
        <v>42660.733726851853</v>
      </c>
    </row>
    <row r="186" spans="1:7" x14ac:dyDescent="0.25">
      <c r="A186" s="8">
        <v>42660.734942129631</v>
      </c>
      <c r="B186" s="21" t="s">
        <v>343</v>
      </c>
      <c r="C186" s="21" t="s">
        <v>570</v>
      </c>
      <c r="D186" s="21">
        <v>1770000</v>
      </c>
      <c r="E186" s="21" t="s">
        <v>322</v>
      </c>
      <c r="F186" s="21" t="str">
        <f t="shared" si="4"/>
        <v>rtdc.l.rtdc.4030:itc</v>
      </c>
      <c r="G186" s="8">
        <f t="shared" si="5"/>
        <v>42660.734942129631</v>
      </c>
    </row>
    <row r="187" spans="1:7" x14ac:dyDescent="0.25">
      <c r="A187" s="8">
        <v>42660.739664351851</v>
      </c>
      <c r="B187" s="21" t="s">
        <v>393</v>
      </c>
      <c r="C187" s="21" t="s">
        <v>571</v>
      </c>
      <c r="D187" s="21">
        <v>1810000</v>
      </c>
      <c r="E187" s="21" t="s">
        <v>283</v>
      </c>
      <c r="F187" s="21" t="str">
        <f t="shared" si="4"/>
        <v>rtdc.l.rtdc.4038:itc</v>
      </c>
      <c r="G187" s="8">
        <f t="shared" si="5"/>
        <v>42660.739664351851</v>
      </c>
    </row>
    <row r="188" spans="1:7" x14ac:dyDescent="0.25">
      <c r="A188" s="8">
        <v>42660.741030092591</v>
      </c>
      <c r="B188" s="21" t="s">
        <v>434</v>
      </c>
      <c r="C188" s="21" t="s">
        <v>572</v>
      </c>
      <c r="D188" s="21">
        <v>2370000</v>
      </c>
      <c r="E188" s="21" t="s">
        <v>540</v>
      </c>
      <c r="F188" s="21" t="str">
        <f t="shared" si="4"/>
        <v>rtdc.l.rtdc.4053:itc</v>
      </c>
      <c r="G188" s="8">
        <f t="shared" si="5"/>
        <v>42660.741030092591</v>
      </c>
    </row>
    <row r="189" spans="1:7" x14ac:dyDescent="0.25">
      <c r="A189" s="8">
        <v>42660.742430555554</v>
      </c>
      <c r="B189" s="21" t="s">
        <v>216</v>
      </c>
      <c r="C189" s="21" t="s">
        <v>573</v>
      </c>
      <c r="D189" s="21">
        <v>930000</v>
      </c>
      <c r="E189" s="21" t="s">
        <v>302</v>
      </c>
      <c r="F189" s="21" t="str">
        <f t="shared" si="4"/>
        <v>rtdc.l.rtdc.4043:itc</v>
      </c>
      <c r="G189" s="8">
        <f t="shared" si="5"/>
        <v>42660.742430555554</v>
      </c>
    </row>
    <row r="190" spans="1:7" x14ac:dyDescent="0.25">
      <c r="A190" s="8">
        <v>42660.745567129627</v>
      </c>
      <c r="B190" s="21" t="s">
        <v>222</v>
      </c>
      <c r="C190" s="21" t="s">
        <v>574</v>
      </c>
      <c r="D190" s="21">
        <v>2020000</v>
      </c>
      <c r="E190" s="21" t="s">
        <v>303</v>
      </c>
      <c r="F190" s="21" t="str">
        <f t="shared" si="4"/>
        <v>rtdc.l.rtdc.4031:itc</v>
      </c>
      <c r="G190" s="8">
        <f t="shared" si="5"/>
        <v>42660.745567129627</v>
      </c>
    </row>
    <row r="191" spans="1:7" x14ac:dyDescent="0.25">
      <c r="A191" s="8">
        <v>42660.752453703702</v>
      </c>
      <c r="B191" s="21" t="s">
        <v>298</v>
      </c>
      <c r="C191" s="21" t="s">
        <v>575</v>
      </c>
      <c r="D191" s="21">
        <v>1180000</v>
      </c>
      <c r="E191" s="21" t="s">
        <v>190</v>
      </c>
      <c r="F191" s="21" t="str">
        <f t="shared" si="4"/>
        <v>rtdc.l.rtdc.4045:itc</v>
      </c>
      <c r="G191" s="8">
        <f t="shared" si="5"/>
        <v>42660.752453703702</v>
      </c>
    </row>
    <row r="192" spans="1:7" x14ac:dyDescent="0.25">
      <c r="A192" s="8">
        <v>42660.752453703702</v>
      </c>
      <c r="B192" s="21" t="s">
        <v>576</v>
      </c>
      <c r="C192" s="21" t="s">
        <v>577</v>
      </c>
      <c r="D192" s="21">
        <v>880000</v>
      </c>
      <c r="E192" s="21" t="s">
        <v>301</v>
      </c>
      <c r="F192" s="21" t="str">
        <f t="shared" si="4"/>
        <v>rtdc.l.rtdc.4022:itc</v>
      </c>
      <c r="G192" s="8">
        <f t="shared" si="5"/>
        <v>42660.752453703702</v>
      </c>
    </row>
    <row r="193" spans="1:7" x14ac:dyDescent="0.25">
      <c r="A193" s="8">
        <v>42660.753611111111</v>
      </c>
      <c r="B193" s="21" t="s">
        <v>338</v>
      </c>
      <c r="C193" s="21" t="s">
        <v>578</v>
      </c>
      <c r="D193" s="21">
        <v>1770000</v>
      </c>
      <c r="E193" s="21" t="s">
        <v>322</v>
      </c>
      <c r="F193" s="21" t="str">
        <f t="shared" si="4"/>
        <v>rtdc.l.rtdc.4029:itc</v>
      </c>
      <c r="G193" s="8">
        <f t="shared" si="5"/>
        <v>42660.753611111111</v>
      </c>
    </row>
    <row r="194" spans="1:7" x14ac:dyDescent="0.25">
      <c r="A194" s="8">
        <v>42660.75640046296</v>
      </c>
      <c r="B194" s="21" t="s">
        <v>420</v>
      </c>
      <c r="C194" s="21" t="s">
        <v>579</v>
      </c>
      <c r="D194" s="21">
        <v>2370000</v>
      </c>
      <c r="E194" s="21" t="s">
        <v>540</v>
      </c>
      <c r="F194" s="21" t="str">
        <f t="shared" ref="F194:F235" si="6">B194</f>
        <v>rtdc.l.rtdc.4054:itc</v>
      </c>
      <c r="G194" s="8">
        <f t="shared" ref="G194:G235" si="7">A194</f>
        <v>42660.75640046296</v>
      </c>
    </row>
    <row r="195" spans="1:7" x14ac:dyDescent="0.25">
      <c r="A195" s="8">
        <v>42660.75980324074</v>
      </c>
      <c r="B195" s="21" t="s">
        <v>420</v>
      </c>
      <c r="C195" s="21" t="s">
        <v>579</v>
      </c>
      <c r="D195" s="21">
        <v>2370000</v>
      </c>
      <c r="E195" s="21" t="s">
        <v>540</v>
      </c>
      <c r="F195" s="21" t="str">
        <f t="shared" si="6"/>
        <v>rtdc.l.rtdc.4054:itc</v>
      </c>
      <c r="G195" s="8">
        <f t="shared" si="7"/>
        <v>42660.75980324074</v>
      </c>
    </row>
    <row r="196" spans="1:7" x14ac:dyDescent="0.25">
      <c r="A196" s="8">
        <v>42660.759988425925</v>
      </c>
      <c r="B196" s="21" t="s">
        <v>396</v>
      </c>
      <c r="C196" s="21" t="s">
        <v>580</v>
      </c>
      <c r="D196" s="21">
        <v>1800000</v>
      </c>
      <c r="E196" s="21" t="s">
        <v>214</v>
      </c>
      <c r="F196" s="21" t="str">
        <f t="shared" si="6"/>
        <v>rtdc.l.rtdc.4002:itc</v>
      </c>
      <c r="G196" s="8">
        <f t="shared" si="7"/>
        <v>42660.759988425925</v>
      </c>
    </row>
    <row r="197" spans="1:7" x14ac:dyDescent="0.25">
      <c r="A197" s="8">
        <v>42660.765833333331</v>
      </c>
      <c r="B197" s="21" t="s">
        <v>268</v>
      </c>
      <c r="C197" s="21" t="s">
        <v>581</v>
      </c>
      <c r="D197" s="21">
        <v>0</v>
      </c>
      <c r="E197" s="21" t="s">
        <v>323</v>
      </c>
      <c r="F197" s="21" t="str">
        <f t="shared" si="6"/>
        <v>rtdc.l.rtdc.4017:itc</v>
      </c>
      <c r="G197" s="8">
        <f t="shared" si="7"/>
        <v>42660.765833333331</v>
      </c>
    </row>
    <row r="198" spans="1:7" x14ac:dyDescent="0.25">
      <c r="A198" s="8">
        <v>42660.768738425926</v>
      </c>
      <c r="B198" s="21" t="s">
        <v>300</v>
      </c>
      <c r="C198" s="21" t="s">
        <v>582</v>
      </c>
      <c r="D198" s="21">
        <v>1230000</v>
      </c>
      <c r="E198" s="21" t="s">
        <v>220</v>
      </c>
      <c r="F198" s="21" t="str">
        <f t="shared" si="6"/>
        <v>rtdc.l.rtdc.4011:itc</v>
      </c>
      <c r="G198" s="8">
        <f t="shared" si="7"/>
        <v>42660.768738425926</v>
      </c>
    </row>
    <row r="199" spans="1:7" x14ac:dyDescent="0.25">
      <c r="A199" s="8">
        <v>42660.772361111114</v>
      </c>
      <c r="B199" s="21" t="s">
        <v>401</v>
      </c>
      <c r="C199" s="21" t="s">
        <v>583</v>
      </c>
      <c r="D199" s="21">
        <v>1810000</v>
      </c>
      <c r="E199" s="21" t="s">
        <v>283</v>
      </c>
      <c r="F199" s="21" t="str">
        <f t="shared" si="6"/>
        <v>rtdc.l.rtdc.4037:itc</v>
      </c>
      <c r="G199" s="8">
        <f t="shared" si="7"/>
        <v>42660.772361111114</v>
      </c>
    </row>
    <row r="200" spans="1:7" x14ac:dyDescent="0.25">
      <c r="A200" s="8">
        <v>42660.777789351851</v>
      </c>
      <c r="B200" s="21" t="s">
        <v>343</v>
      </c>
      <c r="C200" s="21" t="s">
        <v>584</v>
      </c>
      <c r="D200" s="21">
        <v>1770000</v>
      </c>
      <c r="E200" s="21" t="s">
        <v>322</v>
      </c>
      <c r="F200" s="21" t="str">
        <f t="shared" si="6"/>
        <v>rtdc.l.rtdc.4030:itc</v>
      </c>
      <c r="G200" s="8">
        <f t="shared" si="7"/>
        <v>42660.777789351851</v>
      </c>
    </row>
    <row r="201" spans="1:7" x14ac:dyDescent="0.25">
      <c r="A201" s="8">
        <v>42660.779745370368</v>
      </c>
      <c r="B201" s="21" t="s">
        <v>434</v>
      </c>
      <c r="C201" s="21" t="s">
        <v>585</v>
      </c>
      <c r="D201" s="21">
        <v>2370000</v>
      </c>
      <c r="E201" s="21" t="s">
        <v>540</v>
      </c>
      <c r="F201" s="21" t="str">
        <f t="shared" si="6"/>
        <v>rtdc.l.rtdc.4053:itc</v>
      </c>
      <c r="G201" s="8">
        <f t="shared" si="7"/>
        <v>42660.779745370368</v>
      </c>
    </row>
    <row r="202" spans="1:7" x14ac:dyDescent="0.25">
      <c r="A202" s="27">
        <v>42660.782129629632</v>
      </c>
      <c r="B202" s="21" t="s">
        <v>198</v>
      </c>
      <c r="C202" s="21" t="s">
        <v>586</v>
      </c>
      <c r="D202" s="21">
        <v>930000</v>
      </c>
      <c r="E202" s="21" t="s">
        <v>302</v>
      </c>
      <c r="F202" s="21" t="str">
        <f t="shared" si="6"/>
        <v>rtdc.l.rtdc.4044:itc</v>
      </c>
      <c r="G202" s="8">
        <f t="shared" si="7"/>
        <v>42660.782129629632</v>
      </c>
    </row>
    <row r="203" spans="1:7" x14ac:dyDescent="0.25">
      <c r="A203" s="8">
        <v>42660.784016203703</v>
      </c>
      <c r="B203" s="21" t="s">
        <v>221</v>
      </c>
      <c r="C203" s="21" t="s">
        <v>587</v>
      </c>
      <c r="D203" s="21">
        <v>2020000</v>
      </c>
      <c r="E203" s="21" t="s">
        <v>303</v>
      </c>
      <c r="F203" s="21" t="str">
        <f t="shared" si="6"/>
        <v>rtdc.l.rtdc.4032:itc</v>
      </c>
      <c r="G203" s="8">
        <f t="shared" si="7"/>
        <v>42660.784016203703</v>
      </c>
    </row>
    <row r="204" spans="1:7" x14ac:dyDescent="0.25">
      <c r="A204" s="8">
        <v>42660.787673611114</v>
      </c>
      <c r="B204" s="21" t="s">
        <v>200</v>
      </c>
      <c r="C204" s="21" t="s">
        <v>588</v>
      </c>
      <c r="D204" s="21">
        <v>1180000</v>
      </c>
      <c r="E204" s="21" t="s">
        <v>190</v>
      </c>
      <c r="F204" s="21" t="str">
        <f t="shared" si="6"/>
        <v>rtdc.l.rtdc.4046:itc</v>
      </c>
      <c r="G204" s="8">
        <f t="shared" si="7"/>
        <v>42660.787673611114</v>
      </c>
    </row>
    <row r="205" spans="1:7" x14ac:dyDescent="0.25">
      <c r="A205" s="8">
        <v>42660.793449074074</v>
      </c>
      <c r="B205" s="21" t="s">
        <v>338</v>
      </c>
      <c r="C205" s="21" t="s">
        <v>589</v>
      </c>
      <c r="D205" s="21">
        <v>1770000</v>
      </c>
      <c r="E205" s="21" t="s">
        <v>322</v>
      </c>
      <c r="F205" s="21" t="str">
        <f t="shared" si="6"/>
        <v>rtdc.l.rtdc.4029:itc</v>
      </c>
      <c r="G205" s="8">
        <f t="shared" si="7"/>
        <v>42660.793449074074</v>
      </c>
    </row>
    <row r="206" spans="1:7" x14ac:dyDescent="0.25">
      <c r="A206" s="8">
        <v>42660.796226851853</v>
      </c>
      <c r="B206" s="21" t="s">
        <v>280</v>
      </c>
      <c r="C206" s="21" t="s">
        <v>423</v>
      </c>
      <c r="D206" s="21">
        <v>1800000</v>
      </c>
      <c r="E206" s="21" t="s">
        <v>214</v>
      </c>
      <c r="F206" s="21" t="str">
        <f t="shared" si="6"/>
        <v>rtdc.l.rtdc.4001:itc</v>
      </c>
      <c r="G206" s="8">
        <f t="shared" si="7"/>
        <v>42660.796226851853</v>
      </c>
    </row>
    <row r="207" spans="1:7" x14ac:dyDescent="0.25">
      <c r="A207" s="8">
        <v>42660.797905092593</v>
      </c>
      <c r="B207" s="21" t="s">
        <v>420</v>
      </c>
      <c r="C207" s="21" t="s">
        <v>590</v>
      </c>
      <c r="D207" s="21">
        <v>2370000</v>
      </c>
      <c r="E207" s="21" t="s">
        <v>540</v>
      </c>
      <c r="F207" s="21" t="str">
        <f t="shared" si="6"/>
        <v>rtdc.l.rtdc.4054:itc</v>
      </c>
      <c r="G207" s="8">
        <f t="shared" si="7"/>
        <v>42660.797905092593</v>
      </c>
    </row>
    <row r="208" spans="1:7" x14ac:dyDescent="0.25">
      <c r="A208" s="8">
        <v>42660.801030092596</v>
      </c>
      <c r="B208" s="21" t="s">
        <v>188</v>
      </c>
      <c r="C208" s="21" t="s">
        <v>591</v>
      </c>
      <c r="D208" s="21">
        <v>2360000</v>
      </c>
      <c r="E208" s="21" t="s">
        <v>223</v>
      </c>
      <c r="F208" s="21" t="str">
        <f t="shared" si="6"/>
        <v>rtdc.l.rtdc.4018:itc</v>
      </c>
      <c r="G208" s="8">
        <f t="shared" si="7"/>
        <v>42660.801030092596</v>
      </c>
    </row>
    <row r="209" spans="1:7" x14ac:dyDescent="0.25">
      <c r="A209" s="8">
        <v>42660.807916666665</v>
      </c>
      <c r="B209" s="21" t="s">
        <v>299</v>
      </c>
      <c r="C209" s="21" t="s">
        <v>592</v>
      </c>
      <c r="D209" s="21">
        <v>1230000</v>
      </c>
      <c r="E209" s="21" t="s">
        <v>220</v>
      </c>
      <c r="F209" s="21" t="str">
        <f t="shared" si="6"/>
        <v>rtdc.l.rtdc.4012:itc</v>
      </c>
      <c r="G209" s="8">
        <f t="shared" si="7"/>
        <v>42660.807916666665</v>
      </c>
    </row>
    <row r="210" spans="1:7" x14ac:dyDescent="0.25">
      <c r="A210" s="8">
        <v>42660.808333333334</v>
      </c>
      <c r="B210" s="21" t="s">
        <v>393</v>
      </c>
      <c r="C210" s="21" t="s">
        <v>593</v>
      </c>
      <c r="D210" s="21">
        <v>1810000</v>
      </c>
      <c r="E210" s="21" t="s">
        <v>283</v>
      </c>
      <c r="F210" s="21" t="str">
        <f t="shared" si="6"/>
        <v>rtdc.l.rtdc.4038:itc</v>
      </c>
      <c r="G210" s="8">
        <f t="shared" si="7"/>
        <v>42660.808333333334</v>
      </c>
    </row>
    <row r="211" spans="1:7" x14ac:dyDescent="0.25">
      <c r="A211" s="8">
        <v>42660.818148148152</v>
      </c>
      <c r="B211" s="21" t="s">
        <v>222</v>
      </c>
      <c r="C211" s="21" t="s">
        <v>594</v>
      </c>
      <c r="D211" s="21">
        <v>2020000</v>
      </c>
      <c r="E211" s="21" t="s">
        <v>303</v>
      </c>
      <c r="F211" s="21" t="str">
        <f t="shared" si="6"/>
        <v>rtdc.l.rtdc.4031:itc</v>
      </c>
      <c r="G211" s="8">
        <f t="shared" si="7"/>
        <v>42660.818148148152</v>
      </c>
    </row>
    <row r="212" spans="1:7" x14ac:dyDescent="0.25">
      <c r="A212" s="8">
        <v>42660.819039351853</v>
      </c>
      <c r="B212" s="21" t="s">
        <v>343</v>
      </c>
      <c r="C212" s="21" t="s">
        <v>595</v>
      </c>
      <c r="D212" s="21">
        <v>1770000</v>
      </c>
      <c r="E212" s="21" t="s">
        <v>322</v>
      </c>
      <c r="F212" s="21" t="str">
        <f t="shared" si="6"/>
        <v>rtdc.l.rtdc.4030:itc</v>
      </c>
      <c r="G212" s="8">
        <f t="shared" si="7"/>
        <v>42660.819039351853</v>
      </c>
    </row>
    <row r="213" spans="1:7" x14ac:dyDescent="0.25">
      <c r="A213" s="8">
        <v>42660.826053240744</v>
      </c>
      <c r="B213" s="21" t="s">
        <v>298</v>
      </c>
      <c r="C213" s="21" t="s">
        <v>596</v>
      </c>
      <c r="D213" s="21">
        <v>1180000</v>
      </c>
      <c r="E213" s="21" t="s">
        <v>190</v>
      </c>
      <c r="F213" s="21" t="str">
        <f t="shared" si="6"/>
        <v>rtdc.l.rtdc.4045:itc</v>
      </c>
      <c r="G213" s="8">
        <f t="shared" si="7"/>
        <v>42660.826053240744</v>
      </c>
    </row>
    <row r="214" spans="1:7" x14ac:dyDescent="0.25">
      <c r="A214" s="8">
        <v>42660.830636574072</v>
      </c>
      <c r="B214" s="21" t="s">
        <v>396</v>
      </c>
      <c r="C214" s="21" t="s">
        <v>597</v>
      </c>
      <c r="D214" s="21">
        <v>1800000</v>
      </c>
      <c r="E214" s="21" t="s">
        <v>214</v>
      </c>
      <c r="F214" s="21" t="str">
        <f t="shared" si="6"/>
        <v>rtdc.l.rtdc.4002:itc</v>
      </c>
      <c r="G214" s="8">
        <f t="shared" si="7"/>
        <v>42660.830636574072</v>
      </c>
    </row>
    <row r="215" spans="1:7" x14ac:dyDescent="0.25">
      <c r="A215" s="8">
        <v>42660.8356712963</v>
      </c>
      <c r="B215" s="21" t="s">
        <v>338</v>
      </c>
      <c r="C215" s="21" t="s">
        <v>598</v>
      </c>
      <c r="D215" s="21">
        <v>1770000</v>
      </c>
      <c r="E215" s="21" t="s">
        <v>322</v>
      </c>
      <c r="F215" s="21" t="str">
        <f t="shared" si="6"/>
        <v>rtdc.l.rtdc.4029:itc</v>
      </c>
      <c r="G215" s="8">
        <f t="shared" si="7"/>
        <v>42660.8356712963</v>
      </c>
    </row>
    <row r="216" spans="1:7" x14ac:dyDescent="0.25">
      <c r="A216" s="8">
        <v>42660.84065972222</v>
      </c>
      <c r="B216" s="21" t="s">
        <v>401</v>
      </c>
      <c r="C216" s="21" t="s">
        <v>599</v>
      </c>
      <c r="D216" s="21">
        <v>1810000</v>
      </c>
      <c r="E216" s="21" t="s">
        <v>283</v>
      </c>
      <c r="F216" s="21" t="str">
        <f t="shared" si="6"/>
        <v>rtdc.l.rtdc.4037:itc</v>
      </c>
      <c r="G216" s="8">
        <f t="shared" si="7"/>
        <v>42660.84065972222</v>
      </c>
    </row>
    <row r="217" spans="1:7" x14ac:dyDescent="0.25">
      <c r="A217" s="8">
        <v>42660.850868055553</v>
      </c>
      <c r="B217" s="21" t="s">
        <v>300</v>
      </c>
      <c r="C217" s="21" t="s">
        <v>600</v>
      </c>
      <c r="D217" s="21">
        <v>1230000</v>
      </c>
      <c r="E217" s="21" t="s">
        <v>220</v>
      </c>
      <c r="F217" s="21" t="str">
        <f t="shared" si="6"/>
        <v>rtdc.l.rtdc.4011:itc</v>
      </c>
      <c r="G217" s="8">
        <f t="shared" si="7"/>
        <v>42660.850868055553</v>
      </c>
    </row>
    <row r="218" spans="1:7" x14ac:dyDescent="0.25">
      <c r="A218" s="8">
        <v>42660.860219907408</v>
      </c>
      <c r="B218" s="21" t="s">
        <v>343</v>
      </c>
      <c r="C218" s="21" t="s">
        <v>601</v>
      </c>
      <c r="D218" s="21">
        <v>1770000</v>
      </c>
      <c r="E218" s="21" t="s">
        <v>322</v>
      </c>
      <c r="F218" s="21" t="str">
        <f t="shared" si="6"/>
        <v>rtdc.l.rtdc.4030:itc</v>
      </c>
      <c r="G218" s="8">
        <f t="shared" si="7"/>
        <v>42660.860219907408</v>
      </c>
    </row>
    <row r="219" spans="1:7" x14ac:dyDescent="0.25">
      <c r="A219" s="8">
        <v>42660.868888888886</v>
      </c>
      <c r="B219" s="21" t="s">
        <v>200</v>
      </c>
      <c r="C219" s="21" t="s">
        <v>602</v>
      </c>
      <c r="D219" s="21">
        <v>1180000</v>
      </c>
      <c r="E219" s="21" t="s">
        <v>190</v>
      </c>
      <c r="F219" s="21" t="str">
        <f t="shared" si="6"/>
        <v>rtdc.l.rtdc.4046:itc</v>
      </c>
      <c r="G219" s="8">
        <f t="shared" si="7"/>
        <v>42660.868888888886</v>
      </c>
    </row>
    <row r="220" spans="1:7" x14ac:dyDescent="0.25">
      <c r="A220" s="8">
        <v>42660.870856481481</v>
      </c>
      <c r="B220" s="21" t="s">
        <v>280</v>
      </c>
      <c r="C220" s="21" t="s">
        <v>603</v>
      </c>
      <c r="D220" s="21">
        <v>1800000</v>
      </c>
      <c r="E220" s="21" t="s">
        <v>214</v>
      </c>
      <c r="F220" s="21" t="str">
        <f t="shared" si="6"/>
        <v>rtdc.l.rtdc.4001:itc</v>
      </c>
      <c r="G220" s="8">
        <f t="shared" si="7"/>
        <v>42660.870856481481</v>
      </c>
    </row>
    <row r="221" spans="1:7" x14ac:dyDescent="0.25">
      <c r="A221" s="8">
        <v>42660.881458333337</v>
      </c>
      <c r="B221" s="21" t="s">
        <v>393</v>
      </c>
      <c r="C221" s="21" t="s">
        <v>604</v>
      </c>
      <c r="D221" s="21">
        <v>1810000</v>
      </c>
      <c r="E221" s="21" t="s">
        <v>283</v>
      </c>
      <c r="F221" s="21" t="str">
        <f t="shared" si="6"/>
        <v>rtdc.l.rtdc.4038:itc</v>
      </c>
      <c r="G221" s="8">
        <f t="shared" si="7"/>
        <v>42660.881458333337</v>
      </c>
    </row>
    <row r="222" spans="1:7" x14ac:dyDescent="0.25">
      <c r="A222" s="8">
        <v>42660.882361111115</v>
      </c>
      <c r="B222" s="21" t="s">
        <v>299</v>
      </c>
      <c r="C222" s="21" t="s">
        <v>605</v>
      </c>
      <c r="D222" s="21">
        <v>1230000</v>
      </c>
      <c r="E222" s="21" t="s">
        <v>220</v>
      </c>
      <c r="F222" s="21" t="str">
        <f t="shared" si="6"/>
        <v>rtdc.l.rtdc.4012:itc</v>
      </c>
      <c r="G222" s="8">
        <f t="shared" si="7"/>
        <v>42660.882361111115</v>
      </c>
    </row>
    <row r="223" spans="1:7" x14ac:dyDescent="0.25">
      <c r="A223" s="8">
        <v>42660.884837962964</v>
      </c>
      <c r="B223" s="21" t="s">
        <v>338</v>
      </c>
      <c r="C223" s="21" t="s">
        <v>606</v>
      </c>
      <c r="D223" s="21">
        <v>2370000</v>
      </c>
      <c r="E223" s="21" t="s">
        <v>540</v>
      </c>
      <c r="F223" s="21" t="str">
        <f t="shared" si="6"/>
        <v>rtdc.l.rtdc.4029:itc</v>
      </c>
      <c r="G223" s="8">
        <f t="shared" si="7"/>
        <v>42660.884837962964</v>
      </c>
    </row>
    <row r="224" spans="1:7" x14ac:dyDescent="0.25">
      <c r="A224" s="8">
        <v>42660.901574074072</v>
      </c>
      <c r="B224" t="s">
        <v>343</v>
      </c>
      <c r="C224" t="s">
        <v>607</v>
      </c>
      <c r="D224">
        <v>2370000</v>
      </c>
      <c r="E224" t="s">
        <v>540</v>
      </c>
      <c r="F224" s="21" t="str">
        <f t="shared" si="6"/>
        <v>rtdc.l.rtdc.4030:itc</v>
      </c>
      <c r="G224" s="8">
        <f t="shared" si="7"/>
        <v>42660.901574074072</v>
      </c>
    </row>
    <row r="225" spans="1:7" x14ac:dyDescent="0.25">
      <c r="A225" s="8">
        <v>42660.908912037034</v>
      </c>
      <c r="B225" t="s">
        <v>298</v>
      </c>
      <c r="C225" t="s">
        <v>608</v>
      </c>
      <c r="D225">
        <v>1180000</v>
      </c>
      <c r="E225" t="s">
        <v>190</v>
      </c>
      <c r="F225" s="21" t="str">
        <f t="shared" si="6"/>
        <v>rtdc.l.rtdc.4045:itc</v>
      </c>
      <c r="G225" s="8">
        <f t="shared" si="7"/>
        <v>42660.908912037034</v>
      </c>
    </row>
    <row r="226" spans="1:7" x14ac:dyDescent="0.25">
      <c r="A226" s="8">
        <v>42660.914421296293</v>
      </c>
      <c r="B226" t="s">
        <v>396</v>
      </c>
      <c r="C226" t="s">
        <v>609</v>
      </c>
      <c r="D226">
        <v>1800000</v>
      </c>
      <c r="E226" t="s">
        <v>214</v>
      </c>
      <c r="F226" s="21" t="str">
        <f t="shared" si="6"/>
        <v>rtdc.l.rtdc.4002:itc</v>
      </c>
      <c r="G226" s="8">
        <f t="shared" si="7"/>
        <v>42660.914421296293</v>
      </c>
    </row>
    <row r="227" spans="1:7" x14ac:dyDescent="0.25">
      <c r="A227" s="8">
        <v>42660.925092592595</v>
      </c>
      <c r="B227" t="s">
        <v>338</v>
      </c>
      <c r="C227" t="s">
        <v>610</v>
      </c>
      <c r="D227">
        <v>2370000</v>
      </c>
      <c r="E227" t="s">
        <v>540</v>
      </c>
      <c r="F227" s="21" t="str">
        <f t="shared" si="6"/>
        <v>rtdc.l.rtdc.4029:itc</v>
      </c>
      <c r="G227" s="8">
        <f t="shared" si="7"/>
        <v>42660.925092592595</v>
      </c>
    </row>
    <row r="228" spans="1:7" x14ac:dyDescent="0.25">
      <c r="A228" s="8">
        <v>42660.929062499999</v>
      </c>
      <c r="B228" t="s">
        <v>401</v>
      </c>
      <c r="C228" t="s">
        <v>424</v>
      </c>
      <c r="D228">
        <v>1810000</v>
      </c>
      <c r="E228" t="s">
        <v>283</v>
      </c>
      <c r="F228" s="21" t="str">
        <f t="shared" si="6"/>
        <v>rtdc.l.rtdc.4037:itc</v>
      </c>
      <c r="G228" s="8">
        <f t="shared" si="7"/>
        <v>42660.929062499999</v>
      </c>
    </row>
    <row r="229" spans="1:7" x14ac:dyDescent="0.25">
      <c r="A229" s="8">
        <v>42660.934212962966</v>
      </c>
      <c r="B229" t="s">
        <v>300</v>
      </c>
      <c r="C229" t="s">
        <v>611</v>
      </c>
      <c r="D229">
        <v>1230000</v>
      </c>
      <c r="E229" t="s">
        <v>220</v>
      </c>
      <c r="F229" s="21" t="str">
        <f t="shared" si="6"/>
        <v>rtdc.l.rtdc.4011:itc</v>
      </c>
      <c r="G229" s="8">
        <f t="shared" si="7"/>
        <v>42660.934212962966</v>
      </c>
    </row>
    <row r="230" spans="1:7" x14ac:dyDescent="0.25">
      <c r="A230" s="8">
        <v>42660.943738425929</v>
      </c>
      <c r="B230" t="s">
        <v>343</v>
      </c>
      <c r="C230" t="s">
        <v>612</v>
      </c>
      <c r="D230">
        <v>2370000</v>
      </c>
      <c r="E230" t="s">
        <v>540</v>
      </c>
      <c r="F230" s="21" t="str">
        <f t="shared" si="6"/>
        <v>rtdc.l.rtdc.4030:itc</v>
      </c>
      <c r="G230" s="8">
        <f t="shared" si="7"/>
        <v>42660.943738425929</v>
      </c>
    </row>
    <row r="231" spans="1:7" x14ac:dyDescent="0.25">
      <c r="A231" s="8">
        <v>42660.94630787037</v>
      </c>
      <c r="B231" t="s">
        <v>280</v>
      </c>
      <c r="C231" t="s">
        <v>613</v>
      </c>
      <c r="D231">
        <v>1800000</v>
      </c>
      <c r="E231" t="s">
        <v>214</v>
      </c>
      <c r="F231" s="21" t="str">
        <f t="shared" si="6"/>
        <v>rtdc.l.rtdc.4001:itc</v>
      </c>
      <c r="G231" s="8">
        <f t="shared" si="7"/>
        <v>42660.94630787037</v>
      </c>
    </row>
    <row r="232" spans="1:7" x14ac:dyDescent="0.25">
      <c r="A232" s="8">
        <v>42660.949583333335</v>
      </c>
      <c r="B232" t="s">
        <v>200</v>
      </c>
      <c r="C232" t="s">
        <v>614</v>
      </c>
      <c r="D232">
        <v>1180000</v>
      </c>
      <c r="E232" t="s">
        <v>190</v>
      </c>
      <c r="F232" s="21" t="str">
        <f t="shared" si="6"/>
        <v>rtdc.l.rtdc.4046:itc</v>
      </c>
      <c r="G232" s="8">
        <f t="shared" si="7"/>
        <v>42660.949583333335</v>
      </c>
    </row>
    <row r="233" spans="1:7" x14ac:dyDescent="0.25">
      <c r="A233" s="8">
        <v>42660.962442129632</v>
      </c>
      <c r="B233" t="s">
        <v>200</v>
      </c>
      <c r="C233" t="s">
        <v>615</v>
      </c>
      <c r="D233">
        <v>1180000</v>
      </c>
      <c r="E233" t="s">
        <v>190</v>
      </c>
      <c r="F233" s="21" t="str">
        <f t="shared" si="6"/>
        <v>rtdc.l.rtdc.4046:itc</v>
      </c>
      <c r="G233" s="8">
        <f t="shared" si="7"/>
        <v>42660.962442129632</v>
      </c>
    </row>
    <row r="234" spans="1:7" x14ac:dyDescent="0.25">
      <c r="A234" s="8">
        <v>42660.972268518519</v>
      </c>
      <c r="B234" t="s">
        <v>299</v>
      </c>
      <c r="C234" t="s">
        <v>616</v>
      </c>
      <c r="D234">
        <v>1230000</v>
      </c>
      <c r="E234" t="s">
        <v>220</v>
      </c>
      <c r="F234" s="21" t="str">
        <f t="shared" si="6"/>
        <v>rtdc.l.rtdc.4012:itc</v>
      </c>
      <c r="G234" s="8">
        <f t="shared" si="7"/>
        <v>42660.972268518519</v>
      </c>
    </row>
    <row r="235" spans="1:7" x14ac:dyDescent="0.25">
      <c r="A235" s="8">
        <v>42660.977592592593</v>
      </c>
      <c r="B235" t="s">
        <v>393</v>
      </c>
      <c r="C235" t="s">
        <v>617</v>
      </c>
      <c r="D235">
        <v>1810000</v>
      </c>
      <c r="E235" t="s">
        <v>283</v>
      </c>
      <c r="F235" s="21" t="str">
        <f t="shared" si="6"/>
        <v>rtdc.l.rtdc.4038:itc</v>
      </c>
      <c r="G235" s="8">
        <f t="shared" si="7"/>
        <v>42660.977592592593</v>
      </c>
    </row>
    <row r="236" spans="1:7" x14ac:dyDescent="0.25">
      <c r="A236" s="8">
        <v>42661.014699074076</v>
      </c>
      <c r="B236" t="s">
        <v>298</v>
      </c>
      <c r="C236" t="s">
        <v>618</v>
      </c>
      <c r="D236">
        <v>1180000</v>
      </c>
      <c r="E236" t="s">
        <v>190</v>
      </c>
      <c r="F236" s="21" t="str">
        <f t="shared" ref="F236:F265" si="8">B236</f>
        <v>rtdc.l.rtdc.4045:itc</v>
      </c>
      <c r="G236" s="8">
        <f t="shared" ref="G236:G265" si="9">A236</f>
        <v>42661.014699074076</v>
      </c>
    </row>
    <row r="237" spans="1:7" x14ac:dyDescent="0.25">
      <c r="A237" s="8">
        <v>42661.017546296294</v>
      </c>
      <c r="B237" t="s">
        <v>396</v>
      </c>
      <c r="C237" t="s">
        <v>619</v>
      </c>
      <c r="D237">
        <v>1800000</v>
      </c>
      <c r="E237" t="s">
        <v>214</v>
      </c>
      <c r="F237" s="21" t="str">
        <f t="shared" si="8"/>
        <v>rtdc.l.rtdc.4002:itc</v>
      </c>
      <c r="G237" s="8">
        <f t="shared" si="9"/>
        <v>42661.017546296294</v>
      </c>
    </row>
    <row r="238" spans="1:7" x14ac:dyDescent="0.25">
      <c r="A238" s="8">
        <v>42661.033819444441</v>
      </c>
      <c r="B238" t="s">
        <v>401</v>
      </c>
      <c r="C238" t="s">
        <v>620</v>
      </c>
      <c r="D238">
        <v>1810000</v>
      </c>
      <c r="E238" t="s">
        <v>283</v>
      </c>
      <c r="F238" s="21" t="str">
        <f t="shared" si="8"/>
        <v>rtdc.l.rtdc.4037:itc</v>
      </c>
      <c r="G238" s="8">
        <f t="shared" si="9"/>
        <v>42661.033819444441</v>
      </c>
    </row>
    <row r="239" spans="1:7" x14ac:dyDescent="0.25">
      <c r="A239" s="8">
        <v>42661.046168981484</v>
      </c>
      <c r="B239" t="s">
        <v>300</v>
      </c>
      <c r="C239" t="s">
        <v>621</v>
      </c>
      <c r="D239">
        <v>1230000</v>
      </c>
      <c r="E239" t="s">
        <v>220</v>
      </c>
      <c r="F239" s="21" t="str">
        <f t="shared" si="8"/>
        <v>rtdc.l.rtdc.4011:itc</v>
      </c>
      <c r="G239" s="8">
        <f t="shared" si="9"/>
        <v>42661.046168981484</v>
      </c>
    </row>
    <row r="240" spans="1:7" x14ac:dyDescent="0.25">
      <c r="A240" s="8">
        <v>42661.046863425923</v>
      </c>
      <c r="B240" t="s">
        <v>300</v>
      </c>
      <c r="C240" t="s">
        <v>621</v>
      </c>
      <c r="D240">
        <v>1230000</v>
      </c>
      <c r="E240" t="s">
        <v>220</v>
      </c>
      <c r="F240" s="21" t="str">
        <f t="shared" si="8"/>
        <v>rtdc.l.rtdc.4011:itc</v>
      </c>
      <c r="G240" s="8">
        <f t="shared" si="9"/>
        <v>42661.046863425923</v>
      </c>
    </row>
    <row r="241" spans="1:7" x14ac:dyDescent="0.25">
      <c r="A241" s="8">
        <v>42661.047372685185</v>
      </c>
      <c r="B241" t="s">
        <v>300</v>
      </c>
      <c r="C241" t="s">
        <v>621</v>
      </c>
      <c r="D241">
        <v>1230000</v>
      </c>
      <c r="E241" t="s">
        <v>220</v>
      </c>
      <c r="F241" s="21" t="str">
        <f t="shared" si="8"/>
        <v>rtdc.l.rtdc.4011:itc</v>
      </c>
      <c r="G241" s="8">
        <f t="shared" si="9"/>
        <v>42661.047372685185</v>
      </c>
    </row>
    <row r="242" spans="1:7" x14ac:dyDescent="0.25">
      <c r="A242" s="8">
        <v>42661.059965277775</v>
      </c>
      <c r="B242" t="s">
        <v>280</v>
      </c>
      <c r="C242" t="s">
        <v>622</v>
      </c>
      <c r="D242">
        <v>1800000</v>
      </c>
      <c r="E242" t="s">
        <v>214</v>
      </c>
      <c r="F242" s="21" t="str">
        <f t="shared" si="8"/>
        <v>rtdc.l.rtdc.4001:itc</v>
      </c>
      <c r="G242" s="8">
        <f t="shared" si="9"/>
        <v>42661.059965277775</v>
      </c>
    </row>
    <row r="243" spans="1:7" x14ac:dyDescent="0.25">
      <c r="A243" s="8">
        <v>42661.068576388891</v>
      </c>
      <c r="B243" t="s">
        <v>393</v>
      </c>
      <c r="C243" t="s">
        <v>623</v>
      </c>
      <c r="D243">
        <v>1810000</v>
      </c>
      <c r="E243" t="s">
        <v>283</v>
      </c>
      <c r="F243" s="21" t="str">
        <f t="shared" si="8"/>
        <v>rtdc.l.rtdc.4038:itc</v>
      </c>
      <c r="G243" s="8">
        <f t="shared" si="9"/>
        <v>42661.068576388891</v>
      </c>
    </row>
    <row r="244" spans="1:7" x14ac:dyDescent="0.25">
      <c r="A244" s="8">
        <v>42661.070254629631</v>
      </c>
      <c r="B244" t="s">
        <v>393</v>
      </c>
      <c r="C244" t="s">
        <v>624</v>
      </c>
      <c r="D244">
        <v>1810000</v>
      </c>
      <c r="E244" t="s">
        <v>283</v>
      </c>
      <c r="F244" s="21" t="str">
        <f t="shared" si="8"/>
        <v>rtdc.l.rtdc.4038:itc</v>
      </c>
      <c r="G244" s="8">
        <f t="shared" si="9"/>
        <v>42661.070254629631</v>
      </c>
    </row>
    <row r="245" spans="1:7" x14ac:dyDescent="0.25">
      <c r="A245" s="8">
        <v>42661.073553240742</v>
      </c>
      <c r="B245" t="s">
        <v>200</v>
      </c>
      <c r="C245" t="s">
        <v>623</v>
      </c>
      <c r="D245">
        <v>1180000</v>
      </c>
      <c r="E245" t="s">
        <v>190</v>
      </c>
      <c r="F245" s="21" t="str">
        <f t="shared" si="8"/>
        <v>rtdc.l.rtdc.4046:itc</v>
      </c>
      <c r="G245" s="8">
        <f t="shared" si="9"/>
        <v>42661.073553240742</v>
      </c>
    </row>
    <row r="246" spans="1:7" x14ac:dyDescent="0.25">
      <c r="A246" s="8">
        <v>42661.090613425928</v>
      </c>
      <c r="B246" t="s">
        <v>396</v>
      </c>
      <c r="C246" t="s">
        <v>625</v>
      </c>
      <c r="D246">
        <v>1800000</v>
      </c>
      <c r="E246" t="s">
        <v>214</v>
      </c>
      <c r="F246" s="21" t="str">
        <f t="shared" si="8"/>
        <v>rtdc.l.rtdc.4002:itc</v>
      </c>
      <c r="G246" s="8">
        <f t="shared" si="9"/>
        <v>42661.090613425928</v>
      </c>
    </row>
    <row r="247" spans="1:7" x14ac:dyDescent="0.25">
      <c r="A247" s="8">
        <v>42658.046157407407</v>
      </c>
      <c r="B247" t="s">
        <v>200</v>
      </c>
      <c r="C247" t="s">
        <v>304</v>
      </c>
      <c r="D247">
        <v>1230000</v>
      </c>
      <c r="E247" t="s">
        <v>220</v>
      </c>
      <c r="F247" s="21" t="str">
        <f t="shared" si="8"/>
        <v>rtdc.l.rtdc.4046:itc</v>
      </c>
      <c r="G247" s="8">
        <f t="shared" si="9"/>
        <v>42658.046157407407</v>
      </c>
    </row>
    <row r="248" spans="1:7" x14ac:dyDescent="0.25">
      <c r="A248" s="8">
        <v>42658.055277777778</v>
      </c>
      <c r="B248" t="s">
        <v>221</v>
      </c>
      <c r="C248" t="s">
        <v>305</v>
      </c>
      <c r="D248">
        <v>1480000</v>
      </c>
      <c r="E248" t="s">
        <v>192</v>
      </c>
      <c r="F248" s="21" t="str">
        <f t="shared" si="8"/>
        <v>rtdc.l.rtdc.4032:itc</v>
      </c>
      <c r="G248" s="8">
        <f t="shared" si="9"/>
        <v>42658.055277777778</v>
      </c>
    </row>
    <row r="249" spans="1:7" x14ac:dyDescent="0.25">
      <c r="A249" s="8">
        <v>42658.071793981479</v>
      </c>
      <c r="B249" t="s">
        <v>279</v>
      </c>
      <c r="C249" t="s">
        <v>306</v>
      </c>
      <c r="D249">
        <v>1800000</v>
      </c>
      <c r="E249" t="s">
        <v>214</v>
      </c>
      <c r="F249" s="21" t="str">
        <f t="shared" si="8"/>
        <v>rtdc.l.rtdc.4042:itc</v>
      </c>
      <c r="G249" s="8">
        <f t="shared" si="9"/>
        <v>42658.071793981479</v>
      </c>
    </row>
    <row r="250" spans="1:7" x14ac:dyDescent="0.25">
      <c r="A250" s="8">
        <v>42658.0778125</v>
      </c>
      <c r="B250" t="s">
        <v>219</v>
      </c>
      <c r="C250" t="s">
        <v>307</v>
      </c>
      <c r="D250">
        <v>1300000</v>
      </c>
      <c r="E250" t="s">
        <v>114</v>
      </c>
      <c r="F250" s="21" t="str">
        <f t="shared" si="8"/>
        <v>rtdc.l.rtdc.4039:itc</v>
      </c>
      <c r="G250" s="8">
        <f t="shared" si="9"/>
        <v>42658.0778125</v>
      </c>
    </row>
    <row r="251" spans="1:7" x14ac:dyDescent="0.25">
      <c r="A251" s="8">
        <v>42658.092233796298</v>
      </c>
      <c r="B251" t="s">
        <v>222</v>
      </c>
      <c r="C251" t="s">
        <v>308</v>
      </c>
      <c r="D251">
        <v>1480000</v>
      </c>
      <c r="E251" t="s">
        <v>192</v>
      </c>
      <c r="F251" s="21" t="str">
        <f t="shared" si="8"/>
        <v>rtdc.l.rtdc.4031:itc</v>
      </c>
      <c r="G251" s="8">
        <f t="shared" si="9"/>
        <v>42658.092233796298</v>
      </c>
    </row>
    <row r="252" spans="1:7" x14ac:dyDescent="0.25">
      <c r="A252" s="8">
        <v>42658.108935185184</v>
      </c>
      <c r="B252" t="s">
        <v>273</v>
      </c>
      <c r="C252" t="s">
        <v>309</v>
      </c>
      <c r="D252">
        <v>1300000</v>
      </c>
      <c r="E252" t="s">
        <v>114</v>
      </c>
      <c r="F252" s="21" t="str">
        <f t="shared" si="8"/>
        <v>rtdc.l.rtdc.4040:itc</v>
      </c>
      <c r="G252" s="8">
        <f t="shared" si="9"/>
        <v>42658.108935185184</v>
      </c>
    </row>
    <row r="253" spans="1:7" x14ac:dyDescent="0.25">
      <c r="A253" s="8">
        <v>42651.069953703707</v>
      </c>
      <c r="B253" t="s">
        <v>200</v>
      </c>
      <c r="C253" t="s">
        <v>208</v>
      </c>
      <c r="D253">
        <v>1800000</v>
      </c>
      <c r="E253" t="s">
        <v>214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197</v>
      </c>
      <c r="C254" t="s">
        <v>207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212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212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211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213</v>
      </c>
      <c r="C258" t="s">
        <v>209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199</v>
      </c>
      <c r="C259" t="s">
        <v>210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199</v>
      </c>
      <c r="C261" t="s">
        <v>202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201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203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198</v>
      </c>
      <c r="C264" t="s">
        <v>204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201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201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201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201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201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205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201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201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201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6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68" t="s">
        <v>168</v>
      </c>
      <c r="B1" s="168" t="s">
        <v>171</v>
      </c>
      <c r="C1" s="168" t="s">
        <v>164</v>
      </c>
      <c r="D1" s="169" t="s">
        <v>178</v>
      </c>
      <c r="E1" s="168" t="s">
        <v>165</v>
      </c>
      <c r="F1" s="168" t="s">
        <v>163</v>
      </c>
      <c r="G1" s="168" t="s">
        <v>161</v>
      </c>
      <c r="H1" s="168" t="s">
        <v>174</v>
      </c>
      <c r="I1" s="168" t="s">
        <v>175</v>
      </c>
      <c r="J1" s="168" t="s">
        <v>169</v>
      </c>
      <c r="K1" s="168" t="s">
        <v>167</v>
      </c>
      <c r="L1" s="168" t="s">
        <v>162</v>
      </c>
      <c r="M1" s="168" t="s">
        <v>172</v>
      </c>
      <c r="N1" s="168" t="s">
        <v>166</v>
      </c>
      <c r="O1" s="168" t="s">
        <v>173</v>
      </c>
      <c r="P1" s="168" t="s">
        <v>170</v>
      </c>
      <c r="Q1"/>
    </row>
    <row r="2" spans="1:17" x14ac:dyDescent="0.25">
      <c r="A2" s="139">
        <v>51.17</v>
      </c>
      <c r="B2" s="139">
        <v>0.16</v>
      </c>
      <c r="C2" s="139">
        <v>34.06</v>
      </c>
      <c r="D2" s="8">
        <v>42660</v>
      </c>
      <c r="E2" s="139">
        <v>0.52</v>
      </c>
      <c r="F2" s="139" t="s">
        <v>276</v>
      </c>
      <c r="G2" s="139">
        <v>273.32</v>
      </c>
      <c r="H2" s="139">
        <v>0</v>
      </c>
      <c r="I2" s="139">
        <v>0</v>
      </c>
      <c r="J2" s="139">
        <v>1005.24</v>
      </c>
      <c r="K2" s="139" t="s">
        <v>277</v>
      </c>
      <c r="L2" s="139">
        <v>51.17</v>
      </c>
      <c r="M2" s="139">
        <v>1476684000</v>
      </c>
      <c r="N2" s="139">
        <v>6.34</v>
      </c>
      <c r="O2" s="139">
        <v>148</v>
      </c>
      <c r="P2" s="139">
        <v>2.64</v>
      </c>
      <c r="Q2"/>
    </row>
    <row r="3" spans="1:17" x14ac:dyDescent="0.25">
      <c r="A3" s="139">
        <v>50.08</v>
      </c>
      <c r="B3" s="139">
        <v>0.16</v>
      </c>
      <c r="C3" s="139">
        <v>34.71</v>
      </c>
      <c r="D3" s="8">
        <v>42660.041666666664</v>
      </c>
      <c r="E3" s="139">
        <v>0.55000000000000004</v>
      </c>
      <c r="F3" s="139" t="s">
        <v>276</v>
      </c>
      <c r="G3" s="139">
        <v>273.52</v>
      </c>
      <c r="H3" s="139">
        <v>0</v>
      </c>
      <c r="I3" s="139">
        <v>0</v>
      </c>
      <c r="J3" s="139">
        <v>1004.35</v>
      </c>
      <c r="K3" s="139" t="s">
        <v>277</v>
      </c>
      <c r="L3" s="139">
        <v>50.08</v>
      </c>
      <c r="M3" s="139">
        <v>1476687600</v>
      </c>
      <c r="N3" s="139">
        <v>6.52</v>
      </c>
      <c r="O3" s="139">
        <v>190</v>
      </c>
      <c r="P3" s="139">
        <v>1.53</v>
      </c>
      <c r="Q3"/>
    </row>
    <row r="4" spans="1:17" x14ac:dyDescent="0.25">
      <c r="A4" s="139">
        <v>47.55</v>
      </c>
      <c r="B4" s="139">
        <v>0.13</v>
      </c>
      <c r="C4" s="139">
        <v>33.840000000000003</v>
      </c>
      <c r="D4" s="8">
        <v>42660.083333333336</v>
      </c>
      <c r="E4" s="139">
        <v>0.59</v>
      </c>
      <c r="F4" s="139" t="s">
        <v>276</v>
      </c>
      <c r="G4" s="139">
        <v>273.72000000000003</v>
      </c>
      <c r="H4" s="139">
        <v>0</v>
      </c>
      <c r="I4" s="139">
        <v>0</v>
      </c>
      <c r="J4" s="139">
        <v>1003.49</v>
      </c>
      <c r="K4" s="139" t="s">
        <v>277</v>
      </c>
      <c r="L4" s="139">
        <v>47.55</v>
      </c>
      <c r="M4" s="139">
        <v>1476691200</v>
      </c>
      <c r="N4" s="139">
        <v>6.44</v>
      </c>
      <c r="O4" s="139">
        <v>187</v>
      </c>
      <c r="P4" s="139">
        <v>2.16</v>
      </c>
      <c r="Q4"/>
    </row>
    <row r="5" spans="1:17" x14ac:dyDescent="0.25">
      <c r="A5" s="139">
        <v>45.34</v>
      </c>
      <c r="B5" s="139">
        <v>0.12</v>
      </c>
      <c r="C5" s="139">
        <v>33.18</v>
      </c>
      <c r="D5" s="8">
        <v>42660.125</v>
      </c>
      <c r="E5" s="139">
        <v>0.62</v>
      </c>
      <c r="F5" s="139" t="s">
        <v>276</v>
      </c>
      <c r="G5" s="139">
        <v>273.92</v>
      </c>
      <c r="H5" s="139">
        <v>0</v>
      </c>
      <c r="I5" s="139">
        <v>0</v>
      </c>
      <c r="J5" s="139">
        <v>1002.67</v>
      </c>
      <c r="K5" s="139" t="s">
        <v>277</v>
      </c>
      <c r="L5" s="139">
        <v>45.34</v>
      </c>
      <c r="M5" s="139">
        <v>1476694800</v>
      </c>
      <c r="N5" s="139">
        <v>5.63</v>
      </c>
      <c r="O5" s="139">
        <v>143</v>
      </c>
      <c r="P5" s="139">
        <v>2.16</v>
      </c>
      <c r="Q5"/>
    </row>
    <row r="6" spans="1:17" x14ac:dyDescent="0.25">
      <c r="A6" s="139">
        <v>43.65</v>
      </c>
      <c r="B6" s="139">
        <v>0.17</v>
      </c>
      <c r="C6" s="139">
        <v>32.43</v>
      </c>
      <c r="D6" s="8">
        <v>42660.166666666664</v>
      </c>
      <c r="E6" s="139">
        <v>0.64</v>
      </c>
      <c r="F6" s="139" t="s">
        <v>276</v>
      </c>
      <c r="G6" s="139">
        <v>273.77999999999997</v>
      </c>
      <c r="H6" s="139">
        <v>0</v>
      </c>
      <c r="I6" s="139">
        <v>0</v>
      </c>
      <c r="J6" s="139">
        <v>1001.71</v>
      </c>
      <c r="K6" s="139" t="s">
        <v>277</v>
      </c>
      <c r="L6" s="139">
        <v>43.65</v>
      </c>
      <c r="M6" s="139">
        <v>1476698400</v>
      </c>
      <c r="N6" s="139">
        <v>5.34</v>
      </c>
      <c r="O6" s="139">
        <v>195</v>
      </c>
      <c r="P6" s="139">
        <v>1.25</v>
      </c>
      <c r="Q6"/>
    </row>
    <row r="7" spans="1:17" x14ac:dyDescent="0.25">
      <c r="A7" s="139">
        <v>42.95</v>
      </c>
      <c r="B7" s="139">
        <v>0.27</v>
      </c>
      <c r="C7" s="139">
        <v>31.62</v>
      </c>
      <c r="D7" s="8">
        <v>42660.208333333336</v>
      </c>
      <c r="E7" s="139">
        <v>0.64</v>
      </c>
      <c r="F7" s="139" t="s">
        <v>218</v>
      </c>
      <c r="G7" s="139">
        <v>273.52</v>
      </c>
      <c r="H7" s="139">
        <v>0</v>
      </c>
      <c r="I7" s="139">
        <v>0</v>
      </c>
      <c r="J7" s="139">
        <v>1000.99</v>
      </c>
      <c r="K7" s="139" t="s">
        <v>217</v>
      </c>
      <c r="L7" s="139">
        <v>42.95</v>
      </c>
      <c r="M7" s="139">
        <v>1476702000</v>
      </c>
      <c r="N7" s="139">
        <v>6.24</v>
      </c>
      <c r="O7" s="139">
        <v>226</v>
      </c>
      <c r="P7" s="139">
        <v>0.6</v>
      </c>
      <c r="Q7"/>
    </row>
    <row r="8" spans="1:17" x14ac:dyDescent="0.25">
      <c r="A8" s="139">
        <v>42.49</v>
      </c>
      <c r="B8" s="139">
        <v>0.32</v>
      </c>
      <c r="C8" s="139">
        <v>30.91</v>
      </c>
      <c r="D8" s="8">
        <v>42660.25</v>
      </c>
      <c r="E8" s="139">
        <v>0.63</v>
      </c>
      <c r="F8" s="139" t="s">
        <v>218</v>
      </c>
      <c r="G8" s="139">
        <v>273.42</v>
      </c>
      <c r="H8" s="139">
        <v>0</v>
      </c>
      <c r="I8" s="139">
        <v>0</v>
      </c>
      <c r="J8" s="139">
        <v>1000.57</v>
      </c>
      <c r="K8" s="139" t="s">
        <v>217</v>
      </c>
      <c r="L8" s="139">
        <v>42.49</v>
      </c>
      <c r="M8" s="139">
        <v>1476705600</v>
      </c>
      <c r="N8" s="139">
        <v>5.21</v>
      </c>
      <c r="O8" s="139">
        <v>274</v>
      </c>
      <c r="P8" s="139">
        <v>1.24</v>
      </c>
      <c r="Q8"/>
    </row>
    <row r="9" spans="1:17" x14ac:dyDescent="0.25">
      <c r="A9" s="139">
        <v>43.69</v>
      </c>
      <c r="B9" s="139">
        <v>0.28000000000000003</v>
      </c>
      <c r="C9" s="139">
        <v>31.98</v>
      </c>
      <c r="D9" s="8">
        <v>42660.291666666664</v>
      </c>
      <c r="E9" s="139">
        <v>0.63</v>
      </c>
      <c r="F9" s="139" t="s">
        <v>218</v>
      </c>
      <c r="G9" s="139">
        <v>273.62</v>
      </c>
      <c r="H9" s="139">
        <v>0</v>
      </c>
      <c r="I9" s="139">
        <v>0</v>
      </c>
      <c r="J9" s="139">
        <v>1000.21</v>
      </c>
      <c r="K9" s="139" t="s">
        <v>217</v>
      </c>
      <c r="L9" s="139">
        <v>43.69</v>
      </c>
      <c r="M9" s="139">
        <v>1476709200</v>
      </c>
      <c r="N9" s="139">
        <v>4.1399999999999997</v>
      </c>
      <c r="O9" s="139">
        <v>194</v>
      </c>
      <c r="P9" s="139">
        <v>1.18</v>
      </c>
      <c r="Q9"/>
    </row>
    <row r="10" spans="1:17" x14ac:dyDescent="0.25">
      <c r="A10" s="139">
        <v>46.12</v>
      </c>
      <c r="B10" s="139">
        <v>0.16</v>
      </c>
      <c r="C10" s="139">
        <v>34.11</v>
      </c>
      <c r="D10" s="8">
        <v>42660.333333333336</v>
      </c>
      <c r="E10" s="139">
        <v>0.63</v>
      </c>
      <c r="F10" s="139" t="s">
        <v>324</v>
      </c>
      <c r="G10" s="139">
        <v>273.98</v>
      </c>
      <c r="H10" s="139">
        <v>0</v>
      </c>
      <c r="I10" s="139">
        <v>0</v>
      </c>
      <c r="J10" s="139">
        <v>999.98</v>
      </c>
      <c r="K10" s="139" t="s">
        <v>277</v>
      </c>
      <c r="L10" s="139">
        <v>46.12</v>
      </c>
      <c r="M10" s="139">
        <v>1476712800</v>
      </c>
      <c r="N10" s="139">
        <v>3.68</v>
      </c>
      <c r="O10" s="139">
        <v>209</v>
      </c>
      <c r="P10" s="139">
        <v>1.28</v>
      </c>
      <c r="Q10"/>
    </row>
    <row r="11" spans="1:17" x14ac:dyDescent="0.25">
      <c r="A11" s="139">
        <v>49.94</v>
      </c>
      <c r="B11" s="139">
        <v>0.11</v>
      </c>
      <c r="C11" s="139">
        <v>34.32</v>
      </c>
      <c r="D11" s="8">
        <v>42660.375</v>
      </c>
      <c r="E11" s="139">
        <v>0.55000000000000004</v>
      </c>
      <c r="F11" s="139" t="s">
        <v>324</v>
      </c>
      <c r="G11" s="139">
        <v>274.37</v>
      </c>
      <c r="H11" s="139">
        <v>0</v>
      </c>
      <c r="I11" s="139">
        <v>0</v>
      </c>
      <c r="J11" s="139">
        <v>999.65</v>
      </c>
      <c r="K11" s="139" t="s">
        <v>277</v>
      </c>
      <c r="L11" s="139">
        <v>49.94</v>
      </c>
      <c r="M11" s="139">
        <v>1476716400</v>
      </c>
      <c r="N11" s="139">
        <v>3.46</v>
      </c>
      <c r="O11" s="139">
        <v>212</v>
      </c>
      <c r="P11" s="139">
        <v>2.54</v>
      </c>
      <c r="Q11"/>
    </row>
    <row r="12" spans="1:17" x14ac:dyDescent="0.25">
      <c r="A12" s="139">
        <v>55.54</v>
      </c>
      <c r="B12" s="139">
        <v>0.26</v>
      </c>
      <c r="C12" s="139">
        <v>33.71</v>
      </c>
      <c r="D12" s="8">
        <v>42660.416666666664</v>
      </c>
      <c r="E12" s="139">
        <v>0.44</v>
      </c>
      <c r="F12" s="139" t="s">
        <v>275</v>
      </c>
      <c r="G12" s="139">
        <v>274.77999999999997</v>
      </c>
      <c r="H12" s="139">
        <v>0</v>
      </c>
      <c r="I12" s="139">
        <v>0</v>
      </c>
      <c r="J12" s="139">
        <v>998.81</v>
      </c>
      <c r="K12" s="139" t="s">
        <v>217</v>
      </c>
      <c r="L12" s="139">
        <v>55.54</v>
      </c>
      <c r="M12" s="139">
        <v>1476720000</v>
      </c>
      <c r="N12" s="139">
        <v>3.39</v>
      </c>
      <c r="O12" s="139">
        <v>186</v>
      </c>
      <c r="P12" s="139">
        <v>2.4500000000000002</v>
      </c>
      <c r="Q12"/>
    </row>
    <row r="13" spans="1:17" x14ac:dyDescent="0.25">
      <c r="A13" s="139">
        <v>61.44</v>
      </c>
      <c r="B13" s="139">
        <v>0.38</v>
      </c>
      <c r="C13" s="139">
        <v>33.78</v>
      </c>
      <c r="D13" s="8">
        <v>42660.458333333336</v>
      </c>
      <c r="E13" s="139">
        <v>0.35</v>
      </c>
      <c r="F13" s="139" t="s">
        <v>275</v>
      </c>
      <c r="G13" s="139">
        <v>275.22000000000003</v>
      </c>
      <c r="H13" s="139">
        <v>0</v>
      </c>
      <c r="I13" s="139">
        <v>0</v>
      </c>
      <c r="J13" s="139">
        <v>997.83</v>
      </c>
      <c r="K13" s="139" t="s">
        <v>217</v>
      </c>
      <c r="L13" s="139">
        <v>61.44</v>
      </c>
      <c r="M13" s="139">
        <v>1476723600</v>
      </c>
      <c r="N13" s="139">
        <v>3.35</v>
      </c>
      <c r="O13" s="139">
        <v>201</v>
      </c>
      <c r="P13" s="139">
        <v>1.69</v>
      </c>
      <c r="Q13"/>
    </row>
    <row r="14" spans="1:17" x14ac:dyDescent="0.25">
      <c r="A14" s="139">
        <v>68.650000000000006</v>
      </c>
      <c r="B14" s="139">
        <v>0.43</v>
      </c>
      <c r="C14" s="139">
        <v>34.049999999999997</v>
      </c>
      <c r="D14" s="8">
        <v>42660.5</v>
      </c>
      <c r="E14" s="139">
        <v>0.28000000000000003</v>
      </c>
      <c r="F14" s="139" t="s">
        <v>275</v>
      </c>
      <c r="G14" s="139">
        <v>275.61</v>
      </c>
      <c r="H14" s="139">
        <v>0</v>
      </c>
      <c r="I14" s="139">
        <v>0</v>
      </c>
      <c r="J14" s="139">
        <v>997.4</v>
      </c>
      <c r="K14" s="139" t="s">
        <v>217</v>
      </c>
      <c r="L14" s="139">
        <v>68.650000000000006</v>
      </c>
      <c r="M14" s="139">
        <v>1476727200</v>
      </c>
      <c r="N14" s="139">
        <v>3.41</v>
      </c>
      <c r="O14" s="139">
        <v>265</v>
      </c>
      <c r="P14" s="139">
        <v>0.9</v>
      </c>
      <c r="Q14"/>
    </row>
    <row r="15" spans="1:17" x14ac:dyDescent="0.25">
      <c r="A15" s="139">
        <v>72.86</v>
      </c>
      <c r="B15" s="139">
        <v>0.42</v>
      </c>
      <c r="C15" s="139">
        <v>29.77</v>
      </c>
      <c r="D15" s="8">
        <v>42660.541666666664</v>
      </c>
      <c r="E15" s="139">
        <v>0.2</v>
      </c>
      <c r="F15" s="139" t="s">
        <v>275</v>
      </c>
      <c r="G15" s="139">
        <v>275.97000000000003</v>
      </c>
      <c r="H15" s="139">
        <v>0</v>
      </c>
      <c r="I15" s="139">
        <v>0</v>
      </c>
      <c r="J15" s="139">
        <v>997.81</v>
      </c>
      <c r="K15" s="139" t="s">
        <v>217</v>
      </c>
      <c r="L15" s="139">
        <v>72.86</v>
      </c>
      <c r="M15" s="139">
        <v>1476730800</v>
      </c>
      <c r="N15" s="139">
        <v>3.43</v>
      </c>
      <c r="O15" s="139">
        <v>293</v>
      </c>
      <c r="P15" s="139">
        <v>5.24</v>
      </c>
      <c r="Q15"/>
    </row>
    <row r="16" spans="1:17" x14ac:dyDescent="0.25">
      <c r="A16" s="139">
        <v>72.33</v>
      </c>
      <c r="B16" s="139">
        <v>0.36</v>
      </c>
      <c r="C16" s="139">
        <v>34.83</v>
      </c>
      <c r="D16" s="8">
        <v>42660.583333333336</v>
      </c>
      <c r="E16" s="139">
        <v>0.25</v>
      </c>
      <c r="F16" s="139" t="s">
        <v>275</v>
      </c>
      <c r="G16" s="139">
        <v>276.29000000000002</v>
      </c>
      <c r="H16" s="139">
        <v>0</v>
      </c>
      <c r="I16" s="139">
        <v>0</v>
      </c>
      <c r="J16" s="139">
        <v>998.77</v>
      </c>
      <c r="K16" s="139" t="s">
        <v>217</v>
      </c>
      <c r="L16" s="139">
        <v>72.33</v>
      </c>
      <c r="M16" s="139">
        <v>1476734400</v>
      </c>
      <c r="N16" s="139">
        <v>3.43</v>
      </c>
      <c r="O16" s="139">
        <v>6</v>
      </c>
      <c r="P16" s="139">
        <v>3.6</v>
      </c>
      <c r="Q16"/>
    </row>
    <row r="17" spans="1:17" x14ac:dyDescent="0.25">
      <c r="A17" s="139">
        <v>67.19</v>
      </c>
      <c r="B17" s="139">
        <v>0.32</v>
      </c>
      <c r="C17" s="139">
        <v>32.659999999999997</v>
      </c>
      <c r="D17" s="8">
        <v>42660.625</v>
      </c>
      <c r="E17" s="139">
        <v>0.28000000000000003</v>
      </c>
      <c r="F17" s="139" t="s">
        <v>275</v>
      </c>
      <c r="G17" s="139">
        <v>276.42</v>
      </c>
      <c r="H17" s="139">
        <v>0</v>
      </c>
      <c r="I17" s="139">
        <v>0</v>
      </c>
      <c r="J17" s="139">
        <v>1000.05</v>
      </c>
      <c r="K17" s="139" t="s">
        <v>217</v>
      </c>
      <c r="L17" s="139">
        <v>67.19</v>
      </c>
      <c r="M17" s="139">
        <v>1476738000</v>
      </c>
      <c r="N17" s="139">
        <v>3.48</v>
      </c>
      <c r="O17" s="139">
        <v>58</v>
      </c>
      <c r="P17" s="139">
        <v>4.2699999999999996</v>
      </c>
      <c r="Q17"/>
    </row>
    <row r="18" spans="1:17" x14ac:dyDescent="0.25">
      <c r="A18" s="139">
        <v>66.8</v>
      </c>
      <c r="B18" s="139">
        <v>0.41</v>
      </c>
      <c r="C18" s="139">
        <v>31.79</v>
      </c>
      <c r="D18" s="8">
        <v>42660.666666666664</v>
      </c>
      <c r="E18" s="139">
        <v>0.27</v>
      </c>
      <c r="F18" s="139" t="s">
        <v>275</v>
      </c>
      <c r="G18" s="139">
        <v>276.20999999999998</v>
      </c>
      <c r="H18" s="139">
        <v>0</v>
      </c>
      <c r="I18" s="139">
        <v>0</v>
      </c>
      <c r="J18" s="139">
        <v>1001.46</v>
      </c>
      <c r="K18" s="139" t="s">
        <v>217</v>
      </c>
      <c r="L18" s="139">
        <v>66.8</v>
      </c>
      <c r="M18" s="139">
        <v>1476741600</v>
      </c>
      <c r="N18" s="139">
        <v>3.47</v>
      </c>
      <c r="O18" s="139">
        <v>83</v>
      </c>
      <c r="P18" s="139">
        <v>3.76</v>
      </c>
      <c r="Q18"/>
    </row>
    <row r="19" spans="1:17" x14ac:dyDescent="0.25">
      <c r="A19" s="139">
        <v>64.83</v>
      </c>
      <c r="B19" s="139">
        <v>0.49</v>
      </c>
      <c r="C19" s="139">
        <v>31.58</v>
      </c>
      <c r="D19" s="8">
        <v>42660.708333333336</v>
      </c>
      <c r="E19" s="139">
        <v>0.28999999999999998</v>
      </c>
      <c r="F19" s="139" t="s">
        <v>275</v>
      </c>
      <c r="G19" s="139">
        <v>275.81</v>
      </c>
      <c r="H19" s="139">
        <v>0</v>
      </c>
      <c r="I19" s="139">
        <v>0</v>
      </c>
      <c r="J19" s="139">
        <v>1003.14</v>
      </c>
      <c r="K19" s="139" t="s">
        <v>217</v>
      </c>
      <c r="L19" s="139">
        <v>64.83</v>
      </c>
      <c r="M19" s="139">
        <v>1476745200</v>
      </c>
      <c r="N19" s="139">
        <v>5.93</v>
      </c>
      <c r="O19" s="139">
        <v>95</v>
      </c>
      <c r="P19" s="139">
        <v>1.26</v>
      </c>
      <c r="Q19"/>
    </row>
    <row r="20" spans="1:17" x14ac:dyDescent="0.25">
      <c r="A20" s="139">
        <v>61.51</v>
      </c>
      <c r="B20" s="139">
        <v>0.47</v>
      </c>
      <c r="C20" s="139">
        <v>31.33</v>
      </c>
      <c r="D20" s="8">
        <v>42660.75</v>
      </c>
      <c r="E20" s="139">
        <v>0.32</v>
      </c>
      <c r="F20" s="139" t="s">
        <v>275</v>
      </c>
      <c r="G20" s="139">
        <v>275.47000000000003</v>
      </c>
      <c r="H20" s="139">
        <v>0</v>
      </c>
      <c r="I20" s="139">
        <v>0</v>
      </c>
      <c r="J20" s="139">
        <v>1004.76</v>
      </c>
      <c r="K20" s="139" t="s">
        <v>217</v>
      </c>
      <c r="L20" s="139">
        <v>61.51</v>
      </c>
      <c r="M20" s="139">
        <v>1476748800</v>
      </c>
      <c r="N20" s="139">
        <v>6.19</v>
      </c>
      <c r="O20" s="139">
        <v>196</v>
      </c>
      <c r="P20" s="139">
        <v>0.74</v>
      </c>
      <c r="Q20"/>
    </row>
    <row r="21" spans="1:17" x14ac:dyDescent="0.25">
      <c r="A21" s="139">
        <v>57.31</v>
      </c>
      <c r="B21" s="139">
        <v>0.24</v>
      </c>
      <c r="C21" s="139">
        <v>30.95</v>
      </c>
      <c r="D21" s="8">
        <v>42660.791666666664</v>
      </c>
      <c r="E21" s="139">
        <v>0.37</v>
      </c>
      <c r="F21" s="139" t="s">
        <v>276</v>
      </c>
      <c r="G21" s="139">
        <v>275.26</v>
      </c>
      <c r="H21" s="139">
        <v>0</v>
      </c>
      <c r="I21" s="139">
        <v>0</v>
      </c>
      <c r="J21" s="139">
        <v>1005.75</v>
      </c>
      <c r="K21" s="139" t="s">
        <v>277</v>
      </c>
      <c r="L21" s="139">
        <v>57.31</v>
      </c>
      <c r="M21" s="139">
        <v>1476752400</v>
      </c>
      <c r="N21" s="139">
        <v>6.65</v>
      </c>
      <c r="O21" s="139">
        <v>164</v>
      </c>
      <c r="P21" s="139">
        <v>1.25</v>
      </c>
      <c r="Q21"/>
    </row>
    <row r="22" spans="1:17" x14ac:dyDescent="0.25">
      <c r="A22" s="139">
        <v>54.29</v>
      </c>
      <c r="B22" s="139">
        <v>0.15</v>
      </c>
      <c r="C22" s="139">
        <v>31.4</v>
      </c>
      <c r="D22" s="8">
        <v>42660.833333333336</v>
      </c>
      <c r="E22" s="139">
        <v>0.41</v>
      </c>
      <c r="F22" s="139" t="s">
        <v>276</v>
      </c>
      <c r="G22" s="139">
        <v>275.11</v>
      </c>
      <c r="H22" s="139">
        <v>0</v>
      </c>
      <c r="I22" s="139">
        <v>0</v>
      </c>
      <c r="J22" s="139">
        <v>1006.95</v>
      </c>
      <c r="K22" s="139" t="s">
        <v>277</v>
      </c>
      <c r="L22" s="139">
        <v>54.29</v>
      </c>
      <c r="M22" s="139">
        <v>1476756000</v>
      </c>
      <c r="N22" s="139">
        <v>7.33</v>
      </c>
      <c r="O22" s="139">
        <v>311</v>
      </c>
      <c r="P22" s="139">
        <v>0.55000000000000004</v>
      </c>
      <c r="Q22"/>
    </row>
    <row r="23" spans="1:17" x14ac:dyDescent="0.25">
      <c r="A23" s="139">
        <v>52.34</v>
      </c>
      <c r="B23" s="139">
        <v>0.09</v>
      </c>
      <c r="C23" s="139">
        <v>30.85</v>
      </c>
      <c r="D23" s="8">
        <v>42660.875</v>
      </c>
      <c r="E23" s="139">
        <v>0.44</v>
      </c>
      <c r="F23" s="139" t="s">
        <v>276</v>
      </c>
      <c r="G23" s="139">
        <v>275.07</v>
      </c>
      <c r="H23" s="139">
        <v>0</v>
      </c>
      <c r="I23" s="139">
        <v>0</v>
      </c>
      <c r="J23" s="139">
        <v>1008.15</v>
      </c>
      <c r="K23" s="139" t="s">
        <v>277</v>
      </c>
      <c r="L23" s="139">
        <v>52.34</v>
      </c>
      <c r="M23" s="139">
        <v>1476759600</v>
      </c>
      <c r="N23" s="139">
        <v>8.17</v>
      </c>
      <c r="O23" s="139">
        <v>222</v>
      </c>
      <c r="P23" s="139">
        <v>1.06</v>
      </c>
      <c r="Q23"/>
    </row>
    <row r="24" spans="1:17" x14ac:dyDescent="0.25">
      <c r="A24" s="139">
        <v>50.26</v>
      </c>
      <c r="B24" s="139">
        <v>0.08</v>
      </c>
      <c r="C24" s="139">
        <v>30.84</v>
      </c>
      <c r="D24" s="8">
        <v>42660.916666666664</v>
      </c>
      <c r="E24" s="139">
        <v>0.47</v>
      </c>
      <c r="F24" s="139" t="s">
        <v>276</v>
      </c>
      <c r="G24" s="139">
        <v>275.19</v>
      </c>
      <c r="H24" s="139">
        <v>0</v>
      </c>
      <c r="I24" s="139">
        <v>0</v>
      </c>
      <c r="J24" s="139">
        <v>1009.15</v>
      </c>
      <c r="K24" s="139" t="s">
        <v>277</v>
      </c>
      <c r="L24" s="139">
        <v>50.26</v>
      </c>
      <c r="M24" s="139">
        <v>1476763200</v>
      </c>
      <c r="N24" s="139">
        <v>7.68</v>
      </c>
      <c r="O24" s="139">
        <v>142</v>
      </c>
      <c r="P24" s="139">
        <v>1.34</v>
      </c>
      <c r="Q24"/>
    </row>
    <row r="25" spans="1:17" x14ac:dyDescent="0.25">
      <c r="A25" s="139">
        <v>47.56</v>
      </c>
      <c r="B25" s="139">
        <v>0.11</v>
      </c>
      <c r="C25" s="139">
        <v>29.6</v>
      </c>
      <c r="D25" s="8">
        <v>42660.958333333336</v>
      </c>
      <c r="E25" s="139">
        <v>0.49</v>
      </c>
      <c r="F25" s="139" t="s">
        <v>276</v>
      </c>
      <c r="G25" s="139">
        <v>275.43</v>
      </c>
      <c r="H25" s="139">
        <v>0</v>
      </c>
      <c r="I25" s="139">
        <v>0</v>
      </c>
      <c r="J25" s="139">
        <v>1010.01</v>
      </c>
      <c r="K25" s="139" t="s">
        <v>277</v>
      </c>
      <c r="L25" s="139">
        <v>47.56</v>
      </c>
      <c r="M25" s="139">
        <v>1476766800</v>
      </c>
      <c r="N25" s="139">
        <v>7.52</v>
      </c>
      <c r="O25" s="139">
        <v>166</v>
      </c>
      <c r="P25" s="139">
        <v>2.71</v>
      </c>
      <c r="Q25"/>
    </row>
    <row r="26" spans="1:17" x14ac:dyDescent="0.25">
      <c r="A26" s="139">
        <v>45.52</v>
      </c>
      <c r="B26" s="139">
        <v>0.11</v>
      </c>
      <c r="C26" s="139">
        <v>29.06</v>
      </c>
      <c r="D26" s="8">
        <v>42661</v>
      </c>
      <c r="E26" s="139">
        <v>0.52</v>
      </c>
      <c r="F26" s="139" t="s">
        <v>276</v>
      </c>
      <c r="G26" s="139">
        <v>275.68</v>
      </c>
      <c r="H26" s="139">
        <v>0</v>
      </c>
      <c r="I26" s="139">
        <v>0</v>
      </c>
      <c r="J26" s="139">
        <v>1010.91</v>
      </c>
      <c r="K26" s="139" t="s">
        <v>277</v>
      </c>
      <c r="L26" s="139">
        <v>45.52</v>
      </c>
      <c r="M26" s="139">
        <v>1476770400</v>
      </c>
      <c r="N26" s="139">
        <v>7.78</v>
      </c>
      <c r="O26" s="139">
        <v>149</v>
      </c>
      <c r="P26" s="139">
        <v>2.41</v>
      </c>
      <c r="Q26"/>
    </row>
    <row r="27" spans="1:17" x14ac:dyDescent="0.25">
      <c r="A27" s="139">
        <v>44.41</v>
      </c>
      <c r="B27" s="139">
        <v>0.09</v>
      </c>
      <c r="C27" s="139">
        <v>29.09</v>
      </c>
      <c r="D27" s="8">
        <v>42661.041666666664</v>
      </c>
      <c r="E27" s="139">
        <v>0.55000000000000004</v>
      </c>
      <c r="F27" s="139" t="s">
        <v>276</v>
      </c>
      <c r="G27" s="139">
        <v>275.97000000000003</v>
      </c>
      <c r="H27" s="139">
        <v>0</v>
      </c>
      <c r="I27" s="139">
        <v>0</v>
      </c>
      <c r="J27" s="139">
        <v>1012.15</v>
      </c>
      <c r="K27" s="139" t="s">
        <v>277</v>
      </c>
      <c r="L27" s="139">
        <v>44.41</v>
      </c>
      <c r="M27" s="139">
        <v>1476774000</v>
      </c>
      <c r="N27" s="139">
        <v>7.89</v>
      </c>
      <c r="O27" s="139">
        <v>159</v>
      </c>
      <c r="P27" s="139">
        <v>2.08</v>
      </c>
      <c r="Q27"/>
    </row>
    <row r="28" spans="1:17" x14ac:dyDescent="0.25">
      <c r="A28" s="139">
        <v>43.37</v>
      </c>
      <c r="B28" s="139">
        <v>7.0000000000000007E-2</v>
      </c>
      <c r="C28" s="139">
        <v>29.05</v>
      </c>
      <c r="D28" s="8">
        <v>42661.083333333336</v>
      </c>
      <c r="E28" s="139">
        <v>0.56999999999999995</v>
      </c>
      <c r="F28" s="139" t="s">
        <v>276</v>
      </c>
      <c r="G28" s="139">
        <v>276.25</v>
      </c>
      <c r="H28" s="139">
        <v>0</v>
      </c>
      <c r="I28" s="139">
        <v>0</v>
      </c>
      <c r="J28" s="139">
        <v>1013.28</v>
      </c>
      <c r="K28" s="139" t="s">
        <v>277</v>
      </c>
      <c r="L28" s="139">
        <v>43.37</v>
      </c>
      <c r="M28" s="139">
        <v>1476777600</v>
      </c>
      <c r="N28" s="139">
        <v>7.82</v>
      </c>
      <c r="O28" s="139">
        <v>149</v>
      </c>
      <c r="P28" s="139">
        <v>2.54</v>
      </c>
      <c r="Q28"/>
    </row>
    <row r="29" spans="1:17" x14ac:dyDescent="0.25">
      <c r="A29" s="139">
        <v>42.11</v>
      </c>
      <c r="B29" s="139">
        <v>0.06</v>
      </c>
      <c r="C29" s="139">
        <v>28.72</v>
      </c>
      <c r="D29" s="8">
        <v>42661.125</v>
      </c>
      <c r="E29" s="139">
        <v>0.59</v>
      </c>
      <c r="F29" s="139" t="s">
        <v>276</v>
      </c>
      <c r="G29" s="139">
        <v>276.54000000000002</v>
      </c>
      <c r="H29" s="139">
        <v>0</v>
      </c>
      <c r="I29" s="139">
        <v>0</v>
      </c>
      <c r="J29" s="139">
        <v>1014.37</v>
      </c>
      <c r="K29" s="139" t="s">
        <v>277</v>
      </c>
      <c r="L29" s="139">
        <v>42.11</v>
      </c>
      <c r="M29" s="139">
        <v>1476781200</v>
      </c>
      <c r="N29" s="139">
        <v>5.96</v>
      </c>
      <c r="O29" s="139">
        <v>148</v>
      </c>
      <c r="P29" s="139">
        <v>1.78</v>
      </c>
      <c r="Q29"/>
    </row>
    <row r="31" spans="1:17" x14ac:dyDescent="0.25">
      <c r="A31" s="136" t="s">
        <v>278</v>
      </c>
    </row>
    <row r="33" spans="1:1" x14ac:dyDescent="0.25">
      <c r="A33" s="136" t="s">
        <v>215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D12" sqref="D1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9" t="s">
        <v>100</v>
      </c>
      <c r="D1" s="15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42660</v>
      </c>
      <c r="B2" s="4"/>
      <c r="C2" s="151">
        <v>50</v>
      </c>
      <c r="D2" s="15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9" t="s">
        <v>100</v>
      </c>
      <c r="D4" s="15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70" t="s">
        <v>297</v>
      </c>
      <c r="J17" s="33"/>
      <c r="K17" s="34"/>
      <c r="L17" s="34"/>
    </row>
    <row r="18" spans="3:13" x14ac:dyDescent="0.25">
      <c r="C18" t="s">
        <v>758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759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760</v>
      </c>
      <c r="J20" t="s">
        <v>87</v>
      </c>
      <c r="M20" s="68" t="s">
        <v>191</v>
      </c>
    </row>
    <row r="21" spans="3:13" x14ac:dyDescent="0.25">
      <c r="C21" t="s">
        <v>761</v>
      </c>
      <c r="J21" s="21" t="s">
        <v>90</v>
      </c>
      <c r="K21" s="21" t="s">
        <v>91</v>
      </c>
      <c r="M21" s="68" t="s">
        <v>193</v>
      </c>
    </row>
    <row r="22" spans="3:13" x14ac:dyDescent="0.25">
      <c r="C22" t="s">
        <v>762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763</v>
      </c>
      <c r="J23" s="29" t="s">
        <v>95</v>
      </c>
      <c r="K23" s="21"/>
      <c r="M23" s="69">
        <v>-6</v>
      </c>
    </row>
    <row r="24" spans="3:13" x14ac:dyDescent="0.25">
      <c r="C24" t="s">
        <v>764</v>
      </c>
      <c r="J24" s="21" t="s">
        <v>109</v>
      </c>
      <c r="K24" s="21"/>
      <c r="M24" s="68" t="s">
        <v>111</v>
      </c>
    </row>
    <row r="25" spans="3:13" x14ac:dyDescent="0.25">
      <c r="C25" t="s">
        <v>765</v>
      </c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C:\Users\stu\Documents\GitHub\eaglep3-reporting\EC\2016-10-17-refined-times.txt</v>
      </c>
    </row>
    <row r="27" spans="3:13" x14ac:dyDescent="0.25">
      <c r="J27" t="s">
        <v>225</v>
      </c>
      <c r="M27" s="68" t="str">
        <f>"C:\Users\stu\Documents\GitHub\eaglep3-reporting\EC\"&amp;TEXT(A2,"YYYY-MM-DD")&amp;"-Enforcements.txt"</f>
        <v>C:\Users\stu\Documents\GitHub\eaglep3-reporting\EC\2016-10-17-Enforcements.txt</v>
      </c>
    </row>
    <row r="28" spans="3:13" x14ac:dyDescent="0.25">
      <c r="J28" t="s">
        <v>226</v>
      </c>
      <c r="M28" s="106" t="str">
        <f>"C:\Users\stu\Documents\GitHub\eaglep3-reporting\EC\"&amp;TEXT(A2,"YYYY-MM-DD")&amp;"-Runs-Refined.txt"</f>
        <v>C:\Users\stu\Documents\GitHub\eaglep3-reporting\EC\2016-10-17-Runs-Refined.txt</v>
      </c>
    </row>
    <row r="29" spans="3:13" x14ac:dyDescent="0.25">
      <c r="J29" t="s">
        <v>227</v>
      </c>
      <c r="M29" s="106" t="str">
        <f>"C:\Users\stu\Documents\GitHub\eaglep3-reporting\EC\"&amp;TEXT(A2,"YYYY-MM-DD")&amp;"-Trips.txt"</f>
        <v>C:\Users\stu\Documents\GitHub\eaglep3-reporting\EC\2016-10-17-Trips.txt</v>
      </c>
    </row>
    <row r="30" spans="3:13" x14ac:dyDescent="0.25">
      <c r="J30" t="s">
        <v>228</v>
      </c>
      <c r="M30" s="106" t="str">
        <f>"C:\Users\stu\Documents\GitHub\eaglep3-reporting\EC\"&amp;TEXT(A2,"YYYY-MM-DD")&amp;"-Weather.txt"</f>
        <v>C:\Users\stu\Documents\GitHub\eaglep3-reporting\EC\2016-10-17-Weather.txt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2016-10-18T19:32:13Z</dcterms:modified>
</cp:coreProperties>
</file>