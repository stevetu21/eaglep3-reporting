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Enforcements!$A$6:$AC$53</definedName>
    <definedName name="_xlnm._FilterDatabase" localSheetId="2" hidden="1">'Missing Trips'!$A$2:$J$69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2" i="1" l="1"/>
  <c r="P122" i="1"/>
  <c r="P159" i="1"/>
  <c r="P109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AA16" i="1" s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I17" i="1" s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A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X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B25" i="1"/>
  <c r="AC25" i="1"/>
  <c r="AD25" i="1"/>
  <c r="T25" i="1" s="1"/>
  <c r="AE25" i="1"/>
  <c r="AF25" i="1"/>
  <c r="AG25" i="1"/>
  <c r="AI25" i="1" s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T29" i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X32" i="1"/>
  <c r="Y32" i="1"/>
  <c r="Z32" i="1"/>
  <c r="AA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X36" i="1"/>
  <c r="Y36" i="1"/>
  <c r="AA36" i="1" s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X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AG41" i="1" s="1"/>
  <c r="AI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AA44" i="1" s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X45" i="1"/>
  <c r="Y45" i="1"/>
  <c r="Z45" i="1"/>
  <c r="AA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X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T53" i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X56" i="1"/>
  <c r="Y56" i="1"/>
  <c r="Z56" i="1"/>
  <c r="AB56" i="1"/>
  <c r="AC56" i="1"/>
  <c r="AD56" i="1"/>
  <c r="T56" i="1" s="1"/>
  <c r="AE56" i="1"/>
  <c r="AF56" i="1"/>
  <c r="AG56" i="1"/>
  <c r="AI56" i="1" s="1"/>
  <c r="AH56" i="1"/>
  <c r="AM56" i="1"/>
  <c r="AN56" i="1"/>
  <c r="K57" i="1"/>
  <c r="L57" i="1"/>
  <c r="M57" i="1"/>
  <c r="N57" i="1" s="1"/>
  <c r="T57" i="1"/>
  <c r="V57" i="1"/>
  <c r="Y57" i="1"/>
  <c r="Z57" i="1"/>
  <c r="AA57" i="1" s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W59" i="1" s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X60" i="1"/>
  <c r="Y60" i="1"/>
  <c r="Z60" i="1"/>
  <c r="AA60" i="1"/>
  <c r="W60" i="1" s="1"/>
  <c r="AB60" i="1"/>
  <c r="AC60" i="1"/>
  <c r="AD60" i="1"/>
  <c r="T60" i="1" s="1"/>
  <c r="AE60" i="1"/>
  <c r="AF60" i="1"/>
  <c r="AG60" i="1"/>
  <c r="AH60" i="1"/>
  <c r="AI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X63" i="1"/>
  <c r="Y63" i="1"/>
  <c r="Z63" i="1"/>
  <c r="AA63" i="1" s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W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W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W71" i="1" s="1"/>
  <c r="AB71" i="1"/>
  <c r="AC71" i="1"/>
  <c r="AD71" i="1"/>
  <c r="T71" i="1" s="1"/>
  <c r="AE71" i="1"/>
  <c r="AF71" i="1"/>
  <c r="AG71" i="1"/>
  <c r="AH71" i="1"/>
  <c r="AM71" i="1"/>
  <c r="AN71" i="1"/>
  <c r="K72" i="1"/>
  <c r="L72" i="1"/>
  <c r="M72" i="1"/>
  <c r="N72" i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AA85" i="1" s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W87" i="1" s="1"/>
  <c r="AB87" i="1"/>
  <c r="AC87" i="1"/>
  <c r="AD87" i="1"/>
  <c r="T87" i="1" s="1"/>
  <c r="AE87" i="1"/>
  <c r="AF87" i="1"/>
  <c r="AG87" i="1"/>
  <c r="AH87" i="1"/>
  <c r="AM87" i="1"/>
  <c r="AN87" i="1"/>
  <c r="K88" i="1"/>
  <c r="L88" i="1"/>
  <c r="M88" i="1"/>
  <c r="N88" i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AA89" i="1" s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G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A162" i="1"/>
  <c r="AB162" i="1"/>
  <c r="AC162" i="1"/>
  <c r="AD162" i="1"/>
  <c r="T162" i="1" s="1"/>
  <c r="AE162" i="1"/>
  <c r="AF162" i="1"/>
  <c r="AH95" i="1"/>
  <c r="AM95" i="1"/>
  <c r="AN95" i="1"/>
  <c r="K163" i="1"/>
  <c r="L163" i="1"/>
  <c r="M163" i="1"/>
  <c r="N163" i="1" s="1"/>
  <c r="T163" i="1"/>
  <c r="V163" i="1"/>
  <c r="Y163" i="1"/>
  <c r="Z163" i="1"/>
  <c r="AA163" i="1" s="1"/>
  <c r="W163" i="1" s="1"/>
  <c r="AB163" i="1"/>
  <c r="AC163" i="1"/>
  <c r="AD163" i="1"/>
  <c r="AG163" i="1" s="1"/>
  <c r="AE163" i="1"/>
  <c r="AF163" i="1"/>
  <c r="AH96" i="1"/>
  <c r="AM96" i="1"/>
  <c r="AN96" i="1"/>
  <c r="K164" i="1"/>
  <c r="L164" i="1"/>
  <c r="M164" i="1"/>
  <c r="N164" i="1" s="1"/>
  <c r="V164" i="1"/>
  <c r="Y164" i="1"/>
  <c r="AA164" i="1" s="1"/>
  <c r="Z164" i="1"/>
  <c r="AB164" i="1"/>
  <c r="AC164" i="1"/>
  <c r="AD164" i="1"/>
  <c r="T164" i="1" s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9" i="1"/>
  <c r="AM99" i="1"/>
  <c r="AN99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01" i="1"/>
  <c r="AM101" i="1"/>
  <c r="AN101" i="1"/>
  <c r="K169" i="1"/>
  <c r="L169" i="1"/>
  <c r="M169" i="1"/>
  <c r="N169" i="1"/>
  <c r="V169" i="1"/>
  <c r="Y169" i="1"/>
  <c r="Z169" i="1"/>
  <c r="AB169" i="1"/>
  <c r="AC169" i="1"/>
  <c r="AD169" i="1"/>
  <c r="AG169" i="1" s="1"/>
  <c r="AE169" i="1"/>
  <c r="AF169" i="1"/>
  <c r="AH102" i="1"/>
  <c r="AM102" i="1"/>
  <c r="AN102" i="1"/>
  <c r="K93" i="1"/>
  <c r="L93" i="1"/>
  <c r="M93" i="1"/>
  <c r="N93" i="1" s="1"/>
  <c r="T93" i="1"/>
  <c r="V93" i="1"/>
  <c r="Y93" i="1"/>
  <c r="Z93" i="1"/>
  <c r="AB93" i="1"/>
  <c r="AC93" i="1"/>
  <c r="AD93" i="1"/>
  <c r="X93" i="1" s="1"/>
  <c r="AE93" i="1"/>
  <c r="AF93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9" i="1"/>
  <c r="AM109" i="1"/>
  <c r="AN109" i="1"/>
  <c r="K176" i="1"/>
  <c r="L176" i="1"/>
  <c r="M176" i="1"/>
  <c r="N176" i="1" s="1"/>
  <c r="V176" i="1"/>
  <c r="Y176" i="1"/>
  <c r="Z176" i="1"/>
  <c r="AA176" i="1" s="1"/>
  <c r="AB176" i="1"/>
  <c r="AC176" i="1"/>
  <c r="AD176" i="1"/>
  <c r="AG176" i="1" s="1"/>
  <c r="AE176" i="1"/>
  <c r="AF176" i="1"/>
  <c r="AH110" i="1"/>
  <c r="AM110" i="1"/>
  <c r="AN110" i="1"/>
  <c r="K177" i="1"/>
  <c r="L177" i="1"/>
  <c r="M177" i="1"/>
  <c r="N177" i="1" s="1"/>
  <c r="T177" i="1"/>
  <c r="V177" i="1"/>
  <c r="Y177" i="1"/>
  <c r="Z177" i="1"/>
  <c r="AB177" i="1"/>
  <c r="AC177" i="1"/>
  <c r="AD177" i="1"/>
  <c r="X177" i="1" s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2" i="1"/>
  <c r="AM112" i="1"/>
  <c r="AN112" i="1"/>
  <c r="K179" i="1"/>
  <c r="L179" i="1"/>
  <c r="M179" i="1"/>
  <c r="N179" i="1" s="1"/>
  <c r="V179" i="1"/>
  <c r="Y179" i="1"/>
  <c r="Z179" i="1"/>
  <c r="AA179" i="1" s="1"/>
  <c r="W179" i="1" s="1"/>
  <c r="AB179" i="1"/>
  <c r="AC179" i="1"/>
  <c r="AD179" i="1"/>
  <c r="T179" i="1" s="1"/>
  <c r="AE179" i="1"/>
  <c r="AF179" i="1"/>
  <c r="AG179" i="1"/>
  <c r="AH113" i="1"/>
  <c r="AM113" i="1"/>
  <c r="AN113" i="1"/>
  <c r="K94" i="1"/>
  <c r="L94" i="1"/>
  <c r="M94" i="1"/>
  <c r="N94" i="1" s="1"/>
  <c r="V94" i="1"/>
  <c r="X94" i="1"/>
  <c r="Y94" i="1"/>
  <c r="Z94" i="1"/>
  <c r="AB94" i="1"/>
  <c r="AC94" i="1"/>
  <c r="AD94" i="1"/>
  <c r="AG94" i="1" s="1"/>
  <c r="AE94" i="1"/>
  <c r="AF94" i="1"/>
  <c r="AH114" i="1"/>
  <c r="AM114" i="1"/>
  <c r="AN114" i="1"/>
  <c r="K180" i="1"/>
  <c r="L180" i="1"/>
  <c r="M180" i="1"/>
  <c r="N180" i="1" s="1"/>
  <c r="V180" i="1"/>
  <c r="Y180" i="1"/>
  <c r="AA180" i="1" s="1"/>
  <c r="Z180" i="1"/>
  <c r="AB180" i="1"/>
  <c r="AC180" i="1"/>
  <c r="AD180" i="1"/>
  <c r="T180" i="1" s="1"/>
  <c r="AE180" i="1"/>
  <c r="AF180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6" i="1"/>
  <c r="AM116" i="1"/>
  <c r="AN116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G182" i="1"/>
  <c r="AH117" i="1"/>
  <c r="AM117" i="1"/>
  <c r="AN117" i="1"/>
  <c r="K183" i="1"/>
  <c r="L183" i="1"/>
  <c r="M183" i="1"/>
  <c r="N183" i="1"/>
  <c r="T183" i="1"/>
  <c r="V183" i="1"/>
  <c r="Y183" i="1"/>
  <c r="Z183" i="1"/>
  <c r="AA183" i="1" s="1"/>
  <c r="AB183" i="1"/>
  <c r="AC183" i="1"/>
  <c r="AD183" i="1"/>
  <c r="AG183" i="1" s="1"/>
  <c r="AE183" i="1"/>
  <c r="AF183" i="1"/>
  <c r="AH118" i="1"/>
  <c r="AM118" i="1"/>
  <c r="AN118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AF184" i="1"/>
  <c r="AG184" i="1"/>
  <c r="AH119" i="1"/>
  <c r="AM119" i="1"/>
  <c r="AN119" i="1"/>
  <c r="K185" i="1"/>
  <c r="L185" i="1"/>
  <c r="M185" i="1"/>
  <c r="N185" i="1" s="1"/>
  <c r="V185" i="1"/>
  <c r="X185" i="1"/>
  <c r="Y185" i="1"/>
  <c r="Z185" i="1"/>
  <c r="AB185" i="1"/>
  <c r="AC185" i="1"/>
  <c r="AD185" i="1"/>
  <c r="T185" i="1" s="1"/>
  <c r="AE185" i="1"/>
  <c r="AF185" i="1"/>
  <c r="AH120" i="1"/>
  <c r="AM120" i="1"/>
  <c r="AN120" i="1"/>
  <c r="K186" i="1"/>
  <c r="L186" i="1"/>
  <c r="M186" i="1"/>
  <c r="N186" i="1" s="1"/>
  <c r="T186" i="1"/>
  <c r="V186" i="1"/>
  <c r="Y186" i="1"/>
  <c r="AA186" i="1" s="1"/>
  <c r="Z186" i="1"/>
  <c r="AB186" i="1"/>
  <c r="AC186" i="1"/>
  <c r="AD186" i="1"/>
  <c r="AE186" i="1"/>
  <c r="AF186" i="1"/>
  <c r="AG186" i="1"/>
  <c r="U186" i="1" s="1"/>
  <c r="S186" i="1" s="1"/>
  <c r="AH121" i="1"/>
  <c r="AM121" i="1"/>
  <c r="AN121" i="1"/>
  <c r="K187" i="1"/>
  <c r="L187" i="1"/>
  <c r="M187" i="1"/>
  <c r="N187" i="1"/>
  <c r="V187" i="1"/>
  <c r="Y187" i="1"/>
  <c r="Z187" i="1"/>
  <c r="AB187" i="1"/>
  <c r="AC187" i="1"/>
  <c r="AD187" i="1"/>
  <c r="AG187" i="1" s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AN124" i="1"/>
  <c r="K95" i="1"/>
  <c r="L95" i="1"/>
  <c r="M95" i="1"/>
  <c r="N95" i="1" s="1"/>
  <c r="V95" i="1"/>
  <c r="Y95" i="1"/>
  <c r="Z95" i="1"/>
  <c r="AA95" i="1" s="1"/>
  <c r="AB95" i="1"/>
  <c r="AC95" i="1"/>
  <c r="AD95" i="1"/>
  <c r="AG95" i="1" s="1"/>
  <c r="AE95" i="1"/>
  <c r="AF95" i="1"/>
  <c r="AH125" i="1"/>
  <c r="AM125" i="1"/>
  <c r="AN125" i="1"/>
  <c r="K190" i="1"/>
  <c r="L190" i="1"/>
  <c r="M190" i="1"/>
  <c r="N190" i="1" s="1"/>
  <c r="V190" i="1"/>
  <c r="Y190" i="1"/>
  <c r="Z190" i="1"/>
  <c r="AA190" i="1" s="1"/>
  <c r="AB190" i="1"/>
  <c r="AC190" i="1"/>
  <c r="AD190" i="1"/>
  <c r="AG190" i="1" s="1"/>
  <c r="AE190" i="1"/>
  <c r="AF190" i="1"/>
  <c r="AH126" i="1"/>
  <c r="AM126" i="1"/>
  <c r="AN126" i="1"/>
  <c r="K191" i="1"/>
  <c r="L191" i="1"/>
  <c r="M191" i="1"/>
  <c r="N191" i="1" s="1"/>
  <c r="T191" i="1"/>
  <c r="V191" i="1"/>
  <c r="Y191" i="1"/>
  <c r="Z191" i="1"/>
  <c r="AA191" i="1"/>
  <c r="AB191" i="1"/>
  <c r="AC191" i="1"/>
  <c r="AD191" i="1"/>
  <c r="AG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AA193" i="1" s="1"/>
  <c r="Z193" i="1"/>
  <c r="AB193" i="1"/>
  <c r="AC193" i="1"/>
  <c r="AD193" i="1"/>
  <c r="T193" i="1" s="1"/>
  <c r="AE193" i="1"/>
  <c r="AF193" i="1"/>
  <c r="AG193" i="1"/>
  <c r="AH129" i="1"/>
  <c r="AM129" i="1"/>
  <c r="AN129" i="1"/>
  <c r="K96" i="1"/>
  <c r="L96" i="1"/>
  <c r="M96" i="1"/>
  <c r="N96" i="1"/>
  <c r="V96" i="1"/>
  <c r="Y96" i="1"/>
  <c r="Z96" i="1"/>
  <c r="AB96" i="1"/>
  <c r="AC96" i="1"/>
  <c r="AD96" i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AM132" i="1"/>
  <c r="AN132" i="1"/>
  <c r="K99" i="1"/>
  <c r="L99" i="1"/>
  <c r="M99" i="1"/>
  <c r="N99" i="1" s="1"/>
  <c r="V99" i="1"/>
  <c r="Y99" i="1"/>
  <c r="AA99" i="1" s="1"/>
  <c r="Z99" i="1"/>
  <c r="AB99" i="1"/>
  <c r="AC99" i="1"/>
  <c r="AD99" i="1"/>
  <c r="AG99" i="1" s="1"/>
  <c r="AI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X101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37" i="1"/>
  <c r="AM137" i="1"/>
  <c r="AN137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G213" i="1"/>
  <c r="AH138" i="1"/>
  <c r="AM138" i="1"/>
  <c r="AN138" i="1"/>
  <c r="K214" i="1"/>
  <c r="L214" i="1"/>
  <c r="M214" i="1"/>
  <c r="N214" i="1" s="1"/>
  <c r="T214" i="1"/>
  <c r="V214" i="1"/>
  <c r="Y214" i="1"/>
  <c r="Z214" i="1"/>
  <c r="AA214" i="1" s="1"/>
  <c r="W214" i="1" s="1"/>
  <c r="AB214" i="1"/>
  <c r="AC214" i="1"/>
  <c r="AD214" i="1"/>
  <c r="AG214" i="1" s="1"/>
  <c r="AE214" i="1"/>
  <c r="AF214" i="1"/>
  <c r="AH139" i="1"/>
  <c r="AM139" i="1"/>
  <c r="AN139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1" i="1"/>
  <c r="AM141" i="1"/>
  <c r="AN141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44" i="1"/>
  <c r="AM144" i="1"/>
  <c r="AN144" i="1"/>
  <c r="K108" i="1"/>
  <c r="L108" i="1"/>
  <c r="M108" i="1"/>
  <c r="N108" i="1" s="1"/>
  <c r="T108" i="1"/>
  <c r="V108" i="1"/>
  <c r="X108" i="1"/>
  <c r="Y108" i="1"/>
  <c r="Z108" i="1"/>
  <c r="AA108" i="1" s="1"/>
  <c r="W108" i="1" s="1"/>
  <c r="AB108" i="1"/>
  <c r="AC108" i="1"/>
  <c r="AD108" i="1"/>
  <c r="AG108" i="1" s="1"/>
  <c r="AE108" i="1"/>
  <c r="AF108" i="1"/>
  <c r="AH145" i="1"/>
  <c r="AM145" i="1"/>
  <c r="AN145" i="1"/>
  <c r="K109" i="1"/>
  <c r="L109" i="1"/>
  <c r="M109" i="1"/>
  <c r="V109" i="1"/>
  <c r="X109" i="1"/>
  <c r="Y109" i="1"/>
  <c r="AA109" i="1" s="1"/>
  <c r="Z109" i="1"/>
  <c r="AB109" i="1"/>
  <c r="AC109" i="1"/>
  <c r="AD109" i="1"/>
  <c r="AG109" i="1" s="1"/>
  <c r="AE109" i="1"/>
  <c r="AF109" i="1"/>
  <c r="AH146" i="1"/>
  <c r="AM146" i="1"/>
  <c r="AN146" i="1"/>
  <c r="K110" i="1"/>
  <c r="L110" i="1"/>
  <c r="M110" i="1"/>
  <c r="T110" i="1"/>
  <c r="V110" i="1"/>
  <c r="X110" i="1"/>
  <c r="Y110" i="1"/>
  <c r="Z110" i="1"/>
  <c r="AA110" i="1" s="1"/>
  <c r="AB110" i="1"/>
  <c r="AC110" i="1"/>
  <c r="AD110" i="1"/>
  <c r="AG110" i="1" s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G111" i="1"/>
  <c r="U111" i="1" s="1"/>
  <c r="S111" i="1" s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/>
  <c r="T114" i="1"/>
  <c r="V114" i="1"/>
  <c r="Y114" i="1"/>
  <c r="Z114" i="1"/>
  <c r="AA114" i="1" s="1"/>
  <c r="W114" i="1" s="1"/>
  <c r="AB114" i="1"/>
  <c r="AC114" i="1"/>
  <c r="AD114" i="1"/>
  <c r="AG114" i="1" s="1"/>
  <c r="AE114" i="1"/>
  <c r="AF114" i="1"/>
  <c r="AH151" i="1"/>
  <c r="AM151" i="1"/>
  <c r="AN151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G115" i="1"/>
  <c r="AH152" i="1"/>
  <c r="AM152" i="1"/>
  <c r="AN152" i="1"/>
  <c r="K116" i="1"/>
  <c r="L116" i="1"/>
  <c r="M116" i="1"/>
  <c r="N116" i="1" s="1"/>
  <c r="V116" i="1"/>
  <c r="X116" i="1"/>
  <c r="Y116" i="1"/>
  <c r="Z116" i="1"/>
  <c r="AB116" i="1"/>
  <c r="AC116" i="1"/>
  <c r="AD116" i="1"/>
  <c r="AG116" i="1" s="1"/>
  <c r="AE116" i="1"/>
  <c r="AF116" i="1"/>
  <c r="AH153" i="1"/>
  <c r="AM153" i="1"/>
  <c r="AN153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/>
  <c r="V118" i="1"/>
  <c r="Y118" i="1"/>
  <c r="Z118" i="1"/>
  <c r="AB118" i="1"/>
  <c r="AC118" i="1"/>
  <c r="AD118" i="1"/>
  <c r="AG118" i="1" s="1"/>
  <c r="AE118" i="1"/>
  <c r="AF118" i="1"/>
  <c r="AH155" i="1"/>
  <c r="AM155" i="1"/>
  <c r="AN155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56" i="1"/>
  <c r="AM156" i="1"/>
  <c r="AN156" i="1"/>
  <c r="K120" i="1"/>
  <c r="L120" i="1"/>
  <c r="M120" i="1"/>
  <c r="N120" i="1" s="1"/>
  <c r="T120" i="1"/>
  <c r="V120" i="1"/>
  <c r="X120" i="1"/>
  <c r="Y120" i="1"/>
  <c r="Z120" i="1"/>
  <c r="AA120" i="1" s="1"/>
  <c r="AB120" i="1"/>
  <c r="AC120" i="1"/>
  <c r="AD120" i="1"/>
  <c r="AG120" i="1" s="1"/>
  <c r="AE120" i="1"/>
  <c r="AF120" i="1"/>
  <c r="AH157" i="1"/>
  <c r="AM157" i="1"/>
  <c r="AN157" i="1"/>
  <c r="K121" i="1"/>
  <c r="L121" i="1"/>
  <c r="M121" i="1"/>
  <c r="N121" i="1" s="1"/>
  <c r="T121" i="1"/>
  <c r="V121" i="1"/>
  <c r="X121" i="1"/>
  <c r="Y121" i="1"/>
  <c r="Z121" i="1"/>
  <c r="AB121" i="1"/>
  <c r="AC121" i="1"/>
  <c r="AD121" i="1"/>
  <c r="AE121" i="1"/>
  <c r="AF121" i="1"/>
  <c r="AG121" i="1"/>
  <c r="AI121" i="1" s="1"/>
  <c r="AH158" i="1"/>
  <c r="AM158" i="1"/>
  <c r="AN158" i="1"/>
  <c r="K122" i="1"/>
  <c r="L122" i="1"/>
  <c r="V122" i="1"/>
  <c r="Z122" i="1"/>
  <c r="AA122" i="1" s="1"/>
  <c r="AB122" i="1"/>
  <c r="AC122" i="1"/>
  <c r="AD122" i="1"/>
  <c r="T122" i="1" s="1"/>
  <c r="AE122" i="1"/>
  <c r="AF122" i="1"/>
  <c r="AH159" i="1"/>
  <c r="AM159" i="1"/>
  <c r="AN159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60" i="1"/>
  <c r="AM160" i="1"/>
  <c r="AN160" i="1"/>
  <c r="K124" i="1"/>
  <c r="L124" i="1"/>
  <c r="M124" i="1"/>
  <c r="N124" i="1" s="1"/>
  <c r="V124" i="1"/>
  <c r="Y124" i="1"/>
  <c r="Z124" i="1"/>
  <c r="AA124" i="1"/>
  <c r="W124" i="1" s="1"/>
  <c r="AB124" i="1"/>
  <c r="AC124" i="1"/>
  <c r="AD124" i="1"/>
  <c r="AG124" i="1" s="1"/>
  <c r="AE124" i="1"/>
  <c r="AF124" i="1"/>
  <c r="AH161" i="1"/>
  <c r="AM161" i="1"/>
  <c r="AN161" i="1"/>
  <c r="K125" i="1"/>
  <c r="L125" i="1"/>
  <c r="M125" i="1"/>
  <c r="N125" i="1" s="1"/>
  <c r="T125" i="1"/>
  <c r="V125" i="1"/>
  <c r="Y125" i="1"/>
  <c r="Z125" i="1"/>
  <c r="AB125" i="1"/>
  <c r="AC125" i="1"/>
  <c r="AD125" i="1"/>
  <c r="X125" i="1" s="1"/>
  <c r="AE125" i="1"/>
  <c r="AF125" i="1"/>
  <c r="AH162" i="1"/>
  <c r="AM162" i="1"/>
  <c r="AN16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3" i="1"/>
  <c r="AM163" i="1"/>
  <c r="AN163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64" i="1"/>
  <c r="AM164" i="1"/>
  <c r="AN164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65" i="1"/>
  <c r="AM165" i="1"/>
  <c r="AN165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66" i="1"/>
  <c r="AM166" i="1"/>
  <c r="AN166" i="1"/>
  <c r="K130" i="1"/>
  <c r="L130" i="1"/>
  <c r="M130" i="1"/>
  <c r="N130" i="1"/>
  <c r="V130" i="1"/>
  <c r="Y130" i="1"/>
  <c r="Z130" i="1"/>
  <c r="AB130" i="1"/>
  <c r="AC130" i="1"/>
  <c r="AD130" i="1"/>
  <c r="T130" i="1" s="1"/>
  <c r="AE130" i="1"/>
  <c r="AF130" i="1"/>
  <c r="AH167" i="1"/>
  <c r="AM167" i="1"/>
  <c r="AN167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8" i="1"/>
  <c r="AM168" i="1"/>
  <c r="AN168" i="1"/>
  <c r="K132" i="1"/>
  <c r="L132" i="1"/>
  <c r="M132" i="1"/>
  <c r="N132" i="1" s="1"/>
  <c r="V132" i="1"/>
  <c r="Y132" i="1"/>
  <c r="Z132" i="1"/>
  <c r="AA132" i="1" s="1"/>
  <c r="AB132" i="1"/>
  <c r="AC132" i="1"/>
  <c r="AD132" i="1"/>
  <c r="AG132" i="1" s="1"/>
  <c r="AE132" i="1"/>
  <c r="AF132" i="1"/>
  <c r="AH169" i="1"/>
  <c r="AM169" i="1"/>
  <c r="AN169" i="1"/>
  <c r="K133" i="1"/>
  <c r="L133" i="1"/>
  <c r="M133" i="1"/>
  <c r="N133" i="1" s="1"/>
  <c r="T133" i="1"/>
  <c r="V133" i="1"/>
  <c r="X133" i="1"/>
  <c r="Y133" i="1"/>
  <c r="Z133" i="1"/>
  <c r="AB133" i="1"/>
  <c r="AC133" i="1"/>
  <c r="AD133" i="1"/>
  <c r="AE133" i="1"/>
  <c r="AF133" i="1"/>
  <c r="AG133" i="1"/>
  <c r="AH170" i="1"/>
  <c r="AM170" i="1"/>
  <c r="AN170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71" i="1"/>
  <c r="AM171" i="1"/>
  <c r="AN171" i="1"/>
  <c r="K135" i="1"/>
  <c r="L135" i="1"/>
  <c r="M135" i="1"/>
  <c r="N135" i="1"/>
  <c r="V135" i="1"/>
  <c r="Y135" i="1"/>
  <c r="Z135" i="1"/>
  <c r="AA135" i="1"/>
  <c r="AB135" i="1"/>
  <c r="AC135" i="1"/>
  <c r="AD135" i="1"/>
  <c r="T135" i="1" s="1"/>
  <c r="AE135" i="1"/>
  <c r="AF135" i="1"/>
  <c r="AH172" i="1"/>
  <c r="AM172" i="1"/>
  <c r="AN172" i="1"/>
  <c r="K136" i="1"/>
  <c r="L136" i="1"/>
  <c r="M136" i="1"/>
  <c r="N136" i="1" s="1"/>
  <c r="V136" i="1"/>
  <c r="Y136" i="1"/>
  <c r="Z136" i="1"/>
  <c r="AA136" i="1" s="1"/>
  <c r="AB136" i="1"/>
  <c r="AC136" i="1"/>
  <c r="AD136" i="1"/>
  <c r="AG136" i="1" s="1"/>
  <c r="AI136" i="1" s="1"/>
  <c r="AE136" i="1"/>
  <c r="AF136" i="1"/>
  <c r="AH173" i="1"/>
  <c r="AM173" i="1"/>
  <c r="AN173" i="1"/>
  <c r="K137" i="1"/>
  <c r="L137" i="1"/>
  <c r="M137" i="1"/>
  <c r="N137" i="1" s="1"/>
  <c r="V137" i="1"/>
  <c r="Y137" i="1"/>
  <c r="AA137" i="1" s="1"/>
  <c r="Z137" i="1"/>
  <c r="AB137" i="1"/>
  <c r="AC137" i="1"/>
  <c r="AD137" i="1"/>
  <c r="X137" i="1" s="1"/>
  <c r="AE137" i="1"/>
  <c r="AF137" i="1"/>
  <c r="AH174" i="1"/>
  <c r="AM174" i="1"/>
  <c r="AN174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5" i="1"/>
  <c r="AM175" i="1"/>
  <c r="AN175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6" i="1"/>
  <c r="AM176" i="1"/>
  <c r="AN176" i="1"/>
  <c r="K140" i="1"/>
  <c r="L140" i="1"/>
  <c r="M140" i="1"/>
  <c r="N140" i="1" s="1"/>
  <c r="V140" i="1"/>
  <c r="Y140" i="1"/>
  <c r="Z140" i="1"/>
  <c r="AB140" i="1"/>
  <c r="AC140" i="1"/>
  <c r="AD140" i="1"/>
  <c r="AG140" i="1" s="1"/>
  <c r="AI140" i="1" s="1"/>
  <c r="AE140" i="1"/>
  <c r="AF140" i="1"/>
  <c r="AH177" i="1"/>
  <c r="AM177" i="1"/>
  <c r="AN177" i="1"/>
  <c r="K141" i="1"/>
  <c r="L141" i="1"/>
  <c r="M141" i="1"/>
  <c r="N141" i="1" s="1"/>
  <c r="V141" i="1"/>
  <c r="X141" i="1"/>
  <c r="Y141" i="1"/>
  <c r="Z141" i="1"/>
  <c r="AB141" i="1"/>
  <c r="AC141" i="1"/>
  <c r="AD141" i="1"/>
  <c r="T141" i="1" s="1"/>
  <c r="AE141" i="1"/>
  <c r="AF141" i="1"/>
  <c r="AG141" i="1"/>
  <c r="AH178" i="1"/>
  <c r="AM178" i="1"/>
  <c r="AN178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79" i="1"/>
  <c r="AM179" i="1"/>
  <c r="AN179" i="1"/>
  <c r="K143" i="1"/>
  <c r="L143" i="1"/>
  <c r="M143" i="1"/>
  <c r="N143" i="1"/>
  <c r="V143" i="1"/>
  <c r="Y143" i="1"/>
  <c r="AA143" i="1" s="1"/>
  <c r="Z143" i="1"/>
  <c r="AB143" i="1"/>
  <c r="AC143" i="1"/>
  <c r="AD143" i="1"/>
  <c r="T143" i="1" s="1"/>
  <c r="AE143" i="1"/>
  <c r="AF143" i="1"/>
  <c r="AH180" i="1"/>
  <c r="AM180" i="1"/>
  <c r="AN180" i="1"/>
  <c r="K144" i="1"/>
  <c r="L144" i="1"/>
  <c r="M144" i="1"/>
  <c r="N144" i="1" s="1"/>
  <c r="V144" i="1"/>
  <c r="Y144" i="1"/>
  <c r="Z144" i="1"/>
  <c r="AA144" i="1" s="1"/>
  <c r="W144" i="1" s="1"/>
  <c r="AB144" i="1"/>
  <c r="AC144" i="1"/>
  <c r="AD144" i="1"/>
  <c r="AG144" i="1" s="1"/>
  <c r="AI144" i="1" s="1"/>
  <c r="AE144" i="1"/>
  <c r="AF144" i="1"/>
  <c r="AH181" i="1"/>
  <c r="AM181" i="1"/>
  <c r="AN181" i="1"/>
  <c r="K145" i="1"/>
  <c r="L145" i="1"/>
  <c r="M145" i="1"/>
  <c r="N145" i="1" s="1"/>
  <c r="V145" i="1"/>
  <c r="Y145" i="1"/>
  <c r="AA145" i="1" s="1"/>
  <c r="Z145" i="1"/>
  <c r="AB145" i="1"/>
  <c r="AC145" i="1"/>
  <c r="AD145" i="1"/>
  <c r="X145" i="1" s="1"/>
  <c r="AE145" i="1"/>
  <c r="AF145" i="1"/>
  <c r="AH182" i="1"/>
  <c r="AM182" i="1"/>
  <c r="AN182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4" i="1"/>
  <c r="AM184" i="1"/>
  <c r="AN184" i="1"/>
  <c r="K148" i="1"/>
  <c r="L148" i="1"/>
  <c r="M148" i="1"/>
  <c r="N148" i="1" s="1"/>
  <c r="V148" i="1"/>
  <c r="Y148" i="1"/>
  <c r="Z148" i="1"/>
  <c r="AB148" i="1"/>
  <c r="AC148" i="1"/>
  <c r="AD148" i="1"/>
  <c r="AG148" i="1" s="1"/>
  <c r="AI148" i="1" s="1"/>
  <c r="AE148" i="1"/>
  <c r="AF148" i="1"/>
  <c r="AH185" i="1"/>
  <c r="AM185" i="1"/>
  <c r="AN185" i="1"/>
  <c r="K149" i="1"/>
  <c r="L149" i="1"/>
  <c r="M149" i="1"/>
  <c r="N149" i="1" s="1"/>
  <c r="V149" i="1"/>
  <c r="X149" i="1"/>
  <c r="Y149" i="1"/>
  <c r="Z149" i="1"/>
  <c r="AB149" i="1"/>
  <c r="AC149" i="1"/>
  <c r="AD149" i="1"/>
  <c r="T149" i="1" s="1"/>
  <c r="AE149" i="1"/>
  <c r="AF149" i="1"/>
  <c r="AG149" i="1"/>
  <c r="AH186" i="1"/>
  <c r="AM186" i="1"/>
  <c r="AN186" i="1"/>
  <c r="K150" i="1"/>
  <c r="L150" i="1"/>
  <c r="M150" i="1"/>
  <c r="N150" i="1"/>
  <c r="V150" i="1"/>
  <c r="Y150" i="1"/>
  <c r="Z150" i="1"/>
  <c r="AB150" i="1"/>
  <c r="AC150" i="1"/>
  <c r="AD150" i="1"/>
  <c r="AG150" i="1" s="1"/>
  <c r="AI150" i="1" s="1"/>
  <c r="AE150" i="1"/>
  <c r="AF150" i="1"/>
  <c r="AH187" i="1"/>
  <c r="AM187" i="1"/>
  <c r="AN187" i="1"/>
  <c r="K151" i="1"/>
  <c r="L151" i="1"/>
  <c r="M151" i="1"/>
  <c r="N151" i="1" s="1"/>
  <c r="V151" i="1"/>
  <c r="Y151" i="1"/>
  <c r="Z151" i="1"/>
  <c r="AA151" i="1" s="1"/>
  <c r="AB151" i="1"/>
  <c r="AC151" i="1"/>
  <c r="AD151" i="1"/>
  <c r="T151" i="1" s="1"/>
  <c r="AE151" i="1"/>
  <c r="AF151" i="1"/>
  <c r="AH188" i="1"/>
  <c r="AM188" i="1"/>
  <c r="AN188" i="1"/>
  <c r="K152" i="1"/>
  <c r="L152" i="1"/>
  <c r="M152" i="1"/>
  <c r="N152" i="1" s="1"/>
  <c r="V152" i="1"/>
  <c r="Y152" i="1"/>
  <c r="Z152" i="1"/>
  <c r="AA152" i="1" s="1"/>
  <c r="AB152" i="1"/>
  <c r="AC152" i="1"/>
  <c r="AD152" i="1"/>
  <c r="X152" i="1" s="1"/>
  <c r="AE152" i="1"/>
  <c r="AF152" i="1"/>
  <c r="AH189" i="1"/>
  <c r="AM189" i="1"/>
  <c r="AN189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2" i="1"/>
  <c r="AM192" i="1"/>
  <c r="AN192" i="1"/>
  <c r="K156" i="1"/>
  <c r="L156" i="1"/>
  <c r="M156" i="1"/>
  <c r="N156" i="1" s="1"/>
  <c r="V156" i="1"/>
  <c r="X156" i="1"/>
  <c r="Y156" i="1"/>
  <c r="Z156" i="1"/>
  <c r="AA156" i="1" s="1"/>
  <c r="W156" i="1" s="1"/>
  <c r="AB156" i="1"/>
  <c r="AC156" i="1"/>
  <c r="AD156" i="1"/>
  <c r="T156" i="1" s="1"/>
  <c r="AE156" i="1"/>
  <c r="AF156" i="1"/>
  <c r="AG156" i="1"/>
  <c r="AI156" i="1" s="1"/>
  <c r="AH193" i="1"/>
  <c r="AI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A158" i="1" s="1"/>
  <c r="W158" i="1" s="1"/>
  <c r="AB158" i="1"/>
  <c r="AC158" i="1"/>
  <c r="AD158" i="1"/>
  <c r="AG158" i="1" s="1"/>
  <c r="AE158" i="1"/>
  <c r="AF158" i="1"/>
  <c r="AH195" i="1"/>
  <c r="AM195" i="1"/>
  <c r="AN195" i="1"/>
  <c r="K159" i="1"/>
  <c r="L159" i="1"/>
  <c r="M159" i="1"/>
  <c r="V159" i="1"/>
  <c r="Y159" i="1"/>
  <c r="Z159" i="1"/>
  <c r="AA159" i="1"/>
  <c r="AB159" i="1"/>
  <c r="AC159" i="1"/>
  <c r="AD159" i="1"/>
  <c r="T159" i="1" s="1"/>
  <c r="AE159" i="1"/>
  <c r="AF159" i="1"/>
  <c r="AH196" i="1"/>
  <c r="AM196" i="1"/>
  <c r="AN196" i="1"/>
  <c r="K194" i="1"/>
  <c r="L194" i="1"/>
  <c r="M194" i="1"/>
  <c r="N194" i="1" s="1"/>
  <c r="T194" i="1"/>
  <c r="V194" i="1"/>
  <c r="Y194" i="1"/>
  <c r="Z194" i="1"/>
  <c r="AA194" i="1" s="1"/>
  <c r="AB194" i="1"/>
  <c r="AC194" i="1"/>
  <c r="AD194" i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G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N198" i="1" s="1"/>
  <c r="V198" i="1"/>
  <c r="X198" i="1"/>
  <c r="Y198" i="1"/>
  <c r="Z198" i="1"/>
  <c r="AA198" i="1"/>
  <c r="AB198" i="1"/>
  <c r="AC198" i="1"/>
  <c r="AD198" i="1"/>
  <c r="AG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04" i="1"/>
  <c r="AM204" i="1"/>
  <c r="AN204" i="1"/>
  <c r="K202" i="1"/>
  <c r="L202" i="1"/>
  <c r="M202" i="1"/>
  <c r="N202" i="1" s="1"/>
  <c r="V202" i="1"/>
  <c r="Y202" i="1"/>
  <c r="AA202" i="1" s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X203" i="1"/>
  <c r="Y203" i="1"/>
  <c r="Z203" i="1"/>
  <c r="AB203" i="1"/>
  <c r="AC203" i="1"/>
  <c r="AD203" i="1"/>
  <c r="T203" i="1" s="1"/>
  <c r="AE203" i="1"/>
  <c r="AF203" i="1"/>
  <c r="AG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K206" i="1"/>
  <c r="L206" i="1"/>
  <c r="M206" i="1"/>
  <c r="N206" i="1" s="1"/>
  <c r="V206" i="1"/>
  <c r="Y206" i="1"/>
  <c r="Z206" i="1"/>
  <c r="AA206" i="1"/>
  <c r="AB206" i="1"/>
  <c r="AC206" i="1"/>
  <c r="AD206" i="1"/>
  <c r="AE206" i="1"/>
  <c r="AF206" i="1"/>
  <c r="AH209" i="1"/>
  <c r="AM209" i="1"/>
  <c r="AN209" i="1"/>
  <c r="K207" i="1"/>
  <c r="L207" i="1"/>
  <c r="M207" i="1"/>
  <c r="N207" i="1" s="1"/>
  <c r="T207" i="1"/>
  <c r="V207" i="1"/>
  <c r="X207" i="1"/>
  <c r="Y207" i="1"/>
  <c r="Z207" i="1"/>
  <c r="AA207" i="1" s="1"/>
  <c r="AB207" i="1"/>
  <c r="AC207" i="1"/>
  <c r="AD207" i="1"/>
  <c r="AE207" i="1"/>
  <c r="AF207" i="1"/>
  <c r="AG207" i="1"/>
  <c r="AH210" i="1"/>
  <c r="AM210" i="1"/>
  <c r="AN21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1" i="1"/>
  <c r="AM211" i="1"/>
  <c r="AN21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2" i="1"/>
  <c r="AM212" i="1"/>
  <c r="AN21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G210" i="1"/>
  <c r="AH213" i="1"/>
  <c r="AI213" i="1"/>
  <c r="AM213" i="1"/>
  <c r="AN213" i="1"/>
  <c r="K211" i="1"/>
  <c r="L211" i="1"/>
  <c r="M211" i="1"/>
  <c r="N211" i="1" s="1"/>
  <c r="V211" i="1"/>
  <c r="Y211" i="1"/>
  <c r="Z211" i="1"/>
  <c r="AA211" i="1" s="1"/>
  <c r="AB211" i="1"/>
  <c r="AC211" i="1"/>
  <c r="AD211" i="1"/>
  <c r="X211" i="1" s="1"/>
  <c r="AE211" i="1"/>
  <c r="AF211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A217" i="1" s="1"/>
  <c r="W217" i="1" s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X218" i="1"/>
  <c r="Y218" i="1"/>
  <c r="Z218" i="1"/>
  <c r="AB218" i="1"/>
  <c r="AC218" i="1"/>
  <c r="AD218" i="1"/>
  <c r="T218" i="1" s="1"/>
  <c r="AE218" i="1"/>
  <c r="AF218" i="1"/>
  <c r="AG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23" i="1"/>
  <c r="AM223" i="1"/>
  <c r="AN223" i="1"/>
  <c r="M31" i="3"/>
  <c r="R31" i="3"/>
  <c r="S31" i="3"/>
  <c r="U31" i="3"/>
  <c r="T31" i="3" s="1"/>
  <c r="V31" i="3"/>
  <c r="W31" i="3"/>
  <c r="Y31" i="3" s="1"/>
  <c r="X31" i="3"/>
  <c r="AC31" i="3"/>
  <c r="M29" i="3"/>
  <c r="R29" i="3"/>
  <c r="S29" i="3"/>
  <c r="U29" i="3"/>
  <c r="V29" i="3"/>
  <c r="W29" i="3"/>
  <c r="Y29" i="3" s="1"/>
  <c r="X29" i="3"/>
  <c r="M14" i="3"/>
  <c r="R14" i="3"/>
  <c r="S14" i="3"/>
  <c r="U14" i="3"/>
  <c r="AC14" i="3" s="1"/>
  <c r="V14" i="3"/>
  <c r="W14" i="3"/>
  <c r="Y14" i="3" s="1"/>
  <c r="X14" i="3"/>
  <c r="M16" i="3"/>
  <c r="R16" i="3"/>
  <c r="S16" i="3"/>
  <c r="U16" i="3"/>
  <c r="AC16" i="3" s="1"/>
  <c r="V16" i="3"/>
  <c r="W16" i="3"/>
  <c r="Y16" i="3" s="1"/>
  <c r="X16" i="3"/>
  <c r="M23" i="3"/>
  <c r="R23" i="3"/>
  <c r="S23" i="3"/>
  <c r="T23" i="3"/>
  <c r="U23" i="3"/>
  <c r="V23" i="3"/>
  <c r="W23" i="3"/>
  <c r="X23" i="3"/>
  <c r="AC23" i="3"/>
  <c r="M25" i="3"/>
  <c r="R25" i="3"/>
  <c r="S25" i="3"/>
  <c r="U25" i="3"/>
  <c r="V25" i="3"/>
  <c r="W25" i="3"/>
  <c r="Y25" i="3" s="1"/>
  <c r="X25" i="3"/>
  <c r="AC25" i="3"/>
  <c r="M24" i="3"/>
  <c r="R24" i="3"/>
  <c r="S24" i="3"/>
  <c r="U24" i="3"/>
  <c r="AC24" i="3" s="1"/>
  <c r="V24" i="3"/>
  <c r="W24" i="3"/>
  <c r="X24" i="3"/>
  <c r="Y24" i="3"/>
  <c r="M12" i="3"/>
  <c r="R12" i="3"/>
  <c r="S12" i="3"/>
  <c r="U12" i="3"/>
  <c r="AC12" i="3" s="1"/>
  <c r="V12" i="3"/>
  <c r="W12" i="3"/>
  <c r="Y12" i="3" s="1"/>
  <c r="X12" i="3"/>
  <c r="M13" i="3"/>
  <c r="R13" i="3"/>
  <c r="S13" i="3"/>
  <c r="U13" i="3"/>
  <c r="T13" i="3" s="1"/>
  <c r="V13" i="3"/>
  <c r="W13" i="3"/>
  <c r="X13" i="3"/>
  <c r="AC13" i="3"/>
  <c r="M26" i="3"/>
  <c r="R26" i="3"/>
  <c r="S26" i="3"/>
  <c r="U26" i="3"/>
  <c r="V26" i="3"/>
  <c r="W26" i="3"/>
  <c r="Y26" i="3" s="1"/>
  <c r="X26" i="3"/>
  <c r="M11" i="3"/>
  <c r="R11" i="3"/>
  <c r="S11" i="3"/>
  <c r="U11" i="3"/>
  <c r="AC11" i="3" s="1"/>
  <c r="V11" i="3"/>
  <c r="W11" i="3"/>
  <c r="Y11" i="3" s="1"/>
  <c r="X11" i="3"/>
  <c r="M18" i="3"/>
  <c r="R18" i="3"/>
  <c r="S18" i="3"/>
  <c r="U18" i="3"/>
  <c r="AC18" i="3" s="1"/>
  <c r="V18" i="3"/>
  <c r="W18" i="3"/>
  <c r="Y18" i="3" s="1"/>
  <c r="X18" i="3"/>
  <c r="M22" i="3"/>
  <c r="R22" i="3"/>
  <c r="S22" i="3"/>
  <c r="U22" i="3"/>
  <c r="T22" i="3" s="1"/>
  <c r="V22" i="3"/>
  <c r="W22" i="3"/>
  <c r="X22" i="3"/>
  <c r="AC22" i="3"/>
  <c r="M27" i="3"/>
  <c r="R27" i="3"/>
  <c r="S27" i="3"/>
  <c r="U27" i="3"/>
  <c r="V27" i="3"/>
  <c r="W27" i="3"/>
  <c r="Y27" i="3" s="1"/>
  <c r="X27" i="3"/>
  <c r="AC27" i="3"/>
  <c r="M9" i="3"/>
  <c r="R9" i="3"/>
  <c r="S9" i="3"/>
  <c r="U9" i="3"/>
  <c r="AC9" i="3" s="1"/>
  <c r="V9" i="3"/>
  <c r="W9" i="3"/>
  <c r="X9" i="3"/>
  <c r="Y9" i="3"/>
  <c r="M10" i="3"/>
  <c r="R10" i="3"/>
  <c r="S10" i="3"/>
  <c r="U10" i="3"/>
  <c r="AC10" i="3" s="1"/>
  <c r="V10" i="3"/>
  <c r="W10" i="3"/>
  <c r="Y10" i="3" s="1"/>
  <c r="X10" i="3"/>
  <c r="AD23" i="3"/>
  <c r="AE23" i="3"/>
  <c r="M28" i="3"/>
  <c r="R28" i="3"/>
  <c r="S28" i="3"/>
  <c r="U28" i="3"/>
  <c r="AD24" i="3" s="1"/>
  <c r="V28" i="3"/>
  <c r="W28" i="3"/>
  <c r="X28" i="3"/>
  <c r="AC28" i="3"/>
  <c r="M8" i="3"/>
  <c r="R8" i="3"/>
  <c r="S8" i="3"/>
  <c r="U8" i="3"/>
  <c r="AD25" i="3" s="1"/>
  <c r="V8" i="3"/>
  <c r="W8" i="3"/>
  <c r="Y8" i="3" s="1"/>
  <c r="X8" i="3"/>
  <c r="M19" i="3"/>
  <c r="R19" i="3"/>
  <c r="S19" i="3"/>
  <c r="U19" i="3"/>
  <c r="AC19" i="3" s="1"/>
  <c r="V19" i="3"/>
  <c r="W19" i="3"/>
  <c r="Y19" i="3" s="1"/>
  <c r="X19" i="3"/>
  <c r="M20" i="3"/>
  <c r="R20" i="3"/>
  <c r="S20" i="3"/>
  <c r="U20" i="3"/>
  <c r="AC20" i="3" s="1"/>
  <c r="V20" i="3"/>
  <c r="W20" i="3"/>
  <c r="X20" i="3"/>
  <c r="AD27" i="3"/>
  <c r="M17" i="3"/>
  <c r="R17" i="3"/>
  <c r="S17" i="3"/>
  <c r="T17" i="3"/>
  <c r="U17" i="3"/>
  <c r="V17" i="3"/>
  <c r="W17" i="3"/>
  <c r="X17" i="3"/>
  <c r="AC17" i="3"/>
  <c r="M21" i="3"/>
  <c r="R21" i="3"/>
  <c r="S21" i="3"/>
  <c r="U21" i="3"/>
  <c r="AD29" i="3" s="1"/>
  <c r="V21" i="3"/>
  <c r="W21" i="3"/>
  <c r="X21" i="3"/>
  <c r="Y21" i="3"/>
  <c r="AC21" i="3"/>
  <c r="M15" i="3"/>
  <c r="R15" i="3"/>
  <c r="S15" i="3"/>
  <c r="U15" i="3"/>
  <c r="AC15" i="3" s="1"/>
  <c r="V15" i="3"/>
  <c r="W15" i="3"/>
  <c r="Y15" i="3" s="1"/>
  <c r="X15" i="3"/>
  <c r="M7" i="3"/>
  <c r="R7" i="3"/>
  <c r="S7" i="3"/>
  <c r="U7" i="3"/>
  <c r="AC7" i="3" s="1"/>
  <c r="V7" i="3"/>
  <c r="W7" i="3"/>
  <c r="X7" i="3"/>
  <c r="AD31" i="3"/>
  <c r="AE31" i="3"/>
  <c r="Z13" i="1"/>
  <c r="Y13" i="1"/>
  <c r="U149" i="1" l="1"/>
  <c r="AA147" i="1"/>
  <c r="AA140" i="1"/>
  <c r="W140" i="1" s="1"/>
  <c r="AI132" i="1"/>
  <c r="AA115" i="1"/>
  <c r="W115" i="1" s="1"/>
  <c r="AG107" i="1"/>
  <c r="AI107" i="1" s="1"/>
  <c r="W191" i="1"/>
  <c r="X44" i="1"/>
  <c r="X40" i="1"/>
  <c r="AA27" i="1"/>
  <c r="AG202" i="1"/>
  <c r="U202" i="1" s="1"/>
  <c r="S202" i="1" s="1"/>
  <c r="AA197" i="1"/>
  <c r="AI154" i="1"/>
  <c r="X132" i="1"/>
  <c r="AI115" i="1"/>
  <c r="X104" i="1"/>
  <c r="AG103" i="1"/>
  <c r="AI103" i="1" s="1"/>
  <c r="W213" i="1"/>
  <c r="AG102" i="1"/>
  <c r="AG97" i="1"/>
  <c r="U97" i="1" s="1"/>
  <c r="S97" i="1" s="1"/>
  <c r="W182" i="1"/>
  <c r="X181" i="1"/>
  <c r="AG180" i="1"/>
  <c r="X180" i="1"/>
  <c r="X173" i="1"/>
  <c r="AA169" i="1"/>
  <c r="W169" i="1" s="1"/>
  <c r="AG160" i="1"/>
  <c r="AG79" i="1"/>
  <c r="AA77" i="1"/>
  <c r="X65" i="1"/>
  <c r="X53" i="1"/>
  <c r="T48" i="1"/>
  <c r="X41" i="1"/>
  <c r="T37" i="1"/>
  <c r="AA18" i="1"/>
  <c r="X16" i="1"/>
  <c r="X15" i="1"/>
  <c r="T222" i="1"/>
  <c r="U222" i="1" s="1"/>
  <c r="S222" i="1" s="1"/>
  <c r="AA221" i="1"/>
  <c r="AA219" i="1"/>
  <c r="AI217" i="1"/>
  <c r="AA215" i="1"/>
  <c r="W215" i="1" s="1"/>
  <c r="AA210" i="1"/>
  <c r="W210" i="1" s="1"/>
  <c r="X206" i="1"/>
  <c r="AA203" i="1"/>
  <c r="W203" i="1" s="1"/>
  <c r="AG200" i="1"/>
  <c r="W200" i="1" s="1"/>
  <c r="AA195" i="1"/>
  <c r="W195" i="1" s="1"/>
  <c r="AA155" i="1"/>
  <c r="AG153" i="1"/>
  <c r="X153" i="1"/>
  <c r="AA150" i="1"/>
  <c r="AA148" i="1"/>
  <c r="W148" i="1" s="1"/>
  <c r="AA139" i="1"/>
  <c r="AA131" i="1"/>
  <c r="AG129" i="1"/>
  <c r="AI129" i="1" s="1"/>
  <c r="X129" i="1"/>
  <c r="AA126" i="1"/>
  <c r="X124" i="1"/>
  <c r="AG117" i="1"/>
  <c r="AI117" i="1" s="1"/>
  <c r="X117" i="1"/>
  <c r="AA113" i="1"/>
  <c r="AG105" i="1"/>
  <c r="W105" i="1" s="1"/>
  <c r="X105" i="1"/>
  <c r="AA96" i="1"/>
  <c r="X192" i="1"/>
  <c r="AG188" i="1"/>
  <c r="W188" i="1" s="1"/>
  <c r="AG177" i="1"/>
  <c r="AG93" i="1"/>
  <c r="X169" i="1"/>
  <c r="X166" i="1"/>
  <c r="AA166" i="1"/>
  <c r="X163" i="1"/>
  <c r="AA91" i="1"/>
  <c r="W91" i="1" s="1"/>
  <c r="AG83" i="1"/>
  <c r="W83" i="1" s="1"/>
  <c r="X81" i="1"/>
  <c r="AA81" i="1"/>
  <c r="AA75" i="1"/>
  <c r="W75" i="1" s="1"/>
  <c r="X69" i="1"/>
  <c r="AG67" i="1"/>
  <c r="W67" i="1" s="1"/>
  <c r="AA56" i="1"/>
  <c r="T52" i="1"/>
  <c r="X50" i="1"/>
  <c r="AA48" i="1"/>
  <c r="W48" i="1" s="1"/>
  <c r="X33" i="1"/>
  <c r="AA30" i="1"/>
  <c r="X28" i="1"/>
  <c r="AA25" i="1"/>
  <c r="X21" i="1"/>
  <c r="AA222" i="1"/>
  <c r="X222" i="1"/>
  <c r="AA216" i="1"/>
  <c r="T211" i="1"/>
  <c r="U207" i="1"/>
  <c r="AA196" i="1"/>
  <c r="W111" i="1"/>
  <c r="AA103" i="1"/>
  <c r="W103" i="1" s="1"/>
  <c r="AA102" i="1"/>
  <c r="W102" i="1" s="1"/>
  <c r="AA100" i="1"/>
  <c r="W193" i="1"/>
  <c r="T190" i="1"/>
  <c r="T95" i="1"/>
  <c r="AA189" i="1"/>
  <c r="W186" i="1"/>
  <c r="T176" i="1"/>
  <c r="AA175" i="1"/>
  <c r="T173" i="1"/>
  <c r="AA172" i="1"/>
  <c r="AA165" i="1"/>
  <c r="X85" i="1"/>
  <c r="AA79" i="1"/>
  <c r="W79" i="1" s="1"/>
  <c r="T68" i="1"/>
  <c r="T65" i="1"/>
  <c r="AA52" i="1"/>
  <c r="W52" i="1" s="1"/>
  <c r="W44" i="1"/>
  <c r="W40" i="1"/>
  <c r="AA15" i="1"/>
  <c r="T221" i="1"/>
  <c r="W202" i="1"/>
  <c r="U95" i="1"/>
  <c r="S95" i="1" s="1"/>
  <c r="AI95" i="1"/>
  <c r="W222" i="1"/>
  <c r="AG221" i="1"/>
  <c r="U218" i="1"/>
  <c r="T217" i="1"/>
  <c r="U217" i="1" s="1"/>
  <c r="S217" i="1" s="1"/>
  <c r="X221" i="1"/>
  <c r="AG219" i="1"/>
  <c r="W219" i="1" s="1"/>
  <c r="U210" i="1"/>
  <c r="S210" i="1" s="1"/>
  <c r="T208" i="1"/>
  <c r="AG208" i="1"/>
  <c r="T201" i="1"/>
  <c r="X202" i="1"/>
  <c r="X195" i="1"/>
  <c r="X194" i="1"/>
  <c r="AG194" i="1"/>
  <c r="U194" i="1" s="1"/>
  <c r="S194" i="1" s="1"/>
  <c r="AI109" i="1"/>
  <c r="AA218" i="1"/>
  <c r="W218" i="1" s="1"/>
  <c r="X217" i="1"/>
  <c r="T209" i="1"/>
  <c r="X210" i="1"/>
  <c r="T199" i="1"/>
  <c r="X199" i="1"/>
  <c r="AG199" i="1"/>
  <c r="U199" i="1" s="1"/>
  <c r="U141" i="1"/>
  <c r="U153" i="1"/>
  <c r="T145" i="1"/>
  <c r="T137" i="1"/>
  <c r="W109" i="1"/>
  <c r="U213" i="1"/>
  <c r="S213" i="1" s="1"/>
  <c r="T100" i="1"/>
  <c r="X95" i="1"/>
  <c r="U188" i="1"/>
  <c r="S188" i="1" s="1"/>
  <c r="X187" i="1"/>
  <c r="U182" i="1"/>
  <c r="S182" i="1" s="1"/>
  <c r="AI111" i="1"/>
  <c r="AA173" i="1"/>
  <c r="AG172" i="1"/>
  <c r="X172" i="1"/>
  <c r="AI49" i="1"/>
  <c r="T206" i="1"/>
  <c r="AA205" i="1"/>
  <c r="AA204" i="1"/>
  <c r="W198" i="1"/>
  <c r="AG157" i="1"/>
  <c r="U157" i="1" s="1"/>
  <c r="X157" i="1"/>
  <c r="T152" i="1"/>
  <c r="X148" i="1"/>
  <c r="AG145" i="1"/>
  <c r="T144" i="1"/>
  <c r="X140" i="1"/>
  <c r="AG137" i="1"/>
  <c r="T136" i="1"/>
  <c r="X128" i="1"/>
  <c r="AA125" i="1"/>
  <c r="T124" i="1"/>
  <c r="X118" i="1"/>
  <c r="AG113" i="1"/>
  <c r="AI113" i="1" s="1"/>
  <c r="X113" i="1"/>
  <c r="X112" i="1"/>
  <c r="T109" i="1"/>
  <c r="U109" i="1" s="1"/>
  <c r="S109" i="1" s="1"/>
  <c r="X106" i="1"/>
  <c r="X213" i="1"/>
  <c r="X212" i="1"/>
  <c r="AA101" i="1"/>
  <c r="W101" i="1" s="1"/>
  <c r="T101" i="1"/>
  <c r="AG100" i="1"/>
  <c r="W100" i="1" s="1"/>
  <c r="T99" i="1"/>
  <c r="AA97" i="1"/>
  <c r="W97" i="1" s="1"/>
  <c r="AA192" i="1"/>
  <c r="X189" i="1"/>
  <c r="AA185" i="1"/>
  <c r="AA184" i="1"/>
  <c r="W184" i="1" s="1"/>
  <c r="X183" i="1"/>
  <c r="AA94" i="1"/>
  <c r="W94" i="1" s="1"/>
  <c r="T94" i="1"/>
  <c r="AA177" i="1"/>
  <c r="W177" i="1" s="1"/>
  <c r="AG175" i="1"/>
  <c r="U175" i="1" s="1"/>
  <c r="S175" i="1" s="1"/>
  <c r="AG173" i="1"/>
  <c r="U173" i="1" s="1"/>
  <c r="AG211" i="1"/>
  <c r="U211" i="1" s="1"/>
  <c r="W207" i="1"/>
  <c r="AG206" i="1"/>
  <c r="W206" i="1" s="1"/>
  <c r="U203" i="1"/>
  <c r="T198" i="1"/>
  <c r="U198" i="1" s="1"/>
  <c r="S198" i="1" s="1"/>
  <c r="AA154" i="1"/>
  <c r="W154" i="1" s="1"/>
  <c r="AA153" i="1"/>
  <c r="W153" i="1" s="1"/>
  <c r="AG152" i="1"/>
  <c r="AA149" i="1"/>
  <c r="AA141" i="1"/>
  <c r="W141" i="1" s="1"/>
  <c r="AA133" i="1"/>
  <c r="W133" i="1" s="1"/>
  <c r="T132" i="1"/>
  <c r="AA130" i="1"/>
  <c r="AG125" i="1"/>
  <c r="AI125" i="1" s="1"/>
  <c r="AA121" i="1"/>
  <c r="W121" i="1" s="1"/>
  <c r="AG119" i="1"/>
  <c r="AA116" i="1"/>
  <c r="W116" i="1" s="1"/>
  <c r="T116" i="1"/>
  <c r="X114" i="1"/>
  <c r="AA104" i="1"/>
  <c r="W104" i="1" s="1"/>
  <c r="T104" i="1"/>
  <c r="X214" i="1"/>
  <c r="X100" i="1"/>
  <c r="X193" i="1"/>
  <c r="U191" i="1"/>
  <c r="S191" i="1" s="1"/>
  <c r="X190" i="1"/>
  <c r="AA187" i="1"/>
  <c r="T187" i="1"/>
  <c r="X186" i="1"/>
  <c r="U184" i="1"/>
  <c r="AA181" i="1"/>
  <c r="W180" i="1"/>
  <c r="U177" i="1"/>
  <c r="X176" i="1"/>
  <c r="U93" i="1"/>
  <c r="AI93" i="1"/>
  <c r="U215" i="1"/>
  <c r="AA209" i="1"/>
  <c r="AA208" i="1"/>
  <c r="W208" i="1" s="1"/>
  <c r="AG204" i="1"/>
  <c r="U204" i="1" s="1"/>
  <c r="AA199" i="1"/>
  <c r="W199" i="1" s="1"/>
  <c r="U195" i="1"/>
  <c r="AA157" i="1"/>
  <c r="W157" i="1" s="1"/>
  <c r="U156" i="1"/>
  <c r="S156" i="1" s="1"/>
  <c r="T148" i="1"/>
  <c r="AA146" i="1"/>
  <c r="X144" i="1"/>
  <c r="T140" i="1"/>
  <c r="AA138" i="1"/>
  <c r="X136" i="1"/>
  <c r="W129" i="1"/>
  <c r="T128" i="1"/>
  <c r="AA118" i="1"/>
  <c r="T118" i="1"/>
  <c r="W117" i="1"/>
  <c r="AA112" i="1"/>
  <c r="T112" i="1"/>
  <c r="AA106" i="1"/>
  <c r="T106" i="1"/>
  <c r="U105" i="1"/>
  <c r="S105" i="1" s="1"/>
  <c r="AA212" i="1"/>
  <c r="T212" i="1"/>
  <c r="X99" i="1"/>
  <c r="AA98" i="1"/>
  <c r="W98" i="1" s="1"/>
  <c r="U193" i="1"/>
  <c r="S193" i="1" s="1"/>
  <c r="W95" i="1"/>
  <c r="X182" i="1"/>
  <c r="U180" i="1"/>
  <c r="AA178" i="1"/>
  <c r="T172" i="1"/>
  <c r="AA170" i="1"/>
  <c r="AI45" i="1"/>
  <c r="T166" i="1"/>
  <c r="AA161" i="1"/>
  <c r="AA92" i="1"/>
  <c r="T89" i="1"/>
  <c r="AA88" i="1"/>
  <c r="T88" i="1"/>
  <c r="T85" i="1"/>
  <c r="AA84" i="1"/>
  <c r="T84" i="1"/>
  <c r="T81" i="1"/>
  <c r="AA80" i="1"/>
  <c r="T80" i="1"/>
  <c r="T77" i="1"/>
  <c r="AA76" i="1"/>
  <c r="T76" i="1"/>
  <c r="T73" i="1"/>
  <c r="AA72" i="1"/>
  <c r="T72" i="1"/>
  <c r="AA70" i="1"/>
  <c r="AA66" i="1"/>
  <c r="X64" i="1"/>
  <c r="AA61" i="1"/>
  <c r="T61" i="1"/>
  <c r="U60" i="1"/>
  <c r="S60" i="1" s="1"/>
  <c r="T59" i="1"/>
  <c r="AA58" i="1"/>
  <c r="W56" i="1"/>
  <c r="T55" i="1"/>
  <c r="AA54" i="1"/>
  <c r="X52" i="1"/>
  <c r="X49" i="1"/>
  <c r="X48" i="1"/>
  <c r="T20" i="1"/>
  <c r="T165" i="1"/>
  <c r="X160" i="1"/>
  <c r="U91" i="1"/>
  <c r="S91" i="1" s="1"/>
  <c r="U87" i="1"/>
  <c r="S87" i="1" s="1"/>
  <c r="U83" i="1"/>
  <c r="S83" i="1" s="1"/>
  <c r="U79" i="1"/>
  <c r="S79" i="1" s="1"/>
  <c r="U75" i="1"/>
  <c r="S75" i="1" s="1"/>
  <c r="U71" i="1"/>
  <c r="S71" i="1" s="1"/>
  <c r="U67" i="1"/>
  <c r="S67" i="1" s="1"/>
  <c r="W49" i="1"/>
  <c r="W45" i="1"/>
  <c r="W41" i="1"/>
  <c r="T24" i="1"/>
  <c r="AA22" i="1"/>
  <c r="AA21" i="1"/>
  <c r="T21" i="1"/>
  <c r="AG20" i="1"/>
  <c r="T19" i="1"/>
  <c r="T16" i="1"/>
  <c r="AG166" i="1"/>
  <c r="U166" i="1" s="1"/>
  <c r="AA160" i="1"/>
  <c r="W160" i="1" s="1"/>
  <c r="X92" i="1"/>
  <c r="AG89" i="1"/>
  <c r="AI89" i="1" s="1"/>
  <c r="X88" i="1"/>
  <c r="AG85" i="1"/>
  <c r="AI85" i="1" s="1"/>
  <c r="X84" i="1"/>
  <c r="AG81" i="1"/>
  <c r="AI81" i="1" s="1"/>
  <c r="X80" i="1"/>
  <c r="AG77" i="1"/>
  <c r="AI77" i="1" s="1"/>
  <c r="X76" i="1"/>
  <c r="AG73" i="1"/>
  <c r="AI73" i="1" s="1"/>
  <c r="X72" i="1"/>
  <c r="X71" i="1"/>
  <c r="AA69" i="1"/>
  <c r="X67" i="1"/>
  <c r="AA65" i="1"/>
  <c r="T64" i="1"/>
  <c r="AG61" i="1"/>
  <c r="AI61" i="1" s="1"/>
  <c r="X59" i="1"/>
  <c r="X55" i="1"/>
  <c r="AA53" i="1"/>
  <c r="AA51" i="1"/>
  <c r="T49" i="1"/>
  <c r="U49" i="1" s="1"/>
  <c r="S49" i="1" s="1"/>
  <c r="AA47" i="1"/>
  <c r="T45" i="1"/>
  <c r="U45" i="1" s="1"/>
  <c r="S45" i="1" s="1"/>
  <c r="T41" i="1"/>
  <c r="AA37" i="1"/>
  <c r="T36" i="1"/>
  <c r="AA33" i="1"/>
  <c r="T32" i="1"/>
  <c r="AA29" i="1"/>
  <c r="T28" i="1"/>
  <c r="AA26" i="1"/>
  <c r="AG24" i="1"/>
  <c r="W24" i="1" s="1"/>
  <c r="W17" i="1"/>
  <c r="AG16" i="1"/>
  <c r="W16" i="1" s="1"/>
  <c r="T15" i="1"/>
  <c r="AA174" i="1"/>
  <c r="AA93" i="1"/>
  <c r="W93" i="1" s="1"/>
  <c r="T169" i="1"/>
  <c r="AA167" i="1"/>
  <c r="X165" i="1"/>
  <c r="AG162" i="1"/>
  <c r="W162" i="1" s="1"/>
  <c r="AI91" i="1"/>
  <c r="AA90" i="1"/>
  <c r="AI87" i="1"/>
  <c r="AA86" i="1"/>
  <c r="AI83" i="1"/>
  <c r="AA82" i="1"/>
  <c r="AI79" i="1"/>
  <c r="AA78" i="1"/>
  <c r="AI75" i="1"/>
  <c r="AA74" i="1"/>
  <c r="AI71" i="1"/>
  <c r="AG69" i="1"/>
  <c r="AI69" i="1" s="1"/>
  <c r="X68" i="1"/>
  <c r="AI67" i="1"/>
  <c r="AG65" i="1"/>
  <c r="AI65" i="1" s="1"/>
  <c r="T63" i="1"/>
  <c r="AA62" i="1"/>
  <c r="AG57" i="1"/>
  <c r="AI57" i="1" s="1"/>
  <c r="AG53" i="1"/>
  <c r="AI52" i="1"/>
  <c r="AG51" i="1"/>
  <c r="AI51" i="1" s="1"/>
  <c r="AA50" i="1"/>
  <c r="W50" i="1" s="1"/>
  <c r="T50" i="1"/>
  <c r="AG47" i="1"/>
  <c r="AI47" i="1" s="1"/>
  <c r="AA46" i="1"/>
  <c r="W46" i="1" s="1"/>
  <c r="T46" i="1"/>
  <c r="T44" i="1"/>
  <c r="AA42" i="1"/>
  <c r="W42" i="1" s="1"/>
  <c r="T42" i="1"/>
  <c r="T40" i="1"/>
  <c r="AA38" i="1"/>
  <c r="W38" i="1" s="1"/>
  <c r="T38" i="1"/>
  <c r="AG37" i="1"/>
  <c r="AI37" i="1" s="1"/>
  <c r="AG33" i="1"/>
  <c r="AI33" i="1" s="1"/>
  <c r="AG29" i="1"/>
  <c r="AI29" i="1" s="1"/>
  <c r="W25" i="1"/>
  <c r="AG21" i="1"/>
  <c r="AI21" i="1" s="1"/>
  <c r="X19" i="1"/>
  <c r="AI199" i="1"/>
  <c r="AI191" i="1"/>
  <c r="U219" i="1"/>
  <c r="U208" i="1"/>
  <c r="AI195" i="1"/>
  <c r="W150" i="1"/>
  <c r="U200" i="1"/>
  <c r="W196" i="1"/>
  <c r="AI187" i="1"/>
  <c r="AG223" i="1"/>
  <c r="W223" i="1" s="1"/>
  <c r="X223" i="1"/>
  <c r="AI222" i="1"/>
  <c r="AG220" i="1"/>
  <c r="X219" i="1"/>
  <c r="AI218" i="1"/>
  <c r="S218" i="1"/>
  <c r="AG216" i="1"/>
  <c r="X215" i="1"/>
  <c r="AI214" i="1"/>
  <c r="S211" i="1"/>
  <c r="AG209" i="1"/>
  <c r="AI209" i="1" s="1"/>
  <c r="X208" i="1"/>
  <c r="AI210" i="1"/>
  <c r="S207" i="1"/>
  <c r="AG205" i="1"/>
  <c r="X204" i="1"/>
  <c r="AI206" i="1"/>
  <c r="S203" i="1"/>
  <c r="AG201" i="1"/>
  <c r="AI201" i="1" s="1"/>
  <c r="X200" i="1"/>
  <c r="AI202" i="1"/>
  <c r="S199" i="1"/>
  <c r="AG197" i="1"/>
  <c r="AI197" i="1" s="1"/>
  <c r="X196" i="1"/>
  <c r="T196" i="1"/>
  <c r="U196" i="1" s="1"/>
  <c r="S196" i="1" s="1"/>
  <c r="AI198" i="1"/>
  <c r="S195" i="1"/>
  <c r="AG159" i="1"/>
  <c r="X158" i="1"/>
  <c r="T158" i="1"/>
  <c r="U158" i="1" s="1"/>
  <c r="S158" i="1" s="1"/>
  <c r="AI194" i="1"/>
  <c r="S157" i="1"/>
  <c r="AG155" i="1"/>
  <c r="W155" i="1" s="1"/>
  <c r="X154" i="1"/>
  <c r="T154" i="1"/>
  <c r="U154" i="1" s="1"/>
  <c r="S154" i="1" s="1"/>
  <c r="AI190" i="1"/>
  <c r="S153" i="1"/>
  <c r="AG151" i="1"/>
  <c r="W151" i="1" s="1"/>
  <c r="X150" i="1"/>
  <c r="T150" i="1"/>
  <c r="U150" i="1" s="1"/>
  <c r="S150" i="1" s="1"/>
  <c r="AI186" i="1"/>
  <c r="T146" i="1"/>
  <c r="X146" i="1"/>
  <c r="AG146" i="1"/>
  <c r="AI146" i="1" s="1"/>
  <c r="U128" i="1"/>
  <c r="S128" i="1" s="1"/>
  <c r="AI165" i="1"/>
  <c r="W118" i="1"/>
  <c r="U116" i="1"/>
  <c r="S116" i="1" s="1"/>
  <c r="AI153" i="1"/>
  <c r="U115" i="1"/>
  <c r="S115" i="1" s="1"/>
  <c r="W112" i="1"/>
  <c r="W106" i="1"/>
  <c r="U104" i="1"/>
  <c r="S104" i="1" s="1"/>
  <c r="AI141" i="1"/>
  <c r="U103" i="1"/>
  <c r="S103" i="1" s="1"/>
  <c r="W212" i="1"/>
  <c r="X220" i="1"/>
  <c r="AI219" i="1"/>
  <c r="S219" i="1"/>
  <c r="X216" i="1"/>
  <c r="AI215" i="1"/>
  <c r="S215" i="1"/>
  <c r="X209" i="1"/>
  <c r="AI211" i="1"/>
  <c r="S208" i="1"/>
  <c r="X205" i="1"/>
  <c r="AI207" i="1"/>
  <c r="S204" i="1"/>
  <c r="X201" i="1"/>
  <c r="AI203" i="1"/>
  <c r="S200" i="1"/>
  <c r="X197" i="1"/>
  <c r="X159" i="1"/>
  <c r="X155" i="1"/>
  <c r="X151" i="1"/>
  <c r="W149" i="1"/>
  <c r="AI182" i="1"/>
  <c r="U144" i="1"/>
  <c r="S144" i="1" s="1"/>
  <c r="T142" i="1"/>
  <c r="X142" i="1"/>
  <c r="AG142" i="1"/>
  <c r="AI142" i="1" s="1"/>
  <c r="AI155" i="1"/>
  <c r="U118" i="1"/>
  <c r="S118" i="1" s="1"/>
  <c r="U112" i="1"/>
  <c r="S112" i="1" s="1"/>
  <c r="AI149" i="1"/>
  <c r="U106" i="1"/>
  <c r="S106" i="1" s="1"/>
  <c r="U212" i="1"/>
  <c r="S212" i="1" s="1"/>
  <c r="AI137" i="1"/>
  <c r="U102" i="1"/>
  <c r="S102" i="1" s="1"/>
  <c r="W99" i="1"/>
  <c r="S149" i="1"/>
  <c r="S141" i="1"/>
  <c r="U140" i="1"/>
  <c r="S140" i="1" s="1"/>
  <c r="AI177" i="1"/>
  <c r="T138" i="1"/>
  <c r="X138" i="1"/>
  <c r="AG138" i="1"/>
  <c r="AI138" i="1" s="1"/>
  <c r="W137" i="1"/>
  <c r="W136" i="1"/>
  <c r="W132" i="1"/>
  <c r="U124" i="1"/>
  <c r="S124" i="1" s="1"/>
  <c r="AI161" i="1"/>
  <c r="W120" i="1"/>
  <c r="AI151" i="1"/>
  <c r="U114" i="1"/>
  <c r="S114" i="1" s="1"/>
  <c r="W110" i="1"/>
  <c r="U214" i="1"/>
  <c r="S214" i="1" s="1"/>
  <c r="U99" i="1"/>
  <c r="S99" i="1" s="1"/>
  <c r="AI133" i="1"/>
  <c r="U148" i="1"/>
  <c r="S148" i="1" s="1"/>
  <c r="W146" i="1"/>
  <c r="U136" i="1"/>
  <c r="S136" i="1" s="1"/>
  <c r="AI173" i="1"/>
  <c r="T134" i="1"/>
  <c r="X134" i="1"/>
  <c r="AG134" i="1"/>
  <c r="AI134" i="1" s="1"/>
  <c r="U132" i="1"/>
  <c r="S132" i="1" s="1"/>
  <c r="AI169" i="1"/>
  <c r="U120" i="1"/>
  <c r="S120" i="1"/>
  <c r="AI157" i="1"/>
  <c r="U110" i="1"/>
  <c r="U108" i="1"/>
  <c r="S108" i="1"/>
  <c r="AI145" i="1"/>
  <c r="U107" i="1"/>
  <c r="S107" i="1" s="1"/>
  <c r="U101" i="1"/>
  <c r="S101" i="1" s="1"/>
  <c r="U133" i="1"/>
  <c r="S133" i="1" s="1"/>
  <c r="U129" i="1"/>
  <c r="S129" i="1" s="1"/>
  <c r="U125" i="1"/>
  <c r="S125" i="1" s="1"/>
  <c r="U121" i="1"/>
  <c r="S121" i="1" s="1"/>
  <c r="U117" i="1"/>
  <c r="S117" i="1" s="1"/>
  <c r="U113" i="1"/>
  <c r="S113" i="1" s="1"/>
  <c r="U100" i="1"/>
  <c r="S100" i="1" s="1"/>
  <c r="AG96" i="1"/>
  <c r="AI96" i="1" s="1"/>
  <c r="X97" i="1"/>
  <c r="U187" i="1"/>
  <c r="S187" i="1" s="1"/>
  <c r="W183" i="1"/>
  <c r="W172" i="1"/>
  <c r="W165" i="1"/>
  <c r="AG130" i="1"/>
  <c r="AG126" i="1"/>
  <c r="AG122" i="1"/>
  <c r="W122" i="1" s="1"/>
  <c r="T98" i="1"/>
  <c r="U98" i="1" s="1"/>
  <c r="S98" i="1" s="1"/>
  <c r="X96" i="1"/>
  <c r="W190" i="1"/>
  <c r="U183" i="1"/>
  <c r="S183" i="1" s="1"/>
  <c r="AI118" i="1"/>
  <c r="W176" i="1"/>
  <c r="U172" i="1"/>
  <c r="S172" i="1" s="1"/>
  <c r="AI106" i="1"/>
  <c r="U165" i="1"/>
  <c r="S165" i="1" s="1"/>
  <c r="AI98" i="1"/>
  <c r="AG147" i="1"/>
  <c r="AI147" i="1" s="1"/>
  <c r="AG143" i="1"/>
  <c r="W143" i="1" s="1"/>
  <c r="AG139" i="1"/>
  <c r="AI139" i="1" s="1"/>
  <c r="AG135" i="1"/>
  <c r="AI135" i="1" s="1"/>
  <c r="AG131" i="1"/>
  <c r="X130" i="1"/>
  <c r="AI166" i="1"/>
  <c r="AG127" i="1"/>
  <c r="AI127" i="1" s="1"/>
  <c r="X126" i="1"/>
  <c r="AI162" i="1"/>
  <c r="AG123" i="1"/>
  <c r="AI123" i="1" s="1"/>
  <c r="X122" i="1"/>
  <c r="AI158" i="1"/>
  <c r="X98" i="1"/>
  <c r="U190" i="1"/>
  <c r="S190" i="1" s="1"/>
  <c r="AI126" i="1"/>
  <c r="U176" i="1"/>
  <c r="S176" i="1"/>
  <c r="AI110" i="1"/>
  <c r="X147" i="1"/>
  <c r="X143" i="1"/>
  <c r="X139" i="1"/>
  <c r="X135" i="1"/>
  <c r="X131" i="1"/>
  <c r="X127" i="1"/>
  <c r="X123" i="1"/>
  <c r="X119" i="1"/>
  <c r="X115" i="1"/>
  <c r="X111" i="1"/>
  <c r="X107" i="1"/>
  <c r="X103" i="1"/>
  <c r="X102" i="1"/>
  <c r="T96" i="1"/>
  <c r="W187" i="1"/>
  <c r="U94" i="1"/>
  <c r="S94" i="1" s="1"/>
  <c r="AI114" i="1"/>
  <c r="U179" i="1"/>
  <c r="S179" i="1" s="1"/>
  <c r="U169" i="1"/>
  <c r="S169" i="1" s="1"/>
  <c r="AI102" i="1"/>
  <c r="AG192" i="1"/>
  <c r="W192" i="1" s="1"/>
  <c r="X191" i="1"/>
  <c r="AG189" i="1"/>
  <c r="AI189" i="1" s="1"/>
  <c r="X188" i="1"/>
  <c r="AG185" i="1"/>
  <c r="AI185" i="1" s="1"/>
  <c r="X184" i="1"/>
  <c r="AG181" i="1"/>
  <c r="AI181" i="1" s="1"/>
  <c r="AG178" i="1"/>
  <c r="AI178" i="1" s="1"/>
  <c r="AG174" i="1"/>
  <c r="AI174" i="1" s="1"/>
  <c r="AG170" i="1"/>
  <c r="W170" i="1" s="1"/>
  <c r="AG167" i="1"/>
  <c r="W88" i="1"/>
  <c r="W84" i="1"/>
  <c r="W80" i="1"/>
  <c r="W76" i="1"/>
  <c r="W72" i="1"/>
  <c r="U59" i="1"/>
  <c r="S59" i="1" s="1"/>
  <c r="AI59" i="1"/>
  <c r="U55" i="1"/>
  <c r="S55" i="1" s="1"/>
  <c r="AI55" i="1"/>
  <c r="S184" i="1"/>
  <c r="S180" i="1"/>
  <c r="X178" i="1"/>
  <c r="S177" i="1"/>
  <c r="X174" i="1"/>
  <c r="S173" i="1"/>
  <c r="AG171" i="1"/>
  <c r="W171" i="1" s="1"/>
  <c r="X170" i="1"/>
  <c r="S93" i="1"/>
  <c r="AG168" i="1"/>
  <c r="W168" i="1" s="1"/>
  <c r="X167" i="1"/>
  <c r="S166" i="1"/>
  <c r="AG164" i="1"/>
  <c r="W164" i="1" s="1"/>
  <c r="W161" i="1"/>
  <c r="T161" i="1"/>
  <c r="U161" i="1" s="1"/>
  <c r="S161" i="1" s="1"/>
  <c r="AI88" i="1"/>
  <c r="U88" i="1"/>
  <c r="S88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S56" i="1"/>
  <c r="X179" i="1"/>
  <c r="X175" i="1"/>
  <c r="X171" i="1"/>
  <c r="X168" i="1"/>
  <c r="X164" i="1"/>
  <c r="U163" i="1"/>
  <c r="S163" i="1" s="1"/>
  <c r="AI94" i="1"/>
  <c r="AI68" i="1"/>
  <c r="U68" i="1"/>
  <c r="S68" i="1" s="1"/>
  <c r="AI64" i="1"/>
  <c r="U64" i="1"/>
  <c r="S64" i="1" s="1"/>
  <c r="W63" i="1"/>
  <c r="X161" i="1"/>
  <c r="U160" i="1"/>
  <c r="S160" i="1" s="1"/>
  <c r="U63" i="1"/>
  <c r="S63" i="1"/>
  <c r="AI63" i="1"/>
  <c r="X162" i="1"/>
  <c r="AG92" i="1"/>
  <c r="X91" i="1"/>
  <c r="X87" i="1"/>
  <c r="X83" i="1"/>
  <c r="X79" i="1"/>
  <c r="X75" i="1"/>
  <c r="U56" i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S25" i="1"/>
  <c r="W19" i="1"/>
  <c r="U89" i="1"/>
  <c r="S89" i="1" s="1"/>
  <c r="U85" i="1"/>
  <c r="S85" i="1" s="1"/>
  <c r="U81" i="1"/>
  <c r="S81" i="1" s="1"/>
  <c r="U77" i="1"/>
  <c r="S77" i="1" s="1"/>
  <c r="U73" i="1"/>
  <c r="S73" i="1" s="1"/>
  <c r="U69" i="1"/>
  <c r="S69" i="1" s="1"/>
  <c r="U65" i="1"/>
  <c r="S65" i="1" s="1"/>
  <c r="U61" i="1"/>
  <c r="S61" i="1" s="1"/>
  <c r="U57" i="1"/>
  <c r="S57" i="1" s="1"/>
  <c r="W36" i="1"/>
  <c r="W32" i="1"/>
  <c r="W28" i="1"/>
  <c r="U19" i="1"/>
  <c r="S19" i="1" s="1"/>
  <c r="AI19" i="1"/>
  <c r="W15" i="1"/>
  <c r="AG90" i="1"/>
  <c r="W90" i="1" s="1"/>
  <c r="AG86" i="1"/>
  <c r="W86" i="1" s="1"/>
  <c r="AG82" i="1"/>
  <c r="W82" i="1" s="1"/>
  <c r="AG78" i="1"/>
  <c r="AG74" i="1"/>
  <c r="W74" i="1" s="1"/>
  <c r="AG70" i="1"/>
  <c r="W70" i="1" s="1"/>
  <c r="AG66" i="1"/>
  <c r="AG62" i="1"/>
  <c r="W62" i="1" s="1"/>
  <c r="AG58" i="1"/>
  <c r="W58" i="1" s="1"/>
  <c r="AG54" i="1"/>
  <c r="T54" i="1"/>
  <c r="U36" i="1"/>
  <c r="S36" i="1" s="1"/>
  <c r="AI36" i="1"/>
  <c r="U32" i="1"/>
  <c r="S32" i="1"/>
  <c r="AI32" i="1"/>
  <c r="U28" i="1"/>
  <c r="S28" i="1" s="1"/>
  <c r="AI28" i="1"/>
  <c r="U15" i="1"/>
  <c r="S15" i="1" s="1"/>
  <c r="AI15" i="1"/>
  <c r="X90" i="1"/>
  <c r="X86" i="1"/>
  <c r="X82" i="1"/>
  <c r="X78" i="1"/>
  <c r="X74" i="1"/>
  <c r="X70" i="1"/>
  <c r="X66" i="1"/>
  <c r="X62" i="1"/>
  <c r="X58" i="1"/>
  <c r="U52" i="1"/>
  <c r="S52" i="1" s="1"/>
  <c r="U51" i="1"/>
  <c r="S51" i="1" s="1"/>
  <c r="U48" i="1"/>
  <c r="S48" i="1" s="1"/>
  <c r="AI48" i="1"/>
  <c r="U47" i="1"/>
  <c r="S47" i="1" s="1"/>
  <c r="U44" i="1"/>
  <c r="S44" i="1" s="1"/>
  <c r="AI44" i="1"/>
  <c r="U40" i="1"/>
  <c r="S40" i="1" s="1"/>
  <c r="AI40" i="1"/>
  <c r="U41" i="1"/>
  <c r="S41" i="1" s="1"/>
  <c r="U37" i="1"/>
  <c r="S37" i="1" s="1"/>
  <c r="U33" i="1"/>
  <c r="S33" i="1" s="1"/>
  <c r="U29" i="1"/>
  <c r="S29" i="1" s="1"/>
  <c r="U25" i="1"/>
  <c r="U21" i="1"/>
  <c r="S21" i="1" s="1"/>
  <c r="U17" i="1"/>
  <c r="S17" i="1" s="1"/>
  <c r="AG34" i="1"/>
  <c r="W34" i="1" s="1"/>
  <c r="AG30" i="1"/>
  <c r="W30" i="1" s="1"/>
  <c r="AG26" i="1"/>
  <c r="AG22" i="1"/>
  <c r="W22" i="1" s="1"/>
  <c r="AG18" i="1"/>
  <c r="W18" i="1" s="1"/>
  <c r="AG14" i="1"/>
  <c r="W14" i="1" s="1"/>
  <c r="AG43" i="1"/>
  <c r="W43" i="1" s="1"/>
  <c r="AG39" i="1"/>
  <c r="AG35" i="1"/>
  <c r="W35" i="1" s="1"/>
  <c r="X34" i="1"/>
  <c r="AG31" i="1"/>
  <c r="X30" i="1"/>
  <c r="AG27" i="1"/>
  <c r="W27" i="1" s="1"/>
  <c r="X26" i="1"/>
  <c r="AG23" i="1"/>
  <c r="X22" i="1"/>
  <c r="X18" i="1"/>
  <c r="X51" i="1"/>
  <c r="X47" i="1"/>
  <c r="X43" i="1"/>
  <c r="X39" i="1"/>
  <c r="X35" i="1"/>
  <c r="X31" i="1"/>
  <c r="X27" i="1"/>
  <c r="X23" i="1"/>
  <c r="AE28" i="3"/>
  <c r="Y28" i="3"/>
  <c r="AD21" i="3"/>
  <c r="AD19" i="3"/>
  <c r="AD15" i="3"/>
  <c r="AD13" i="3"/>
  <c r="AD11" i="3"/>
  <c r="T7" i="3"/>
  <c r="AD28" i="3"/>
  <c r="Y7" i="3"/>
  <c r="Y20" i="3"/>
  <c r="T10" i="3"/>
  <c r="AD20" i="3"/>
  <c r="AE20" i="3"/>
  <c r="AD17" i="3"/>
  <c r="T12" i="3"/>
  <c r="AD12" i="3"/>
  <c r="AE12" i="3"/>
  <c r="AD9" i="3"/>
  <c r="AD8" i="3"/>
  <c r="AE15" i="3"/>
  <c r="Y17" i="3"/>
  <c r="AE27" i="3"/>
  <c r="AC8" i="3"/>
  <c r="T28" i="3"/>
  <c r="T18" i="3"/>
  <c r="AD16" i="3"/>
  <c r="AE16" i="3"/>
  <c r="Y23" i="3"/>
  <c r="AE11" i="3"/>
  <c r="AC29" i="3"/>
  <c r="T20" i="3"/>
  <c r="AE24" i="3"/>
  <c r="Y22" i="3"/>
  <c r="AE19" i="3"/>
  <c r="AC26" i="3"/>
  <c r="T16" i="3"/>
  <c r="Y13" i="3"/>
  <c r="AE14" i="3"/>
  <c r="T24" i="3"/>
  <c r="AE10" i="3"/>
  <c r="T14" i="3"/>
  <c r="T15" i="3"/>
  <c r="AE26" i="3"/>
  <c r="T19" i="3"/>
  <c r="AE22" i="3"/>
  <c r="T9" i="3"/>
  <c r="AE18" i="3"/>
  <c r="T11" i="3"/>
  <c r="AE29" i="3"/>
  <c r="T21" i="3"/>
  <c r="AD26" i="3"/>
  <c r="AE25" i="3"/>
  <c r="T8" i="3"/>
  <c r="AD22" i="3"/>
  <c r="AE21" i="3"/>
  <c r="T27" i="3"/>
  <c r="AD18" i="3"/>
  <c r="AE17" i="3"/>
  <c r="T26" i="3"/>
  <c r="AD14" i="3"/>
  <c r="AE13" i="3"/>
  <c r="T25" i="3"/>
  <c r="AD10" i="3"/>
  <c r="AE9" i="3"/>
  <c r="T29" i="3"/>
  <c r="AE8" i="3"/>
  <c r="W181" i="1" l="1"/>
  <c r="AI122" i="1"/>
  <c r="W37" i="1"/>
  <c r="W85" i="1"/>
  <c r="W107" i="1"/>
  <c r="W77" i="1"/>
  <c r="W194" i="1"/>
  <c r="U145" i="1"/>
  <c r="S145" i="1" s="1"/>
  <c r="W131" i="1"/>
  <c r="AI131" i="1"/>
  <c r="W142" i="1"/>
  <c r="W33" i="1"/>
  <c r="W53" i="1"/>
  <c r="W73" i="1"/>
  <c r="W81" i="1"/>
  <c r="W89" i="1"/>
  <c r="U119" i="1"/>
  <c r="S119" i="1" s="1"/>
  <c r="AI119" i="1"/>
  <c r="U152" i="1"/>
  <c r="S152" i="1" s="1"/>
  <c r="AI152" i="1"/>
  <c r="W125" i="1"/>
  <c r="W204" i="1"/>
  <c r="W113" i="1"/>
  <c r="W145" i="1"/>
  <c r="U221" i="1"/>
  <c r="S221" i="1" s="1"/>
  <c r="AI221" i="1"/>
  <c r="W96" i="1"/>
  <c r="AI170" i="1"/>
  <c r="W134" i="1"/>
  <c r="AI143" i="1"/>
  <c r="U16" i="1"/>
  <c r="S16" i="1" s="1"/>
  <c r="AI16" i="1"/>
  <c r="W47" i="1"/>
  <c r="W65" i="1"/>
  <c r="U162" i="1"/>
  <c r="S162" i="1" s="1"/>
  <c r="U20" i="1"/>
  <c r="S20" i="1" s="1"/>
  <c r="AI20" i="1"/>
  <c r="W57" i="1"/>
  <c r="W166" i="1"/>
  <c r="W20" i="1"/>
  <c r="U206" i="1"/>
  <c r="S206" i="1" s="1"/>
  <c r="W119" i="1"/>
  <c r="W152" i="1"/>
  <c r="W185" i="1"/>
  <c r="W205" i="1"/>
  <c r="AI205" i="1"/>
  <c r="W29" i="1"/>
  <c r="W138" i="1"/>
  <c r="U53" i="1"/>
  <c r="S53" i="1" s="1"/>
  <c r="AI53" i="1"/>
  <c r="U24" i="1"/>
  <c r="S24" i="1" s="1"/>
  <c r="AI24" i="1"/>
  <c r="W51" i="1"/>
  <c r="W69" i="1"/>
  <c r="W21" i="1"/>
  <c r="W61" i="1"/>
  <c r="U137" i="1"/>
  <c r="S137" i="1" s="1"/>
  <c r="W173" i="1"/>
  <c r="W175" i="1"/>
  <c r="W211" i="1"/>
  <c r="W221" i="1"/>
  <c r="U39" i="1"/>
  <c r="S39" i="1" s="1"/>
  <c r="AI39" i="1"/>
  <c r="W39" i="1"/>
  <c r="U23" i="1"/>
  <c r="S23" i="1" s="1"/>
  <c r="AI23" i="1"/>
  <c r="U31" i="1"/>
  <c r="S31" i="1"/>
  <c r="AI31" i="1"/>
  <c r="U43" i="1"/>
  <c r="S43" i="1" s="1"/>
  <c r="AI43" i="1"/>
  <c r="AI26" i="1"/>
  <c r="U26" i="1"/>
  <c r="S26" i="1" s="1"/>
  <c r="W26" i="1"/>
  <c r="U62" i="1"/>
  <c r="S62" i="1" s="1"/>
  <c r="AI62" i="1"/>
  <c r="U78" i="1"/>
  <c r="S78" i="1" s="1"/>
  <c r="AI78" i="1"/>
  <c r="AI92" i="1"/>
  <c r="U92" i="1"/>
  <c r="S92" i="1" s="1"/>
  <c r="AI101" i="1"/>
  <c r="U168" i="1"/>
  <c r="S168" i="1" s="1"/>
  <c r="AI108" i="1"/>
  <c r="U174" i="1"/>
  <c r="S174" i="1" s="1"/>
  <c r="AI120" i="1"/>
  <c r="U185" i="1"/>
  <c r="S185" i="1" s="1"/>
  <c r="AI128" i="1"/>
  <c r="U192" i="1"/>
  <c r="S192" i="1" s="1"/>
  <c r="U127" i="1"/>
  <c r="S127" i="1" s="1"/>
  <c r="AI164" i="1"/>
  <c r="U147" i="1"/>
  <c r="S147" i="1" s="1"/>
  <c r="AI184" i="1"/>
  <c r="W147" i="1"/>
  <c r="AI163" i="1"/>
  <c r="U126" i="1"/>
  <c r="S126" i="1" s="1"/>
  <c r="U96" i="1"/>
  <c r="S96" i="1" s="1"/>
  <c r="AI130" i="1"/>
  <c r="S146" i="1"/>
  <c r="AI183" i="1"/>
  <c r="U146" i="1"/>
  <c r="AI196" i="1"/>
  <c r="U159" i="1"/>
  <c r="S159" i="1" s="1"/>
  <c r="AI14" i="1"/>
  <c r="U14" i="1"/>
  <c r="S14" i="1" s="1"/>
  <c r="AI30" i="1"/>
  <c r="U30" i="1"/>
  <c r="S30" i="1" s="1"/>
  <c r="W23" i="1"/>
  <c r="AI97" i="1"/>
  <c r="U164" i="1"/>
  <c r="S164" i="1" s="1"/>
  <c r="W92" i="1"/>
  <c r="AI112" i="1"/>
  <c r="U178" i="1"/>
  <c r="S178" i="1" s="1"/>
  <c r="U123" i="1"/>
  <c r="S123" i="1" s="1"/>
  <c r="AI160" i="1"/>
  <c r="U135" i="1"/>
  <c r="S135" i="1" s="1"/>
  <c r="AI172" i="1"/>
  <c r="AI167" i="1"/>
  <c r="U130" i="1"/>
  <c r="S130" i="1" s="1"/>
  <c r="W178" i="1"/>
  <c r="W130" i="1"/>
  <c r="AI200" i="1"/>
  <c r="U197" i="1"/>
  <c r="S197" i="1" s="1"/>
  <c r="AI204" i="1"/>
  <c r="U201" i="1"/>
  <c r="S201" i="1" s="1"/>
  <c r="AI208" i="1"/>
  <c r="U205" i="1"/>
  <c r="S205" i="1" s="1"/>
  <c r="AI212" i="1"/>
  <c r="U209" i="1"/>
  <c r="S209" i="1" s="1"/>
  <c r="S216" i="1"/>
  <c r="AI216" i="1"/>
  <c r="U216" i="1"/>
  <c r="AI220" i="1"/>
  <c r="U220" i="1"/>
  <c r="S220" i="1" s="1"/>
  <c r="AI223" i="1"/>
  <c r="U223" i="1"/>
  <c r="S223" i="1" s="1"/>
  <c r="W135" i="1"/>
  <c r="W159" i="1"/>
  <c r="W201" i="1"/>
  <c r="AI22" i="1"/>
  <c r="U22" i="1"/>
  <c r="S22" i="1" s="1"/>
  <c r="W31" i="1"/>
  <c r="U66" i="1"/>
  <c r="S66" i="1" s="1"/>
  <c r="AI66" i="1"/>
  <c r="U82" i="1"/>
  <c r="S82" i="1"/>
  <c r="AI82" i="1"/>
  <c r="U27" i="1"/>
  <c r="S27" i="1" s="1"/>
  <c r="AI27" i="1"/>
  <c r="U35" i="1"/>
  <c r="S35" i="1" s="1"/>
  <c r="AI35" i="1"/>
  <c r="S18" i="1"/>
  <c r="AI18" i="1"/>
  <c r="U18" i="1"/>
  <c r="AI34" i="1"/>
  <c r="U34" i="1"/>
  <c r="S34" i="1" s="1"/>
  <c r="U54" i="1"/>
  <c r="S54" i="1" s="1"/>
  <c r="AI54" i="1"/>
  <c r="U70" i="1"/>
  <c r="S70" i="1" s="1"/>
  <c r="AI70" i="1"/>
  <c r="U86" i="1"/>
  <c r="S86" i="1" s="1"/>
  <c r="AI86" i="1"/>
  <c r="W78" i="1"/>
  <c r="W54" i="1"/>
  <c r="W66" i="1"/>
  <c r="AI100" i="1"/>
  <c r="U167" i="1"/>
  <c r="S167" i="1" s="1"/>
  <c r="AI116" i="1"/>
  <c r="U181" i="1"/>
  <c r="S181" i="1" s="1"/>
  <c r="AI124" i="1"/>
  <c r="U189" i="1"/>
  <c r="S189" i="1" s="1"/>
  <c r="W167" i="1"/>
  <c r="W174" i="1"/>
  <c r="U139" i="1"/>
  <c r="S139" i="1" s="1"/>
  <c r="AI176" i="1"/>
  <c r="W189" i="1"/>
  <c r="AI171" i="1"/>
  <c r="U134" i="1"/>
  <c r="S134" i="1" s="1"/>
  <c r="AI175" i="1"/>
  <c r="U138" i="1"/>
  <c r="S138" i="1" s="1"/>
  <c r="W126" i="1"/>
  <c r="AI179" i="1"/>
  <c r="U142" i="1"/>
  <c r="S142" i="1" s="1"/>
  <c r="AI188" i="1"/>
  <c r="U151" i="1"/>
  <c r="S151" i="1" s="1"/>
  <c r="W216" i="1"/>
  <c r="W139" i="1"/>
  <c r="W209" i="1"/>
  <c r="U58" i="1"/>
  <c r="S58" i="1" s="1"/>
  <c r="AI58" i="1"/>
  <c r="U74" i="1"/>
  <c r="S74" i="1" s="1"/>
  <c r="AI74" i="1"/>
  <c r="U90" i="1"/>
  <c r="S90" i="1" s="1"/>
  <c r="AI90" i="1"/>
  <c r="AI105" i="1"/>
  <c r="U171" i="1"/>
  <c r="S171" i="1" s="1"/>
  <c r="AI104" i="1"/>
  <c r="U170" i="1"/>
  <c r="S170" i="1" s="1"/>
  <c r="U131" i="1"/>
  <c r="S131" i="1" s="1"/>
  <c r="AI168" i="1"/>
  <c r="U143" i="1"/>
  <c r="S143" i="1" s="1"/>
  <c r="AI180" i="1"/>
  <c r="AI159" i="1"/>
  <c r="U122" i="1"/>
  <c r="S122" i="1" s="1"/>
  <c r="W123" i="1"/>
  <c r="W127" i="1"/>
  <c r="AI192" i="1"/>
  <c r="U155" i="1"/>
  <c r="S155" i="1" s="1"/>
  <c r="W197" i="1"/>
  <c r="W220" i="1"/>
  <c r="R30" i="3" l="1"/>
  <c r="M30" i="3"/>
  <c r="S30" i="3"/>
  <c r="U30" i="3"/>
  <c r="V30" i="3"/>
  <c r="W30" i="3"/>
  <c r="Y30" i="3" s="1"/>
  <c r="X30" i="3"/>
  <c r="AC30" i="3" l="1"/>
  <c r="AE30" i="3"/>
  <c r="AD30" i="3"/>
  <c r="T30" i="3"/>
  <c r="O2" i="3" l="1"/>
  <c r="B3" i="6" l="1"/>
  <c r="M28" i="5"/>
  <c r="B4" i="6" l="1"/>
  <c r="F3" i="6"/>
  <c r="I3" i="6"/>
  <c r="G3" i="6"/>
  <c r="J3" i="6"/>
  <c r="M23" i="5"/>
  <c r="B5" i="6" l="1"/>
  <c r="G4" i="6"/>
  <c r="I4" i="6"/>
  <c r="J4" i="6"/>
  <c r="F4" i="6"/>
  <c r="AD7" i="3"/>
  <c r="AN13" i="1"/>
  <c r="F5" i="6" l="1"/>
  <c r="I5" i="6"/>
  <c r="G5" i="6"/>
  <c r="J5" i="6"/>
  <c r="B6" i="6"/>
  <c r="AE7" i="3"/>
  <c r="G6" i="6" l="1"/>
  <c r="I6" i="6"/>
  <c r="F6" i="6"/>
  <c r="J6" i="6"/>
  <c r="B7" i="6"/>
  <c r="K13" i="1"/>
  <c r="M13" i="1"/>
  <c r="N13" i="1" s="1"/>
  <c r="AB13" i="1"/>
  <c r="AC13" i="1"/>
  <c r="AD13" i="1"/>
  <c r="X14" i="1" s="1"/>
  <c r="AE13" i="1"/>
  <c r="AM13" i="1"/>
  <c r="F7" i="6" l="1"/>
  <c r="I7" i="6"/>
  <c r="G7" i="6"/>
  <c r="J7" i="6"/>
  <c r="B8" i="6"/>
  <c r="AG13" i="1"/>
  <c r="AI13" i="1" s="1"/>
  <c r="X13" i="1"/>
  <c r="AA13" i="1"/>
  <c r="T13" i="1"/>
  <c r="G8" i="6" l="1"/>
  <c r="I8" i="6"/>
  <c r="J8" i="6"/>
  <c r="F8" i="6"/>
  <c r="B9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0" i="6" l="1"/>
  <c r="F9" i="6"/>
  <c r="G9" i="6"/>
  <c r="I9" i="6"/>
  <c r="J9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0" i="6" l="1"/>
  <c r="I10" i="6"/>
  <c r="J10" i="6"/>
  <c r="F10" i="6"/>
  <c r="B11" i="6"/>
  <c r="B87" i="9"/>
  <c r="B88" i="9"/>
  <c r="B89" i="9"/>
  <c r="B90" i="9"/>
  <c r="B91" i="9"/>
  <c r="B92" i="9"/>
  <c r="B12" i="6" l="1"/>
  <c r="F11" i="6"/>
  <c r="G11" i="6"/>
  <c r="I11" i="6"/>
  <c r="J11" i="6"/>
  <c r="C88" i="9"/>
  <c r="C92" i="9"/>
  <c r="C93" i="9"/>
  <c r="C90" i="9"/>
  <c r="C89" i="9"/>
  <c r="C91" i="9"/>
  <c r="B13" i="6" l="1"/>
  <c r="G12" i="6"/>
  <c r="I12" i="6"/>
  <c r="J12" i="6"/>
  <c r="F12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3" i="6" l="1"/>
  <c r="G13" i="6"/>
  <c r="I13" i="6"/>
  <c r="J13" i="6"/>
  <c r="B14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4" i="6" l="1"/>
  <c r="F14" i="6"/>
  <c r="G14" i="6"/>
  <c r="J14" i="6"/>
  <c r="B15" i="6"/>
  <c r="B55" i="9"/>
  <c r="B56" i="9"/>
  <c r="B57" i="9"/>
  <c r="B58" i="9"/>
  <c r="B59" i="9"/>
  <c r="B60" i="9"/>
  <c r="B61" i="9"/>
  <c r="B62" i="9"/>
  <c r="C63" i="9" s="1"/>
  <c r="F15" i="6" l="1"/>
  <c r="I15" i="6"/>
  <c r="G15" i="6"/>
  <c r="J15" i="6"/>
  <c r="B16" i="6"/>
  <c r="C61" i="9"/>
  <c r="C57" i="9"/>
  <c r="C59" i="9"/>
  <c r="C62" i="9"/>
  <c r="C60" i="9"/>
  <c r="C58" i="9"/>
  <c r="C56" i="9"/>
  <c r="G16" i="6" l="1"/>
  <c r="I16" i="6"/>
  <c r="J16" i="6"/>
  <c r="F16" i="6"/>
  <c r="B17" i="6"/>
  <c r="B50" i="9"/>
  <c r="B51" i="9"/>
  <c r="B52" i="9"/>
  <c r="B53" i="9"/>
  <c r="B54" i="9"/>
  <c r="F17" i="6" l="1"/>
  <c r="G17" i="6"/>
  <c r="I17" i="6"/>
  <c r="J17" i="6"/>
  <c r="B18" i="6"/>
  <c r="C52" i="9"/>
  <c r="C54" i="9"/>
  <c r="C55" i="9"/>
  <c r="C53" i="9"/>
  <c r="C51" i="9"/>
  <c r="G18" i="6" l="1"/>
  <c r="I18" i="6"/>
  <c r="J18" i="6"/>
  <c r="F18" i="6"/>
  <c r="B19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0" i="6" l="1"/>
  <c r="F19" i="6"/>
  <c r="G19" i="6"/>
  <c r="I19" i="6"/>
  <c r="J19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0" i="6" l="1"/>
  <c r="I20" i="6"/>
  <c r="J20" i="6"/>
  <c r="F20" i="6"/>
  <c r="B21" i="6"/>
  <c r="V13" i="1"/>
  <c r="B31" i="9"/>
  <c r="B32" i="9"/>
  <c r="C33" i="9" s="1"/>
  <c r="F21" i="6" l="1"/>
  <c r="G21" i="6"/>
  <c r="I21" i="6"/>
  <c r="J21" i="6"/>
  <c r="B22" i="6"/>
  <c r="C32" i="9"/>
  <c r="G22" i="6" l="1"/>
  <c r="I22" i="6"/>
  <c r="F22" i="6"/>
  <c r="H22" i="6"/>
  <c r="J22" i="6"/>
  <c r="B23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31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29" i="3" s="1"/>
  <c r="G51" i="4"/>
  <c r="G52" i="4"/>
  <c r="N14" i="3" s="1"/>
  <c r="G53" i="4"/>
  <c r="G54" i="4"/>
  <c r="G55" i="4"/>
  <c r="N23" i="3" s="1"/>
  <c r="G56" i="4"/>
  <c r="N16" i="3" s="1"/>
  <c r="G57" i="4"/>
  <c r="G58" i="4"/>
  <c r="G59" i="4"/>
  <c r="G60" i="4"/>
  <c r="G61" i="4"/>
  <c r="G62" i="4"/>
  <c r="G63" i="4"/>
  <c r="N12" i="3" s="1"/>
  <c r="G64" i="4"/>
  <c r="G65" i="4"/>
  <c r="G66" i="4"/>
  <c r="G67" i="4"/>
  <c r="G68" i="4"/>
  <c r="N13" i="3" s="1"/>
  <c r="G69" i="4"/>
  <c r="G70" i="4"/>
  <c r="G71" i="4"/>
  <c r="G72" i="4"/>
  <c r="G73" i="4"/>
  <c r="G74" i="4"/>
  <c r="G75" i="4"/>
  <c r="G76" i="4"/>
  <c r="N26" i="3" s="1"/>
  <c r="G77" i="4"/>
  <c r="G78" i="4"/>
  <c r="G79" i="4"/>
  <c r="G80" i="4"/>
  <c r="G81" i="4"/>
  <c r="G82" i="4"/>
  <c r="G83" i="4"/>
  <c r="G84" i="4"/>
  <c r="G85" i="4"/>
  <c r="G86" i="4"/>
  <c r="G87" i="4"/>
  <c r="N18" i="3" s="1"/>
  <c r="G88" i="4"/>
  <c r="G89" i="4"/>
  <c r="N11" i="3" s="1"/>
  <c r="G90" i="4"/>
  <c r="N22" i="3" s="1"/>
  <c r="G91" i="4"/>
  <c r="G92" i="4"/>
  <c r="N9" i="3" s="1"/>
  <c r="G93" i="4"/>
  <c r="G94" i="4"/>
  <c r="G95" i="4"/>
  <c r="N27" i="3" s="1"/>
  <c r="G96" i="4"/>
  <c r="G97" i="4"/>
  <c r="G98" i="4"/>
  <c r="G99" i="4"/>
  <c r="G100" i="4"/>
  <c r="G101" i="4"/>
  <c r="G102" i="4"/>
  <c r="N10" i="3" s="1"/>
  <c r="G103" i="4"/>
  <c r="G104" i="4"/>
  <c r="G105" i="4"/>
  <c r="G106" i="4"/>
  <c r="G107" i="4"/>
  <c r="G108" i="4"/>
  <c r="G109" i="4"/>
  <c r="G110" i="4"/>
  <c r="G111" i="4"/>
  <c r="G112" i="4"/>
  <c r="G113" i="4"/>
  <c r="N28" i="3" s="1"/>
  <c r="G114" i="4"/>
  <c r="H4" i="6" s="1"/>
  <c r="G115" i="4"/>
  <c r="G116" i="4"/>
  <c r="H5" i="6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N8" i="3" s="1"/>
  <c r="G129" i="4"/>
  <c r="G130" i="4"/>
  <c r="G131" i="4"/>
  <c r="N19" i="3" s="1"/>
  <c r="G132" i="4"/>
  <c r="G133" i="4"/>
  <c r="G134" i="4"/>
  <c r="G135" i="4"/>
  <c r="G136" i="4"/>
  <c r="G137" i="4"/>
  <c r="G138" i="4"/>
  <c r="G139" i="4"/>
  <c r="G140" i="4"/>
  <c r="G141" i="4"/>
  <c r="G142" i="4"/>
  <c r="H19" i="6" s="1"/>
  <c r="G143" i="4"/>
  <c r="G144" i="4"/>
  <c r="G145" i="4"/>
  <c r="G146" i="4"/>
  <c r="G147" i="4"/>
  <c r="G148" i="4"/>
  <c r="G149" i="4"/>
  <c r="N20" i="3" s="1"/>
  <c r="G150" i="4"/>
  <c r="G151" i="4"/>
  <c r="N17" i="3" s="1"/>
  <c r="G152" i="4"/>
  <c r="G153" i="4"/>
  <c r="G154" i="4"/>
  <c r="G155" i="4"/>
  <c r="G156" i="4"/>
  <c r="N21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15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N7" i="3" s="1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5" i="3" l="1"/>
  <c r="N24" i="3"/>
  <c r="N30" i="3"/>
  <c r="H13" i="6"/>
  <c r="H3" i="6"/>
  <c r="H21" i="6"/>
  <c r="H16" i="6"/>
  <c r="H7" i="6"/>
  <c r="H20" i="6"/>
  <c r="H14" i="6"/>
  <c r="H11" i="6"/>
  <c r="H6" i="6"/>
  <c r="H10" i="6"/>
  <c r="H12" i="6"/>
  <c r="H9" i="6"/>
  <c r="H17" i="6"/>
  <c r="H18" i="6"/>
  <c r="H15" i="6"/>
  <c r="H8" i="6"/>
  <c r="F23" i="6"/>
  <c r="I23" i="6"/>
  <c r="G23" i="6"/>
  <c r="H23" i="6"/>
  <c r="J23" i="6"/>
  <c r="B24" i="6"/>
  <c r="L13" i="1"/>
  <c r="G24" i="6" l="1"/>
  <c r="I24" i="6"/>
  <c r="J24" i="6"/>
  <c r="F24" i="6"/>
  <c r="H24" i="6"/>
  <c r="B25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5" i="6" l="1"/>
  <c r="G25" i="6"/>
  <c r="I25" i="6"/>
  <c r="J25" i="6"/>
  <c r="H25" i="6"/>
  <c r="B26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6" i="6" l="1"/>
  <c r="H26" i="6"/>
  <c r="J26" i="6"/>
  <c r="I26" i="6"/>
  <c r="F26" i="6"/>
  <c r="B2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8" i="6" l="1"/>
  <c r="F27" i="6"/>
  <c r="G27" i="6"/>
  <c r="I27" i="6"/>
  <c r="H27" i="6"/>
  <c r="J27" i="6"/>
  <c r="M30" i="5"/>
  <c r="M29" i="5"/>
  <c r="M27" i="5"/>
  <c r="G28" i="6" l="1"/>
  <c r="I28" i="6"/>
  <c r="J28" i="6"/>
  <c r="H28" i="6"/>
  <c r="F28" i="6"/>
  <c r="B29" i="6"/>
  <c r="M26" i="5"/>
  <c r="B30" i="6" l="1"/>
  <c r="F29" i="6"/>
  <c r="G29" i="6"/>
  <c r="H29" i="6"/>
  <c r="J29" i="6"/>
  <c r="I29" i="6"/>
  <c r="AH13" i="1"/>
  <c r="J7" i="1"/>
  <c r="G30" i="6" l="1"/>
  <c r="F30" i="6"/>
  <c r="H30" i="6"/>
  <c r="J30" i="6"/>
  <c r="I30" i="6"/>
  <c r="B31" i="6"/>
  <c r="X6" i="1"/>
  <c r="W6" i="1"/>
  <c r="V6" i="1"/>
  <c r="S6" i="1"/>
  <c r="R2" i="1"/>
  <c r="I2" i="1"/>
  <c r="O6" i="1"/>
  <c r="N6" i="1"/>
  <c r="M6" i="1"/>
  <c r="J6" i="1"/>
  <c r="B32" i="6" l="1"/>
  <c r="I31" i="6"/>
  <c r="G31" i="6"/>
  <c r="H31" i="6"/>
  <c r="J31" i="6"/>
  <c r="F31" i="6"/>
  <c r="P3" i="5"/>
  <c r="G32" i="6" l="1"/>
  <c r="I32" i="6"/>
  <c r="J32" i="6"/>
  <c r="F32" i="6"/>
  <c r="H32" i="6"/>
  <c r="B33" i="6"/>
  <c r="M18" i="5"/>
  <c r="B34" i="6" l="1"/>
  <c r="F33" i="6"/>
  <c r="G33" i="6"/>
  <c r="I33" i="6"/>
  <c r="J33" i="6"/>
  <c r="H33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4" i="6" l="1"/>
  <c r="I34" i="6"/>
  <c r="J34" i="6"/>
  <c r="F34" i="6"/>
  <c r="H34" i="6"/>
  <c r="B3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6" i="6" l="1"/>
  <c r="F35" i="6"/>
  <c r="G35" i="6"/>
  <c r="I35" i="6"/>
  <c r="H35" i="6"/>
  <c r="J35" i="6"/>
  <c r="G259" i="4"/>
  <c r="G260" i="4"/>
  <c r="G261" i="4"/>
  <c r="G262" i="4"/>
  <c r="G263" i="4"/>
  <c r="G264" i="4"/>
  <c r="G265" i="4"/>
  <c r="B37" i="6" l="1"/>
  <c r="G36" i="6"/>
  <c r="I36" i="6"/>
  <c r="H36" i="6"/>
  <c r="J36" i="6"/>
  <c r="F36" i="6"/>
  <c r="M14" i="5"/>
  <c r="M13" i="5"/>
  <c r="M12" i="5"/>
  <c r="M11" i="5"/>
  <c r="M10" i="5"/>
  <c r="M9" i="5"/>
  <c r="M8" i="5"/>
  <c r="M7" i="5"/>
  <c r="M6" i="5"/>
  <c r="M5" i="5"/>
  <c r="M4" i="5"/>
  <c r="M3" i="5"/>
  <c r="F37" i="6" l="1"/>
  <c r="G37" i="6"/>
  <c r="I37" i="6"/>
  <c r="J37" i="6"/>
  <c r="H37" i="6"/>
  <c r="B38" i="6"/>
  <c r="U13" i="1"/>
  <c r="S13" i="1" s="1"/>
  <c r="O3" i="3"/>
  <c r="H38" i="6" l="1"/>
  <c r="I38" i="6"/>
  <c r="F38" i="6"/>
  <c r="G38" i="6"/>
  <c r="J38" i="6"/>
  <c r="B3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0" i="6" l="1"/>
  <c r="F40" i="6" s="1"/>
  <c r="F39" i="6"/>
  <c r="G39" i="6"/>
  <c r="I39" i="6"/>
  <c r="H39" i="6"/>
  <c r="J39" i="6"/>
  <c r="J8" i="1"/>
  <c r="J4" i="1"/>
  <c r="S8" i="1"/>
  <c r="S4" i="1"/>
  <c r="J40" i="6" l="1"/>
  <c r="I40" i="6"/>
  <c r="G40" i="6"/>
  <c r="H40" i="6"/>
  <c r="B41" i="6"/>
  <c r="S9" i="1"/>
  <c r="J9" i="1"/>
  <c r="B42" i="6" l="1"/>
  <c r="H41" i="6"/>
  <c r="J41" i="6"/>
  <c r="F41" i="6"/>
  <c r="G41" i="6"/>
  <c r="I41" i="6"/>
  <c r="S11" i="1"/>
  <c r="A11" i="1"/>
  <c r="B43" i="6" l="1"/>
  <c r="F42" i="6"/>
  <c r="I42" i="6"/>
  <c r="J42" i="6"/>
  <c r="G42" i="6"/>
  <c r="H42" i="6"/>
  <c r="B1" i="6"/>
  <c r="A5" i="3"/>
  <c r="B44" i="6" l="1"/>
  <c r="G43" i="6"/>
  <c r="H43" i="6"/>
  <c r="F43" i="6"/>
  <c r="I43" i="6"/>
  <c r="J43" i="6"/>
  <c r="G44" i="6" l="1"/>
  <c r="H44" i="6"/>
  <c r="I44" i="6"/>
  <c r="J44" i="6"/>
  <c r="F44" i="6"/>
  <c r="B45" i="6"/>
  <c r="H45" i="6" l="1"/>
  <c r="F45" i="6"/>
  <c r="G45" i="6"/>
  <c r="I45" i="6"/>
  <c r="J45" i="6"/>
  <c r="B46" i="6"/>
  <c r="B47" i="6" l="1"/>
  <c r="G46" i="6"/>
  <c r="H46" i="6"/>
  <c r="I46" i="6"/>
  <c r="J46" i="6"/>
  <c r="F46" i="6"/>
  <c r="B48" i="6" l="1"/>
  <c r="I47" i="6"/>
  <c r="G47" i="6"/>
  <c r="F47" i="6"/>
  <c r="H47" i="6"/>
  <c r="J47" i="6"/>
  <c r="G48" i="6" l="1"/>
  <c r="F48" i="6"/>
  <c r="H48" i="6"/>
  <c r="I48" i="6"/>
  <c r="J48" i="6"/>
  <c r="B49" i="6"/>
  <c r="H49" i="6" l="1"/>
  <c r="J49" i="6"/>
  <c r="F49" i="6"/>
  <c r="G49" i="6"/>
  <c r="I49" i="6"/>
  <c r="B50" i="6"/>
  <c r="B51" i="6" l="1"/>
  <c r="F50" i="6"/>
  <c r="G50" i="6"/>
  <c r="I50" i="6"/>
  <c r="H50" i="6"/>
  <c r="J50" i="6"/>
  <c r="F51" i="6" l="1"/>
  <c r="G51" i="6"/>
  <c r="J51" i="6"/>
  <c r="H51" i="6"/>
  <c r="I51" i="6"/>
  <c r="B52" i="6"/>
  <c r="G52" i="6" l="1"/>
  <c r="J52" i="6"/>
  <c r="F52" i="6"/>
  <c r="H52" i="6"/>
  <c r="I52" i="6"/>
  <c r="B53" i="6"/>
  <c r="B54" i="6" l="1"/>
  <c r="F53" i="6"/>
  <c r="G53" i="6"/>
  <c r="H53" i="6"/>
  <c r="I53" i="6"/>
  <c r="J53" i="6"/>
  <c r="B55" i="6" l="1"/>
  <c r="J54" i="6"/>
  <c r="F54" i="6"/>
  <c r="I54" i="6"/>
  <c r="G54" i="6"/>
  <c r="H54" i="6"/>
  <c r="B56" i="6" l="1"/>
  <c r="G55" i="6"/>
  <c r="H55" i="6"/>
  <c r="F55" i="6"/>
  <c r="I55" i="6"/>
  <c r="J55" i="6"/>
  <c r="G56" i="6" l="1"/>
  <c r="I56" i="6"/>
  <c r="J56" i="6"/>
  <c r="F56" i="6"/>
  <c r="H56" i="6"/>
  <c r="B57" i="6"/>
  <c r="B58" i="6" l="1"/>
  <c r="J57" i="6"/>
  <c r="F57" i="6"/>
  <c r="H57" i="6"/>
  <c r="G57" i="6"/>
  <c r="I57" i="6"/>
  <c r="B59" i="6" l="1"/>
  <c r="H58" i="6"/>
  <c r="F58" i="6"/>
  <c r="I58" i="6"/>
  <c r="J58" i="6"/>
  <c r="G58" i="6"/>
  <c r="B61" i="6" l="1"/>
  <c r="B60" i="6"/>
  <c r="G59" i="6"/>
  <c r="H59" i="6"/>
  <c r="F59" i="6"/>
  <c r="I59" i="6"/>
  <c r="J59" i="6"/>
  <c r="G60" i="6" l="1"/>
  <c r="H60" i="6"/>
  <c r="I60" i="6"/>
  <c r="J60" i="6"/>
  <c r="F60" i="6"/>
  <c r="H61" i="6"/>
  <c r="J61" i="6"/>
  <c r="G61" i="6"/>
  <c r="I61" i="6"/>
  <c r="F6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<sst xmlns="http://schemas.openxmlformats.org/spreadsheetml/2006/main" count="2714" uniqueCount="1008">
  <si>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</si>
  <si>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</si>
  <si>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</si>
  <si>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</si>
  <si>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</si>
  <si>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</si>
  <si>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</si>
  <si>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</si>
  <si>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</si>
  <si>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</si>
  <si>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</si>
  <si>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</si>
  <si>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</si>
  <si>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</si>
  <si>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</si>
  <si>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</si>
  <si>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</si>
  <si>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</si>
  <si>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</si>
  <si>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</si>
  <si>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</si>
  <si>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</si>
  <si>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</si>
  <si>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</si>
  <si>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</si>
  <si>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</si>
  <si>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</si>
  <si>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</si>
  <si>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</si>
  <si>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</si>
  <si>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</si>
  <si>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</si>
  <si>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</si>
  <si>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</si>
  <si>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</si>
  <si>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</si>
  <si>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</si>
  <si>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</si>
  <si>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</si>
  <si>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</si>
  <si>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</si>
  <si>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</si>
  <si>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</si>
  <si>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</si>
  <si>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</si>
  <si>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</si>
  <si>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</si>
  <si>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</si>
  <si>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</si>
  <si>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</si>
  <si>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</si>
  <si>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</si>
  <si>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</si>
  <si>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</si>
  <si>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</si>
  <si>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</si>
  <si>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</si>
  <si>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</si>
  <si>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</si>
  <si>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</si>
  <si>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</si>
  <si>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</si>
  <si>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</si>
  <si>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</si>
  <si>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</si>
  <si>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</si>
  <si>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</si>
  <si>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</si>
  <si>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</si>
  <si>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</si>
  <si>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</si>
  <si>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</si>
  <si>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</si>
  <si>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</si>
  <si>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</si>
  <si>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</si>
  <si>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</si>
  <si>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</si>
  <si>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</si>
  <si>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</si>
  <si>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</si>
  <si>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</si>
  <si>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</si>
  <si>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</si>
  <si>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</si>
  <si>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</si>
  <si>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</si>
  <si>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</si>
  <si>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</si>
  <si>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</si>
  <si>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</si>
  <si>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</si>
  <si>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</si>
  <si>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</si>
  <si>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</si>
  <si>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</si>
  <si>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</si>
  <si>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</si>
  <si>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</si>
  <si>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</si>
  <si>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</si>
  <si>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</si>
  <si>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</si>
  <si>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</si>
  <si>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</si>
  <si>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</si>
  <si>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</si>
  <si>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</si>
  <si>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</si>
  <si>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</si>
  <si>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</si>
  <si>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</si>
  <si>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</si>
  <si>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</si>
  <si>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</si>
  <si>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</si>
  <si>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</si>
  <si>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</si>
  <si>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</si>
  <si>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</si>
  <si>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</si>
  <si>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</si>
  <si>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</si>
  <si>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</si>
  <si>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</si>
  <si>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</si>
  <si>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</si>
  <si>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</si>
  <si>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</si>
  <si>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</si>
  <si>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</si>
  <si>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</si>
  <si>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</si>
  <si>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</si>
  <si>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</si>
  <si>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</si>
  <si>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</si>
  <si>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</si>
  <si>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</si>
  <si>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</si>
  <si>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</si>
  <si>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</si>
  <si>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</si>
  <si>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</si>
  <si>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</si>
  <si>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</si>
  <si>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</si>
  <si>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</si>
  <si>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</si>
  <si>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</si>
  <si>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</si>
  <si>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</si>
  <si>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</si>
  <si>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</si>
  <si>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</si>
  <si>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</si>
  <si>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</si>
  <si>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</si>
  <si>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</si>
  <si>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</si>
  <si>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</si>
  <si>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</si>
  <si>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</si>
  <si>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</si>
  <si>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</si>
  <si>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</si>
  <si>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</si>
  <si>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</si>
  <si>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</si>
  <si>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</si>
  <si>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</si>
  <si>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</si>
  <si>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</si>
  <si>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</si>
  <si>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</si>
  <si>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</si>
  <si>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</si>
  <si>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</si>
  <si>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</si>
  <si>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</si>
  <si>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</si>
  <si>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</si>
  <si>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</si>
  <si>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</si>
  <si>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</si>
  <si>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</si>
  <si>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</si>
  <si>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</si>
  <si>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</si>
  <si>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</si>
  <si>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</si>
  <si>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</si>
  <si>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</si>
  <si>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</si>
  <si>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</si>
  <si>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</si>
  <si>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</si>
  <si>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</si>
  <si>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</si>
  <si>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</si>
  <si>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</si>
  <si>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</si>
  <si>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</si>
  <si>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</si>
  <si>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</si>
  <si>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</si>
  <si>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</si>
  <si>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</si>
  <si>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</si>
  <si>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</si>
  <si>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</si>
  <si>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</si>
  <si>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</si>
  <si>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</si>
  <si>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</si>
  <si>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</si>
  <si>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</si>
  <si>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</si>
  <si>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</si>
  <si>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</si>
  <si>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</si>
  <si>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</si>
  <si>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</si>
  <si>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</si>
  <si>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</si>
  <si>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</si>
  <si>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</si>
  <si>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</si>
  <si>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</si>
  <si>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</si>
  <si>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</si>
  <si>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</si>
  <si>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</si>
  <si>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</si>
  <si>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</si>
  <si>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</si>
  <si>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</si>
  <si>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</si>
  <si>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</si>
  <si>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</si>
  <si>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</si>
  <si>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</si>
  <si>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</si>
  <si>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</si>
  <si>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</si>
  <si>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</si>
  <si>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</si>
  <si>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</si>
  <si>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</si>
  <si>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</si>
  <si>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</si>
  <si>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</si>
  <si>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</si>
  <si>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</si>
  <si>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</si>
  <si>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</si>
  <si>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</si>
  <si>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</si>
  <si>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</si>
  <si>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</si>
  <si>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</si>
  <si>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</si>
  <si>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</si>
  <si>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</si>
  <si>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</si>
  <si>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</si>
  <si>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</si>
  <si>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</si>
  <si>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</si>
  <si>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</si>
  <si>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</si>
  <si>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</si>
  <si>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</si>
  <si>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</si>
  <si>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</si>
  <si>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</si>
  <si>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</si>
  <si>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</si>
  <si>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</si>
  <si>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</si>
  <si>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</si>
  <si>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</si>
  <si>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</si>
  <si>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</si>
  <si>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</si>
  <si>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</si>
  <si>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</si>
  <si>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</si>
  <si>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</si>
  <si>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</si>
  <si>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</si>
  <si>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</si>
  <si>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</si>
  <si>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</si>
  <si>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</si>
  <si>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</si>
  <si>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</si>
  <si>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</si>
  <si>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</si>
  <si>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</si>
  <si>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</si>
  <si>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</si>
  <si>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</si>
  <si>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</si>
  <si>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</si>
  <si>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</si>
  <si>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</si>
  <si>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</si>
  <si>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</si>
  <si>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</si>
  <si>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</si>
  <si>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</si>
  <si>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</si>
  <si>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</si>
  <si>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</si>
  <si>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</si>
  <si>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</si>
  <si>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</si>
  <si>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</si>
  <si>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</si>
  <si>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</si>
  <si>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</si>
  <si>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</si>
  <si>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</si>
  <si>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</si>
  <si>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</si>
  <si>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</si>
  <si>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</si>
  <si>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</si>
  <si>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</si>
  <si>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</si>
  <si>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</si>
  <si>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</si>
  <si>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</si>
  <si>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</si>
  <si>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</si>
  <si>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</si>
  <si>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</si>
  <si>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</si>
  <si>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</si>
  <si>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</si>
  <si>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</si>
  <si>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</si>
  <si>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</si>
  <si>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</si>
  <si>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</si>
  <si>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</si>
  <si>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</si>
  <si>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</si>
  <si>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</si>
  <si>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</si>
  <si>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</si>
  <si>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</si>
  <si>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</si>
  <si>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</si>
  <si>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</si>
  <si>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</si>
  <si>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</si>
  <si>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</si>
  <si>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</si>
  <si>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</si>
  <si>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</si>
  <si>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</si>
  <si>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</si>
  <si>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</si>
  <si>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</si>
  <si>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</si>
  <si>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</si>
  <si>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</si>
  <si>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</si>
  <si>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</si>
  <si>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</si>
  <si>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</si>
  <si>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</si>
  <si>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</si>
  <si>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</si>
  <si>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</si>
  <si>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</si>
  <si>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</si>
  <si>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</si>
  <si>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</si>
  <si>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</si>
  <si>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</si>
  <si>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</si>
  <si>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</si>
  <si>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</si>
  <si>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</si>
  <si>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</si>
  <si>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</si>
  <si>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</si>
  <si>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</si>
  <si>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</si>
  <si>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</si>
  <si>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</si>
  <si>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</si>
  <si>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</si>
  <si>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</si>
  <si>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</si>
  <si>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</si>
  <si>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</si>
  <si>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</si>
  <si>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</si>
  <si>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</si>
  <si>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</si>
  <si>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</si>
  <si>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</si>
  <si>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</si>
  <si>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</si>
  <si>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</si>
  <si>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</si>
  <si>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</si>
  <si>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</si>
  <si>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</si>
  <si>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</si>
  <si>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</si>
  <si>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</si>
  <si>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</si>
  <si>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</si>
  <si>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</si>
  <si>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</si>
  <si>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</si>
  <si>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</si>
  <si>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</si>
  <si>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</si>
  <si>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</si>
  <si>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rtdc.l.rtdc.4026:itc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</si>
  <si>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</si>
  <si>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</si>
  <si>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</si>
  <si>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</si>
  <si>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</si>
  <si>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</si>
  <si>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</si>
  <si>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</si>
  <si>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204:232998</t>
  </si>
  <si>
    <t>204:161</t>
  </si>
  <si>
    <t>204:684</t>
  </si>
  <si>
    <t>204:232977</t>
  </si>
  <si>
    <t>rtdc.l.rtdc.4025:itc</t>
  </si>
  <si>
    <t>204:232994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</si>
  <si>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</si>
  <si>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</si>
  <si>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</si>
  <si>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</si>
  <si>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</si>
  <si>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</si>
  <si>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</si>
  <si>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</si>
  <si>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</si>
  <si>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</si>
  <si>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</si>
  <si>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</si>
  <si>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</si>
  <si>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</si>
  <si>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</si>
  <si>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</si>
  <si>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</si>
  <si>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</si>
  <si>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</si>
  <si>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</si>
  <si>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</si>
  <si>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</si>
  <si>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</si>
  <si>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</si>
  <si>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</si>
  <si>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rtdc.l.rtdc.4010:itc</t>
  </si>
  <si>
    <t>204:232987</t>
  </si>
  <si>
    <t>204:233305</t>
  </si>
  <si>
    <t>204:467</t>
  </si>
  <si>
    <t>204:156</t>
  </si>
  <si>
    <t>204:438</t>
  </si>
  <si>
    <t>204:233000</t>
  </si>
  <si>
    <t>204:433</t>
  </si>
  <si>
    <t>204:134</t>
  </si>
  <si>
    <t>rtdc.l.rtdc.4009:itc</t>
  </si>
  <si>
    <t>clear-night</t>
  </si>
  <si>
    <t>Clear</t>
  </si>
  <si>
    <t>204:138</t>
  </si>
  <si>
    <t>204:469</t>
  </si>
  <si>
    <t>204:233309</t>
  </si>
  <si>
    <t>204:233312</t>
  </si>
  <si>
    <t>204:232978</t>
  </si>
  <si>
    <t>204:475</t>
  </si>
  <si>
    <t>rtdc.l.rtdc.4001:itc</t>
  </si>
  <si>
    <t>rtdc.l.rtdc.4002:itc</t>
  </si>
  <si>
    <t>YANG</t>
  </si>
  <si>
    <t>JAN</t>
  </si>
  <si>
    <t>STEWART</t>
  </si>
  <si>
    <t>SAFIEF</t>
  </si>
  <si>
    <t>AEIMEN</t>
  </si>
  <si>
    <t>204:233306</t>
  </si>
  <si>
    <t>204:232979</t>
  </si>
  <si>
    <t>204:233303</t>
  </si>
  <si>
    <t>204:163</t>
  </si>
  <si>
    <t>204:233295</t>
  </si>
  <si>
    <t>204:233304</t>
  </si>
  <si>
    <t>204:233002</t>
  </si>
  <si>
    <t>204:232973</t>
  </si>
  <si>
    <t>204:233278</t>
  </si>
  <si>
    <t>204:978</t>
  </si>
  <si>
    <t>204:678</t>
  </si>
  <si>
    <t>rtdc.l.rtdc.4023:itc</t>
  </si>
  <si>
    <t>rtdc.l.rtdc.4057:itc</t>
  </si>
  <si>
    <t>rtdc.l.rtdc.4024:itc</t>
  </si>
  <si>
    <t>rtdc.l.rtdc.4058:itc</t>
  </si>
  <si>
    <t>WENDY</t>
  </si>
  <si>
    <t>GEBRETEKLE</t>
  </si>
  <si>
    <t>DAGNEW</t>
  </si>
  <si>
    <t>MOSES</t>
  </si>
  <si>
    <t>BRADLEY</t>
  </si>
  <si>
    <t>HELVIE</t>
  </si>
  <si>
    <t>ADAM</t>
  </si>
  <si>
    <t>DELGADO</t>
  </si>
  <si>
    <t>DIANAH</t>
  </si>
  <si>
    <t>HOLCOMB</t>
  </si>
  <si>
    <t>KAMDEN</t>
  </si>
  <si>
    <t>DE LA ROSA</t>
  </si>
  <si>
    <t>ALEX</t>
  </si>
  <si>
    <t>BADERTSCHER</t>
  </si>
  <si>
    <t>DIANE</t>
  </si>
  <si>
    <t>204:232971</t>
  </si>
  <si>
    <t>204:233319</t>
  </si>
  <si>
    <t>204:233004</t>
  </si>
  <si>
    <t>204:233318</t>
  </si>
  <si>
    <t>204:233287</t>
  </si>
  <si>
    <t>204:233274</t>
  </si>
  <si>
    <t>204:233315</t>
  </si>
  <si>
    <t>204:232988</t>
  </si>
  <si>
    <t>204:233006</t>
  </si>
  <si>
    <t>204:232983</t>
  </si>
  <si>
    <t>204:233317</t>
  </si>
  <si>
    <t>204:233270</t>
  </si>
  <si>
    <t>204:233289</t>
  </si>
  <si>
    <t>204:181</t>
  </si>
  <si>
    <t>204:165</t>
  </si>
  <si>
    <t>204:232990</t>
  </si>
  <si>
    <t>300:58956</t>
  </si>
  <si>
    <t>204:715</t>
  </si>
  <si>
    <t>842-01</t>
  </si>
  <si>
    <t>226-01</t>
  </si>
  <si>
    <t>234-01</t>
  </si>
  <si>
    <t>240-01</t>
  </si>
  <si>
    <t>rtdc.l.rtdc.4007:itc</t>
  </si>
  <si>
    <t>WHITED</t>
  </si>
  <si>
    <t>DUSTIN</t>
  </si>
  <si>
    <t>THOMPSON</t>
  </si>
  <si>
    <t>LESTER</t>
  </si>
  <si>
    <t>rtdc.l.rtdc.4032:itc</t>
  </si>
  <si>
    <t>ROMERO</t>
  </si>
  <si>
    <t>CHAD</t>
  </si>
  <si>
    <t>LOPES</t>
  </si>
  <si>
    <t>KIMBERLY</t>
  </si>
  <si>
    <t>81-01</t>
  </si>
  <si>
    <t>82-01</t>
  </si>
  <si>
    <t>843-01</t>
  </si>
  <si>
    <t>224-01</t>
  </si>
  <si>
    <t>227-01</t>
  </si>
  <si>
    <t>229-01</t>
  </si>
  <si>
    <t>228-01</t>
  </si>
  <si>
    <t>231-01</t>
  </si>
  <si>
    <t>845-01</t>
  </si>
  <si>
    <t>844-01</t>
  </si>
  <si>
    <t>233-01</t>
  </si>
  <si>
    <t>230-01</t>
  </si>
  <si>
    <t>235-01</t>
  </si>
  <si>
    <t>847-01</t>
  </si>
  <si>
    <t>232-01</t>
  </si>
  <si>
    <t>908-01</t>
  </si>
  <si>
    <t>237-01</t>
  </si>
  <si>
    <t>236-01</t>
  </si>
  <si>
    <t>239-01</t>
  </si>
  <si>
    <t>241-01</t>
  </si>
  <si>
    <t>238-01</t>
  </si>
  <si>
    <t>243-01</t>
  </si>
  <si>
    <t>307-01</t>
  </si>
  <si>
    <t>242-01</t>
  </si>
  <si>
    <t>309-01</t>
  </si>
  <si>
    <t>244-01</t>
  </si>
  <si>
    <t>311-01</t>
  </si>
  <si>
    <t>SUR-02</t>
  </si>
  <si>
    <t>SUR</t>
  </si>
  <si>
    <t>JEREMY</t>
  </si>
  <si>
    <t>313-01</t>
  </si>
  <si>
    <t>204:232970</t>
  </si>
  <si>
    <t>204:471</t>
  </si>
  <si>
    <t>204:480</t>
  </si>
  <si>
    <t>204:136</t>
  </si>
  <si>
    <t>204:233283</t>
  </si>
  <si>
    <t>204:233300</t>
  </si>
  <si>
    <t>204:232981</t>
  </si>
  <si>
    <t>204:431</t>
  </si>
  <si>
    <t>204:232993</t>
  </si>
  <si>
    <t>204:233337</t>
  </si>
  <si>
    <t>204:444</t>
  </si>
  <si>
    <t>204:233299</t>
  </si>
  <si>
    <t>204:233071</t>
  </si>
  <si>
    <t>204:233308</t>
  </si>
  <si>
    <t>204:233023</t>
  </si>
  <si>
    <t>204:233327</t>
  </si>
  <si>
    <t>204:233298</t>
  </si>
  <si>
    <t>204:233032</t>
  </si>
  <si>
    <t>204:232996</t>
  </si>
  <si>
    <t>300:23306</t>
  </si>
  <si>
    <t>300:58672</t>
  </si>
  <si>
    <t>300:58641</t>
  </si>
  <si>
    <t>204:685</t>
  </si>
  <si>
    <t>300:58608</t>
  </si>
  <si>
    <t>300:58958</t>
  </si>
  <si>
    <t>204:962</t>
  </si>
  <si>
    <t>204:1004</t>
  </si>
  <si>
    <t>300:58935</t>
  </si>
  <si>
    <t>300:58621</t>
  </si>
  <si>
    <t>300:58943</t>
  </si>
  <si>
    <t>204:1011</t>
  </si>
  <si>
    <t>300:58630</t>
  </si>
  <si>
    <t>Poor GPS at DUS</t>
  </si>
  <si>
    <t>312-03</t>
  </si>
  <si>
    <t>1901-03</t>
  </si>
  <si>
    <t>1803-03</t>
  </si>
  <si>
    <t>rtdc.l.rtdc.4003:itc</t>
  </si>
  <si>
    <t>124-03</t>
  </si>
  <si>
    <t>126-03</t>
  </si>
  <si>
    <t>1804-03</t>
  </si>
  <si>
    <t>1806-03</t>
  </si>
  <si>
    <t>132-03</t>
  </si>
  <si>
    <t>136-03</t>
  </si>
  <si>
    <t>1808-03</t>
  </si>
  <si>
    <t>159-03</t>
  </si>
  <si>
    <t>150-03</t>
  </si>
  <si>
    <t>1811-03</t>
  </si>
  <si>
    <t>1812-03</t>
  </si>
  <si>
    <t>156-03</t>
  </si>
  <si>
    <t>162-03</t>
  </si>
  <si>
    <t>1815-03</t>
  </si>
  <si>
    <t>184-03</t>
  </si>
  <si>
    <t>191-03</t>
  </si>
  <si>
    <t>205-03</t>
  </si>
  <si>
    <t>rtdc.l.rtdc.4004:itc</t>
  </si>
  <si>
    <t>207-03</t>
  </si>
  <si>
    <t>211-03</t>
  </si>
  <si>
    <t>234-03</t>
  </si>
  <si>
    <t>242-03</t>
  </si>
  <si>
    <t>rtdc.l.rtdc.4011:itc</t>
  </si>
  <si>
    <t>242-02</t>
  </si>
  <si>
    <t>ARVIDSON</t>
  </si>
  <si>
    <t>DANIEL</t>
  </si>
  <si>
    <t>307-02</t>
  </si>
  <si>
    <t>244-02</t>
  </si>
  <si>
    <t>rtdc.l.rtdc.4012:itc</t>
  </si>
  <si>
    <t>309-02</t>
  </si>
  <si>
    <t>246-02</t>
  </si>
  <si>
    <t>311-02</t>
  </si>
  <si>
    <t>313-02</t>
  </si>
  <si>
    <t>300-03</t>
  </si>
  <si>
    <t>BEAM</t>
  </si>
  <si>
    <t>ROSS</t>
  </si>
  <si>
    <t>50-03</t>
  </si>
  <si>
    <t>MAYBERRY</t>
  </si>
  <si>
    <t>BILL</t>
  </si>
  <si>
    <t>101-03</t>
  </si>
  <si>
    <t>51-03</t>
  </si>
  <si>
    <t>302-03</t>
  </si>
  <si>
    <t>103-03</t>
  </si>
  <si>
    <t>304-03</t>
  </si>
  <si>
    <t>306-03</t>
  </si>
  <si>
    <t>102-03</t>
  </si>
  <si>
    <t>105-03</t>
  </si>
  <si>
    <t>107-03</t>
  </si>
  <si>
    <t>308-03</t>
  </si>
  <si>
    <t>LALONDE</t>
  </si>
  <si>
    <t>GREGORY</t>
  </si>
  <si>
    <t>104-03</t>
  </si>
  <si>
    <t>109-03</t>
  </si>
  <si>
    <t>310-03</t>
  </si>
  <si>
    <t>DAVIDSON</t>
  </si>
  <si>
    <t>DAVID</t>
  </si>
  <si>
    <t>111-03</t>
  </si>
  <si>
    <t>113-03</t>
  </si>
  <si>
    <t>106-03</t>
  </si>
  <si>
    <t>108-03</t>
  </si>
  <si>
    <t>MACDONALD</t>
  </si>
  <si>
    <t>115-03</t>
  </si>
  <si>
    <t>110-03</t>
  </si>
  <si>
    <t>117-03</t>
  </si>
  <si>
    <t>1800-03</t>
  </si>
  <si>
    <t>112-03</t>
  </si>
  <si>
    <t>119-03</t>
  </si>
  <si>
    <t>114-03</t>
  </si>
  <si>
    <t>1801-03</t>
  </si>
  <si>
    <t>121-03</t>
  </si>
  <si>
    <t>116-03</t>
  </si>
  <si>
    <t>123-03</t>
  </si>
  <si>
    <t>118-03</t>
  </si>
  <si>
    <t>1802-03</t>
  </si>
  <si>
    <t>125-03</t>
  </si>
  <si>
    <t>120-03</t>
  </si>
  <si>
    <t>127-03</t>
  </si>
  <si>
    <t>122-03</t>
  </si>
  <si>
    <t>129-03</t>
  </si>
  <si>
    <t>131-03</t>
  </si>
  <si>
    <t>133-03</t>
  </si>
  <si>
    <t>128-03</t>
  </si>
  <si>
    <t>135-03</t>
  </si>
  <si>
    <t>1805-03</t>
  </si>
  <si>
    <t>130-03</t>
  </si>
  <si>
    <t>137-03</t>
  </si>
  <si>
    <t>139-03</t>
  </si>
  <si>
    <t>134-03</t>
  </si>
  <si>
    <t>141-03</t>
  </si>
  <si>
    <t>138-03</t>
  </si>
  <si>
    <t>143-03</t>
  </si>
  <si>
    <t>1807-03</t>
  </si>
  <si>
    <t>145-03</t>
  </si>
  <si>
    <t>140-03</t>
  </si>
  <si>
    <t>147-03</t>
  </si>
  <si>
    <t>142-03</t>
  </si>
  <si>
    <t>144-03</t>
  </si>
  <si>
    <t>149-03</t>
  </si>
  <si>
    <t>151-03</t>
  </si>
  <si>
    <t>146-03</t>
  </si>
  <si>
    <t>1809-03</t>
  </si>
  <si>
    <t>153-03</t>
  </si>
  <si>
    <t>155-03</t>
  </si>
  <si>
    <t>148-03</t>
  </si>
  <si>
    <t>1810-03</t>
  </si>
  <si>
    <t>152-03</t>
  </si>
  <si>
    <t>157-03</t>
  </si>
  <si>
    <t>154-03</t>
  </si>
  <si>
    <t>161-03</t>
  </si>
  <si>
    <t>163-03</t>
  </si>
  <si>
    <t>BROWN</t>
  </si>
  <si>
    <t>JACOB</t>
  </si>
  <si>
    <t>165-03</t>
  </si>
  <si>
    <t>BRUDER</t>
  </si>
  <si>
    <t>RICHARD</t>
  </si>
  <si>
    <t>158-03</t>
  </si>
  <si>
    <t>160-03</t>
  </si>
  <si>
    <t>167-03</t>
  </si>
  <si>
    <t>1813-03</t>
  </si>
  <si>
    <t>59-03</t>
  </si>
  <si>
    <t>169-03</t>
  </si>
  <si>
    <t>164-03</t>
  </si>
  <si>
    <t>171-03</t>
  </si>
  <si>
    <t>173-03</t>
  </si>
  <si>
    <t>166-03</t>
  </si>
  <si>
    <t>1814-03</t>
  </si>
  <si>
    <t>168-03</t>
  </si>
  <si>
    <t>175-03</t>
  </si>
  <si>
    <t>170-03</t>
  </si>
  <si>
    <t>177-03</t>
  </si>
  <si>
    <t>BRANDNER</t>
  </si>
  <si>
    <t>MELINDA</t>
  </si>
  <si>
    <t>179-03</t>
  </si>
  <si>
    <t>172-03</t>
  </si>
  <si>
    <t>174-03</t>
  </si>
  <si>
    <t>1816-03</t>
  </si>
  <si>
    <t>181-03</t>
  </si>
  <si>
    <t>176-03</t>
  </si>
  <si>
    <t>183-03</t>
  </si>
  <si>
    <t>1817-03</t>
  </si>
  <si>
    <t>MCREYNOLDS</t>
  </si>
  <si>
    <t>KYLE</t>
  </si>
  <si>
    <t>178-03</t>
  </si>
  <si>
    <t>185-03</t>
  </si>
  <si>
    <t>180-03</t>
  </si>
  <si>
    <t>187-03</t>
  </si>
  <si>
    <t>182-03</t>
  </si>
  <si>
    <t>1818-03</t>
  </si>
  <si>
    <t>189-03</t>
  </si>
  <si>
    <t>1819-03</t>
  </si>
  <si>
    <t>186-03</t>
  </si>
  <si>
    <t>193-03</t>
  </si>
  <si>
    <t>188-03</t>
  </si>
  <si>
    <t>195-03</t>
  </si>
  <si>
    <t>1820-03</t>
  </si>
  <si>
    <t>190-03</t>
  </si>
  <si>
    <t>197-03</t>
  </si>
  <si>
    <t>192-03</t>
  </si>
  <si>
    <t>199-03</t>
  </si>
  <si>
    <t>194-03</t>
  </si>
  <si>
    <t>201-03</t>
  </si>
  <si>
    <t>1821-03</t>
  </si>
  <si>
    <t>196-03</t>
  </si>
  <si>
    <t>203-03</t>
  </si>
  <si>
    <t>198-03</t>
  </si>
  <si>
    <t>1822-03</t>
  </si>
  <si>
    <t>200-03</t>
  </si>
  <si>
    <t>202-03</t>
  </si>
  <si>
    <t>209-03</t>
  </si>
  <si>
    <t>1823-03</t>
  </si>
  <si>
    <t>52-03</t>
  </si>
  <si>
    <t>204-03</t>
  </si>
  <si>
    <t>53-03</t>
  </si>
  <si>
    <t>206-03</t>
  </si>
  <si>
    <t>1824-03</t>
  </si>
  <si>
    <t>rtdc.l.rtdc.4031:itc</t>
  </si>
  <si>
    <t>213-03</t>
  </si>
  <si>
    <t>208-03</t>
  </si>
  <si>
    <t>71-03</t>
  </si>
  <si>
    <t>215-03</t>
  </si>
  <si>
    <t>1825-03</t>
  </si>
  <si>
    <t>210-03</t>
  </si>
  <si>
    <t>rtdc.l.rtdc.4015:itc</t>
  </si>
  <si>
    <t>70-03</t>
  </si>
  <si>
    <t>217-03</t>
  </si>
  <si>
    <t>PERKINS</t>
  </si>
  <si>
    <t>DARREN</t>
  </si>
  <si>
    <t>212-03</t>
  </si>
  <si>
    <t>219-03</t>
  </si>
  <si>
    <t>214-03</t>
  </si>
  <si>
    <t>1826-03</t>
  </si>
  <si>
    <t>301-03</t>
  </si>
  <si>
    <t>216-03</t>
  </si>
  <si>
    <t>221-03</t>
  </si>
  <si>
    <t>218-03</t>
  </si>
  <si>
    <t>303-03</t>
  </si>
  <si>
    <t>1827-03</t>
  </si>
  <si>
    <t>220-03</t>
  </si>
  <si>
    <t>223-03</t>
  </si>
  <si>
    <t>1828-03</t>
  </si>
  <si>
    <t>305-03</t>
  </si>
  <si>
    <t>222-03</t>
  </si>
  <si>
    <t>225-03</t>
  </si>
  <si>
    <t>224-03</t>
  </si>
  <si>
    <t>1829-03</t>
  </si>
  <si>
    <t>227-03</t>
  </si>
  <si>
    <t>1830-03</t>
  </si>
  <si>
    <t>226-03</t>
  </si>
  <si>
    <t>229-03</t>
  </si>
  <si>
    <t>1831-03</t>
  </si>
  <si>
    <t>228-03</t>
  </si>
  <si>
    <t>231-03</t>
  </si>
  <si>
    <t>1832-03</t>
  </si>
  <si>
    <t>230-03</t>
  </si>
  <si>
    <t>233-03</t>
  </si>
  <si>
    <t>1833-03</t>
  </si>
  <si>
    <t>232-03</t>
  </si>
  <si>
    <t>235-03</t>
  </si>
  <si>
    <t>1902-03</t>
  </si>
  <si>
    <t>237-03</t>
  </si>
  <si>
    <t>236-03</t>
  </si>
  <si>
    <t>239-03</t>
  </si>
  <si>
    <t>238-03</t>
  </si>
  <si>
    <t>241-03</t>
  </si>
  <si>
    <t>243-03</t>
  </si>
  <si>
    <t>240-03</t>
  </si>
  <si>
    <t>245-03</t>
  </si>
  <si>
    <t>307-03</t>
  </si>
  <si>
    <t>244-03</t>
  </si>
  <si>
    <t>309-03</t>
  </si>
  <si>
    <t>246-03</t>
  </si>
  <si>
    <t>311-03</t>
  </si>
  <si>
    <t>313-03</t>
  </si>
  <si>
    <t>300-04</t>
  </si>
  <si>
    <t>MAELZER</t>
  </si>
  <si>
    <t>KURT</t>
  </si>
  <si>
    <t>clear-day</t>
  </si>
  <si>
    <t>204:781</t>
  </si>
  <si>
    <t>204:232991</t>
  </si>
  <si>
    <t>204:174</t>
  </si>
  <si>
    <t>204:426</t>
  </si>
  <si>
    <t>204:232984</t>
  </si>
  <si>
    <t>204:233344</t>
  </si>
  <si>
    <t>204:233307</t>
  </si>
  <si>
    <t>204:130</t>
  </si>
  <si>
    <t>204:233021</t>
  </si>
  <si>
    <t>204:233353</t>
  </si>
  <si>
    <t>204:233015</t>
  </si>
  <si>
    <t>204:233334</t>
  </si>
  <si>
    <t>204:232963</t>
  </si>
  <si>
    <t>204:493</t>
  </si>
  <si>
    <t>204:233339</t>
  </si>
  <si>
    <t>204:233347</t>
  </si>
  <si>
    <t>204:233324</t>
  </si>
  <si>
    <t>204:233301</t>
  </si>
  <si>
    <t>204:232976</t>
  </si>
  <si>
    <t>204:233257</t>
  </si>
  <si>
    <t>204:232938</t>
  </si>
  <si>
    <t>204:1169</t>
  </si>
  <si>
    <t>204:486</t>
  </si>
  <si>
    <t>204:233310</t>
  </si>
  <si>
    <t>204:233351</t>
  </si>
  <si>
    <t>204:233302</t>
  </si>
  <si>
    <t>204:233311</t>
  </si>
  <si>
    <t>204:506</t>
  </si>
  <si>
    <t>204:696</t>
  </si>
  <si>
    <t>204:983</t>
  </si>
  <si>
    <t>300:58937</t>
  </si>
  <si>
    <t>204:666</t>
  </si>
  <si>
    <t>204:964</t>
  </si>
  <si>
    <t>300:58613</t>
  </si>
  <si>
    <t>204:1009</t>
  </si>
  <si>
    <t>300:58931</t>
  </si>
  <si>
    <t>204:960</t>
  </si>
  <si>
    <t>300:58950</t>
  </si>
  <si>
    <t>204:752</t>
  </si>
  <si>
    <t>300:58924</t>
  </si>
  <si>
    <t>204:233204</t>
  </si>
  <si>
    <t>204:705</t>
  </si>
  <si>
    <t>300:58615</t>
  </si>
  <si>
    <t>300:58619</t>
  </si>
  <si>
    <t>204:1032</t>
  </si>
  <si>
    <t>300:58926</t>
  </si>
  <si>
    <t>300:58609</t>
  </si>
  <si>
    <t>204:769</t>
  </si>
  <si>
    <t>204:1048</t>
  </si>
  <si>
    <t>300:58640</t>
  </si>
  <si>
    <t>204:979</t>
  </si>
  <si>
    <t>300:58978</t>
  </si>
  <si>
    <t>300:58656</t>
  </si>
  <si>
    <t>204:986</t>
  </si>
  <si>
    <t>204:671</t>
  </si>
  <si>
    <t>204:948</t>
  </si>
  <si>
    <t>300:58997</t>
  </si>
  <si>
    <t>300:58670</t>
  </si>
  <si>
    <t>204:981</t>
  </si>
  <si>
    <t>204:670</t>
  </si>
  <si>
    <t>204:955</t>
  </si>
  <si>
    <t>204:497</t>
  </si>
  <si>
    <t>300:58634</t>
  </si>
  <si>
    <t>300:58624</t>
  </si>
  <si>
    <t>204:712</t>
  </si>
  <si>
    <t>300:58988</t>
  </si>
  <si>
    <t>204:491</t>
  </si>
  <si>
    <t>300:30159</t>
  </si>
  <si>
    <t>300:21740</t>
  </si>
  <si>
    <t>300:22068</t>
  </si>
  <si>
    <t>300:23302</t>
  </si>
  <si>
    <t>204:233372</t>
  </si>
  <si>
    <t>204:233086</t>
  </si>
  <si>
    <t>204:774</t>
  </si>
  <si>
    <t>204:233329</t>
  </si>
  <si>
    <t>204:482</t>
  </si>
  <si>
    <t>204:19109</t>
  </si>
  <si>
    <t>204:19110</t>
  </si>
  <si>
    <t>204:232972</t>
  </si>
  <si>
    <t>204:232969</t>
  </si>
  <si>
    <t>204:260</t>
  </si>
  <si>
    <t>204:726</t>
  </si>
  <si>
    <t>204:1763</t>
  </si>
  <si>
    <t>204:233225</t>
  </si>
  <si>
    <t>204:232917</t>
  </si>
  <si>
    <t>204:132</t>
  </si>
  <si>
    <t>204:730</t>
  </si>
  <si>
    <t>204:233359</t>
  </si>
  <si>
    <t>204:233040</t>
  </si>
  <si>
    <t>204:570</t>
  </si>
  <si>
    <t>204:233321</t>
  </si>
  <si>
    <t>204:233011</t>
  </si>
  <si>
    <t>204:167</t>
  </si>
  <si>
    <t>204:232923</t>
  </si>
  <si>
    <t>204:233325</t>
  </si>
  <si>
    <t>204:233001</t>
  </si>
  <si>
    <t>204:233009</t>
  </si>
  <si>
    <t>204:233366</t>
  </si>
  <si>
    <t>204:233025</t>
  </si>
  <si>
    <t>204:437</t>
  </si>
  <si>
    <t>204:233399</t>
  </si>
  <si>
    <t>204:233013</t>
  </si>
  <si>
    <t>204:144887</t>
  </si>
  <si>
    <t>300:21507</t>
  </si>
  <si>
    <t>204:129</t>
  </si>
  <si>
    <t>300:21884</t>
  </si>
  <si>
    <t>300:20000</t>
  </si>
  <si>
    <t>300:23264</t>
  </si>
  <si>
    <t>300:22726</t>
  </si>
  <si>
    <t>300:23308</t>
  </si>
  <si>
    <t>300:23605</t>
  </si>
  <si>
    <t>300:23449</t>
  </si>
  <si>
    <t>300:23301</t>
  </si>
  <si>
    <t>300:23483</t>
  </si>
  <si>
    <t>300:13416</t>
  </si>
  <si>
    <t>300:17092</t>
  </si>
  <si>
    <t>300:23947</t>
  </si>
  <si>
    <t>300:19124</t>
  </si>
  <si>
    <t>300:23299</t>
  </si>
  <si>
    <t>204:2419</t>
  </si>
  <si>
    <t>204:2953</t>
  </si>
  <si>
    <t>204:1165</t>
  </si>
  <si>
    <t>204:3284</t>
  </si>
  <si>
    <t>204:1483</t>
  </si>
  <si>
    <t>300:23310</t>
  </si>
  <si>
    <t>204:3173</t>
  </si>
  <si>
    <t>204:1154</t>
  </si>
  <si>
    <t>204:3499</t>
  </si>
  <si>
    <t>204:3225</t>
  </si>
  <si>
    <t>204:1488</t>
  </si>
  <si>
    <t>204:3525</t>
  </si>
  <si>
    <t>300:22219</t>
  </si>
  <si>
    <t>204:1816</t>
  </si>
  <si>
    <t>204:1155</t>
  </si>
  <si>
    <t>start /low /b %USERPROFILE%\Documents\GitHub\eaglep3\Utilities\DownloadLogsFromS3.py --loco 4050 --day 2017-06-03</t>
  </si>
  <si>
    <t>start /low /b %USERPROFILE%\Documents\GitHub\eaglep3\Utilities\DownloadLogsFromS3.py --loco 4007 --day 2017-06-04</t>
  </si>
  <si>
    <t>start /low /b %USERPROFILE%\Documents\GitHub\eaglep3\Utilities\DownloadLogsFromS3.py --loco 4025 --day 2017-06-04</t>
  </si>
  <si>
    <t>start /low /b %USERPROFILE%\Documents\GitHub\eaglep3\Utilities\DownloadLogsFromS3.py --loco 4049 --day 2017-06-03</t>
  </si>
  <si>
    <t>start /low /b %USERPROFILE%\Documents\GitHub\eaglep3\Utilities\DownloadLogsFromS3.py --loco 4025 --day 2017-06-03</t>
  </si>
  <si>
    <t>start /low /b %USERPROFILE%\Documents\GitHub\eaglep3\Utilities\DownloadLogsFromS3.py --loco 4044 --day 2017-06-03</t>
  </si>
  <si>
    <t>start /low /b %USERPROFILE%\Documents\GitHub\eaglep3\Utilities\DownloadLogsFromS3.py --loco 4043 --day 2017-06-03</t>
  </si>
  <si>
    <t>start /low /b %USERPROFILE%\Documents\GitHub\eaglep3\Utilities\DownloadLogsFromS3.py --loco 4013 --day 2017-06-03</t>
  </si>
  <si>
    <t>start /low /b %USERPROFILE%\Documents\GitHub\eaglep3\Utilities\DownloadLogsFromS3.py --loco 4003 --day 2017-06-03</t>
  </si>
  <si>
    <t>start /low /b %USERPROFILE%\Documents\GitHub\eaglep3\Utilities\DownloadLogsFromS3.py --loco 4007 --day 2017-06-03</t>
  </si>
  <si>
    <t>start /low /b %USERPROFILE%\Documents\GitHub\eaglep3\Utilities\DownloadLogsFromS3.py --loco 4004 --day 2017-06-03</t>
  </si>
  <si>
    <t>start /low /b %USERPROFILE%\Documents\GitHub\eaglep3\Utilities\DownloadLogsFromS3.py --loco 4014 --day 2017-06-03</t>
  </si>
  <si>
    <t>start /low /b %USERPROFILE%\Documents\GitHub\eaglep3\Utilities\DownloadLogsFromS3.py --loco 4050 --day 2017-06-04</t>
  </si>
  <si>
    <t>start /low /b %USERPROFILE%\Documents\GitHub\eaglep3\Utilities\DownloadLogsFromS3.py --loco 4058 --day 2017-06-03</t>
  </si>
  <si>
    <t>start /low /b %USERPROFILE%\Documents\GitHub\eaglep3\Utilities\DownloadLogsFromS3.py --loco 4057 --day 2017-06-03</t>
  </si>
  <si>
    <t>Unhealthy at Ulster due to train stop (after early arrival enforcement)</t>
  </si>
  <si>
    <t>Brief Wi-MAX data drop, no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</si>
</sst>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zoomScaleNormal="100" workbookViewId="0">
      <selection activeCell="L19" sqref="L1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42889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42889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34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COUNTIFS($N$13:$N$9322,"&gt;0",$AG$13:$AG$9322,I1)</f>
        <v>143</v>
      </c>
      <c r="K5" s="39"/>
      <c r="L5" s="39"/>
      <c r="M5" s="40">
        <f>AVERAGEIFS($N$13:$N$9322,$AG$13:$AG$9322,I1)</f>
        <v>37.656060606224948</v>
      </c>
      <c r="N5" s="38">
        <f t="array" ref="N5">MIN(IF($AG$13:$AG$9322=I1,IF(ISNUMBER($N$13:$N$9322),IF($N$13:$N$9322&gt;0,$N$13:$N$9322))))</f>
        <v>35.283333335537463</v>
      </c>
      <c r="O5" s="3">
        <f t="array" ref="O5">MAX(IF($AG$13:$AG$9322=I1,IF(ISNUMBER($N$13:$N$9322),IF($N$13:$N$9322&gt;0,$N$13:$N$9322))))</f>
        <v>40.666666659526527</v>
      </c>
      <c r="P5" s="2"/>
      <c r="R5" s="169" t="s">
        <v>17</v>
      </c>
      <c r="S5" s="193">
        <f>COUNTIFS($N$13:$N$9322,"&gt;0",$AG$13:$AG$9322,R1)</f>
        <v>34</v>
      </c>
      <c r="T5" s="194"/>
      <c r="U5" s="194"/>
      <c r="V5" s="190">
        <f>AVERAGEIFS($N$13:$N$9322,$AG$13:$AG$9322,R1)</f>
        <v>15.001960783744888</v>
      </c>
      <c r="W5" s="191">
        <f t="array" ref="W5">MIN(IF($AG$13:$AG$9322=R1,IF(ISNUMBER($N$13:$N$9322),IF($N$13:$N$9322&gt;0,$N$13:$N$9322))))</f>
        <v>11.866666664136574</v>
      </c>
      <c r="X5" s="192">
        <f t="array" ref="X5">MAX(IF($AG$13:$AG$9322=R1,IF(ISNUMBER($N$13:$N$9322),IF($N$13:$N$9322&gt;0,$N$13:$N$9322))))</f>
        <v>18.433333336142823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70" t="s">
        <v>43</v>
      </c>
      <c r="S6" s="193">
        <f>COUNT($O$13:$O$126)</f>
        <v>0</v>
      </c>
      <c r="T6" s="194"/>
      <c r="U6" s="194"/>
      <c r="V6" s="190">
        <f>IFERROR(AVERAGE($O$13:$O$126),0)</f>
        <v>0</v>
      </c>
      <c r="W6" s="191">
        <f>MIN($O$13:$O$126)</f>
        <v>0</v>
      </c>
      <c r="X6" s="192">
        <f>MAX($O$13:$O$126)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COUNTIFS($P$13:$P$9322,"&gt;0",$AG$13:$AG$9322,I1)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COUNTIFS($P$13:$P$9322,"&gt;0",$AG$13:$AG$9322,R1)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37.656060606224948</v>
      </c>
      <c r="N8" s="38">
        <f>N5</f>
        <v>35.283333335537463</v>
      </c>
      <c r="O8" s="3">
        <f>O5</f>
        <v>40.666666659526527</v>
      </c>
      <c r="P8" s="2"/>
      <c r="R8" s="169" t="s">
        <v>16</v>
      </c>
      <c r="S8" s="193">
        <f>S5</f>
        <v>34</v>
      </c>
      <c r="T8" s="194"/>
      <c r="U8" s="194"/>
      <c r="V8" s="190">
        <f>V5</f>
        <v>15.001960783744888</v>
      </c>
      <c r="W8" s="191">
        <f>W5</f>
        <v>11.866666664136574</v>
      </c>
      <c r="X8" s="192">
        <f>X5</f>
        <v>18.433333336142823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0.97945205479452058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- 2017-06-03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AVERAGE(S13:S100)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659</v>
      </c>
      <c r="B13" s="7">
        <v>4008</v>
      </c>
      <c r="C13" s="21" t="s">
        <v>204</v>
      </c>
      <c r="D13" s="21" t="s">
        <v>857</v>
      </c>
      <c r="E13" s="13">
        <v>42889.127824074072</v>
      </c>
      <c r="F13" s="13">
        <v>42889.135659722226</v>
      </c>
      <c r="G13" s="7">
        <v>1</v>
      </c>
      <c r="H13" s="21" t="s">
        <v>526</v>
      </c>
      <c r="I13" s="13">
        <v>42889.160567129627</v>
      </c>
      <c r="J13" s="7">
        <v>0</v>
      </c>
      <c r="K13" s="92" t="str">
        <f t="shared" ref="K13:K76" si="0">IF(ISEVEN(B13),(B13-1)&amp;"/"&amp;B13,B13&amp;"/"&amp;(B13+1))</f>
        <v>4007/4008</v>
      </c>
      <c r="L13" s="21" t="str">
        <f>VLOOKUP(A13,'Trips&amp;Operators'!$C$1:$G$99999,5,FALSE)</f>
        <v>BEAM ROSS</v>
      </c>
      <c r="M13" s="6">
        <f t="shared" ref="M13:M76" si="1">I13-F13</f>
        <v>2.4907407401769888E-2</v>
      </c>
      <c r="N13" s="7">
        <f t="shared" ref="N13:N44" si="2">24*60*SUM($M13:$M13)</f>
        <v>35.866666658548638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-03T02:04:04-0600',mode:absolute,to:'2017-06-03T04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204" t="str">
        <f t="shared" ref="W13:W76" si="6">IF(AA13&lt;IF(AG13="EC",23,5.65),"Y","N")</f>
        <v>N</v>
      </c>
      <c r="X13" s="204" t="e">
        <f t="shared" ref="X13:X76" si="7">VALUE(LEFT(AD13,4))-VALUE(LEFT(AD12,4))</f>
        <v>#VALUE!</v>
      </c>
      <c r="Y13" s="204">
        <f t="shared" ref="Y13:Y44" si="8">RIGHT(D13,LEN(D13)-4)/10000</f>
        <v>7.8100000000000003E-2</v>
      </c>
      <c r="Z13" s="204">
        <f t="shared" ref="Z13:Z76" si="9">RIGHT(H13,LEN(H13)-4)/10000</f>
        <v>23.331499999999998</v>
      </c>
      <c r="AA13" s="204">
        <f t="shared" ref="AA13:AA76" si="10">ABS(Z13-Y13)</f>
        <v>23.253399999999999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0101-03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/stypes="app*4008*20170603*"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4008 --swversion DE.1.0.9.0 --startMP 204:781 --initTime 2017-06-03T03:04:04 --startdatetime 2017-06-03T03:15:21 --delay 1 --endMP 204:233315 --enddatetime 2017-06-03T03:51:13 --enforcementcount 0 &gt;&gt;C:\Users\stu\Documents\GitHub\eaglep3-reporting\EC\2017-06-03-refined-times.txt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{"issue":{"subject":"","project_id":79,"tracker_id":40,"status_id":1,"priority_id":2,"assigned_to_id":23,"start_date":"2017-06-03","description":"","custom_fields":[{"id":1,"name":"Subdivision","value":"EC"},{"id":4,"name":"Milepost","value":"23.3315"},{"id":17,"name":"Train ID","value":"101-03"},{"id":16,"name":"Locomotive ID","value":"4008"},{"id":130,"name":"Impact","value":""},{"id":150,"name":"Time of Event (Mountain Time)","value":"03:51:13"},{"id":151,"name":"Denver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4008 --day 2017-06-03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09:51:13"},{"id":29,"name":"Sharepoint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665</v>
      </c>
      <c r="B14" s="7">
        <v>4007</v>
      </c>
      <c r="C14" s="21" t="s">
        <v>204</v>
      </c>
      <c r="D14" s="21" t="s">
        <v>858</v>
      </c>
      <c r="E14" s="13">
        <v>42889.165381944447</v>
      </c>
      <c r="F14" s="13">
        <v>42889.175219907411</v>
      </c>
      <c r="G14" s="7">
        <v>2</v>
      </c>
      <c r="H14" s="21" t="s">
        <v>440</v>
      </c>
      <c r="I14" s="13">
        <v>42889.202013888891</v>
      </c>
      <c r="J14" s="7">
        <v>0</v>
      </c>
      <c r="K14" s="92" t="str">
        <f t="shared" si="0"/>
        <v>4007/4008</v>
      </c>
      <c r="L14" s="21" t="str">
        <f>VLOOKUP(A14,'Trips&amp;Operators'!$C$1:$G$99999,5,FALSE)</f>
        <v>BEAM ROSS</v>
      </c>
      <c r="M14" s="6">
        <f t="shared" si="1"/>
        <v>2.679398148029577E-2</v>
      </c>
      <c r="N14" s="7">
        <f t="shared" si="2"/>
        <v>38.583333331625909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-03T02:58:09-0600',mode:absolute,to:'2017-06-03T05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23.299099999999999</v>
      </c>
      <c r="Z14" s="204">
        <f t="shared" si="9"/>
        <v>1.4500000000000001E-2</v>
      </c>
      <c r="AA14" s="204">
        <f t="shared" si="10"/>
        <v>23.284599999999998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0102-03</v>
      </c>
      <c r="AE14" s="80" t="str">
        <f t="shared" si="12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14" s="77" t="str">
        <f t="shared" si="13"/>
        <v>"C:\Program Files (x86)\AstroGrep\AstroGrep.exe" /e /r /s /spath="%USERPROFILE%\AppData\Local\Temp\OnboardLogs" /stypes="app*4007*20170603*"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4007 --swversion DE.1.0.9.0 --startMP 204:232991 --initTime 2017-06-03T03:58:09 --startdatetime 2017-06-03T04:12:19 --delay 2 --endMP 204:145 --enddatetime 2017-06-03T04:50:54 --enforcementcount 0 &gt;&gt;C:\Users\stu\Documents\GitHub\eaglep3-reporting\EC\2017-06-03-refined-times.txt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{"issue":{"subject":"","project_id":79,"tracker_id":40,"status_id":1,"priority_id":2,"assigned_to_id":23,"start_date":"2017-06-03","description":"","custom_fields":[{"id":1,"name":"Subdivision","value":"EC"},{"id":4,"name":"Milepost","value":"0.0145"},{"id":17,"name":"Train ID","value":"102-03"},{"id":16,"name":"Locomotive ID","value":"4007"},{"id":130,"name":"Impact","value":""},{"id":150,"name":"Time of Event (Mountain Time)","value":"04:50:54"},{"id":151,"name":"Denver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4007 --day 2017-06-03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10:50:54"},{"id":29,"name":"Sharepoint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662</v>
      </c>
      <c r="B15" s="7">
        <v>4010</v>
      </c>
      <c r="C15" s="21" t="s">
        <v>204</v>
      </c>
      <c r="D15" s="21" t="s">
        <v>368</v>
      </c>
      <c r="E15" s="13">
        <v>42889.149004629631</v>
      </c>
      <c r="F15" s="13">
        <v>42889.156608796293</v>
      </c>
      <c r="G15" s="7">
        <v>1</v>
      </c>
      <c r="H15" s="21" t="s">
        <v>530</v>
      </c>
      <c r="I15" s="13">
        <v>42889.18277777778</v>
      </c>
      <c r="J15" s="7">
        <v>0</v>
      </c>
      <c r="K15" s="92" t="str">
        <f t="shared" si="0"/>
        <v>4009/4010</v>
      </c>
      <c r="L15" s="21" t="str">
        <f>VLOOKUP(A15,'Trips&amp;Operators'!$C$1:$G$99999,5,FALSE)</f>
        <v>WILLIAMS DONTE</v>
      </c>
      <c r="M15" s="6">
        <f t="shared" si="1"/>
        <v>2.6168981486989651E-2</v>
      </c>
      <c r="N15" s="7">
        <f t="shared" si="2"/>
        <v>37.683333341265097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-03T02:34:34-0600',mode:absolute,to:'2017-06-03T05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4.5499999999999999E-2</v>
      </c>
      <c r="Z15" s="204">
        <f t="shared" si="9"/>
        <v>23.331700000000001</v>
      </c>
      <c r="AA15" s="204">
        <f t="shared" si="10"/>
        <v>23.286200000000001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0103-03</v>
      </c>
      <c r="AE15" s="80" t="str">
        <f t="shared" si="12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15" s="77" t="str">
        <f t="shared" si="13"/>
        <v>"C:\Program Files (x86)\AstroGrep\AstroGrep.exe" /e /r /s /spath="%USERPROFILE%\AppData\Local\Temp\OnboardLogs" /stypes="app*4010*20170603*"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103-03 --locoid 4010 --swversion DE.1.0.9.0 --startMP 204:455 --initTime 2017-06-03T03:34:34 --startdatetime 2017-06-03T03:45:31 --delay 1 --endMP 204:233317 --enddatetime 2017-06-03T04:23:12 --enforcementcount 0 &gt;&gt;C:\Users\stu\Documents\GitHub\eaglep3-reporting\EC\2017-06-03-refined-times.txt</v>
      </c>
      <c r="AI15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{"issue":{"subject":"","project_id":79,"tracker_id":40,"status_id":1,"priority_id":2,"assigned_to_id":23,"start_date":"2017-06-03","description":"","custom_fields":[{"id":1,"name":"Subdivision","value":"EC"},{"id":4,"name":"Milepost","value":"23.3317"},{"id":17,"name":"Train ID","value":"103-03"},{"id":16,"name":"Locomotive ID","value":"4010"},{"id":130,"name":"Impact","value":""},{"id":150,"name":"Time of Event (Mountain Time)","value":"04:23:12"},{"id":151,"name":"Denver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4010 --day 2017-06-03</v>
      </c>
      <c r="AN15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10:23:12"},{"id":29,"name":"Sharepoint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671</v>
      </c>
      <c r="B16" s="7">
        <v>4009</v>
      </c>
      <c r="C16" s="21" t="s">
        <v>204</v>
      </c>
      <c r="D16" s="21" t="s">
        <v>858</v>
      </c>
      <c r="E16" s="13">
        <v>42889.18545138889</v>
      </c>
      <c r="F16" s="13">
        <v>42889.196863425925</v>
      </c>
      <c r="G16" s="7">
        <v>1</v>
      </c>
      <c r="H16" s="21" t="s">
        <v>859</v>
      </c>
      <c r="I16" s="13">
        <v>42889.224293981482</v>
      </c>
      <c r="J16" s="7">
        <v>0</v>
      </c>
      <c r="K16" s="92" t="str">
        <f t="shared" si="0"/>
        <v>4009/4010</v>
      </c>
      <c r="L16" s="21" t="str">
        <f>VLOOKUP(A16,'Trips&amp;Operators'!$C$1:$G$99999,5,FALSE)</f>
        <v>WILLIAMS DONTE</v>
      </c>
      <c r="M16" s="6">
        <f t="shared" si="1"/>
        <v>2.7430555557657499E-2</v>
      </c>
      <c r="N16" s="7">
        <f t="shared" si="2"/>
        <v>39.500000003026798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-03T03:27:03-0600',mode:absolute,to:'2017-06-03T06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23.299099999999999</v>
      </c>
      <c r="Z16" s="204">
        <f t="shared" si="9"/>
        <v>1.7399999999999999E-2</v>
      </c>
      <c r="AA16" s="204">
        <f t="shared" si="10"/>
        <v>23.281700000000001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0104-03</v>
      </c>
      <c r="AE16" s="80" t="str">
        <f t="shared" si="12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16" s="77" t="str">
        <f t="shared" si="13"/>
        <v>"C:\Program Files (x86)\AstroGrep\AstroGrep.exe" /e /r /s /spath="%USERPROFILE%\AppData\Local\Temp\OnboardLogs" /stypes="app*4009*20170603*"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104-03 --locoid 4009 --swversion DE.1.0.9.0 --startMP 204:232991 --initTime 2017-06-03T04:27:03 --startdatetime 2017-06-03T04:43:29 --delay 1 --endMP 204:174 --enddatetime 2017-06-03T05:22:59 --enforcementcount 0 &gt;&gt;C:\Users\stu\Documents\GitHub\eaglep3-reporting\EC\2017-06-03-refined-times.txt</v>
      </c>
      <c r="AI16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{"issue":{"subject":"","project_id":79,"tracker_id":40,"status_id":1,"priority_id":2,"assigned_to_id":23,"start_date":"2017-06-03","description":"","custom_fields":[{"id":1,"name":"Subdivision","value":"EC"},{"id":4,"name":"Milepost","value":"0.0174"},{"id":17,"name":"Train ID","value":"104-03"},{"id":16,"name":"Locomotive ID","value":"4009"},{"id":130,"name":"Impact","value":""},{"id":150,"name":"Time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4009 --day 2017-06-03</v>
      </c>
      <c r="AN16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666</v>
      </c>
      <c r="B17" s="7">
        <v>4026</v>
      </c>
      <c r="C17" s="21" t="s">
        <v>204</v>
      </c>
      <c r="D17" s="21" t="s">
        <v>860</v>
      </c>
      <c r="E17" s="13">
        <v>42889.168819444443</v>
      </c>
      <c r="F17" s="13">
        <v>42889.177349537036</v>
      </c>
      <c r="G17" s="7">
        <v>1</v>
      </c>
      <c r="H17" s="21" t="s">
        <v>490</v>
      </c>
      <c r="I17" s="13">
        <v>42889.203564814816</v>
      </c>
      <c r="J17" s="7">
        <v>0</v>
      </c>
      <c r="K17" s="92" t="str">
        <f t="shared" si="0"/>
        <v>4025/4026</v>
      </c>
      <c r="L17" s="21" t="str">
        <f>VLOOKUP(A17,'Trips&amp;Operators'!$C$1:$G$99999,5,FALSE)</f>
        <v>DAVIS WENDY</v>
      </c>
      <c r="M17" s="6">
        <f t="shared" si="1"/>
        <v>2.6215277779556345E-2</v>
      </c>
      <c r="N17" s="7">
        <f t="shared" si="2"/>
        <v>37.750000002561137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-03T03:03:06-0600',mode:absolute,to:'2017-06-03T05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4.2599999999999999E-2</v>
      </c>
      <c r="Z17" s="204">
        <f t="shared" si="9"/>
        <v>23.3306</v>
      </c>
      <c r="AA17" s="204">
        <f t="shared" si="10"/>
        <v>23.288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0105-03</v>
      </c>
      <c r="AE17" s="80" t="str">
        <f t="shared" si="12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17" s="77" t="str">
        <f t="shared" si="13"/>
        <v>"C:\Program Files (x86)\AstroGrep\AstroGrep.exe" /e /r /s /spath="%USERPROFILE%\AppData\Local\Temp\OnboardLogs" /stypes="app*4026*20170603*"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105-03 --locoid 4026 --swversion DE.1.0.9.0 --startMP 204:426 --initTime 2017-06-03T04:03:06 --startdatetime 2017-06-03T04:15:23 --delay 1 --endMP 204:233306 --enddatetime 2017-06-03T04:53:08 --enforcementcount 0 &gt;&gt;C:\Users\stu\Documents\GitHub\eaglep3-reporting\EC\2017-06-03-refined-times.txt</v>
      </c>
      <c r="AI17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{"issue":{"subject":"","project_id":79,"tracker_id":40,"status_id":1,"priority_id":2,"assigned_to_id":23,"start_date":"2017-06-03","description":"","custom_fields":[{"id":1,"name":"Subdivision","value":"EC"},{"id":4,"name":"Milepost","value":"23.3306"},{"id":17,"name":"Train ID","value":"105-03"},{"id":16,"name":"Locomotive ID","value":"4026"},{"id":130,"name":"Impact","value":""},{"id":150,"name":"Time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4026 --day 2017-06-03</v>
      </c>
      <c r="AN17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10:53:08"},{"id":29,"name":"Sharepoint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678</v>
      </c>
      <c r="B18" s="7">
        <v>4025</v>
      </c>
      <c r="C18" s="21" t="s">
        <v>204</v>
      </c>
      <c r="D18" s="21" t="s">
        <v>496</v>
      </c>
      <c r="E18" s="13">
        <v>42889.214189814818</v>
      </c>
      <c r="F18" s="13">
        <v>42889.216817129629</v>
      </c>
      <c r="G18" s="7">
        <v>1</v>
      </c>
      <c r="H18" s="21" t="s">
        <v>440</v>
      </c>
      <c r="I18" s="13">
        <v>42889.243425925924</v>
      </c>
      <c r="J18" s="7">
        <v>0</v>
      </c>
      <c r="K18" s="92" t="str">
        <f t="shared" si="0"/>
        <v>4025/4026</v>
      </c>
      <c r="L18" s="21" t="str">
        <f>VLOOKUP(A18,'Trips&amp;Operators'!$C$1:$G$99999,5,FALSE)</f>
        <v>DAVIS WENDY</v>
      </c>
      <c r="M18" s="6">
        <f t="shared" si="1"/>
        <v>2.6608796295477077E-2</v>
      </c>
      <c r="N18" s="7">
        <f t="shared" si="2"/>
        <v>38.316666665486991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-03T04:08:26-0600',mode:absolute,to:'2017-06-03T06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23.3002</v>
      </c>
      <c r="Z18" s="204">
        <f t="shared" si="9"/>
        <v>1.4500000000000001E-2</v>
      </c>
      <c r="AA18" s="204">
        <f t="shared" si="10"/>
        <v>23.285699999999999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0106-03</v>
      </c>
      <c r="AE18" s="80" t="str">
        <f t="shared" si="12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18" s="77" t="str">
        <f t="shared" si="13"/>
        <v>"C:\Program Files (x86)\AstroGrep\AstroGrep.exe" /e /r /s /spath="%USERPROFILE%\AppData\Local\Temp\OnboardLogs" /stypes="app*4025*20170603*"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106-03 --locoid 4025 --swversion DE.1.0.9.0 --startMP 204:233002 --initTime 2017-06-03T05:08:26 --startdatetime 2017-06-03T05:12:13 --delay 1 --endMP 204:145 --enddatetime 2017-06-03T05:50:32 --enforcementcount 0 &gt;&gt;C:\Users\stu\Documents\GitHub\eaglep3-reporting\EC\2017-06-03-refined-times.txt</v>
      </c>
      <c r="AI18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{"issue":{"subject":"","project_id":79,"tracker_id":40,"status_id":1,"priority_id":2,"assigned_to_id":23,"start_date":"2017-06-03","description":"","custom_fields":[{"id":1,"name":"Subdivision","value":"EC"},{"id":4,"name":"Milepost","value":"0.0145"},{"id":17,"name":"Train ID","value":"106-03"},{"id":16,"name":"Locomotive ID","value":"4025"},{"id":130,"name":"Impact","value":""},{"id":150,"name":"Time of Event (Mountain Time)","value":"05:50:32"},{"id":151,"name":"Denver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4025 --day 2017-06-03</v>
      </c>
      <c r="AN18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667</v>
      </c>
      <c r="B19" s="7">
        <v>4014</v>
      </c>
      <c r="C19" s="21" t="s">
        <v>204</v>
      </c>
      <c r="D19" s="21" t="s">
        <v>590</v>
      </c>
      <c r="E19" s="13">
        <v>42889.176666666666</v>
      </c>
      <c r="F19" s="13">
        <v>42889.187685185185</v>
      </c>
      <c r="G19" s="7">
        <v>1</v>
      </c>
      <c r="H19" s="21" t="s">
        <v>480</v>
      </c>
      <c r="I19" s="13">
        <v>42889.212465277778</v>
      </c>
      <c r="J19" s="7">
        <v>0</v>
      </c>
      <c r="K19" s="92" t="str">
        <f t="shared" si="0"/>
        <v>4013/4014</v>
      </c>
      <c r="L19" s="21" t="str">
        <f>VLOOKUP(A19,'Trips&amp;Operators'!$C$1:$G$99999,5,FALSE)</f>
        <v>GEBRETEKLE DAGNEW</v>
      </c>
      <c r="M19" s="6">
        <f t="shared" si="1"/>
        <v>2.4780092593573499E-2</v>
      </c>
      <c r="N19" s="7">
        <f t="shared" si="2"/>
        <v>35.683333334745839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-03T03:14:24-0600',mode:absolute,to:'2017-06-03T06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4.3099999999999999E-2</v>
      </c>
      <c r="Z19" s="204">
        <f t="shared" si="9"/>
        <v>23.331199999999999</v>
      </c>
      <c r="AA19" s="204">
        <f t="shared" si="10"/>
        <v>23.2881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0107-03</v>
      </c>
      <c r="AE19" s="80" t="str">
        <f t="shared" si="12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19" s="77" t="str">
        <f t="shared" si="13"/>
        <v>"C:\Program Files (x86)\AstroGrep\AstroGrep.exe" /e /r /s /spath="%USERPROFILE%\AppData\Local\Temp\OnboardLogs" /stypes="app*4014*20170603*"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107-03 --locoid 4014 --swversion DE.1.0.9.0 --startMP 204:431 --initTime 2017-06-03T04:14:24 --startdatetime 2017-06-03T04:30:16 --delay 1 --endMP 204:233312 --enddatetime 2017-06-03T05:05:57 --enforcementcount 0 &gt;&gt;C:\Users\stu\Documents\GitHub\eaglep3-reporting\EC\2017-06-03-refined-times.txt</v>
      </c>
      <c r="AI19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{"issue":{"subject":"","project_id":79,"tracker_id":40,"status_id":1,"priority_id":2,"assigned_to_id":23,"start_date":"2017-06-03","description":"","custom_fields":[{"id":1,"name":"Subdivision","value":"EC"},{"id":4,"name":"Milepost","value":"23.3312"},{"id":17,"name":"Train ID","value":"107-03"},{"id":16,"name":"Locomotive ID","value":"4014"},{"id":130,"name":"Impact","value":""},{"id":150,"name":"Time of Event (Mountain Time)","value":"05:05:57"},{"id":151,"name":"Denver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4014 --day 2017-06-03</v>
      </c>
      <c r="AN19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679</v>
      </c>
      <c r="B20" s="7">
        <v>4013</v>
      </c>
      <c r="C20" s="21" t="s">
        <v>204</v>
      </c>
      <c r="D20" s="21" t="s">
        <v>861</v>
      </c>
      <c r="E20" s="13">
        <v>42889.223321759258</v>
      </c>
      <c r="F20" s="13">
        <v>42889.22729166667</v>
      </c>
      <c r="G20" s="7">
        <v>1</v>
      </c>
      <c r="H20" s="21" t="s">
        <v>403</v>
      </c>
      <c r="I20" s="13">
        <v>42889.253495370373</v>
      </c>
      <c r="J20" s="7">
        <v>0</v>
      </c>
      <c r="K20" s="92" t="str">
        <f t="shared" si="0"/>
        <v>4013/4014</v>
      </c>
      <c r="L20" s="21" t="str">
        <f>VLOOKUP(A20,'Trips&amp;Operators'!$C$1:$G$99999,5,FALSE)</f>
        <v>GEBRETEKLE DAGNEW</v>
      </c>
      <c r="M20" s="6">
        <f t="shared" si="1"/>
        <v>2.6203703702776693E-2</v>
      </c>
      <c r="N20" s="7">
        <f t="shared" si="2"/>
        <v>37.733333331998438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-03T04:21:35-0600',mode:absolute,to:'2017-06-03T07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23.298400000000001</v>
      </c>
      <c r="Z20" s="204">
        <f t="shared" si="9"/>
        <v>1.54E-2</v>
      </c>
      <c r="AA20" s="204">
        <f t="shared" si="10"/>
        <v>23.283000000000001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0108-03</v>
      </c>
      <c r="AE20" s="80" t="str">
        <f t="shared" si="12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20" s="77" t="str">
        <f t="shared" si="13"/>
        <v>"C:\Program Files (x86)\AstroGrep\AstroGrep.exe" /e /r /s /spath="%USERPROFILE%\AppData\Local\Temp\OnboardLogs" /stypes="app*4013*20170603*"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108-03 --locoid 4013 --swversion DE.1.0.9.0 --startMP 204:232984 --initTime 2017-06-03T05:21:35 --startdatetime 2017-06-03T05:27:18 --delay 1 --endMP 204:154 --enddatetime 2017-06-03T06:05:02 --enforcementcount 0 &gt;&gt;C:\Users\stu\Documents\GitHub\eaglep3-reporting\EC\2017-06-03-refined-times.txt</v>
      </c>
      <c r="AI20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ID","value":"108-03"},{"id":16,"name":"Locomotive ID","value":"4013"},{"id":130,"name":"Impact","value":""},{"id":150,"name":"Time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4013 --day 2017-06-03</v>
      </c>
      <c r="AN20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672</v>
      </c>
      <c r="B21" s="7">
        <v>4004</v>
      </c>
      <c r="C21" s="21" t="s">
        <v>204</v>
      </c>
      <c r="D21" s="21" t="s">
        <v>200</v>
      </c>
      <c r="E21" s="13">
        <v>42889.194513888891</v>
      </c>
      <c r="F21" s="13">
        <v>42889.198113425926</v>
      </c>
      <c r="G21" s="7">
        <v>2</v>
      </c>
      <c r="H21" s="21" t="s">
        <v>862</v>
      </c>
      <c r="I21" s="13">
        <v>42889.22283564815</v>
      </c>
      <c r="J21" s="7">
        <v>0</v>
      </c>
      <c r="K21" s="92" t="str">
        <f t="shared" si="0"/>
        <v>4003/4004</v>
      </c>
      <c r="L21" s="21" t="str">
        <f>VLOOKUP(A21,'Trips&amp;Operators'!$C$1:$G$99999,5,FALSE)</f>
        <v>LALONDE GREGORY</v>
      </c>
      <c r="M21" s="6">
        <f t="shared" si="1"/>
        <v>2.4722222224227153E-2</v>
      </c>
      <c r="N21" s="7">
        <f t="shared" si="2"/>
        <v>35.6000000028871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-03T03:40:06-0600',mode:absolute,to:'2017-06-03T06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4.5699999999999998E-2</v>
      </c>
      <c r="Z21" s="204">
        <f t="shared" si="9"/>
        <v>23.334399999999999</v>
      </c>
      <c r="AA21" s="204">
        <f t="shared" si="10"/>
        <v>23.288699999999999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0109-03</v>
      </c>
      <c r="AE21" s="80" t="str">
        <f t="shared" si="12"/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21" s="77" t="str">
        <f t="shared" si="13"/>
        <v>"C:\Program Files (x86)\AstroGrep\AstroGrep.exe" /e /r /s /spath="%USERPROFILE%\AppData\Local\Temp\OnboardLogs" /stypes="app*4004*20170603*"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109-03 --locoid 4004 --swversion DE.1.0.9.0 --startMP 204:457 --initTime 2017-06-03T04:40:06 --startdatetime 2017-06-03T04:45:17 --delay 2 --endMP 204:233344 --enddatetime 2017-06-03T05:20:53 --enforcementcount 0 &gt;&gt;C:\Users\stu\Documents\GitHub\eaglep3-reporting\EC\2017-06-03-refined-times.txt</v>
      </c>
      <c r="AI21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{"issue":{"subject":"","project_id":79,"tracker_id":40,"status_id":1,"priority_id":2,"assigned_to_id":23,"start_date":"2017-06-03","description":"","custom_fields":[{"id":1,"name":"Subdivision","value":"EC"},{"id":4,"name":"Milepost","value":"23.3344"},{"id":17,"name":"Train ID","value":"109-03"},{"id":16,"name":"Locomotive ID","value":"4004"},{"id":130,"name":"Impact","value":""},{"id":150,"name":"Time of Event (Mountain Time)","value":"05:20:53"},{"id":151,"name":"Denver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4004 --day 2017-06-03</v>
      </c>
      <c r="AN21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682</v>
      </c>
      <c r="B22" s="7">
        <v>4003</v>
      </c>
      <c r="C22" s="21" t="s">
        <v>204</v>
      </c>
      <c r="D22" s="21" t="s">
        <v>600</v>
      </c>
      <c r="E22" s="13">
        <v>42889.227534722224</v>
      </c>
      <c r="F22" s="13">
        <v>42889.237662037034</v>
      </c>
      <c r="G22" s="7">
        <v>0</v>
      </c>
      <c r="H22" s="21" t="s">
        <v>196</v>
      </c>
      <c r="I22" s="13">
        <v>42889.263391203705</v>
      </c>
      <c r="J22" s="7">
        <v>0</v>
      </c>
      <c r="K22" s="92" t="str">
        <f t="shared" si="0"/>
        <v>4003/4004</v>
      </c>
      <c r="L22" s="21" t="str">
        <f>VLOOKUP(A22,'Trips&amp;Operators'!$C$1:$G$99999,5,FALSE)</f>
        <v>LALONDE GREGORY</v>
      </c>
      <c r="M22" s="6">
        <f t="shared" si="1"/>
        <v>2.5729166671226267E-2</v>
      </c>
      <c r="N22" s="7">
        <f t="shared" si="2"/>
        <v>37.050000006565824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-03T04:27:39-0600',mode:absolute,to:'2017-06-03T07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23.3032</v>
      </c>
      <c r="Z22" s="204">
        <f t="shared" si="9"/>
        <v>1.5800000000000002E-2</v>
      </c>
      <c r="AA22" s="204">
        <f t="shared" si="10"/>
        <v>23.287400000000002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0110-03</v>
      </c>
      <c r="AE22" s="80" t="str">
        <f t="shared" si="12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22" s="77" t="str">
        <f t="shared" si="13"/>
        <v>"C:\Program Files (x86)\AstroGrep\AstroGrep.exe" /e /r /s /spath="%USERPROFILE%\AppData\Local\Temp\OnboardLogs" /stypes="app*4003*20170603*"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110-03 --locoid 4003 --swversion DE.1.0.9.0 --startMP 204:233032 --initTime 2017-06-03T05:27:39 --startdatetime 2017-06-03T05:42:14 --delay 0 --endMP 204:158 --enddatetime 2017-06-03T06:19:17 --enforcementcount 0 &gt;&gt;C:\Users\stu\Documents\GitHub\eaglep3-reporting\EC\2017-06-03-refined-times.txt</v>
      </c>
      <c r="AI22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ID","value":"110-03"},{"id":16,"name":"Locomotive ID","value":"4003"},{"id":130,"name":"Impact","value":""},{"id":150,"name":"Time of Event (Mountain Time)","value":"06:19:17"},{"id":151,"name":"Denver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4003 --day 2017-06-03</v>
      </c>
      <c r="AN22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676</v>
      </c>
      <c r="B23" s="7">
        <v>4008</v>
      </c>
      <c r="C23" s="21" t="s">
        <v>204</v>
      </c>
      <c r="D23" s="21" t="s">
        <v>399</v>
      </c>
      <c r="E23" s="13">
        <v>42889.205775462964</v>
      </c>
      <c r="F23" s="13">
        <v>42889.208773148152</v>
      </c>
      <c r="G23" s="7">
        <v>1</v>
      </c>
      <c r="H23" s="21" t="s">
        <v>462</v>
      </c>
      <c r="I23" s="13">
        <v>42889.233657407407</v>
      </c>
      <c r="J23" s="7">
        <v>0</v>
      </c>
      <c r="K23" s="92" t="str">
        <f t="shared" si="0"/>
        <v>4007/4008</v>
      </c>
      <c r="L23" s="21" t="str">
        <f>VLOOKUP(A23,'Trips&amp;Operators'!$C$1:$G$99999,5,FALSE)</f>
        <v>DE LA ROSA ALEX</v>
      </c>
      <c r="M23" s="6">
        <f t="shared" si="1"/>
        <v>2.488425925548654E-2</v>
      </c>
      <c r="N23" s="7">
        <f t="shared" si="2"/>
        <v>35.833333327900618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-03T03:56:19-0600',mode:absolute,to:'2017-06-03T06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4.6199999999999998E-2</v>
      </c>
      <c r="Z23" s="204">
        <f t="shared" si="9"/>
        <v>23.329699999999999</v>
      </c>
      <c r="AA23" s="204">
        <f t="shared" si="10"/>
        <v>23.2835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0111-03</v>
      </c>
      <c r="AE23" s="80" t="str">
        <f t="shared" si="12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23" s="77" t="str">
        <f t="shared" si="13"/>
        <v>"C:\Program Files (x86)\AstroGrep\AstroGrep.exe" /e /r /s /spath="%USERPROFILE%\AppData\Local\Temp\OnboardLogs" /stypes="app*4008*20170603*"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111-03 --locoid 4008 --swversion DE.1.0.9.0 --startMP 204:462 --initTime 2017-06-03T04:56:19 --startdatetime 2017-06-03T05:00:38 --delay 1 --endMP 204:233297 --enddatetime 2017-06-03T05:36:28 --enforcementcount 0 &gt;&gt;C:\Users\stu\Documents\GitHub\eaglep3-reporting\EC\2017-06-03-refined-times.txt</v>
      </c>
      <c r="AI23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{"issue":{"subject":"","project_id":79,"tracker_id":40,"status_id":1,"priority_id":2,"assigned_to_id":23,"start_date":"2017-06-03","description":"","custom_fields":[{"id":1,"name":"Subdivision","value":"EC"},{"id":4,"name":"Milepost","value":"23.3297"},{"id":17,"name":"Train ID","value":"111-03"},{"id":16,"name":"Locomotive ID","value":"4008"},{"id":130,"name":"Impact","value":""},{"id":150,"name":"Time of Event (Mountain Time)","value":"05:36:28"},{"id":151,"name":"Denver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4008 --day 2017-06-03</v>
      </c>
      <c r="AN23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685</v>
      </c>
      <c r="B24" s="7">
        <v>4007</v>
      </c>
      <c r="C24" s="21" t="s">
        <v>204</v>
      </c>
      <c r="D24" s="21" t="s">
        <v>520</v>
      </c>
      <c r="E24" s="13">
        <v>42889.243564814817</v>
      </c>
      <c r="F24" s="13">
        <v>42889.248182870368</v>
      </c>
      <c r="G24" s="7">
        <v>1</v>
      </c>
      <c r="H24" s="21" t="s">
        <v>364</v>
      </c>
      <c r="I24" s="13">
        <v>42889.274016203701</v>
      </c>
      <c r="J24" s="7">
        <v>0</v>
      </c>
      <c r="K24" s="92" t="str">
        <f t="shared" si="0"/>
        <v>4007/4008</v>
      </c>
      <c r="L24" s="21" t="str">
        <f>VLOOKUP(A24,'Trips&amp;Operators'!$C$1:$G$99999,5,FALSE)</f>
        <v>DE LA ROSA ALEX</v>
      </c>
      <c r="M24" s="6">
        <f t="shared" si="1"/>
        <v>2.5833333333139308E-2</v>
      </c>
      <c r="N24" s="7">
        <f t="shared" si="2"/>
        <v>37.199999999720603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-03T04:50:44-0600',mode:absolute,to:'2017-06-03T07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23.2971</v>
      </c>
      <c r="Z24" s="204">
        <f t="shared" si="9"/>
        <v>1.47E-2</v>
      </c>
      <c r="AA24" s="204">
        <f t="shared" si="10"/>
        <v>23.282399999999999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0112-03</v>
      </c>
      <c r="AE24" s="80" t="str">
        <f t="shared" si="12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24" s="77" t="str">
        <f t="shared" si="13"/>
        <v>"C:\Program Files (x86)\AstroGrep\AstroGrep.exe" /e /r /s /spath="%USERPROFILE%\AppData\Local\Temp\OnboardLogs" /stypes="app*4007*20170603*"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112-03 --locoid 4007 --swversion DE.1.0.9.0 --startMP 204:232971 --initTime 2017-06-03T05:50:44 --startdatetime 2017-06-03T05:57:23 --delay 1 --endMP 204:147 --enddatetime 2017-06-03T06:34:35 --enforcementcount 0 &gt;&gt;C:\Users\stu\Documents\GitHub\eaglep3-reporting\EC\2017-06-03-refined-times.txt</v>
      </c>
      <c r="AI24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{"issue":{"subject":"","project_id":79,"tracker_id":40,"status_id":1,"priority_id":2,"assigned_to_id":23,"start_date":"2017-06-03","description":"","custom_fields":[{"id":1,"name":"Subdivision","value":"EC"},{"id":4,"name":"Milepost","value":"0.0147"},{"id":17,"name":"Train ID","value":"112-03"},{"id":16,"name":"Locomotive ID","value":"4007"},{"id":130,"name":"Impact","value":""},{"id":150,"name":"Time of Event (Mountain Time)","value":"06:34:35"},{"id":151,"name":"Denver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4007 --day 2017-06-03</v>
      </c>
      <c r="AN24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677</v>
      </c>
      <c r="B25" s="7">
        <v>4050</v>
      </c>
      <c r="C25" s="21" t="s">
        <v>204</v>
      </c>
      <c r="D25" s="21" t="s">
        <v>359</v>
      </c>
      <c r="E25" s="13">
        <v>42889.213067129633</v>
      </c>
      <c r="F25" s="13">
        <v>42889.218958333331</v>
      </c>
      <c r="G25" s="7">
        <v>1</v>
      </c>
      <c r="H25" s="21" t="s">
        <v>599</v>
      </c>
      <c r="I25" s="13">
        <v>42889.245219907411</v>
      </c>
      <c r="J25" s="7">
        <v>0</v>
      </c>
      <c r="K25" s="92" t="str">
        <f t="shared" si="0"/>
        <v>4049/4050</v>
      </c>
      <c r="L25" s="21" t="str">
        <f>VLOOKUP(A25,'Trips&amp;Operators'!$C$1:$G$99999,5,FALSE)</f>
        <v>DAVIDSON DAVID</v>
      </c>
      <c r="M25" s="6">
        <f t="shared" si="1"/>
        <v>2.6261574079398997E-2</v>
      </c>
      <c r="N25" s="7">
        <f t="shared" si="2"/>
        <v>37.816666674334556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-03T04:06:49-0600',mode:absolute,to:'2017-06-03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4.53E-2</v>
      </c>
      <c r="Z25" s="204">
        <f t="shared" si="9"/>
        <v>23.329799999999999</v>
      </c>
      <c r="AA25" s="204">
        <f t="shared" si="10"/>
        <v>23.284499999999998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0113-03</v>
      </c>
      <c r="AE25" s="80" t="str">
        <f t="shared" si="12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25" s="77" t="str">
        <f t="shared" si="13"/>
        <v>"C:\Program Files (x86)\AstroGrep\AstroGrep.exe" /e /r /s /spath="%USERPROFILE%\AppData\Local\Temp\OnboardLogs" /stypes="app*4050*20170603*"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113-03 --locoid 4050 --swversion DE.1.0.9.0 --startMP 204:453 --initTime 2017-06-03T05:06:49 --startdatetime 2017-06-03T05:15:18 --delay 1 --endMP 204:233298 --enddatetime 2017-06-03T05:53:07 --enforcementcount 0 &gt;&gt;C:\Users\stu\Documents\GitHub\eaglep3-reporting\EC\2017-06-03-refined-times.txt</v>
      </c>
      <c r="AI25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{"issue":{"subject":"","project_id":79,"tracker_id":40,"status_id":1,"priority_id":2,"assigned_to_id":23,"start_date":"2017-06-03","description":"","custom_fields":[{"id":1,"name":"Subdivision","value":"EC"},{"id":4,"name":"Milepost","value":"23.3298"},{"id":17,"name":"Train ID","value":"113-03"},{"id":16,"name":"Locomotive ID","value":"4050"},{"id":130,"name":"Impact","value":""},{"id":150,"name":"Time of Event (Mountain Time)","value":"05:53:07"},{"id":151,"name":"Denver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4050 --day 2017-06-03</v>
      </c>
      <c r="AN25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687</v>
      </c>
      <c r="B26" s="7">
        <v>4049</v>
      </c>
      <c r="C26" s="21" t="s">
        <v>204</v>
      </c>
      <c r="D26" s="21" t="s">
        <v>466</v>
      </c>
      <c r="E26" s="13">
        <v>42889.247662037036</v>
      </c>
      <c r="F26" s="13">
        <v>42889.258715277778</v>
      </c>
      <c r="G26" s="7">
        <v>1</v>
      </c>
      <c r="H26" s="21" t="s">
        <v>363</v>
      </c>
      <c r="I26" s="13">
        <v>42889.285671296297</v>
      </c>
      <c r="J26" s="7">
        <v>0</v>
      </c>
      <c r="K26" s="92" t="str">
        <f t="shared" si="0"/>
        <v>4049/4050</v>
      </c>
      <c r="L26" s="21" t="str">
        <f>VLOOKUP(A26,'Trips&amp;Operators'!$C$1:$G$99999,5,FALSE)</f>
        <v>DAVIDSON DAVID</v>
      </c>
      <c r="M26" s="6">
        <f t="shared" si="1"/>
        <v>2.6956018518831115E-2</v>
      </c>
      <c r="N26" s="7">
        <f t="shared" si="2"/>
        <v>38.816666667116806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-03T04:56:38-0600',mode:absolute,to:'2017-06-03T07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23.2987</v>
      </c>
      <c r="Z26" s="204">
        <f t="shared" si="9"/>
        <v>1.41E-2</v>
      </c>
      <c r="AA26" s="204">
        <f t="shared" si="10"/>
        <v>23.284600000000001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0114-03</v>
      </c>
      <c r="AE26" s="80" t="str">
        <f t="shared" si="12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26" s="77" t="str">
        <f t="shared" si="13"/>
        <v>"C:\Program Files (x86)\AstroGrep\AstroGrep.exe" /e /r /s /spath="%USERPROFILE%\AppData\Local\Temp\OnboardLogs" /stypes="app*4049*20170603*"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114-03 --locoid 4049 --swversion DE.1.0.9.0 --startMP 204:232987 --initTime 2017-06-03T05:56:38 --startdatetime 2017-06-03T06:12:33 --delay 1 --endMP 204:141 --enddatetime 2017-06-03T06:51:22 --enforcementcount 0 &gt;&gt;C:\Users\stu\Documents\GitHub\eaglep3-reporting\EC\2017-06-03-refined-times.txt</v>
      </c>
      <c r="AI26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{"issue":{"subject":"","project_id":79,"tracker_id":40,"status_id":1,"priority_id":2,"assigned_to_id":23,"start_date":"2017-06-03","description":"","custom_fields":[{"id":1,"name":"Subdivision","value":"EC"},{"id":4,"name":"Milepost","value":"0.0141"},{"id":17,"name":"Train ID","value":"114-03"},{"id":16,"name":"Locomotive ID","value":"4049"},{"id":130,"name":"Impact","value":""},{"id":150,"name":"Time of Event (Mountain Time)","value":"06:51:22"},{"id":151,"name":"Denver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4049 --day 2017-06-03</v>
      </c>
      <c r="AN26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681</v>
      </c>
      <c r="B27" s="7">
        <v>4010</v>
      </c>
      <c r="C27" s="21" t="s">
        <v>204</v>
      </c>
      <c r="D27" s="21" t="s">
        <v>355</v>
      </c>
      <c r="E27" s="13">
        <v>42889.226435185185</v>
      </c>
      <c r="F27" s="13">
        <v>42889.229351851849</v>
      </c>
      <c r="G27" s="7">
        <v>1</v>
      </c>
      <c r="H27" s="21" t="s">
        <v>863</v>
      </c>
      <c r="I27" s="13">
        <v>42889.255752314813</v>
      </c>
      <c r="J27" s="7">
        <v>0</v>
      </c>
      <c r="K27" s="92" t="str">
        <f t="shared" si="0"/>
        <v>4009/4010</v>
      </c>
      <c r="L27" s="21" t="str">
        <f>VLOOKUP(A27,'Trips&amp;Operators'!$C$1:$G$99999,5,FALSE)</f>
        <v>WILLIAMS DONTE</v>
      </c>
      <c r="M27" s="6">
        <f t="shared" si="1"/>
        <v>2.6400462964375038E-2</v>
      </c>
      <c r="N27" s="7">
        <f t="shared" si="2"/>
        <v>38.016666668700054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-03T04:26:04-0600',mode:absolute,to:'2017-06-03T07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4.6600000000000003E-2</v>
      </c>
      <c r="Z27" s="204">
        <f t="shared" si="9"/>
        <v>23.3307</v>
      </c>
      <c r="AA27" s="204">
        <f t="shared" si="10"/>
        <v>23.284099999999999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0115-03</v>
      </c>
      <c r="AE27" s="80" t="str">
        <f t="shared" si="12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27" s="77" t="str">
        <f t="shared" si="13"/>
        <v>"C:\Program Files (x86)\AstroGrep\AstroGrep.exe" /e /r /s /spath="%USERPROFILE%\AppData\Local\Temp\OnboardLogs" /stypes="app*4010*20170603*"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115-03 --locoid 4010 --swversion DE.1.0.9.0 --startMP 204:466 --initTime 2017-06-03T05:26:04 --startdatetime 2017-06-03T05:30:16 --delay 1 --endMP 204:233307 --enddatetime 2017-06-03T06:08:17 --enforcementcount 0 &gt;&gt;C:\Users\stu\Documents\GitHub\eaglep3-reporting\EC\2017-06-03-refined-times.txt</v>
      </c>
      <c r="AI27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{"issue":{"subject":"","project_id":79,"tracker_id":40,"status_id":1,"priority_id":2,"assigned_to_id":23,"start_date":"2017-06-03","description":"","custom_fields":[{"id":1,"name":"Subdivision","value":"EC"},{"id":4,"name":"Milepost","value":"23.3307"},{"id":17,"name":"Train ID","value":"115-03"},{"id":16,"name":"Locomotive ID","value":"4010"},{"id":130,"name":"Impact","value":""},{"id":150,"name":"Time of Event (Mountain Time)","value":"06:08:17"},{"id":151,"name":"Denver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4010 --day 2017-06-03</v>
      </c>
      <c r="AN27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690</v>
      </c>
      <c r="B28" s="7">
        <v>4009</v>
      </c>
      <c r="C28" s="21" t="s">
        <v>204</v>
      </c>
      <c r="D28" s="21" t="s">
        <v>481</v>
      </c>
      <c r="E28" s="13">
        <v>42889.258425925924</v>
      </c>
      <c r="F28" s="13">
        <v>42889.269062500003</v>
      </c>
      <c r="G28" s="7">
        <v>1</v>
      </c>
      <c r="H28" s="21" t="s">
        <v>864</v>
      </c>
      <c r="I28" s="13">
        <v>42889.296527777777</v>
      </c>
      <c r="J28" s="7">
        <v>0</v>
      </c>
      <c r="K28" s="92" t="str">
        <f t="shared" si="0"/>
        <v>4009/4010</v>
      </c>
      <c r="L28" s="21" t="str">
        <f>VLOOKUP(A28,'Trips&amp;Operators'!$C$1:$G$99999,5,FALSE)</f>
        <v>WILLIAMS DONTE</v>
      </c>
      <c r="M28" s="6">
        <f t="shared" si="1"/>
        <v>2.7465277773444541E-2</v>
      </c>
      <c r="N28" s="7">
        <f t="shared" si="2"/>
        <v>39.549999993760139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-03T05:12:08-0600',mode:absolute,to:'2017-06-03T08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23.297799999999999</v>
      </c>
      <c r="Z28" s="204">
        <f t="shared" si="9"/>
        <v>1.2999999999999999E-2</v>
      </c>
      <c r="AA28" s="204">
        <f t="shared" si="10"/>
        <v>23.284799999999997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0116-03</v>
      </c>
      <c r="AE28" s="80" t="str">
        <f t="shared" si="12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28" s="77" t="str">
        <f t="shared" si="13"/>
        <v>"C:\Program Files (x86)\AstroGrep\AstroGrep.exe" /e /r /s /spath="%USERPROFILE%\AppData\Local\Temp\OnboardLogs" /stypes="app*4009*20170603*"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116-03 --locoid 4009 --swversion DE.1.0.9.0 --startMP 204:232978 --initTime 2017-06-03T06:12:08 --startdatetime 2017-06-03T06:27:27 --delay 1 --endMP 204:130 --enddatetime 2017-06-03T07:07:00 --enforcementcount 0 &gt;&gt;C:\Users\stu\Documents\GitHub\eaglep3-reporting\EC\2017-06-03-refined-times.txt</v>
      </c>
      <c r="AI28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{"issue":{"subject":"","project_id":79,"tracker_id":40,"status_id":1,"priority_id":2,"assigned_to_id":23,"start_date":"2017-06-03","description":"","custom_fields":[{"id":1,"name":"Subdivision","value":"EC"},{"id":4,"name":"Milepost","value":"0.013"},{"id":17,"name":"Train ID","value":"116-03"},{"id":16,"name":"Locomotive ID","value":"4009"},{"id":130,"name":"Impact","value":""},{"id":150,"name":"Time of Event (Mountain Time)","value":"07:07:00"},{"id":151,"name":"Denver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4009 --day 2017-06-03</v>
      </c>
      <c r="AN28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683</v>
      </c>
      <c r="B29" s="7">
        <v>4044</v>
      </c>
      <c r="C29" s="21" t="s">
        <v>204</v>
      </c>
      <c r="D29" s="21" t="s">
        <v>478</v>
      </c>
      <c r="E29" s="13">
        <v>42889.230474537035</v>
      </c>
      <c r="F29" s="13">
        <v>42889.23978009259</v>
      </c>
      <c r="G29" s="7">
        <v>1</v>
      </c>
      <c r="H29" s="21" t="s">
        <v>596</v>
      </c>
      <c r="I29" s="13">
        <v>42889.265289351853</v>
      </c>
      <c r="J29" s="7">
        <v>0</v>
      </c>
      <c r="K29" s="92" t="str">
        <f t="shared" si="0"/>
        <v>4043/4044</v>
      </c>
      <c r="L29" s="21" t="str">
        <f>VLOOKUP(A29,'Trips&amp;Operators'!$C$1:$G$99999,5,FALSE)</f>
        <v>GUZMAN DANNY</v>
      </c>
      <c r="M29" s="6">
        <f t="shared" si="1"/>
        <v>2.5509259263344575E-2</v>
      </c>
      <c r="N29" s="7">
        <f t="shared" si="2"/>
        <v>36.733333339216188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-03T04:31:53-0600',mode:absolute,to:'2017-06-03T07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4.6899999999999997E-2</v>
      </c>
      <c r="Z29" s="204">
        <f t="shared" si="9"/>
        <v>23.3308</v>
      </c>
      <c r="AA29" s="204">
        <f t="shared" si="10"/>
        <v>23.283899999999999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0117-03</v>
      </c>
      <c r="AE29" s="80" t="str">
        <f t="shared" si="12"/>
        <v>aws s3 cp s3://rtdc.mdm.uploadarchive.raw/RTDC4044/ "%USERPROFILE%\AppData\Local\Temp\OnboardLogs"\RTDC4044\2017-06-03 --exclude "*" --recursive --include "*20170603*" &amp; "%USERPROFILE%\Documents\GitHub\mrs-test-scripts\Headless Mode &amp; Sideloading\WalkAndUnGZ.bat" "%USERPROFILE%\AppData\Local\Temp\OnboardLogs"\RTDC4044\2017-06-03 &amp; aws s3 cp s3://rtdc.mdm.uploadarchive.raw/RTDC4044/ "%USERPROFILE%\AppData\Local\Temp\OnboardLogs"\RTDC4044\2017-06-04 --exclude "*" --recursive --include "*20170604*" &amp; "%USERPROFILE%\Documents\GitHub\mrs-test-scripts\Headless Mode &amp; Sideloading\WalkAndUnGZ.bat" "%USERPROFILE%\AppData\Local\Temp\OnboardLogs"\RTDC4044\2017-06-04</v>
      </c>
      <c r="AF29" s="77" t="str">
        <f t="shared" si="13"/>
        <v>"C:\Program Files (x86)\AstroGrep\AstroGrep.exe" /e /r /s /spath="%USERPROFILE%\AppData\Local\Temp\OnboardLogs" /stypes="app*4044*20170603*"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117-03 --locoid 4044 --swversion DE.1.0.9.0 --startMP 204:469 --initTime 2017-06-03T05:31:53 --startdatetime 2017-06-03T05:45:17 --delay 1 --endMP 204:233308 --enddatetime 2017-06-03T06:22:01 --enforcementcount 0 &gt;&gt;C:\Users\stu\Documents\GitHub\eaglep3-reporting\EC\2017-06-03-refined-times.txt</v>
      </c>
      <c r="AI29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{"issue":{"subject":"","project_id":79,"tracker_id":40,"status_id":1,"priority_id":2,"assigned_to_id":23,"start_date":"2017-06-03","description":"","custom_fields":[{"id":1,"name":"Subdivision","value":"EC"},{"id":4,"name":"Milepost","value":"23.3308"},{"id":17,"name":"Train ID","value":"117-03"},{"id":16,"name":"Locomotive ID","value":"4044"},{"id":130,"name":"Impact","value":""},{"id":150,"name":"Time of Event (Mountain Time)","value":"06:22:01"},{"id":151,"name":"Denver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4044 --day 2017-06-03</v>
      </c>
      <c r="AN29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692</v>
      </c>
      <c r="B30" s="7">
        <v>4043</v>
      </c>
      <c r="C30" s="21" t="s">
        <v>204</v>
      </c>
      <c r="D30" s="21" t="s">
        <v>528</v>
      </c>
      <c r="E30" s="13">
        <v>42889.267164351855</v>
      </c>
      <c r="F30" s="13">
        <v>42889.279374999998</v>
      </c>
      <c r="G30" s="7">
        <v>1</v>
      </c>
      <c r="H30" s="21" t="s">
        <v>364</v>
      </c>
      <c r="I30" s="13">
        <v>42889.306041666663</v>
      </c>
      <c r="J30" s="7">
        <v>0</v>
      </c>
      <c r="K30" s="92" t="str">
        <f t="shared" si="0"/>
        <v>4043/4044</v>
      </c>
      <c r="L30" s="21" t="str">
        <f>VLOOKUP(A30,'Trips&amp;Operators'!$C$1:$G$99999,5,FALSE)</f>
        <v>GUZMAN DANNY</v>
      </c>
      <c r="M30" s="6">
        <f t="shared" si="1"/>
        <v>2.6666666664823424E-2</v>
      </c>
      <c r="N30" s="7">
        <f t="shared" si="2"/>
        <v>38.399999997345731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-03T05:24:43-0600',mode:absolute,to:'2017-06-03T08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23.300599999999999</v>
      </c>
      <c r="Z30" s="204">
        <f t="shared" si="9"/>
        <v>1.47E-2</v>
      </c>
      <c r="AA30" s="204">
        <f t="shared" si="10"/>
        <v>23.285899999999998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0118-03</v>
      </c>
      <c r="AE30" s="80" t="str">
        <f t="shared" si="12"/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AF30" s="77" t="str">
        <f t="shared" si="13"/>
        <v>"C:\Program Files (x86)\AstroGrep\AstroGrep.exe" /e /r /s /spath="%USERPROFILE%\AppData\Local\Temp\OnboardLogs" /stypes="app*4043*20170603*"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118-03 --locoid 4043 --swversion DE.1.0.9.0 --startMP 204:233006 --initTime 2017-06-03T06:24:43 --startdatetime 2017-06-03T06:42:18 --delay 1 --endMP 204:147 --enddatetime 2017-06-03T07:20:42 --enforcementcount 0 &gt;&gt;C:\Users\stu\Documents\GitHub\eaglep3-reporting\EC\2017-06-03-refined-times.txt</v>
      </c>
      <c r="AI30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{"issue":{"subject":"","project_id":79,"tracker_id":40,"status_id":1,"priority_id":2,"assigned_to_id":23,"start_date":"2017-06-03","description":"","custom_fields":[{"id":1,"name":"Subdivision","value":"EC"},{"id":4,"name":"Milepost","value":"0.0147"},{"id":17,"name":"Train ID","value":"118-03"},{"id":16,"name":"Locomotive ID","value":"4043"},{"id":130,"name":"Impact","value":""},{"id":150,"name":"Time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4043 --day 2017-06-03</v>
      </c>
      <c r="AN30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686</v>
      </c>
      <c r="B31" s="7">
        <v>4026</v>
      </c>
      <c r="C31" s="21" t="s">
        <v>204</v>
      </c>
      <c r="D31" s="21" t="s">
        <v>358</v>
      </c>
      <c r="E31" s="13">
        <v>42889.245393518519</v>
      </c>
      <c r="F31" s="13">
        <v>42889.250138888892</v>
      </c>
      <c r="G31" s="7">
        <v>1</v>
      </c>
      <c r="H31" s="21" t="s">
        <v>492</v>
      </c>
      <c r="I31" s="13">
        <v>42889.276516203703</v>
      </c>
      <c r="J31" s="7">
        <v>0</v>
      </c>
      <c r="K31" s="92" t="str">
        <f t="shared" si="0"/>
        <v>4025/4026</v>
      </c>
      <c r="L31" s="21" t="str">
        <f>VLOOKUP(A31,'Trips&amp;Operators'!$C$1:$G$99999,5,FALSE)</f>
        <v>DAVIS WENDY</v>
      </c>
      <c r="M31" s="6">
        <f t="shared" si="1"/>
        <v>2.6377314810815733E-2</v>
      </c>
      <c r="N31" s="7">
        <f t="shared" si="2"/>
        <v>37.983333327574655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-03T04:53:22-0600',mode:absolute,to:'2017-06-03T07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4.6399999999999997E-2</v>
      </c>
      <c r="Z31" s="204">
        <f t="shared" si="9"/>
        <v>23.330300000000001</v>
      </c>
      <c r="AA31" s="204">
        <f t="shared" si="10"/>
        <v>23.283900000000003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0119-03</v>
      </c>
      <c r="AE31" s="80" t="str">
        <f t="shared" si="12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31" s="77" t="str">
        <f t="shared" si="13"/>
        <v>"C:\Program Files (x86)\AstroGrep\AstroGrep.exe" /e /r /s /spath="%USERPROFILE%\AppData\Local\Temp\OnboardLogs" /stypes="app*4026*20170603*"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119-03 --locoid 4026 --swversion DE.1.0.9.0 --startMP 204:464 --initTime 2017-06-03T05:53:22 --startdatetime 2017-06-03T06:00:12 --delay 1 --endMP 204:233303 --enddatetime 2017-06-03T06:38:11 --enforcementcount 0 &gt;&gt;C:\Users\stu\Documents\GitHub\eaglep3-reporting\EC\2017-06-03-refined-times.txt</v>
      </c>
      <c r="AI31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{"issue":{"subject":"","project_id":79,"tracker_id":40,"status_id":1,"priority_id":2,"assigned_to_id":23,"start_date":"2017-06-03","description":"","custom_fields":[{"id":1,"name":"Subdivision","value":"EC"},{"id":4,"name":"Milepost","value":"23.3303"},{"id":17,"name":"Train ID","value":"119-03"},{"id":16,"name":"Locomotive ID","value":"4026"},{"id":130,"name":"Impact","value":""},{"id":150,"name":"Time of Event (Mountain Time)","value":"06:38:11"},{"id":151,"name":"Denver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4026 --day 2017-06-03</v>
      </c>
      <c r="AN31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695</v>
      </c>
      <c r="B32" s="7">
        <v>4025</v>
      </c>
      <c r="C32" s="21" t="s">
        <v>204</v>
      </c>
      <c r="D32" s="21" t="s">
        <v>441</v>
      </c>
      <c r="E32" s="13">
        <v>42889.287326388891</v>
      </c>
      <c r="F32" s="13">
        <v>42889.28974537037</v>
      </c>
      <c r="G32" s="7">
        <v>1</v>
      </c>
      <c r="H32" s="21" t="s">
        <v>364</v>
      </c>
      <c r="I32" s="13">
        <v>42889.31621527778</v>
      </c>
      <c r="J32" s="7">
        <v>0</v>
      </c>
      <c r="K32" s="92" t="str">
        <f t="shared" si="0"/>
        <v>4025/4026</v>
      </c>
      <c r="L32" s="21" t="str">
        <f>VLOOKUP(A32,'Trips&amp;Operators'!$C$1:$G$99999,5,FALSE)</f>
        <v>DAVIS WENDY</v>
      </c>
      <c r="M32" s="6">
        <f t="shared" si="1"/>
        <v>2.6469907410501037E-2</v>
      </c>
      <c r="N32" s="7">
        <f t="shared" si="2"/>
        <v>38.116666671121493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-03T05:53:45-0600',mode:absolute,to:'2017-06-03T08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23.297999999999998</v>
      </c>
      <c r="Z32" s="204">
        <f t="shared" si="9"/>
        <v>1.47E-2</v>
      </c>
      <c r="AA32" s="204">
        <f t="shared" si="10"/>
        <v>23.283299999999997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0120-03</v>
      </c>
      <c r="AE32" s="80" t="str">
        <f t="shared" si="12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32" s="77" t="str">
        <f t="shared" si="13"/>
        <v>"C:\Program Files (x86)\AstroGrep\AstroGrep.exe" /e /r /s /spath="%USERPROFILE%\AppData\Local\Temp\OnboardLogs" /stypes="app*4025*20170603*"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120-03 --locoid 4025 --swversion DE.1.0.9.0 --startMP 204:232980 --initTime 2017-06-03T06:53:45 --startdatetime 2017-06-03T06:57:14 --delay 1 --endMP 204:147 --enddatetime 2017-06-03T07:35:21 --enforcementcount 0 &gt;&gt;C:\Users\stu\Documents\GitHub\eaglep3-reporting\EC\2017-06-03-refined-times.txt</v>
      </c>
      <c r="AI32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{"issue":{"subject":"","project_id":79,"tracker_id":40,"status_id":1,"priority_id":2,"assigned_to_id":23,"start_date":"2017-06-03","description":"","custom_fields":[{"id":1,"name":"Subdivision","value":"EC"},{"id":4,"name":"Milepost","value":"0.0147"},{"id":17,"name":"Train ID","value":"120-03"},{"id":16,"name":"Locomotive ID","value":"4025"},{"id":130,"name":"Impact","value":""},{"id":150,"name":"Time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4025 --day 2017-06-03</v>
      </c>
      <c r="AN32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689</v>
      </c>
      <c r="B33" s="7">
        <v>4014</v>
      </c>
      <c r="C33" s="21" t="s">
        <v>204</v>
      </c>
      <c r="D33" s="21" t="s">
        <v>351</v>
      </c>
      <c r="E33" s="13">
        <v>42889.255798611113</v>
      </c>
      <c r="F33" s="13">
        <v>42889.260682870372</v>
      </c>
      <c r="G33" s="7">
        <v>1</v>
      </c>
      <c r="H33" s="21" t="s">
        <v>598</v>
      </c>
      <c r="I33" s="13">
        <v>42889.285324074073</v>
      </c>
      <c r="J33" s="7">
        <v>0</v>
      </c>
      <c r="K33" s="92" t="str">
        <f t="shared" si="0"/>
        <v>4013/4014</v>
      </c>
      <c r="L33" s="21" t="str">
        <f>VLOOKUP(A33,'Trips&amp;Operators'!$C$1:$G$99999,5,FALSE)</f>
        <v>GEBRETEKLE DAGNEW</v>
      </c>
      <c r="M33" s="6">
        <f t="shared" si="1"/>
        <v>2.4641203701321501E-2</v>
      </c>
      <c r="N33" s="7">
        <f t="shared" si="2"/>
        <v>35.483333329902962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-03T05:08:21-0600',mode:absolute,to:'2017-06-03T07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4.58E-2</v>
      </c>
      <c r="Z33" s="204">
        <f t="shared" si="9"/>
        <v>23.332699999999999</v>
      </c>
      <c r="AA33" s="204">
        <f t="shared" si="10"/>
        <v>23.286899999999999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0121-03</v>
      </c>
      <c r="AE33" s="80" t="str">
        <f t="shared" si="12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33" s="77" t="str">
        <f t="shared" si="13"/>
        <v>"C:\Program Files (x86)\AstroGrep\AstroGrep.exe" /e /r /s /spath="%USERPROFILE%\AppData\Local\Temp\OnboardLogs" /stypes="app*4014*20170603*"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121-03 --locoid 4014 --swversion DE.1.0.9.0 --startMP 204:458 --initTime 2017-06-03T06:08:21 --startdatetime 2017-06-03T06:15:23 --delay 1 --endMP 204:233327 --enddatetime 2017-06-03T06:50:52 --enforcementcount 0 &gt;&gt;C:\Users\stu\Documents\GitHub\eaglep3-reporting\EC\2017-06-03-refined-times.txt</v>
      </c>
      <c r="AI33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{"issue":{"subject":"","project_id":79,"tracker_id":40,"status_id":1,"priority_id":2,"assigned_to_id":23,"start_date":"2017-06-03","description":"","custom_fields":[{"id":1,"name":"Subdivision","value":"EC"},{"id":4,"name":"Milepost","value":"23.3327"},{"id":17,"name":"Train ID","value":"121-03"},{"id":16,"name":"Locomotive ID","value":"4014"},{"id":130,"name":"Impact","value":""},{"id":150,"name":"Time of Event (Mountain Time)","value":"06:50:52"},{"id":151,"name":"Denver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4014 --day 2017-06-03</v>
      </c>
      <c r="AN33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697</v>
      </c>
      <c r="B34" s="7">
        <v>4013</v>
      </c>
      <c r="C34" s="21" t="s">
        <v>204</v>
      </c>
      <c r="D34" s="21" t="s">
        <v>865</v>
      </c>
      <c r="E34" s="13">
        <v>42889.296284722222</v>
      </c>
      <c r="F34" s="13">
        <v>42889.300254629627</v>
      </c>
      <c r="G34" s="7">
        <v>2</v>
      </c>
      <c r="H34" s="21" t="s">
        <v>403</v>
      </c>
      <c r="I34" s="13">
        <v>42889.326157407406</v>
      </c>
      <c r="J34" s="7">
        <v>0</v>
      </c>
      <c r="K34" s="92" t="str">
        <f t="shared" si="0"/>
        <v>4013/4014</v>
      </c>
      <c r="L34" s="21" t="str">
        <f>VLOOKUP(A34,'Trips&amp;Operators'!$C$1:$G$99999,5,FALSE)</f>
        <v>GEBRETEKLE DAGNEW</v>
      </c>
      <c r="M34" s="6">
        <f t="shared" si="1"/>
        <v>2.5902777779265307E-2</v>
      </c>
      <c r="N34" s="7">
        <f t="shared" si="2"/>
        <v>37.300000002142042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-03T06:06:39-0600',mode:absolute,to:'2017-06-03T08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23.302099999999999</v>
      </c>
      <c r="Z34" s="204">
        <f t="shared" si="9"/>
        <v>1.54E-2</v>
      </c>
      <c r="AA34" s="204">
        <f t="shared" si="10"/>
        <v>23.2867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0122-03</v>
      </c>
      <c r="AE34" s="80" t="str">
        <f t="shared" si="12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34" s="77" t="str">
        <f t="shared" si="13"/>
        <v>"C:\Program Files (x86)\AstroGrep\AstroGrep.exe" /e /r /s /spath="%USERPROFILE%\AppData\Local\Temp\OnboardLogs" /stypes="app*4013*20170603*"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122-03 --locoid 4013 --swversion DE.1.0.9.0 --startMP 204:233021 --initTime 2017-06-03T07:06:39 --startdatetime 2017-06-03T07:12:22 --delay 2 --endMP 204:154 --enddatetime 2017-06-03T07:49:40 --enforcementcount 0 &gt;&gt;C:\Users\stu\Documents\GitHub\eaglep3-reporting\EC\2017-06-03-refined-times.txt</v>
      </c>
      <c r="AI34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ID","value":"122-03"},{"id":16,"name":"Locomotive ID","value":"4013"},{"id":130,"name":"Impact","value":""},{"id":150,"name":"Time of Event (Mountain Time)","value":"07:49:40"},{"id":151,"name":"Denver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4013 --day 2017-06-03</v>
      </c>
      <c r="AN34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691</v>
      </c>
      <c r="B35" s="7">
        <v>4004</v>
      </c>
      <c r="C35" s="21" t="s">
        <v>204</v>
      </c>
      <c r="D35" s="21" t="s">
        <v>584</v>
      </c>
      <c r="E35" s="13">
        <v>42889.264965277776</v>
      </c>
      <c r="F35" s="13">
        <v>42889.271018518521</v>
      </c>
      <c r="G35" s="7">
        <v>1</v>
      </c>
      <c r="H35" s="21" t="s">
        <v>866</v>
      </c>
      <c r="I35" s="13">
        <v>42889.295937499999</v>
      </c>
      <c r="J35" s="7">
        <v>0</v>
      </c>
      <c r="K35" s="92" t="str">
        <f t="shared" si="0"/>
        <v>4003/4004</v>
      </c>
      <c r="L35" s="21" t="str">
        <f>VLOOKUP(A35,'Trips&amp;Operators'!$C$1:$G$99999,5,FALSE)</f>
        <v>LALONDE GREGORY</v>
      </c>
      <c r="M35" s="6">
        <f t="shared" si="1"/>
        <v>2.491898147854954E-2</v>
      </c>
      <c r="N35" s="7">
        <f t="shared" si="2"/>
        <v>35.883333329111338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-03T05:21:33-0600',mode:absolute,to:'2017-06-03T08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4.7100000000000003E-2</v>
      </c>
      <c r="Z35" s="204">
        <f t="shared" si="9"/>
        <v>23.3353</v>
      </c>
      <c r="AA35" s="204">
        <f t="shared" si="10"/>
        <v>23.2882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0123-03</v>
      </c>
      <c r="AE35" s="80" t="str">
        <f t="shared" si="12"/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35" s="77" t="str">
        <f t="shared" si="13"/>
        <v>"C:\Program Files (x86)\AstroGrep\AstroGrep.exe" /e /r /s /spath="%USERPROFILE%\AppData\Local\Temp\OnboardLogs" /stypes="app*4004*20170603*"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123-03 --locoid 4004 --swversion DE.1.0.9.0 --startMP 204:471 --initTime 2017-06-03T06:21:33 --startdatetime 2017-06-03T06:30:16 --delay 1 --endMP 204:233353 --enddatetime 2017-06-03T07:06:09 --enforcementcount 0 &gt;&gt;C:\Users\stu\Documents\GitHub\eaglep3-reporting\EC\2017-06-03-refined-times.txt</v>
      </c>
      <c r="AI35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{"issue":{"subject":"","project_id":79,"tracker_id":40,"status_id":1,"priority_id":2,"assigned_to_id":23,"start_date":"2017-06-03","description":"","custom_fields":[{"id":1,"name":"Subdivision","value":"EC"},{"id":4,"name":"Milepost","value":"23.3353"},{"id":17,"name":"Train ID","value":"123-03"},{"id":16,"name":"Locomotive ID","value":"4004"},{"id":130,"name":"Impact","value":""},{"id":150,"name":"Time of Event (Mountain Time)","value":"07:06:09"},{"id":151,"name":"Denver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4004 --day 2017-06-03</v>
      </c>
      <c r="AN35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620</v>
      </c>
      <c r="B36" s="7">
        <v>4003</v>
      </c>
      <c r="C36" s="21" t="s">
        <v>204</v>
      </c>
      <c r="D36" s="21" t="s">
        <v>867</v>
      </c>
      <c r="E36" s="13">
        <v>42889.29724537037</v>
      </c>
      <c r="F36" s="13">
        <v>42889.310659722221</v>
      </c>
      <c r="G36" s="7">
        <v>1</v>
      </c>
      <c r="H36" s="21" t="s">
        <v>354</v>
      </c>
      <c r="I36" s="13">
        <v>42889.336458333331</v>
      </c>
      <c r="J36" s="7">
        <v>0</v>
      </c>
      <c r="K36" s="92" t="str">
        <f t="shared" si="0"/>
        <v>4003/4004</v>
      </c>
      <c r="L36" s="21" t="str">
        <f>VLOOKUP(A36,'Trips&amp;Operators'!$C$1:$G$99999,5,FALSE)</f>
        <v>LALONDE GREGORY</v>
      </c>
      <c r="M36" s="6">
        <f t="shared" si="1"/>
        <v>2.5798611110076308E-2</v>
      </c>
      <c r="N36" s="7">
        <f t="shared" si="2"/>
        <v>37.149999998509884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-03T06:08:02-0600',mode:absolute,to:'2017-06-03T09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23.301500000000001</v>
      </c>
      <c r="Z36" s="204">
        <f t="shared" si="9"/>
        <v>1.43E-2</v>
      </c>
      <c r="AA36" s="204">
        <f t="shared" si="10"/>
        <v>23.287200000000002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0124-03</v>
      </c>
      <c r="AE36" s="80" t="str">
        <f t="shared" si="12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36" s="77" t="str">
        <f t="shared" si="13"/>
        <v>"C:\Program Files (x86)\AstroGrep\AstroGrep.exe" /e /r /s /spath="%USERPROFILE%\AppData\Local\Temp\OnboardLogs" /stypes="app*4003*20170603*"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124-03 --locoid 4003 --swversion DE.1.0.9.0 --startMP 204:233015 --initTime 2017-06-03T07:08:02 --startdatetime 2017-06-03T07:27:21 --delay 1 --endMP 204:143 --enddatetime 2017-06-03T08:04:30 --enforcementcount 0 &gt;&gt;C:\Users\stu\Documents\GitHub\eaglep3-reporting\EC\2017-06-03-refined-times.txt</v>
      </c>
      <c r="AI36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{"issue":{"subject":"","project_id":79,"tracker_id":40,"status_id":1,"priority_id":2,"assigned_to_id":23,"start_date":"2017-06-03","description":"","custom_fields":[{"id":1,"name":"Subdivision","value":"EC"},{"id":4,"name":"Milepost","value":"0.0143"},{"id":17,"name":"Train ID","value":"124-03"},{"id":16,"name":"Locomotive ID","value":"4003"},{"id":130,"name":"Impact","value":""},{"id":150,"name":"Time of Event (Mountain Time)","value":"08:04:30"},{"id":151,"name":"Denver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4003 --day 2017-06-03</v>
      </c>
      <c r="AN36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694</v>
      </c>
      <c r="B37" s="7">
        <v>4008</v>
      </c>
      <c r="C37" s="21" t="s">
        <v>204</v>
      </c>
      <c r="D37" s="21" t="s">
        <v>355</v>
      </c>
      <c r="E37" s="13">
        <v>42889.279398148145</v>
      </c>
      <c r="F37" s="13">
        <v>42889.2815162037</v>
      </c>
      <c r="G37" s="7">
        <v>1</v>
      </c>
      <c r="H37" s="21" t="s">
        <v>530</v>
      </c>
      <c r="I37" s="13">
        <v>42889.306516203702</v>
      </c>
      <c r="J37" s="7">
        <v>0</v>
      </c>
      <c r="K37" s="92" t="str">
        <f t="shared" si="0"/>
        <v>4007/4008</v>
      </c>
      <c r="L37" s="21" t="str">
        <f>VLOOKUP(A37,'Trips&amp;Operators'!$C$1:$G$99999,5,FALSE)</f>
        <v>BEAM ROSS</v>
      </c>
      <c r="M37" s="6">
        <f t="shared" si="1"/>
        <v>2.5000000001455192E-2</v>
      </c>
      <c r="N37" s="7">
        <f t="shared" si="2"/>
        <v>36.000000002095476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-03T05:42:20-0600',mode:absolute,to:'2017-06-03T08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4.6600000000000003E-2</v>
      </c>
      <c r="Z37" s="204">
        <f t="shared" si="9"/>
        <v>23.331700000000001</v>
      </c>
      <c r="AA37" s="204">
        <f t="shared" si="10"/>
        <v>23.2851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0125-03</v>
      </c>
      <c r="AE37" s="80" t="str">
        <f t="shared" si="12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37" s="77" t="str">
        <f t="shared" si="13"/>
        <v>"C:\Program Files (x86)\AstroGrep\AstroGrep.exe" /e /r /s /spath="%USERPROFILE%\AppData\Local\Temp\OnboardLogs" /stypes="app*4008*20170603*"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125-03 --locoid 4008 --swversion DE.1.0.9.0 --startMP 204:466 --initTime 2017-06-03T06:42:20 --startdatetime 2017-06-03T06:45:23 --delay 1 --endMP 204:233317 --enddatetime 2017-06-03T07:21:23 --enforcementcount 0 &gt;&gt;C:\Users\stu\Documents\GitHub\eaglep3-reporting\EC\2017-06-03-refined-times.txt</v>
      </c>
      <c r="AI37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{"issue":{"subject":"","project_id":79,"tracker_id":40,"status_id":1,"priority_id":2,"assigned_to_id":23,"start_date":"2017-06-03","description":"","custom_fields":[{"id":1,"name":"Subdivision","value":"EC"},{"id":4,"name":"Milepost","value":"23.3317"},{"id":17,"name":"Train ID","value":"125-03"},{"id":16,"name":"Locomotive ID","value":"4008"},{"id":130,"name":"Impact","value":""},{"id":150,"name":"Time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4008 --day 2017-06-03</v>
      </c>
      <c r="AN37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621</v>
      </c>
      <c r="B38" s="7">
        <v>4007</v>
      </c>
      <c r="C38" s="21" t="s">
        <v>204</v>
      </c>
      <c r="D38" s="21" t="s">
        <v>529</v>
      </c>
      <c r="E38" s="13">
        <v>42889.316805555558</v>
      </c>
      <c r="F38" s="13">
        <v>42889.321087962962</v>
      </c>
      <c r="G38" s="7">
        <v>1</v>
      </c>
      <c r="H38" s="21" t="s">
        <v>469</v>
      </c>
      <c r="I38" s="13">
        <v>42889.347453703704</v>
      </c>
      <c r="J38" s="7">
        <v>0</v>
      </c>
      <c r="K38" s="92" t="str">
        <f t="shared" si="0"/>
        <v>4007/4008</v>
      </c>
      <c r="L38" s="21" t="str">
        <f>VLOOKUP(A38,'Trips&amp;Operators'!$C$1:$G$99999,5,FALSE)</f>
        <v>BEAM ROSS</v>
      </c>
      <c r="M38" s="6">
        <f t="shared" si="1"/>
        <v>2.6365740741312038E-2</v>
      </c>
      <c r="N38" s="7">
        <f t="shared" si="2"/>
        <v>37.966666667489335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-03T06:36:12-0600',mode:absolute,to:'2017-06-03T09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23.298300000000001</v>
      </c>
      <c r="Z38" s="204">
        <f t="shared" si="9"/>
        <v>1.5599999999999999E-2</v>
      </c>
      <c r="AA38" s="204">
        <f t="shared" si="10"/>
        <v>23.282700000000002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0126-03</v>
      </c>
      <c r="AE38" s="80" t="str">
        <f t="shared" si="12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38" s="77" t="str">
        <f t="shared" si="13"/>
        <v>"C:\Program Files (x86)\AstroGrep\AstroGrep.exe" /e /r /s /spath="%USERPROFILE%\AppData\Local\Temp\OnboardLogs" /stypes="app*4007*20170603*"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126-03 --locoid 4007 --swversion DE.1.0.9.0 --startMP 204:232983 --initTime 2017-06-03T07:36:12 --startdatetime 2017-06-03T07:42:22 --delay 1 --endMP 204:156 --enddatetime 2017-06-03T08:20:20 --enforcementcount 0 &gt;&gt;C:\Users\stu\Documents\GitHub\eaglep3-reporting\EC\2017-06-03-refined-times.txt</v>
      </c>
      <c r="AI38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{"issue":{"subject":"","project_id":79,"tracker_id":40,"status_id":1,"priority_id":2,"assigned_to_id":23,"start_date":"2017-06-03","description":"","custom_fields":[{"id":1,"name":"Subdivision","value":"EC"},{"id":4,"name":"Milepost","value":"0.0156"},{"id":17,"name":"Train ID","value":"126-03"},{"id":16,"name":"Locomotive ID","value":"4007"},{"id":130,"name":"Impact","value":""},{"id":150,"name":"Time of Event (Mountain Time)","value":"08:20:20"},{"id":151,"name":"Denver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4007 --day 2017-06-03</v>
      </c>
      <c r="AN38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696</v>
      </c>
      <c r="B39" s="7">
        <v>4050</v>
      </c>
      <c r="C39" s="21" t="s">
        <v>204</v>
      </c>
      <c r="D39" s="21" t="s">
        <v>584</v>
      </c>
      <c r="E39" s="13">
        <v>42889.287430555552</v>
      </c>
      <c r="F39" s="13">
        <v>42889.291932870372</v>
      </c>
      <c r="G39" s="7">
        <v>1</v>
      </c>
      <c r="H39" s="21" t="s">
        <v>532</v>
      </c>
      <c r="I39" s="13">
        <v>42889.317766203705</v>
      </c>
      <c r="J39" s="7">
        <v>0</v>
      </c>
      <c r="K39" s="92" t="str">
        <f t="shared" si="0"/>
        <v>4049/4050</v>
      </c>
      <c r="L39" s="21" t="str">
        <f>VLOOKUP(A39,'Trips&amp;Operators'!$C$1:$G$99999,5,FALSE)</f>
        <v>DAVIDSON DAVID</v>
      </c>
      <c r="M39" s="6">
        <f t="shared" si="1"/>
        <v>2.5833333333139308E-2</v>
      </c>
      <c r="N39" s="7">
        <f t="shared" si="2"/>
        <v>37.199999999720603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-03T05:53:54-0600',mode:absolute,to:'2017-06-03T08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4.7100000000000003E-2</v>
      </c>
      <c r="Z39" s="204">
        <f t="shared" si="9"/>
        <v>23.328900000000001</v>
      </c>
      <c r="AA39" s="204">
        <f t="shared" si="10"/>
        <v>23.2818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0127-03</v>
      </c>
      <c r="AE39" s="80" t="str">
        <f t="shared" si="12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39" s="77" t="str">
        <f t="shared" si="13"/>
        <v>"C:\Program Files (x86)\AstroGrep\AstroGrep.exe" /e /r /s /spath="%USERPROFILE%\AppData\Local\Temp\OnboardLogs" /stypes="app*4050*20170603*"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127-03 --locoid 4050 --swversion DE.1.0.9.0 --startMP 204:471 --initTime 2017-06-03T06:53:54 --startdatetime 2017-06-03T07:00:23 --delay 1 --endMP 204:233289 --enddatetime 2017-06-03T07:37:35 --enforcementcount 0 &gt;&gt;C:\Users\stu\Documents\GitHub\eaglep3-reporting\EC\2017-06-03-refined-times.txt</v>
      </c>
      <c r="AI39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{"issue":{"subject":"","project_id":79,"tracker_id":40,"status_id":1,"priority_id":2,"assigned_to_id":23,"start_date":"2017-06-03","description":"","custom_fields":[{"id":1,"name":"Subdivision","value":"EC"},{"id":4,"name":"Milepost","value":"23.3289"},{"id":17,"name":"Train ID","value":"127-03"},{"id":16,"name":"Locomotive ID","value":"4050"},{"id":130,"name":"Impact","value":""},{"id":150,"name":"Time of Event (Mountain Time)","value":"07:37:35"},{"id":151,"name":"Denver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4050 --day 2017-06-03</v>
      </c>
      <c r="AN39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701</v>
      </c>
      <c r="B40" s="7">
        <v>4049</v>
      </c>
      <c r="C40" s="21" t="s">
        <v>204</v>
      </c>
      <c r="D40" s="21" t="s">
        <v>601</v>
      </c>
      <c r="E40" s="13">
        <v>42889.319293981483</v>
      </c>
      <c r="F40" s="13">
        <v>42889.331458333334</v>
      </c>
      <c r="G40" s="7">
        <v>1</v>
      </c>
      <c r="H40" s="21" t="s">
        <v>195</v>
      </c>
      <c r="I40" s="13">
        <v>42889.358124999999</v>
      </c>
      <c r="J40" s="7">
        <v>0</v>
      </c>
      <c r="K40" s="92" t="str">
        <f t="shared" si="0"/>
        <v>4049/4050</v>
      </c>
      <c r="L40" s="21" t="str">
        <f>VLOOKUP(A40,'Trips&amp;Operators'!$C$1:$G$99999,5,FALSE)</f>
        <v>DAVIDSON DAVID</v>
      </c>
      <c r="M40" s="6">
        <f t="shared" si="1"/>
        <v>2.6666666664823424E-2</v>
      </c>
      <c r="N40" s="7">
        <f t="shared" si="2"/>
        <v>38.399999997345731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-03T06:39:47-0600',mode:absolute,to:'2017-06-03T09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23.299600000000002</v>
      </c>
      <c r="Z40" s="204">
        <f t="shared" si="9"/>
        <v>1.52E-2</v>
      </c>
      <c r="AA40" s="204">
        <f t="shared" si="10"/>
        <v>23.284400000000002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0128-03</v>
      </c>
      <c r="AE40" s="80" t="str">
        <f t="shared" si="12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40" s="77" t="str">
        <f t="shared" si="13"/>
        <v>"C:\Program Files (x86)\AstroGrep\AstroGrep.exe" /e /r /s /spath="%USERPROFILE%\AppData\Local\Temp\OnboardLogs" /stypes="app*4049*20170603*"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128-03 --locoid 4049 --swversion DE.1.0.9.0 --startMP 204:232996 --initTime 2017-06-03T07:39:47 --startdatetime 2017-06-03T07:57:18 --delay 1 --endMP 204:152 --enddatetime 2017-06-03T08:35:42 --enforcementcount 0 &gt;&gt;C:\Users\stu\Documents\GitHub\eaglep3-reporting\EC\2017-06-03-refined-times.txt</v>
      </c>
      <c r="AI40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{"issue":{"subject":"","project_id":79,"tracker_id":40,"status_id":1,"priority_id":2,"assigned_to_id":23,"start_date":"2017-06-03","description":"","custom_fields":[{"id":1,"name":"Subdivision","value":"EC"},{"id":4,"name":"Milepost","value":"0.0152"},{"id":17,"name":"Train ID","value":"128-03"},{"id":16,"name":"Locomotive ID","value":"4049"},{"id":130,"name":"Impact","value":""},{"id":150,"name":"Time of Event (Mountain Time)","value":"08:35:42"},{"id":151,"name":"Denver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4049 --day 2017-06-03</v>
      </c>
      <c r="AN40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698</v>
      </c>
      <c r="B41" s="7">
        <v>4010</v>
      </c>
      <c r="C41" s="21" t="s">
        <v>204</v>
      </c>
      <c r="D41" s="21" t="s">
        <v>356</v>
      </c>
      <c r="E41" s="13">
        <v>42889.298472222225</v>
      </c>
      <c r="F41" s="13">
        <v>42889.302523148152</v>
      </c>
      <c r="G41" s="7">
        <v>1</v>
      </c>
      <c r="H41" s="21" t="s">
        <v>462</v>
      </c>
      <c r="I41" s="13">
        <v>42889.328611111108</v>
      </c>
      <c r="J41" s="7">
        <v>0</v>
      </c>
      <c r="K41" s="92" t="str">
        <f t="shared" si="0"/>
        <v>4009/4010</v>
      </c>
      <c r="L41" s="21" t="str">
        <f>VLOOKUP(A41,'Trips&amp;Operators'!$C$1:$G$99999,5,FALSE)</f>
        <v>WILLIAMS DONTE</v>
      </c>
      <c r="M41" s="6">
        <f t="shared" si="1"/>
        <v>2.6087962956808042E-2</v>
      </c>
      <c r="N41" s="7">
        <f t="shared" si="2"/>
        <v>37.56666665780358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-03T06:09:48-0600',mode:absolute,to:'2017-06-03T08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4.5100000000000001E-2</v>
      </c>
      <c r="Z41" s="204">
        <f t="shared" si="9"/>
        <v>23.329699999999999</v>
      </c>
      <c r="AA41" s="204">
        <f t="shared" si="10"/>
        <v>23.284599999999998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0129-03</v>
      </c>
      <c r="AE41" s="80" t="str">
        <f t="shared" si="12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41" s="77" t="str">
        <f t="shared" si="13"/>
        <v>"C:\Program Files (x86)\AstroGrep\AstroGrep.exe" /e /r /s /spath="%USERPROFILE%\AppData\Local\Temp\OnboardLogs" /stypes="app*4010*20170603*"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129-03 --locoid 4010 --swversion DE.1.0.9.0 --startMP 204:451 --initTime 2017-06-03T07:09:48 --startdatetime 2017-06-03T07:15:38 --delay 1 --endMP 204:233297 --enddatetime 2017-06-03T07:53:12 --enforcementcount 0 &gt;&gt;C:\Users\stu\Documents\GitHub\eaglep3-reporting\EC\2017-06-03-refined-times.txt</v>
      </c>
      <c r="AI41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{"issue":{"subject":"","project_id":79,"tracker_id":40,"status_id":1,"priority_id":2,"assigned_to_id":23,"start_date":"2017-06-03","description":"","custom_fields":[{"id":1,"name":"Subdivision","value":"EC"},{"id":4,"name":"Milepost","value":"23.3297"},{"id":17,"name":"Train ID","value":"129-03"},{"id":16,"name":"Locomotive ID","value":"4010"},{"id":130,"name":"Impact","value":""},{"id":150,"name":"Time of Event (Mountain Time)","value":"07:53:12"},{"id":151,"name":"Denver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4010 --day 2017-06-03</v>
      </c>
      <c r="AN41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704</v>
      </c>
      <c r="B42" s="7">
        <v>4009</v>
      </c>
      <c r="C42" s="21" t="s">
        <v>204</v>
      </c>
      <c r="D42" s="21" t="s">
        <v>601</v>
      </c>
      <c r="E42" s="13">
        <v>42889.33079861111</v>
      </c>
      <c r="F42" s="13">
        <v>42889.343148148146</v>
      </c>
      <c r="G42" s="7">
        <v>1</v>
      </c>
      <c r="H42" s="21" t="s">
        <v>493</v>
      </c>
      <c r="I42" s="13">
        <v>42889.369942129626</v>
      </c>
      <c r="J42" s="7">
        <v>0</v>
      </c>
      <c r="K42" s="92" t="str">
        <f t="shared" si="0"/>
        <v>4009/4010</v>
      </c>
      <c r="L42" s="21" t="str">
        <f>VLOOKUP(A42,'Trips&amp;Operators'!$C$1:$G$99999,5,FALSE)</f>
        <v>WILLIAMS DONTE</v>
      </c>
      <c r="M42" s="6">
        <f t="shared" si="1"/>
        <v>2.679398148029577E-2</v>
      </c>
      <c r="N42" s="7">
        <f t="shared" si="2"/>
        <v>38.583333331625909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-03T06:56:21-0600',mode:absolute,to:'2017-06-03T09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23.299600000000002</v>
      </c>
      <c r="Z42" s="204">
        <f t="shared" si="9"/>
        <v>1.6299999999999999E-2</v>
      </c>
      <c r="AA42" s="204">
        <f t="shared" si="10"/>
        <v>23.283300000000001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0130-03</v>
      </c>
      <c r="AE42" s="80" t="str">
        <f t="shared" si="12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42" s="77" t="str">
        <f t="shared" si="13"/>
        <v>"C:\Program Files (x86)\AstroGrep\AstroGrep.exe" /e /r /s /spath="%USERPROFILE%\AppData\Local\Temp\OnboardLogs" /stypes="app*4009*20170603*"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130-03 --locoid 4009 --swversion DE.1.0.9.0 --startMP 204:232996 --initTime 2017-06-03T07:56:21 --startdatetime 2017-06-03T08:14:08 --delay 1 --endMP 204:163 --enddatetime 2017-06-03T08:52:43 --enforcementcount 0 &gt;&gt;C:\Users\stu\Documents\GitHub\eaglep3-reporting\EC\2017-06-03-refined-times.txt</v>
      </c>
      <c r="AI42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{"issue":{"subject":"","project_id":79,"tracker_id":40,"status_id":1,"priority_id":2,"assigned_to_id":23,"start_date":"2017-06-03","description":"","custom_fields":[{"id":1,"name":"Subdivision","value":"EC"},{"id":4,"name":"Milepost","value":"0.0163"},{"id":17,"name":"Train ID","value":"130-03"},{"id":16,"name":"Locomotive ID","value":"4009"},{"id":130,"name":"Impact","value":""},{"id":150,"name":"Time of Event (Mountain Time)","value":"08:52:43"},{"id":151,"name":"Denver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4009 --day 2017-06-03</v>
      </c>
      <c r="AN42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699</v>
      </c>
      <c r="B43" s="7">
        <v>4044</v>
      </c>
      <c r="C43" s="21" t="s">
        <v>204</v>
      </c>
      <c r="D43" s="21" t="s">
        <v>349</v>
      </c>
      <c r="E43" s="13">
        <v>42889.307766203703</v>
      </c>
      <c r="F43" s="13">
        <v>42889.312662037039</v>
      </c>
      <c r="G43" s="7">
        <v>2</v>
      </c>
      <c r="H43" s="21" t="s">
        <v>467</v>
      </c>
      <c r="I43" s="13">
        <v>42889.338518518518</v>
      </c>
      <c r="J43" s="7">
        <v>0</v>
      </c>
      <c r="K43" s="92" t="str">
        <f t="shared" si="0"/>
        <v>4043/4044</v>
      </c>
      <c r="L43" s="21" t="str">
        <f>VLOOKUP(A43,'Trips&amp;Operators'!$C$1:$G$99999,5,FALSE)</f>
        <v>GUZMAN DANNY</v>
      </c>
      <c r="M43" s="6">
        <f t="shared" si="1"/>
        <v>2.5856481479422655E-2</v>
      </c>
      <c r="N43" s="7">
        <f t="shared" si="2"/>
        <v>37.233333330368623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-03T06:23:11-0600',mode:absolute,to:'2017-06-03T09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4.4600000000000001E-2</v>
      </c>
      <c r="Z43" s="204">
        <f t="shared" si="9"/>
        <v>23.330500000000001</v>
      </c>
      <c r="AA43" s="204">
        <f t="shared" si="10"/>
        <v>23.285900000000002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0131-03</v>
      </c>
      <c r="AE43" s="80" t="str">
        <f t="shared" si="12"/>
        <v>aws s3 cp s3://rtdc.mdm.uploadarchive.raw/RTDC4044/ "%USERPROFILE%\AppData\Local\Temp\OnboardLogs"\RTDC4044\2017-06-03 --exclude "*" --recursive --include "*20170603*" &amp; "%USERPROFILE%\Documents\GitHub\mrs-test-scripts\Headless Mode &amp; Sideloading\WalkAndUnGZ.bat" "%USERPROFILE%\AppData\Local\Temp\OnboardLogs"\RTDC4044\2017-06-03 &amp; aws s3 cp s3://rtdc.mdm.uploadarchive.raw/RTDC4044/ "%USERPROFILE%\AppData\Local\Temp\OnboardLogs"\RTDC4044\2017-06-04 --exclude "*" --recursive --include "*20170604*" &amp; "%USERPROFILE%\Documents\GitHub\mrs-test-scripts\Headless Mode &amp; Sideloading\WalkAndUnGZ.bat" "%USERPROFILE%\AppData\Local\Temp\OnboardLogs"\RTDC4044\2017-06-04</v>
      </c>
      <c r="AF43" s="77" t="str">
        <f t="shared" si="13"/>
        <v>"C:\Program Files (x86)\AstroGrep\AstroGrep.exe" /e /r /s /spath="%USERPROFILE%\AppData\Local\Temp\OnboardLogs" /stypes="app*4044*20170603*"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131-03 --locoid 4044 --swversion DE.1.0.9.0 --startMP 204:446 --initTime 2017-06-03T07:23:11 --startdatetime 2017-06-03T07:30:14 --delay 2 --endMP 204:233305 --enddatetime 2017-06-03T08:07:28 --enforcementcount 0 &gt;&gt;C:\Users\stu\Documents\GitHub\eaglep3-reporting\EC\2017-06-03-refined-times.txt</v>
      </c>
      <c r="AI43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{"issue":{"subject":"","project_id":79,"tracker_id":40,"status_id":1,"priority_id":2,"assigned_to_id":23,"start_date":"2017-06-03","description":"","custom_fields":[{"id":1,"name":"Subdivision","value":"EC"},{"id":4,"name":"Milepost","value":"23.3305"},{"id":17,"name":"Train ID","value":"131-03"},{"id":16,"name":"Locomotive ID","value":"4044"},{"id":130,"name":"Impact","value":""},{"id":150,"name":"Time of Event (Mountain Time)","value":"08:07:28"},{"id":151,"name":"Denver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4044 --day 2017-06-03</v>
      </c>
      <c r="AN43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624</v>
      </c>
      <c r="B44" s="7">
        <v>4043</v>
      </c>
      <c r="C44" s="21" t="s">
        <v>204</v>
      </c>
      <c r="D44" s="21" t="s">
        <v>520</v>
      </c>
      <c r="E44" s="13">
        <v>42889.342638888891</v>
      </c>
      <c r="F44" s="13">
        <v>42889.352326388886</v>
      </c>
      <c r="G44" s="7">
        <v>2</v>
      </c>
      <c r="H44" s="21" t="s">
        <v>364</v>
      </c>
      <c r="I44" s="13">
        <v>42889.380428240744</v>
      </c>
      <c r="J44" s="7">
        <v>0</v>
      </c>
      <c r="K44" s="92" t="str">
        <f t="shared" si="0"/>
        <v>4043/4044</v>
      </c>
      <c r="L44" s="21" t="str">
        <f>VLOOKUP(A44,'Trips&amp;Operators'!$C$1:$G$99999,5,FALSE)</f>
        <v>GUZMAN DANNY</v>
      </c>
      <c r="M44" s="6">
        <f t="shared" si="1"/>
        <v>2.8101851858082227E-2</v>
      </c>
      <c r="N44" s="7">
        <f t="shared" si="2"/>
        <v>40.466666675638407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-03T07:13:24-0600',mode:absolute,to:'2017-06-03T10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23.2971</v>
      </c>
      <c r="Z44" s="204">
        <f t="shared" si="9"/>
        <v>1.47E-2</v>
      </c>
      <c r="AA44" s="204">
        <f t="shared" si="10"/>
        <v>23.282399999999999</v>
      </c>
      <c r="AB44" s="57" t="str">
        <f>VLOOKUP(A44,Enforcements!$C$7:$K$13,8,0)</f>
        <v>Speed (6)</v>
      </c>
      <c r="AC44" s="53" t="str">
        <f>VLOOKUP(A44,Enforcements!$C$7:$E$13,3,0)</f>
        <v>PERMANENT SPEED RESTRICTION</v>
      </c>
      <c r="AD44" s="54" t="str">
        <f t="shared" si="11"/>
        <v>0132-03</v>
      </c>
      <c r="AE44" s="80" t="str">
        <f t="shared" si="12"/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AF44" s="77" t="str">
        <f t="shared" si="13"/>
        <v>"C:\Program Files (x86)\AstroGrep\AstroGrep.exe" /e /r /s /spath="%USERPROFILE%\AppData\Local\Temp\OnboardLogs" /stypes="app*4043*20170603*"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132-03 --locoid 4043 --swversion DE.1.0.9.0 --startMP 204:232971 --initTime 2017-06-03T08:13:24 --startdatetime 2017-06-03T08:27:21 --delay 2 --endMP 204:147 --enddatetime 2017-06-03T09:07:49 --enforcementcount 0 &gt;&gt;C:\Users\stu\Documents\GitHub\eaglep3-reporting\EC\2017-06-03-refined-times.txt</v>
      </c>
      <c r="AI44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{"issue":{"subject":"","project_id":79,"tracker_id":40,"status_id":1,"priority_id":2,"assigned_to_id":23,"start_date":"2017-06-03","description":"","custom_fields":[{"id":1,"name":"Subdivision","value":"EC"},{"id":4,"name":"Milepost","value":"0.0147"},{"id":17,"name":"Train ID","value":"132-03"},{"id":16,"name":"Locomotive ID","value":"4043"},{"id":130,"name":"Impact","value":""},{"id":150,"name":"Time of Event (Mountain Time)","value":"09:07:49"},{"id":151,"name":"Denver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4043 --day 2017-06-03</v>
      </c>
      <c r="AN44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700</v>
      </c>
      <c r="B45" s="7">
        <v>4026</v>
      </c>
      <c r="C45" s="21" t="s">
        <v>204</v>
      </c>
      <c r="D45" s="21" t="s">
        <v>358</v>
      </c>
      <c r="E45" s="13">
        <v>42889.317777777775</v>
      </c>
      <c r="F45" s="13">
        <v>42889.323078703703</v>
      </c>
      <c r="G45" s="7">
        <v>1</v>
      </c>
      <c r="H45" s="21" t="s">
        <v>596</v>
      </c>
      <c r="I45" s="13">
        <v>42889.349629629629</v>
      </c>
      <c r="J45" s="7">
        <v>0</v>
      </c>
      <c r="K45" s="92" t="str">
        <f t="shared" si="0"/>
        <v>4025/4026</v>
      </c>
      <c r="L45" s="21" t="str">
        <f>VLOOKUP(A45,'Trips&amp;Operators'!$C$1:$G$99999,5,FALSE)</f>
        <v>DAVIS WENDY</v>
      </c>
      <c r="M45" s="6">
        <f t="shared" si="1"/>
        <v>2.6550925926130731E-2</v>
      </c>
      <c r="N45" s="7">
        <f t="shared" ref="N45:N76" si="23">24*60*SUM($M45:$M45)</f>
        <v>38.233333333628252</v>
      </c>
      <c r="O45" s="7"/>
      <c r="P45" s="7"/>
      <c r="Q45" s="22"/>
      <c r="R45" s="173"/>
      <c r="S45" s="176">
        <f t="shared" ref="S45:S76" si="24">SUM(U45:U45)/IF(AG45="EC",12,1)</f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-03T06:37:36-0600',mode:absolute,to:'2017-06-03T09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204" t="str">
        <f t="shared" si="6"/>
        <v>N</v>
      </c>
      <c r="X45" s="204">
        <f t="shared" si="7"/>
        <v>1</v>
      </c>
      <c r="Y45" s="204">
        <f t="shared" ref="Y45:Y76" si="25">RIGHT(D45,LEN(D45)-4)/10000</f>
        <v>4.6399999999999997E-2</v>
      </c>
      <c r="Z45" s="204">
        <f t="shared" si="9"/>
        <v>23.3308</v>
      </c>
      <c r="AA45" s="204">
        <f t="shared" si="10"/>
        <v>23.284400000000002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0133-03</v>
      </c>
      <c r="AE45" s="80" t="str">
        <f t="shared" si="12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45" s="77" t="str">
        <f t="shared" si="13"/>
        <v>"C:\Program Files (x86)\AstroGrep\AstroGrep.exe" /e /r /s /spath="%USERPROFILE%\AppData\Local\Temp\OnboardLogs" /stypes="app*4026*20170603*"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133-03 --locoid 4026 --swversion DE.1.0.9.0 --startMP 204:464 --initTime 2017-06-03T07:37:36 --startdatetime 2017-06-03T07:45:14 --delay 1 --endMP 204:233308 --enddatetime 2017-06-03T08:23:28 --enforcementcount 0 &gt;&gt;C:\Users\stu\Documents\GitHub\eaglep3-reporting\EC\2017-06-03-refined-times.txt</v>
      </c>
      <c r="AI45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{"issue":{"subject":"","project_id":79,"tracker_id":40,"status_id":1,"priority_id":2,"assigned_to_id":23,"start_date":"2017-06-03","description":"","custom_fields":[{"id":1,"name":"Subdivision","value":"EC"},{"id":4,"name":"Milepost","value":"23.3308"},{"id":17,"name":"Train ID","value":"133-03"},{"id":16,"name":"Locomotive ID","value":"4026"},{"id":130,"name":"Impact","value":""},{"id":150,"name":"Time of Event (Mountain Time)","value":"08:23:28"},{"id":151,"name":"Denver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4026 --day 2017-06-03</v>
      </c>
      <c r="AN45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707</v>
      </c>
      <c r="B46" s="7">
        <v>4025</v>
      </c>
      <c r="C46" s="21" t="s">
        <v>204</v>
      </c>
      <c r="D46" s="21" t="s">
        <v>437</v>
      </c>
      <c r="E46" s="13">
        <v>42889.359583333331</v>
      </c>
      <c r="F46" s="13">
        <v>42889.362685185188</v>
      </c>
      <c r="G46" s="7">
        <v>1</v>
      </c>
      <c r="H46" s="21" t="s">
        <v>352</v>
      </c>
      <c r="I46" s="13">
        <v>42889.389733796299</v>
      </c>
      <c r="J46" s="7">
        <v>0</v>
      </c>
      <c r="K46" s="92" t="str">
        <f t="shared" si="0"/>
        <v>4025/4026</v>
      </c>
      <c r="L46" s="21" t="str">
        <f>VLOOKUP(A46,'Trips&amp;Operators'!$C$1:$G$99999,5,FALSE)</f>
        <v>DAVIS WENDY</v>
      </c>
      <c r="M46" s="6">
        <f t="shared" si="1"/>
        <v>2.7048611111240461E-2</v>
      </c>
      <c r="N46" s="7">
        <f t="shared" si="23"/>
        <v>38.950000000186265</v>
      </c>
      <c r="O46" s="7"/>
      <c r="P46" s="7"/>
      <c r="Q46" s="22"/>
      <c r="R46" s="173"/>
      <c r="S46" s="176">
        <f t="shared" si="24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-03T07:37:48-0600',mode:absolute,to:'2017-06-03T10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204" t="str">
        <f t="shared" si="6"/>
        <v>N</v>
      </c>
      <c r="X46" s="204">
        <f t="shared" si="7"/>
        <v>1</v>
      </c>
      <c r="Y46" s="204">
        <f t="shared" si="25"/>
        <v>23.297699999999999</v>
      </c>
      <c r="Z46" s="204">
        <f t="shared" si="9"/>
        <v>1.4999999999999999E-2</v>
      </c>
      <c r="AA46" s="204">
        <f t="shared" si="10"/>
        <v>23.282699999999998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0134-03</v>
      </c>
      <c r="AE46" s="80" t="str">
        <f t="shared" si="12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46" s="77" t="str">
        <f t="shared" si="13"/>
        <v>"C:\Program Files (x86)\AstroGrep\AstroGrep.exe" /e /r /s /spath="%USERPROFILE%\AppData\Local\Temp\OnboardLogs" /stypes="app*4025*20170603*"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134-03 --locoid 4025 --swversion DE.1.0.9.0 --startMP 204:232977 --initTime 2017-06-03T08:37:48 --startdatetime 2017-06-03T08:42:16 --delay 1 --endMP 204:150 --enddatetime 2017-06-03T09:21:13 --enforcementcount 0 &gt;&gt;C:\Users\stu\Documents\GitHub\eaglep3-reporting\EC\2017-06-03-refined-times.txt</v>
      </c>
      <c r="AI46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{"issue":{"subject":"","project_id":79,"tracker_id":40,"status_id":1,"priority_id":2,"assigned_to_id":23,"start_date":"2017-06-03","description":"","custom_fields":[{"id":1,"name":"Subdivision","value":"EC"},{"id":4,"name":"Milepost","value":"0.015"},{"id":17,"name":"Train ID","value":"134-03"},{"id":16,"name":"Locomotive ID","value":"4025"},{"id":130,"name":"Impact","value":""},{"id":150,"name":"Time of Event (Mountain Time)","value":"09:21:13"},{"id":151,"name":"Denver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4025 --day 2017-06-03</v>
      </c>
      <c r="AN46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702</v>
      </c>
      <c r="B47" s="7">
        <v>4014</v>
      </c>
      <c r="C47" s="21" t="s">
        <v>204</v>
      </c>
      <c r="D47" s="21" t="s">
        <v>468</v>
      </c>
      <c r="E47" s="13">
        <v>42889.329236111109</v>
      </c>
      <c r="F47" s="13">
        <v>42889.333611111113</v>
      </c>
      <c r="G47" s="7">
        <v>1</v>
      </c>
      <c r="H47" s="21" t="s">
        <v>494</v>
      </c>
      <c r="I47" s="13">
        <v>42889.359386574077</v>
      </c>
      <c r="J47" s="7">
        <v>0</v>
      </c>
      <c r="K47" s="92" t="str">
        <f t="shared" si="0"/>
        <v>4013/4014</v>
      </c>
      <c r="L47" s="21" t="str">
        <f>VLOOKUP(A47,'Trips&amp;Operators'!$C$1:$G$99999,5,FALSE)</f>
        <v>CHANDLER KELVIN</v>
      </c>
      <c r="M47" s="6">
        <f t="shared" si="1"/>
        <v>2.5775462963792961E-2</v>
      </c>
      <c r="N47" s="7">
        <f t="shared" si="23"/>
        <v>37.116666667861864</v>
      </c>
      <c r="O47" s="7"/>
      <c r="P47" s="7"/>
      <c r="Q47" s="22"/>
      <c r="R47" s="173"/>
      <c r="S47" s="176">
        <f t="shared" si="24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-03T06:54:06-0600',mode:absolute,to:'2017-06-03T09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204" t="str">
        <f t="shared" si="6"/>
        <v>N</v>
      </c>
      <c r="X47" s="204">
        <f t="shared" si="7"/>
        <v>1</v>
      </c>
      <c r="Y47" s="204">
        <f t="shared" si="25"/>
        <v>4.6699999999999998E-2</v>
      </c>
      <c r="Z47" s="204">
        <f t="shared" si="9"/>
        <v>23.329499999999999</v>
      </c>
      <c r="AA47" s="204">
        <f t="shared" si="10"/>
        <v>23.282799999999998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0135-03</v>
      </c>
      <c r="AE47" s="80" t="str">
        <f t="shared" si="12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47" s="77" t="str">
        <f t="shared" si="13"/>
        <v>"C:\Program Files (x86)\AstroGrep\AstroGrep.exe" /e /r /s /spath="%USERPROFILE%\AppData\Local\Temp\OnboardLogs" /stypes="app*4014*20170603*"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135-03 --locoid 4014 --swversion DE.1.0.9.0 --startMP 204:467 --initTime 2017-06-03T07:54:06 --startdatetime 2017-06-03T08:00:24 --delay 1 --endMP 204:233295 --enddatetime 2017-06-03T08:37:31 --enforcementcount 0 &gt;&gt;C:\Users\stu\Documents\GitHub\eaglep3-reporting\EC\2017-06-03-refined-times.txt</v>
      </c>
      <c r="AI47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{"issue":{"subject":"","project_id":79,"tracker_id":40,"status_id":1,"priority_id":2,"assigned_to_id":23,"start_date":"2017-06-03","description":"","custom_fields":[{"id":1,"name":"Subdivision","value":"EC"},{"id":4,"name":"Milepost","value":"23.3295"},{"id":17,"name":"Train ID","value":"135-03"},{"id":16,"name":"Locomotive ID","value":"4014"},{"id":130,"name":"Impact","value":""},{"id":150,"name":"Time of Event (Mountain Time)","value":"08:37:31"},{"id":151,"name":"Denver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4014 --day 2017-06-03</v>
      </c>
      <c r="AN47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625</v>
      </c>
      <c r="B48" s="7">
        <v>4013</v>
      </c>
      <c r="C48" s="21" t="s">
        <v>204</v>
      </c>
      <c r="D48" s="21" t="s">
        <v>481</v>
      </c>
      <c r="E48" s="13">
        <v>42889.369120370371</v>
      </c>
      <c r="F48" s="13">
        <v>42889.373761574076</v>
      </c>
      <c r="G48" s="7">
        <v>1</v>
      </c>
      <c r="H48" s="21" t="s">
        <v>403</v>
      </c>
      <c r="I48" s="13">
        <v>42889.401666666665</v>
      </c>
      <c r="J48" s="7">
        <v>0</v>
      </c>
      <c r="K48" s="92" t="str">
        <f t="shared" si="0"/>
        <v>4013/4014</v>
      </c>
      <c r="L48" s="21" t="str">
        <f>VLOOKUP(A48,'Trips&amp;Operators'!$C$1:$G$99999,5,FALSE)</f>
        <v>CHANDLER KELVIN</v>
      </c>
      <c r="M48" s="6">
        <f t="shared" si="1"/>
        <v>2.7905092589207925E-2</v>
      </c>
      <c r="N48" s="7">
        <f t="shared" si="23"/>
        <v>40.183333328459412</v>
      </c>
      <c r="O48" s="7"/>
      <c r="P48" s="7"/>
      <c r="Q48" s="22"/>
      <c r="R48" s="173"/>
      <c r="S48" s="176">
        <f t="shared" si="24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-03T07:51:32-0600',mode:absolute,to:'2017-06-03T10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8" s="204" t="str">
        <f t="shared" si="6"/>
        <v>N</v>
      </c>
      <c r="X48" s="204">
        <f t="shared" si="7"/>
        <v>1</v>
      </c>
      <c r="Y48" s="204">
        <f t="shared" si="25"/>
        <v>23.297799999999999</v>
      </c>
      <c r="Z48" s="204">
        <f t="shared" si="9"/>
        <v>1.54E-2</v>
      </c>
      <c r="AA48" s="204">
        <f t="shared" si="10"/>
        <v>23.282399999999999</v>
      </c>
      <c r="AB48" s="57" t="str">
        <f>VLOOKUP(A48,Enforcements!$C$7:$K$13,8,0)</f>
        <v>Speed (6)</v>
      </c>
      <c r="AC48" s="53" t="str">
        <f>VLOOKUP(A48,Enforcements!$C$7:$E$13,3,0)</f>
        <v>PERMANENT SPEED RESTRICTION</v>
      </c>
      <c r="AD48" s="54" t="str">
        <f t="shared" si="11"/>
        <v>0136-03</v>
      </c>
      <c r="AE48" s="80" t="str">
        <f t="shared" si="12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48" s="77" t="str">
        <f t="shared" si="13"/>
        <v>"C:\Program Files (x86)\AstroGrep\AstroGrep.exe" /e /r /s /spath="%USERPROFILE%\AppData\Local\Temp\OnboardLogs" /stypes="app*4013*20170603*"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136-03 --locoid 4013 --swversion DE.1.0.9.0 --startMP 204:232978 --initTime 2017-06-03T08:51:32 --startdatetime 2017-06-03T08:58:13 --delay 1 --endMP 204:154 --enddatetime 2017-06-03T09:38:24 --enforcementcount 0 &gt;&gt;C:\Users\stu\Documents\GitHub\eaglep3-reporting\EC\2017-06-03-refined-times.txt</v>
      </c>
      <c r="AI48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ID","value":"136-03"},{"id":16,"name":"Locomotive ID","value":"4013"},{"id":130,"name":"Impact","value":""},{"id":150,"name":"Time of Event (Mountain Time)","value":"09:38:24"},{"id":151,"name":"Denver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4013 --day 2017-06-03</v>
      </c>
      <c r="AN48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705</v>
      </c>
      <c r="B49" s="7">
        <v>4004</v>
      </c>
      <c r="C49" s="21" t="s">
        <v>204</v>
      </c>
      <c r="D49" s="21" t="s">
        <v>358</v>
      </c>
      <c r="E49" s="13">
        <v>42889.33803240741</v>
      </c>
      <c r="F49" s="13">
        <v>42889.343912037039</v>
      </c>
      <c r="G49" s="7">
        <v>1</v>
      </c>
      <c r="H49" s="21" t="s">
        <v>868</v>
      </c>
      <c r="I49" s="13">
        <v>42889.368425925924</v>
      </c>
      <c r="J49" s="7">
        <v>0</v>
      </c>
      <c r="K49" s="92" t="str">
        <f t="shared" si="0"/>
        <v>4003/4004</v>
      </c>
      <c r="L49" s="21" t="str">
        <f>VLOOKUP(A49,'Trips&amp;Operators'!$C$1:$G$99999,5,FALSE)</f>
        <v>LALONDE GREGORY</v>
      </c>
      <c r="M49" s="6">
        <f t="shared" si="1"/>
        <v>2.4513888885849155E-2</v>
      </c>
      <c r="N49" s="7">
        <f t="shared" si="23"/>
        <v>35.299999995622784</v>
      </c>
      <c r="O49" s="7"/>
      <c r="P49" s="7"/>
      <c r="Q49" s="22"/>
      <c r="R49" s="173"/>
      <c r="S49" s="176">
        <f t="shared" si="24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-03T07:06:46-0600',mode:absolute,to:'2017-06-03T09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204" t="str">
        <f t="shared" si="6"/>
        <v>N</v>
      </c>
      <c r="X49" s="204">
        <f t="shared" si="7"/>
        <v>1</v>
      </c>
      <c r="Y49" s="204">
        <f t="shared" si="25"/>
        <v>4.6399999999999997E-2</v>
      </c>
      <c r="Z49" s="204">
        <f t="shared" si="9"/>
        <v>23.333400000000001</v>
      </c>
      <c r="AA49" s="204">
        <f t="shared" si="10"/>
        <v>23.287000000000003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0137-03</v>
      </c>
      <c r="AE49" s="80" t="str">
        <f t="shared" si="12"/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49" s="77" t="str">
        <f t="shared" si="13"/>
        <v>"C:\Program Files (x86)\AstroGrep\AstroGrep.exe" /e /r /s /spath="%USERPROFILE%\AppData\Local\Temp\OnboardLogs" /stypes="app*4004*20170603*"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137-03 --locoid 4004 --swversion DE.1.0.9.0 --startMP 204:464 --initTime 2017-06-03T08:06:46 --startdatetime 2017-06-03T08:15:14 --delay 1 --endMP 204:233334 --enddatetime 2017-06-03T08:50:32 --enforcementcount 0 &gt;&gt;C:\Users\stu\Documents\GitHub\eaglep3-reporting\EC\2017-06-03-refined-times.txt</v>
      </c>
      <c r="AI49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{"issue":{"subject":"","project_id":79,"tracker_id":40,"status_id":1,"priority_id":2,"assigned_to_id":23,"start_date":"2017-06-03","description":"","custom_fields":[{"id":1,"name":"Subdivision","value":"EC"},{"id":4,"name":"Milepost","value":"23.3334"},{"id":17,"name":"Train ID","value":"137-03"},{"id":16,"name":"Locomotive ID","value":"4004"},{"id":130,"name":"Impact","value":""},{"id":150,"name":"Time of Event (Mountain Time)","value":"08:50:32"},{"id":151,"name":"Denver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4004 --day 2017-06-03</v>
      </c>
      <c r="AN49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709</v>
      </c>
      <c r="B50" s="7">
        <v>4003</v>
      </c>
      <c r="C50" s="21" t="s">
        <v>204</v>
      </c>
      <c r="D50" s="21" t="s">
        <v>597</v>
      </c>
      <c r="E50" s="13">
        <v>42889.369756944441</v>
      </c>
      <c r="F50" s="13">
        <v>42889.383506944447</v>
      </c>
      <c r="G50" s="7">
        <v>1</v>
      </c>
      <c r="H50" s="21" t="s">
        <v>493</v>
      </c>
      <c r="I50" s="13">
        <v>42889.409224537034</v>
      </c>
      <c r="J50" s="7">
        <v>0</v>
      </c>
      <c r="K50" s="92" t="str">
        <f t="shared" si="0"/>
        <v>4003/4004</v>
      </c>
      <c r="L50" s="21" t="str">
        <f>VLOOKUP(A50,'Trips&amp;Operators'!$C$1:$G$99999,5,FALSE)</f>
        <v>LALONDE GREGORY</v>
      </c>
      <c r="M50" s="6">
        <f t="shared" si="1"/>
        <v>2.5717592587170657E-2</v>
      </c>
      <c r="N50" s="7">
        <f t="shared" si="23"/>
        <v>37.033333325525746</v>
      </c>
      <c r="O50" s="7"/>
      <c r="P50" s="7"/>
      <c r="Q50" s="22"/>
      <c r="R50" s="173"/>
      <c r="S50" s="176">
        <f t="shared" si="24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-03T07:52:27-0600',mode:absolute,to:'2017-06-03T10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204" t="str">
        <f t="shared" si="6"/>
        <v>N</v>
      </c>
      <c r="X50" s="204">
        <f t="shared" si="7"/>
        <v>1</v>
      </c>
      <c r="Y50" s="204">
        <f t="shared" si="25"/>
        <v>23.302299999999999</v>
      </c>
      <c r="Z50" s="204">
        <f t="shared" si="9"/>
        <v>1.6299999999999999E-2</v>
      </c>
      <c r="AA50" s="204">
        <f t="shared" si="10"/>
        <v>23.285999999999998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0138-03</v>
      </c>
      <c r="AE50" s="80" t="str">
        <f t="shared" si="12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50" s="77" t="str">
        <f t="shared" si="13"/>
        <v>"C:\Program Files (x86)\AstroGrep\AstroGrep.exe" /e /r /s /spath="%USERPROFILE%\AppData\Local\Temp\OnboardLogs" /stypes="app*4003*20170603*"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138-03 --locoid 4003 --swversion DE.1.0.9.0 --startMP 204:233023 --initTime 2017-06-03T08:52:27 --startdatetime 2017-06-03T09:12:15 --delay 1 --endMP 204:163 --enddatetime 2017-06-03T09:49:17 --enforcementcount 0 &gt;&gt;C:\Users\stu\Documents\GitHub\eaglep3-reporting\EC\2017-06-03-refined-times.txt</v>
      </c>
      <c r="AI50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{"issue":{"subject":"","project_id":79,"tracker_id":40,"status_id":1,"priority_id":2,"assigned_to_id":23,"start_date":"2017-06-03","description":"","custom_fields":[{"id":1,"name":"Subdivision","value":"EC"},{"id":4,"name":"Milepost","value":"0.0163"},{"id":17,"name":"Train ID","value":"138-03"},{"id":16,"name":"Locomotive ID","value":"4003"},{"id":130,"name":"Impact","value":""},{"id":150,"name":"Time of Event (Mountain Time)","value":"09:49:17"},{"id":151,"name":"Denver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4003 --day 2017-06-03</v>
      </c>
      <c r="AN50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706</v>
      </c>
      <c r="B51" s="7">
        <v>4008</v>
      </c>
      <c r="C51" s="21" t="s">
        <v>204</v>
      </c>
      <c r="D51" s="21" t="s">
        <v>355</v>
      </c>
      <c r="E51" s="13">
        <v>42889.349131944444</v>
      </c>
      <c r="F51" s="13">
        <v>42889.354363425926</v>
      </c>
      <c r="G51" s="7">
        <v>1</v>
      </c>
      <c r="H51" s="21" t="s">
        <v>400</v>
      </c>
      <c r="I51" s="13">
        <v>42889.380150462966</v>
      </c>
      <c r="J51" s="7">
        <v>0</v>
      </c>
      <c r="K51" s="92" t="str">
        <f t="shared" si="0"/>
        <v>4007/4008</v>
      </c>
      <c r="L51" s="21" t="str">
        <f>VLOOKUP(A51,'Trips&amp;Operators'!$C$1:$G$99999,5,FALSE)</f>
        <v>DE LA ROSA ALEX</v>
      </c>
      <c r="M51" s="6">
        <f t="shared" si="1"/>
        <v>2.5787037040572613E-2</v>
      </c>
      <c r="N51" s="7">
        <f t="shared" si="23"/>
        <v>37.133333338424563</v>
      </c>
      <c r="O51" s="7"/>
      <c r="P51" s="7"/>
      <c r="Q51" s="22"/>
      <c r="R51" s="173"/>
      <c r="S51" s="176">
        <f t="shared" si="24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-03T07:22:45-0600',mode:absolute,to:'2017-06-03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204" t="str">
        <f t="shared" si="6"/>
        <v>N</v>
      </c>
      <c r="X51" s="204">
        <f t="shared" si="7"/>
        <v>1</v>
      </c>
      <c r="Y51" s="204">
        <f t="shared" si="25"/>
        <v>4.6600000000000003E-2</v>
      </c>
      <c r="Z51" s="204">
        <f t="shared" si="9"/>
        <v>23.3293</v>
      </c>
      <c r="AA51" s="204">
        <f t="shared" si="10"/>
        <v>23.282699999999998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0139-03</v>
      </c>
      <c r="AE51" s="80" t="str">
        <f t="shared" si="12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51" s="77" t="str">
        <f t="shared" si="13"/>
        <v>"C:\Program Files (x86)\AstroGrep\AstroGrep.exe" /e /r /s /spath="%USERPROFILE%\AppData\Local\Temp\OnboardLogs" /stypes="app*4008*20170603*"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139-03 --locoid 4008 --swversion DE.1.0.9.0 --startMP 204:466 --initTime 2017-06-03T08:22:45 --startdatetime 2017-06-03T08:30:17 --delay 1 --endMP 204:233293 --enddatetime 2017-06-03T09:07:25 --enforcementcount 0 &gt;&gt;C:\Users\stu\Documents\GitHub\eaglep3-reporting\EC\2017-06-03-refined-times.txt</v>
      </c>
      <c r="AI51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{"issue":{"subject":"","project_id":79,"tracker_id":40,"status_id":1,"priority_id":2,"assigned_to_id":23,"start_date":"2017-06-03","description":"","custom_fields":[{"id":1,"name":"Subdivision","value":"EC"},{"id":4,"name":"Milepost","value":"23.3293"},{"id":17,"name":"Train ID","value":"139-03"},{"id":16,"name":"Locomotive ID","value":"4008"},{"id":130,"name":"Impact","value":""},{"id":150,"name":"Time of Event (Mountain Time)","value":"09:07:25"},{"id":151,"name":"Denver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4008 --day 2017-06-03</v>
      </c>
      <c r="AN51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713</v>
      </c>
      <c r="B52" s="7">
        <v>4007</v>
      </c>
      <c r="C52" s="21" t="s">
        <v>204</v>
      </c>
      <c r="D52" s="21" t="s">
        <v>869</v>
      </c>
      <c r="E52" s="13">
        <v>42889.388472222221</v>
      </c>
      <c r="F52" s="13">
        <v>42889.393912037034</v>
      </c>
      <c r="G52" s="7">
        <v>2</v>
      </c>
      <c r="H52" s="21" t="s">
        <v>354</v>
      </c>
      <c r="I52" s="13">
        <v>42889.419849537036</v>
      </c>
      <c r="J52" s="7">
        <v>0</v>
      </c>
      <c r="K52" s="92" t="str">
        <f t="shared" si="0"/>
        <v>4007/4008</v>
      </c>
      <c r="L52" s="21" t="str">
        <f>VLOOKUP(A52,'Trips&amp;Operators'!$C$1:$G$99999,5,FALSE)</f>
        <v>DE LA ROSA ALEX</v>
      </c>
      <c r="M52" s="6">
        <f t="shared" si="1"/>
        <v>2.5937500002328306E-2</v>
      </c>
      <c r="N52" s="7">
        <f t="shared" si="23"/>
        <v>37.350000003352761</v>
      </c>
      <c r="O52" s="7"/>
      <c r="P52" s="7"/>
      <c r="Q52" s="22"/>
      <c r="R52" s="173"/>
      <c r="S52" s="176">
        <f t="shared" si="24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-03T08:19:24-0600',mode:absolute,to:'2017-06-03T11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204" t="str">
        <f t="shared" si="6"/>
        <v>N</v>
      </c>
      <c r="X52" s="204">
        <f t="shared" si="7"/>
        <v>1</v>
      </c>
      <c r="Y52" s="204">
        <f t="shared" si="25"/>
        <v>23.296299999999999</v>
      </c>
      <c r="Z52" s="204">
        <f t="shared" si="9"/>
        <v>1.43E-2</v>
      </c>
      <c r="AA52" s="204">
        <f t="shared" si="10"/>
        <v>23.282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0140-03</v>
      </c>
      <c r="AE52" s="80" t="str">
        <f t="shared" si="12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52" s="77" t="str">
        <f t="shared" si="13"/>
        <v>"C:\Program Files (x86)\AstroGrep\AstroGrep.exe" /e /r /s /spath="%USERPROFILE%\AppData\Local\Temp\OnboardLogs" /stypes="app*4007*20170603*"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140-03 --locoid 4007 --swversion DE.1.0.9.0 --startMP 204:232963 --initTime 2017-06-03T09:19:24 --startdatetime 2017-06-03T09:27:14 --delay 2 --endMP 204:143 --enddatetime 2017-06-03T10:04:35 --enforcementcount 0 &gt;&gt;C:\Users\stu\Documents\GitHub\eaglep3-reporting\EC\2017-06-03-refined-times.txt</v>
      </c>
      <c r="AI52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{"issue":{"subject":"","project_id":79,"tracker_id":40,"status_id":1,"priority_id":2,"assigned_to_id":23,"start_date":"2017-06-03","description":"","custom_fields":[{"id":1,"name":"Subdivision","value":"EC"},{"id":4,"name":"Milepost","value":"0.0143"},{"id":17,"name":"Train ID","value":"140-03"},{"id":16,"name":"Locomotive ID","value":"4007"},{"id":130,"name":"Impact","value":""},{"id":150,"name":"Time of Event (Mountain Time)","value":"10:04:35"},{"id":151,"name":"Denver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4007 --day 2017-06-03</v>
      </c>
      <c r="AN52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708</v>
      </c>
      <c r="B53" s="7">
        <v>4050</v>
      </c>
      <c r="C53" s="21" t="s">
        <v>204</v>
      </c>
      <c r="D53" s="21" t="s">
        <v>359</v>
      </c>
      <c r="E53" s="13">
        <v>42889.360034722224</v>
      </c>
      <c r="F53" s="13">
        <v>42889.364803240744</v>
      </c>
      <c r="G53" s="7">
        <v>1</v>
      </c>
      <c r="H53" s="21" t="s">
        <v>495</v>
      </c>
      <c r="I53" s="13">
        <v>42889.390520833331</v>
      </c>
      <c r="J53" s="7">
        <v>0</v>
      </c>
      <c r="K53" s="92" t="str">
        <f t="shared" si="0"/>
        <v>4049/4050</v>
      </c>
      <c r="L53" s="21" t="str">
        <f>VLOOKUP(A53,'Trips&amp;Operators'!$C$1:$G$99999,5,FALSE)</f>
        <v>DAVIDSON DAVID</v>
      </c>
      <c r="M53" s="6">
        <f t="shared" si="1"/>
        <v>2.5717592587170657E-2</v>
      </c>
      <c r="N53" s="7">
        <f t="shared" si="23"/>
        <v>37.033333325525746</v>
      </c>
      <c r="O53" s="7"/>
      <c r="P53" s="7"/>
      <c r="Q53" s="22"/>
      <c r="R53" s="173"/>
      <c r="S53" s="176">
        <f t="shared" si="24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-03T07:38:27-0600',mode:absolute,to:'2017-06-03T10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3" s="204" t="str">
        <f t="shared" si="6"/>
        <v>N</v>
      </c>
      <c r="X53" s="204">
        <f t="shared" si="7"/>
        <v>1</v>
      </c>
      <c r="Y53" s="204">
        <f t="shared" si="25"/>
        <v>4.53E-2</v>
      </c>
      <c r="Z53" s="204">
        <f t="shared" si="9"/>
        <v>23.330400000000001</v>
      </c>
      <c r="AA53" s="204">
        <f t="shared" si="10"/>
        <v>23.2851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0141-03</v>
      </c>
      <c r="AE53" s="80" t="str">
        <f t="shared" si="12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53" s="77" t="str">
        <f t="shared" si="13"/>
        <v>"C:\Program Files (x86)\AstroGrep\AstroGrep.exe" /e /r /s /spath="%USERPROFILE%\AppData\Local\Temp\OnboardLogs" /stypes="app*4050*20170603*"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141-03 --locoid 4050 --swversion DE.1.0.9.0 --startMP 204:453 --initTime 2017-06-03T08:38:27 --startdatetime 2017-06-03T08:45:19 --delay 1 --endMP 204:233304 --enddatetime 2017-06-03T09:22:21 --enforcementcount 0 &gt;&gt;C:\Users\stu\Documents\GitHub\eaglep3-reporting\EC\2017-06-03-refined-times.txt</v>
      </c>
      <c r="AI53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{"issue":{"subject":"","project_id":79,"tracker_id":40,"status_id":1,"priority_id":2,"assigned_to_id":23,"start_date":"2017-06-03","description":"","custom_fields":[{"id":1,"name":"Subdivision","value":"EC"},{"id":4,"name":"Milepost","value":"23.3304"},{"id":17,"name":"Train ID","value":"141-03"},{"id":16,"name":"Locomotive ID","value":"4050"},{"id":130,"name":"Impact","value":""},{"id":150,"name":"Time of Event (Mountain Time)","value":"09:22:21"},{"id":151,"name":"Denver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4050 --day 2017-06-03</v>
      </c>
      <c r="AN53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715</v>
      </c>
      <c r="B54" s="7">
        <v>4049</v>
      </c>
      <c r="C54" s="21" t="s">
        <v>204</v>
      </c>
      <c r="D54" s="21" t="s">
        <v>491</v>
      </c>
      <c r="E54" s="13">
        <v>42889.391817129632</v>
      </c>
      <c r="F54" s="13">
        <v>42889.404456018521</v>
      </c>
      <c r="G54" s="7">
        <v>1</v>
      </c>
      <c r="H54" s="21" t="s">
        <v>364</v>
      </c>
      <c r="I54" s="13">
        <v>42889.431817129633</v>
      </c>
      <c r="J54" s="7">
        <v>0</v>
      </c>
      <c r="K54" s="92" t="str">
        <f t="shared" si="0"/>
        <v>4049/4050</v>
      </c>
      <c r="L54" s="21" t="str">
        <f>VLOOKUP(A54,'Trips&amp;Operators'!$C$1:$G$99999,5,FALSE)</f>
        <v>DAVIDSON DAVID</v>
      </c>
      <c r="M54" s="6">
        <f t="shared" si="1"/>
        <v>2.73611111115315E-2</v>
      </c>
      <c r="N54" s="7">
        <f t="shared" si="23"/>
        <v>39.40000000060536</v>
      </c>
      <c r="O54" s="7"/>
      <c r="P54" s="7"/>
      <c r="Q54" s="22"/>
      <c r="R54" s="173"/>
      <c r="S54" s="176">
        <f t="shared" si="24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-03T08:24:13-0600',mode:absolute,to:'2017-06-03T11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4" s="204" t="str">
        <f t="shared" si="6"/>
        <v>N</v>
      </c>
      <c r="X54" s="204">
        <f t="shared" si="7"/>
        <v>1</v>
      </c>
      <c r="Y54" s="204">
        <f t="shared" si="25"/>
        <v>23.297899999999998</v>
      </c>
      <c r="Z54" s="204">
        <f t="shared" si="9"/>
        <v>1.47E-2</v>
      </c>
      <c r="AA54" s="204">
        <f t="shared" si="10"/>
        <v>23.283199999999997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0142-03</v>
      </c>
      <c r="AE54" s="80" t="str">
        <f t="shared" si="12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54" s="77" t="str">
        <f t="shared" si="13"/>
        <v>"C:\Program Files (x86)\AstroGrep\AstroGrep.exe" /e /r /s /spath="%USERPROFILE%\AppData\Local\Temp\OnboardLogs" /stypes="app*4049*20170603*"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142-03 --locoid 4049 --swversion DE.1.0.9.0 --startMP 204:232979 --initTime 2017-06-03T09:24:13 --startdatetime 2017-06-03T09:42:25 --delay 1 --endMP 204:147 --enddatetime 2017-06-03T10:21:49 --enforcementcount 0 &gt;&gt;C:\Users\stu\Documents\GitHub\eaglep3-reporting\EC\2017-06-03-refined-times.txt</v>
      </c>
      <c r="AI54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{"issue":{"subject":"","project_id":79,"tracker_id":40,"status_id":1,"priority_id":2,"assigned_to_id":23,"start_date":"2017-06-03","description":"","custom_fields":[{"id":1,"name":"Subdivision","value":"EC"},{"id":4,"name":"Milepost","value":"0.0147"},{"id":17,"name":"Train ID","value":"142-03"},{"id":16,"name":"Locomotive ID","value":"4049"},{"id":130,"name":"Impact","value":""},{"id":150,"name":"Time of Event (Mountain Time)","value":"10:21:49"},{"id":151,"name":"Denver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4049 --day 2017-06-03</v>
      </c>
      <c r="AN54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710</v>
      </c>
      <c r="B55" s="7">
        <v>4010</v>
      </c>
      <c r="C55" s="21" t="s">
        <v>204</v>
      </c>
      <c r="D55" s="21" t="s">
        <v>870</v>
      </c>
      <c r="E55" s="13">
        <v>42889.371898148151</v>
      </c>
      <c r="F55" s="13">
        <v>42889.375208333331</v>
      </c>
      <c r="G55" s="7">
        <v>1</v>
      </c>
      <c r="H55" s="21" t="s">
        <v>871</v>
      </c>
      <c r="I55" s="13">
        <v>42889.401053240741</v>
      </c>
      <c r="J55" s="7">
        <v>0</v>
      </c>
      <c r="K55" s="92" t="str">
        <f t="shared" si="0"/>
        <v>4009/4010</v>
      </c>
      <c r="L55" s="21" t="str">
        <f>VLOOKUP(A55,'Trips&amp;Operators'!$C$1:$G$99999,5,FALSE)</f>
        <v>WILLIAMS DONTE</v>
      </c>
      <c r="M55" s="6">
        <f t="shared" si="1"/>
        <v>2.584490740991896E-2</v>
      </c>
      <c r="N55" s="7">
        <f t="shared" si="23"/>
        <v>37.216666670283303</v>
      </c>
      <c r="O55" s="7"/>
      <c r="P55" s="7"/>
      <c r="Q55" s="22"/>
      <c r="R55" s="173"/>
      <c r="S55" s="176">
        <f t="shared" si="24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-03T07:55:32-0600',mode:absolute,to:'2017-06-03T10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204" t="str">
        <f t="shared" si="6"/>
        <v>N</v>
      </c>
      <c r="X55" s="204">
        <f t="shared" si="7"/>
        <v>1</v>
      </c>
      <c r="Y55" s="204">
        <f t="shared" si="25"/>
        <v>4.9299999999999997E-2</v>
      </c>
      <c r="Z55" s="204">
        <f t="shared" si="9"/>
        <v>23.3339</v>
      </c>
      <c r="AA55" s="204">
        <f t="shared" si="10"/>
        <v>23.284600000000001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0143-03</v>
      </c>
      <c r="AE55" s="80" t="str">
        <f t="shared" si="12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55" s="77" t="str">
        <f t="shared" si="13"/>
        <v>"C:\Program Files (x86)\AstroGrep\AstroGrep.exe" /e /r /s /spath="%USERPROFILE%\AppData\Local\Temp\OnboardLogs" /stypes="app*4010*20170603*"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143-03 --locoid 4010 --swversion DE.1.0.9.0 --startMP 204:493 --initTime 2017-06-03T08:55:32 --startdatetime 2017-06-03T09:00:18 --delay 1 --endMP 204:233339 --enddatetime 2017-06-03T09:37:31 --enforcementcount 0 &gt;&gt;C:\Users\stu\Documents\GitHub\eaglep3-reporting\EC\2017-06-03-refined-times.txt</v>
      </c>
      <c r="AI55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{"issue":{"subject":"","project_id":79,"tracker_id":40,"status_id":1,"priority_id":2,"assigned_to_id":23,"start_date":"2017-06-03","description":"","custom_fields":[{"id":1,"name":"Subdivision","value":"EC"},{"id":4,"name":"Milepost","value":"23.3339"},{"id":17,"name":"Train ID","value":"143-03"},{"id":16,"name":"Locomotive ID","value":"4010"},{"id":130,"name":"Impact","value":""},{"id":150,"name":"Time of Event (Mountain Time)","value":"09:37:31"},{"id":151,"name":"Denver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4010 --day 2017-06-03</v>
      </c>
      <c r="AN55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716</v>
      </c>
      <c r="B56" s="7">
        <v>4009</v>
      </c>
      <c r="C56" s="21" t="s">
        <v>204</v>
      </c>
      <c r="D56" s="21" t="s">
        <v>481</v>
      </c>
      <c r="E56" s="13">
        <v>42889.403715277775</v>
      </c>
      <c r="F56" s="13">
        <v>42889.414814814816</v>
      </c>
      <c r="G56" s="7">
        <v>1</v>
      </c>
      <c r="H56" s="21" t="s">
        <v>403</v>
      </c>
      <c r="I56" s="13">
        <v>42889.442337962966</v>
      </c>
      <c r="J56" s="7">
        <v>0</v>
      </c>
      <c r="K56" s="92" t="str">
        <f t="shared" si="0"/>
        <v>4009/4010</v>
      </c>
      <c r="L56" s="21" t="str">
        <f>VLOOKUP(A56,'Trips&amp;Operators'!$C$1:$G$99999,5,FALSE)</f>
        <v>WILLIAMS DONTE</v>
      </c>
      <c r="M56" s="6">
        <f t="shared" si="1"/>
        <v>2.7523148150066845E-2</v>
      </c>
      <c r="N56" s="7">
        <f t="shared" si="23"/>
        <v>39.633333336096257</v>
      </c>
      <c r="O56" s="7"/>
      <c r="P56" s="7"/>
      <c r="Q56" s="22"/>
      <c r="R56" s="173"/>
      <c r="S56" s="176">
        <f t="shared" si="24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-03T08:41:21-0600',mode:absolute,to:'2017-06-03T11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204" t="str">
        <f t="shared" si="6"/>
        <v>N</v>
      </c>
      <c r="X56" s="204">
        <f t="shared" si="7"/>
        <v>1</v>
      </c>
      <c r="Y56" s="204">
        <f t="shared" si="25"/>
        <v>23.297799999999999</v>
      </c>
      <c r="Z56" s="204">
        <f t="shared" si="9"/>
        <v>1.54E-2</v>
      </c>
      <c r="AA56" s="204">
        <f t="shared" si="10"/>
        <v>23.282399999999999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0144-03</v>
      </c>
      <c r="AE56" s="80" t="str">
        <f t="shared" si="12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56" s="77" t="str">
        <f t="shared" si="13"/>
        <v>"C:\Program Files (x86)\AstroGrep\AstroGrep.exe" /e /r /s /spath="%USERPROFILE%\AppData\Local\Temp\OnboardLogs" /stypes="app*4009*20170603*"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144-03 --locoid 4009 --swversion DE.1.0.9.0 --startMP 204:232978 --initTime 2017-06-03T09:41:21 --startdatetime 2017-06-03T09:57:20 --delay 1 --endMP 204:154 --enddatetime 2017-06-03T10:36:58 --enforcementcount 0 &gt;&gt;C:\Users\stu\Documents\GitHub\eaglep3-reporting\EC\2017-06-03-refined-times.txt</v>
      </c>
      <c r="AI56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ID","value":"144-03"},{"id":16,"name":"Locomotive ID","value":"4009"},{"id":130,"name":"Impact","value":""},{"id":150,"name":"Time of Event (Mountain Time)","value":"10:36:58"},{"id":151,"name":"Denver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4009 --day 2017-06-03</v>
      </c>
      <c r="AN56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712</v>
      </c>
      <c r="B57" s="7">
        <v>4044</v>
      </c>
      <c r="C57" s="21" t="s">
        <v>204</v>
      </c>
      <c r="D57" s="21" t="s">
        <v>200</v>
      </c>
      <c r="E57" s="13">
        <v>42889.382337962961</v>
      </c>
      <c r="F57" s="13">
        <v>42889.385740740741</v>
      </c>
      <c r="G57" s="7">
        <v>1</v>
      </c>
      <c r="H57" s="21" t="s">
        <v>872</v>
      </c>
      <c r="I57" s="13">
        <v>42889.410983796297</v>
      </c>
      <c r="J57" s="7">
        <v>0</v>
      </c>
      <c r="K57" s="92" t="str">
        <f t="shared" si="0"/>
        <v>4043/4044</v>
      </c>
      <c r="L57" s="21" t="str">
        <f>VLOOKUP(A57,'Trips&amp;Operators'!$C$1:$G$99999,5,FALSE)</f>
        <v>GUZMAN DANNY</v>
      </c>
      <c r="M57" s="6">
        <f t="shared" si="1"/>
        <v>2.5243055555620231E-2</v>
      </c>
      <c r="N57" s="7">
        <f t="shared" si="23"/>
        <v>36.350000000093132</v>
      </c>
      <c r="O57" s="7"/>
      <c r="P57" s="7"/>
      <c r="Q57" s="22"/>
      <c r="R57" s="173"/>
      <c r="S57" s="176">
        <f t="shared" si="24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-03T08:10:34-0600',mode:absolute,to:'2017-06-03T10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204" t="str">
        <f t="shared" si="6"/>
        <v>N</v>
      </c>
      <c r="X57" s="204">
        <f t="shared" si="7"/>
        <v>1</v>
      </c>
      <c r="Y57" s="204">
        <f t="shared" si="25"/>
        <v>4.5699999999999998E-2</v>
      </c>
      <c r="Z57" s="204">
        <f t="shared" si="9"/>
        <v>23.334700000000002</v>
      </c>
      <c r="AA57" s="204">
        <f t="shared" si="10"/>
        <v>23.289000000000001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0145-03</v>
      </c>
      <c r="AE57" s="80" t="str">
        <f t="shared" si="12"/>
        <v>aws s3 cp s3://rtdc.mdm.uploadarchive.raw/RTDC4044/ "%USERPROFILE%\AppData\Local\Temp\OnboardLogs"\RTDC4044\2017-06-03 --exclude "*" --recursive --include "*20170603*" &amp; "%USERPROFILE%\Documents\GitHub\mrs-test-scripts\Headless Mode &amp; Sideloading\WalkAndUnGZ.bat" "%USERPROFILE%\AppData\Local\Temp\OnboardLogs"\RTDC4044\2017-06-03 &amp; aws s3 cp s3://rtdc.mdm.uploadarchive.raw/RTDC4044/ "%USERPROFILE%\AppData\Local\Temp\OnboardLogs"\RTDC4044\2017-06-04 --exclude "*" --recursive --include "*20170604*" &amp; "%USERPROFILE%\Documents\GitHub\mrs-test-scripts\Headless Mode &amp; Sideloading\WalkAndUnGZ.bat" "%USERPROFILE%\AppData\Local\Temp\OnboardLogs"\RTDC4044\2017-06-04</v>
      </c>
      <c r="AF57" s="77" t="str">
        <f t="shared" si="13"/>
        <v>"C:\Program Files (x86)\AstroGrep\AstroGrep.exe" /e /r /s /spath="%USERPROFILE%\AppData\Local\Temp\OnboardLogs" /stypes="app*4044*20170603*"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145-03 --locoid 4044 --swversion DE.1.0.9.0 --startMP 204:457 --initTime 2017-06-03T09:10:34 --startdatetime 2017-06-03T09:15:28 --delay 1 --endMP 204:233347 --enddatetime 2017-06-03T09:51:49 --enforcementcount 0 &gt;&gt;C:\Users\stu\Documents\GitHub\eaglep3-reporting\EC\2017-06-03-refined-times.txt</v>
      </c>
      <c r="AI57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{"issue":{"subject":"","project_id":79,"tracker_id":40,"status_id":1,"priority_id":2,"assigned_to_id":23,"start_date":"2017-06-03","description":"","custom_fields":[{"id":1,"name":"Subdivision","value":"EC"},{"id":4,"name":"Milepost","value":"23.3347"},{"id":17,"name":"Train ID","value":"145-03"},{"id":16,"name":"Locomotive ID","value":"4044"},{"id":130,"name":"Impact","value":""},{"id":150,"name":"Time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4044 --day 2017-06-03</v>
      </c>
      <c r="AN57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719</v>
      </c>
      <c r="B58" s="7">
        <v>4043</v>
      </c>
      <c r="C58" s="21" t="s">
        <v>204</v>
      </c>
      <c r="D58" s="21" t="s">
        <v>439</v>
      </c>
      <c r="E58" s="13">
        <v>42889.41510416667</v>
      </c>
      <c r="F58" s="13">
        <v>42889.425335648149</v>
      </c>
      <c r="G58" s="7">
        <v>2</v>
      </c>
      <c r="H58" s="21" t="s">
        <v>195</v>
      </c>
      <c r="I58" s="13">
        <v>42889.452002314814</v>
      </c>
      <c r="J58" s="7">
        <v>0</v>
      </c>
      <c r="K58" s="92" t="str">
        <f t="shared" si="0"/>
        <v>4043/4044</v>
      </c>
      <c r="L58" s="21" t="str">
        <f>VLOOKUP(A58,'Trips&amp;Operators'!$C$1:$G$99999,5,FALSE)</f>
        <v>GUZMAN DANNY</v>
      </c>
      <c r="M58" s="6">
        <f t="shared" si="1"/>
        <v>2.6666666664823424E-2</v>
      </c>
      <c r="N58" s="7">
        <f t="shared" si="23"/>
        <v>38.399999997345731</v>
      </c>
      <c r="O58" s="7"/>
      <c r="P58" s="7"/>
      <c r="Q58" s="22"/>
      <c r="R58" s="173"/>
      <c r="S58" s="176">
        <f t="shared" si="24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-03T08:57:45-0600',mode:absolute,to:'2017-06-03T11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204" t="str">
        <f t="shared" si="6"/>
        <v>N</v>
      </c>
      <c r="X58" s="204">
        <f t="shared" si="7"/>
        <v>1</v>
      </c>
      <c r="Y58" s="204">
        <f t="shared" si="25"/>
        <v>23.299399999999999</v>
      </c>
      <c r="Z58" s="204">
        <f t="shared" si="9"/>
        <v>1.52E-2</v>
      </c>
      <c r="AA58" s="204">
        <f t="shared" si="10"/>
        <v>23.284199999999998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0146-03</v>
      </c>
      <c r="AE58" s="80" t="str">
        <f t="shared" si="12"/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AF58" s="77" t="str">
        <f t="shared" si="13"/>
        <v>"C:\Program Files (x86)\AstroGrep\AstroGrep.exe" /e /r /s /spath="%USERPROFILE%\AppData\Local\Temp\OnboardLogs" /stypes="app*4043*20170603*"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146-03 --locoid 4043 --swversion DE.1.0.9.0 --startMP 204:232994 --initTime 2017-06-03T09:57:45 --startdatetime 2017-06-03T10:12:29 --delay 2 --endMP 204:152 --enddatetime 2017-06-03T10:50:53 --enforcementcount 0 &gt;&gt;C:\Users\stu\Documents\GitHub\eaglep3-reporting\EC\2017-06-03-refined-times.txt</v>
      </c>
      <c r="AI58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{"issue":{"subject":"","project_id":79,"tracker_id":40,"status_id":1,"priority_id":2,"assigned_to_id":23,"start_date":"2017-06-03","description":"","custom_fields":[{"id":1,"name":"Subdivision","value":"EC"},{"id":4,"name":"Milepost","value":"0.0152"},{"id":17,"name":"Train ID","value":"146-03"},{"id":16,"name":"Locomotive ID","value":"4043"},{"id":130,"name":"Impact","value":""},{"id":150,"name":"Time of Event (Mountain Time)","value":"10:50:53"},{"id":151,"name":"Denver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4043 --day 2017-06-03</v>
      </c>
      <c r="AN58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714</v>
      </c>
      <c r="B59" s="7">
        <v>4026</v>
      </c>
      <c r="C59" s="21" t="s">
        <v>204</v>
      </c>
      <c r="D59" s="21" t="s">
        <v>368</v>
      </c>
      <c r="E59" s="13">
        <v>42889.391030092593</v>
      </c>
      <c r="F59" s="13">
        <v>42889.396087962959</v>
      </c>
      <c r="G59" s="7">
        <v>1</v>
      </c>
      <c r="H59" s="21" t="s">
        <v>594</v>
      </c>
      <c r="I59" s="13">
        <v>42889.422847222224</v>
      </c>
      <c r="J59" s="7">
        <v>0</v>
      </c>
      <c r="K59" s="92" t="str">
        <f t="shared" si="0"/>
        <v>4025/4026</v>
      </c>
      <c r="L59" s="21" t="str">
        <f>VLOOKUP(A59,'Trips&amp;Operators'!$C$1:$G$99999,5,FALSE)</f>
        <v>DAVIS WENDY</v>
      </c>
      <c r="M59" s="6">
        <f t="shared" si="1"/>
        <v>2.6759259264508728E-2</v>
      </c>
      <c r="N59" s="7">
        <f t="shared" si="23"/>
        <v>38.533333340892568</v>
      </c>
      <c r="O59" s="7"/>
      <c r="P59" s="7"/>
      <c r="Q59" s="22"/>
      <c r="R59" s="173"/>
      <c r="S59" s="176">
        <f t="shared" si="24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-03T08:23:05-0600',mode:absolute,to:'2017-06-03T11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204" t="str">
        <f t="shared" si="6"/>
        <v>N</v>
      </c>
      <c r="X59" s="204">
        <f t="shared" si="7"/>
        <v>1</v>
      </c>
      <c r="Y59" s="204">
        <f t="shared" si="25"/>
        <v>4.5499999999999999E-2</v>
      </c>
      <c r="Z59" s="204">
        <f t="shared" si="9"/>
        <v>23.329899999999999</v>
      </c>
      <c r="AA59" s="204">
        <f t="shared" si="10"/>
        <v>23.284399999999998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0147-03</v>
      </c>
      <c r="AE59" s="80" t="str">
        <f t="shared" si="12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59" s="77" t="str">
        <f t="shared" si="13"/>
        <v>"C:\Program Files (x86)\AstroGrep\AstroGrep.exe" /e /r /s /spath="%USERPROFILE%\AppData\Local\Temp\OnboardLogs" /stypes="app*4026*20170603*"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147-03 --locoid 4026 --swversion DE.1.0.9.0 --startMP 204:455 --initTime 2017-06-03T09:23:05 --startdatetime 2017-06-03T09:30:22 --delay 1 --endMP 204:233299 --enddatetime 2017-06-03T10:08:54 --enforcementcount 0 &gt;&gt;C:\Users\stu\Documents\GitHub\eaglep3-reporting\EC\2017-06-03-refined-times.txt</v>
      </c>
      <c r="AI59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{"issue":{"subject":"","project_id":79,"tracker_id":40,"status_id":1,"priority_id":2,"assigned_to_id":23,"start_date":"2017-06-03","description":"","custom_fields":[{"id":1,"name":"Subdivision","value":"EC"},{"id":4,"name":"Milepost","value":"23.3299"},{"id":17,"name":"Train ID","value":"147-03"},{"id":16,"name":"Locomotive ID","value":"4026"},{"id":130,"name":"Impact","value":""},{"id":150,"name":"Time of Event (Mountain Time)","value":"10:08:54"},{"id":151,"name":"Denver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4026 --day 2017-06-03</v>
      </c>
      <c r="AN59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723</v>
      </c>
      <c r="B60" s="7">
        <v>4025</v>
      </c>
      <c r="C60" s="21" t="s">
        <v>204</v>
      </c>
      <c r="D60" s="21" t="s">
        <v>441</v>
      </c>
      <c r="E60" s="13">
        <v>42889.434490740743</v>
      </c>
      <c r="F60" s="13">
        <v>42889.43577546296</v>
      </c>
      <c r="G60" s="7">
        <v>1</v>
      </c>
      <c r="H60" s="21" t="s">
        <v>353</v>
      </c>
      <c r="I60" s="13">
        <v>42889.46261574074</v>
      </c>
      <c r="J60" s="7">
        <v>0</v>
      </c>
      <c r="K60" s="92" t="str">
        <f t="shared" si="0"/>
        <v>4025/4026</v>
      </c>
      <c r="L60" s="21" t="str">
        <f>VLOOKUP(A60,'Trips&amp;Operators'!$C$1:$G$99999,5,FALSE)</f>
        <v>DAVIS WENDY</v>
      </c>
      <c r="M60" s="6">
        <f t="shared" si="1"/>
        <v>2.6840277780138422E-2</v>
      </c>
      <c r="N60" s="7">
        <f t="shared" si="23"/>
        <v>38.650000003399327</v>
      </c>
      <c r="O60" s="7"/>
      <c r="P60" s="7"/>
      <c r="Q60" s="22"/>
      <c r="R60" s="173"/>
      <c r="S60" s="176">
        <f t="shared" si="24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-03T09:25:40-0600',mode:absolute,to:'2017-06-03T12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204" t="str">
        <f t="shared" si="6"/>
        <v>N</v>
      </c>
      <c r="X60" s="204">
        <f t="shared" si="7"/>
        <v>1</v>
      </c>
      <c r="Y60" s="204">
        <f t="shared" si="25"/>
        <v>23.297999999999998</v>
      </c>
      <c r="Z60" s="204">
        <f t="shared" si="9"/>
        <v>1.49E-2</v>
      </c>
      <c r="AA60" s="204">
        <f t="shared" si="10"/>
        <v>23.283099999999997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0148-03</v>
      </c>
      <c r="AE60" s="80" t="str">
        <f t="shared" si="12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60" s="77" t="str">
        <f t="shared" si="13"/>
        <v>"C:\Program Files (x86)\AstroGrep\AstroGrep.exe" /e /r /s /spath="%USERPROFILE%\AppData\Local\Temp\OnboardLogs" /stypes="app*4025*20170603*"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148-03 --locoid 4025 --swversion DE.1.0.9.0 --startMP 204:232980 --initTime 2017-06-03T10:25:40 --startdatetime 2017-06-03T10:27:31 --delay 1 --endMP 204:149 --enddatetime 2017-06-03T11:06:10 --enforcementcount 0 &gt;&gt;C:\Users\stu\Documents\GitHub\eaglep3-reporting\EC\2017-06-03-refined-times.txt</v>
      </c>
      <c r="AI60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{"issue":{"subject":"","project_id":79,"tracker_id":40,"status_id":1,"priority_id":2,"assigned_to_id":23,"start_date":"2017-06-03","description":"","custom_fields":[{"id":1,"name":"Subdivision","value":"EC"},{"id":4,"name":"Milepost","value":"0.0149"},{"id":17,"name":"Train ID","value":"148-03"},{"id":16,"name":"Locomotive ID","value":"4025"},{"id":130,"name":"Impact","value":""},{"id":150,"name":"Time of Event (Mountain Time)","value":"11:06:10"},{"id":151,"name":"Denver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4025 --day 2017-06-03</v>
      </c>
      <c r="AN60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717</v>
      </c>
      <c r="B61" s="7">
        <v>4014</v>
      </c>
      <c r="C61" s="21" t="s">
        <v>204</v>
      </c>
      <c r="D61" s="21" t="s">
        <v>200</v>
      </c>
      <c r="E61" s="13">
        <v>42889.403923611113</v>
      </c>
      <c r="F61" s="13">
        <v>42889.406493055554</v>
      </c>
      <c r="G61" s="7">
        <v>1</v>
      </c>
      <c r="H61" s="21" t="s">
        <v>587</v>
      </c>
      <c r="I61" s="13">
        <v>42889.432083333333</v>
      </c>
      <c r="J61" s="7">
        <v>0</v>
      </c>
      <c r="K61" s="92" t="str">
        <f t="shared" si="0"/>
        <v>4013/4014</v>
      </c>
      <c r="L61" s="21" t="str">
        <f>VLOOKUP(A61,'Trips&amp;Operators'!$C$1:$G$99999,5,FALSE)</f>
        <v>CHANDLER KELVIN</v>
      </c>
      <c r="M61" s="6">
        <f t="shared" si="1"/>
        <v>2.5590277778974269E-2</v>
      </c>
      <c r="N61" s="7">
        <f t="shared" si="23"/>
        <v>36.850000001722947</v>
      </c>
      <c r="O61" s="7"/>
      <c r="P61" s="7"/>
      <c r="Q61" s="22"/>
      <c r="R61" s="173"/>
      <c r="S61" s="176">
        <f t="shared" si="24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-03T08:41:39-0600',mode:absolute,to:'2017-06-03T11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1" s="204" t="str">
        <f t="shared" si="6"/>
        <v>N</v>
      </c>
      <c r="X61" s="204">
        <f t="shared" si="7"/>
        <v>1</v>
      </c>
      <c r="Y61" s="204">
        <f t="shared" si="25"/>
        <v>4.5699999999999998E-2</v>
      </c>
      <c r="Z61" s="204">
        <f t="shared" si="9"/>
        <v>23.328299999999999</v>
      </c>
      <c r="AA61" s="204">
        <f t="shared" si="10"/>
        <v>23.282599999999999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0149-03</v>
      </c>
      <c r="AE61" s="80" t="str">
        <f t="shared" si="12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61" s="77" t="str">
        <f t="shared" si="13"/>
        <v>"C:\Program Files (x86)\AstroGrep\AstroGrep.exe" /e /r /s /spath="%USERPROFILE%\AppData\Local\Temp\OnboardLogs" /stypes="app*4014*20170603*"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149-03 --locoid 4014 --swversion DE.1.0.9.0 --startMP 204:457 --initTime 2017-06-03T09:41:39 --startdatetime 2017-06-03T09:45:21 --delay 1 --endMP 204:233283 --enddatetime 2017-06-03T10:22:12 --enforcementcount 0 &gt;&gt;C:\Users\stu\Documents\GitHub\eaglep3-reporting\EC\2017-06-03-refined-times.txt</v>
      </c>
      <c r="AI61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{"issue":{"subject":"","project_id":79,"tracker_id":40,"status_id":1,"priority_id":2,"assigned_to_id":23,"start_date":"2017-06-03","description":"","custom_fields":[{"id":1,"name":"Subdivision","value":"EC"},{"id":4,"name":"Milepost","value":"23.3283"},{"id":17,"name":"Train ID","value":"149-03"},{"id":16,"name":"Locomotive ID","value":"4014"},{"id":130,"name":"Impact","value":""},{"id":150,"name":"Time of Event (Mountain Time)","value":"10:22:12"},{"id":151,"name":"Denver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4014 --day 2017-06-03</v>
      </c>
      <c r="AN61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628</v>
      </c>
      <c r="B62" s="7">
        <v>4013</v>
      </c>
      <c r="C62" s="21" t="s">
        <v>204</v>
      </c>
      <c r="D62" s="21" t="s">
        <v>583</v>
      </c>
      <c r="E62" s="13">
        <v>42889.444328703707</v>
      </c>
      <c r="F62" s="13">
        <v>42889.446064814816</v>
      </c>
      <c r="G62" s="7">
        <v>1</v>
      </c>
      <c r="H62" s="21" t="s">
        <v>534</v>
      </c>
      <c r="I62" s="13">
        <v>42889.473310185182</v>
      </c>
      <c r="J62" s="7">
        <v>0</v>
      </c>
      <c r="K62" s="92" t="str">
        <f t="shared" si="0"/>
        <v>4013/4014</v>
      </c>
      <c r="L62" s="21" t="str">
        <f>VLOOKUP(A62,'Trips&amp;Operators'!$C$1:$G$99999,5,FALSE)</f>
        <v>CHANDLER KELVIN</v>
      </c>
      <c r="M62" s="6">
        <f t="shared" si="1"/>
        <v>2.7245370365562849E-2</v>
      </c>
      <c r="N62" s="7">
        <f t="shared" si="23"/>
        <v>39.233333326410502</v>
      </c>
      <c r="O62" s="7"/>
      <c r="P62" s="7"/>
      <c r="Q62" s="22"/>
      <c r="R62" s="173"/>
      <c r="S62" s="176">
        <f t="shared" si="24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-03T09:39:50-0600',mode:absolute,to:'2017-06-03T12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2" s="204" t="str">
        <f t="shared" si="6"/>
        <v>N</v>
      </c>
      <c r="X62" s="204">
        <f t="shared" si="7"/>
        <v>1</v>
      </c>
      <c r="Y62" s="204">
        <f t="shared" si="25"/>
        <v>23.297000000000001</v>
      </c>
      <c r="Z62" s="204">
        <f t="shared" si="9"/>
        <v>1.6500000000000001E-2</v>
      </c>
      <c r="AA62" s="204">
        <f t="shared" si="10"/>
        <v>23.2805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0150-03</v>
      </c>
      <c r="AE62" s="80" t="str">
        <f t="shared" si="12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62" s="77" t="str">
        <f t="shared" si="13"/>
        <v>"C:\Program Files (x86)\AstroGrep\AstroGrep.exe" /e /r /s /spath="%USERPROFILE%\AppData\Local\Temp\OnboardLogs" /stypes="app*4013*20170603*"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150-03 --locoid 4013 --swversion DE.1.0.9.0 --startMP 204:232970 --initTime 2017-06-03T10:39:50 --startdatetime 2017-06-03T10:42:20 --delay 1 --endMP 204:165 --enddatetime 2017-06-03T11:21:34 --enforcementcount 0 &gt;&gt;C:\Users\stu\Documents\GitHub\eaglep3-reporting\EC\2017-06-03-refined-times.txt</v>
      </c>
      <c r="AI62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{"issue":{"subject":"","project_id":79,"tracker_id":40,"status_id":1,"priority_id":2,"assigned_to_id":23,"start_date":"2017-06-03","description":"","custom_fields":[{"id":1,"name":"Subdivision","value":"EC"},{"id":4,"name":"Milepost","value":"0.0165"},{"id":17,"name":"Train ID","value":"150-03"},{"id":16,"name":"Locomotive ID","value":"4013"},{"id":130,"name":"Impact","value":""},{"id":150,"name":"Time of Event (Mountain Time)","value":"11:21:34"},{"id":151,"name":"Denver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4013 --day 2017-06-03</v>
      </c>
      <c r="AN62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718</v>
      </c>
      <c r="B63" s="7">
        <v>4004</v>
      </c>
      <c r="C63" s="21" t="s">
        <v>204</v>
      </c>
      <c r="D63" s="21" t="s">
        <v>368</v>
      </c>
      <c r="E63" s="13">
        <v>42889.411689814813</v>
      </c>
      <c r="F63" s="13">
        <v>42889.41684027778</v>
      </c>
      <c r="G63" s="7">
        <v>1</v>
      </c>
      <c r="H63" s="21" t="s">
        <v>873</v>
      </c>
      <c r="I63" s="13">
        <v>42889.441944444443</v>
      </c>
      <c r="J63" s="7">
        <v>0</v>
      </c>
      <c r="K63" s="92" t="str">
        <f t="shared" si="0"/>
        <v>4003/4004</v>
      </c>
      <c r="L63" s="21" t="str">
        <f>VLOOKUP(A63,'Trips&amp;Operators'!$C$1:$G$99999,5,FALSE)</f>
        <v>LALONDE GREGORY</v>
      </c>
      <c r="M63" s="6">
        <f t="shared" si="1"/>
        <v>2.5104166663368233E-2</v>
      </c>
      <c r="N63" s="7">
        <f t="shared" si="23"/>
        <v>36.149999995250255</v>
      </c>
      <c r="O63" s="7"/>
      <c r="P63" s="7"/>
      <c r="Q63" s="22"/>
      <c r="R63" s="173"/>
      <c r="S63" s="176">
        <f t="shared" si="24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-03T08:52:50-0600',mode:absolute,to:'2017-06-03T11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204" t="str">
        <f t="shared" si="6"/>
        <v>N</v>
      </c>
      <c r="X63" s="204">
        <f t="shared" si="7"/>
        <v>1</v>
      </c>
      <c r="Y63" s="204">
        <f t="shared" si="25"/>
        <v>4.5499999999999999E-2</v>
      </c>
      <c r="Z63" s="204">
        <f t="shared" si="9"/>
        <v>23.3324</v>
      </c>
      <c r="AA63" s="204">
        <f t="shared" si="10"/>
        <v>23.286899999999999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0151-03</v>
      </c>
      <c r="AE63" s="80" t="str">
        <f t="shared" si="12"/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63" s="77" t="str">
        <f t="shared" si="13"/>
        <v>"C:\Program Files (x86)\AstroGrep\AstroGrep.exe" /e /r /s /spath="%USERPROFILE%\AppData\Local\Temp\OnboardLogs" /stypes="app*4004*20170603*"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151-03 --locoid 4004 --swversion DE.1.0.9.0 --startMP 204:455 --initTime 2017-06-03T09:52:50 --startdatetime 2017-06-03T10:00:15 --delay 1 --endMP 204:233324 --enddatetime 2017-06-03T10:36:24 --enforcementcount 0 &gt;&gt;C:\Users\stu\Documents\GitHub\eaglep3-reporting\EC\2017-06-03-refined-times.txt</v>
      </c>
      <c r="AI63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{"issue":{"subject":"","project_id":79,"tracker_id":40,"status_id":1,"priority_id":2,"assigned_to_id":23,"start_date":"2017-06-03","description":"","custom_fields":[{"id":1,"name":"Subdivision","value":"EC"},{"id":4,"name":"Milepost","value":"23.3324"},{"id":17,"name":"Train ID","value":"151-03"},{"id":16,"name":"Locomotive ID","value":"4004"},{"id":130,"name":"Impact","value":""},{"id":150,"name":"Time of Event (Mountain Time)","value":"10:36:24"},{"id":151,"name":"Denver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4004 --day 2017-06-03</v>
      </c>
      <c r="AN63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725</v>
      </c>
      <c r="B64" s="7">
        <v>4003</v>
      </c>
      <c r="C64" s="21" t="s">
        <v>204</v>
      </c>
      <c r="D64" s="21" t="s">
        <v>865</v>
      </c>
      <c r="E64" s="13">
        <v>42889.444201388891</v>
      </c>
      <c r="F64" s="13">
        <v>42889.45685185185</v>
      </c>
      <c r="G64" s="7">
        <v>0</v>
      </c>
      <c r="H64" s="21" t="s">
        <v>350</v>
      </c>
      <c r="I64" s="13">
        <v>42889.481840277775</v>
      </c>
      <c r="J64" s="7">
        <v>0</v>
      </c>
      <c r="K64" s="92" t="str">
        <f t="shared" si="0"/>
        <v>4003/4004</v>
      </c>
      <c r="L64" s="21" t="str">
        <f>VLOOKUP(A64,'Trips&amp;Operators'!$C$1:$G$99999,5,FALSE)</f>
        <v>LALONDE GREGORY</v>
      </c>
      <c r="M64" s="6">
        <f t="shared" si="1"/>
        <v>2.4988425924675539E-2</v>
      </c>
      <c r="N64" s="7">
        <f t="shared" si="23"/>
        <v>35.983333331532776</v>
      </c>
      <c r="O64" s="7"/>
      <c r="P64" s="7"/>
      <c r="Q64" s="22"/>
      <c r="R64" s="173"/>
      <c r="S64" s="176">
        <f t="shared" si="24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-03T09:39:39-0600',mode:absolute,to:'2017-06-03T12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204" t="str">
        <f t="shared" si="6"/>
        <v>N</v>
      </c>
      <c r="X64" s="204">
        <f t="shared" si="7"/>
        <v>1</v>
      </c>
      <c r="Y64" s="204">
        <f t="shared" si="25"/>
        <v>23.302099999999999</v>
      </c>
      <c r="Z64" s="204">
        <f t="shared" si="9"/>
        <v>1.6E-2</v>
      </c>
      <c r="AA64" s="204">
        <f t="shared" si="10"/>
        <v>23.286100000000001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0152-03</v>
      </c>
      <c r="AE64" s="80" t="str">
        <f t="shared" si="12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64" s="77" t="str">
        <f t="shared" si="13"/>
        <v>"C:\Program Files (x86)\AstroGrep\AstroGrep.exe" /e /r /s /spath="%USERPROFILE%\AppData\Local\Temp\OnboardLogs" /stypes="app*4003*20170603*"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152-03 --locoid 4003 --swversion DE.1.0.9.0 --startMP 204:233021 --initTime 2017-06-03T10:39:39 --startdatetime 2017-06-03T10:57:52 --delay 0 --endMP 204:160 --enddatetime 2017-06-03T11:33:51 --enforcementcount 0 &gt;&gt;C:\Users\stu\Documents\GitHub\eaglep3-reporting\EC\2017-06-03-refined-times.txt</v>
      </c>
      <c r="AI64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{"issue":{"subject":"","project_id":79,"tracker_id":40,"status_id":1,"priority_id":2,"assigned_to_id":23,"start_date":"2017-06-03","description":"","custom_fields":[{"id":1,"name":"Subdivision","value":"EC"},{"id":4,"name":"Milepost","value":"0.016"},{"id":17,"name":"Train ID","value":"152-03"},{"id":16,"name":"Locomotive ID","value":"4003"},{"id":130,"name":"Impact","value":""},{"id":150,"name":"Time of Event (Mountain Time)","value":"11:33:51"},{"id":151,"name":"Denver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4003 --day 2017-06-03</v>
      </c>
      <c r="AN64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721</v>
      </c>
      <c r="B65" s="7">
        <v>4008</v>
      </c>
      <c r="C65" s="21" t="s">
        <v>204</v>
      </c>
      <c r="D65" s="21" t="s">
        <v>368</v>
      </c>
      <c r="E65" s="13">
        <v>42889.422280092593</v>
      </c>
      <c r="F65" s="13">
        <v>42889.427222222221</v>
      </c>
      <c r="G65" s="7">
        <v>1</v>
      </c>
      <c r="H65" s="21" t="s">
        <v>490</v>
      </c>
      <c r="I65" s="13">
        <v>42889.452222222222</v>
      </c>
      <c r="J65" s="7">
        <v>0</v>
      </c>
      <c r="K65" s="92" t="str">
        <f t="shared" si="0"/>
        <v>4007/4008</v>
      </c>
      <c r="L65" s="21" t="str">
        <f>VLOOKUP(A65,'Trips&amp;Operators'!$C$1:$G$99999,5,FALSE)</f>
        <v>NEWELL JAMES</v>
      </c>
      <c r="M65" s="6">
        <f t="shared" si="1"/>
        <v>2.5000000001455192E-2</v>
      </c>
      <c r="N65" s="7">
        <f t="shared" si="23"/>
        <v>36.000000002095476</v>
      </c>
      <c r="O65" s="7"/>
      <c r="P65" s="7"/>
      <c r="Q65" s="22"/>
      <c r="R65" s="173"/>
      <c r="S65" s="176">
        <f t="shared" si="24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-03T09:08:05-0600',mode:absolute,to:'2017-06-03T11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204" t="str">
        <f t="shared" si="6"/>
        <v>N</v>
      </c>
      <c r="X65" s="204">
        <f t="shared" si="7"/>
        <v>1</v>
      </c>
      <c r="Y65" s="204">
        <f t="shared" si="25"/>
        <v>4.5499999999999999E-2</v>
      </c>
      <c r="Z65" s="204">
        <f t="shared" si="9"/>
        <v>23.3306</v>
      </c>
      <c r="AA65" s="204">
        <f t="shared" si="10"/>
        <v>23.2851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0153-03</v>
      </c>
      <c r="AE65" s="80" t="str">
        <f t="shared" si="12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65" s="77" t="str">
        <f t="shared" si="13"/>
        <v>"C:\Program Files (x86)\AstroGrep\AstroGrep.exe" /e /r /s /spath="%USERPROFILE%\AppData\Local\Temp\OnboardLogs" /stypes="app*4008*20170603*"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153-03 --locoid 4008 --swversion DE.1.0.9.0 --startMP 204:455 --initTime 2017-06-03T10:08:05 --startdatetime 2017-06-03T10:15:12 --delay 1 --endMP 204:233306 --enddatetime 2017-06-03T10:51:12 --enforcementcount 0 &gt;&gt;C:\Users\stu\Documents\GitHub\eaglep3-reporting\EC\2017-06-03-refined-times.txt</v>
      </c>
      <c r="AI65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{"issue":{"subject":"","project_id":79,"tracker_id":40,"status_id":1,"priority_id":2,"assigned_to_id":23,"start_date":"2017-06-03","description":"","custom_fields":[{"id":1,"name":"Subdivision","value":"EC"},{"id":4,"name":"Milepost","value":"23.3306"},{"id":17,"name":"Train ID","value":"153-03"},{"id":16,"name":"Locomotive ID","value":"4008"},{"id":130,"name":"Impact","value":""},{"id":150,"name":"Time of Event (Mountain Time)","value":"10:51:12"},{"id":151,"name":"Denver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4008 --day 2017-06-03</v>
      </c>
      <c r="AN65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727</v>
      </c>
      <c r="B66" s="7">
        <v>4007</v>
      </c>
      <c r="C66" s="21" t="s">
        <v>204</v>
      </c>
      <c r="D66" s="21" t="s">
        <v>496</v>
      </c>
      <c r="E66" s="13">
        <v>42889.457361111112</v>
      </c>
      <c r="F66" s="13">
        <v>42889.466782407406</v>
      </c>
      <c r="G66" s="7">
        <v>1</v>
      </c>
      <c r="H66" s="21" t="s">
        <v>195</v>
      </c>
      <c r="I66" s="13">
        <v>42889.492627314816</v>
      </c>
      <c r="J66" s="7">
        <v>0</v>
      </c>
      <c r="K66" s="92" t="str">
        <f t="shared" si="0"/>
        <v>4007/4008</v>
      </c>
      <c r="L66" s="21" t="str">
        <f>VLOOKUP(A66,'Trips&amp;Operators'!$C$1:$G$99999,5,FALSE)</f>
        <v>NEWELL JAMES</v>
      </c>
      <c r="M66" s="6">
        <f t="shared" si="1"/>
        <v>2.584490740991896E-2</v>
      </c>
      <c r="N66" s="7">
        <f t="shared" si="23"/>
        <v>37.216666670283303</v>
      </c>
      <c r="O66" s="7"/>
      <c r="P66" s="7"/>
      <c r="Q66" s="22"/>
      <c r="R66" s="173"/>
      <c r="S66" s="176">
        <f t="shared" si="24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-03T09:58:36-0600',mode:absolute,to:'2017-06-03T12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204" t="str">
        <f t="shared" si="6"/>
        <v>N</v>
      </c>
      <c r="X66" s="204">
        <f t="shared" si="7"/>
        <v>1</v>
      </c>
      <c r="Y66" s="204">
        <f t="shared" si="25"/>
        <v>23.3002</v>
      </c>
      <c r="Z66" s="204">
        <f t="shared" si="9"/>
        <v>1.52E-2</v>
      </c>
      <c r="AA66" s="204">
        <f t="shared" si="10"/>
        <v>23.285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0154-03</v>
      </c>
      <c r="AE66" s="80" t="str">
        <f t="shared" si="12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66" s="77" t="str">
        <f t="shared" si="13"/>
        <v>"C:\Program Files (x86)\AstroGrep\AstroGrep.exe" /e /r /s /spath="%USERPROFILE%\AppData\Local\Temp\OnboardLogs" /stypes="app*4007*20170603*"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154-03 --locoid 4007 --swversion DE.1.0.9.0 --startMP 204:233002 --initTime 2017-06-03T10:58:36 --startdatetime 2017-06-03T11:12:10 --delay 1 --endMP 204:152 --enddatetime 2017-06-03T11:49:23 --enforcementcount 0 &gt;&gt;C:\Users\stu\Documents\GitHub\eaglep3-reporting\EC\2017-06-03-refined-times.txt</v>
      </c>
      <c r="AI66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{"issue":{"subject":"","project_id":79,"tracker_id":40,"status_id":1,"priority_id":2,"assigned_to_id":23,"start_date":"2017-06-03","description":"","custom_fields":[{"id":1,"name":"Subdivision","value":"EC"},{"id":4,"name":"Milepost","value":"0.0152"},{"id":17,"name":"Train ID","value":"154-03"},{"id":16,"name":"Locomotive ID","value":"4007"},{"id":130,"name":"Impact","value":""},{"id":150,"name":"Time of Event (Mountain Time)","value":"11:49:23"},{"id":151,"name":"Denver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4007 --day 2017-06-03</v>
      </c>
      <c r="AN66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722</v>
      </c>
      <c r="B67" s="7">
        <v>4050</v>
      </c>
      <c r="C67" s="21" t="s">
        <v>204</v>
      </c>
      <c r="D67" s="21" t="s">
        <v>201</v>
      </c>
      <c r="E67" s="13">
        <v>42889.433449074073</v>
      </c>
      <c r="F67" s="13">
        <v>42889.437789351854</v>
      </c>
      <c r="G67" s="7">
        <v>1</v>
      </c>
      <c r="H67" s="21" t="s">
        <v>874</v>
      </c>
      <c r="I67" s="13">
        <v>42889.463761574072</v>
      </c>
      <c r="J67" s="7">
        <v>0</v>
      </c>
      <c r="K67" s="92" t="str">
        <f t="shared" si="0"/>
        <v>4049/4050</v>
      </c>
      <c r="L67" s="21" t="str">
        <f>VLOOKUP(A67,'Trips&amp;Operators'!$C$1:$G$99999,5,FALSE)</f>
        <v>DAVIDSON DAVID</v>
      </c>
      <c r="M67" s="6">
        <f t="shared" si="1"/>
        <v>2.5972222218115348E-2</v>
      </c>
      <c r="N67" s="7">
        <f t="shared" si="23"/>
        <v>37.399999994086102</v>
      </c>
      <c r="O67" s="7"/>
      <c r="P67" s="7"/>
      <c r="Q67" s="22"/>
      <c r="R67" s="173"/>
      <c r="S67" s="176">
        <f t="shared" si="24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-03T09:24:10-0600',mode:absolute,to:'2017-06-03T12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7" s="204" t="str">
        <f t="shared" si="6"/>
        <v>N</v>
      </c>
      <c r="X67" s="204">
        <f t="shared" si="7"/>
        <v>1</v>
      </c>
      <c r="Y67" s="204">
        <f t="shared" si="25"/>
        <v>4.5999999999999999E-2</v>
      </c>
      <c r="Z67" s="204">
        <f t="shared" si="9"/>
        <v>23.330100000000002</v>
      </c>
      <c r="AA67" s="204">
        <f t="shared" si="10"/>
        <v>23.284100000000002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0155-03</v>
      </c>
      <c r="AE67" s="80" t="str">
        <f t="shared" si="12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67" s="77" t="str">
        <f t="shared" si="13"/>
        <v>"C:\Program Files (x86)\AstroGrep\AstroGrep.exe" /e /r /s /spath="%USERPROFILE%\AppData\Local\Temp\OnboardLogs" /stypes="app*4050*20170603*"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155-03 --locoid 4050 --swversion DE.1.0.9.0 --startMP 204:460 --initTime 2017-06-03T10:24:10 --startdatetime 2017-06-03T10:30:25 --delay 1 --endMP 204:233301 --enddatetime 2017-06-03T11:07:49 --enforcementcount 0 &gt;&gt;C:\Users\stu\Documents\GitHub\eaglep3-reporting\EC\2017-06-03-refined-times.txt</v>
      </c>
      <c r="AI67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{"issue":{"subject":"","project_id":79,"tracker_id":40,"status_id":1,"priority_id":2,"assigned_to_id":23,"start_date":"2017-06-03","description":"","custom_fields":[{"id":1,"name":"Subdivision","value":"EC"},{"id":4,"name":"Milepost","value":"23.3301"},{"id":17,"name":"Train ID","value":"155-03"},{"id":16,"name":"Locomotive ID","value":"4050"},{"id":130,"name":"Impact","value":""},{"id":150,"name":"Time of Event (Mountain Time)","value":"11:07:49"},{"id":151,"name":"Denver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4050 --day 2017-06-03</v>
      </c>
      <c r="AN67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631</v>
      </c>
      <c r="B68" s="7">
        <v>4049</v>
      </c>
      <c r="C68" s="21" t="s">
        <v>204</v>
      </c>
      <c r="D68" s="21" t="s">
        <v>481</v>
      </c>
      <c r="E68" s="13">
        <v>42889.465173611112</v>
      </c>
      <c r="F68" s="13">
        <v>42889.477280092593</v>
      </c>
      <c r="G68" s="7">
        <v>1</v>
      </c>
      <c r="H68" s="21" t="s">
        <v>195</v>
      </c>
      <c r="I68" s="13">
        <v>42889.505381944444</v>
      </c>
      <c r="J68" s="7">
        <v>0</v>
      </c>
      <c r="K68" s="92" t="str">
        <f t="shared" si="0"/>
        <v>4049/4050</v>
      </c>
      <c r="L68" s="21" t="str">
        <f>VLOOKUP(A68,'Trips&amp;Operators'!$C$1:$G$99999,5,FALSE)</f>
        <v>DAVIDSON DAVID</v>
      </c>
      <c r="M68" s="6">
        <f t="shared" si="1"/>
        <v>2.810185185080627E-2</v>
      </c>
      <c r="N68" s="7">
        <f t="shared" si="23"/>
        <v>40.466666665161029</v>
      </c>
      <c r="O68" s="7"/>
      <c r="P68" s="7"/>
      <c r="Q68" s="22"/>
      <c r="R68" s="173"/>
      <c r="S68" s="176">
        <f t="shared" si="24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-03T10:09:51-0600',mode:absolute,to:'2017-06-03T13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8" s="204" t="str">
        <f t="shared" si="6"/>
        <v>N</v>
      </c>
      <c r="X68" s="204">
        <f t="shared" si="7"/>
        <v>1</v>
      </c>
      <c r="Y68" s="204">
        <f t="shared" si="25"/>
        <v>23.297799999999999</v>
      </c>
      <c r="Z68" s="204">
        <f t="shared" si="9"/>
        <v>1.52E-2</v>
      </c>
      <c r="AA68" s="204">
        <f t="shared" si="10"/>
        <v>23.282599999999999</v>
      </c>
      <c r="AB68" s="57" t="str">
        <f>VLOOKUP(A68,Enforcements!$C$7:$K$13,8,0)</f>
        <v>Bulletin (2)</v>
      </c>
      <c r="AC68" s="53" t="str">
        <f>VLOOKUP(A68,Enforcements!$C$7:$E$13,3,0)</f>
        <v>GRADE CROSSING</v>
      </c>
      <c r="AD68" s="54" t="str">
        <f t="shared" si="11"/>
        <v>0156-03</v>
      </c>
      <c r="AE68" s="80" t="str">
        <f t="shared" si="12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68" s="77" t="str">
        <f t="shared" si="13"/>
        <v>"C:\Program Files (x86)\AstroGrep\AstroGrep.exe" /e /r /s /spath="%USERPROFILE%\AppData\Local\Temp\OnboardLogs" /stypes="app*4049*20170603*"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156-03 --locoid 4049 --swversion DE.1.0.9.0 --startMP 204:232978 --initTime 2017-06-03T11:09:51 --startdatetime 2017-06-03T11:27:17 --delay 1 --endMP 204:152 --enddatetime 2017-06-03T12:07:45 --enforcementcount 0 &gt;&gt;C:\Users\stu\Documents\GitHub\eaglep3-reporting\EC\2017-06-03-refined-times.txt</v>
      </c>
      <c r="AI68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{"issue":{"subject":"","project_id":79,"tracker_id":40,"status_id":1,"priority_id":2,"assigned_to_id":23,"start_date":"2017-06-03","description":"","custom_fields":[{"id":1,"name":"Subdivision","value":"EC"},{"id":4,"name":"Milepost","value":"0.0152"},{"id":17,"name":"Train ID","value":"156-03"},{"id":16,"name":"Locomotive ID","value":"4049"},{"id":130,"name":"Impact","value":""},{"id":150,"name":"Time of Event (Mountain Time)","value":"12:07:45"},{"id":151,"name":"Denver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4049 --day 2017-06-03</v>
      </c>
      <c r="AN68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726</v>
      </c>
      <c r="B69" s="7">
        <v>4010</v>
      </c>
      <c r="C69" s="21" t="s">
        <v>204</v>
      </c>
      <c r="D69" s="21" t="s">
        <v>200</v>
      </c>
      <c r="E69" s="13">
        <v>42889.444780092592</v>
      </c>
      <c r="F69" s="13">
        <v>42889.448113425926</v>
      </c>
      <c r="G69" s="7">
        <v>2</v>
      </c>
      <c r="H69" s="21" t="s">
        <v>400</v>
      </c>
      <c r="I69" s="13">
        <v>42889.473055555558</v>
      </c>
      <c r="J69" s="7">
        <v>0</v>
      </c>
      <c r="K69" s="92" t="str">
        <f t="shared" si="0"/>
        <v>4009/4010</v>
      </c>
      <c r="L69" s="21" t="str">
        <f>VLOOKUP(A69,'Trips&amp;Operators'!$C$1:$G$99999,5,FALSE)</f>
        <v>STEWART MICHAEL</v>
      </c>
      <c r="M69" s="6">
        <f t="shared" si="1"/>
        <v>2.4942129632108845E-2</v>
      </c>
      <c r="N69" s="7">
        <f t="shared" si="23"/>
        <v>35.916666670236737</v>
      </c>
      <c r="O69" s="7"/>
      <c r="P69" s="7"/>
      <c r="Q69" s="22"/>
      <c r="R69" s="173"/>
      <c r="S69" s="176">
        <f t="shared" si="24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-03T09:40:29-0600',mode:absolute,to:'2017-06-03T12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204" t="str">
        <f t="shared" si="6"/>
        <v>N</v>
      </c>
      <c r="X69" s="204">
        <f t="shared" si="7"/>
        <v>1</v>
      </c>
      <c r="Y69" s="204">
        <f t="shared" si="25"/>
        <v>4.5699999999999998E-2</v>
      </c>
      <c r="Z69" s="204">
        <f t="shared" si="9"/>
        <v>23.3293</v>
      </c>
      <c r="AA69" s="204">
        <f t="shared" si="10"/>
        <v>23.2836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0157-03</v>
      </c>
      <c r="AE69" s="80" t="str">
        <f t="shared" si="12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69" s="77" t="str">
        <f t="shared" si="13"/>
        <v>"C:\Program Files (x86)\AstroGrep\AstroGrep.exe" /e /r /s /spath="%USERPROFILE%\AppData\Local\Temp\OnboardLogs" /stypes="app*4010*20170603*"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157-03 --locoid 4010 --swversion DE.1.0.9.0 --startMP 204:457 --initTime 2017-06-03T10:40:29 --startdatetime 2017-06-03T10:45:17 --delay 2 --endMP 204:233293 --enddatetime 2017-06-03T11:21:12 --enforcementcount 0 &gt;&gt;C:\Users\stu\Documents\GitHub\eaglep3-reporting\EC\2017-06-03-refined-times.txt</v>
      </c>
      <c r="AI69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{"issue":{"subject":"","project_id":79,"tracker_id":40,"status_id":1,"priority_id":2,"assigned_to_id":23,"start_date":"2017-06-03","description":"","custom_fields":[{"id":1,"name":"Subdivision","value":"EC"},{"id":4,"name":"Milepost","value":"23.3293"},{"id":17,"name":"Train ID","value":"157-03"},{"id":16,"name":"Locomotive ID","value":"4010"},{"id":130,"name":"Impact","value":""},{"id":150,"name":"Time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4010 --day 2017-06-03</v>
      </c>
      <c r="AN69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735</v>
      </c>
      <c r="B70" s="7">
        <v>4009</v>
      </c>
      <c r="C70" s="21" t="s">
        <v>204</v>
      </c>
      <c r="D70" s="21" t="s">
        <v>875</v>
      </c>
      <c r="E70" s="13">
        <v>42889.485451388886</v>
      </c>
      <c r="F70" s="13">
        <v>42889.48773148148</v>
      </c>
      <c r="G70" s="7">
        <v>1</v>
      </c>
      <c r="H70" s="21" t="s">
        <v>196</v>
      </c>
      <c r="I70" s="13">
        <v>42889.514444444445</v>
      </c>
      <c r="J70" s="7">
        <v>0</v>
      </c>
      <c r="K70" s="92" t="str">
        <f t="shared" si="0"/>
        <v>4009/4010</v>
      </c>
      <c r="L70" s="21" t="str">
        <f>VLOOKUP(A70,'Trips&amp;Operators'!$C$1:$G$99999,5,FALSE)</f>
        <v>STEWART MICHAEL</v>
      </c>
      <c r="M70" s="6">
        <f t="shared" si="1"/>
        <v>2.6712962964666076E-2</v>
      </c>
      <c r="N70" s="7">
        <f t="shared" si="23"/>
        <v>38.466666669119149</v>
      </c>
      <c r="O70" s="7"/>
      <c r="P70" s="7"/>
      <c r="Q70" s="22"/>
      <c r="R70" s="173"/>
      <c r="S70" s="176">
        <f t="shared" si="24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-03T10:39:03-0600',mode:absolute,to:'2017-06-03T13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204" t="str">
        <f t="shared" si="6"/>
        <v>N</v>
      </c>
      <c r="X70" s="204">
        <f t="shared" si="7"/>
        <v>1</v>
      </c>
      <c r="Y70" s="204">
        <f t="shared" si="25"/>
        <v>23.297599999999999</v>
      </c>
      <c r="Z70" s="204">
        <f t="shared" si="9"/>
        <v>1.5800000000000002E-2</v>
      </c>
      <c r="AA70" s="204">
        <f t="shared" si="10"/>
        <v>23.2818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0158-03</v>
      </c>
      <c r="AE70" s="80" t="str">
        <f t="shared" si="12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70" s="77" t="str">
        <f t="shared" si="13"/>
        <v>"C:\Program Files (x86)\AstroGrep\AstroGrep.exe" /e /r /s /spath="%USERPROFILE%\AppData\Local\Temp\OnboardLogs" /stypes="app*4009*20170603*"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158-03 --locoid 4009 --swversion DE.1.0.9.0 --startMP 204:232976 --initTime 2017-06-03T11:39:03 --startdatetime 2017-06-03T11:42:20 --delay 1 --endMP 204:158 --enddatetime 2017-06-03T12:20:48 --enforcementcount 0 &gt;&gt;C:\Users\stu\Documents\GitHub\eaglep3-reporting\EC\2017-06-03-refined-times.txt</v>
      </c>
      <c r="AI70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ID","value":"158-03"},{"id":16,"name":"Locomotive ID","value":"4009"},{"id":130,"name":"Impact","value":""},{"id":150,"name":"Time of Event (Mountain Time)","value":"12:20:48"},{"id":151,"name":"Denver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4009 --day 2017-06-03</v>
      </c>
      <c r="AN70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627</v>
      </c>
      <c r="B71" s="7">
        <v>4044</v>
      </c>
      <c r="C71" s="21" t="s">
        <v>204</v>
      </c>
      <c r="D71" s="21" t="s">
        <v>468</v>
      </c>
      <c r="E71" s="13">
        <v>42889.454618055555</v>
      </c>
      <c r="F71" s="13">
        <v>42889.458692129629</v>
      </c>
      <c r="G71" s="7">
        <v>1</v>
      </c>
      <c r="H71" s="21" t="s">
        <v>876</v>
      </c>
      <c r="I71" s="13">
        <v>42889.485381944447</v>
      </c>
      <c r="J71" s="7">
        <v>0</v>
      </c>
      <c r="K71" s="92" t="str">
        <f t="shared" si="0"/>
        <v>4043/4044</v>
      </c>
      <c r="L71" s="21" t="str">
        <f>VLOOKUP(A71,'Trips&amp;Operators'!$C$1:$G$99999,5,FALSE)</f>
        <v>GUZMAN DANNY</v>
      </c>
      <c r="M71" s="6">
        <f t="shared" si="1"/>
        <v>2.6689814818382729E-2</v>
      </c>
      <c r="N71" s="7">
        <f t="shared" si="23"/>
        <v>38.43333333847113</v>
      </c>
      <c r="O71" s="7"/>
      <c r="P71" s="7"/>
      <c r="Q71" s="22"/>
      <c r="R71" s="173" t="s">
        <v>1006</v>
      </c>
      <c r="S71" s="176">
        <f t="shared" si="24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-03T09:54:39-0600',mode:absolute,to:'2017-06-03T12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1" s="204" t="str">
        <f t="shared" si="6"/>
        <v>N</v>
      </c>
      <c r="X71" s="204">
        <f t="shared" si="7"/>
        <v>1</v>
      </c>
      <c r="Y71" s="204">
        <f t="shared" si="25"/>
        <v>4.6699999999999998E-2</v>
      </c>
      <c r="Z71" s="204">
        <f t="shared" si="9"/>
        <v>23.325700000000001</v>
      </c>
      <c r="AA71" s="204">
        <f t="shared" si="10"/>
        <v>23.279</v>
      </c>
      <c r="AB71" s="57" t="str">
        <f>VLOOKUP(A71,Enforcements!$C$7:$K$13,8,0)</f>
        <v>Bulletin (2)</v>
      </c>
      <c r="AC71" s="53" t="str">
        <f>VLOOKUP(A71,Enforcements!$C$7:$E$13,3,0)</f>
        <v>GRADE CROSSING</v>
      </c>
      <c r="AD71" s="54" t="str">
        <f t="shared" si="11"/>
        <v>0159-03</v>
      </c>
      <c r="AE71" s="80" t="str">
        <f t="shared" si="12"/>
        <v>aws s3 cp s3://rtdc.mdm.uploadarchive.raw/RTDC4044/ "%USERPROFILE%\AppData\Local\Temp\OnboardLogs"\RTDC4044\2017-06-03 --exclude "*" --recursive --include "*20170603*" &amp; "%USERPROFILE%\Documents\GitHub\mrs-test-scripts\Headless Mode &amp; Sideloading\WalkAndUnGZ.bat" "%USERPROFILE%\AppData\Local\Temp\OnboardLogs"\RTDC4044\2017-06-03 &amp; aws s3 cp s3://rtdc.mdm.uploadarchive.raw/RTDC4044/ "%USERPROFILE%\AppData\Local\Temp\OnboardLogs"\RTDC4044\2017-06-04 --exclude "*" --recursive --include "*20170604*" &amp; "%USERPROFILE%\Documents\GitHub\mrs-test-scripts\Headless Mode &amp; Sideloading\WalkAndUnGZ.bat" "%USERPROFILE%\AppData\Local\Temp\OnboardLogs"\RTDC4044\2017-06-04</v>
      </c>
      <c r="AF71" s="77" t="str">
        <f t="shared" si="13"/>
        <v>"C:\Program Files (x86)\AstroGrep\AstroGrep.exe" /e /r /s /spath="%USERPROFILE%\AppData\Local\Temp\OnboardLogs" /stypes="app*4044*20170603*"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159-03 --locoid 4044 --swversion DE.1.0.9.0 --startMP 204:467 --initTime 2017-06-03T10:54:39 --startdatetime 2017-06-03T11:00:31 --delay 1 --endMP 204:233257 --enddatetime 2017-06-03T11:38:57 --enforcementcount 0 &gt;&gt;C:\Users\stu\Documents\GitHub\eaglep3-reporting\EC\2017-06-03-refined-times.txt</v>
      </c>
      <c r="AI71" s="99" t="str">
        <f t="shared" si="20"/>
        <v>echo {"issue":{"subject":"Unhealthy at Ulster due to train stop (after early arrival enforcement)","project_id":79,"tracker_id":40,"status_id":1,"priority_id":2,"assigned_to_id":23,"start_date":"2017-06-03","description":"","custom_fields":[{"id":1,"name":"Subdivision","value":"EC"},{"id":4,"name":"Milepost","value":"23.3257"},{"id":17,"name":"Train ID","value":"159-03"},{"id":16,"name":"Locomotive ID","value":"4044"},{"id":130,"name":"Impact","value":""},{"id":150,"name":"Time of Event (Mountain Time)","value":"11:38:57"},{"id":151,"name":"Denver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4044 --day 2017-06-03</v>
      </c>
      <c r="AN71" s="154" t="str">
        <f t="shared" si="22"/>
        <v>echo {"issue":{"subject":"Unhealthy at Ulster due to train stop (after early arrival enforcement)","project_id":30,"tracker_id":4,"status_id":1,"priority_id":1,"assigned_to_id":10,"start_date":"2017-06-03","description":"","custom_fields":[{"id":30,"name":"Category","value":"Issue"},{"id":3,"name":"Functional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736</v>
      </c>
      <c r="B72" s="7">
        <v>4043</v>
      </c>
      <c r="C72" s="21" t="s">
        <v>204</v>
      </c>
      <c r="D72" s="21" t="s">
        <v>877</v>
      </c>
      <c r="E72" s="13">
        <v>42889.487430555557</v>
      </c>
      <c r="F72" s="13">
        <v>42889.498101851852</v>
      </c>
      <c r="G72" s="7">
        <v>1</v>
      </c>
      <c r="H72" s="21" t="s">
        <v>878</v>
      </c>
      <c r="I72" s="13">
        <v>42889.525254629632</v>
      </c>
      <c r="J72" s="7">
        <v>0</v>
      </c>
      <c r="K72" s="92" t="str">
        <f t="shared" si="0"/>
        <v>4043/4044</v>
      </c>
      <c r="L72" s="21" t="str">
        <f>VLOOKUP(A72,'Trips&amp;Operators'!$C$1:$G$99999,5,FALSE)</f>
        <v>GUZMAN DANNY</v>
      </c>
      <c r="M72" s="6">
        <f t="shared" si="1"/>
        <v>2.715277778042946E-2</v>
      </c>
      <c r="N72" s="7">
        <f t="shared" si="23"/>
        <v>39.100000003818423</v>
      </c>
      <c r="O72" s="7"/>
      <c r="P72" s="7"/>
      <c r="Q72" s="22"/>
      <c r="R72" s="173"/>
      <c r="S72" s="176">
        <f t="shared" si="24"/>
        <v>1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-03T10:41:54-0600',mode:absolute,to:'2017-06-03T13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2" s="204" t="str">
        <f t="shared" si="6"/>
        <v>N</v>
      </c>
      <c r="X72" s="204">
        <f t="shared" si="7"/>
        <v>1</v>
      </c>
      <c r="Y72" s="204">
        <f t="shared" si="25"/>
        <v>23.293800000000001</v>
      </c>
      <c r="Z72" s="204">
        <f t="shared" si="9"/>
        <v>0.1169</v>
      </c>
      <c r="AA72" s="204">
        <f t="shared" si="10"/>
        <v>23.1769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0160-03</v>
      </c>
      <c r="AE72" s="80" t="str">
        <f t="shared" si="12"/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AF72" s="77" t="str">
        <f t="shared" si="13"/>
        <v>"C:\Program Files (x86)\AstroGrep\AstroGrep.exe" /e /r /s /spath="%USERPROFILE%\AppData\Local\Temp\OnboardLogs" /stypes="app*4043*20170603*"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160-03 --locoid 4043 --swversion DE.1.0.9.0 --startMP 204:232938 --initTime 2017-06-03T11:41:54 --startdatetime 2017-06-03T11:57:16 --delay 1 --endMP 204:1169 --enddatetime 2017-06-03T12:36:22 --enforcementcount 0 &gt;&gt;C:\Users\stu\Documents\GitHub\eaglep3-reporting\EC\2017-06-03-refined-times.txt</v>
      </c>
      <c r="AI72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{"issue":{"subject":"","project_id":79,"tracker_id":40,"status_id":1,"priority_id":2,"assigned_to_id":23,"start_date":"2017-06-03","description":"","custom_fields":[{"id":1,"name":"Subdivision","value":"EC"},{"id":4,"name":"Milepost","value":"0.1169"},{"id":17,"name":"Train ID","value":"160-03"},{"id":16,"name":"Locomotive ID","value":"4043"},{"id":130,"name":"Impact","value":""},{"id":150,"name":"Time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4043 --day 2017-06-03</v>
      </c>
      <c r="AN72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728</v>
      </c>
      <c r="B73" s="7">
        <v>4026</v>
      </c>
      <c r="C73" s="21" t="s">
        <v>204</v>
      </c>
      <c r="D73" s="21" t="s">
        <v>399</v>
      </c>
      <c r="E73" s="13">
        <v>42889.465219907404</v>
      </c>
      <c r="F73" s="13">
        <v>42889.469050925924</v>
      </c>
      <c r="G73" s="7">
        <v>2</v>
      </c>
      <c r="H73" s="21" t="s">
        <v>596</v>
      </c>
      <c r="I73" s="13">
        <v>42889.495092592595</v>
      </c>
      <c r="J73" s="7">
        <v>0</v>
      </c>
      <c r="K73" s="92" t="str">
        <f t="shared" si="0"/>
        <v>4025/4026</v>
      </c>
      <c r="L73" s="21" t="str">
        <f>VLOOKUP(A73,'Trips&amp;Operators'!$C$1:$G$99999,5,FALSE)</f>
        <v>DAVIS MICHAEL</v>
      </c>
      <c r="M73" s="6">
        <f t="shared" si="1"/>
        <v>2.6041666671517305E-2</v>
      </c>
      <c r="N73" s="7">
        <f t="shared" si="23"/>
        <v>37.500000006984919</v>
      </c>
      <c r="O73" s="7"/>
      <c r="P73" s="7"/>
      <c r="Q73" s="22"/>
      <c r="R73" s="173"/>
      <c r="S73" s="176">
        <f t="shared" si="24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-03T10:09:55-0600',mode:absolute,to:'2017-06-03T12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04" t="str">
        <f t="shared" si="6"/>
        <v>N</v>
      </c>
      <c r="X73" s="204">
        <f t="shared" si="7"/>
        <v>1</v>
      </c>
      <c r="Y73" s="204">
        <f t="shared" si="25"/>
        <v>4.6199999999999998E-2</v>
      </c>
      <c r="Z73" s="204">
        <f t="shared" si="9"/>
        <v>23.3308</v>
      </c>
      <c r="AA73" s="204">
        <f t="shared" si="10"/>
        <v>23.284600000000001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0161-03</v>
      </c>
      <c r="AE73" s="80" t="str">
        <f t="shared" si="12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73" s="77" t="str">
        <f t="shared" si="13"/>
        <v>"C:\Program Files (x86)\AstroGrep\AstroGrep.exe" /e /r /s /spath="%USERPROFILE%\AppData\Local\Temp\OnboardLogs" /stypes="app*4026*20170603*"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161-03 --locoid 4026 --swversion DE.1.0.9.0 --startMP 204:462 --initTime 2017-06-03T11:09:55 --startdatetime 2017-06-03T11:15:26 --delay 2 --endMP 204:233308 --enddatetime 2017-06-03T11:52:56 --enforcementcount 0 &gt;&gt;C:\Users\stu\Documents\GitHub\eaglep3-reporting\EC\2017-06-03-refined-times.txt</v>
      </c>
      <c r="AI73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{"issue":{"subject":"","project_id":79,"tracker_id":40,"status_id":1,"priority_id":2,"assigned_to_id":23,"start_date":"2017-06-03","description":"","custom_fields":[{"id":1,"name":"Subdivision","value":"EC"},{"id":4,"name":"Milepost","value":"23.3308"},{"id":17,"name":"Train ID","value":"161-03"},{"id":16,"name":"Locomotive ID","value":"4026"},{"id":130,"name":"Impact","value":""},{"id":150,"name":"Time of Event (Mountain Time)","value":"11:52:56"},{"id":151,"name":"Denver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4026 --day 2017-06-03</v>
      </c>
      <c r="AN73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632</v>
      </c>
      <c r="B74" s="7">
        <v>4025</v>
      </c>
      <c r="C74" s="21" t="s">
        <v>204</v>
      </c>
      <c r="D74" s="21" t="s">
        <v>867</v>
      </c>
      <c r="E74" s="13">
        <v>42889.505023148151</v>
      </c>
      <c r="F74" s="13">
        <v>42889.508761574078</v>
      </c>
      <c r="G74" s="7">
        <v>1</v>
      </c>
      <c r="H74" s="21" t="s">
        <v>196</v>
      </c>
      <c r="I74" s="13">
        <v>42889.537002314813</v>
      </c>
      <c r="J74" s="7">
        <v>0</v>
      </c>
      <c r="K74" s="92" t="str">
        <f t="shared" si="0"/>
        <v>4025/4026</v>
      </c>
      <c r="L74" s="21" t="str">
        <f>VLOOKUP(A74,'Trips&amp;Operators'!$C$1:$G$99999,5,FALSE)</f>
        <v>DAVIS MICHAEL</v>
      </c>
      <c r="M74" s="6">
        <f t="shared" si="1"/>
        <v>2.824074073578231E-2</v>
      </c>
      <c r="N74" s="7">
        <f t="shared" si="23"/>
        <v>40.666666659526527</v>
      </c>
      <c r="O74" s="7"/>
      <c r="P74" s="7"/>
      <c r="Q74" s="22"/>
      <c r="R74" s="173"/>
      <c r="S74" s="176">
        <f t="shared" si="24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-03T11:07:14-0600',mode:absolute,to:'2017-06-03T13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04" t="str">
        <f t="shared" si="6"/>
        <v>N</v>
      </c>
      <c r="X74" s="204">
        <f t="shared" si="7"/>
        <v>1</v>
      </c>
      <c r="Y74" s="204">
        <f t="shared" si="25"/>
        <v>23.301500000000001</v>
      </c>
      <c r="Z74" s="204">
        <f t="shared" si="9"/>
        <v>1.5800000000000002E-2</v>
      </c>
      <c r="AA74" s="204">
        <f t="shared" si="10"/>
        <v>23.285700000000002</v>
      </c>
      <c r="AB74" s="57" t="str">
        <f>VLOOKUP(A74,Enforcements!$C$7:$K$13,8,0)</f>
        <v>Bulletin (2)</v>
      </c>
      <c r="AC74" s="53" t="str">
        <f>VLOOKUP(A74,Enforcements!$C$7:$E$13,3,0)</f>
        <v>GRADE CROSSING</v>
      </c>
      <c r="AD74" s="54" t="str">
        <f t="shared" si="11"/>
        <v>0162-03</v>
      </c>
      <c r="AE74" s="80" t="str">
        <f t="shared" si="12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74" s="77" t="str">
        <f t="shared" si="13"/>
        <v>"C:\Program Files (x86)\AstroGrep\AstroGrep.exe" /e /r /s /spath="%USERPROFILE%\AppData\Local\Temp\OnboardLogs" /stypes="app*4025*20170603*"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162-03 --locoid 4025 --swversion DE.1.0.9.0 --startMP 204:233015 --initTime 2017-06-03T12:07:14 --startdatetime 2017-06-03T12:12:37 --delay 1 --endMP 204:158 --enddatetime 2017-06-03T12:53:17 --enforcementcount 0 &gt;&gt;C:\Users\stu\Documents\GitHub\eaglep3-reporting\EC\2017-06-03-refined-times.txt</v>
      </c>
      <c r="AI74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ID","value":"162-03"},{"id":16,"name":"Locomotive ID","value":"4025"},{"id":130,"name":"Impact","value":""},{"id":150,"name":"Time of Event (Mountain Time)","value":"12:53:17"},{"id":151,"name":"Denver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4025 --day 2017-06-03</v>
      </c>
      <c r="AN74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729</v>
      </c>
      <c r="B75" s="7">
        <v>4014</v>
      </c>
      <c r="C75" s="21" t="s">
        <v>204</v>
      </c>
      <c r="D75" s="21" t="s">
        <v>356</v>
      </c>
      <c r="E75" s="13">
        <v>42889.476504629631</v>
      </c>
      <c r="F75" s="13">
        <v>42889.479386574072</v>
      </c>
      <c r="G75" s="7">
        <v>1</v>
      </c>
      <c r="H75" s="21" t="s">
        <v>479</v>
      </c>
      <c r="I75" s="13">
        <v>42889.505358796298</v>
      </c>
      <c r="J75" s="7">
        <v>0</v>
      </c>
      <c r="K75" s="92" t="str">
        <f t="shared" si="0"/>
        <v>4013/4014</v>
      </c>
      <c r="L75" s="21" t="str">
        <f>VLOOKUP(A75,'Trips&amp;Operators'!$C$1:$G$99999,5,FALSE)</f>
        <v>BROWN JACOB</v>
      </c>
      <c r="M75" s="6">
        <f t="shared" si="1"/>
        <v>2.5972222225391306E-2</v>
      </c>
      <c r="N75" s="7">
        <f t="shared" si="23"/>
        <v>37.400000004563481</v>
      </c>
      <c r="O75" s="7"/>
      <c r="P75" s="7"/>
      <c r="Q75" s="22"/>
      <c r="R75" s="173"/>
      <c r="S75" s="176">
        <f t="shared" si="24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-03T10:26:10-0600',mode:absolute,to:'2017-06-03T13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5" s="204" t="str">
        <f t="shared" si="6"/>
        <v>N</v>
      </c>
      <c r="X75" s="204">
        <f t="shared" si="7"/>
        <v>1</v>
      </c>
      <c r="Y75" s="204">
        <f t="shared" si="25"/>
        <v>4.5100000000000001E-2</v>
      </c>
      <c r="Z75" s="204">
        <f t="shared" si="9"/>
        <v>23.3309</v>
      </c>
      <c r="AA75" s="204">
        <f t="shared" si="10"/>
        <v>23.285799999999998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0163-03</v>
      </c>
      <c r="AE75" s="80" t="str">
        <f t="shared" si="12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75" s="77" t="str">
        <f t="shared" si="13"/>
        <v>"C:\Program Files (x86)\AstroGrep\AstroGrep.exe" /e /r /s /spath="%USERPROFILE%\AppData\Local\Temp\OnboardLogs" /stypes="app*4014*20170603*"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163-03 --locoid 4014 --swversion DE.1.0.9.0 --startMP 204:451 --initTime 2017-06-03T11:26:10 --startdatetime 2017-06-03T11:30:19 --delay 1 --endMP 204:233309 --enddatetime 2017-06-03T12:07:43 --enforcementcount 0 &gt;&gt;C:\Users\stu\Documents\GitHub\eaglep3-reporting\EC\2017-06-03-refined-times.txt</v>
      </c>
      <c r="AI75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{"issue":{"subject":"","project_id":79,"tracker_id":40,"status_id":1,"priority_id":2,"assigned_to_id":23,"start_date":"2017-06-03","description":"","custom_fields":[{"id":1,"name":"Subdivision","value":"EC"},{"id":4,"name":"Milepost","value":"23.3309"},{"id":17,"name":"Train ID","value":"163-03"},{"id":16,"name":"Locomotive ID","value":"4014"},{"id":130,"name":"Impact","value":""},{"id":150,"name":"Time of Event (Mountain Time)","value":"12:07:43"},{"id":151,"name":"Denver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4014 --day 2017-06-03</v>
      </c>
      <c r="AN75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741</v>
      </c>
      <c r="B76" s="7">
        <v>4013</v>
      </c>
      <c r="C76" s="21" t="s">
        <v>204</v>
      </c>
      <c r="D76" s="21" t="s">
        <v>527</v>
      </c>
      <c r="E76" s="13">
        <v>42889.513206018521</v>
      </c>
      <c r="F76" s="13">
        <v>42889.51902777778</v>
      </c>
      <c r="G76" s="7">
        <v>1</v>
      </c>
      <c r="H76" s="21" t="s">
        <v>469</v>
      </c>
      <c r="I76" s="13">
        <v>42889.54583333333</v>
      </c>
      <c r="J76" s="7">
        <v>0</v>
      </c>
      <c r="K76" s="92" t="str">
        <f t="shared" si="0"/>
        <v>4013/4014</v>
      </c>
      <c r="L76" s="21" t="str">
        <f>VLOOKUP(A76,'Trips&amp;Operators'!$C$1:$G$99999,5,FALSE)</f>
        <v>BROWN JACOB</v>
      </c>
      <c r="M76" s="6">
        <f t="shared" si="1"/>
        <v>2.6805555549799465E-2</v>
      </c>
      <c r="N76" s="7">
        <f t="shared" si="23"/>
        <v>38.599999991711229</v>
      </c>
      <c r="O76" s="7"/>
      <c r="P76" s="7"/>
      <c r="Q76" s="22"/>
      <c r="R76" s="173"/>
      <c r="S76" s="176">
        <f t="shared" si="24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-03T11:19:01-0600',mode:absolute,to:'2017-06-03T14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6" s="204" t="str">
        <f t="shared" si="6"/>
        <v>N</v>
      </c>
      <c r="X76" s="204">
        <f t="shared" si="7"/>
        <v>1</v>
      </c>
      <c r="Y76" s="204">
        <f t="shared" si="25"/>
        <v>23.2988</v>
      </c>
      <c r="Z76" s="204">
        <f t="shared" si="9"/>
        <v>1.5599999999999999E-2</v>
      </c>
      <c r="AA76" s="204">
        <f t="shared" si="10"/>
        <v>23.283200000000001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0164-03</v>
      </c>
      <c r="AE76" s="80" t="str">
        <f t="shared" si="12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76" s="77" t="str">
        <f t="shared" si="13"/>
        <v>"C:\Program Files (x86)\AstroGrep\AstroGrep.exe" /e /r /s /spath="%USERPROFILE%\AppData\Local\Temp\OnboardLogs" /stypes="app*4013*20170603*"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164-03 --locoid 4013 --swversion DE.1.0.9.0 --startMP 204:232988 --initTime 2017-06-03T12:19:01 --startdatetime 2017-06-03T12:27:24 --delay 1 --endMP 204:156 --enddatetime 2017-06-03T13:06:00 --enforcementcount 0 &gt;&gt;C:\Users\stu\Documents\GitHub\eaglep3-reporting\EC\2017-06-03-refined-times.txt</v>
      </c>
      <c r="AI76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{"issue":{"subject":"","project_id":79,"tracker_id":40,"status_id":1,"priority_id":2,"assigned_to_id":23,"start_date":"2017-06-03","description":"","custom_fields":[{"id":1,"name":"Subdivision","value":"EC"},{"id":4,"name":"Milepost","value":"0.0156"},{"id":17,"name":"Train ID","value":"164-03"},{"id":16,"name":"Locomotive ID","value":"4013"},{"id":130,"name":"Impact","value":""},{"id":150,"name":"Time of Event (Mountain Time)","value":"13:06:00"},{"id":151,"name":"Denver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4013 --day 2017-06-03</v>
      </c>
      <c r="AN76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732</v>
      </c>
      <c r="B77" s="7">
        <v>4004</v>
      </c>
      <c r="C77" s="21" t="s">
        <v>204</v>
      </c>
      <c r="D77" s="21" t="s">
        <v>879</v>
      </c>
      <c r="E77" s="13">
        <v>42889.485300925924</v>
      </c>
      <c r="F77" s="13">
        <v>42889.489814814813</v>
      </c>
      <c r="G77" s="7">
        <v>1</v>
      </c>
      <c r="H77" s="21" t="s">
        <v>880</v>
      </c>
      <c r="I77" s="13">
        <v>42889.514953703707</v>
      </c>
      <c r="J77" s="7">
        <v>0</v>
      </c>
      <c r="K77" s="92" t="str">
        <f t="shared" ref="K77:K140" si="26">IF(ISEVEN(B77),(B77-1)&amp;"/"&amp;B77,B77&amp;"/"&amp;(B77+1))</f>
        <v>4003/4004</v>
      </c>
      <c r="L77" s="21" t="str">
        <f>VLOOKUP(A77,'Trips&amp;Operators'!$C$1:$G$99999,5,FALSE)</f>
        <v>BRUDER RICHARD</v>
      </c>
      <c r="M77" s="6">
        <f t="shared" ref="M77:M140" si="27">I77-F77</f>
        <v>2.513888889370719E-2</v>
      </c>
      <c r="N77" s="7">
        <f t="shared" ref="N77:N108" si="28">24*60*SUM($M77:$M77)</f>
        <v>36.200000006938353</v>
      </c>
      <c r="O77" s="7"/>
      <c r="P77" s="7"/>
      <c r="Q77" s="22"/>
      <c r="R77" s="173"/>
      <c r="S77" s="176">
        <f t="shared" ref="S77:S109" si="29">SUM(U77:U77)/IF(AG77="EC",12,1)</f>
        <v>1</v>
      </c>
      <c r="T77" s="202" t="str">
        <f t="shared" ref="T77:T140" si="30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-03T10:38:50-0600',mode:absolute,to:'2017-06-03T13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204" t="str">
        <f t="shared" ref="W77:W140" si="32">IF(AA77&lt;IF(AG77="EC",23,5.65),"Y","N")</f>
        <v>N</v>
      </c>
      <c r="X77" s="204">
        <f t="shared" ref="X77:X140" si="33">VALUE(LEFT(AD77,4))-VALUE(LEFT(AD76,4))</f>
        <v>1</v>
      </c>
      <c r="Y77" s="204">
        <f t="shared" ref="Y77:Y108" si="34">RIGHT(D77,LEN(D77)-4)/10000</f>
        <v>4.8599999999999997E-2</v>
      </c>
      <c r="Z77" s="204">
        <f t="shared" ref="Z77:Z140" si="35">RIGHT(H77,LEN(H77)-4)/10000</f>
        <v>23.331</v>
      </c>
      <c r="AA77" s="204">
        <f t="shared" ref="AA77:AA140" si="36">ABS(Z77-Y77)</f>
        <v>23.282399999999999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7">IF(LEN(A77)=6,"0"&amp;A77,A77)</f>
        <v>0165-03</v>
      </c>
      <c r="AE77" s="80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77" s="77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/stypes="app*4004*20170603*"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165-03 --locoid 4004 --swversion DE.1.0.9.0 --startMP 204:486 --initTime 2017-06-03T11:38:50 --startdatetime 2017-06-03T11:45:20 --delay 1 --endMP 204:233310 --enddatetime 2017-06-03T12:21:32 --enforcementcount 0 &gt;&gt;C:\Users\stu\Documents\GitHub\eaglep3-reporting\EC\2017-06-03-refined-times.txt</v>
      </c>
      <c r="AI77" s="99" t="str">
        <f t="shared" si="20"/>
        <v>echo {"issue":{"subject":"","project_id":79,"tracker_id":40,"status_id":1,"priority_id":2,"assigned_to_id":23,"start_date":"2017-06-03","description":"","custom_fields":[{"id":1,"name":"Subdivision","value":"EC"},{"id":4,"name":"Milepost","value":"23.331"},{"id":17,"name":"Train ID","value":"165-03"},{"id":16,"name":"Locomotive ID","value":"4004"},{"id":130,"name":"Impact","value":""},{"id":150,"name":"Time of Event (Mountain Time)","value":"12:21:32"},{"id":151,"name":"Denver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4004 --day 2017-06-03</v>
      </c>
      <c r="AN77" s="154" t="str">
        <f t="shared" si="22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744</v>
      </c>
      <c r="B78" s="7">
        <v>4003</v>
      </c>
      <c r="C78" s="21" t="s">
        <v>204</v>
      </c>
      <c r="D78" s="21" t="s">
        <v>434</v>
      </c>
      <c r="E78" s="13">
        <v>42889.5231712963</v>
      </c>
      <c r="F78" s="13">
        <v>42889.529594907406</v>
      </c>
      <c r="G78" s="7">
        <v>2</v>
      </c>
      <c r="H78" s="21" t="s">
        <v>403</v>
      </c>
      <c r="I78" s="13">
        <v>42889.555127314816</v>
      </c>
      <c r="J78" s="7">
        <v>0</v>
      </c>
      <c r="K78" s="92" t="str">
        <f t="shared" si="26"/>
        <v>4003/4004</v>
      </c>
      <c r="L78" s="21" t="str">
        <f>VLOOKUP(A78,'Trips&amp;Operators'!$C$1:$G$99999,5,FALSE)</f>
        <v>BRUDER RICHARD</v>
      </c>
      <c r="M78" s="6">
        <f t="shared" si="27"/>
        <v>2.5532407409627922E-2</v>
      </c>
      <c r="N78" s="7">
        <f t="shared" si="28"/>
        <v>36.766666669864208</v>
      </c>
      <c r="O78" s="7"/>
      <c r="P78" s="7"/>
      <c r="Q78" s="22"/>
      <c r="R78" s="173"/>
      <c r="S78" s="176">
        <f t="shared" si="29"/>
        <v>1</v>
      </c>
      <c r="T78" s="202" t="str">
        <f t="shared" si="30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1"/>
        <v>https://d0f6bd738d7f1b3e5a7ca70fe4ff75f0.us-east-1.aws.found.io/app/kibana#/discover/Steve-Slow-Train-Analysis-(2080s-and-2083s)?_g=(refreshInterval:(display:Off,pause:!f,section:0,value:0),time:(from:'2017-06-03T11:33:22-0600',mode:absolute,to:'2017-06-03T14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8" s="204" t="str">
        <f t="shared" si="32"/>
        <v>N</v>
      </c>
      <c r="X78" s="204">
        <f t="shared" si="33"/>
        <v>1</v>
      </c>
      <c r="Y78" s="204">
        <f t="shared" si="34"/>
        <v>23.299800000000001</v>
      </c>
      <c r="Z78" s="204">
        <f t="shared" si="35"/>
        <v>1.54E-2</v>
      </c>
      <c r="AA78" s="204">
        <f t="shared" si="36"/>
        <v>23.284400000000002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7"/>
        <v>0166-03</v>
      </c>
      <c r="AE78" s="80" t="str">
        <f t="shared" si="38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78" s="77" t="str">
        <f t="shared" si="39"/>
        <v>"C:\Program Files (x86)\AstroGrep\AstroGrep.exe" /e /r /s /spath="%USERPROFILE%\AppData\Local\Temp\OnboardLogs" /stypes="app*4003*20170603*" /stext=" 19:.+((SYSTEM_STATE.+slice.+state.+changed )|(ment ac)|(multiple cpu faults)|(system.+state.+changed )|(\[timeout)|(PRM\|1\|D)|(kpr)|(kdp)|(train st.+moving)|(\|lc)|(penalty))"</v>
      </c>
      <c r="AG78" s="1" t="str">
        <f t="shared" si="40"/>
        <v>EC</v>
      </c>
      <c r="AH78" s="81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166-03 --locoid 4003 --swversion DE.1.0.9.0 --startMP 204:232998 --initTime 2017-06-03T12:33:22 --startdatetime 2017-06-03T12:42:37 --delay 2 --endMP 204:154 --enddatetime 2017-06-03T13:19:23 --enforcementcount 0 &gt;&gt;C:\Users\stu\Documents\GitHub\eaglep3-reporting\EC\2017-06-03-refined-times.txt</v>
      </c>
      <c r="AI78" s="99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ID","value":"166-03"},{"id":16,"name":"Locomotive ID","value":"4003"},{"id":130,"name":"Impact","value":""},{"id":150,"name":"Time of Event (Mountain Time)","value":"13:19:23"},{"id":151,"name":"Denver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3">"start /low /b "&amp;dls3logs&amp;" --loco "&amp;B78&amp;" --day "&amp;TEXT(F78,"YYYY-MM-DD")</f>
        <v>start /low /b %USERPROFILE%\Documents\GitHub\eaglep3\Utilities\DownloadLogsFromS3.py --loco 4003 --day 2017-06-03</v>
      </c>
      <c r="AN78" s="154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737</v>
      </c>
      <c r="B79" s="7">
        <v>4008</v>
      </c>
      <c r="C79" s="21" t="s">
        <v>204</v>
      </c>
      <c r="D79" s="21" t="s">
        <v>406</v>
      </c>
      <c r="E79" s="13">
        <v>42889.495196759257</v>
      </c>
      <c r="F79" s="13">
        <v>42889.500231481485</v>
      </c>
      <c r="G79" s="7">
        <v>1</v>
      </c>
      <c r="H79" s="21" t="s">
        <v>594</v>
      </c>
      <c r="I79" s="13">
        <v>42889.525868055556</v>
      </c>
      <c r="J79" s="7">
        <v>0</v>
      </c>
      <c r="K79" s="92" t="str">
        <f t="shared" si="26"/>
        <v>4007/4008</v>
      </c>
      <c r="L79" s="21" t="str">
        <f>VLOOKUP(A79,'Trips&amp;Operators'!$C$1:$G$99999,5,FALSE)</f>
        <v>WHITED DUSTIN</v>
      </c>
      <c r="M79" s="6">
        <f t="shared" si="27"/>
        <v>2.5636574071540963E-2</v>
      </c>
      <c r="N79" s="7">
        <f t="shared" si="28"/>
        <v>36.916666663018987</v>
      </c>
      <c r="O79" s="7"/>
      <c r="P79" s="7"/>
      <c r="Q79" s="22"/>
      <c r="R79" s="173"/>
      <c r="S79" s="176">
        <f t="shared" si="29"/>
        <v>1</v>
      </c>
      <c r="T79" s="202" t="str">
        <f t="shared" si="30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1"/>
        <v>https://d0f6bd738d7f1b3e5a7ca70fe4ff75f0.us-east-1.aws.found.io/app/kibana#/discover/Steve-Slow-Train-Analysis-(2080s-and-2083s)?_g=(refreshInterval:(display:Off,pause:!f,section:0,value:0),time:(from:'2017-06-03T10:53:05-0600',mode:absolute,to:'2017-06-03T13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204" t="str">
        <f t="shared" si="32"/>
        <v>N</v>
      </c>
      <c r="X79" s="204">
        <f t="shared" si="33"/>
        <v>1</v>
      </c>
      <c r="Y79" s="204">
        <f t="shared" si="34"/>
        <v>4.7300000000000002E-2</v>
      </c>
      <c r="Z79" s="204">
        <f t="shared" si="35"/>
        <v>23.329899999999999</v>
      </c>
      <c r="AA79" s="204">
        <f t="shared" si="36"/>
        <v>23.282599999999999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7"/>
        <v>0167-03</v>
      </c>
      <c r="AE79" s="80" t="str">
        <f t="shared" si="38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79" s="77" t="str">
        <f t="shared" si="39"/>
        <v>"C:\Program Files (x86)\AstroGrep\AstroGrep.exe" /e /r /s /spath="%USERPROFILE%\AppData\Local\Temp\OnboardLogs" /stypes="app*4008*20170603*" /stext=" 18:.+((SYSTEM_STATE.+slice.+state.+changed )|(ment ac)|(multiple cpu faults)|(system.+state.+changed )|(\[timeout)|(PRM\|1\|D)|(kpr)|(kdp)|(train st.+moving)|(\|lc)|(penalty))"</v>
      </c>
      <c r="AG79" s="1" t="str">
        <f t="shared" si="40"/>
        <v>EC</v>
      </c>
      <c r="AH79" s="81" t="str">
        <f t="shared" si="41"/>
        <v>"%USERPROFILE%\Documents\GitHub\eaglep3\Utilities\RefineRTDCRunTimes.py" --tripid 167-03 --locoid 4008 --swversion DE.1.0.9.0 --startMP 204:473 --initTime 2017-06-03T11:53:05 --startdatetime 2017-06-03T12:00:20 --delay 1 --endMP 204:233299 --enddatetime 2017-06-03T12:37:15 --enforcementcount 0 &gt;&gt;C:\Users\stu\Documents\GitHub\eaglep3-reporting\EC\2017-06-03-refined-times.txt</v>
      </c>
      <c r="AI79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{"issue":{"subject":"","project_id":79,"tracker_id":40,"status_id":1,"priority_id":2,"assigned_to_id":23,"start_date":"2017-06-03","description":"","custom_fields":[{"id":1,"name":"Subdivision","value":"EC"},{"id":4,"name":"Milepost","value":"23.3299"},{"id":17,"name":"Train ID","value":"167-03"},{"id":16,"name":"Locomotive ID","value":"4008"},{"id":130,"name":"Impact","value":""},{"id":150,"name":"Time of Event (Mountain Time)","value":"12:37:15"},{"id":151,"name":"Denver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3"/>
        <v>start /low /b %USERPROFILE%\Documents\GitHub\eaglep3\Utilities\DownloadLogsFromS3.py --loco 4008 --day 2017-06-03</v>
      </c>
      <c r="AN79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746</v>
      </c>
      <c r="B80" s="7">
        <v>4007</v>
      </c>
      <c r="C80" s="21" t="s">
        <v>204</v>
      </c>
      <c r="D80" s="21" t="s">
        <v>481</v>
      </c>
      <c r="E80" s="13">
        <v>42889.529768518521</v>
      </c>
      <c r="F80" s="13">
        <v>42889.539861111109</v>
      </c>
      <c r="G80" s="7">
        <v>5</v>
      </c>
      <c r="H80" s="21" t="s">
        <v>477</v>
      </c>
      <c r="I80" s="13">
        <v>42889.565821759257</v>
      </c>
      <c r="J80" s="7">
        <v>0</v>
      </c>
      <c r="K80" s="92" t="str">
        <f t="shared" si="26"/>
        <v>4007/4008</v>
      </c>
      <c r="L80" s="21" t="str">
        <f>VLOOKUP(A80,'Trips&amp;Operators'!$C$1:$G$99999,5,FALSE)</f>
        <v>WHITED DUSTIN</v>
      </c>
      <c r="M80" s="6">
        <f t="shared" si="27"/>
        <v>2.5960648148611654E-2</v>
      </c>
      <c r="N80" s="7">
        <f t="shared" si="28"/>
        <v>37.383333334000781</v>
      </c>
      <c r="O80" s="7"/>
      <c r="P80" s="7"/>
      <c r="Q80" s="22"/>
      <c r="R80" s="173"/>
      <c r="S80" s="176">
        <f t="shared" si="29"/>
        <v>1</v>
      </c>
      <c r="T80" s="202" t="str">
        <f t="shared" si="30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1"/>
        <v>https://d0f6bd738d7f1b3e5a7ca70fe4ff75f0.us-east-1.aws.found.io/app/kibana#/discover/Steve-Slow-Train-Analysis-(2080s-and-2083s)?_g=(refreshInterval:(display:Off,pause:!f,section:0,value:0),time:(from:'2017-06-03T11:42:52-0600',mode:absolute,to:'2017-06-03T14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204" t="str">
        <f t="shared" si="32"/>
        <v>N</v>
      </c>
      <c r="X80" s="204">
        <f t="shared" si="33"/>
        <v>1</v>
      </c>
      <c r="Y80" s="204">
        <f t="shared" si="34"/>
        <v>23.297799999999999</v>
      </c>
      <c r="Z80" s="204">
        <f t="shared" si="35"/>
        <v>1.38E-2</v>
      </c>
      <c r="AA80" s="204">
        <f t="shared" si="36"/>
        <v>23.283999999999999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7"/>
        <v>0168-03</v>
      </c>
      <c r="AE80" s="80" t="str">
        <f t="shared" si="38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80" s="77" t="str">
        <f t="shared" si="39"/>
        <v>"C:\Program Files (x86)\AstroGrep\AstroGrep.exe" /e /r /s /spath="%USERPROFILE%\AppData\Local\Temp\OnboardLogs" /stypes="app*4007*20170603*" /stext=" 19:.+((SYSTEM_STATE.+slice.+state.+changed )|(ment ac)|(multiple cpu faults)|(system.+state.+changed )|(\[timeout)|(PRM\|1\|D)|(kpr)|(kdp)|(train st.+moving)|(\|lc)|(penalty))"</v>
      </c>
      <c r="AG80" s="1" t="str">
        <f t="shared" si="40"/>
        <v>EC</v>
      </c>
      <c r="AH80" s="81" t="str">
        <f t="shared" si="41"/>
        <v>"%USERPROFILE%\Documents\GitHub\eaglep3\Utilities\RefineRTDCRunTimes.py" --tripid 168-03 --locoid 4007 --swversion DE.1.0.9.0 --startMP 204:232978 --initTime 2017-06-03T12:42:52 --startdatetime 2017-06-03T12:57:24 --delay 5 --endMP 204:138 --enddatetime 2017-06-03T13:34:47 --enforcementcount 0 &gt;&gt;C:\Users\stu\Documents\GitHub\eaglep3-reporting\EC\2017-06-03-refined-times.txt</v>
      </c>
      <c r="AI80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{"issue":{"subject":"","project_id":79,"tracker_id":40,"status_id":1,"priority_id":2,"assigned_to_id":23,"start_date":"2017-06-03","description":"","custom_fields":[{"id":1,"name":"Subdivision","value":"EC"},{"id":4,"name":"Milepost","value":"0.0138"},{"id":17,"name":"Train ID","value":"168-03"},{"id":16,"name":"Locomotive ID","value":"4007"},{"id":130,"name":"Impact","value":""},{"id":150,"name":"Time of Event (Mountain Time)","value":"13:34:47"},{"id":151,"name":"Denver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3"/>
        <v>start /low /b %USERPROFILE%\Documents\GitHub\eaglep3\Utilities\DownloadLogsFromS3.py --loco 4007 --day 2017-06-03</v>
      </c>
      <c r="AN80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740</v>
      </c>
      <c r="B81" s="7">
        <v>4050</v>
      </c>
      <c r="C81" s="21" t="s">
        <v>204</v>
      </c>
      <c r="D81" s="21" t="s">
        <v>360</v>
      </c>
      <c r="E81" s="13">
        <v>42889.507488425923</v>
      </c>
      <c r="F81" s="13">
        <v>42889.510601851849</v>
      </c>
      <c r="G81" s="7">
        <v>1</v>
      </c>
      <c r="H81" s="21" t="s">
        <v>881</v>
      </c>
      <c r="I81" s="13">
        <v>42889.535428240742</v>
      </c>
      <c r="J81" s="7">
        <v>0</v>
      </c>
      <c r="K81" s="92" t="str">
        <f t="shared" si="26"/>
        <v>4049/4050</v>
      </c>
      <c r="L81" s="21" t="str">
        <f>VLOOKUP(A81,'Trips&amp;Operators'!$C$1:$G$99999,5,FALSE)</f>
        <v>DELGADO DIANAH</v>
      </c>
      <c r="M81" s="6">
        <f t="shared" si="27"/>
        <v>2.4826388893416151E-2</v>
      </c>
      <c r="N81" s="7">
        <f t="shared" si="28"/>
        <v>35.750000006519258</v>
      </c>
      <c r="O81" s="7"/>
      <c r="P81" s="7"/>
      <c r="Q81" s="22"/>
      <c r="R81" s="173"/>
      <c r="S81" s="176">
        <f t="shared" si="29"/>
        <v>1</v>
      </c>
      <c r="T81" s="202" t="str">
        <f t="shared" si="30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1"/>
        <v>https://d0f6bd738d7f1b3e5a7ca70fe4ff75f0.us-east-1.aws.found.io/app/kibana#/discover/Steve-Slow-Train-Analysis-(2080s-and-2083s)?_g=(refreshInterval:(display:Off,pause:!f,section:0,value:0),time:(from:'2017-06-03T11:10:47-0600',mode:absolute,to:'2017-06-03T13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1" s="204" t="str">
        <f t="shared" si="32"/>
        <v>N</v>
      </c>
      <c r="X81" s="204">
        <f t="shared" si="33"/>
        <v>1</v>
      </c>
      <c r="Y81" s="204">
        <f t="shared" si="34"/>
        <v>4.4699999999999997E-2</v>
      </c>
      <c r="Z81" s="204">
        <f t="shared" si="35"/>
        <v>23.335100000000001</v>
      </c>
      <c r="AA81" s="204">
        <f t="shared" si="36"/>
        <v>23.290400000000002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7"/>
        <v>0169-03</v>
      </c>
      <c r="AE81" s="80" t="str">
        <f t="shared" si="38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81" s="77" t="str">
        <f t="shared" si="39"/>
        <v>"C:\Program Files (x86)\AstroGrep\AstroGrep.exe" /e /r /s /spath="%USERPROFILE%\AppData\Local\Temp\OnboardLogs" /stypes="app*4050*20170603*" /stext=" 18:.+((SYSTEM_STATE.+slice.+state.+changed )|(ment ac)|(multiple cpu faults)|(system.+state.+changed )|(\[timeout)|(PRM\|1\|D)|(kpr)|(kdp)|(train st.+moving)|(\|lc)|(penalty))"</v>
      </c>
      <c r="AG81" s="1" t="str">
        <f t="shared" si="40"/>
        <v>EC</v>
      </c>
      <c r="AH81" s="81" t="str">
        <f t="shared" si="41"/>
        <v>"%USERPROFILE%\Documents\GitHub\eaglep3\Utilities\RefineRTDCRunTimes.py" --tripid 169-03 --locoid 4050 --swversion DE.1.0.9.0 --startMP 204:447 --initTime 2017-06-03T12:10:47 --startdatetime 2017-06-03T12:15:16 --delay 1 --endMP 204:233351 --enddatetime 2017-06-03T12:51:01 --enforcementcount 0 &gt;&gt;C:\Users\stu\Documents\GitHub\eaglep3-reporting\EC\2017-06-03-refined-times.txt</v>
      </c>
      <c r="AI81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{"issue":{"subject":"","project_id":79,"tracker_id":40,"status_id":1,"priority_id":2,"assigned_to_id":23,"start_date":"2017-06-03","description":"","custom_fields":[{"id":1,"name":"Subdivision","value":"EC"},{"id":4,"name":"Milepost","value":"23.3351"},{"id":17,"name":"Train ID","value":"169-03"},{"id":16,"name":"Locomotive ID","value":"4050"},{"id":130,"name":"Impact","value":""},{"id":150,"name":"Time of Event (Mountain Time)","value":"12:51:01"},{"id":151,"name":"Denver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3"/>
        <v>start /low /b %USERPROFILE%\Documents\GitHub\eaglep3\Utilities\DownloadLogsFromS3.py --loco 4050 --day 2017-06-03</v>
      </c>
      <c r="AN81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748</v>
      </c>
      <c r="B82" s="7">
        <v>4049</v>
      </c>
      <c r="C82" s="21" t="s">
        <v>204</v>
      </c>
      <c r="D82" s="21" t="s">
        <v>600</v>
      </c>
      <c r="E82" s="13">
        <v>42889.540995370371</v>
      </c>
      <c r="F82" s="13">
        <v>42889.550173611111</v>
      </c>
      <c r="G82" s="7">
        <v>3</v>
      </c>
      <c r="H82" s="21" t="s">
        <v>533</v>
      </c>
      <c r="I82" s="13">
        <v>42889.57576388889</v>
      </c>
      <c r="J82" s="7">
        <v>0</v>
      </c>
      <c r="K82" s="92" t="str">
        <f t="shared" si="26"/>
        <v>4049/4050</v>
      </c>
      <c r="L82" s="21" t="str">
        <f>VLOOKUP(A82,'Trips&amp;Operators'!$C$1:$G$99999,5,FALSE)</f>
        <v>DELGADO DIANAH</v>
      </c>
      <c r="M82" s="6">
        <f t="shared" si="27"/>
        <v>2.5590277778974269E-2</v>
      </c>
      <c r="N82" s="7">
        <f t="shared" si="28"/>
        <v>36.850000001722947</v>
      </c>
      <c r="O82" s="7"/>
      <c r="P82" s="7"/>
      <c r="Q82" s="22"/>
      <c r="R82" s="173"/>
      <c r="S82" s="176">
        <f t="shared" si="29"/>
        <v>1</v>
      </c>
      <c r="T82" s="202" t="str">
        <f t="shared" si="30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1"/>
        <v>https://d0f6bd738d7f1b3e5a7ca70fe4ff75f0.us-east-1.aws.found.io/app/kibana#/discover/Steve-Slow-Train-Analysis-(2080s-and-2083s)?_g=(refreshInterval:(display:Off,pause:!f,section:0,value:0),time:(from:'2017-06-03T11:59:02-0600',mode:absolute,to:'2017-06-03T14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2" s="204" t="str">
        <f t="shared" si="32"/>
        <v>N</v>
      </c>
      <c r="X82" s="204">
        <f t="shared" si="33"/>
        <v>1</v>
      </c>
      <c r="Y82" s="204">
        <f t="shared" si="34"/>
        <v>23.3032</v>
      </c>
      <c r="Z82" s="204">
        <f t="shared" si="35"/>
        <v>1.8100000000000002E-2</v>
      </c>
      <c r="AA82" s="204">
        <f t="shared" si="36"/>
        <v>23.2851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7"/>
        <v>0170-03</v>
      </c>
      <c r="AE82" s="80" t="str">
        <f t="shared" si="38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82" s="77" t="str">
        <f t="shared" si="39"/>
        <v>"C:\Program Files (x86)\AstroGrep\AstroGrep.exe" /e /r /s /spath="%USERPROFILE%\AppData\Local\Temp\OnboardLogs" /stypes="app*4049*20170603*" /stext=" 19:.+((SYSTEM_STATE.+slice.+state.+changed )|(ment ac)|(multiple cpu faults)|(system.+state.+changed )|(\[timeout)|(PRM\|1\|D)|(kpr)|(kdp)|(train st.+moving)|(\|lc)|(penalty))"</v>
      </c>
      <c r="AG82" s="1" t="str">
        <f t="shared" si="40"/>
        <v>EC</v>
      </c>
      <c r="AH82" s="81" t="str">
        <f t="shared" si="41"/>
        <v>"%USERPROFILE%\Documents\GitHub\eaglep3\Utilities\RefineRTDCRunTimes.py" --tripid 170-03 --locoid 4049 --swversion DE.1.0.9.0 --startMP 204:233032 --initTime 2017-06-03T12:59:02 --startdatetime 2017-06-03T13:12:15 --delay 3 --endMP 204:181 --enddatetime 2017-06-03T13:49:06 --enforcementcount 0 &gt;&gt;C:\Users\stu\Documents\GitHub\eaglep3-reporting\EC\2017-06-03-refined-times.txt</v>
      </c>
      <c r="AI82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{"issue":{"subject":"","project_id":79,"tracker_id":40,"status_id":1,"priority_id":2,"assigned_to_id":23,"start_date":"2017-06-03","description":"","custom_fields":[{"id":1,"name":"Subdivision","value":"EC"},{"id":4,"name":"Milepost","value":"0.0181"},{"id":17,"name":"Train ID","value":"170-03"},{"id":16,"name":"Locomotive ID","value":"4049"},{"id":130,"name":"Impact","value":""},{"id":150,"name":"Time of Event (Mountain Time)","value":"13:49:06"},{"id":151,"name":"Denver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3"/>
        <v>start /low /b %USERPROFILE%\Documents\GitHub\eaglep3\Utilities\DownloadLogsFromS3.py --loco 4049 --day 2017-06-03</v>
      </c>
      <c r="AN82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742</v>
      </c>
      <c r="B83" s="7">
        <v>4010</v>
      </c>
      <c r="C83" s="21" t="s">
        <v>204</v>
      </c>
      <c r="D83" s="21" t="s">
        <v>478</v>
      </c>
      <c r="E83" s="13">
        <v>42889.516388888886</v>
      </c>
      <c r="F83" s="13">
        <v>42889.521099537036</v>
      </c>
      <c r="G83" s="7">
        <v>1</v>
      </c>
      <c r="H83" s="21" t="s">
        <v>594</v>
      </c>
      <c r="I83" s="13">
        <v>42889.546493055554</v>
      </c>
      <c r="J83" s="7">
        <v>0</v>
      </c>
      <c r="K83" s="92" t="str">
        <f t="shared" si="26"/>
        <v>4009/4010</v>
      </c>
      <c r="L83" s="21" t="str">
        <f>VLOOKUP(A83,'Trips&amp;Operators'!$C$1:$G$99999,5,FALSE)</f>
        <v>STEWART MICHAEL</v>
      </c>
      <c r="M83" s="6">
        <f t="shared" si="27"/>
        <v>2.5393518517375924E-2</v>
      </c>
      <c r="N83" s="7">
        <f t="shared" si="28"/>
        <v>36.56666666502133</v>
      </c>
      <c r="O83" s="7"/>
      <c r="P83" s="7"/>
      <c r="Q83" s="22"/>
      <c r="R83" s="173"/>
      <c r="S83" s="176">
        <f t="shared" si="29"/>
        <v>1</v>
      </c>
      <c r="T83" s="202" t="str">
        <f t="shared" si="30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1"/>
        <v>https://d0f6bd738d7f1b3e5a7ca70fe4ff75f0.us-east-1.aws.found.io/app/kibana#/discover/Steve-Slow-Train-Analysis-(2080s-and-2083s)?_g=(refreshInterval:(display:Off,pause:!f,section:0,value:0),time:(from:'2017-06-03T11:23:36-0600',mode:absolute,to:'2017-06-03T14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204" t="str">
        <f t="shared" si="32"/>
        <v>N</v>
      </c>
      <c r="X83" s="204">
        <f t="shared" si="33"/>
        <v>1</v>
      </c>
      <c r="Y83" s="204">
        <f t="shared" si="34"/>
        <v>4.6899999999999997E-2</v>
      </c>
      <c r="Z83" s="204">
        <f t="shared" si="35"/>
        <v>23.329899999999999</v>
      </c>
      <c r="AA83" s="204">
        <f t="shared" si="36"/>
        <v>23.282999999999998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7"/>
        <v>0171-03</v>
      </c>
      <c r="AE83" s="80" t="str">
        <f t="shared" si="38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83" s="77" t="str">
        <f t="shared" si="39"/>
        <v>"C:\Program Files (x86)\AstroGrep\AstroGrep.exe" /e /r /s /spath="%USERPROFILE%\AppData\Local\Temp\OnboardLogs" /stypes="app*4010*20170603*" /stext=" 19:.+((SYSTEM_STATE.+slice.+state.+changed )|(ment ac)|(multiple cpu faults)|(system.+state.+changed )|(\[timeout)|(PRM\|1\|D)|(kpr)|(kdp)|(train st.+moving)|(\|lc)|(penalty))"</v>
      </c>
      <c r="AG83" s="1" t="str">
        <f t="shared" si="40"/>
        <v>EC</v>
      </c>
      <c r="AH83" s="81" t="str">
        <f t="shared" si="41"/>
        <v>"%USERPROFILE%\Documents\GitHub\eaglep3\Utilities\RefineRTDCRunTimes.py" --tripid 171-03 --locoid 4010 --swversion DE.1.0.9.0 --startMP 204:469 --initTime 2017-06-03T12:23:36 --startdatetime 2017-06-03T12:30:23 --delay 1 --endMP 204:233299 --enddatetime 2017-06-03T13:06:57 --enforcementcount 0 &gt;&gt;C:\Users\stu\Documents\GitHub\eaglep3-reporting\EC\2017-06-03-refined-times.txt</v>
      </c>
      <c r="AI83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{"issue":{"subject":"","project_id":79,"tracker_id":40,"status_id":1,"priority_id":2,"assigned_to_id":23,"start_date":"2017-06-03","description":"","custom_fields":[{"id":1,"name":"Subdivision","value":"EC"},{"id":4,"name":"Milepost","value":"23.3299"},{"id":17,"name":"Train ID","value":"171-03"},{"id":16,"name":"Locomotive ID","value":"4010"},{"id":130,"name":"Impact","value":""},{"id":150,"name":"Time of Event (Mountain Time)","value":"13:06:57"},{"id":151,"name":"Denver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3"/>
        <v>start /low /b %USERPROFILE%\Documents\GitHub\eaglep3\Utilities\DownloadLogsFromS3.py --loco 4010 --day 2017-06-03</v>
      </c>
      <c r="AN83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753</v>
      </c>
      <c r="B84" s="7">
        <v>4009</v>
      </c>
      <c r="C84" s="21" t="s">
        <v>204</v>
      </c>
      <c r="D84" s="21" t="s">
        <v>869</v>
      </c>
      <c r="E84" s="13">
        <v>42889.557175925926</v>
      </c>
      <c r="F84" s="13">
        <v>42889.560601851852</v>
      </c>
      <c r="G84" s="7">
        <v>1</v>
      </c>
      <c r="H84" s="21" t="s">
        <v>350</v>
      </c>
      <c r="I84" s="13">
        <v>42889.588240740741</v>
      </c>
      <c r="J84" s="7">
        <v>0</v>
      </c>
      <c r="K84" s="92" t="str">
        <f t="shared" si="26"/>
        <v>4009/4010</v>
      </c>
      <c r="L84" s="21" t="str">
        <f>VLOOKUP(A84,'Trips&amp;Operators'!$C$1:$G$99999,5,FALSE)</f>
        <v>STEWART MICHAEL</v>
      </c>
      <c r="M84" s="6">
        <f t="shared" si="27"/>
        <v>2.7638888888759539E-2</v>
      </c>
      <c r="N84" s="7">
        <f t="shared" si="28"/>
        <v>39.799999999813735</v>
      </c>
      <c r="O84" s="7"/>
      <c r="P84" s="7"/>
      <c r="Q84" s="22"/>
      <c r="R84" s="173"/>
      <c r="S84" s="176">
        <f t="shared" si="29"/>
        <v>1</v>
      </c>
      <c r="T84" s="202" t="str">
        <f t="shared" si="30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1"/>
        <v>https://d0f6bd738d7f1b3e5a7ca70fe4ff75f0.us-east-1.aws.found.io/app/kibana#/discover/Steve-Slow-Train-Analysis-(2080s-and-2083s)?_g=(refreshInterval:(display:Off,pause:!f,section:0,value:0),time:(from:'2017-06-03T12:22:20-0600',mode:absolute,to:'2017-06-03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204" t="str">
        <f t="shared" si="32"/>
        <v>N</v>
      </c>
      <c r="X84" s="204">
        <f t="shared" si="33"/>
        <v>1</v>
      </c>
      <c r="Y84" s="204">
        <f t="shared" si="34"/>
        <v>23.296299999999999</v>
      </c>
      <c r="Z84" s="204">
        <f t="shared" si="35"/>
        <v>1.6E-2</v>
      </c>
      <c r="AA84" s="204">
        <f t="shared" si="36"/>
        <v>23.2803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7"/>
        <v>0172-03</v>
      </c>
      <c r="AE84" s="80" t="str">
        <f t="shared" si="38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84" s="77" t="str">
        <f t="shared" si="39"/>
        <v>"C:\Program Files (x86)\AstroGrep\AstroGrep.exe" /e /r /s /spath="%USERPROFILE%\AppData\Local\Temp\OnboardLogs" /stypes="app*4009*20170603*" /stext=" 20:.+((SYSTEM_STATE.+slice.+state.+changed )|(ment ac)|(multiple cpu faults)|(system.+state.+changed )|(\[timeout)|(PRM\|1\|D)|(kpr)|(kdp)|(train st.+moving)|(\|lc)|(penalty))"</v>
      </c>
      <c r="AG84" s="1" t="str">
        <f t="shared" si="40"/>
        <v>EC</v>
      </c>
      <c r="AH84" s="81" t="str">
        <f t="shared" si="41"/>
        <v>"%USERPROFILE%\Documents\GitHub\eaglep3\Utilities\RefineRTDCRunTimes.py" --tripid 172-03 --locoid 4009 --swversion DE.1.0.9.0 --startMP 204:232963 --initTime 2017-06-03T13:22:20 --startdatetime 2017-06-03T13:27:16 --delay 1 --endMP 204:160 --enddatetime 2017-06-03T14:07:04 --enforcementcount 0 &gt;&gt;C:\Users\stu\Documents\GitHub\eaglep3-reporting\EC\2017-06-03-refined-times.txt</v>
      </c>
      <c r="AI84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{"issue":{"subject":"","project_id":79,"tracker_id":40,"status_id":1,"priority_id":2,"assigned_to_id":23,"start_date":"2017-06-03","description":"","custom_fields":[{"id":1,"name":"Subdivision","value":"EC"},{"id":4,"name":"Milepost","value":"0.016"},{"id":17,"name":"Train ID","value":"172-03"},{"id":16,"name":"Locomotive ID","value":"4009"},{"id":130,"name":"Impact","value":""},{"id":150,"name":"Time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3"/>
        <v>start /low /b %USERPROFILE%\Documents\GitHub\eaglep3\Utilities\DownloadLogsFromS3.py --loco 4009 --day 2017-06-03</v>
      </c>
      <c r="AN84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743</v>
      </c>
      <c r="B85" s="7">
        <v>4024</v>
      </c>
      <c r="C85" s="21" t="s">
        <v>204</v>
      </c>
      <c r="D85" s="21" t="s">
        <v>593</v>
      </c>
      <c r="E85" s="13">
        <v>42889.521215277775</v>
      </c>
      <c r="F85" s="13">
        <v>42889.531585648147</v>
      </c>
      <c r="G85" s="7">
        <v>2</v>
      </c>
      <c r="H85" s="21" t="s">
        <v>882</v>
      </c>
      <c r="I85" s="13">
        <v>42889.556377314817</v>
      </c>
      <c r="J85" s="7">
        <v>0</v>
      </c>
      <c r="K85" s="92" t="str">
        <f t="shared" si="26"/>
        <v>4023/4024</v>
      </c>
      <c r="L85" s="21" t="str">
        <f>VLOOKUP(A85,'Trips&amp;Operators'!$C$1:$G$99999,5,FALSE)</f>
        <v>HOLCOMB KAMDEN</v>
      </c>
      <c r="M85" s="6">
        <f t="shared" si="27"/>
        <v>2.4791666670353152E-2</v>
      </c>
      <c r="N85" s="7">
        <f t="shared" si="28"/>
        <v>35.700000005308539</v>
      </c>
      <c r="O85" s="7"/>
      <c r="P85" s="7"/>
      <c r="Q85" s="22"/>
      <c r="R85" s="173"/>
      <c r="S85" s="176">
        <f t="shared" si="29"/>
        <v>1</v>
      </c>
      <c r="T85" s="202" t="str">
        <f t="shared" si="30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1"/>
        <v>https://d0f6bd738d7f1b3e5a7ca70fe4ff75f0.us-east-1.aws.found.io/app/kibana#/discover/Steve-Slow-Train-Analysis-(2080s-and-2083s)?_g=(refreshInterval:(display:Off,pause:!f,section:0,value:0),time:(from:'2017-06-03T11:30:33-0600',mode:absolute,to:'2017-06-03T14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5" s="204" t="str">
        <f t="shared" si="32"/>
        <v>N</v>
      </c>
      <c r="X85" s="204">
        <f t="shared" si="33"/>
        <v>1</v>
      </c>
      <c r="Y85" s="204">
        <f t="shared" si="34"/>
        <v>4.4400000000000002E-2</v>
      </c>
      <c r="Z85" s="204">
        <f t="shared" si="35"/>
        <v>23.330200000000001</v>
      </c>
      <c r="AA85" s="204">
        <f t="shared" si="36"/>
        <v>23.285800000000002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7"/>
        <v>0173-03</v>
      </c>
      <c r="AE85" s="80" t="str">
        <f t="shared" si="38"/>
        <v>aws s3 cp s3://rtdc.mdm.uploadarchive.raw/RTDC4024/ "%USERPROFILE%\AppData\Local\Temp\OnboardLogs"\RTDC4024\2017-06-03 --exclude "*" --recursive --include "*20170603*" &amp; "%USERPROFILE%\Documents\GitHub\mrs-test-scripts\Headless Mode &amp; Sideloading\WalkAndUnGZ.bat" "%USERPROFILE%\AppData\Local\Temp\OnboardLogs"\RTDC4024\2017-06-03 &amp; 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</v>
      </c>
      <c r="AF85" s="77" t="str">
        <f t="shared" si="39"/>
        <v>"C:\Program Files (x86)\AstroGrep\AstroGrep.exe" /e /r /s /spath="%USERPROFILE%\AppData\Local\Temp\OnboardLogs" /stypes="app*4024*20170603*" /stext=" 19:.+((SYSTEM_STATE.+slice.+state.+changed )|(ment ac)|(multiple cpu faults)|(system.+state.+changed )|(\[timeout)|(PRM\|1\|D)|(kpr)|(kdp)|(train st.+moving)|(\|lc)|(penalty))"</v>
      </c>
      <c r="AG85" s="1" t="str">
        <f t="shared" si="40"/>
        <v>EC</v>
      </c>
      <c r="AH85" s="81" t="str">
        <f t="shared" si="41"/>
        <v>"%USERPROFILE%\Documents\GitHub\eaglep3\Utilities\RefineRTDCRunTimes.py" --tripid 173-03 --locoid 4024 --swversion DE.1.0.9.0 --startMP 204:444 --initTime 2017-06-03T12:30:33 --startdatetime 2017-06-03T12:45:29 --delay 2 --endMP 204:233302 --enddatetime 2017-06-03T13:21:11 --enforcementcount 0 &gt;&gt;C:\Users\stu\Documents\GitHub\eaglep3-reporting\EC\2017-06-03-refined-times.txt</v>
      </c>
      <c r="AI85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{"issue":{"subject":"","project_id":79,"tracker_id":40,"status_id":1,"priority_id":2,"assigned_to_id":23,"start_date":"2017-06-03","description":"","custom_fields":[{"id":1,"name":"Subdivision","value":"EC"},{"id":4,"name":"Milepost","value":"23.3302"},{"id":17,"name":"Train ID","value":"173-03"},{"id":16,"name":"Locomotive ID","value":"4024"},{"id":130,"name":"Impact","value":""},{"id":150,"name":"Time of Event (Mountain Time)","value":"13:21:11"},{"id":151,"name":"Denver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3"/>
        <v>start /low /b %USERPROFILE%\Documents\GitHub\eaglep3\Utilities\DownloadLogsFromS3.py --loco 4024 --day 2017-06-03</v>
      </c>
      <c r="AN85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754</v>
      </c>
      <c r="B86" s="7">
        <v>4023</v>
      </c>
      <c r="C86" s="21" t="s">
        <v>204</v>
      </c>
      <c r="D86" s="21" t="s">
        <v>529</v>
      </c>
      <c r="E86" s="13">
        <v>42889.56177083333</v>
      </c>
      <c r="F86" s="13">
        <v>42889.571006944447</v>
      </c>
      <c r="G86" s="7">
        <v>1</v>
      </c>
      <c r="H86" s="21" t="s">
        <v>196</v>
      </c>
      <c r="I86" s="13">
        <v>42889.597928240742</v>
      </c>
      <c r="J86" s="7">
        <v>0</v>
      </c>
      <c r="K86" s="92" t="str">
        <f t="shared" si="26"/>
        <v>4023/4024</v>
      </c>
      <c r="L86" s="21" t="str">
        <f>VLOOKUP(A86,'Trips&amp;Operators'!$C$1:$G$99999,5,FALSE)</f>
        <v>HOLCOMB KAMDEN</v>
      </c>
      <c r="M86" s="6">
        <f t="shared" si="27"/>
        <v>2.6921296295768116E-2</v>
      </c>
      <c r="N86" s="7">
        <f t="shared" si="28"/>
        <v>38.766666665906087</v>
      </c>
      <c r="O86" s="7"/>
      <c r="P86" s="7"/>
      <c r="Q86" s="22"/>
      <c r="R86" s="173"/>
      <c r="S86" s="176">
        <f t="shared" si="29"/>
        <v>1</v>
      </c>
      <c r="T86" s="202" t="str">
        <f t="shared" si="30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1"/>
        <v>https://d0f6bd738d7f1b3e5a7ca70fe4ff75f0.us-east-1.aws.found.io/app/kibana#/discover/Steve-Slow-Train-Analysis-(2080s-and-2083s)?_g=(refreshInterval:(display:Off,pause:!f,section:0,value:0),time:(from:'2017-06-03T12:28:57-0600',mode:absolute,to:'2017-06-03T15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6" s="204" t="str">
        <f t="shared" si="32"/>
        <v>N</v>
      </c>
      <c r="X86" s="204">
        <f t="shared" si="33"/>
        <v>1</v>
      </c>
      <c r="Y86" s="204">
        <f t="shared" si="34"/>
        <v>23.298300000000001</v>
      </c>
      <c r="Z86" s="204">
        <f t="shared" si="35"/>
        <v>1.5800000000000002E-2</v>
      </c>
      <c r="AA86" s="204">
        <f t="shared" si="36"/>
        <v>23.282500000000002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7"/>
        <v>0174-03</v>
      </c>
      <c r="AE86" s="80" t="str">
        <f t="shared" si="38"/>
        <v>aws s3 cp s3://rtdc.mdm.uploadarchive.raw/RTDC4023/ "%USERPROFILE%\AppData\Local\Temp\OnboardLogs"\RTDC4023\2017-06-03 --exclude "*" --recursive --include "*20170603*" &amp; "%USERPROFILE%\Documents\GitHub\mrs-test-scripts\Headless Mode &amp; Sideloading\WalkAndUnGZ.bat" "%USERPROFILE%\AppData\Local\Temp\OnboardLogs"\RTDC4023\2017-06-03 &amp; 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</v>
      </c>
      <c r="AF86" s="77" t="str">
        <f t="shared" si="39"/>
        <v>"C:\Program Files (x86)\AstroGrep\AstroGrep.exe" /e /r /s /spath="%USERPROFILE%\AppData\Local\Temp\OnboardLogs" /stypes="app*4023*20170603*" /stext=" 20:.+((SYSTEM_STATE.+slice.+state.+changed )|(ment ac)|(multiple cpu faults)|(system.+state.+changed )|(\[timeout)|(PRM\|1\|D)|(kpr)|(kdp)|(train st.+moving)|(\|lc)|(penalty))"</v>
      </c>
      <c r="AG86" s="1" t="str">
        <f t="shared" si="40"/>
        <v>EC</v>
      </c>
      <c r="AH86" s="81" t="str">
        <f t="shared" si="41"/>
        <v>"%USERPROFILE%\Documents\GitHub\eaglep3\Utilities\RefineRTDCRunTimes.py" --tripid 174-03 --locoid 4023 --swversion DE.1.0.9.0 --startMP 204:232983 --initTime 2017-06-03T13:28:57 --startdatetime 2017-06-03T13:42:15 --delay 1 --endMP 204:158 --enddatetime 2017-06-03T14:21:01 --enforcementcount 0 &gt;&gt;C:\Users\stu\Documents\GitHub\eaglep3-reporting\EC\2017-06-03-refined-times.txt</v>
      </c>
      <c r="AI86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ID","value":"174-03"},{"id":16,"name":"Locomotive ID","value":"4023"},{"id":130,"name":"Impact","value":""},{"id":150,"name":"Time of Event (Mountain Time)","value":"14:21:01"},{"id":151,"name":"Denver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3"/>
        <v>start /low /b %USERPROFILE%\Documents\GitHub\eaglep3\Utilities\DownloadLogsFromS3.py --loco 4023 --day 2017-06-03</v>
      </c>
      <c r="AN86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747</v>
      </c>
      <c r="B87" s="7">
        <v>4026</v>
      </c>
      <c r="C87" s="21" t="s">
        <v>204</v>
      </c>
      <c r="D87" s="21" t="s">
        <v>368</v>
      </c>
      <c r="E87" s="13">
        <v>42889.538912037038</v>
      </c>
      <c r="F87" s="13">
        <v>42889.541921296295</v>
      </c>
      <c r="G87" s="7">
        <v>1</v>
      </c>
      <c r="H87" s="21" t="s">
        <v>883</v>
      </c>
      <c r="I87" s="13">
        <v>42889.568854166668</v>
      </c>
      <c r="J87" s="7">
        <v>0</v>
      </c>
      <c r="K87" s="92" t="str">
        <f t="shared" si="26"/>
        <v>4025/4026</v>
      </c>
      <c r="L87" s="21" t="str">
        <f>VLOOKUP(A87,'Trips&amp;Operators'!$C$1:$G$99999,5,FALSE)</f>
        <v>DAVIS MICHAEL</v>
      </c>
      <c r="M87" s="6">
        <f t="shared" si="27"/>
        <v>2.6932870372547768E-2</v>
      </c>
      <c r="N87" s="7">
        <f t="shared" si="28"/>
        <v>38.783333336468786</v>
      </c>
      <c r="O87" s="7"/>
      <c r="P87" s="7"/>
      <c r="Q87" s="22"/>
      <c r="R87" s="173"/>
      <c r="S87" s="176">
        <f t="shared" si="29"/>
        <v>1</v>
      </c>
      <c r="T87" s="202" t="str">
        <f t="shared" si="30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1"/>
        <v>https://d0f6bd738d7f1b3e5a7ca70fe4ff75f0.us-east-1.aws.found.io/app/kibana#/discover/Steve-Slow-Train-Analysis-(2080s-and-2083s)?_g=(refreshInterval:(display:Off,pause:!f,section:0,value:0),time:(from:'2017-06-03T11:56:02-0600',mode:absolute,to:'2017-06-03T14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04" t="str">
        <f t="shared" si="32"/>
        <v>N</v>
      </c>
      <c r="X87" s="204">
        <f t="shared" si="33"/>
        <v>1</v>
      </c>
      <c r="Y87" s="204">
        <f t="shared" si="34"/>
        <v>4.5499999999999999E-2</v>
      </c>
      <c r="Z87" s="204">
        <f t="shared" si="35"/>
        <v>23.331099999999999</v>
      </c>
      <c r="AA87" s="204">
        <f t="shared" si="36"/>
        <v>23.285599999999999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7"/>
        <v>0175-03</v>
      </c>
      <c r="AE87" s="80" t="str">
        <f t="shared" si="38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87" s="77" t="str">
        <f t="shared" si="39"/>
        <v>"C:\Program Files (x86)\AstroGrep\AstroGrep.exe" /e /r /s /spath="%USERPROFILE%\AppData\Local\Temp\OnboardLogs" /stypes="app*4026*20170603*" /stext=" 19:.+((SYSTEM_STATE.+slice.+state.+changed )|(ment ac)|(multiple cpu faults)|(system.+state.+changed )|(\[timeout)|(PRM\|1\|D)|(kpr)|(kdp)|(train st.+moving)|(\|lc)|(penalty))"</v>
      </c>
      <c r="AG87" s="1" t="str">
        <f t="shared" si="40"/>
        <v>EC</v>
      </c>
      <c r="AH87" s="81" t="str">
        <f t="shared" si="41"/>
        <v>"%USERPROFILE%\Documents\GitHub\eaglep3\Utilities\RefineRTDCRunTimes.py" --tripid 175-03 --locoid 4026 --swversion DE.1.0.9.0 --startMP 204:455 --initTime 2017-06-03T12:56:02 --startdatetime 2017-06-03T13:00:22 --delay 1 --endMP 204:233311 --enddatetime 2017-06-03T13:39:09 --enforcementcount 0 &gt;&gt;C:\Users\stu\Documents\GitHub\eaglep3-reporting\EC\2017-06-03-refined-times.txt</v>
      </c>
      <c r="AI87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{"issue":{"subject":"","project_id":79,"tracker_id":40,"status_id":1,"priority_id":2,"assigned_to_id":23,"start_date":"2017-06-03","description":"","custom_fields":[{"id":1,"name":"Subdivision","value":"EC"},{"id":4,"name":"Milepost","value":"23.3311"},{"id":17,"name":"Train ID","value":"175-03"},{"id":16,"name":"Locomotive ID","value":"4026"},{"id":130,"name":"Impact","value":""},{"id":150,"name":"Time of Event (Mountain Time)","value":"13:39:09"},{"id":151,"name":"Denver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3"/>
        <v>start /low /b %USERPROFILE%\Documents\GitHub\eaglep3\Utilities\DownloadLogsFromS3.py --loco 4026 --day 2017-06-03</v>
      </c>
      <c r="AN87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19:39:09"},{"id":29,"name":"Sharepoint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757</v>
      </c>
      <c r="B88" s="7">
        <v>4025</v>
      </c>
      <c r="C88" s="21" t="s">
        <v>204</v>
      </c>
      <c r="D88" s="21" t="s">
        <v>601</v>
      </c>
      <c r="E88" s="13">
        <v>42889.577835648146</v>
      </c>
      <c r="F88" s="13">
        <v>42889.581608796296</v>
      </c>
      <c r="G88" s="7">
        <v>1</v>
      </c>
      <c r="H88" s="21" t="s">
        <v>364</v>
      </c>
      <c r="I88" s="13">
        <v>42889.609351851854</v>
      </c>
      <c r="J88" s="7">
        <v>0</v>
      </c>
      <c r="K88" s="92" t="str">
        <f t="shared" si="26"/>
        <v>4025/4026</v>
      </c>
      <c r="L88" s="21" t="str">
        <f>VLOOKUP(A88,'Trips&amp;Operators'!$C$1:$G$99999,5,FALSE)</f>
        <v>DAVIS MICHAEL</v>
      </c>
      <c r="M88" s="6">
        <f t="shared" si="27"/>
        <v>2.7743055557948537E-2</v>
      </c>
      <c r="N88" s="7">
        <f t="shared" si="28"/>
        <v>39.950000003445894</v>
      </c>
      <c r="O88" s="7"/>
      <c r="P88" s="7"/>
      <c r="Q88" s="22"/>
      <c r="R88" s="173"/>
      <c r="S88" s="176">
        <f t="shared" si="29"/>
        <v>1</v>
      </c>
      <c r="T88" s="202" t="str">
        <f t="shared" si="30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1"/>
        <v>https://d0f6bd738d7f1b3e5a7ca70fe4ff75f0.us-east-1.aws.found.io/app/kibana#/discover/Steve-Slow-Train-Analysis-(2080s-and-2083s)?_g=(refreshInterval:(display:Off,pause:!f,section:0,value:0),time:(from:'2017-06-03T12:52:05-0600',mode:absolute,to:'2017-06-03T15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04" t="str">
        <f t="shared" si="32"/>
        <v>N</v>
      </c>
      <c r="X88" s="204">
        <f t="shared" si="33"/>
        <v>1</v>
      </c>
      <c r="Y88" s="204">
        <f t="shared" si="34"/>
        <v>23.299600000000002</v>
      </c>
      <c r="Z88" s="204">
        <f t="shared" si="35"/>
        <v>1.47E-2</v>
      </c>
      <c r="AA88" s="204">
        <f t="shared" si="36"/>
        <v>23.2849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7"/>
        <v>0176-03</v>
      </c>
      <c r="AE88" s="80" t="str">
        <f t="shared" si="38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88" s="77" t="str">
        <f t="shared" si="39"/>
        <v>"C:\Program Files (x86)\AstroGrep\AstroGrep.exe" /e /r /s /spath="%USERPROFILE%\AppData\Local\Temp\OnboardLogs" /stypes="app*4025*20170603*" /stext=" 20:.+((SYSTEM_STATE.+slice.+state.+changed )|(ment ac)|(multiple cpu faults)|(system.+state.+changed )|(\[timeout)|(PRM\|1\|D)|(kpr)|(kdp)|(train st.+moving)|(\|lc)|(penalty))"</v>
      </c>
      <c r="AG88" s="1" t="str">
        <f t="shared" si="40"/>
        <v>EC</v>
      </c>
      <c r="AH88" s="81" t="str">
        <f t="shared" si="41"/>
        <v>"%USERPROFILE%\Documents\GitHub\eaglep3\Utilities\RefineRTDCRunTimes.py" --tripid 176-03 --locoid 4025 --swversion DE.1.0.9.0 --startMP 204:232996 --initTime 2017-06-03T13:52:05 --startdatetime 2017-06-03T13:57:31 --delay 1 --endMP 204:147 --enddatetime 2017-06-03T14:37:28 --enforcementcount 0 &gt;&gt;C:\Users\stu\Documents\GitHub\eaglep3-reporting\EC\2017-06-03-refined-times.txt</v>
      </c>
      <c r="AI88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{"issue":{"subject":"","project_id":79,"tracker_id":40,"status_id":1,"priority_id":2,"assigned_to_id":23,"start_date":"2017-06-03","description":"","custom_fields":[{"id":1,"name":"Subdivision","value":"EC"},{"id":4,"name":"Milepost","value":"0.0147"},{"id":17,"name":"Train ID","value":"176-03"},{"id":16,"name":"Locomotive ID","value":"4025"},{"id":130,"name":"Impact","value":""},{"id":150,"name":"Time of Event (Mountain Time)","value":"14:37:28"},{"id":151,"name":"Denver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3"/>
        <v>start /low /b %USERPROFILE%\Documents\GitHub\eaglep3\Utilities\DownloadLogsFromS3.py --loco 4025 --day 2017-06-03</v>
      </c>
      <c r="AN88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749</v>
      </c>
      <c r="B89" s="7">
        <v>4014</v>
      </c>
      <c r="C89" s="21" t="s">
        <v>204</v>
      </c>
      <c r="D89" s="21" t="s">
        <v>200</v>
      </c>
      <c r="E89" s="13">
        <v>42889.546840277777</v>
      </c>
      <c r="F89" s="13">
        <v>42889.552361111113</v>
      </c>
      <c r="G89" s="7">
        <v>2</v>
      </c>
      <c r="H89" s="21" t="s">
        <v>596</v>
      </c>
      <c r="I89" s="13">
        <v>42889.578275462962</v>
      </c>
      <c r="J89" s="7">
        <v>0</v>
      </c>
      <c r="K89" s="92" t="str">
        <f t="shared" si="26"/>
        <v>4013/4014</v>
      </c>
      <c r="L89" s="21" t="str">
        <f>VLOOKUP(A89,'Trips&amp;Operators'!$C$1:$G$99999,5,FALSE)</f>
        <v>BRANDNER MELINDA</v>
      </c>
      <c r="M89" s="6">
        <f t="shared" si="27"/>
        <v>2.5914351848769002E-2</v>
      </c>
      <c r="N89" s="7">
        <f t="shared" si="28"/>
        <v>37.316666662227362</v>
      </c>
      <c r="O89" s="7"/>
      <c r="P89" s="7"/>
      <c r="Q89" s="22"/>
      <c r="R89" s="173"/>
      <c r="S89" s="176">
        <f t="shared" si="29"/>
        <v>1</v>
      </c>
      <c r="T89" s="202" t="str">
        <f t="shared" si="30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1"/>
        <v>https://d0f6bd738d7f1b3e5a7ca70fe4ff75f0.us-east-1.aws.found.io/app/kibana#/discover/Steve-Slow-Train-Analysis-(2080s-and-2083s)?_g=(refreshInterval:(display:Off,pause:!f,section:0,value:0),time:(from:'2017-06-03T12:07:27-0600',mode:absolute,to:'2017-06-03T14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9" s="204" t="str">
        <f t="shared" si="32"/>
        <v>N</v>
      </c>
      <c r="X89" s="204">
        <f t="shared" si="33"/>
        <v>1</v>
      </c>
      <c r="Y89" s="204">
        <f t="shared" si="34"/>
        <v>4.5699999999999998E-2</v>
      </c>
      <c r="Z89" s="204">
        <f t="shared" si="35"/>
        <v>23.3308</v>
      </c>
      <c r="AA89" s="204">
        <f t="shared" si="36"/>
        <v>23.2851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7"/>
        <v>0177-03</v>
      </c>
      <c r="AE89" s="80" t="str">
        <f t="shared" si="38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89" s="77" t="str">
        <f t="shared" si="39"/>
        <v>"C:\Program Files (x86)\AstroGrep\AstroGrep.exe" /e /r /s /spath="%USERPROFILE%\AppData\Local\Temp\OnboardLogs" /stypes="app*4014*20170603*" /stext=" 19:.+((SYSTEM_STATE.+slice.+state.+changed )|(ment ac)|(multiple cpu faults)|(system.+state.+changed )|(\[timeout)|(PRM\|1\|D)|(kpr)|(kdp)|(train st.+moving)|(\|lc)|(penalty))"</v>
      </c>
      <c r="AG89" s="1" t="str">
        <f t="shared" si="40"/>
        <v>EC</v>
      </c>
      <c r="AH89" s="81" t="str">
        <f t="shared" si="41"/>
        <v>"%USERPROFILE%\Documents\GitHub\eaglep3\Utilities\RefineRTDCRunTimes.py" --tripid 177-03 --locoid 4014 --swversion DE.1.0.9.0 --startMP 204:457 --initTime 2017-06-03T13:07:27 --startdatetime 2017-06-03T13:15:24 --delay 2 --endMP 204:233308 --enddatetime 2017-06-03T13:52:43 --enforcementcount 0 &gt;&gt;C:\Users\stu\Documents\GitHub\eaglep3-reporting\EC\2017-06-03-refined-times.txt</v>
      </c>
      <c r="AI89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{"issue":{"subject":"","project_id":79,"tracker_id":40,"status_id":1,"priority_id":2,"assigned_to_id":23,"start_date":"2017-06-03","description":"","custom_fields":[{"id":1,"name":"Subdivision","value":"EC"},{"id":4,"name":"Milepost","value":"23.3308"},{"id":17,"name":"Train ID","value":"177-03"},{"id":16,"name":"Locomotive ID","value":"4014"},{"id":130,"name":"Impact","value":""},{"id":150,"name":"Time of Event (Mountain Time)","value":"13:52:43"},{"id":151,"name":"Denver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3"/>
        <v>start /low /b %USERPROFILE%\Documents\GitHub\eaglep3\Utilities\DownloadLogsFromS3.py --loco 4014 --day 2017-06-03</v>
      </c>
      <c r="AN89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762</v>
      </c>
      <c r="B90" s="7">
        <v>4013</v>
      </c>
      <c r="C90" s="21" t="s">
        <v>204</v>
      </c>
      <c r="D90" s="21" t="s">
        <v>471</v>
      </c>
      <c r="E90" s="13">
        <v>42889.587210648147</v>
      </c>
      <c r="F90" s="13">
        <v>42889.591921296298</v>
      </c>
      <c r="G90" s="7">
        <v>1</v>
      </c>
      <c r="H90" s="21" t="s">
        <v>353</v>
      </c>
      <c r="I90" s="13">
        <v>42889.619166666664</v>
      </c>
      <c r="J90" s="7">
        <v>0</v>
      </c>
      <c r="K90" s="92" t="str">
        <f t="shared" si="26"/>
        <v>4013/4014</v>
      </c>
      <c r="L90" s="21" t="str">
        <f>VLOOKUP(A90,'Trips&amp;Operators'!$C$1:$G$99999,5,FALSE)</f>
        <v>BRANDNER MELINDA</v>
      </c>
      <c r="M90" s="6">
        <f t="shared" si="27"/>
        <v>2.7245370365562849E-2</v>
      </c>
      <c r="N90" s="7">
        <f t="shared" si="28"/>
        <v>39.233333326410502</v>
      </c>
      <c r="O90" s="7"/>
      <c r="P90" s="7"/>
      <c r="Q90" s="22"/>
      <c r="R90" s="173"/>
      <c r="S90" s="176">
        <f t="shared" si="29"/>
        <v>1</v>
      </c>
      <c r="T90" s="202" t="str">
        <f t="shared" si="30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1"/>
        <v>https://d0f6bd738d7f1b3e5a7ca70fe4ff75f0.us-east-1.aws.found.io/app/kibana#/discover/Steve-Slow-Train-Analysis-(2080s-and-2083s)?_g=(refreshInterval:(display:Off,pause:!f,section:0,value:0),time:(from:'2017-06-03T13:05:35-0600',mode:absolute,to:'2017-06-03T15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0" s="204" t="str">
        <f t="shared" si="32"/>
        <v>N</v>
      </c>
      <c r="X90" s="204">
        <f t="shared" si="33"/>
        <v>1</v>
      </c>
      <c r="Y90" s="204">
        <f t="shared" si="34"/>
        <v>23.3</v>
      </c>
      <c r="Z90" s="204">
        <f t="shared" si="35"/>
        <v>1.49E-2</v>
      </c>
      <c r="AA90" s="204">
        <f t="shared" si="36"/>
        <v>23.2851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7"/>
        <v>0178-03</v>
      </c>
      <c r="AE90" s="80" t="str">
        <f t="shared" si="38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90" s="77" t="str">
        <f t="shared" si="39"/>
        <v>"C:\Program Files (x86)\AstroGrep\AstroGrep.exe" /e /r /s /spath="%USERPROFILE%\AppData\Local\Temp\OnboardLogs" /stypes="app*4013*20170603*" /stext=" 20:.+((SYSTEM_STATE.+slice.+state.+changed )|(ment ac)|(multiple cpu faults)|(system.+state.+changed )|(\[timeout)|(PRM\|1\|D)|(kpr)|(kdp)|(train st.+moving)|(\|lc)|(penalty))"</v>
      </c>
      <c r="AG90" s="1" t="str">
        <f t="shared" si="40"/>
        <v>EC</v>
      </c>
      <c r="AH90" s="81" t="str">
        <f t="shared" si="41"/>
        <v>"%USERPROFILE%\Documents\GitHub\eaglep3\Utilities\RefineRTDCRunTimes.py" --tripid 178-03 --locoid 4013 --swversion DE.1.0.9.0 --startMP 204:233000 --initTime 2017-06-03T14:05:35 --startdatetime 2017-06-03T14:12:22 --delay 1 --endMP 204:149 --enddatetime 2017-06-03T14:51:36 --enforcementcount 0 &gt;&gt;C:\Users\stu\Documents\GitHub\eaglep3-reporting\EC\2017-06-03-refined-times.txt</v>
      </c>
      <c r="AI90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{"issue":{"subject":"","project_id":79,"tracker_id":40,"status_id":1,"priority_id":2,"assigned_to_id":23,"start_date":"2017-06-03","description":"","custom_fields":[{"id":1,"name":"Subdivision","value":"EC"},{"id":4,"name":"Milepost","value":"0.0149"},{"id":17,"name":"Train ID","value":"178-03"},{"id":16,"name":"Locomotive ID","value":"4013"},{"id":130,"name":"Impact","value":""},{"id":150,"name":"Time of Event (Mountain Time)","value":"14:51:36"},{"id":151,"name":"Denver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3"/>
        <v>start /low /b %USERPROFILE%\Documents\GitHub\eaglep3\Utilities\DownloadLogsFromS3.py --loco 4013 --day 2017-06-03</v>
      </c>
      <c r="AN90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752</v>
      </c>
      <c r="B91" s="7">
        <v>4004</v>
      </c>
      <c r="C91" s="21" t="s">
        <v>204</v>
      </c>
      <c r="D91" s="21" t="s">
        <v>355</v>
      </c>
      <c r="E91" s="13">
        <v>42889.557071759256</v>
      </c>
      <c r="F91" s="13">
        <v>42889.562708333331</v>
      </c>
      <c r="G91" s="7">
        <v>2</v>
      </c>
      <c r="H91" s="21" t="s">
        <v>525</v>
      </c>
      <c r="I91" s="13">
        <v>42889.588206018518</v>
      </c>
      <c r="J91" s="7">
        <v>0</v>
      </c>
      <c r="K91" s="92" t="str">
        <f t="shared" si="26"/>
        <v>4003/4004</v>
      </c>
      <c r="L91" s="21" t="str">
        <f>VLOOKUP(A91,'Trips&amp;Operators'!$C$1:$G$99999,5,FALSE)</f>
        <v>BRUDER RICHARD</v>
      </c>
      <c r="M91" s="6">
        <f t="shared" si="27"/>
        <v>2.5497685186564922E-2</v>
      </c>
      <c r="N91" s="7">
        <f t="shared" si="28"/>
        <v>36.716666668653488</v>
      </c>
      <c r="O91" s="7"/>
      <c r="P91" s="7"/>
      <c r="Q91" s="22"/>
      <c r="R91" s="173"/>
      <c r="S91" s="176">
        <f t="shared" si="29"/>
        <v>1</v>
      </c>
      <c r="T91" s="202" t="str">
        <f t="shared" si="30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1"/>
        <v>https://d0f6bd738d7f1b3e5a7ca70fe4ff75f0.us-east-1.aws.found.io/app/kibana#/discover/Steve-Slow-Train-Analysis-(2080s-and-2083s)?_g=(refreshInterval:(display:Off,pause:!f,section:0,value:0),time:(from:'2017-06-03T12:22:11-0600',mode:absolute,to:'2017-06-03T15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204" t="str">
        <f t="shared" si="32"/>
        <v>N</v>
      </c>
      <c r="X91" s="204">
        <f t="shared" si="33"/>
        <v>1</v>
      </c>
      <c r="Y91" s="204">
        <f t="shared" si="34"/>
        <v>4.6600000000000003E-2</v>
      </c>
      <c r="Z91" s="204">
        <f t="shared" si="35"/>
        <v>23.327400000000001</v>
      </c>
      <c r="AA91" s="204">
        <f t="shared" si="36"/>
        <v>23.280799999999999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7"/>
        <v>0179-03</v>
      </c>
      <c r="AE91" s="80" t="str">
        <f t="shared" si="38"/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91" s="77" t="str">
        <f t="shared" si="39"/>
        <v>"C:\Program Files (x86)\AstroGrep\AstroGrep.exe" /e /r /s /spath="%USERPROFILE%\AppData\Local\Temp\OnboardLogs" /stypes="app*4004*20170603*" /stext=" 20:.+((SYSTEM_STATE.+slice.+state.+changed )|(ment ac)|(multiple cpu faults)|(system.+state.+changed )|(\[timeout)|(PRM\|1\|D)|(kpr)|(kdp)|(train st.+moving)|(\|lc)|(penalty))"</v>
      </c>
      <c r="AG91" s="1" t="str">
        <f t="shared" si="40"/>
        <v>EC</v>
      </c>
      <c r="AH91" s="81" t="str">
        <f t="shared" si="41"/>
        <v>"%USERPROFILE%\Documents\GitHub\eaglep3\Utilities\RefineRTDCRunTimes.py" --tripid 179-03 --locoid 4004 --swversion DE.1.0.9.0 --startMP 204:466 --initTime 2017-06-03T13:22:11 --startdatetime 2017-06-03T13:30:18 --delay 2 --endMP 204:233274 --enddatetime 2017-06-03T14:07:01 --enforcementcount 0 &gt;&gt;C:\Users\stu\Documents\GitHub\eaglep3-reporting\EC\2017-06-03-refined-times.txt</v>
      </c>
      <c r="AI91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{"issue":{"subject":"","project_id":79,"tracker_id":40,"status_id":1,"priority_id":2,"assigned_to_id":23,"start_date":"2017-06-03","description":"","custom_fields":[{"id":1,"name":"Subdivision","value":"EC"},{"id":4,"name":"Milepost","value":"23.3274"},{"id":17,"name":"Train ID","value":"179-03"},{"id":16,"name":"Locomotive ID","value":"4004"},{"id":130,"name":"Impact","value":""},{"id":150,"name":"Time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3"/>
        <v>start /low /b %USERPROFILE%\Documents\GitHub\eaglep3\Utilities\DownloadLogsFromS3.py --loco 4004 --day 2017-06-03</v>
      </c>
      <c r="AN91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764</v>
      </c>
      <c r="B92" s="7">
        <v>4003</v>
      </c>
      <c r="C92" s="21" t="s">
        <v>204</v>
      </c>
      <c r="D92" s="21" t="s">
        <v>481</v>
      </c>
      <c r="E92" s="13">
        <v>42889.596550925926</v>
      </c>
      <c r="F92" s="13">
        <v>42889.602303240739</v>
      </c>
      <c r="G92" s="7">
        <v>1</v>
      </c>
      <c r="H92" s="21" t="s">
        <v>884</v>
      </c>
      <c r="I92" s="13">
        <v>42889.628807870373</v>
      </c>
      <c r="J92" s="7">
        <v>0</v>
      </c>
      <c r="K92" s="92" t="str">
        <f t="shared" si="26"/>
        <v>4003/4004</v>
      </c>
      <c r="L92" s="21" t="str">
        <f>VLOOKUP(A92,'Trips&amp;Operators'!$C$1:$G$99999,5,FALSE)</f>
        <v>BRUDER RICHARD</v>
      </c>
      <c r="M92" s="6">
        <f t="shared" si="27"/>
        <v>2.6504629633564036E-2</v>
      </c>
      <c r="N92" s="7">
        <f t="shared" si="28"/>
        <v>38.166666672332212</v>
      </c>
      <c r="O92" s="7"/>
      <c r="P92" s="7"/>
      <c r="Q92" s="22"/>
      <c r="R92" s="173"/>
      <c r="S92" s="176">
        <f t="shared" si="29"/>
        <v>1</v>
      </c>
      <c r="T92" s="202" t="str">
        <f t="shared" si="30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1"/>
        <v>https://d0f6bd738d7f1b3e5a7ca70fe4ff75f0.us-east-1.aws.found.io/app/kibana#/discover/Steve-Slow-Train-Analysis-(2080s-and-2083s)?_g=(refreshInterval:(display:Off,pause:!f,section:0,value:0),time:(from:'2017-06-03T13:19:02-0600',mode:absolute,to:'2017-06-03T16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204" t="str">
        <f t="shared" si="32"/>
        <v>N</v>
      </c>
      <c r="X92" s="204">
        <f t="shared" si="33"/>
        <v>1</v>
      </c>
      <c r="Y92" s="204">
        <f t="shared" si="34"/>
        <v>23.297799999999999</v>
      </c>
      <c r="Z92" s="204">
        <f t="shared" si="35"/>
        <v>5.0599999999999999E-2</v>
      </c>
      <c r="AA92" s="204">
        <f t="shared" si="36"/>
        <v>23.247199999999999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7"/>
        <v>0180-03</v>
      </c>
      <c r="AE92" s="80" t="str">
        <f t="shared" si="38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92" s="77" t="str">
        <f t="shared" si="39"/>
        <v>"C:\Program Files (x86)\AstroGrep\AstroGrep.exe" /e /r /s /spath="%USERPROFILE%\AppData\Local\Temp\OnboardLogs" /stypes="app*4003*20170603*" /stext=" 21:.+((SYSTEM_STATE.+slice.+state.+changed )|(ment ac)|(multiple cpu faults)|(system.+state.+changed )|(\[timeout)|(PRM\|1\|D)|(kpr)|(kdp)|(train st.+moving)|(\|lc)|(penalty))"</v>
      </c>
      <c r="AG92" s="1" t="str">
        <f t="shared" si="40"/>
        <v>EC</v>
      </c>
      <c r="AH92" s="81" t="str">
        <f t="shared" si="41"/>
        <v>"%USERPROFILE%\Documents\GitHub\eaglep3\Utilities\RefineRTDCRunTimes.py" --tripid 180-03 --locoid 4003 --swversion DE.1.0.9.0 --startMP 204:232978 --initTime 2017-06-03T14:19:02 --startdatetime 2017-06-03T14:27:19 --delay 1 --endMP 204:506 --enddatetime 2017-06-03T15:05:29 --enforcementcount 0 &gt;&gt;C:\Users\stu\Documents\GitHub\eaglep3-reporting\EC\2017-06-03-refined-times.txt</v>
      </c>
      <c r="AI92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{"issue":{"subject":"","project_id":79,"tracker_id":40,"status_id":1,"priority_id":2,"assigned_to_id":23,"start_date":"2017-06-03","description":"","custom_fields":[{"id":1,"name":"Subdivision","value":"EC"},{"id":4,"name":"Milepost","value":"0.0506"},{"id":17,"name":"Train ID","value":"180-03"},{"id":16,"name":"Locomotive ID","value":"4003"},{"id":130,"name":"Impact","value":""},{"id":150,"name":"Time of Event (Mountain Time)","value":"15:05:29"},{"id":151,"name":"Denver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3"/>
        <v>start /low /b %USERPROFILE%\Documents\GitHub\eaglep3\Utilities\DownloadLogsFromS3.py --loco 4003 --day 2017-06-03</v>
      </c>
      <c r="AN92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756</v>
      </c>
      <c r="B93" s="7">
        <v>4008</v>
      </c>
      <c r="C93" s="21" t="s">
        <v>204</v>
      </c>
      <c r="D93" s="21" t="s">
        <v>358</v>
      </c>
      <c r="E93" s="13">
        <v>42889.567858796298</v>
      </c>
      <c r="F93" s="13">
        <v>42889.573171296295</v>
      </c>
      <c r="G93" s="7">
        <v>1</v>
      </c>
      <c r="H93" s="21" t="s">
        <v>897</v>
      </c>
      <c r="I93" s="13">
        <v>42889.599016203705</v>
      </c>
      <c r="J93" s="7">
        <v>0</v>
      </c>
      <c r="K93" s="92" t="str">
        <f t="shared" si="26"/>
        <v>4007/4008</v>
      </c>
      <c r="L93" s="21" t="str">
        <f>VLOOKUP(A93,'Trips&amp;Operators'!$C$1:$G$99999,5,FALSE)</f>
        <v>WHITED DUSTIN</v>
      </c>
      <c r="M93" s="6">
        <f t="shared" si="27"/>
        <v>2.584490740991896E-2</v>
      </c>
      <c r="N93" s="7">
        <f t="shared" si="28"/>
        <v>37.216666670283303</v>
      </c>
      <c r="O93" s="7"/>
      <c r="P93" s="7"/>
      <c r="Q93" s="22"/>
      <c r="R93" s="173" t="s">
        <v>1007</v>
      </c>
      <c r="S93" s="176">
        <f t="shared" si="29"/>
        <v>1</v>
      </c>
      <c r="T93" s="202" t="str">
        <f t="shared" si="30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1"/>
        <v>https://d0f6bd738d7f1b3e5a7ca70fe4ff75f0.us-east-1.aws.found.io/app/kibana#/discover/Steve-Slow-Train-Analysis-(2080s-and-2083s)?_g=(refreshInterval:(display:Off,pause:!f,section:0,value:0),time:(from:'2017-06-03T12:37:43-0600',mode:absolute,to:'2017-06-03T15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204" t="str">
        <f t="shared" si="32"/>
        <v>N</v>
      </c>
      <c r="X93" s="204">
        <f t="shared" si="33"/>
        <v>1</v>
      </c>
      <c r="Y93" s="204">
        <f t="shared" si="34"/>
        <v>4.6399999999999997E-2</v>
      </c>
      <c r="Z93" s="204">
        <f t="shared" si="35"/>
        <v>23.320399999999999</v>
      </c>
      <c r="AA93" s="204">
        <f t="shared" si="36"/>
        <v>23.274000000000001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7"/>
        <v>0181-03</v>
      </c>
      <c r="AE93" s="80" t="str">
        <f t="shared" si="38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93" s="77" t="str">
        <f t="shared" si="39"/>
        <v>"C:\Program Files (x86)\AstroGrep\AstroGrep.exe" /e /r /s /spath="%USERPROFILE%\AppData\Local\Temp\OnboardLogs" /stypes="app*4008*20170603*" /stext=" 20:.+((SYSTEM_STATE.+slice.+state.+changed )|(ment ac)|(multiple cpu faults)|(system.+state.+changed )|(\[timeout)|(PRM\|1\|D)|(kpr)|(kdp)|(train st.+moving)|(\|lc)|(penalty))"</v>
      </c>
      <c r="AG93" s="1" t="str">
        <f t="shared" si="40"/>
        <v>EC</v>
      </c>
      <c r="AH93" s="81" t="str">
        <f t="shared" si="41"/>
        <v>"%USERPROFILE%\Documents\GitHub\eaglep3\Utilities\RefineRTDCRunTimes.py" --tripid 181-03 --locoid 4008 --swversion DE.1.0.9.0 --startMP 204:464 --initTime 2017-06-03T13:37:43 --startdatetime 2017-06-03T13:45:22 --delay 1 --endMP 204:233204 --enddatetime 2017-06-03T14:22:35 --enforcementcount 0 &gt;&gt;C:\Users\stu\Documents\GitHub\eaglep3-reporting\EC\2017-06-03-refined-times.txt</v>
      </c>
      <c r="AI93" s="99" t="str">
        <f t="shared" si="42"/>
        <v>echo {"issue":{"subject":"Brief Wi-MAX data drop, no enforcement or cut out","project_id":79,"tracker_id":40,"status_id":1,"priority_id":2,"assigned_to_id":23,"start_date":"2017-06-03","description":"","custom_fields":[{"id":1,"name":"Subdivision","value":"EC"},{"id":4,"name":"Milepost","value":"23.3204"},{"id":17,"name":"Train ID","value":"181-03"},{"id":16,"name":"Locomotive ID","value":"4008"},{"id":130,"name":"Impact","value":""},{"id":150,"name":"Time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3"/>
        <v>start /low /b %USERPROFILE%\Documents\GitHub\eaglep3\Utilities\DownloadLogsFromS3.py --loco 4008 --day 2017-06-03</v>
      </c>
      <c r="AN93" s="154" t="str">
        <f t="shared" si="44"/>
        <v>echo {"issue":{"subject":"Brief Wi-MAX data drop, no enforcement or cut out","project_id":30,"tracker_id":4,"status_id":1,"priority_id":1,"assigned_to_id":10,"start_date":"2017-06-03","description":"","custom_fields":[{"id":30,"name":"Category","value":"Issue"},{"id":3,"name":"Functional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766</v>
      </c>
      <c r="B94" s="7">
        <v>4007</v>
      </c>
      <c r="C94" s="21" t="s">
        <v>204</v>
      </c>
      <c r="D94" s="21" t="s">
        <v>491</v>
      </c>
      <c r="E94" s="13">
        <v>42889.608206018522</v>
      </c>
      <c r="F94" s="13">
        <v>42889.612743055557</v>
      </c>
      <c r="G94" s="7">
        <v>1</v>
      </c>
      <c r="H94" s="21" t="s">
        <v>493</v>
      </c>
      <c r="I94" s="13">
        <v>42889.639374999999</v>
      </c>
      <c r="J94" s="7">
        <v>0</v>
      </c>
      <c r="K94" s="92" t="str">
        <f t="shared" si="26"/>
        <v>4007/4008</v>
      </c>
      <c r="L94" s="21" t="str">
        <f>VLOOKUP(A94,'Trips&amp;Operators'!$C$1:$G$99999,5,FALSE)</f>
        <v>WHITED DUSTIN</v>
      </c>
      <c r="M94" s="6">
        <f t="shared" si="27"/>
        <v>2.6631944441760425E-2</v>
      </c>
      <c r="N94" s="7">
        <f t="shared" si="28"/>
        <v>38.349999996135011</v>
      </c>
      <c r="O94" s="7"/>
      <c r="P94" s="7"/>
      <c r="Q94" s="22"/>
      <c r="R94" s="173"/>
      <c r="S94" s="176">
        <f t="shared" si="29"/>
        <v>1</v>
      </c>
      <c r="T94" s="202" t="str">
        <f t="shared" si="30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1"/>
        <v>https://d0f6bd738d7f1b3e5a7ca70fe4ff75f0.us-east-1.aws.found.io/app/kibana#/discover/Steve-Slow-Train-Analysis-(2080s-and-2083s)?_g=(refreshInterval:(display:Off,pause:!f,section:0,value:0),time:(from:'2017-06-03T13:35:49-0600',mode:absolute,to:'2017-06-03T16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204" t="str">
        <f t="shared" si="32"/>
        <v>N</v>
      </c>
      <c r="X94" s="204">
        <f t="shared" si="33"/>
        <v>1</v>
      </c>
      <c r="Y94" s="204">
        <f t="shared" si="34"/>
        <v>23.297899999999998</v>
      </c>
      <c r="Z94" s="204">
        <f t="shared" si="35"/>
        <v>1.6299999999999999E-2</v>
      </c>
      <c r="AA94" s="204">
        <f t="shared" si="36"/>
        <v>23.281599999999997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7"/>
        <v>0182-03</v>
      </c>
      <c r="AE94" s="80" t="str">
        <f t="shared" si="38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94" s="77" t="str">
        <f t="shared" si="39"/>
        <v>"C:\Program Files (x86)\AstroGrep\AstroGrep.exe" /e /r /s /spath="%USERPROFILE%\AppData\Local\Temp\OnboardLogs" /stypes="app*4007*20170603*" /stext=" 21:.+((SYSTEM_STATE.+slice.+state.+changed )|(ment ac)|(multiple cpu faults)|(system.+state.+changed )|(\[timeout)|(PRM\|1\|D)|(kpr)|(kdp)|(train st.+moving)|(\|lc)|(penalty))"</v>
      </c>
      <c r="AG94" s="1" t="str">
        <f t="shared" si="40"/>
        <v>EC</v>
      </c>
      <c r="AH94" s="81" t="str">
        <f t="shared" si="41"/>
        <v>"%USERPROFILE%\Documents\GitHub\eaglep3\Utilities\RefineRTDCRunTimes.py" --tripid 182-03 --locoid 4007 --swversion DE.1.0.9.0 --startMP 204:232979 --initTime 2017-06-03T14:35:49 --startdatetime 2017-06-03T14:42:21 --delay 1 --endMP 204:163 --enddatetime 2017-06-03T15:20:42 --enforcementcount 0 &gt;&gt;C:\Users\stu\Documents\GitHub\eaglep3-reporting\EC\2017-06-03-refined-times.txt</v>
      </c>
      <c r="AI94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{"issue":{"subject":"","project_id":79,"tracker_id":40,"status_id":1,"priority_id":2,"assigned_to_id":23,"start_date":"2017-06-03","description":"","custom_fields":[{"id":1,"name":"Subdivision","value":"EC"},{"id":4,"name":"Milepost","value":"0.0163"},{"id":17,"name":"Train ID","value":"182-03"},{"id":16,"name":"Locomotive ID","value":"4007"},{"id":130,"name":"Impact","value":""},{"id":150,"name":"Time of Event (Mountain Time)","value":"15:20:42"},{"id":151,"name":"Denver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3"/>
        <v>start /low /b %USERPROFILE%\Documents\GitHub\eaglep3\Utilities\DownloadLogsFromS3.py --loco 4007 --day 2017-06-03</v>
      </c>
      <c r="AN94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758</v>
      </c>
      <c r="B95" s="7">
        <v>4050</v>
      </c>
      <c r="C95" s="21" t="s">
        <v>204</v>
      </c>
      <c r="D95" s="21" t="s">
        <v>918</v>
      </c>
      <c r="E95" s="13">
        <v>42889.578113425923</v>
      </c>
      <c r="F95" s="13">
        <v>42889.58353009259</v>
      </c>
      <c r="G95" s="7">
        <v>1</v>
      </c>
      <c r="H95" s="21" t="s">
        <v>525</v>
      </c>
      <c r="I95" s="13">
        <v>42889.608541666668</v>
      </c>
      <c r="J95" s="7">
        <v>0</v>
      </c>
      <c r="K95" s="92" t="str">
        <f t="shared" si="26"/>
        <v>4049/4050</v>
      </c>
      <c r="L95" s="21" t="str">
        <f>VLOOKUP(A95,'Trips&amp;Operators'!$C$1:$G$99999,5,FALSE)</f>
        <v>DELGADO DIANAH</v>
      </c>
      <c r="M95" s="6">
        <f t="shared" si="27"/>
        <v>2.5011574078234844E-2</v>
      </c>
      <c r="N95" s="7">
        <f t="shared" si="28"/>
        <v>36.016666672658175</v>
      </c>
      <c r="O95" s="7"/>
      <c r="P95" s="7"/>
      <c r="Q95" s="22"/>
      <c r="R95" s="173"/>
      <c r="S95" s="176">
        <f t="shared" si="29"/>
        <v>1</v>
      </c>
      <c r="T95" s="202" t="str">
        <f t="shared" si="30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1"/>
        <v>https://d0f6bd738d7f1b3e5a7ca70fe4ff75f0.us-east-1.aws.found.io/app/kibana#/discover/Steve-Slow-Train-Analysis-(2080s-and-2083s)?_g=(refreshInterval:(display:Off,pause:!f,section:0,value:0),time:(from:'2017-06-03T12:52:29-0600',mode:absolute,to:'2017-06-03T15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5" s="204" t="str">
        <f t="shared" si="32"/>
        <v>N</v>
      </c>
      <c r="X95" s="204">
        <f t="shared" si="33"/>
        <v>1</v>
      </c>
      <c r="Y95" s="204">
        <f t="shared" si="34"/>
        <v>4.9700000000000001E-2</v>
      </c>
      <c r="Z95" s="204">
        <f t="shared" si="35"/>
        <v>23.327400000000001</v>
      </c>
      <c r="AA95" s="204">
        <f t="shared" si="36"/>
        <v>23.277699999999999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7"/>
        <v>0183-03</v>
      </c>
      <c r="AE95" s="80" t="str">
        <f t="shared" si="38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95" s="77" t="str">
        <f t="shared" si="39"/>
        <v>"C:\Program Files (x86)\AstroGrep\AstroGrep.exe" /e /r /s /spath="%USERPROFILE%\AppData\Local\Temp\OnboardLogs" /stypes="app*4050*20170603*" /stext=" 20:.+((SYSTEM_STATE.+slice.+state.+changed )|(ment ac)|(multiple cpu faults)|(system.+state.+changed )|(\[timeout)|(PRM\|1\|D)|(kpr)|(kdp)|(train st.+moving)|(\|lc)|(penalty))"</v>
      </c>
      <c r="AG95" s="1" t="str">
        <f t="shared" si="40"/>
        <v>EC</v>
      </c>
      <c r="AH95" s="81" t="str">
        <f t="shared" si="41"/>
        <v>"%USERPROFILE%\Documents\GitHub\eaglep3\Utilities\RefineRTDCRunTimes.py" --tripid 183-03 --locoid 4050 --swversion DE.1.0.9.0 --startMP 204:497 --initTime 2017-06-03T13:52:29 --startdatetime 2017-06-03T14:00:17 --delay 1 --endMP 204:233274 --enddatetime 2017-06-03T14:36:18 --enforcementcount 0 &gt;&gt;C:\Users\stu\Documents\GitHub\eaglep3-reporting\EC\2017-06-03-refined-times.txt</v>
      </c>
      <c r="AI95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{"issue":{"subject":"","project_id":79,"tracker_id":40,"status_id":1,"priority_id":2,"assigned_to_id":23,"start_date":"2017-06-03","description":"","custom_fields":[{"id":1,"name":"Subdivision","value":"EC"},{"id":4,"name":"Milepost","value":"23.3274"},{"id":17,"name":"Train ID","value":"183-03"},{"id":16,"name":"Locomotive ID","value":"4050"},{"id":130,"name":"Impact","value":""},{"id":150,"name":"Time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3"/>
        <v>start /low /b %USERPROFILE%\Documents\GitHub\eaglep3\Utilities\DownloadLogsFromS3.py --loco 4050 --day 2017-06-03</v>
      </c>
      <c r="AN95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634</v>
      </c>
      <c r="B96" s="7">
        <v>4049</v>
      </c>
      <c r="C96" s="21" t="s">
        <v>204</v>
      </c>
      <c r="D96" s="21" t="s">
        <v>441</v>
      </c>
      <c r="E96" s="13">
        <v>42889.609768518516</v>
      </c>
      <c r="F96" s="13">
        <v>42889.623078703706</v>
      </c>
      <c r="G96" s="7">
        <v>1</v>
      </c>
      <c r="H96" s="21" t="s">
        <v>406</v>
      </c>
      <c r="I96" s="13">
        <v>42889.648935185185</v>
      </c>
      <c r="J96" s="7">
        <v>0</v>
      </c>
      <c r="K96" s="92" t="str">
        <f t="shared" si="26"/>
        <v>4049/4050</v>
      </c>
      <c r="L96" s="21" t="str">
        <f>VLOOKUP(A96,'Trips&amp;Operators'!$C$1:$G$99999,5,FALSE)</f>
        <v>DELGADO DIANAH</v>
      </c>
      <c r="M96" s="6">
        <f t="shared" si="27"/>
        <v>2.5856481479422655E-2</v>
      </c>
      <c r="N96" s="7">
        <f t="shared" si="28"/>
        <v>37.233333330368623</v>
      </c>
      <c r="O96" s="7"/>
      <c r="P96" s="7"/>
      <c r="Q96" s="22"/>
      <c r="R96" s="173"/>
      <c r="S96" s="176">
        <f t="shared" si="29"/>
        <v>1</v>
      </c>
      <c r="T96" s="202" t="str">
        <f t="shared" si="30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1"/>
        <v>https://d0f6bd738d7f1b3e5a7ca70fe4ff75f0.us-east-1.aws.found.io/app/kibana#/discover/Steve-Slow-Train-Analysis-(2080s-and-2083s)?_g=(refreshInterval:(display:Off,pause:!f,section:0,value:0),time:(from:'2017-06-03T13:38:04-0600',mode:absolute,to:'2017-06-03T16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6" s="204" t="str">
        <f t="shared" si="32"/>
        <v>N</v>
      </c>
      <c r="X96" s="204">
        <f t="shared" si="33"/>
        <v>1</v>
      </c>
      <c r="Y96" s="204">
        <f t="shared" si="34"/>
        <v>23.297999999999998</v>
      </c>
      <c r="Z96" s="204">
        <f t="shared" si="35"/>
        <v>4.7300000000000002E-2</v>
      </c>
      <c r="AA96" s="204">
        <f t="shared" si="36"/>
        <v>23.250699999999998</v>
      </c>
      <c r="AB96" s="57" t="str">
        <f>VLOOKUP(A96,Enforcements!$C$7:$K$13,8,0)</f>
        <v>Bulletin (2)</v>
      </c>
      <c r="AC96" s="53" t="str">
        <f>VLOOKUP(A96,Enforcements!$C$7:$E$13,3,0)</f>
        <v>GRADE CROSSING</v>
      </c>
      <c r="AD96" s="54" t="str">
        <f t="shared" si="37"/>
        <v>0184-03</v>
      </c>
      <c r="AE96" s="80" t="str">
        <f t="shared" si="38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96" s="77" t="str">
        <f t="shared" si="39"/>
        <v>"C:\Program Files (x86)\AstroGrep\AstroGrep.exe" /e /r /s /spath="%USERPROFILE%\AppData\Local\Temp\OnboardLogs" /stypes="app*4049*20170603*" /stext=" 21:.+((SYSTEM_STATE.+slice.+state.+changed )|(ment ac)|(multiple cpu faults)|(system.+state.+changed )|(\[timeout)|(PRM\|1\|D)|(kpr)|(kdp)|(train st.+moving)|(\|lc)|(penalty))"</v>
      </c>
      <c r="AG96" s="1" t="str">
        <f t="shared" si="40"/>
        <v>EC</v>
      </c>
      <c r="AH96" s="81" t="str">
        <f t="shared" si="41"/>
        <v>"%USERPROFILE%\Documents\GitHub\eaglep3\Utilities\RefineRTDCRunTimes.py" --tripid 184-03 --locoid 4049 --swversion DE.1.0.9.0 --startMP 204:232980 --initTime 2017-06-03T14:38:04 --startdatetime 2017-06-03T14:57:14 --delay 1 --endMP 204:473 --enddatetime 2017-06-03T15:34:28 --enforcementcount 0 &gt;&gt;C:\Users\stu\Documents\GitHub\eaglep3-reporting\EC\2017-06-03-refined-times.txt</v>
      </c>
      <c r="AI96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{"issue":{"subject":"","project_id":79,"tracker_id":40,"status_id":1,"priority_id":2,"assigned_to_id":23,"start_date":"2017-06-03","description":"","custom_fields":[{"id":1,"name":"Subdivision","value":"EC"},{"id":4,"name":"Milepost","value":"0.0473"},{"id":17,"name":"Train ID","value":"184-03"},{"id":16,"name":"Locomotive ID","value":"4049"},{"id":130,"name":"Impact","value":""},{"id":150,"name":"Time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3"/>
        <v>start /low /b %USERPROFILE%\Documents\GitHub\eaglep3\Utilities\DownloadLogsFromS3.py --loco 4049 --day 2017-06-03</v>
      </c>
      <c r="AN96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763</v>
      </c>
      <c r="B97" s="7">
        <v>4010</v>
      </c>
      <c r="C97" s="21" t="s">
        <v>204</v>
      </c>
      <c r="D97" s="21" t="s">
        <v>200</v>
      </c>
      <c r="E97" s="13">
        <v>42889.590405092589</v>
      </c>
      <c r="F97" s="13">
        <v>42889.593935185185</v>
      </c>
      <c r="G97" s="7">
        <v>2</v>
      </c>
      <c r="H97" s="21" t="s">
        <v>400</v>
      </c>
      <c r="I97" s="13">
        <v>42889.619583333333</v>
      </c>
      <c r="J97" s="7">
        <v>0</v>
      </c>
      <c r="K97" s="92" t="str">
        <f t="shared" si="26"/>
        <v>4009/4010</v>
      </c>
      <c r="L97" s="21" t="str">
        <f>VLOOKUP(A97,'Trips&amp;Operators'!$C$1:$G$99999,5,FALSE)</f>
        <v>STEWART MICHAEL</v>
      </c>
      <c r="M97" s="6">
        <f t="shared" si="27"/>
        <v>2.5648148148320615E-2</v>
      </c>
      <c r="N97" s="7">
        <f t="shared" si="28"/>
        <v>36.933333333581686</v>
      </c>
      <c r="O97" s="7"/>
      <c r="P97" s="7"/>
      <c r="Q97" s="22"/>
      <c r="R97" s="173"/>
      <c r="S97" s="176">
        <f t="shared" si="29"/>
        <v>1</v>
      </c>
      <c r="T97" s="202" t="str">
        <f t="shared" si="30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1"/>
        <v>https://d0f6bd738d7f1b3e5a7ca70fe4ff75f0.us-east-1.aws.found.io/app/kibana#/discover/Steve-Slow-Train-Analysis-(2080s-and-2083s)?_g=(refreshInterval:(display:Off,pause:!f,section:0,value:0),time:(from:'2017-06-03T13:10:11-0600',mode:absolute,to:'2017-06-03T15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204" t="str">
        <f t="shared" si="32"/>
        <v>N</v>
      </c>
      <c r="X97" s="204">
        <f t="shared" si="33"/>
        <v>1</v>
      </c>
      <c r="Y97" s="204">
        <f t="shared" si="34"/>
        <v>4.5699999999999998E-2</v>
      </c>
      <c r="Z97" s="204">
        <f t="shared" si="35"/>
        <v>23.3293</v>
      </c>
      <c r="AA97" s="204">
        <f t="shared" si="36"/>
        <v>23.2836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7"/>
        <v>0185-03</v>
      </c>
      <c r="AE97" s="80" t="str">
        <f t="shared" si="38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97" s="77" t="str">
        <f t="shared" si="39"/>
        <v>"C:\Program Files (x86)\AstroGrep\AstroGrep.exe" /e /r /s /spath="%USERPROFILE%\AppData\Local\Temp\OnboardLogs" /stypes="app*4010*20170603*" /stext=" 20:.+((SYSTEM_STATE.+slice.+state.+changed )|(ment ac)|(multiple cpu faults)|(system.+state.+changed )|(\[timeout)|(PRM\|1\|D)|(kpr)|(kdp)|(train st.+moving)|(\|lc)|(penalty))"</v>
      </c>
      <c r="AG97" s="1" t="str">
        <f t="shared" si="40"/>
        <v>EC</v>
      </c>
      <c r="AH97" s="81" t="str">
        <f t="shared" si="41"/>
        <v>"%USERPROFILE%\Documents\GitHub\eaglep3\Utilities\RefineRTDCRunTimes.py" --tripid 185-03 --locoid 4010 --swversion DE.1.0.9.0 --startMP 204:457 --initTime 2017-06-03T14:10:11 --startdatetime 2017-06-03T14:15:16 --delay 2 --endMP 204:233293 --enddatetime 2017-06-03T14:52:12 --enforcementcount 0 &gt;&gt;C:\Users\stu\Documents\GitHub\eaglep3-reporting\EC\2017-06-03-refined-times.txt</v>
      </c>
      <c r="AI97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{"issue":{"subject":"","project_id":79,"tracker_id":40,"status_id":1,"priority_id":2,"assigned_to_id":23,"start_date":"2017-06-03","description":"","custom_fields":[{"id":1,"name":"Subdivision","value":"EC"},{"id":4,"name":"Milepost","value":"23.3293"},{"id":17,"name":"Train ID","value":"185-03"},{"id":16,"name":"Locomotive ID","value":"4010"},{"id":130,"name":"Impact","value":""},{"id":150,"name":"Time of Event (Mountain Time)","value":"14:52:12"},{"id":151,"name":"Denver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43"/>
        <v>start /low /b %USERPROFILE%\Documents\GitHub\eaglep3\Utilities\DownloadLogsFromS3.py --loco 4010 --day 2017-06-03</v>
      </c>
      <c r="AN97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770</v>
      </c>
      <c r="B98" s="7">
        <v>4009</v>
      </c>
      <c r="C98" s="21" t="s">
        <v>204</v>
      </c>
      <c r="D98" s="21" t="s">
        <v>466</v>
      </c>
      <c r="E98" s="13">
        <v>42889.630104166667</v>
      </c>
      <c r="F98" s="13">
        <v>42889.633576388886</v>
      </c>
      <c r="G98" s="7">
        <v>1</v>
      </c>
      <c r="H98" s="21" t="s">
        <v>403</v>
      </c>
      <c r="I98" s="13">
        <v>42889.66033564815</v>
      </c>
      <c r="J98" s="7">
        <v>0</v>
      </c>
      <c r="K98" s="92" t="str">
        <f t="shared" si="26"/>
        <v>4009/4010</v>
      </c>
      <c r="L98" s="21" t="str">
        <f>VLOOKUP(A98,'Trips&amp;Operators'!$C$1:$G$99999,5,FALSE)</f>
        <v>STEWART MICHAEL</v>
      </c>
      <c r="M98" s="6">
        <f t="shared" si="27"/>
        <v>2.6759259264508728E-2</v>
      </c>
      <c r="N98" s="7">
        <f t="shared" si="28"/>
        <v>38.533333340892568</v>
      </c>
      <c r="O98" s="7"/>
      <c r="P98" s="7"/>
      <c r="Q98" s="22"/>
      <c r="R98" s="173"/>
      <c r="S98" s="176">
        <f t="shared" si="29"/>
        <v>1</v>
      </c>
      <c r="T98" s="202" t="str">
        <f t="shared" si="30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1"/>
        <v>https://d0f6bd738d7f1b3e5a7ca70fe4ff75f0.us-east-1.aws.found.io/app/kibana#/discover/Steve-Slow-Train-Analysis-(2080s-and-2083s)?_g=(refreshInterval:(display:Off,pause:!f,section:0,value:0),time:(from:'2017-06-03T14:07:21-0600',mode:absolute,to:'2017-06-03T16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204" t="str">
        <f t="shared" si="32"/>
        <v>N</v>
      </c>
      <c r="X98" s="204">
        <f t="shared" si="33"/>
        <v>1</v>
      </c>
      <c r="Y98" s="204">
        <f t="shared" si="34"/>
        <v>23.2987</v>
      </c>
      <c r="Z98" s="204">
        <f t="shared" si="35"/>
        <v>1.54E-2</v>
      </c>
      <c r="AA98" s="204">
        <f t="shared" si="36"/>
        <v>23.283300000000001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7"/>
        <v>0186-03</v>
      </c>
      <c r="AE98" s="80" t="str">
        <f t="shared" si="38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98" s="77" t="str">
        <f t="shared" si="39"/>
        <v>"C:\Program Files (x86)\AstroGrep\AstroGrep.exe" /e /r /s /spath="%USERPROFILE%\AppData\Local\Temp\OnboardLogs" /stypes="app*4009*20170603*" /stext=" 21:.+((SYSTEM_STATE.+slice.+state.+changed )|(ment ac)|(multiple cpu faults)|(system.+state.+changed )|(\[timeout)|(PRM\|1\|D)|(kpr)|(kdp)|(train st.+moving)|(\|lc)|(penalty))"</v>
      </c>
      <c r="AG98" s="1" t="str">
        <f t="shared" si="40"/>
        <v>EC</v>
      </c>
      <c r="AH98" s="81" t="str">
        <f t="shared" si="41"/>
        <v>"%USERPROFILE%\Documents\GitHub\eaglep3\Utilities\RefineRTDCRunTimes.py" --tripid 186-03 --locoid 4009 --swversion DE.1.0.9.0 --startMP 204:232987 --initTime 2017-06-03T15:07:21 --startdatetime 2017-06-03T15:12:21 --delay 1 --endMP 204:154 --enddatetime 2017-06-03T15:50:53 --enforcementcount 0 &gt;&gt;C:\Users\stu\Documents\GitHub\eaglep3-reporting\EC\2017-06-03-refined-times.txt</v>
      </c>
      <c r="AI98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ID","value":"186-03"},{"id":16,"name":"Locomotive ID","value":"4009"},{"id":130,"name":"Impact","value":""},{"id":150,"name":"Time of Event (Mountain Time)","value":"15:50:53"},{"id":151,"name":"Denver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3"/>
        <v>start /low /b %USERPROFILE%\Documents\GitHub\eaglep3\Utilities\DownloadLogsFromS3.py --loco 4009 --day 2017-06-03</v>
      </c>
      <c r="AN98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765</v>
      </c>
      <c r="B99" s="7">
        <v>4024</v>
      </c>
      <c r="C99" s="21" t="s">
        <v>204</v>
      </c>
      <c r="D99" s="21" t="s">
        <v>358</v>
      </c>
      <c r="E99" s="13">
        <v>42889.601666666669</v>
      </c>
      <c r="F99" s="13">
        <v>42889.604490740741</v>
      </c>
      <c r="G99" s="7">
        <v>1</v>
      </c>
      <c r="H99" s="21" t="s">
        <v>498</v>
      </c>
      <c r="I99" s="13">
        <v>42889.629317129627</v>
      </c>
      <c r="J99" s="7">
        <v>0</v>
      </c>
      <c r="K99" s="92" t="str">
        <f t="shared" si="26"/>
        <v>4023/4024</v>
      </c>
      <c r="L99" s="21" t="str">
        <f>VLOOKUP(A99,'Trips&amp;Operators'!$C$1:$G$99999,5,FALSE)</f>
        <v>HOLCOMB KAMDEN</v>
      </c>
      <c r="M99" s="6">
        <f t="shared" si="27"/>
        <v>2.4826388886140194E-2</v>
      </c>
      <c r="N99" s="7">
        <f t="shared" si="28"/>
        <v>35.749999996041879</v>
      </c>
      <c r="O99" s="7"/>
      <c r="P99" s="7"/>
      <c r="Q99" s="22"/>
      <c r="R99" s="173"/>
      <c r="S99" s="176">
        <f t="shared" si="29"/>
        <v>1</v>
      </c>
      <c r="T99" s="202" t="str">
        <f t="shared" si="30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1"/>
        <v>https://d0f6bd738d7f1b3e5a7ca70fe4ff75f0.us-east-1.aws.found.io/app/kibana#/discover/Steve-Slow-Train-Analysis-(2080s-and-2083s)?_g=(refreshInterval:(display:Off,pause:!f,section:0,value:0),time:(from:'2017-06-03T13:26:24-0600',mode:absolute,to:'2017-06-03T16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9" s="204" t="str">
        <f t="shared" si="32"/>
        <v>N</v>
      </c>
      <c r="X99" s="204">
        <f t="shared" si="33"/>
        <v>1</v>
      </c>
      <c r="Y99" s="204">
        <f t="shared" si="34"/>
        <v>4.6399999999999997E-2</v>
      </c>
      <c r="Z99" s="204">
        <f t="shared" si="35"/>
        <v>23.3278</v>
      </c>
      <c r="AA99" s="204">
        <f t="shared" si="36"/>
        <v>23.281400000000001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7"/>
        <v>0187-03</v>
      </c>
      <c r="AE99" s="80" t="str">
        <f t="shared" si="38"/>
        <v>aws s3 cp s3://rtdc.mdm.uploadarchive.raw/RTDC4024/ "%USERPROFILE%\AppData\Local\Temp\OnboardLogs"\RTDC4024\2017-06-03 --exclude "*" --recursive --include "*20170603*" &amp; "%USERPROFILE%\Documents\GitHub\mrs-test-scripts\Headless Mode &amp; Sideloading\WalkAndUnGZ.bat" "%USERPROFILE%\AppData\Local\Temp\OnboardLogs"\RTDC4024\2017-06-03 &amp; 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</v>
      </c>
      <c r="AF99" s="77" t="str">
        <f t="shared" si="39"/>
        <v>"C:\Program Files (x86)\AstroGrep\AstroGrep.exe" /e /r /s /spath="%USERPROFILE%\AppData\Local\Temp\OnboardLogs" /stypes="app*4024*20170603*" /stext=" 21:.+((SYSTEM_STATE.+slice.+state.+changed )|(ment ac)|(multiple cpu faults)|(system.+state.+changed )|(\[timeout)|(PRM\|1\|D)|(kpr)|(kdp)|(train st.+moving)|(\|lc)|(penalty))"</v>
      </c>
      <c r="AG99" s="1" t="str">
        <f t="shared" si="40"/>
        <v>EC</v>
      </c>
      <c r="AH99" s="81" t="str">
        <f t="shared" si="41"/>
        <v>"%USERPROFILE%\Documents\GitHub\eaglep3\Utilities\RefineRTDCRunTimes.py" --tripid 187-03 --locoid 4024 --swversion DE.1.0.9.0 --startMP 204:464 --initTime 2017-06-03T14:26:24 --startdatetime 2017-06-03T14:30:28 --delay 1 --endMP 204:233278 --enddatetime 2017-06-03T15:06:13 --enforcementcount 0 &gt;&gt;C:\Users\stu\Documents\GitHub\eaglep3-reporting\EC\2017-06-03-refined-times.txt</v>
      </c>
      <c r="AI99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{"issue":{"subject":"","project_id":79,"tracker_id":40,"status_id":1,"priority_id":2,"assigned_to_id":23,"start_date":"2017-06-03","description":"","custom_fields":[{"id":1,"name":"Subdivision","value":"EC"},{"id":4,"name":"Milepost","value":"23.3278"},{"id":17,"name":"Train ID","value":"187-03"},{"id":16,"name":"Locomotive ID","value":"4024"},{"id":130,"name":"Impact","value":""},{"id":150,"name":"Time of Event (Mountain Time)","value":"15:06:13"},{"id":151,"name":"Denver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3"/>
        <v>start /low /b %USERPROFILE%\Documents\GitHub\eaglep3\Utilities\DownloadLogsFromS3.py --loco 4024 --day 2017-06-03</v>
      </c>
      <c r="AN99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772</v>
      </c>
      <c r="B100" s="7">
        <v>4023</v>
      </c>
      <c r="C100" s="21" t="s">
        <v>204</v>
      </c>
      <c r="D100" s="21" t="s">
        <v>497</v>
      </c>
      <c r="E100" s="13">
        <v>42889.640486111108</v>
      </c>
      <c r="F100" s="13">
        <v>42889.643935185188</v>
      </c>
      <c r="G100" s="7">
        <v>1</v>
      </c>
      <c r="H100" s="21" t="s">
        <v>923</v>
      </c>
      <c r="I100" s="13">
        <v>42889.670474537037</v>
      </c>
      <c r="J100" s="7">
        <v>0</v>
      </c>
      <c r="K100" s="92" t="str">
        <f t="shared" si="26"/>
        <v>4023/4024</v>
      </c>
      <c r="L100" s="21" t="str">
        <f>VLOOKUP(A100,'Trips&amp;Operators'!$C$1:$G$99999,5,FALSE)</f>
        <v>HOLCOMB KAMDEN</v>
      </c>
      <c r="M100" s="6">
        <f t="shared" si="27"/>
        <v>2.6539351849351078E-2</v>
      </c>
      <c r="N100" s="7">
        <f t="shared" si="28"/>
        <v>38.216666663065553</v>
      </c>
      <c r="O100" s="7"/>
      <c r="P100" s="7"/>
      <c r="Q100" s="22"/>
      <c r="R100" s="173"/>
      <c r="S100" s="176">
        <f t="shared" si="29"/>
        <v>1</v>
      </c>
      <c r="T100" s="202" t="str">
        <f t="shared" si="30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1"/>
        <v>https://d0f6bd738d7f1b3e5a7ca70fe4ff75f0.us-east-1.aws.found.io/app/kibana#/discover/Steve-Slow-Train-Analysis-(2080s-and-2083s)?_g=(refreshInterval:(display:Off,pause:!f,section:0,value:0),time:(from:'2017-06-03T14:22:18-0600',mode:absolute,to:'2017-06-03T17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0" s="204" t="str">
        <f t="shared" si="32"/>
        <v>N</v>
      </c>
      <c r="X100" s="204">
        <f t="shared" si="33"/>
        <v>1</v>
      </c>
      <c r="Y100" s="204">
        <f t="shared" si="34"/>
        <v>23.2973</v>
      </c>
      <c r="Z100" s="204">
        <f t="shared" si="35"/>
        <v>4.9099999999999998E-2</v>
      </c>
      <c r="AA100" s="204">
        <f t="shared" si="36"/>
        <v>23.248200000000001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7"/>
        <v>0188-03</v>
      </c>
      <c r="AE100" s="80" t="str">
        <f t="shared" si="38"/>
        <v>aws s3 cp s3://rtdc.mdm.uploadarchive.raw/RTDC4023/ "%USERPROFILE%\AppData\Local\Temp\OnboardLogs"\RTDC4023\2017-06-03 --exclude "*" --recursive --include "*20170603*" &amp; "%USERPROFILE%\Documents\GitHub\mrs-test-scripts\Headless Mode &amp; Sideloading\WalkAndUnGZ.bat" "%USERPROFILE%\AppData\Local\Temp\OnboardLogs"\RTDC4023\2017-06-03 &amp; 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</v>
      </c>
      <c r="AF100" s="77" t="str">
        <f t="shared" si="39"/>
        <v>"C:\Program Files (x86)\AstroGrep\AstroGrep.exe" /e /r /s /spath="%USERPROFILE%\AppData\Local\Temp\OnboardLogs" /stypes="app*4023*20170603*" /stext=" 22:.+((SYSTEM_STATE.+slice.+state.+changed )|(ment ac)|(multiple cpu faults)|(system.+state.+changed )|(\[timeout)|(PRM\|1\|D)|(kpr)|(kdp)|(train st.+moving)|(\|lc)|(penalty))"</v>
      </c>
      <c r="AG100" s="1" t="str">
        <f t="shared" si="40"/>
        <v>EC</v>
      </c>
      <c r="AH100" s="81" t="str">
        <f t="shared" si="41"/>
        <v>"%USERPROFILE%\Documents\GitHub\eaglep3\Utilities\RefineRTDCRunTimes.py" --tripid 188-03 --locoid 4023 --swversion DE.1.0.9.0 --startMP 204:232973 --initTime 2017-06-03T15:22:18 --startdatetime 2017-06-03T15:27:16 --delay 1 --endMP 204:491 --enddatetime 2017-06-03T16:05:29 --enforcementcount 0 &gt;&gt;C:\Users\stu\Documents\GitHub\eaglep3-reporting\EC\2017-06-03-refined-times.txt</v>
      </c>
      <c r="AI100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{"issue":{"subject":"","project_id":79,"tracker_id":40,"status_id":1,"priority_id":2,"assigned_to_id":23,"start_date":"2017-06-03","description":"","custom_fields":[{"id":1,"name":"Subdivision","value":"EC"},{"id":4,"name":"Milepost","value":"0.0491"},{"id":17,"name":"Train ID","value":"188-03"},{"id":16,"name":"Locomotive ID","value":"4023"},{"id":130,"name":"Impact","value":""},{"id":150,"name":"Time of Event (Mountain Time)","value":"16:05:29"},{"id":151,"name":"Denver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3"/>
        <v>start /low /b %USERPROFILE%\Documents\GitHub\eaglep3\Utilities\DownloadLogsFromS3.py --loco 4023 --day 2017-06-03</v>
      </c>
      <c r="AN100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768</v>
      </c>
      <c r="B101" s="7">
        <v>4026</v>
      </c>
      <c r="C101" s="21" t="s">
        <v>204</v>
      </c>
      <c r="D101" s="21" t="s">
        <v>360</v>
      </c>
      <c r="E101" s="13">
        <v>42889.613055555557</v>
      </c>
      <c r="F101" s="13">
        <v>42889.615011574075</v>
      </c>
      <c r="G101" s="7">
        <v>1</v>
      </c>
      <c r="H101" s="21" t="s">
        <v>530</v>
      </c>
      <c r="I101" s="13">
        <v>42889.640370370369</v>
      </c>
      <c r="J101" s="7">
        <v>0</v>
      </c>
      <c r="K101" s="92" t="str">
        <f t="shared" si="26"/>
        <v>4025/4026</v>
      </c>
      <c r="L101" s="21" t="str">
        <f>VLOOKUP(A101,'Trips&amp;Operators'!$C$1:$G$99999,5,FALSE)</f>
        <v>DAVIS MICHAEL</v>
      </c>
      <c r="M101" s="6">
        <f t="shared" si="27"/>
        <v>2.5358796294312924E-2</v>
      </c>
      <c r="N101" s="7">
        <f t="shared" si="28"/>
        <v>36.516666663810611</v>
      </c>
      <c r="O101" s="7"/>
      <c r="P101" s="7"/>
      <c r="Q101" s="22"/>
      <c r="R101" s="173"/>
      <c r="S101" s="176">
        <f t="shared" si="29"/>
        <v>1</v>
      </c>
      <c r="T101" s="202" t="str">
        <f t="shared" si="30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1"/>
        <v>https://d0f6bd738d7f1b3e5a7ca70fe4ff75f0.us-east-1.aws.found.io/app/kibana#/discover/Steve-Slow-Train-Analysis-(2080s-and-2083s)?_g=(refreshInterval:(display:Off,pause:!f,section:0,value:0),time:(from:'2017-06-03T13:42:48-0600',mode:absolute,to:'2017-06-03T16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04" t="str">
        <f t="shared" si="32"/>
        <v>N</v>
      </c>
      <c r="X101" s="204">
        <f t="shared" si="33"/>
        <v>1</v>
      </c>
      <c r="Y101" s="204">
        <f t="shared" si="34"/>
        <v>4.4699999999999997E-2</v>
      </c>
      <c r="Z101" s="204">
        <f t="shared" si="35"/>
        <v>23.331700000000001</v>
      </c>
      <c r="AA101" s="204">
        <f t="shared" si="36"/>
        <v>23.287000000000003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7"/>
        <v>0189-03</v>
      </c>
      <c r="AE101" s="80" t="str">
        <f t="shared" si="38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101" s="77" t="str">
        <f t="shared" si="39"/>
        <v>"C:\Program Files (x86)\AstroGrep\AstroGrep.exe" /e /r /s /spath="%USERPROFILE%\AppData\Local\Temp\OnboardLogs" /stypes="app*4026*20170603*" /stext=" 21:.+((SYSTEM_STATE.+slice.+state.+changed )|(ment ac)|(multiple cpu faults)|(system.+state.+changed )|(\[timeout)|(PRM\|1\|D)|(kpr)|(kdp)|(train st.+moving)|(\|lc)|(penalty))"</v>
      </c>
      <c r="AG101" s="1" t="str">
        <f t="shared" si="40"/>
        <v>EC</v>
      </c>
      <c r="AH101" s="81" t="str">
        <f t="shared" si="41"/>
        <v>"%USERPROFILE%\Documents\GitHub\eaglep3\Utilities\RefineRTDCRunTimes.py" --tripid 189-03 --locoid 4026 --swversion DE.1.0.9.0 --startMP 204:447 --initTime 2017-06-03T14:42:48 --startdatetime 2017-06-03T14:45:37 --delay 1 --endMP 204:233317 --enddatetime 2017-06-03T15:22:08 --enforcementcount 0 &gt;&gt;C:\Users\stu\Documents\GitHub\eaglep3-reporting\EC\2017-06-03-refined-times.txt</v>
      </c>
      <c r="AI101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{"issue":{"subject":"","project_id":79,"tracker_id":40,"status_id":1,"priority_id":2,"assigned_to_id":23,"start_date":"2017-06-03","description":"","custom_fields":[{"id":1,"name":"Subdivision","value":"EC"},{"id":4,"name":"Milepost","value":"23.3317"},{"id":17,"name":"Train ID","value":"189-03"},{"id":16,"name":"Locomotive ID","value":"4026"},{"id":130,"name":"Impact","value":""},{"id":150,"name":"Time of Event (Mountain Time)","value":"15:22:08"},{"id":151,"name":"Denver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3"/>
        <v>start /low /b %USERPROFILE%\Documents\GitHub\eaglep3\Utilities\DownloadLogsFromS3.py --loco 4026 --day 2017-06-03</v>
      </c>
      <c r="AN101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775</v>
      </c>
      <c r="B102" s="7">
        <v>4025</v>
      </c>
      <c r="C102" s="21" t="s">
        <v>204</v>
      </c>
      <c r="D102" s="21" t="s">
        <v>867</v>
      </c>
      <c r="E102" s="13">
        <v>42889.651608796295</v>
      </c>
      <c r="F102" s="13">
        <v>42889.654629629629</v>
      </c>
      <c r="G102" s="7">
        <v>1</v>
      </c>
      <c r="H102" s="21" t="s">
        <v>195</v>
      </c>
      <c r="I102" s="13">
        <v>42889.682268518518</v>
      </c>
      <c r="J102" s="7">
        <v>0</v>
      </c>
      <c r="K102" s="92" t="str">
        <f t="shared" si="26"/>
        <v>4025/4026</v>
      </c>
      <c r="L102" s="21" t="str">
        <f>VLOOKUP(A102,'Trips&amp;Operators'!$C$1:$G$99999,5,FALSE)</f>
        <v>DAVIS MICHAEL</v>
      </c>
      <c r="M102" s="6">
        <f t="shared" si="27"/>
        <v>2.7638888888759539E-2</v>
      </c>
      <c r="N102" s="7">
        <f t="shared" si="28"/>
        <v>39.799999999813735</v>
      </c>
      <c r="O102" s="7"/>
      <c r="P102" s="7"/>
      <c r="Q102" s="22"/>
      <c r="R102" s="173"/>
      <c r="S102" s="176">
        <f t="shared" si="29"/>
        <v>1</v>
      </c>
      <c r="T102" s="202" t="str">
        <f t="shared" si="30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1"/>
        <v>https://d0f6bd738d7f1b3e5a7ca70fe4ff75f0.us-east-1.aws.found.io/app/kibana#/discover/Steve-Slow-Train-Analysis-(2080s-and-2083s)?_g=(refreshInterval:(display:Off,pause:!f,section:0,value:0),time:(from:'2017-06-03T14:38:19-0600',mode:absolute,to:'2017-06-03T17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04" t="str">
        <f t="shared" si="32"/>
        <v>N</v>
      </c>
      <c r="X102" s="204">
        <f t="shared" si="33"/>
        <v>1</v>
      </c>
      <c r="Y102" s="204">
        <f t="shared" si="34"/>
        <v>23.301500000000001</v>
      </c>
      <c r="Z102" s="204">
        <f t="shared" si="35"/>
        <v>1.52E-2</v>
      </c>
      <c r="AA102" s="204">
        <f t="shared" si="36"/>
        <v>23.286300000000001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7"/>
        <v>0190-03</v>
      </c>
      <c r="AE102" s="80" t="str">
        <f t="shared" si="38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102" s="77" t="str">
        <f t="shared" si="39"/>
        <v>"C:\Program Files (x86)\AstroGrep\AstroGrep.exe" /e /r /s /spath="%USERPROFILE%\AppData\Local\Temp\OnboardLogs" /stypes="app*4025*20170603*" /stext=" 22:.+((SYSTEM_STATE.+slice.+state.+changed )|(ment ac)|(multiple cpu faults)|(system.+state.+changed )|(\[timeout)|(PRM\|1\|D)|(kpr)|(kdp)|(train st.+moving)|(\|lc)|(penalty))"</v>
      </c>
      <c r="AG102" s="1" t="str">
        <f t="shared" si="40"/>
        <v>EC</v>
      </c>
      <c r="AH102" s="81" t="str">
        <f t="shared" si="41"/>
        <v>"%USERPROFILE%\Documents\GitHub\eaglep3\Utilities\RefineRTDCRunTimes.py" --tripid 190-03 --locoid 4025 --swversion DE.1.0.9.0 --startMP 204:233015 --initTime 2017-06-03T15:38:19 --startdatetime 2017-06-03T15:42:40 --delay 1 --endMP 204:152 --enddatetime 2017-06-03T16:22:28 --enforcementcount 0 &gt;&gt;C:\Users\stu\Documents\GitHub\eaglep3-reporting\EC\2017-06-03-refined-times.txt</v>
      </c>
      <c r="AI102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{"issue":{"subject":"","project_id":79,"tracker_id":40,"status_id":1,"priority_id":2,"assigned_to_id":23,"start_date":"2017-06-03","description":"","custom_fields":[{"id":1,"name":"Subdivision","value":"EC"},{"id":4,"name":"Milepost","value":"0.0152"},{"id":17,"name":"Train ID","value":"190-03"},{"id":16,"name":"Locomotive ID","value":"4025"},{"id":130,"name":"Impact","value":""},{"id":150,"name":"Time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5" t="str">
        <f t="shared" si="43"/>
        <v>start /low /b %USERPROFILE%\Documents\GitHub\eaglep3\Utilities\DownloadLogsFromS3.py --loco 4025 --day 2017-06-03</v>
      </c>
      <c r="AN102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3" spans="1:91" s="20" customFormat="1" x14ac:dyDescent="0.25">
      <c r="A103" s="32" t="s">
        <v>635</v>
      </c>
      <c r="B103" s="7">
        <v>4014</v>
      </c>
      <c r="C103" s="21" t="s">
        <v>204</v>
      </c>
      <c r="D103" s="21" t="s">
        <v>590</v>
      </c>
      <c r="E103" s="13">
        <v>42889.62059027778</v>
      </c>
      <c r="F103" s="13">
        <v>42889.625173611108</v>
      </c>
      <c r="G103" s="7">
        <v>1</v>
      </c>
      <c r="H103" s="21" t="s">
        <v>928</v>
      </c>
      <c r="I103" s="13">
        <v>42889.651250000003</v>
      </c>
      <c r="J103" s="7">
        <v>0</v>
      </c>
      <c r="K103" s="92" t="str">
        <f t="shared" si="26"/>
        <v>4013/4014</v>
      </c>
      <c r="L103" s="21" t="str">
        <f>VLOOKUP(A103,'Trips&amp;Operators'!$C$1:$G$99999,5,FALSE)</f>
        <v>BRANDNER MELINDA</v>
      </c>
      <c r="M103" s="6">
        <f t="shared" si="27"/>
        <v>2.6076388894580305E-2</v>
      </c>
      <c r="N103" s="7">
        <f t="shared" si="28"/>
        <v>37.550000008195639</v>
      </c>
      <c r="O103" s="7"/>
      <c r="P103" s="7"/>
      <c r="Q103" s="22"/>
      <c r="R103" s="173"/>
      <c r="S103" s="176">
        <f t="shared" si="29"/>
        <v>1</v>
      </c>
      <c r="T103" s="202" t="str">
        <f t="shared" si="30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1"/>
        <v>https://d0f6bd738d7f1b3e5a7ca70fe4ff75f0.us-east-1.aws.found.io/app/kibana#/discover/Steve-Slow-Train-Analysis-(2080s-and-2083s)?_g=(refreshInterval:(display:Off,pause:!f,section:0,value:0),time:(from:'2017-06-03T13:53:39-0600',mode:absolute,to:'2017-06-03T16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3" s="204" t="str">
        <f t="shared" si="32"/>
        <v>N</v>
      </c>
      <c r="X103" s="204">
        <f t="shared" si="33"/>
        <v>1</v>
      </c>
      <c r="Y103" s="204">
        <f t="shared" si="34"/>
        <v>4.3099999999999999E-2</v>
      </c>
      <c r="Z103" s="204">
        <f t="shared" si="35"/>
        <v>23.337199999999999</v>
      </c>
      <c r="AA103" s="204">
        <f t="shared" si="36"/>
        <v>23.2941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7"/>
        <v>0191-03</v>
      </c>
      <c r="AE103" s="80" t="str">
        <f t="shared" si="38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103" s="77" t="str">
        <f t="shared" si="39"/>
        <v>"C:\Program Files (x86)\AstroGrep\AstroGrep.exe" /e /r /s /spath="%USERPROFILE%\AppData\Local\Temp\OnboardLogs" /stypes="app*4014*20170603*" /stext=" 21:.+((SYSTEM_STATE.+slice.+state.+changed )|(ment ac)|(multiple cpu faults)|(system.+state.+changed )|(\[timeout)|(PRM\|1\|D)|(kpr)|(kdp)|(train st.+moving)|(\|lc)|(penalty))"</v>
      </c>
      <c r="AG103" s="1" t="str">
        <f t="shared" si="40"/>
        <v>EC</v>
      </c>
      <c r="AH103" s="81" t="str">
        <f t="shared" si="41"/>
        <v>"%USERPROFILE%\Documents\GitHub\eaglep3\Utilities\RefineRTDCRunTimes.py" --tripid 191-03 --locoid 4014 --swversion DE.1.0.9.0 --startMP 204:431 --initTime 2017-06-03T14:53:39 --startdatetime 2017-06-03T15:00:15 --delay 1 --endMP 204:233372 --enddatetime 2017-06-03T15:37:48 --enforcementcount 0 &gt;&gt;C:\Users\stu\Documents\GitHub\eaglep3-reporting\EC\2017-06-03-refined-times.txt</v>
      </c>
      <c r="AI103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{"issue":{"subject":"","project_id":79,"tracker_id":40,"status_id":1,"priority_id":2,"assigned_to_id":23,"start_date":"2017-06-03","description":"","custom_fields":[{"id":1,"name":"Subdivision","value":"EC"},{"id":4,"name":"Milepost","value":"23.3372"},{"id":17,"name":"Train ID","value":"191-03"},{"id":16,"name":"Locomotive ID","value":"4014"},{"id":130,"name":"Impact","value":""},{"id":150,"name":"Time of Event (Mountain Time)","value":"15:37:48"},{"id":151,"name":"Denver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3"/>
        <v>start /low /b %USERPROFILE%\Documents\GitHub\eaglep3\Utilities\DownloadLogsFromS3.py --loco 4014 --day 2017-06-03</v>
      </c>
      <c r="AN103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777</v>
      </c>
      <c r="B104" s="7">
        <v>4013</v>
      </c>
      <c r="C104" s="21" t="s">
        <v>204</v>
      </c>
      <c r="D104" s="21" t="s">
        <v>929</v>
      </c>
      <c r="E104" s="13">
        <v>42889.659826388888</v>
      </c>
      <c r="F104" s="13">
        <v>42889.664814814816</v>
      </c>
      <c r="G104" s="7">
        <v>1</v>
      </c>
      <c r="H104" s="21" t="s">
        <v>477</v>
      </c>
      <c r="I104" s="13">
        <v>42889.692650462966</v>
      </c>
      <c r="J104" s="7">
        <v>0</v>
      </c>
      <c r="K104" s="92" t="str">
        <f t="shared" si="26"/>
        <v>4013/4014</v>
      </c>
      <c r="L104" s="21" t="str">
        <f>VLOOKUP(A104,'Trips&amp;Operators'!$C$1:$G$99999,5,FALSE)</f>
        <v>BRANDNER MELINDA</v>
      </c>
      <c r="M104" s="6">
        <f t="shared" si="27"/>
        <v>2.7835648150357883E-2</v>
      </c>
      <c r="N104" s="7">
        <f t="shared" si="28"/>
        <v>40.083333336515352</v>
      </c>
      <c r="O104" s="7"/>
      <c r="P104" s="7"/>
      <c r="Q104" s="22"/>
      <c r="R104" s="173"/>
      <c r="S104" s="176">
        <f t="shared" si="29"/>
        <v>1</v>
      </c>
      <c r="T104" s="202" t="str">
        <f t="shared" si="30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1"/>
        <v>https://d0f6bd738d7f1b3e5a7ca70fe4ff75f0.us-east-1.aws.found.io/app/kibana#/discover/Steve-Slow-Train-Analysis-(2080s-and-2083s)?_g=(refreshInterval:(display:Off,pause:!f,section:0,value:0),time:(from:'2017-06-03T14:50:09-0600',mode:absolute,to:'2017-06-03T17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4" s="204" t="str">
        <f t="shared" si="32"/>
        <v>N</v>
      </c>
      <c r="X104" s="204">
        <f t="shared" si="33"/>
        <v>1</v>
      </c>
      <c r="Y104" s="204">
        <f t="shared" si="34"/>
        <v>23.308599999999998</v>
      </c>
      <c r="Z104" s="204">
        <f t="shared" si="35"/>
        <v>1.38E-2</v>
      </c>
      <c r="AA104" s="204">
        <f t="shared" si="36"/>
        <v>23.294799999999999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7"/>
        <v>0192-03</v>
      </c>
      <c r="AE104" s="80" t="str">
        <f t="shared" si="38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104" s="77" t="str">
        <f t="shared" si="39"/>
        <v>"C:\Program Files (x86)\AstroGrep\AstroGrep.exe" /e /r /s /spath="%USERPROFILE%\AppData\Local\Temp\OnboardLogs" /stypes="app*4013*20170603*" /stext=" 22:.+((SYSTEM_STATE.+slice.+state.+changed )|(ment ac)|(multiple cpu faults)|(system.+state.+changed )|(\[timeout)|(PRM\|1\|D)|(kpr)|(kdp)|(train st.+moving)|(\|lc)|(penalty))"</v>
      </c>
      <c r="AG104" s="1" t="str">
        <f t="shared" si="40"/>
        <v>EC</v>
      </c>
      <c r="AH104" s="81" t="str">
        <f t="shared" si="41"/>
        <v>"%USERPROFILE%\Documents\GitHub\eaglep3\Utilities\RefineRTDCRunTimes.py" --tripid 192-03 --locoid 4013 --swversion DE.1.0.9.0 --startMP 204:233086 --initTime 2017-06-03T15:50:09 --startdatetime 2017-06-03T15:57:20 --delay 1 --endMP 204:138 --enddatetime 2017-06-03T16:37:25 --enforcementcount 0 &gt;&gt;C:\Users\stu\Documents\GitHub\eaglep3-reporting\EC\2017-06-03-refined-times.txt</v>
      </c>
      <c r="AI104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{"issue":{"subject":"","project_id":79,"tracker_id":40,"status_id":1,"priority_id":2,"assigned_to_id":23,"start_date":"2017-06-03","description":"","custom_fields":[{"id":1,"name":"Subdivision","value":"EC"},{"id":4,"name":"Milepost","value":"0.0138"},{"id":17,"name":"Train ID","value":"192-03"},{"id":16,"name":"Locomotive ID","value":"4013"},{"id":130,"name":"Impact","value":""},{"id":150,"name":"Time of Event (Mountain Time)","value":"16:37:25"},{"id":151,"name":"Denver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3"/>
        <v>start /low /b %USERPROFILE%\Documents\GitHub\eaglep3\Utilities\DownloadLogsFromS3.py --loco 4013 --day 2017-06-03</v>
      </c>
      <c r="AN104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771</v>
      </c>
      <c r="B105" s="7">
        <v>4004</v>
      </c>
      <c r="C105" s="21" t="s">
        <v>204</v>
      </c>
      <c r="D105" s="21" t="s">
        <v>930</v>
      </c>
      <c r="E105" s="13">
        <v>42889.631388888891</v>
      </c>
      <c r="F105" s="13">
        <v>42889.635914351849</v>
      </c>
      <c r="G105" s="7">
        <v>1</v>
      </c>
      <c r="H105" s="21" t="s">
        <v>931</v>
      </c>
      <c r="I105" s="13">
        <v>42889.660567129627</v>
      </c>
      <c r="J105" s="7">
        <v>0</v>
      </c>
      <c r="K105" s="92" t="str">
        <f t="shared" si="26"/>
        <v>4003/4004</v>
      </c>
      <c r="L105" s="21" t="str">
        <f>VLOOKUP(A105,'Trips&amp;Operators'!$C$1:$G$99999,5,FALSE)</f>
        <v>BRUDER RICHARD</v>
      </c>
      <c r="M105" s="6">
        <f t="shared" si="27"/>
        <v>2.4652777778101154E-2</v>
      </c>
      <c r="N105" s="7">
        <f t="shared" si="28"/>
        <v>35.500000000465661</v>
      </c>
      <c r="O105" s="7"/>
      <c r="P105" s="7"/>
      <c r="Q105" s="22"/>
      <c r="R105" s="173"/>
      <c r="S105" s="176">
        <f t="shared" si="29"/>
        <v>1</v>
      </c>
      <c r="T105" s="202" t="str">
        <f t="shared" si="30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1"/>
        <v>https://d0f6bd738d7f1b3e5a7ca70fe4ff75f0.us-east-1.aws.found.io/app/kibana#/discover/Steve-Slow-Train-Analysis-(2080s-and-2083s)?_g=(refreshInterval:(display:Off,pause:!f,section:0,value:0),time:(from:'2017-06-03T14:09:12-0600',mode:absolute,to:'2017-06-03T16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204" t="str">
        <f t="shared" si="32"/>
        <v>N</v>
      </c>
      <c r="X105" s="204">
        <f t="shared" si="33"/>
        <v>1</v>
      </c>
      <c r="Y105" s="204">
        <f t="shared" si="34"/>
        <v>7.7399999999999997E-2</v>
      </c>
      <c r="Z105" s="204">
        <f t="shared" si="35"/>
        <v>23.332899999999999</v>
      </c>
      <c r="AA105" s="204">
        <f t="shared" si="36"/>
        <v>23.255499999999998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7"/>
        <v>0193-03</v>
      </c>
      <c r="AE105" s="80" t="str">
        <f t="shared" si="38"/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105" s="77" t="str">
        <f t="shared" si="39"/>
        <v>"C:\Program Files (x86)\AstroGrep\AstroGrep.exe" /e /r /s /spath="%USERPROFILE%\AppData\Local\Temp\OnboardLogs" /stypes="app*4004*20170603*" /stext=" 21:.+((SYSTEM_STATE.+slice.+state.+changed )|(ment ac)|(multiple cpu faults)|(system.+state.+changed )|(\[timeout)|(PRM\|1\|D)|(kpr)|(kdp)|(train st.+moving)|(\|lc)|(penalty))"</v>
      </c>
      <c r="AG105" s="1" t="str">
        <f t="shared" si="40"/>
        <v>EC</v>
      </c>
      <c r="AH105" s="81" t="str">
        <f t="shared" si="41"/>
        <v>"%USERPROFILE%\Documents\GitHub\eaglep3\Utilities\RefineRTDCRunTimes.py" --tripid 193-03 --locoid 4004 --swversion DE.1.0.9.0 --startMP 204:774 --initTime 2017-06-03T15:09:12 --startdatetime 2017-06-03T15:15:43 --delay 1 --endMP 204:233329 --enddatetime 2017-06-03T15:51:13 --enforcementcount 0 &gt;&gt;C:\Users\stu\Documents\GitHub\eaglep3-reporting\EC\2017-06-03-refined-times.txt</v>
      </c>
      <c r="AI105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{"issue":{"subject":"","project_id":79,"tracker_id":40,"status_id":1,"priority_id":2,"assigned_to_id":23,"start_date":"2017-06-03","description":"","custom_fields":[{"id":1,"name":"Subdivision","value":"EC"},{"id":4,"name":"Milepost","value":"23.3329"},{"id":17,"name":"Train ID","value":"193-03"},{"id":16,"name":"Locomotive ID","value":"4004"},{"id":130,"name":"Impact","value":""},{"id":150,"name":"Time of Event (Mountain Time)","value":"15:51:13"},{"id":151,"name":"Denver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3"/>
        <v>start /low /b %USERPROFILE%\Documents\GitHub\eaglep3\Utilities\DownloadLogsFromS3.py --loco 4004 --day 2017-06-03</v>
      </c>
      <c r="AN105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779</v>
      </c>
      <c r="B106" s="7">
        <v>4003</v>
      </c>
      <c r="C106" s="21" t="s">
        <v>204</v>
      </c>
      <c r="D106" s="21" t="s">
        <v>496</v>
      </c>
      <c r="E106" s="13">
        <v>42889.670312499999</v>
      </c>
      <c r="F106" s="13">
        <v>42889.67627314815</v>
      </c>
      <c r="G106" s="7">
        <v>1</v>
      </c>
      <c r="H106" s="21" t="s">
        <v>196</v>
      </c>
      <c r="I106" s="13">
        <v>42889.702048611114</v>
      </c>
      <c r="J106" s="7">
        <v>0</v>
      </c>
      <c r="K106" s="92" t="str">
        <f t="shared" si="26"/>
        <v>4003/4004</v>
      </c>
      <c r="L106" s="21" t="str">
        <f>VLOOKUP(A106,'Trips&amp;Operators'!$C$1:$G$99999,5,FALSE)</f>
        <v>BRUDER RICHARD</v>
      </c>
      <c r="M106" s="6">
        <f t="shared" si="27"/>
        <v>2.5775462963792961E-2</v>
      </c>
      <c r="N106" s="7">
        <f t="shared" si="28"/>
        <v>37.116666667861864</v>
      </c>
      <c r="O106" s="7"/>
      <c r="P106" s="7"/>
      <c r="Q106" s="22"/>
      <c r="R106" s="173"/>
      <c r="S106" s="176">
        <f t="shared" si="29"/>
        <v>1</v>
      </c>
      <c r="T106" s="202" t="str">
        <f t="shared" si="30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1"/>
        <v>https://d0f6bd738d7f1b3e5a7ca70fe4ff75f0.us-east-1.aws.found.io/app/kibana#/discover/Steve-Slow-Train-Analysis-(2080s-and-2083s)?_g=(refreshInterval:(display:Off,pause:!f,section:0,value:0),time:(from:'2017-06-03T15:05:15-0600',mode:absolute,to:'2017-06-03T17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204" t="str">
        <f t="shared" si="32"/>
        <v>N</v>
      </c>
      <c r="X106" s="204">
        <f t="shared" si="33"/>
        <v>1</v>
      </c>
      <c r="Y106" s="204">
        <f t="shared" si="34"/>
        <v>23.3002</v>
      </c>
      <c r="Z106" s="204">
        <f t="shared" si="35"/>
        <v>1.5800000000000002E-2</v>
      </c>
      <c r="AA106" s="204">
        <f t="shared" si="36"/>
        <v>23.284400000000002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7"/>
        <v>0194-03</v>
      </c>
      <c r="AE106" s="80" t="str">
        <f t="shared" si="38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106" s="77" t="str">
        <f t="shared" si="39"/>
        <v>"C:\Program Files (x86)\AstroGrep\AstroGrep.exe" /e /r /s /spath="%USERPROFILE%\AppData\Local\Temp\OnboardLogs" /stypes="app*4003*20170603*" /stext=" 22:.+((SYSTEM_STATE.+slice.+state.+changed )|(ment ac)|(multiple cpu faults)|(system.+state.+changed )|(\[timeout)|(PRM\|1\|D)|(kpr)|(kdp)|(train st.+moving)|(\|lc)|(penalty))"</v>
      </c>
      <c r="AG106" s="1" t="str">
        <f t="shared" si="40"/>
        <v>EC</v>
      </c>
      <c r="AH106" s="81" t="str">
        <f t="shared" si="41"/>
        <v>"%USERPROFILE%\Documents\GitHub\eaglep3\Utilities\RefineRTDCRunTimes.py" --tripid 194-03 --locoid 4003 --swversion DE.1.0.9.0 --startMP 204:233002 --initTime 2017-06-03T16:05:15 --startdatetime 2017-06-03T16:13:50 --delay 1 --endMP 204:158 --enddatetime 2017-06-03T16:50:57 --enforcementcount 0 &gt;&gt;C:\Users\stu\Documents\GitHub\eaglep3-reporting\EC\2017-06-03-refined-times.txt</v>
      </c>
      <c r="AI106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ID","value":"194-03"},{"id":16,"name":"Locomotive ID","value":"4003"},{"id":130,"name":"Impact","value":""},{"id":150,"name":"Time of Event (Mountain Time)","value":"16:50:57"},{"id":151,"name":"Denver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3"/>
        <v>start /low /b %USERPROFILE%\Documents\GitHub\eaglep3\Utilities\DownloadLogsFromS3.py --loco 4003 --day 2017-06-03</v>
      </c>
      <c r="AN106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773</v>
      </c>
      <c r="B107" s="7">
        <v>4008</v>
      </c>
      <c r="C107" s="21" t="s">
        <v>204</v>
      </c>
      <c r="D107" s="21" t="s">
        <v>368</v>
      </c>
      <c r="E107" s="13">
        <v>42889.641851851855</v>
      </c>
      <c r="F107" s="13">
        <v>42889.645983796298</v>
      </c>
      <c r="G107" s="7">
        <v>1</v>
      </c>
      <c r="H107" s="21" t="s">
        <v>494</v>
      </c>
      <c r="I107" s="13">
        <v>42889.67083333333</v>
      </c>
      <c r="J107" s="7">
        <v>0</v>
      </c>
      <c r="K107" s="92" t="str">
        <f t="shared" si="26"/>
        <v>4007/4008</v>
      </c>
      <c r="L107" s="21" t="str">
        <f>VLOOKUP(A107,'Trips&amp;Operators'!$C$1:$G$99999,5,FALSE)</f>
        <v>WHITED DUSTIN</v>
      </c>
      <c r="M107" s="6">
        <f t="shared" si="27"/>
        <v>2.4849537032423541E-2</v>
      </c>
      <c r="N107" s="7">
        <f t="shared" si="28"/>
        <v>35.783333326689899</v>
      </c>
      <c r="O107" s="7"/>
      <c r="P107" s="7"/>
      <c r="Q107" s="22"/>
      <c r="R107" s="173"/>
      <c r="S107" s="176">
        <f t="shared" si="29"/>
        <v>1</v>
      </c>
      <c r="T107" s="202" t="str">
        <f t="shared" si="30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1"/>
        <v>https://d0f6bd738d7f1b3e5a7ca70fe4ff75f0.us-east-1.aws.found.io/app/kibana#/discover/Steve-Slow-Train-Analysis-(2080s-and-2083s)?_g=(refreshInterval:(display:Off,pause:!f,section:0,value:0),time:(from:'2017-06-03T14:24:16-0600',mode:absolute,to:'2017-06-03T17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204" t="str">
        <f t="shared" si="32"/>
        <v>N</v>
      </c>
      <c r="X107" s="204">
        <f t="shared" si="33"/>
        <v>1</v>
      </c>
      <c r="Y107" s="204">
        <f t="shared" si="34"/>
        <v>4.5499999999999999E-2</v>
      </c>
      <c r="Z107" s="204">
        <f t="shared" si="35"/>
        <v>23.329499999999999</v>
      </c>
      <c r="AA107" s="204">
        <f t="shared" si="36"/>
        <v>23.283999999999999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7"/>
        <v>0195-03</v>
      </c>
      <c r="AE107" s="80" t="str">
        <f t="shared" si="38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107" s="77" t="str">
        <f t="shared" si="39"/>
        <v>"C:\Program Files (x86)\AstroGrep\AstroGrep.exe" /e /r /s /spath="%USERPROFILE%\AppData\Local\Temp\OnboardLogs" /stypes="app*4008*20170603*" /stext=" 22:.+((SYSTEM_STATE.+slice.+state.+changed )|(ment ac)|(multiple cpu faults)|(system.+state.+changed )|(\[timeout)|(PRM\|1\|D)|(kpr)|(kdp)|(train st.+moving)|(\|lc)|(penalty))"</v>
      </c>
      <c r="AG107" s="1" t="str">
        <f t="shared" si="40"/>
        <v>EC</v>
      </c>
      <c r="AH107" s="81" t="str">
        <f t="shared" si="41"/>
        <v>"%USERPROFILE%\Documents\GitHub\eaglep3\Utilities\RefineRTDCRunTimes.py" --tripid 195-03 --locoid 4008 --swversion DE.1.0.9.0 --startMP 204:455 --initTime 2017-06-03T15:24:16 --startdatetime 2017-06-03T15:30:13 --delay 1 --endMP 204:233295 --enddatetime 2017-06-03T16:06:00 --enforcementcount 0 &gt;&gt;C:\Users\stu\Documents\GitHub\eaglep3-reporting\EC\2017-06-03-refined-times.txt</v>
      </c>
      <c r="AI107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{"issue":{"subject":"","project_id":79,"tracker_id":40,"status_id":1,"priority_id":2,"assigned_to_id":23,"start_date":"2017-06-03","description":"","custom_fields":[{"id":1,"name":"Subdivision","value":"EC"},{"id":4,"name":"Milepost","value":"23.3295"},{"id":17,"name":"Train ID","value":"195-03"},{"id":16,"name":"Locomotive ID","value":"4008"},{"id":130,"name":"Impact","value":""},{"id":150,"name":"Time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3"/>
        <v>start /low /b %USERPROFILE%\Documents\GitHub\eaglep3\Utilities\DownloadLogsFromS3.py --loco 4008 --day 2017-06-03</v>
      </c>
      <c r="AN107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2" t="s">
        <v>782</v>
      </c>
      <c r="B108" s="7">
        <v>4007</v>
      </c>
      <c r="C108" s="21" t="s">
        <v>204</v>
      </c>
      <c r="D108" s="21" t="s">
        <v>405</v>
      </c>
      <c r="E108" s="13">
        <v>42889.680069444446</v>
      </c>
      <c r="F108" s="13">
        <v>42889.685624999998</v>
      </c>
      <c r="G108" s="7">
        <v>1</v>
      </c>
      <c r="H108" s="21" t="s">
        <v>932</v>
      </c>
      <c r="I108" s="13">
        <v>42889.711851851855</v>
      </c>
      <c r="J108" s="7">
        <v>0</v>
      </c>
      <c r="K108" s="92" t="str">
        <f t="shared" si="26"/>
        <v>4007/4008</v>
      </c>
      <c r="L108" s="21" t="str">
        <f>VLOOKUP(A108,'Trips&amp;Operators'!$C$1:$G$99999,5,FALSE)</f>
        <v>WHITED DUSTIN</v>
      </c>
      <c r="M108" s="6">
        <f t="shared" si="27"/>
        <v>2.6226851856335998E-2</v>
      </c>
      <c r="N108" s="7">
        <f t="shared" si="28"/>
        <v>37.766666673123837</v>
      </c>
      <c r="O108" s="7"/>
      <c r="P108" s="7"/>
      <c r="Q108" s="22"/>
      <c r="R108" s="173"/>
      <c r="S108" s="176">
        <f t="shared" si="29"/>
        <v>1</v>
      </c>
      <c r="T108" s="202" t="str">
        <f t="shared" si="30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1"/>
        <v>https://d0f6bd738d7f1b3e5a7ca70fe4ff75f0.us-east-1.aws.found.io/app/kibana#/discover/Steve-Slow-Train-Analysis-(2080s-and-2083s)?_g=(refreshInterval:(display:Off,pause:!f,section:0,value:0),time:(from:'2017-06-03T15:19:18-0600',mode:absolute,to:'2017-06-03T18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204" t="str">
        <f t="shared" si="32"/>
        <v>N</v>
      </c>
      <c r="X108" s="204">
        <f t="shared" si="33"/>
        <v>1</v>
      </c>
      <c r="Y108" s="204">
        <f t="shared" si="34"/>
        <v>23.298200000000001</v>
      </c>
      <c r="Z108" s="204">
        <f t="shared" si="35"/>
        <v>4.82E-2</v>
      </c>
      <c r="AA108" s="204">
        <f t="shared" si="36"/>
        <v>23.25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7"/>
        <v>0196-03</v>
      </c>
      <c r="AE108" s="80" t="str">
        <f t="shared" si="38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108" s="77" t="str">
        <f t="shared" si="39"/>
        <v>"C:\Program Files (x86)\AstroGrep\AstroGrep.exe" /e /r /s /spath="%USERPROFILE%\AppData\Local\Temp\OnboardLogs" /stypes="app*4007*20170603*" /stext=" 23:.+((SYSTEM_STATE.+slice.+state.+changed )|(ment ac)|(multiple cpu faults)|(system.+state.+changed )|(\[timeout)|(PRM\|1\|D)|(kpr)|(kdp)|(train st.+moving)|(\|lc)|(penalty))"</v>
      </c>
      <c r="AG108" s="1" t="str">
        <f t="shared" si="40"/>
        <v>EC</v>
      </c>
      <c r="AH108" s="81" t="str">
        <f t="shared" si="41"/>
        <v>"%USERPROFILE%\Documents\GitHub\eaglep3\Utilities\RefineRTDCRunTimes.py" --tripid 196-03 --locoid 4007 --swversion DE.1.0.9.0 --startMP 204:232982 --initTime 2017-06-03T16:19:18 --startdatetime 2017-06-03T16:27:18 --delay 1 --endMP 204:482 --enddatetime 2017-06-03T17:05:04 --enforcementcount 0 &gt;&gt;C:\Users\stu\Documents\GitHub\eaglep3-reporting\EC\2017-06-03-refined-times.txt</v>
      </c>
      <c r="AI108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{"issue":{"subject":"","project_id":79,"tracker_id":40,"status_id":1,"priority_id":2,"assigned_to_id":23,"start_date":"2017-06-03","description":"","custom_fields":[{"id":1,"name":"Subdivision","value":"EC"},{"id":4,"name":"Milepost","value":"0.0482"},{"id":17,"name":"Train ID","value":"196-03"},{"id":16,"name":"Locomotive ID","value":"4007"},{"id":130,"name":"Impact","value":""},{"id":150,"name":"Time of Event (Mountain Time)","value":"17:05:04"},{"id":151,"name":"Denver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7"/>
      <c r="AL108" s="47"/>
      <c r="AM108" s="145" t="str">
        <f t="shared" si="43"/>
        <v>start /low /b %USERPROFILE%\Documents\GitHub\eaglep3\Utilities\DownloadLogsFromS3.py --loco 4007 --day 2017-06-03</v>
      </c>
      <c r="AN108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2" t="s">
        <v>776</v>
      </c>
      <c r="B109" s="7">
        <v>4050</v>
      </c>
      <c r="C109" s="21" t="s">
        <v>204</v>
      </c>
      <c r="D109" s="21" t="s">
        <v>933</v>
      </c>
      <c r="E109" s="13">
        <v>42889.652719907404</v>
      </c>
      <c r="F109" s="13">
        <v>42889.66034722222</v>
      </c>
      <c r="G109" s="7">
        <v>10</v>
      </c>
      <c r="H109" s="21" t="s">
        <v>400</v>
      </c>
      <c r="I109" s="13">
        <v>42889.681689814817</v>
      </c>
      <c r="J109" s="7">
        <v>0</v>
      </c>
      <c r="K109" s="92" t="str">
        <f t="shared" si="26"/>
        <v>4049/4050</v>
      </c>
      <c r="L109" s="21" t="str">
        <f>VLOOKUP(A109,'Trips&amp;Operators'!$C$1:$G$99999,5,FALSE)</f>
        <v>DELGADO DIANAH</v>
      </c>
      <c r="M109" s="6">
        <f t="shared" si="27"/>
        <v>2.1342592597648036E-2</v>
      </c>
      <c r="N109" s="7"/>
      <c r="O109" s="7"/>
      <c r="P109" s="7">
        <f>24*60*SUM($M109:$M109)</f>
        <v>30.733333340613171</v>
      </c>
      <c r="Q109" s="22"/>
      <c r="R109" s="173" t="s">
        <v>615</v>
      </c>
      <c r="S109" s="176">
        <f t="shared" si="29"/>
        <v>1</v>
      </c>
      <c r="T109" s="202" t="str">
        <f t="shared" si="30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1"/>
        <v>https://d0f6bd738d7f1b3e5a7ca70fe4ff75f0.us-east-1.aws.found.io/app/kibana#/discover/Steve-Slow-Train-Analysis-(2080s-and-2083s)?_g=(refreshInterval:(display:Off,pause:!f,section:0,value:0),time:(from:'2017-06-03T14:39:55-0600',mode:absolute,to:'2017-06-03T17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9" s="204" t="str">
        <f t="shared" si="32"/>
        <v>Y</v>
      </c>
      <c r="X109" s="204">
        <f t="shared" si="33"/>
        <v>1</v>
      </c>
      <c r="Y109" s="204">
        <f t="shared" ref="Y109:Y121" si="45">RIGHT(D109,LEN(D109)-4)/10000</f>
        <v>1.9109</v>
      </c>
      <c r="Z109" s="204">
        <f t="shared" si="35"/>
        <v>23.3293</v>
      </c>
      <c r="AA109" s="204">
        <f t="shared" si="36"/>
        <v>21.418399999999998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7"/>
        <v>0197-03</v>
      </c>
      <c r="AE109" s="80" t="str">
        <f t="shared" si="38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109" s="77" t="str">
        <f t="shared" si="39"/>
        <v>"C:\Program Files (x86)\AstroGrep\AstroGrep.exe" /e /r /s /spath="%USERPROFILE%\AppData\Local\Temp\OnboardLogs" /stypes="app*4050*20170603*" /stext=" 22:.+((SYSTEM_STATE.+slice.+state.+changed )|(ment ac)|(multiple cpu faults)|(system.+state.+changed )|(\[timeout)|(PRM\|1\|D)|(kpr)|(kdp)|(train st.+moving)|(\|lc)|(penalty))"</v>
      </c>
      <c r="AG109" s="1" t="str">
        <f t="shared" si="40"/>
        <v>EC</v>
      </c>
      <c r="AH109" s="81" t="str">
        <f t="shared" si="41"/>
        <v>"%USERPROFILE%\Documents\GitHub\eaglep3\Utilities\RefineRTDCRunTimes.py" --tripid 197-03 --locoid 4050 --swversion DE.1.0.9.0 --startMP 204:19109 --initTime 2017-06-03T15:39:55 --startdatetime 2017-06-03T15:50:54 --delay 10 --endMP 204:233293 --enddatetime 2017-06-03T16:21:38 --enforcementcount 0 &gt;&gt;C:\Users\stu\Documents\GitHub\eaglep3-reporting\EC\2017-06-03-refined-times.txt</v>
      </c>
      <c r="AI109" s="99" t="str">
        <f t="shared" si="42"/>
        <v>echo {"issue":{"subject":"Poor GPS at DUS","project_id":79,"tracker_id":40,"status_id":1,"priority_id":2,"assigned_to_id":23,"start_date":"2017-06-03","description":"","custom_fields":[{"id":1,"name":"Subdivision","value":"EC"},{"id":4,"name":"Milepost","value":"23.3293"},{"id":17,"name":"Train ID","value":"197-03"},{"id":16,"name":"Locomotive ID","value":"4050"},{"id":130,"name":"Impact","value":""},{"id":150,"name":"Time of Event (Mountain Time)","value":"16:21:38"},{"id":151,"name":"Denver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3"/>
        <v>start /low /b %USERPROFILE%\Documents\GitHub\eaglep3\Utilities\DownloadLogsFromS3.py --loco 4050 --day 2017-06-03</v>
      </c>
      <c r="AN109" s="154" t="str">
        <f t="shared" si="44"/>
        <v>echo {"issue":{"subject":"Poor GPS at DUS","project_id":30,"tracker_id":4,"status_id":1,"priority_id":1,"assigned_to_id":10,"start_date":"2017-06-03","description":"","custom_fields":[{"id":30,"name":"Category","value":"Issue"},{"id":3,"name":"Functional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776</v>
      </c>
      <c r="B110" s="7">
        <v>4050</v>
      </c>
      <c r="C110" s="21" t="s">
        <v>204</v>
      </c>
      <c r="D110" s="21" t="s">
        <v>934</v>
      </c>
      <c r="E110" s="13">
        <v>42889.652719907404</v>
      </c>
      <c r="F110" s="13">
        <v>42889.66034722222</v>
      </c>
      <c r="G110" s="7">
        <v>10</v>
      </c>
      <c r="H110" s="21" t="s">
        <v>400</v>
      </c>
      <c r="I110" s="13">
        <v>42889.681689814817</v>
      </c>
      <c r="J110" s="7">
        <v>0</v>
      </c>
      <c r="K110" s="92" t="str">
        <f t="shared" si="26"/>
        <v>4049/4050</v>
      </c>
      <c r="L110" s="21" t="str">
        <f>VLOOKUP(A110,'Trips&amp;Operators'!$C$1:$G$99999,5,FALSE)</f>
        <v>DELGADO DIANAH</v>
      </c>
      <c r="M110" s="6">
        <f t="shared" si="27"/>
        <v>2.1342592597648036E-2</v>
      </c>
      <c r="N110" s="7"/>
      <c r="O110" s="7"/>
      <c r="P110" s="7"/>
      <c r="Q110" s="22"/>
      <c r="R110" s="173"/>
      <c r="S110" s="176"/>
      <c r="T110" s="202" t="str">
        <f t="shared" si="30"/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1"/>
        <v>https://d0f6bd738d7f1b3e5a7ca70fe4ff75f0.us-east-1.aws.found.io/app/kibana#/discover/Steve-Slow-Train-Analysis-(2080s-and-2083s)?_g=(refreshInterval:(display:Off,pause:!f,section:0,value:0),time:(from:'2017-06-03T14:39:55-0600',mode:absolute,to:'2017-06-03T17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0" s="204" t="str">
        <f t="shared" si="32"/>
        <v>Y</v>
      </c>
      <c r="X110" s="204">
        <f t="shared" si="33"/>
        <v>0</v>
      </c>
      <c r="Y110" s="204">
        <f t="shared" si="45"/>
        <v>1.911</v>
      </c>
      <c r="Z110" s="204">
        <f t="shared" si="35"/>
        <v>23.3293</v>
      </c>
      <c r="AA110" s="204">
        <f t="shared" si="36"/>
        <v>21.418299999999999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7"/>
        <v>0197-03</v>
      </c>
      <c r="AE110" s="80" t="str">
        <f t="shared" si="38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110" s="77" t="str">
        <f t="shared" si="39"/>
        <v>"C:\Program Files (x86)\AstroGrep\AstroGrep.exe" /e /r /s /spath="%USERPROFILE%\AppData\Local\Temp\OnboardLogs" /stypes="app*4050*20170603*" /stext=" 22:.+((SYSTEM_STATE.+slice.+state.+changed )|(ment ac)|(multiple cpu faults)|(system.+state.+changed )|(\[timeout)|(PRM\|1\|D)|(kpr)|(kdp)|(train st.+moving)|(\|lc)|(penalty))"</v>
      </c>
      <c r="AG110" s="1" t="str">
        <f t="shared" si="40"/>
        <v>EC</v>
      </c>
      <c r="AH110" s="81" t="str">
        <f t="shared" si="41"/>
        <v>"%USERPROFILE%\Documents\GitHub\eaglep3\Utilities\RefineRTDCRunTimes.py" --tripid 197-03 --locoid 4050 --swversion DE.1.0.9.0 --startMP 204:19110 --initTime 2017-06-03T15:39:55 --startdatetime 2017-06-03T15:50:54 --delay 10 --endMP 204:233293 --enddatetime 2017-06-03T16:21:38 --enforcementcount 0 &gt;&gt;C:\Users\stu\Documents\GitHub\eaglep3-reporting\EC\2017-06-03-refined-times.txt</v>
      </c>
      <c r="AI110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{"issue":{"subject":"","project_id":79,"tracker_id":40,"status_id":1,"priority_id":2,"assigned_to_id":23,"start_date":"2017-06-03","description":"","custom_fields":[{"id":1,"name":"Subdivision","value":"EC"},{"id":4,"name":"Milepost","value":"23.3293"},{"id":17,"name":"Train ID","value":"197-03"},{"id":16,"name":"Locomotive ID","value":"4050"},{"id":130,"name":"Impact","value":""},{"id":150,"name":"Time of Event (Mountain Time)","value":"16:21:38"},{"id":151,"name":"Denver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3"/>
        <v>start /low /b %USERPROFILE%\Documents\GitHub\eaglep3\Utilities\DownloadLogsFromS3.py --loco 4050 --day 2017-06-03</v>
      </c>
      <c r="AN110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784</v>
      </c>
      <c r="B111" s="7">
        <v>4049</v>
      </c>
      <c r="C111" s="21" t="s">
        <v>204</v>
      </c>
      <c r="D111" s="21" t="s">
        <v>935</v>
      </c>
      <c r="E111" s="13">
        <v>42889.6874537037</v>
      </c>
      <c r="F111" s="13">
        <v>42889.696006944447</v>
      </c>
      <c r="G111" s="7">
        <v>1</v>
      </c>
      <c r="H111" s="21" t="s">
        <v>364</v>
      </c>
      <c r="I111" s="13">
        <v>42889.721782407411</v>
      </c>
      <c r="J111" s="7">
        <v>0</v>
      </c>
      <c r="K111" s="92" t="str">
        <f t="shared" si="26"/>
        <v>4049/4050</v>
      </c>
      <c r="L111" s="21" t="str">
        <f>VLOOKUP(A111,'Trips&amp;Operators'!$C$1:$G$99999,5,FALSE)</f>
        <v>DELGADO DIANAH</v>
      </c>
      <c r="M111" s="6">
        <f t="shared" si="27"/>
        <v>2.5775462963792961E-2</v>
      </c>
      <c r="N111" s="7">
        <f t="shared" ref="N111:N121" si="46">24*60*SUM($M111:$M111)</f>
        <v>37.116666667861864</v>
      </c>
      <c r="O111" s="7"/>
      <c r="P111" s="7"/>
      <c r="Q111" s="22"/>
      <c r="R111" s="173"/>
      <c r="S111" s="176">
        <f t="shared" ref="S111:S142" si="47">SUM(U111:U111)/IF(AG111="EC",12,1)</f>
        <v>1</v>
      </c>
      <c r="T111" s="202" t="str">
        <f t="shared" si="30"/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1"/>
        <v>https://d0f6bd738d7f1b3e5a7ca70fe4ff75f0.us-east-1.aws.found.io/app/kibana#/discover/Steve-Slow-Train-Analysis-(2080s-and-2083s)?_g=(refreshInterval:(display:Off,pause:!f,section:0,value:0),time:(from:'2017-06-03T15:29:56-0600',mode:absolute,to:'2017-06-03T18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1" s="204" t="str">
        <f t="shared" si="32"/>
        <v>N</v>
      </c>
      <c r="X111" s="204">
        <f t="shared" si="33"/>
        <v>1</v>
      </c>
      <c r="Y111" s="204">
        <f t="shared" si="45"/>
        <v>23.2972</v>
      </c>
      <c r="Z111" s="204">
        <f t="shared" si="35"/>
        <v>1.47E-2</v>
      </c>
      <c r="AA111" s="204">
        <f t="shared" si="36"/>
        <v>23.282499999999999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7"/>
        <v>0198-03</v>
      </c>
      <c r="AE111" s="80" t="str">
        <f t="shared" si="38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111" s="77" t="str">
        <f t="shared" si="39"/>
        <v>"C:\Program Files (x86)\AstroGrep\AstroGrep.exe" /e /r /s /spath="%USERPROFILE%\AppData\Local\Temp\OnboardLogs" /stypes="app*4049*20170603*" /stext=" 23:.+((SYSTEM_STATE.+slice.+state.+changed )|(ment ac)|(multiple cpu faults)|(system.+state.+changed )|(\[timeout)|(PRM\|1\|D)|(kpr)|(kdp)|(train st.+moving)|(\|lc)|(penalty))"</v>
      </c>
      <c r="AG111" s="1" t="str">
        <f t="shared" si="40"/>
        <v>EC</v>
      </c>
      <c r="AH111" s="81" t="str">
        <f t="shared" si="41"/>
        <v>"%USERPROFILE%\Documents\GitHub\eaglep3\Utilities\RefineRTDCRunTimes.py" --tripid 198-03 --locoid 4049 --swversion DE.1.0.9.0 --startMP 204:232972 --initTime 2017-06-03T16:29:56 --startdatetime 2017-06-03T16:42:15 --delay 1 --endMP 204:147 --enddatetime 2017-06-03T17:19:22 --enforcementcount 0 &gt;&gt;C:\Users\stu\Documents\GitHub\eaglep3-reporting\EC\2017-06-03-refined-times.txt</v>
      </c>
      <c r="AI111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{"issue":{"subject":"","project_id":79,"tracker_id":40,"status_id":1,"priority_id":2,"assigned_to_id":23,"start_date":"2017-06-03","description":"","custom_fields":[{"id":1,"name":"Subdivision","value":"EC"},{"id":4,"name":"Milepost","value":"0.0147"},{"id":17,"name":"Train ID","value":"198-03"},{"id":16,"name":"Locomotive ID","value":"4049"},{"id":130,"name":"Impact","value":""},{"id":150,"name":"Time of Event (Mountain Time)","value":"17:19:22"},{"id":151,"name":"Denver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3"/>
        <v>start /low /b %USERPROFILE%\Documents\GitHub\eaglep3\Utilities\DownloadLogsFromS3.py --loco 4049 --day 2017-06-03</v>
      </c>
      <c r="AN111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778</v>
      </c>
      <c r="B112" s="7">
        <v>4010</v>
      </c>
      <c r="C112" s="21" t="s">
        <v>204</v>
      </c>
      <c r="D112" s="21" t="s">
        <v>356</v>
      </c>
      <c r="E112" s="13">
        <v>42889.663078703707</v>
      </c>
      <c r="F112" s="13">
        <v>42889.667013888888</v>
      </c>
      <c r="G112" s="7">
        <v>1</v>
      </c>
      <c r="H112" s="21" t="s">
        <v>462</v>
      </c>
      <c r="I112" s="13">
        <v>42889.691828703704</v>
      </c>
      <c r="J112" s="7">
        <v>0</v>
      </c>
      <c r="K112" s="92" t="str">
        <f t="shared" si="26"/>
        <v>4009/4010</v>
      </c>
      <c r="L112" s="21" t="str">
        <f>VLOOKUP(A112,'Trips&amp;Operators'!$C$1:$G$99999,5,FALSE)</f>
        <v>STEWART MICHAEL</v>
      </c>
      <c r="M112" s="6">
        <f t="shared" si="27"/>
        <v>2.4814814816636499E-2</v>
      </c>
      <c r="N112" s="7">
        <f t="shared" si="46"/>
        <v>35.733333335956559</v>
      </c>
      <c r="O112" s="7"/>
      <c r="P112" s="7"/>
      <c r="Q112" s="22"/>
      <c r="R112" s="173"/>
      <c r="S112" s="176">
        <f t="shared" si="47"/>
        <v>1</v>
      </c>
      <c r="T112" s="202" t="str">
        <f t="shared" si="30"/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1"/>
        <v>https://d0f6bd738d7f1b3e5a7ca70fe4ff75f0.us-east-1.aws.found.io/app/kibana#/discover/Steve-Slow-Train-Analysis-(2080s-and-2083s)?_g=(refreshInterval:(display:Off,pause:!f,section:0,value:0),time:(from:'2017-06-03T14:54:50-0600',mode:absolute,to:'2017-06-03T17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204" t="str">
        <f t="shared" si="32"/>
        <v>N</v>
      </c>
      <c r="X112" s="204">
        <f t="shared" si="33"/>
        <v>1</v>
      </c>
      <c r="Y112" s="204">
        <f t="shared" si="45"/>
        <v>4.5100000000000001E-2</v>
      </c>
      <c r="Z112" s="204">
        <f t="shared" si="35"/>
        <v>23.329699999999999</v>
      </c>
      <c r="AA112" s="204">
        <f t="shared" si="36"/>
        <v>23.284599999999998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7"/>
        <v>0199-03</v>
      </c>
      <c r="AE112" s="80" t="str">
        <f t="shared" si="38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112" s="77" t="str">
        <f t="shared" si="39"/>
        <v>"C:\Program Files (x86)\AstroGrep\AstroGrep.exe" /e /r /s /spath="%USERPROFILE%\AppData\Local\Temp\OnboardLogs" /stypes="app*4010*20170603*" /stext=" 22:.+((SYSTEM_STATE.+slice.+state.+changed )|(ment ac)|(multiple cpu faults)|(system.+state.+changed )|(\[timeout)|(PRM\|1\|D)|(kpr)|(kdp)|(train st.+moving)|(\|lc)|(penalty))"</v>
      </c>
      <c r="AG112" s="1" t="str">
        <f t="shared" si="40"/>
        <v>EC</v>
      </c>
      <c r="AH112" s="81" t="str">
        <f t="shared" si="41"/>
        <v>"%USERPROFILE%\Documents\GitHub\eaglep3\Utilities\RefineRTDCRunTimes.py" --tripid 199-03 --locoid 4010 --swversion DE.1.0.9.0 --startMP 204:451 --initTime 2017-06-03T15:54:50 --startdatetime 2017-06-03T16:00:30 --delay 1 --endMP 204:233297 --enddatetime 2017-06-03T16:36:14 --enforcementcount 0 &gt;&gt;C:\Users\stu\Documents\GitHub\eaglep3-reporting\EC\2017-06-03-refined-times.txt</v>
      </c>
      <c r="AI112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{"issue":{"subject":"","project_id":79,"tracker_id":40,"status_id":1,"priority_id":2,"assigned_to_id":23,"start_date":"2017-06-03","description":"","custom_fields":[{"id":1,"name":"Subdivision","value":"EC"},{"id":4,"name":"Milepost","value":"23.3297"},{"id":17,"name":"Train ID","value":"199-03"},{"id":16,"name":"Locomotive ID","value":"4010"},{"id":130,"name":"Impact","value":""},{"id":150,"name":"Time of Event (Mountain Time)","value":"16:36:14"},{"id":151,"name":"Denver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3"/>
        <v>start /low /b %USERPROFILE%\Documents\GitHub\eaglep3\Utilities\DownloadLogsFromS3.py --loco 4010 --day 2017-06-03</v>
      </c>
      <c r="AN112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786</v>
      </c>
      <c r="B113" s="7">
        <v>4009</v>
      </c>
      <c r="C113" s="21" t="s">
        <v>204</v>
      </c>
      <c r="D113" s="21" t="s">
        <v>936</v>
      </c>
      <c r="E113" s="13">
        <v>42889.703414351854</v>
      </c>
      <c r="F113" s="13">
        <v>42889.706423611111</v>
      </c>
      <c r="G113" s="7">
        <v>3</v>
      </c>
      <c r="H113" s="21" t="s">
        <v>937</v>
      </c>
      <c r="I113" s="13">
        <v>42889.733310185184</v>
      </c>
      <c r="J113" s="7">
        <v>0</v>
      </c>
      <c r="K113" s="92" t="str">
        <f t="shared" si="26"/>
        <v>4009/4010</v>
      </c>
      <c r="L113" s="21" t="str">
        <f>VLOOKUP(A113,'Trips&amp;Operators'!$C$1:$G$99999,5,FALSE)</f>
        <v>STEWART MICHAEL</v>
      </c>
      <c r="M113" s="6">
        <f t="shared" si="27"/>
        <v>2.6886574072705116E-2</v>
      </c>
      <c r="N113" s="7">
        <f t="shared" si="46"/>
        <v>38.716666664695367</v>
      </c>
      <c r="O113" s="7"/>
      <c r="P113" s="7"/>
      <c r="Q113" s="22"/>
      <c r="R113" s="173"/>
      <c r="S113" s="176">
        <f t="shared" si="47"/>
        <v>1</v>
      </c>
      <c r="T113" s="202" t="str">
        <f t="shared" si="30"/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1"/>
        <v>https://d0f6bd738d7f1b3e5a7ca70fe4ff75f0.us-east-1.aws.found.io/app/kibana#/discover/Steve-Slow-Train-Analysis-(2080s-and-2083s)?_g=(refreshInterval:(display:Off,pause:!f,section:0,value:0),time:(from:'2017-06-03T15:52:55-0600',mode:absolute,to:'2017-06-03T18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204" t="str">
        <f t="shared" si="32"/>
        <v>N</v>
      </c>
      <c r="X113" s="204">
        <f t="shared" si="33"/>
        <v>1</v>
      </c>
      <c r="Y113" s="204">
        <f t="shared" si="45"/>
        <v>23.296900000000001</v>
      </c>
      <c r="Z113" s="204">
        <f t="shared" si="35"/>
        <v>2.5999999999999999E-2</v>
      </c>
      <c r="AA113" s="204">
        <f t="shared" si="36"/>
        <v>23.270900000000001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7"/>
        <v>0200-03</v>
      </c>
      <c r="AE113" s="80" t="str">
        <f t="shared" si="38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113" s="77" t="str">
        <f t="shared" si="39"/>
        <v>"C:\Program Files (x86)\AstroGrep\AstroGrep.exe" /e /r /s /spath="%USERPROFILE%\AppData\Local\Temp\OnboardLogs" /stypes="app*4009*20170603*" /stext=" 23:.+((SYSTEM_STATE.+slice.+state.+changed )|(ment ac)|(multiple cpu faults)|(system.+state.+changed )|(\[timeout)|(PRM\|1\|D)|(kpr)|(kdp)|(train st.+moving)|(\|lc)|(penalty))"</v>
      </c>
      <c r="AG113" s="1" t="str">
        <f t="shared" si="40"/>
        <v>EC</v>
      </c>
      <c r="AH113" s="81" t="str">
        <f t="shared" si="41"/>
        <v>"%USERPROFILE%\Documents\GitHub\eaglep3\Utilities\RefineRTDCRunTimes.py" --tripid 200-03 --locoid 4009 --swversion DE.1.0.9.0 --startMP 204:232969 --initTime 2017-06-03T16:52:55 --startdatetime 2017-06-03T16:57:15 --delay 3 --endMP 204:260 --enddatetime 2017-06-03T17:35:58 --enforcementcount 0 &gt;&gt;C:\Users\stu\Documents\GitHub\eaglep3-reporting\EC\2017-06-03-refined-times.txt</v>
      </c>
      <c r="AI113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{"issue":{"subject":"","project_id":79,"tracker_id":40,"status_id":1,"priority_id":2,"assigned_to_id":23,"start_date":"2017-06-03","description":"","custom_fields":[{"id":1,"name":"Subdivision","value":"EC"},{"id":4,"name":"Milepost","value":"0.026"},{"id":17,"name":"Train ID","value":"200-03"},{"id":16,"name":"Locomotive ID","value":"4009"},{"id":130,"name":"Impact","value":""},{"id":150,"name":"Time of Event (Mountain Time)","value":"17:35:58"},{"id":151,"name":"Denver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3"/>
        <v>start /low /b %USERPROFILE%\Documents\GitHub\eaglep3\Utilities\DownloadLogsFromS3.py --loco 4009 --day 2017-06-03</v>
      </c>
      <c r="AN113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780</v>
      </c>
      <c r="B114" s="7">
        <v>4024</v>
      </c>
      <c r="C114" s="21" t="s">
        <v>204</v>
      </c>
      <c r="D114" s="21" t="s">
        <v>938</v>
      </c>
      <c r="E114" s="13">
        <v>42889.673877314817</v>
      </c>
      <c r="F114" s="13">
        <v>42889.677418981482</v>
      </c>
      <c r="G114" s="7">
        <v>1</v>
      </c>
      <c r="H114" s="21" t="s">
        <v>521</v>
      </c>
      <c r="I114" s="13">
        <v>42889.702928240738</v>
      </c>
      <c r="J114" s="7">
        <v>0</v>
      </c>
      <c r="K114" s="92" t="str">
        <f t="shared" si="26"/>
        <v>4023/4024</v>
      </c>
      <c r="L114" s="21" t="str">
        <f>VLOOKUP(A114,'Trips&amp;Operators'!$C$1:$G$99999,5,FALSE)</f>
        <v>HOLCOMB KAMDEN</v>
      </c>
      <c r="M114" s="6">
        <f t="shared" si="27"/>
        <v>2.5509259256068617E-2</v>
      </c>
      <c r="N114" s="7">
        <f t="shared" si="46"/>
        <v>36.733333328738809</v>
      </c>
      <c r="O114" s="7"/>
      <c r="P114" s="7"/>
      <c r="Q114" s="22"/>
      <c r="R114" s="173"/>
      <c r="S114" s="176">
        <f t="shared" si="47"/>
        <v>1</v>
      </c>
      <c r="T114" s="202" t="str">
        <f t="shared" si="30"/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1"/>
        <v>https://d0f6bd738d7f1b3e5a7ca70fe4ff75f0.us-east-1.aws.found.io/app/kibana#/discover/Steve-Slow-Train-Analysis-(2080s-and-2083s)?_g=(refreshInterval:(display:Off,pause:!f,section:0,value:0),time:(from:'2017-06-03T15:10:23-0600',mode:absolute,to:'2017-06-03T17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4" s="204" t="str">
        <f t="shared" si="32"/>
        <v>N</v>
      </c>
      <c r="X114" s="204">
        <f t="shared" si="33"/>
        <v>1</v>
      </c>
      <c r="Y114" s="204">
        <f t="shared" si="45"/>
        <v>7.2599999999999998E-2</v>
      </c>
      <c r="Z114" s="204">
        <f t="shared" si="35"/>
        <v>23.331900000000001</v>
      </c>
      <c r="AA114" s="204">
        <f t="shared" si="36"/>
        <v>23.2593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7"/>
        <v>0201-03</v>
      </c>
      <c r="AE114" s="80" t="str">
        <f t="shared" si="38"/>
        <v>aws s3 cp s3://rtdc.mdm.uploadarchive.raw/RTDC4024/ "%USERPROFILE%\AppData\Local\Temp\OnboardLogs"\RTDC4024\2017-06-03 --exclude "*" --recursive --include "*20170603*" &amp; "%USERPROFILE%\Documents\GitHub\mrs-test-scripts\Headless Mode &amp; Sideloading\WalkAndUnGZ.bat" "%USERPROFILE%\AppData\Local\Temp\OnboardLogs"\RTDC4024\2017-06-03 &amp; 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</v>
      </c>
      <c r="AF114" s="77" t="str">
        <f t="shared" si="39"/>
        <v>"C:\Program Files (x86)\AstroGrep\AstroGrep.exe" /e /r /s /spath="%USERPROFILE%\AppData\Local\Temp\OnboardLogs" /stypes="app*4024*20170603*" /stext=" 22:.+((SYSTEM_STATE.+slice.+state.+changed )|(ment ac)|(multiple cpu faults)|(system.+state.+changed )|(\[timeout)|(PRM\|1\|D)|(kpr)|(kdp)|(train st.+moving)|(\|lc)|(penalty))"</v>
      </c>
      <c r="AG114" s="1" t="str">
        <f t="shared" si="40"/>
        <v>EC</v>
      </c>
      <c r="AH114" s="81" t="str">
        <f t="shared" si="41"/>
        <v>"%USERPROFILE%\Documents\GitHub\eaglep3\Utilities\RefineRTDCRunTimes.py" --tripid 201-03 --locoid 4024 --swversion DE.1.0.9.0 --startMP 204:726 --initTime 2017-06-03T16:10:23 --startdatetime 2017-06-03T16:15:29 --delay 1 --endMP 204:233319 --enddatetime 2017-06-03T16:52:13 --enforcementcount 0 &gt;&gt;C:\Users\stu\Documents\GitHub\eaglep3-reporting\EC\2017-06-03-refined-times.txt</v>
      </c>
      <c r="AI114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{"issue":{"subject":"","project_id":79,"tracker_id":40,"status_id":1,"priority_id":2,"assigned_to_id":23,"start_date":"2017-06-03","description":"","custom_fields":[{"id":1,"name":"Subdivision","value":"EC"},{"id":4,"name":"Milepost","value":"23.3319"},{"id":17,"name":"Train ID","value":"201-03"},{"id":16,"name":"Locomotive ID","value":"4024"},{"id":130,"name":"Impact","value":""},{"id":150,"name":"Time of Event (Mountain Time)","value":"16:52:13"},{"id":151,"name":"Denver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3"/>
        <v>start /low /b %USERPROFILE%\Documents\GitHub\eaglep3\Utilities\DownloadLogsFromS3.py --loco 4024 --day 2017-06-03</v>
      </c>
      <c r="AN114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787</v>
      </c>
      <c r="B115" s="7">
        <v>4023</v>
      </c>
      <c r="C115" s="21" t="s">
        <v>204</v>
      </c>
      <c r="D115" s="21" t="s">
        <v>528</v>
      </c>
      <c r="E115" s="13">
        <v>42889.712268518517</v>
      </c>
      <c r="F115" s="13">
        <v>42889.716967592591</v>
      </c>
      <c r="G115" s="7">
        <v>0</v>
      </c>
      <c r="H115" s="21" t="s">
        <v>939</v>
      </c>
      <c r="I115" s="13">
        <v>42889.742291666669</v>
      </c>
      <c r="J115" s="7">
        <v>0</v>
      </c>
      <c r="K115" s="92" t="str">
        <f t="shared" si="26"/>
        <v>4023/4024</v>
      </c>
      <c r="L115" s="21" t="str">
        <f>VLOOKUP(A115,'Trips&amp;Operators'!$C$1:$G$99999,5,FALSE)</f>
        <v>HOLCOMB KAMDEN</v>
      </c>
      <c r="M115" s="6">
        <f t="shared" si="27"/>
        <v>2.5324074078525882E-2</v>
      </c>
      <c r="N115" s="7">
        <f t="shared" si="46"/>
        <v>36.46666667307727</v>
      </c>
      <c r="O115" s="7"/>
      <c r="P115" s="7"/>
      <c r="Q115" s="22"/>
      <c r="R115" s="173"/>
      <c r="S115" s="176">
        <f t="shared" si="47"/>
        <v>1</v>
      </c>
      <c r="T115" s="202" t="str">
        <f t="shared" si="30"/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1"/>
        <v>https://d0f6bd738d7f1b3e5a7ca70fe4ff75f0.us-east-1.aws.found.io/app/kibana#/discover/Steve-Slow-Train-Analysis-(2080s-and-2083s)?_g=(refreshInterval:(display:Off,pause:!f,section:0,value:0),time:(from:'2017-06-03T16:05:40-0600',mode:absolute,to:'2017-06-03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5" s="204" t="str">
        <f t="shared" si="32"/>
        <v>N</v>
      </c>
      <c r="X115" s="204">
        <f t="shared" si="33"/>
        <v>1</v>
      </c>
      <c r="Y115" s="204">
        <f t="shared" si="45"/>
        <v>23.300599999999999</v>
      </c>
      <c r="Z115" s="204">
        <f t="shared" si="35"/>
        <v>0.17630000000000001</v>
      </c>
      <c r="AA115" s="204">
        <f t="shared" si="36"/>
        <v>23.124299999999998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7"/>
        <v>0202-03</v>
      </c>
      <c r="AE115" s="80" t="str">
        <f t="shared" si="38"/>
        <v>aws s3 cp s3://rtdc.mdm.uploadarchive.raw/RTDC4023/ "%USERPROFILE%\AppData\Local\Temp\OnboardLogs"\RTDC4023\2017-06-03 --exclude "*" --recursive --include "*20170603*" &amp; "%USERPROFILE%\Documents\GitHub\mrs-test-scripts\Headless Mode &amp; Sideloading\WalkAndUnGZ.bat" "%USERPROFILE%\AppData\Local\Temp\OnboardLogs"\RTDC4023\2017-06-03 &amp; 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</v>
      </c>
      <c r="AF115" s="77" t="str">
        <f t="shared" si="39"/>
        <v>"C:\Program Files (x86)\AstroGrep\AstroGrep.exe" /e /r /s /spath="%USERPROFILE%\AppData\Local\Temp\OnboardLogs" /stypes="app*4023*20170603*" /stext=" 23:.+((SYSTEM_STATE.+slice.+state.+changed )|(ment ac)|(multiple cpu faults)|(system.+state.+changed )|(\[timeout)|(PRM\|1\|D)|(kpr)|(kdp)|(train st.+moving)|(\|lc)|(penalty))"</v>
      </c>
      <c r="AG115" s="1" t="str">
        <f t="shared" si="40"/>
        <v>EC</v>
      </c>
      <c r="AH115" s="81" t="str">
        <f t="shared" si="41"/>
        <v>"%USERPROFILE%\Documents\GitHub\eaglep3\Utilities\RefineRTDCRunTimes.py" --tripid 202-03 --locoid 4023 --swversion DE.1.0.9.0 --startMP 204:233006 --initTime 2017-06-03T17:05:40 --startdatetime 2017-06-03T17:12:26 --delay 0 --endMP 204:1763 --enddatetime 2017-06-03T17:48:54 --enforcementcount 0 &gt;&gt;C:\Users\stu\Documents\GitHub\eaglep3-reporting\EC\2017-06-03-refined-times.txt</v>
      </c>
      <c r="AI115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{"issue":{"subject":"","project_id":79,"tracker_id":40,"status_id":1,"priority_id":2,"assigned_to_id":23,"start_date":"2017-06-03","description":"","custom_fields":[{"id":1,"name":"Subdivision","value":"EC"},{"id":4,"name":"Milepost","value":"0.1763"},{"id":17,"name":"Train ID","value":"202-03"},{"id":16,"name":"Locomotive ID","value":"4023"},{"id":130,"name":"Impact","value":""},{"id":150,"name":"Time of Event (Mountain Time)","value":"17:48:54"},{"id":151,"name":"Denver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3"/>
        <v>start /low /b %USERPROFILE%\Documents\GitHub\eaglep3\Utilities\DownloadLogsFromS3.py --loco 4023 --day 2017-06-03</v>
      </c>
      <c r="AN115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783</v>
      </c>
      <c r="B116" s="7">
        <v>4026</v>
      </c>
      <c r="C116" s="21" t="s">
        <v>204</v>
      </c>
      <c r="D116" s="21" t="s">
        <v>593</v>
      </c>
      <c r="E116" s="13">
        <v>42889.684745370374</v>
      </c>
      <c r="F116" s="13">
        <v>42889.687696759262</v>
      </c>
      <c r="G116" s="7">
        <v>1</v>
      </c>
      <c r="H116" s="21" t="s">
        <v>479</v>
      </c>
      <c r="I116" s="13">
        <v>42889.713460648149</v>
      </c>
      <c r="J116" s="7">
        <v>0</v>
      </c>
      <c r="K116" s="92" t="str">
        <f t="shared" si="26"/>
        <v>4025/4026</v>
      </c>
      <c r="L116" s="21" t="str">
        <f>VLOOKUP(A116,'Trips&amp;Operators'!$C$1:$G$99999,5,FALSE)</f>
        <v>DAVIS MICHAEL</v>
      </c>
      <c r="M116" s="6">
        <f t="shared" si="27"/>
        <v>2.5763888887013309E-2</v>
      </c>
      <c r="N116" s="7">
        <f t="shared" si="46"/>
        <v>37.099999997299165</v>
      </c>
      <c r="O116" s="7"/>
      <c r="P116" s="7"/>
      <c r="Q116" s="22"/>
      <c r="R116" s="173"/>
      <c r="S116" s="176">
        <f t="shared" si="47"/>
        <v>1</v>
      </c>
      <c r="T116" s="202" t="str">
        <f t="shared" si="30"/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1"/>
        <v>https://d0f6bd738d7f1b3e5a7ca70fe4ff75f0.us-east-1.aws.found.io/app/kibana#/discover/Steve-Slow-Train-Analysis-(2080s-and-2083s)?_g=(refreshInterval:(display:Off,pause:!f,section:0,value:0),time:(from:'2017-06-03T15:26:02-0600',mode:absolute,to:'2017-06-03T18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04" t="str">
        <f t="shared" si="32"/>
        <v>N</v>
      </c>
      <c r="X116" s="204">
        <f t="shared" si="33"/>
        <v>1</v>
      </c>
      <c r="Y116" s="204">
        <f t="shared" si="45"/>
        <v>4.4400000000000002E-2</v>
      </c>
      <c r="Z116" s="204">
        <f t="shared" si="35"/>
        <v>23.3309</v>
      </c>
      <c r="AA116" s="204">
        <f t="shared" si="36"/>
        <v>23.2865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7"/>
        <v>0203-03</v>
      </c>
      <c r="AE116" s="80" t="str">
        <f t="shared" si="38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116" s="77" t="str">
        <f t="shared" si="39"/>
        <v>"C:\Program Files (x86)\AstroGrep\AstroGrep.exe" /e /r /s /spath="%USERPROFILE%\AppData\Local\Temp\OnboardLogs" /stypes="app*4026*20170603*" /stext=" 23:.+((SYSTEM_STATE.+slice.+state.+changed )|(ment ac)|(multiple cpu faults)|(system.+state.+changed )|(\[timeout)|(PRM\|1\|D)|(kpr)|(kdp)|(train st.+moving)|(\|lc)|(penalty))"</v>
      </c>
      <c r="AG116" s="1" t="str">
        <f t="shared" si="40"/>
        <v>EC</v>
      </c>
      <c r="AH116" s="81" t="str">
        <f t="shared" si="41"/>
        <v>"%USERPROFILE%\Documents\GitHub\eaglep3\Utilities\RefineRTDCRunTimes.py" --tripid 203-03 --locoid 4026 --swversion DE.1.0.9.0 --startMP 204:444 --initTime 2017-06-03T16:26:02 --startdatetime 2017-06-03T16:30:17 --delay 1 --endMP 204:233309 --enddatetime 2017-06-03T17:07:23 --enforcementcount 0 &gt;&gt;C:\Users\stu\Documents\GitHub\eaglep3-reporting\EC\2017-06-03-refined-times.txt</v>
      </c>
      <c r="AI116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{"issue":{"subject":"","project_id":79,"tracker_id":40,"status_id":1,"priority_id":2,"assigned_to_id":23,"start_date":"2017-06-03","description":"","custom_fields":[{"id":1,"name":"Subdivision","value":"EC"},{"id":4,"name":"Milepost","value":"23.3309"},{"id":17,"name":"Train ID","value":"203-03"},{"id":16,"name":"Locomotive ID","value":"4026"},{"id":130,"name":"Impact","value":""},{"id":150,"name":"Time of Event (Mountain Time)","value":"17:07:23"},{"id":151,"name":"Denver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3"/>
        <v>start /low /b %USERPROFILE%\Documents\GitHub\eaglep3\Utilities\DownloadLogsFromS3.py --loco 4026 --day 2017-06-03</v>
      </c>
      <c r="AN116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791</v>
      </c>
      <c r="B117" s="7">
        <v>4025</v>
      </c>
      <c r="C117" s="21" t="s">
        <v>204</v>
      </c>
      <c r="D117" s="21" t="s">
        <v>601</v>
      </c>
      <c r="E117" s="13">
        <v>42889.725671296299</v>
      </c>
      <c r="F117" s="13">
        <v>42889.727638888886</v>
      </c>
      <c r="G117" s="7">
        <v>1</v>
      </c>
      <c r="H117" s="21" t="s">
        <v>363</v>
      </c>
      <c r="I117" s="13">
        <v>42889.755312499998</v>
      </c>
      <c r="J117" s="7">
        <v>0</v>
      </c>
      <c r="K117" s="92" t="str">
        <f t="shared" si="26"/>
        <v>4025/4026</v>
      </c>
      <c r="L117" s="21" t="str">
        <f>VLOOKUP(A117,'Trips&amp;Operators'!$C$1:$G$99999,5,FALSE)</f>
        <v>DAVIS MICHAEL</v>
      </c>
      <c r="M117" s="6">
        <f t="shared" si="27"/>
        <v>2.7673611111822538E-2</v>
      </c>
      <c r="N117" s="7">
        <f t="shared" si="46"/>
        <v>39.850000001024455</v>
      </c>
      <c r="O117" s="7"/>
      <c r="P117" s="7"/>
      <c r="Q117" s="22"/>
      <c r="R117" s="173"/>
      <c r="S117" s="176">
        <f t="shared" si="47"/>
        <v>1</v>
      </c>
      <c r="T117" s="202" t="str">
        <f t="shared" si="30"/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1"/>
        <v>https://d0f6bd738d7f1b3e5a7ca70fe4ff75f0.us-east-1.aws.found.io/app/kibana#/discover/Steve-Slow-Train-Analysis-(2080s-and-2083s)?_g=(refreshInterval:(display:Off,pause:!f,section:0,value:0),time:(from:'2017-06-03T16:24:58-0600',mode:absolute,to:'2017-06-03T19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04" t="str">
        <f t="shared" si="32"/>
        <v>N</v>
      </c>
      <c r="X117" s="204">
        <f t="shared" si="33"/>
        <v>1</v>
      </c>
      <c r="Y117" s="204">
        <f t="shared" si="45"/>
        <v>23.299600000000002</v>
      </c>
      <c r="Z117" s="204">
        <f t="shared" si="35"/>
        <v>1.41E-2</v>
      </c>
      <c r="AA117" s="204">
        <f t="shared" si="36"/>
        <v>23.285500000000003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7"/>
        <v>0204-03</v>
      </c>
      <c r="AE117" s="80" t="str">
        <f t="shared" si="38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117" s="77" t="str">
        <f t="shared" si="39"/>
        <v>"C:\Program Files (x86)\AstroGrep\AstroGrep.exe" /e /r /s /spath="%USERPROFILE%\AppData\Local\Temp\OnboardLogs" /stypes="app*4025*20170604*" /stext=" 00:.+((SYSTEM_STATE.+slice.+state.+changed )|(ment ac)|(multiple cpu faults)|(system.+state.+changed )|(\[timeout)|(PRM\|1\|D)|(kpr)|(kdp)|(train st.+moving)|(\|lc)|(penalty))"</v>
      </c>
      <c r="AG117" s="1" t="str">
        <f t="shared" si="40"/>
        <v>EC</v>
      </c>
      <c r="AH117" s="81" t="str">
        <f t="shared" si="41"/>
        <v>"%USERPROFILE%\Documents\GitHub\eaglep3\Utilities\RefineRTDCRunTimes.py" --tripid 204-03 --locoid 4025 --swversion DE.1.0.9.0 --startMP 204:232996 --initTime 2017-06-03T17:24:58 --startdatetime 2017-06-03T17:27:48 --delay 1 --endMP 204:141 --enddatetime 2017-06-03T18:07:39 --enforcementcount 0 &gt;&gt;C:\Users\stu\Documents\GitHub\eaglep3-reporting\EC\2017-06-03-refined-times.txt</v>
      </c>
      <c r="AI117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{"issue":{"subject":"","project_id":79,"tracker_id":40,"status_id":1,"priority_id":2,"assigned_to_id":23,"start_date":"2017-06-03","description":"","custom_fields":[{"id":1,"name":"Subdivision","value":"EC"},{"id":4,"name":"Milepost","value":"0.0141"},{"id":17,"name":"Train ID","value":"204-03"},{"id":16,"name":"Locomotive ID","value":"4025"},{"id":130,"name":"Impact","value":""},{"id":150,"name":"Time of Event (Mountain Time)","value":"18:07:39"},{"id":151,"name":"Denver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3"/>
        <v>start /low /b %USERPROFILE%\Documents\GitHub\eaglep3\Utilities\DownloadLogsFromS3.py --loco 4025 --day 2017-06-03</v>
      </c>
      <c r="AN117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636</v>
      </c>
      <c r="B118" s="7">
        <v>4014</v>
      </c>
      <c r="C118" s="21" t="s">
        <v>204</v>
      </c>
      <c r="D118" s="21" t="s">
        <v>472</v>
      </c>
      <c r="E118" s="13">
        <v>42889.694918981484</v>
      </c>
      <c r="F118" s="13">
        <v>42889.698078703703</v>
      </c>
      <c r="G118" s="7">
        <v>1</v>
      </c>
      <c r="H118" s="21" t="s">
        <v>940</v>
      </c>
      <c r="I118" s="13">
        <v>42889.723564814813</v>
      </c>
      <c r="J118" s="7">
        <v>0</v>
      </c>
      <c r="K118" s="92" t="str">
        <f t="shared" si="26"/>
        <v>4013/4014</v>
      </c>
      <c r="L118" s="21" t="str">
        <f>VLOOKUP(A118,'Trips&amp;Operators'!$C$1:$G$99999,5,FALSE)</f>
        <v>BRANDNER MELINDA</v>
      </c>
      <c r="M118" s="6">
        <f t="shared" si="27"/>
        <v>2.548611110978527E-2</v>
      </c>
      <c r="N118" s="7">
        <f t="shared" si="46"/>
        <v>36.699999998090789</v>
      </c>
      <c r="O118" s="7"/>
      <c r="P118" s="7"/>
      <c r="Q118" s="22"/>
      <c r="R118" s="173"/>
      <c r="S118" s="176">
        <f t="shared" si="47"/>
        <v>1</v>
      </c>
      <c r="T118" s="202" t="str">
        <f t="shared" si="30"/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1"/>
        <v>https://d0f6bd738d7f1b3e5a7ca70fe4ff75f0.us-east-1.aws.found.io/app/kibana#/discover/Steve-Slow-Train-Analysis-(2080s-and-2083s)?_g=(refreshInterval:(display:Off,pause:!f,section:0,value:0),time:(from:'2017-06-03T15:40:41-0600',mode:absolute,to:'2017-06-03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8" s="204" t="str">
        <f t="shared" si="32"/>
        <v>N</v>
      </c>
      <c r="X118" s="204">
        <f t="shared" si="33"/>
        <v>1</v>
      </c>
      <c r="Y118" s="204">
        <f t="shared" si="45"/>
        <v>4.3299999999999998E-2</v>
      </c>
      <c r="Z118" s="204">
        <f t="shared" si="35"/>
        <v>23.322500000000002</v>
      </c>
      <c r="AA118" s="204">
        <f t="shared" si="36"/>
        <v>23.279200000000003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7"/>
        <v>0205-03</v>
      </c>
      <c r="AE118" s="80" t="str">
        <f t="shared" si="38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118" s="77" t="str">
        <f t="shared" si="39"/>
        <v>"C:\Program Files (x86)\AstroGrep\AstroGrep.exe" /e /r /s /spath="%USERPROFILE%\AppData\Local\Temp\OnboardLogs" /stypes="app*4014*20170603*" /stext=" 23:.+((SYSTEM_STATE.+slice.+state.+changed )|(ment ac)|(multiple cpu faults)|(system.+state.+changed )|(\[timeout)|(PRM\|1\|D)|(kpr)|(kdp)|(train st.+moving)|(\|lc)|(penalty))"</v>
      </c>
      <c r="AG118" s="1" t="str">
        <f t="shared" si="40"/>
        <v>EC</v>
      </c>
      <c r="AH118" s="81" t="str">
        <f t="shared" si="41"/>
        <v>"%USERPROFILE%\Documents\GitHub\eaglep3\Utilities\RefineRTDCRunTimes.py" --tripid 205-03 --locoid 4014 --swversion DE.1.0.9.0 --startMP 204:433 --initTime 2017-06-03T16:40:41 --startdatetime 2017-06-03T16:45:14 --delay 1 --endMP 204:233225 --enddatetime 2017-06-03T17:21:56 --enforcementcount 0 &gt;&gt;C:\Users\stu\Documents\GitHub\eaglep3-reporting\EC\2017-06-03-refined-times.txt</v>
      </c>
      <c r="AI118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{"issue":{"subject":"","project_id":79,"tracker_id":40,"status_id":1,"priority_id":2,"assigned_to_id":23,"start_date":"2017-06-03","description":"","custom_fields":[{"id":1,"name":"Subdivision","value":"EC"},{"id":4,"name":"Milepost","value":"23.3225"},{"id":17,"name":"Train ID","value":"205-03"},{"id":16,"name":"Locomotive ID","value":"4014"},{"id":130,"name":"Impact","value":""},{"id":150,"name":"Time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3"/>
        <v>start /low /b %USERPROFILE%\Documents\GitHub\eaglep3\Utilities\DownloadLogsFromS3.py --loco 4014 --day 2017-06-03</v>
      </c>
      <c r="AN118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793</v>
      </c>
      <c r="B119" s="7">
        <v>4013</v>
      </c>
      <c r="C119" s="21" t="s">
        <v>204</v>
      </c>
      <c r="D119" s="21" t="s">
        <v>941</v>
      </c>
      <c r="E119" s="13">
        <v>42889.731793981482</v>
      </c>
      <c r="F119" s="13">
        <v>42889.737708333334</v>
      </c>
      <c r="G119" s="7">
        <v>1</v>
      </c>
      <c r="H119" s="21" t="s">
        <v>942</v>
      </c>
      <c r="I119" s="13">
        <v>42889.764444444445</v>
      </c>
      <c r="J119" s="7">
        <v>0</v>
      </c>
      <c r="K119" s="92" t="str">
        <f t="shared" si="26"/>
        <v>4013/4014</v>
      </c>
      <c r="L119" s="21" t="str">
        <f>VLOOKUP(A119,'Trips&amp;Operators'!$C$1:$G$99999,5,FALSE)</f>
        <v>BRANDNER MELINDA</v>
      </c>
      <c r="M119" s="6">
        <f t="shared" si="27"/>
        <v>2.6736111110949423E-2</v>
      </c>
      <c r="N119" s="7">
        <f t="shared" si="46"/>
        <v>38.499999999767169</v>
      </c>
      <c r="O119" s="7"/>
      <c r="P119" s="7"/>
      <c r="Q119" s="22"/>
      <c r="R119" s="173"/>
      <c r="S119" s="176">
        <f t="shared" si="47"/>
        <v>1</v>
      </c>
      <c r="T119" s="202" t="str">
        <f t="shared" si="30"/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1"/>
        <v>https://d0f6bd738d7f1b3e5a7ca70fe4ff75f0.us-east-1.aws.found.io/app/kibana#/discover/Steve-Slow-Train-Analysis-(2080s-and-2083s)?_g=(refreshInterval:(display:Off,pause:!f,section:0,value:0),time:(from:'2017-06-03T16:33:47-0600',mode:absolute,to:'2017-06-03T19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9" s="204" t="str">
        <f t="shared" si="32"/>
        <v>N</v>
      </c>
      <c r="X119" s="204">
        <f t="shared" si="33"/>
        <v>1</v>
      </c>
      <c r="Y119" s="204">
        <f t="shared" si="45"/>
        <v>23.291699999999999</v>
      </c>
      <c r="Z119" s="204">
        <f t="shared" si="35"/>
        <v>1.32E-2</v>
      </c>
      <c r="AA119" s="204">
        <f t="shared" si="36"/>
        <v>23.278499999999998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7"/>
        <v>0206-03</v>
      </c>
      <c r="AE119" s="80" t="str">
        <f t="shared" si="38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119" s="77" t="str">
        <f t="shared" si="39"/>
        <v>"C:\Program Files (x86)\AstroGrep\AstroGrep.exe" /e /r /s /spath="%USERPROFILE%\AppData\Local\Temp\OnboardLogs" /stypes="app*4013*20170604*" /stext=" 00:.+((SYSTEM_STATE.+slice.+state.+changed )|(ment ac)|(multiple cpu faults)|(system.+state.+changed )|(\[timeout)|(PRM\|1\|D)|(kpr)|(kdp)|(train st.+moving)|(\|lc)|(penalty))"</v>
      </c>
      <c r="AG119" s="1" t="str">
        <f t="shared" si="40"/>
        <v>EC</v>
      </c>
      <c r="AH119" s="81" t="str">
        <f t="shared" si="41"/>
        <v>"%USERPROFILE%\Documents\GitHub\eaglep3\Utilities\RefineRTDCRunTimes.py" --tripid 206-03 --locoid 4013 --swversion DE.1.0.9.0 --startMP 204:232917 --initTime 2017-06-03T17:33:47 --startdatetime 2017-06-03T17:42:18 --delay 1 --endMP 204:132 --enddatetime 2017-06-03T18:20:48 --enforcementcount 0 &gt;&gt;C:\Users\stu\Documents\GitHub\eaglep3-reporting\EC\2017-06-03-refined-times.txt</v>
      </c>
      <c r="AI119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{"issue":{"subject":"","project_id":79,"tracker_id":40,"status_id":1,"priority_id":2,"assigned_to_id":23,"start_date":"2017-06-03","description":"","custom_fields":[{"id":1,"name":"Subdivision","value":"EC"},{"id":4,"name":"Milepost","value":"0.0132"},{"id":17,"name":"Train ID","value":"206-03"},{"id":16,"name":"Locomotive ID","value":"4013"},{"id":130,"name":"Impact","value":""},{"id":150,"name":"Time of Event (Mountain Time)","value":"18:20:48"},{"id":151,"name":"Denver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3"/>
        <v>start /low /b %USERPROFILE%\Documents\GitHub\eaglep3\Utilities\DownloadLogsFromS3.py --loco 4013 --day 2017-06-03</v>
      </c>
      <c r="AN119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638</v>
      </c>
      <c r="B120" s="7">
        <v>4004</v>
      </c>
      <c r="C120" s="21" t="s">
        <v>204</v>
      </c>
      <c r="D120" s="21" t="s">
        <v>368</v>
      </c>
      <c r="E120" s="13">
        <v>42889.704675925925</v>
      </c>
      <c r="F120" s="13">
        <v>42889.708564814813</v>
      </c>
      <c r="G120" s="7">
        <v>1</v>
      </c>
      <c r="H120" s="21" t="s">
        <v>492</v>
      </c>
      <c r="I120" s="13">
        <v>42889.734293981484</v>
      </c>
      <c r="J120" s="7">
        <v>0</v>
      </c>
      <c r="K120" s="92" t="str">
        <f t="shared" si="26"/>
        <v>4003/4004</v>
      </c>
      <c r="L120" s="21" t="str">
        <f>VLOOKUP(A120,'Trips&amp;Operators'!$C$1:$G$99999,5,FALSE)</f>
        <v>BRUDER RICHARD</v>
      </c>
      <c r="M120" s="6">
        <f t="shared" si="27"/>
        <v>2.5729166671226267E-2</v>
      </c>
      <c r="N120" s="7">
        <f t="shared" si="46"/>
        <v>37.050000006565824</v>
      </c>
      <c r="O120" s="7"/>
      <c r="P120" s="7"/>
      <c r="Q120" s="22"/>
      <c r="R120" s="173"/>
      <c r="S120" s="176">
        <f t="shared" si="47"/>
        <v>1</v>
      </c>
      <c r="T120" s="202" t="str">
        <f t="shared" si="30"/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1"/>
        <v>https://d0f6bd738d7f1b3e5a7ca70fe4ff75f0.us-east-1.aws.found.io/app/kibana#/discover/Steve-Slow-Train-Analysis-(2080s-and-2083s)?_g=(refreshInterval:(display:Off,pause:!f,section:0,value:0),time:(from:'2017-06-03T15:54:44-0600',mode:absolute,to:'2017-06-03T18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0" s="204" t="str">
        <f t="shared" si="32"/>
        <v>N</v>
      </c>
      <c r="X120" s="204">
        <f t="shared" si="33"/>
        <v>1</v>
      </c>
      <c r="Y120" s="204">
        <f t="shared" si="45"/>
        <v>4.5499999999999999E-2</v>
      </c>
      <c r="Z120" s="204">
        <f t="shared" si="35"/>
        <v>23.330300000000001</v>
      </c>
      <c r="AA120" s="204">
        <f t="shared" si="36"/>
        <v>23.284800000000001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7"/>
        <v>0207-03</v>
      </c>
      <c r="AE120" s="80" t="str">
        <f t="shared" si="38"/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AF120" s="77" t="str">
        <f t="shared" si="39"/>
        <v>"C:\Program Files (x86)\AstroGrep\AstroGrep.exe" /e /r /s /spath="%USERPROFILE%\AppData\Local\Temp\OnboardLogs" /stypes="app*4004*20170603*" /stext=" 23:.+((SYSTEM_STATE.+slice.+state.+changed )|(ment ac)|(multiple cpu faults)|(system.+state.+changed )|(\[timeout)|(PRM\|1\|D)|(kpr)|(kdp)|(train st.+moving)|(\|lc)|(penalty))"</v>
      </c>
      <c r="AG120" s="1" t="str">
        <f t="shared" si="40"/>
        <v>EC</v>
      </c>
      <c r="AH120" s="81" t="str">
        <f t="shared" si="41"/>
        <v>"%USERPROFILE%\Documents\GitHub\eaglep3\Utilities\RefineRTDCRunTimes.py" --tripid 207-03 --locoid 4004 --swversion DE.1.0.9.0 --startMP 204:455 --initTime 2017-06-03T16:54:44 --startdatetime 2017-06-03T17:00:20 --delay 1 --endMP 204:233303 --enddatetime 2017-06-03T17:37:23 --enforcementcount 0 &gt;&gt;C:\Users\stu\Documents\GitHub\eaglep3-reporting\EC\2017-06-03-refined-times.txt</v>
      </c>
      <c r="AI120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{"issue":{"subject":"","project_id":79,"tracker_id":40,"status_id":1,"priority_id":2,"assigned_to_id":23,"start_date":"2017-06-03","description":"","custom_fields":[{"id":1,"name":"Subdivision","value":"EC"},{"id":4,"name":"Milepost","value":"23.3303"},{"id":17,"name":"Train ID","value":"207-03"},{"id":16,"name":"Locomotive ID","value":"4004"},{"id":130,"name":"Impact","value":""},{"id":150,"name":"Time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3"/>
        <v>start /low /b %USERPROFILE%\Documents\GitHub\eaglep3\Utilities\DownloadLogsFromS3.py --loco 4004 --day 2017-06-03</v>
      </c>
      <c r="AN120" s="154" t="str">
        <f t="shared" si="44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797</v>
      </c>
      <c r="B121" s="7">
        <v>4003</v>
      </c>
      <c r="C121" s="21" t="s">
        <v>204</v>
      </c>
      <c r="D121" s="21" t="s">
        <v>481</v>
      </c>
      <c r="E121" s="13">
        <v>42889.742685185185</v>
      </c>
      <c r="F121" s="13">
        <v>42889.748148148145</v>
      </c>
      <c r="G121" s="7">
        <v>2</v>
      </c>
      <c r="H121" s="21" t="s">
        <v>352</v>
      </c>
      <c r="I121" s="13">
        <v>42889.774618055555</v>
      </c>
      <c r="J121" s="7">
        <v>0</v>
      </c>
      <c r="K121" s="92" t="str">
        <f t="shared" si="26"/>
        <v>4003/4004</v>
      </c>
      <c r="L121" s="21" t="str">
        <f>VLOOKUP(A121,'Trips&amp;Operators'!$C$1:$G$99999,5,FALSE)</f>
        <v>BRUDER RICHARD</v>
      </c>
      <c r="M121" s="6">
        <f t="shared" si="27"/>
        <v>2.6469907410501037E-2</v>
      </c>
      <c r="N121" s="7">
        <f t="shared" si="46"/>
        <v>38.116666671121493</v>
      </c>
      <c r="O121" s="7"/>
      <c r="P121" s="7"/>
      <c r="Q121" s="22"/>
      <c r="R121" s="173"/>
      <c r="S121" s="176">
        <f t="shared" si="47"/>
        <v>1</v>
      </c>
      <c r="T121" s="202" t="str">
        <f t="shared" si="30"/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1"/>
        <v>https://d0f6bd738d7f1b3e5a7ca70fe4ff75f0.us-east-1.aws.found.io/app/kibana#/discover/Steve-Slow-Train-Analysis-(2080s-and-2083s)?_g=(refreshInterval:(display:Off,pause:!f,section:0,value:0),time:(from:'2017-06-03T16:49:28-0600',mode:absolute,to:'2017-06-03T19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204" t="str">
        <f t="shared" si="32"/>
        <v>N</v>
      </c>
      <c r="X121" s="204">
        <f t="shared" si="33"/>
        <v>1</v>
      </c>
      <c r="Y121" s="204">
        <f t="shared" si="45"/>
        <v>23.297799999999999</v>
      </c>
      <c r="Z121" s="204">
        <f t="shared" si="35"/>
        <v>1.4999999999999999E-2</v>
      </c>
      <c r="AA121" s="204">
        <f t="shared" si="36"/>
        <v>23.282799999999998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7"/>
        <v>0208-03</v>
      </c>
      <c r="AE121" s="80" t="str">
        <f t="shared" si="38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121" s="77" t="str">
        <f t="shared" si="39"/>
        <v>"C:\Program Files (x86)\AstroGrep\AstroGrep.exe" /e /r /s /spath="%USERPROFILE%\AppData\Local\Temp\OnboardLogs" /stypes="app*4003*20170604*" /stext=" 00:.+((SYSTEM_STATE.+slice.+state.+changed )|(ment ac)|(multiple cpu faults)|(system.+state.+changed )|(\[timeout)|(PRM\|1\|D)|(kpr)|(kdp)|(train st.+moving)|(\|lc)|(penalty))"</v>
      </c>
      <c r="AG121" s="1" t="str">
        <f t="shared" si="40"/>
        <v>EC</v>
      </c>
      <c r="AH121" s="81" t="str">
        <f t="shared" si="41"/>
        <v>"%USERPROFILE%\Documents\GitHub\eaglep3\Utilities\RefineRTDCRunTimes.py" --tripid 208-03 --locoid 4003 --swversion DE.1.0.9.0 --startMP 204:232978 --initTime 2017-06-03T17:49:28 --startdatetime 2017-06-03T17:57:20 --delay 2 --endMP 204:150 --enddatetime 2017-06-03T18:35:27 --enforcementcount 0 &gt;&gt;C:\Users\stu\Documents\GitHub\eaglep3-reporting\EC\2017-06-03-refined-times.txt</v>
      </c>
      <c r="AI121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{"issue":{"subject":"","project_id":79,"tracker_id":40,"status_id":1,"priority_id":2,"assigned_to_id":23,"start_date":"2017-06-03","description":"","custom_fields":[{"id":1,"name":"Subdivision","value":"EC"},{"id":4,"name":"Milepost","value":"0.015"},{"id":17,"name":"Train ID","value":"208-03"},{"id":16,"name":"Locomotive ID","value":"4003"},{"id":130,"name":"Impact","value":""},{"id":150,"name":"Time of Event (Mountain Time)","value":"18:35:27"},{"id":151,"name":"Denver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3"/>
        <v>start /low /b %USERPROFILE%\Documents\GitHub\eaglep3\Utilities\DownloadLogsFromS3.py --loco 4003 --day 2017-06-03</v>
      </c>
      <c r="AN121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788</v>
      </c>
      <c r="B122" s="7">
        <v>4008</v>
      </c>
      <c r="C122" s="21" t="s">
        <v>204</v>
      </c>
      <c r="D122" s="21" t="s">
        <v>943</v>
      </c>
      <c r="E122" s="13">
        <v>42889.714143518519</v>
      </c>
      <c r="F122" s="13">
        <v>42889.722581018519</v>
      </c>
      <c r="G122" s="7">
        <v>1</v>
      </c>
      <c r="H122" s="21" t="s">
        <v>526</v>
      </c>
      <c r="I122" s="13">
        <v>42889.744120370371</v>
      </c>
      <c r="J122" s="7">
        <v>0</v>
      </c>
      <c r="K122" s="92" t="str">
        <f t="shared" si="26"/>
        <v>4007/4008</v>
      </c>
      <c r="L122" s="21" t="str">
        <f>VLOOKUP(A122,'Trips&amp;Operators'!$C$1:$G$99999,5,FALSE)</f>
        <v>WHITED DUSTIN</v>
      </c>
      <c r="M122" s="6">
        <f t="shared" si="27"/>
        <v>2.1539351851970423E-2</v>
      </c>
      <c r="N122" s="7"/>
      <c r="O122" s="7"/>
      <c r="P122" s="7">
        <f>24*60*SUM($M122:$M122)</f>
        <v>31.016666666837409</v>
      </c>
      <c r="Q122" s="22"/>
      <c r="R122" s="173" t="s">
        <v>615</v>
      </c>
      <c r="S122" s="176">
        <f t="shared" si="47"/>
        <v>1</v>
      </c>
      <c r="T122" s="202" t="str">
        <f t="shared" si="30"/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1"/>
        <v>https://d0f6bd738d7f1b3e5a7ca70fe4ff75f0.us-east-1.aws.found.io/app/kibana#/discover/Steve-Slow-Train-Analysis-(2080s-and-2083s)?_g=(refreshInterval:(display:Off,pause:!f,section:0,value:0),time:(from:'2017-06-03T16:08:22-0600',mode:absolute,to:'2017-06-03T18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2" s="204" t="str">
        <f t="shared" si="32"/>
        <v>Y</v>
      </c>
      <c r="X122" s="204">
        <f t="shared" si="33"/>
        <v>1</v>
      </c>
      <c r="Y122" s="204">
        <v>1.9</v>
      </c>
      <c r="Z122" s="204">
        <f t="shared" si="35"/>
        <v>23.331499999999998</v>
      </c>
      <c r="AA122" s="204">
        <f t="shared" si="36"/>
        <v>21.4315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7"/>
        <v>0209-03</v>
      </c>
      <c r="AE122" s="80" t="str">
        <f t="shared" si="38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122" s="77" t="str">
        <f t="shared" si="39"/>
        <v>"C:\Program Files (x86)\AstroGrep\AstroGrep.exe" /e /r /s /spath="%USERPROFILE%\AppData\Local\Temp\OnboardLogs" /stypes="app*4008*20170603*" /stext=" 23:.+((SYSTEM_STATE.+slice.+state.+changed )|(ment ac)|(multiple cpu faults)|(system.+state.+changed )|(\[timeout)|(PRM\|1\|D)|(kpr)|(kdp)|(train st.+moving)|(\|lc)|(penalty))"</v>
      </c>
      <c r="AG122" s="1" t="str">
        <f t="shared" si="40"/>
        <v>EC</v>
      </c>
      <c r="AH122" s="81" t="str">
        <f t="shared" si="41"/>
        <v>"%USERPROFILE%\Documents\GitHub\eaglep3\Utilities\RefineRTDCRunTimes.py" --tripid 209-03 --locoid 4008 --swversion DE.1.0.9.0 --startMP 204:730 --initTime 2017-06-03T17:08:22 --startdatetime 2017-06-03T17:20:31 --delay 1 --endMP 204:233315 --enddatetime 2017-06-03T17:51:32 --enforcementcount 0 &gt;&gt;C:\Users\stu\Documents\GitHub\eaglep3-reporting\EC\2017-06-03-refined-times.txt</v>
      </c>
      <c r="AI122" s="99" t="str">
        <f t="shared" si="42"/>
        <v>echo {"issue":{"subject":"Poor GPS at DUS","project_id":79,"tracker_id":40,"status_id":1,"priority_id":2,"assigned_to_id":23,"start_date":"2017-06-03","description":"","custom_fields":[{"id":1,"name":"Subdivision","value":"EC"},{"id":4,"name":"Milepost","value":"23.3315"},{"id":17,"name":"Train ID","value":"209-03"},{"id":16,"name":"Locomotive ID","value":"4008"},{"id":130,"name":"Impact","value":""},{"id":150,"name":"Time of Event (Mountain Time)","value":"17:51:32"},{"id":151,"name":"Denver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3"/>
        <v>start /low /b %USERPROFILE%\Documents\GitHub\eaglep3\Utilities\DownloadLogsFromS3.py --loco 4008 --day 2017-06-03</v>
      </c>
      <c r="AN122" s="154" t="str">
        <f t="shared" si="44"/>
        <v>echo {"issue":{"subject":"Poor GPS at DUS","project_id":30,"tracker_id":4,"status_id":1,"priority_id":1,"assigned_to_id":10,"start_date":"2017-06-03","description":"","custom_fields":[{"id":30,"name":"Category","value":"Issue"},{"id":3,"name":"Functional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801</v>
      </c>
      <c r="B123" s="7">
        <v>4007</v>
      </c>
      <c r="C123" s="21" t="s">
        <v>204</v>
      </c>
      <c r="D123" s="21" t="s">
        <v>437</v>
      </c>
      <c r="E123" s="13">
        <v>42889.751863425925</v>
      </c>
      <c r="F123" s="13">
        <v>42889.758483796293</v>
      </c>
      <c r="G123" s="7">
        <v>1</v>
      </c>
      <c r="H123" s="21" t="s">
        <v>473</v>
      </c>
      <c r="I123" s="13">
        <v>42889.784120370372</v>
      </c>
      <c r="J123" s="7">
        <v>0</v>
      </c>
      <c r="K123" s="92" t="str">
        <f t="shared" si="26"/>
        <v>4007/4008</v>
      </c>
      <c r="L123" s="21" t="str">
        <f>VLOOKUP(A123,'Trips&amp;Operators'!$C$1:$G$99999,5,FALSE)</f>
        <v>WHITED DUSTIN</v>
      </c>
      <c r="M123" s="6">
        <f t="shared" si="27"/>
        <v>2.5636574078816921E-2</v>
      </c>
      <c r="N123" s="7">
        <f t="shared" ref="N123:N158" si="48">24*60*SUM($M123:$M123)</f>
        <v>36.916666673496366</v>
      </c>
      <c r="O123" s="7"/>
      <c r="P123" s="7"/>
      <c r="Q123" s="22"/>
      <c r="R123" s="173"/>
      <c r="S123" s="176">
        <f t="shared" si="47"/>
        <v>1</v>
      </c>
      <c r="T123" s="202" t="str">
        <f t="shared" si="30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1"/>
        <v>https://d0f6bd738d7f1b3e5a7ca70fe4ff75f0.us-east-1.aws.found.io/app/kibana#/discover/Steve-Slow-Train-Analysis-(2080s-and-2083s)?_g=(refreshInterval:(display:Off,pause:!f,section:0,value:0),time:(from:'2017-06-03T17:02:41-0600',mode:absolute,to:'2017-06-03T19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204" t="str">
        <f t="shared" si="32"/>
        <v>N</v>
      </c>
      <c r="X123" s="204">
        <f t="shared" si="33"/>
        <v>1</v>
      </c>
      <c r="Y123" s="204">
        <f t="shared" ref="Y123:Y154" si="49">RIGHT(D123,LEN(D123)-4)/10000</f>
        <v>23.297699999999999</v>
      </c>
      <c r="Z123" s="204">
        <f t="shared" si="35"/>
        <v>1.34E-2</v>
      </c>
      <c r="AA123" s="204">
        <f t="shared" si="36"/>
        <v>23.284299999999998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7"/>
        <v>0210-03</v>
      </c>
      <c r="AE123" s="80" t="str">
        <f t="shared" si="38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123" s="77" t="str">
        <f t="shared" si="39"/>
        <v>"C:\Program Files (x86)\AstroGrep\AstroGrep.exe" /e /r /s /spath="%USERPROFILE%\AppData\Local\Temp\OnboardLogs" /stypes="app*4007*20170604*" /stext=" 00:.+((SYSTEM_STATE.+slice.+state.+changed )|(ment ac)|(multiple cpu faults)|(system.+state.+changed )|(\[timeout)|(PRM\|1\|D)|(kpr)|(kdp)|(train st.+moving)|(\|lc)|(penalty))"</v>
      </c>
      <c r="AG123" s="1" t="str">
        <f t="shared" si="40"/>
        <v>EC</v>
      </c>
      <c r="AH123" s="81" t="str">
        <f t="shared" si="41"/>
        <v>"%USERPROFILE%\Documents\GitHub\eaglep3\Utilities\RefineRTDCRunTimes.py" --tripid 210-03 --locoid 4007 --swversion DE.1.0.9.0 --startMP 204:232977 --initTime 2017-06-03T18:02:41 --startdatetime 2017-06-03T18:12:13 --delay 1 --endMP 204:134 --enddatetime 2017-06-03T18:49:08 --enforcementcount 0 &gt;&gt;C:\Users\stu\Documents\GitHub\eaglep3-reporting\EC\2017-06-03-refined-times.txt</v>
      </c>
      <c r="AI123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{"issue":{"subject":"","project_id":79,"tracker_id":40,"status_id":1,"priority_id":2,"assigned_to_id":23,"start_date":"2017-06-03","description":"","custom_fields":[{"id":1,"name":"Subdivision","value":"EC"},{"id":4,"name":"Milepost","value":"0.0134"},{"id":17,"name":"Train ID","value":"210-03"},{"id":16,"name":"Locomotive ID","value":"4007"},{"id":130,"name":"Impact","value":""},{"id":150,"name":"Time of Event (Mountain Time)","value":"18:49:08"},{"id":151,"name":"Denver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3"/>
        <v>start /low /b %USERPROFILE%\Documents\GitHub\eaglep3\Utilities\DownloadLogsFromS3.py --loco 4007 --day 2017-06-03</v>
      </c>
      <c r="AN123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639</v>
      </c>
      <c r="B124" s="7">
        <v>4050</v>
      </c>
      <c r="C124" s="21" t="s">
        <v>204</v>
      </c>
      <c r="D124" s="21" t="s">
        <v>356</v>
      </c>
      <c r="E124" s="13">
        <v>42889.725046296298</v>
      </c>
      <c r="F124" s="13">
        <v>42889.729317129626</v>
      </c>
      <c r="G124" s="7">
        <v>1</v>
      </c>
      <c r="H124" s="21" t="s">
        <v>944</v>
      </c>
      <c r="I124" s="13">
        <v>42889.753923611112</v>
      </c>
      <c r="J124" s="7">
        <v>0</v>
      </c>
      <c r="K124" s="92" t="str">
        <f t="shared" si="26"/>
        <v>4049/4050</v>
      </c>
      <c r="L124" s="21" t="str">
        <f>VLOOKUP(A124,'Trips&amp;Operators'!$C$1:$G$99999,5,FALSE)</f>
        <v>DELGADO DIANAH</v>
      </c>
      <c r="M124" s="6">
        <f t="shared" si="27"/>
        <v>2.4606481485534459E-2</v>
      </c>
      <c r="N124" s="7">
        <f t="shared" si="48"/>
        <v>35.433333339169621</v>
      </c>
      <c r="O124" s="7"/>
      <c r="P124" s="7"/>
      <c r="Q124" s="22"/>
      <c r="R124" s="173"/>
      <c r="S124" s="176">
        <f t="shared" si="47"/>
        <v>1</v>
      </c>
      <c r="T124" s="202" t="str">
        <f t="shared" si="30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1"/>
        <v>https://d0f6bd738d7f1b3e5a7ca70fe4ff75f0.us-east-1.aws.found.io/app/kibana#/discover/Steve-Slow-Train-Analysis-(2080s-and-2083s)?_g=(refreshInterval:(display:Off,pause:!f,section:0,value:0),time:(from:'2017-06-03T16:24:04-0600',mode:absolute,to:'2017-06-03T19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4" s="204" t="str">
        <f t="shared" si="32"/>
        <v>N</v>
      </c>
      <c r="X124" s="204">
        <f t="shared" si="33"/>
        <v>1</v>
      </c>
      <c r="Y124" s="204">
        <f t="shared" si="49"/>
        <v>4.5100000000000001E-2</v>
      </c>
      <c r="Z124" s="204">
        <f t="shared" si="35"/>
        <v>23.335899999999999</v>
      </c>
      <c r="AA124" s="204">
        <f t="shared" si="36"/>
        <v>23.290799999999997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7"/>
        <v>0211-03</v>
      </c>
      <c r="AE124" s="80" t="str">
        <f t="shared" si="38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124" s="77" t="str">
        <f t="shared" si="39"/>
        <v>"C:\Program Files (x86)\AstroGrep\AstroGrep.exe" /e /r /s /spath="%USERPROFILE%\AppData\Local\Temp\OnboardLogs" /stypes="app*4050*20170604*" /stext=" 00:.+((SYSTEM_STATE.+slice.+state.+changed )|(ment ac)|(multiple cpu faults)|(system.+state.+changed )|(\[timeout)|(PRM\|1\|D)|(kpr)|(kdp)|(train st.+moving)|(\|lc)|(penalty))"</v>
      </c>
      <c r="AG124" s="1" t="str">
        <f t="shared" si="40"/>
        <v>EC</v>
      </c>
      <c r="AH124" s="81" t="str">
        <f t="shared" si="41"/>
        <v>"%USERPROFILE%\Documents\GitHub\eaglep3\Utilities\RefineRTDCRunTimes.py" --tripid 211-03 --locoid 4050 --swversion DE.1.0.9.0 --startMP 204:451 --initTime 2017-06-03T17:24:04 --startdatetime 2017-06-03T17:30:13 --delay 1 --endMP 204:233359 --enddatetime 2017-06-03T18:05:39 --enforcementcount 0 &gt;&gt;C:\Users\stu\Documents\GitHub\eaglep3-reporting\EC\2017-06-03-refined-times.txt</v>
      </c>
      <c r="AI124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{"issue":{"subject":"","project_id":79,"tracker_id":40,"status_id":1,"priority_id":2,"assigned_to_id":23,"start_date":"2017-06-03","description":"","custom_fields":[{"id":1,"name":"Subdivision","value":"EC"},{"id":4,"name":"Milepost","value":"23.3359"},{"id":17,"name":"Train ID","value":"211-03"},{"id":16,"name":"Locomotive ID","value":"4050"},{"id":130,"name":"Impact","value":""},{"id":150,"name":"Time of Event (Mountain Time)","value":"18:05:39"},{"id":151,"name":"Denver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3"/>
        <v>start /low /b %USERPROFILE%\Documents\GitHub\eaglep3\Utilities\DownloadLogsFromS3.py --loco 4050 --day 2017-06-03</v>
      </c>
      <c r="AN124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807</v>
      </c>
      <c r="B125" s="7">
        <v>4049</v>
      </c>
      <c r="C125" s="21" t="s">
        <v>204</v>
      </c>
      <c r="D125" s="21" t="s">
        <v>945</v>
      </c>
      <c r="E125" s="13">
        <v>42889.759097222224</v>
      </c>
      <c r="F125" s="13">
        <v>42889.768912037034</v>
      </c>
      <c r="G125" s="7">
        <v>1</v>
      </c>
      <c r="H125" s="21" t="s">
        <v>196</v>
      </c>
      <c r="I125" s="13">
        <v>42889.79483796296</v>
      </c>
      <c r="J125" s="7">
        <v>0</v>
      </c>
      <c r="K125" s="92" t="str">
        <f t="shared" si="26"/>
        <v>4049/4050</v>
      </c>
      <c r="L125" s="21" t="str">
        <f>VLOOKUP(A125,'Trips&amp;Operators'!$C$1:$G$99999,5,FALSE)</f>
        <v>DELGADO DIANAH</v>
      </c>
      <c r="M125" s="6">
        <f t="shared" si="27"/>
        <v>2.5925925925548654E-2</v>
      </c>
      <c r="N125" s="7">
        <f t="shared" si="48"/>
        <v>37.333333332790062</v>
      </c>
      <c r="O125" s="7"/>
      <c r="P125" s="7"/>
      <c r="Q125" s="22"/>
      <c r="R125" s="173"/>
      <c r="S125" s="176">
        <f t="shared" si="47"/>
        <v>1</v>
      </c>
      <c r="T125" s="202" t="str">
        <f t="shared" si="30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1"/>
        <v>https://d0f6bd738d7f1b3e5a7ca70fe4ff75f0.us-east-1.aws.found.io/app/kibana#/discover/Steve-Slow-Train-Analysis-(2080s-and-2083s)?_g=(refreshInterval:(display:Off,pause:!f,section:0,value:0),time:(from:'2017-06-03T17:13:06-0600',mode:absolute,to:'2017-06-03T20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5" s="204" t="str">
        <f t="shared" si="32"/>
        <v>N</v>
      </c>
      <c r="X125" s="204">
        <f t="shared" si="33"/>
        <v>1</v>
      </c>
      <c r="Y125" s="204">
        <f t="shared" si="49"/>
        <v>23.303999999999998</v>
      </c>
      <c r="Z125" s="204">
        <f t="shared" si="35"/>
        <v>1.5800000000000002E-2</v>
      </c>
      <c r="AA125" s="204">
        <f t="shared" si="36"/>
        <v>23.2882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7"/>
        <v>0212-03</v>
      </c>
      <c r="AE125" s="80" t="str">
        <f t="shared" si="38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125" s="77" t="str">
        <f t="shared" si="39"/>
        <v>"C:\Program Files (x86)\AstroGrep\AstroGrep.exe" /e /r /s /spath="%USERPROFILE%\AppData\Local\Temp\OnboardLogs" /stypes="app*4049*20170604*" /stext=" 01:.+((SYSTEM_STATE.+slice.+state.+changed )|(ment ac)|(multiple cpu faults)|(system.+state.+changed )|(\[timeout)|(PRM\|1\|D)|(kpr)|(kdp)|(train st.+moving)|(\|lc)|(penalty))"</v>
      </c>
      <c r="AG125" s="1" t="str">
        <f t="shared" si="40"/>
        <v>EC</v>
      </c>
      <c r="AH125" s="81" t="str">
        <f t="shared" si="41"/>
        <v>"%USERPROFILE%\Documents\GitHub\eaglep3\Utilities\RefineRTDCRunTimes.py" --tripid 212-03 --locoid 4049 --swversion DE.1.0.9.0 --startMP 204:233040 --initTime 2017-06-03T18:13:06 --startdatetime 2017-06-03T18:27:14 --delay 1 --endMP 204:158 --enddatetime 2017-06-03T19:04:34 --enforcementcount 0 &gt;&gt;C:\Users\stu\Documents\GitHub\eaglep3-reporting\EC\2017-06-03-refined-times.txt</v>
      </c>
      <c r="AI125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ID","value":"212-03"},{"id":16,"name":"Locomotive ID","value":"4049"},{"id":130,"name":"Impact","value":""},{"id":150,"name":"Time of Event (Mountain Time)","value":"19:04:34"},{"id":151,"name":"Denver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3"/>
        <v>start /low /b %USERPROFILE%\Documents\GitHub\eaglep3\Utilities\DownloadLogsFromS3.py --loco 4049 --day 2017-06-03</v>
      </c>
      <c r="AN125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796</v>
      </c>
      <c r="B126" s="7">
        <v>4010</v>
      </c>
      <c r="C126" s="21" t="s">
        <v>204</v>
      </c>
      <c r="D126" s="21" t="s">
        <v>946</v>
      </c>
      <c r="E126" s="13">
        <v>42889.736597222225</v>
      </c>
      <c r="F126" s="13">
        <v>42889.739803240744</v>
      </c>
      <c r="G126" s="7">
        <v>1</v>
      </c>
      <c r="H126" s="21" t="s">
        <v>947</v>
      </c>
      <c r="I126" s="13">
        <v>42889.765300925923</v>
      </c>
      <c r="J126" s="7">
        <v>0</v>
      </c>
      <c r="K126" s="92" t="str">
        <f t="shared" si="26"/>
        <v>4009/4010</v>
      </c>
      <c r="L126" s="21" t="str">
        <f>VLOOKUP(A126,'Trips&amp;Operators'!$C$1:$G$99999,5,FALSE)</f>
        <v>YANG JAN</v>
      </c>
      <c r="M126" s="6">
        <f t="shared" si="27"/>
        <v>2.5497685179288965E-2</v>
      </c>
      <c r="N126" s="7">
        <f t="shared" si="48"/>
        <v>36.716666658176109</v>
      </c>
      <c r="O126" s="7"/>
      <c r="P126" s="7"/>
      <c r="Q126" s="22"/>
      <c r="R126" s="173"/>
      <c r="S126" s="176">
        <f t="shared" si="47"/>
        <v>1</v>
      </c>
      <c r="T126" s="202" t="str">
        <f t="shared" si="30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1"/>
        <v>https://d0f6bd738d7f1b3e5a7ca70fe4ff75f0.us-east-1.aws.found.io/app/kibana#/discover/Steve-Slow-Train-Analysis-(2080s-and-2083s)?_g=(refreshInterval:(display:Off,pause:!f,section:0,value:0),time:(from:'2017-06-03T16:40:42-0600',mode:absolute,to:'2017-06-03T19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204" t="str">
        <f t="shared" si="32"/>
        <v>N</v>
      </c>
      <c r="X126" s="204">
        <f t="shared" si="33"/>
        <v>1</v>
      </c>
      <c r="Y126" s="204">
        <f t="shared" si="49"/>
        <v>5.7000000000000002E-2</v>
      </c>
      <c r="Z126" s="204">
        <f t="shared" si="35"/>
        <v>23.332100000000001</v>
      </c>
      <c r="AA126" s="204">
        <f t="shared" si="36"/>
        <v>23.275100000000002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7"/>
        <v>0213-03</v>
      </c>
      <c r="AE126" s="80" t="str">
        <f t="shared" si="38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126" s="77" t="str">
        <f t="shared" si="39"/>
        <v>"C:\Program Files (x86)\AstroGrep\AstroGrep.exe" /e /r /s /spath="%USERPROFILE%\AppData\Local\Temp\OnboardLogs" /stypes="app*4010*20170604*" /stext=" 00:.+((SYSTEM_STATE.+slice.+state.+changed )|(ment ac)|(multiple cpu faults)|(system.+state.+changed )|(\[timeout)|(PRM\|1\|D)|(kpr)|(kdp)|(train st.+moving)|(\|lc)|(penalty))"</v>
      </c>
      <c r="AG126" s="1" t="str">
        <f t="shared" si="40"/>
        <v>EC</v>
      </c>
      <c r="AH126" s="81" t="str">
        <f t="shared" si="41"/>
        <v>"%USERPROFILE%\Documents\GitHub\eaglep3\Utilities\RefineRTDCRunTimes.py" --tripid 213-03 --locoid 4010 --swversion DE.1.0.9.0 --startMP 204:570 --initTime 2017-06-03T17:40:42 --startdatetime 2017-06-03T17:45:19 --delay 1 --endMP 204:233321 --enddatetime 2017-06-03T18:22:02 --enforcementcount 0 &gt;&gt;C:\Users\stu\Documents\GitHub\eaglep3-reporting\EC\2017-06-03-refined-times.txt</v>
      </c>
      <c r="AI126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{"issue":{"subject":"","project_id":79,"tracker_id":40,"status_id":1,"priority_id":2,"assigned_to_id":23,"start_date":"2017-06-03","description":"","custom_fields":[{"id":1,"name":"Subdivision","value":"EC"},{"id":4,"name":"Milepost","value":"23.3321"},{"id":17,"name":"Train ID","value":"213-03"},{"id":16,"name":"Locomotive ID","value":"4010"},{"id":130,"name":"Impact","value":""},{"id":150,"name":"Time of Event (Mountain Time)","value":"18:22:02"},{"id":151,"name":"Denver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3"/>
        <v>start /low /b %USERPROFILE%\Documents\GitHub\eaglep3\Utilities\DownloadLogsFromS3.py --loco 4010 --day 2017-06-03</v>
      </c>
      <c r="AN126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809</v>
      </c>
      <c r="B127" s="7">
        <v>4009</v>
      </c>
      <c r="C127" s="21" t="s">
        <v>204</v>
      </c>
      <c r="D127" s="21" t="s">
        <v>948</v>
      </c>
      <c r="E127" s="13">
        <v>42889.775196759256</v>
      </c>
      <c r="F127" s="13">
        <v>42889.779374999998</v>
      </c>
      <c r="G127" s="7">
        <v>1</v>
      </c>
      <c r="H127" s="21" t="s">
        <v>949</v>
      </c>
      <c r="I127" s="13">
        <v>42889.805752314816</v>
      </c>
      <c r="J127" s="7">
        <v>0</v>
      </c>
      <c r="K127" s="92" t="str">
        <f t="shared" si="26"/>
        <v>4009/4010</v>
      </c>
      <c r="L127" s="21" t="str">
        <f>VLOOKUP(A127,'Trips&amp;Operators'!$C$1:$G$99999,5,FALSE)</f>
        <v>YANG JAN</v>
      </c>
      <c r="M127" s="6">
        <f t="shared" si="27"/>
        <v>2.6377314818091691E-2</v>
      </c>
      <c r="N127" s="7">
        <f t="shared" si="48"/>
        <v>37.983333338052034</v>
      </c>
      <c r="O127" s="7"/>
      <c r="P127" s="7"/>
      <c r="Q127" s="22"/>
      <c r="R127" s="173"/>
      <c r="S127" s="176">
        <f t="shared" si="47"/>
        <v>1</v>
      </c>
      <c r="T127" s="202" t="str">
        <f t="shared" si="30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1"/>
        <v>https://d0f6bd738d7f1b3e5a7ca70fe4ff75f0.us-east-1.aws.found.io/app/kibana#/discover/Steve-Slow-Train-Analysis-(2080s-and-2083s)?_g=(refreshInterval:(display:Off,pause:!f,section:0,value:0),time:(from:'2017-06-03T17:36:17-0600',mode:absolute,to:'2017-06-03T20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204" t="str">
        <f t="shared" si="32"/>
        <v>N</v>
      </c>
      <c r="X127" s="204">
        <f t="shared" si="33"/>
        <v>1</v>
      </c>
      <c r="Y127" s="204">
        <f t="shared" si="49"/>
        <v>23.301100000000002</v>
      </c>
      <c r="Z127" s="204">
        <f t="shared" si="35"/>
        <v>1.67E-2</v>
      </c>
      <c r="AA127" s="204">
        <f t="shared" si="36"/>
        <v>23.284400000000002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7"/>
        <v>0214-03</v>
      </c>
      <c r="AE127" s="80" t="str">
        <f t="shared" si="38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127" s="77" t="str">
        <f t="shared" si="39"/>
        <v>"C:\Program Files (x86)\AstroGrep\AstroGrep.exe" /e /r /s /spath="%USERPROFILE%\AppData\Local\Temp\OnboardLogs" /stypes="app*4009*20170604*" /stext=" 01:.+((SYSTEM_STATE.+slice.+state.+changed )|(ment ac)|(multiple cpu faults)|(system.+state.+changed )|(\[timeout)|(PRM\|1\|D)|(kpr)|(kdp)|(train st.+moving)|(\|lc)|(penalty))"</v>
      </c>
      <c r="AG127" s="1" t="str">
        <f t="shared" si="40"/>
        <v>EC</v>
      </c>
      <c r="AH127" s="81" t="str">
        <f t="shared" si="41"/>
        <v>"%USERPROFILE%\Documents\GitHub\eaglep3\Utilities\RefineRTDCRunTimes.py" --tripid 214-03 --locoid 4009 --swversion DE.1.0.9.0 --startMP 204:233011 --initTime 2017-06-03T18:36:17 --startdatetime 2017-06-03T18:42:18 --delay 1 --endMP 204:167 --enddatetime 2017-06-03T19:20:17 --enforcementcount 0 &gt;&gt;C:\Users\stu\Documents\GitHub\eaglep3-reporting\EC\2017-06-03-refined-times.txt</v>
      </c>
      <c r="AI127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{"issue":{"subject":"","project_id":79,"tracker_id":40,"status_id":1,"priority_id":2,"assigned_to_id":23,"start_date":"2017-06-03","description":"","custom_fields":[{"id":1,"name":"Subdivision","value":"EC"},{"id":4,"name":"Milepost","value":"0.0167"},{"id":17,"name":"Train ID","value":"214-03"},{"id":16,"name":"Locomotive ID","value":"4009"},{"id":130,"name":"Impact","value":""},{"id":150,"name":"Time of Event (Mountain Time)","value":"19:20:17"},{"id":151,"name":"Denver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3"/>
        <v>start /low /b %USERPROFILE%\Documents\GitHub\eaglep3\Utilities\DownloadLogsFromS3.py --loco 4009 --day 2017-06-03</v>
      </c>
      <c r="AN127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799</v>
      </c>
      <c r="B128" s="7">
        <v>4032</v>
      </c>
      <c r="C128" s="21" t="s">
        <v>204</v>
      </c>
      <c r="D128" s="21" t="s">
        <v>201</v>
      </c>
      <c r="E128" s="13">
        <v>42889.747523148151</v>
      </c>
      <c r="F128" s="13">
        <v>42889.750162037039</v>
      </c>
      <c r="G128" s="7">
        <v>1</v>
      </c>
      <c r="H128" s="21" t="s">
        <v>531</v>
      </c>
      <c r="I128" s="13">
        <v>42889.774664351855</v>
      </c>
      <c r="J128" s="7">
        <v>0</v>
      </c>
      <c r="K128" s="92" t="str">
        <f t="shared" si="26"/>
        <v>4031/4032</v>
      </c>
      <c r="L128" s="21" t="str">
        <f>VLOOKUP(A128,'Trips&amp;Operators'!$C$1:$G$99999,5,FALSE)</f>
        <v>HOLCOMB KAMDEN</v>
      </c>
      <c r="M128" s="6">
        <f t="shared" si="27"/>
        <v>2.4502314816345461E-2</v>
      </c>
      <c r="N128" s="7">
        <f t="shared" si="48"/>
        <v>35.283333335537463</v>
      </c>
      <c r="O128" s="7"/>
      <c r="P128" s="7"/>
      <c r="Q128" s="22"/>
      <c r="R128" s="173"/>
      <c r="S128" s="176">
        <f t="shared" si="47"/>
        <v>1</v>
      </c>
      <c r="T128" s="202" t="str">
        <f t="shared" si="30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1"/>
        <v>https://d0f6bd738d7f1b3e5a7ca70fe4ff75f0.us-east-1.aws.found.io/app/kibana#/discover/Steve-Slow-Train-Analysis-(2080s-and-2083s)?_g=(refreshInterval:(display:Off,pause:!f,section:0,value:0),time:(from:'2017-06-03T16:56:26-0600',mode:absolute,to:'2017-06-03T19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204" t="str">
        <f t="shared" si="32"/>
        <v>N</v>
      </c>
      <c r="X128" s="204">
        <f t="shared" si="33"/>
        <v>1</v>
      </c>
      <c r="Y128" s="204">
        <f t="shared" si="49"/>
        <v>4.5999999999999999E-2</v>
      </c>
      <c r="Z128" s="204">
        <f t="shared" si="35"/>
        <v>23.327000000000002</v>
      </c>
      <c r="AA128" s="204">
        <f t="shared" si="36"/>
        <v>23.281000000000002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7"/>
        <v>0215-03</v>
      </c>
      <c r="AE128" s="80" t="str">
        <f t="shared" si="38"/>
        <v>aws s3 cp s3://rtdc.mdm.uploadarchive.raw/RTDC4032/ "%USERPROFILE%\AppData\Local\Temp\OnboardLogs"\RTDC4032\2017-06-03 --exclude "*" --recursive --include "*20170603*" &amp; "%USERPROFILE%\Documents\GitHub\mrs-test-scripts\Headless Mode &amp; Sideloading\WalkAndUnGZ.bat" "%USERPROFILE%\AppData\Local\Temp\OnboardLogs"\RTDC4032\2017-06-03 &amp; aws s3 cp s3://rtdc.mdm.uploadarchive.raw/RTDC4032/ "%USERPROFILE%\AppData\Local\Temp\OnboardLogs"\RTDC4032\2017-06-04 --exclude "*" --recursive --include "*20170604*" &amp; "%USERPROFILE%\Documents\GitHub\mrs-test-scripts\Headless Mode &amp; Sideloading\WalkAndUnGZ.bat" "%USERPROFILE%\AppData\Local\Temp\OnboardLogs"\RTDC4032\2017-06-04</v>
      </c>
      <c r="AF128" s="77" t="str">
        <f t="shared" si="39"/>
        <v>"C:\Program Files (x86)\AstroGrep\AstroGrep.exe" /e /r /s /spath="%USERPROFILE%\AppData\Local\Temp\OnboardLogs" /stypes="app*4032*20170604*" /stext=" 00:.+((SYSTEM_STATE.+slice.+state.+changed )|(ment ac)|(multiple cpu faults)|(system.+state.+changed )|(\[timeout)|(PRM\|1\|D)|(kpr)|(kdp)|(train st.+moving)|(\|lc)|(penalty))"</v>
      </c>
      <c r="AG128" s="1" t="str">
        <f t="shared" si="40"/>
        <v>EC</v>
      </c>
      <c r="AH128" s="81" t="str">
        <f t="shared" si="41"/>
        <v>"%USERPROFILE%\Documents\GitHub\eaglep3\Utilities\RefineRTDCRunTimes.py" --tripid 215-03 --locoid 4032 --swversion DE.1.0.9.0 --startMP 204:460 --initTime 2017-06-03T17:56:26 --startdatetime 2017-06-03T18:00:14 --delay 1 --endMP 204:233270 --enddatetime 2017-06-03T18:35:31 --enforcementcount 0 &gt;&gt;C:\Users\stu\Documents\GitHub\eaglep3-reporting\EC\2017-06-03-refined-times.txt</v>
      </c>
      <c r="AI128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{"issue":{"subject":"","project_id":79,"tracker_id":40,"status_id":1,"priority_id":2,"assigned_to_id":23,"start_date":"2017-06-03","description":"","custom_fields":[{"id":1,"name":"Subdivision","value":"EC"},{"id":4,"name":"Milepost","value":"23.327"},{"id":17,"name":"Train ID","value":"215-03"},{"id":16,"name":"Locomotive ID","value":"4032"},{"id":130,"name":"Impact","value":""},{"id":150,"name":"Time of Event (Mountain Time)","value":"18:35:31"},{"id":151,"name":"Denver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3"/>
        <v>start /low /b %USERPROFILE%\Documents\GitHub\eaglep3\Utilities\DownloadLogsFromS3.py --loco 4032 --day 2017-06-03</v>
      </c>
      <c r="AN128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812</v>
      </c>
      <c r="B129" s="7">
        <v>4031</v>
      </c>
      <c r="C129" s="21" t="s">
        <v>204</v>
      </c>
      <c r="D129" s="21" t="s">
        <v>950</v>
      </c>
      <c r="E129" s="13">
        <v>42889.785104166665</v>
      </c>
      <c r="F129" s="13">
        <v>42889.78979166667</v>
      </c>
      <c r="G129" s="7">
        <v>1</v>
      </c>
      <c r="H129" s="21" t="s">
        <v>363</v>
      </c>
      <c r="I129" s="13">
        <v>42889.81653935185</v>
      </c>
      <c r="J129" s="7">
        <v>0</v>
      </c>
      <c r="K129" s="92" t="str">
        <f t="shared" si="26"/>
        <v>4031/4032</v>
      </c>
      <c r="L129" s="21" t="str">
        <f>VLOOKUP(A129,'Trips&amp;Operators'!$C$1:$G$99999,5,FALSE)</f>
        <v>HOLCOMB KAMDEN</v>
      </c>
      <c r="M129" s="6">
        <f t="shared" si="27"/>
        <v>2.6747685180453118E-2</v>
      </c>
      <c r="N129" s="7">
        <f t="shared" si="48"/>
        <v>38.51666665985249</v>
      </c>
      <c r="O129" s="7"/>
      <c r="P129" s="7"/>
      <c r="Q129" s="22"/>
      <c r="R129" s="173"/>
      <c r="S129" s="176">
        <f t="shared" si="47"/>
        <v>1</v>
      </c>
      <c r="T129" s="202" t="str">
        <f t="shared" si="30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1"/>
        <v>https://d0f6bd738d7f1b3e5a7ca70fe4ff75f0.us-east-1.aws.found.io/app/kibana#/discover/Steve-Slow-Train-Analysis-(2080s-and-2083s)?_g=(refreshInterval:(display:Off,pause:!f,section:0,value:0),time:(from:'2017-06-03T17:50:33-0600',mode:absolute,to:'2017-06-03T20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204" t="str">
        <f t="shared" si="32"/>
        <v>N</v>
      </c>
      <c r="X129" s="204">
        <f t="shared" si="33"/>
        <v>1</v>
      </c>
      <c r="Y129" s="204">
        <f t="shared" si="49"/>
        <v>23.292300000000001</v>
      </c>
      <c r="Z129" s="204">
        <f t="shared" si="35"/>
        <v>1.41E-2</v>
      </c>
      <c r="AA129" s="204">
        <f t="shared" si="36"/>
        <v>23.278200000000002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7"/>
        <v>0216-03</v>
      </c>
      <c r="AE129" s="80" t="str">
        <f t="shared" si="38"/>
        <v>aws s3 cp s3://rtdc.mdm.uploadarchive.raw/RTDC4031/ "%USERPROFILE%\AppData\Local\Temp\OnboardLogs"\RTDC4031\2017-06-03 --exclude "*" --recursive --include "*20170603*" &amp; "%USERPROFILE%\Documents\GitHub\mrs-test-scripts\Headless Mode &amp; Sideloading\WalkAndUnGZ.bat" "%USERPROFILE%\AppData\Local\Temp\OnboardLogs"\RTDC4031\2017-06-03 &amp; aws s3 cp s3://rtdc.mdm.uploadarchive.raw/RTDC4031/ "%USERPROFILE%\AppData\Local\Temp\OnboardLogs"\RTDC4031\2017-06-04 --exclude "*" --recursive --include "*20170604*" &amp; "%USERPROFILE%\Documents\GitHub\mrs-test-scripts\Headless Mode &amp; Sideloading\WalkAndUnGZ.bat" "%USERPROFILE%\AppData\Local\Temp\OnboardLogs"\RTDC4031\2017-06-04</v>
      </c>
      <c r="AF129" s="77" t="str">
        <f t="shared" si="39"/>
        <v>"C:\Program Files (x86)\AstroGrep\AstroGrep.exe" /e /r /s /spath="%USERPROFILE%\AppData\Local\Temp\OnboardLogs" /stypes="app*4031*20170604*" /stext=" 01:.+((SYSTEM_STATE.+slice.+state.+changed )|(ment ac)|(multiple cpu faults)|(system.+state.+changed )|(\[timeout)|(PRM\|1\|D)|(kpr)|(kdp)|(train st.+moving)|(\|lc)|(penalty))"</v>
      </c>
      <c r="AG129" s="1" t="str">
        <f t="shared" si="40"/>
        <v>EC</v>
      </c>
      <c r="AH129" s="81" t="str">
        <f t="shared" si="41"/>
        <v>"%USERPROFILE%\Documents\GitHub\eaglep3\Utilities\RefineRTDCRunTimes.py" --tripid 216-03 --locoid 4031 --swversion DE.1.0.9.0 --startMP 204:232923 --initTime 2017-06-03T18:50:33 --startdatetime 2017-06-03T18:57:18 --delay 1 --endMP 204:141 --enddatetime 2017-06-03T19:35:49 --enforcementcount 0 &gt;&gt;C:\Users\stu\Documents\GitHub\eaglep3-reporting\EC\2017-06-03-refined-times.txt</v>
      </c>
      <c r="AI129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{"issue":{"subject":"","project_id":79,"tracker_id":40,"status_id":1,"priority_id":2,"assigned_to_id":23,"start_date":"2017-06-03","description":"","custom_fields":[{"id":1,"name":"Subdivision","value":"EC"},{"id":4,"name":"Milepost","value":"0.0141"},{"id":17,"name":"Train ID","value":"216-03"},{"id":16,"name":"Locomotive ID","value":"4031"},{"id":130,"name":"Impact","value":""},{"id":150,"name":"Time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3"/>
        <v>start /low /b %USERPROFILE%\Documents\GitHub\eaglep3\Utilities\DownloadLogsFromS3.py --loco 4031 --day 2017-06-03</v>
      </c>
      <c r="AN129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804</v>
      </c>
      <c r="B130" s="7">
        <v>4026</v>
      </c>
      <c r="C130" s="21" t="s">
        <v>204</v>
      </c>
      <c r="D130" s="21" t="s">
        <v>355</v>
      </c>
      <c r="E130" s="13">
        <v>42889.757708333331</v>
      </c>
      <c r="F130" s="13">
        <v>42889.760682870372</v>
      </c>
      <c r="G130" s="7">
        <v>1</v>
      </c>
      <c r="H130" s="21" t="s">
        <v>951</v>
      </c>
      <c r="I130" s="13">
        <v>42889.78570601852</v>
      </c>
      <c r="J130" s="7">
        <v>0</v>
      </c>
      <c r="K130" s="92" t="str">
        <f t="shared" si="26"/>
        <v>4025/4026</v>
      </c>
      <c r="L130" s="21" t="str">
        <f>VLOOKUP(A130,'Trips&amp;Operators'!$C$1:$G$99999,5,FALSE)</f>
        <v>PERKINS DARREN</v>
      </c>
      <c r="M130" s="6">
        <f t="shared" si="27"/>
        <v>2.5023148147738539E-2</v>
      </c>
      <c r="N130" s="7">
        <f t="shared" si="48"/>
        <v>36.033333332743496</v>
      </c>
      <c r="O130" s="7"/>
      <c r="P130" s="7"/>
      <c r="Q130" s="22"/>
      <c r="R130" s="173"/>
      <c r="S130" s="176">
        <f t="shared" si="47"/>
        <v>1</v>
      </c>
      <c r="T130" s="202" t="str">
        <f t="shared" si="30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1"/>
        <v>https://d0f6bd738d7f1b3e5a7ca70fe4ff75f0.us-east-1.aws.found.io/app/kibana#/discover/Steve-Slow-Train-Analysis-(2080s-and-2083s)?_g=(refreshInterval:(display:Off,pause:!f,section:0,value:0),time:(from:'2017-06-03T17:11:06-0600',mode:absolute,to:'2017-06-03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204" t="str">
        <f t="shared" si="32"/>
        <v>N</v>
      </c>
      <c r="X130" s="204">
        <f t="shared" si="33"/>
        <v>1</v>
      </c>
      <c r="Y130" s="204">
        <f t="shared" si="49"/>
        <v>4.6600000000000003E-2</v>
      </c>
      <c r="Z130" s="204">
        <f t="shared" si="35"/>
        <v>23.3325</v>
      </c>
      <c r="AA130" s="204">
        <f t="shared" si="36"/>
        <v>23.285899999999998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7"/>
        <v>0217-03</v>
      </c>
      <c r="AE130" s="80" t="str">
        <f t="shared" si="38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130" s="77" t="str">
        <f t="shared" si="39"/>
        <v>"C:\Program Files (x86)\AstroGrep\AstroGrep.exe" /e /r /s /spath="%USERPROFILE%\AppData\Local\Temp\OnboardLogs" /stypes="app*4026*20170604*" /stext=" 00:.+((SYSTEM_STATE.+slice.+state.+changed )|(ment ac)|(multiple cpu faults)|(system.+state.+changed )|(\[timeout)|(PRM\|1\|D)|(kpr)|(kdp)|(train st.+moving)|(\|lc)|(penalty))"</v>
      </c>
      <c r="AG130" s="1" t="str">
        <f t="shared" si="40"/>
        <v>EC</v>
      </c>
      <c r="AH130" s="81" t="str">
        <f t="shared" si="41"/>
        <v>"%USERPROFILE%\Documents\GitHub\eaglep3\Utilities\RefineRTDCRunTimes.py" --tripid 217-03 --locoid 4026 --swversion DE.1.0.9.0 --startMP 204:466 --initTime 2017-06-03T18:11:06 --startdatetime 2017-06-03T18:15:23 --delay 1 --endMP 204:233325 --enddatetime 2017-06-03T18:51:25 --enforcementcount 0 &gt;&gt;C:\Users\stu\Documents\GitHub\eaglep3-reporting\EC\2017-06-03-refined-times.txt</v>
      </c>
      <c r="AI130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{"issue":{"subject":"","project_id":79,"tracker_id":40,"status_id":1,"priority_id":2,"assigned_to_id":23,"start_date":"2017-06-03","description":"","custom_fields":[{"id":1,"name":"Subdivision","value":"EC"},{"id":4,"name":"Milepost","value":"23.3325"},{"id":17,"name":"Train ID","value":"217-03"},{"id":16,"name":"Locomotive ID","value":"4026"},{"id":130,"name":"Impact","value":""},{"id":150,"name":"Time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3"/>
        <v>start /low /b %USERPROFILE%\Documents\GitHub\eaglep3\Utilities\DownloadLogsFromS3.py --loco 4026 --day 2017-06-03</v>
      </c>
      <c r="AN130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814</v>
      </c>
      <c r="B131" s="7">
        <v>4025</v>
      </c>
      <c r="C131" s="21" t="s">
        <v>204</v>
      </c>
      <c r="D131" s="21" t="s">
        <v>591</v>
      </c>
      <c r="E131" s="13">
        <v>42889.793634259258</v>
      </c>
      <c r="F131" s="13">
        <v>42889.800173611111</v>
      </c>
      <c r="G131" s="7">
        <v>1</v>
      </c>
      <c r="H131" s="21" t="s">
        <v>440</v>
      </c>
      <c r="I131" s="13">
        <v>42889.826261574075</v>
      </c>
      <c r="J131" s="7">
        <v>0</v>
      </c>
      <c r="K131" s="92" t="str">
        <f t="shared" si="26"/>
        <v>4025/4026</v>
      </c>
      <c r="L131" s="21" t="str">
        <f>VLOOKUP(A131,'Trips&amp;Operators'!$C$1:$G$99999,5,FALSE)</f>
        <v>PERKINS DARREN</v>
      </c>
      <c r="M131" s="6">
        <f t="shared" si="27"/>
        <v>2.6087962964083999E-2</v>
      </c>
      <c r="N131" s="7">
        <f t="shared" si="48"/>
        <v>37.566666668280959</v>
      </c>
      <c r="O131" s="7"/>
      <c r="P131" s="7"/>
      <c r="Q131" s="22"/>
      <c r="R131" s="173"/>
      <c r="S131" s="176">
        <f t="shared" si="47"/>
        <v>1</v>
      </c>
      <c r="T131" s="202" t="str">
        <f t="shared" si="30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1"/>
        <v>https://d0f6bd738d7f1b3e5a7ca70fe4ff75f0.us-east-1.aws.found.io/app/kibana#/discover/Steve-Slow-Train-Analysis-(2080s-and-2083s)?_g=(refreshInterval:(display:Off,pause:!f,section:0,value:0),time:(from:'2017-06-03T18:02:50-0600',mode:absolute,to:'2017-06-03T20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04" t="str">
        <f t="shared" si="32"/>
        <v>N</v>
      </c>
      <c r="X131" s="204">
        <f t="shared" si="33"/>
        <v>1</v>
      </c>
      <c r="Y131" s="204">
        <f t="shared" si="49"/>
        <v>23.299299999999999</v>
      </c>
      <c r="Z131" s="204">
        <f t="shared" si="35"/>
        <v>1.4500000000000001E-2</v>
      </c>
      <c r="AA131" s="204">
        <f t="shared" si="36"/>
        <v>23.284799999999997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7"/>
        <v>0218-03</v>
      </c>
      <c r="AE131" s="80" t="str">
        <f t="shared" si="38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131" s="77" t="str">
        <f t="shared" si="39"/>
        <v>"C:\Program Files (x86)\AstroGrep\AstroGrep.exe" /e /r /s /spath="%USERPROFILE%\AppData\Local\Temp\OnboardLogs" /stypes="app*4025*20170604*" /stext=" 01:.+((SYSTEM_STATE.+slice.+state.+changed )|(ment ac)|(multiple cpu faults)|(system.+state.+changed )|(\[timeout)|(PRM\|1\|D)|(kpr)|(kdp)|(train st.+moving)|(\|lc)|(penalty))"</v>
      </c>
      <c r="AG131" s="1" t="str">
        <f t="shared" si="40"/>
        <v>EC</v>
      </c>
      <c r="AH131" s="81" t="str">
        <f t="shared" si="41"/>
        <v>"%USERPROFILE%\Documents\GitHub\eaglep3\Utilities\RefineRTDCRunTimes.py" --tripid 218-03 --locoid 4025 --swversion DE.1.0.9.0 --startMP 204:232993 --initTime 2017-06-03T19:02:50 --startdatetime 2017-06-03T19:12:15 --delay 1 --endMP 204:145 --enddatetime 2017-06-03T19:49:49 --enforcementcount 0 &gt;&gt;C:\Users\stu\Documents\GitHub\eaglep3-reporting\EC\2017-06-03-refined-times.txt</v>
      </c>
      <c r="AI131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{"issue":{"subject":"","project_id":79,"tracker_id":40,"status_id":1,"priority_id":2,"assigned_to_id":23,"start_date":"2017-06-03","description":"","custom_fields":[{"id":1,"name":"Subdivision","value":"EC"},{"id":4,"name":"Milepost","value":"0.0145"},{"id":17,"name":"Train ID","value":"218-03"},{"id":16,"name":"Locomotive ID","value":"4025"},{"id":130,"name":"Impact","value":""},{"id":150,"name":"Time of Event (Mountain Time)","value":"19:49:49"},{"id":151,"name":"Denver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3"/>
        <v>start /low /b %USERPROFILE%\Documents\GitHub\eaglep3\Utilities\DownloadLogsFromS3.py --loco 4025 --day 2017-06-03</v>
      </c>
      <c r="AN131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808</v>
      </c>
      <c r="B132" s="7">
        <v>4014</v>
      </c>
      <c r="C132" s="21" t="s">
        <v>204</v>
      </c>
      <c r="D132" s="21" t="s">
        <v>860</v>
      </c>
      <c r="E132" s="13">
        <v>42889.766481481478</v>
      </c>
      <c r="F132" s="13">
        <v>42889.770995370367</v>
      </c>
      <c r="G132" s="7">
        <v>1</v>
      </c>
      <c r="H132" s="21" t="s">
        <v>592</v>
      </c>
      <c r="I132" s="13">
        <v>42889.79619212963</v>
      </c>
      <c r="J132" s="7">
        <v>0</v>
      </c>
      <c r="K132" s="92" t="str">
        <f t="shared" si="26"/>
        <v>4013/4014</v>
      </c>
      <c r="L132" s="21" t="str">
        <f>VLOOKUP(A132,'Trips&amp;Operators'!$C$1:$G$99999,5,FALSE)</f>
        <v>FORTUNATO FRANK</v>
      </c>
      <c r="M132" s="6">
        <f t="shared" si="27"/>
        <v>2.5196759263053536E-2</v>
      </c>
      <c r="N132" s="7">
        <f t="shared" si="48"/>
        <v>36.283333338797092</v>
      </c>
      <c r="O132" s="7"/>
      <c r="P132" s="7"/>
      <c r="Q132" s="22"/>
      <c r="R132" s="173"/>
      <c r="S132" s="176">
        <f t="shared" si="47"/>
        <v>1</v>
      </c>
      <c r="T132" s="202" t="str">
        <f t="shared" si="30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1"/>
        <v>https://d0f6bd738d7f1b3e5a7ca70fe4ff75f0.us-east-1.aws.found.io/app/kibana#/discover/Steve-Slow-Train-Analysis-(2080s-and-2083s)?_g=(refreshInterval:(display:Off,pause:!f,section:0,value:0),time:(from:'2017-06-03T17:23:44-0600',mode:absolute,to:'2017-06-03T20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2" s="204" t="str">
        <f t="shared" si="32"/>
        <v>N</v>
      </c>
      <c r="X132" s="204">
        <f t="shared" si="33"/>
        <v>1</v>
      </c>
      <c r="Y132" s="204">
        <f t="shared" si="49"/>
        <v>4.2599999999999999E-2</v>
      </c>
      <c r="Z132" s="204">
        <f t="shared" si="35"/>
        <v>23.3337</v>
      </c>
      <c r="AA132" s="204">
        <f t="shared" si="36"/>
        <v>23.2911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7"/>
        <v>0219-03</v>
      </c>
      <c r="AE132" s="80" t="str">
        <f t="shared" si="38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132" s="77" t="str">
        <f t="shared" si="39"/>
        <v>"C:\Program Files (x86)\AstroGrep\AstroGrep.exe" /e /r /s /spath="%USERPROFILE%\AppData\Local\Temp\OnboardLogs" /stypes="app*4014*20170604*" /stext=" 01:.+((SYSTEM_STATE.+slice.+state.+changed )|(ment ac)|(multiple cpu faults)|(system.+state.+changed )|(\[timeout)|(PRM\|1\|D)|(kpr)|(kdp)|(train st.+moving)|(\|lc)|(penalty))"</v>
      </c>
      <c r="AG132" s="1" t="str">
        <f t="shared" si="40"/>
        <v>EC</v>
      </c>
      <c r="AH132" s="81" t="str">
        <f t="shared" si="41"/>
        <v>"%USERPROFILE%\Documents\GitHub\eaglep3\Utilities\RefineRTDCRunTimes.py" --tripid 219-03 --locoid 4014 --swversion DE.1.0.9.0 --startMP 204:426 --initTime 2017-06-03T18:23:44 --startdatetime 2017-06-03T18:30:14 --delay 1 --endMP 204:233337 --enddatetime 2017-06-03T19:06:31 --enforcementcount 0 &gt;&gt;C:\Users\stu\Documents\GitHub\eaglep3-reporting\EC\2017-06-03-refined-times.txt</v>
      </c>
      <c r="AI132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{"issue":{"subject":"","project_id":79,"tracker_id":40,"status_id":1,"priority_id":2,"assigned_to_id":23,"start_date":"2017-06-03","description":"","custom_fields":[{"id":1,"name":"Subdivision","value":"EC"},{"id":4,"name":"Milepost","value":"23.3337"},{"id":17,"name":"Train ID","value":"219-03"},{"id":16,"name":"Locomotive ID","value":"4014"},{"id":130,"name":"Impact","value":""},{"id":150,"name":"Time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3"/>
        <v>start /low /b %USERPROFILE%\Documents\GitHub\eaglep3\Utilities\DownloadLogsFromS3.py --loco 4014 --day 2017-06-03</v>
      </c>
      <c r="AN132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817</v>
      </c>
      <c r="B133" s="7">
        <v>4013</v>
      </c>
      <c r="C133" s="21" t="s">
        <v>204</v>
      </c>
      <c r="D133" s="21" t="s">
        <v>952</v>
      </c>
      <c r="E133" s="13">
        <v>42889.804907407408</v>
      </c>
      <c r="F133" s="13">
        <v>42889.810555555552</v>
      </c>
      <c r="G133" s="7">
        <v>1</v>
      </c>
      <c r="H133" s="21" t="s">
        <v>942</v>
      </c>
      <c r="I133" s="13">
        <v>42889.838576388887</v>
      </c>
      <c r="J133" s="7">
        <v>0</v>
      </c>
      <c r="K133" s="92" t="str">
        <f t="shared" si="26"/>
        <v>4013/4014</v>
      </c>
      <c r="L133" s="21" t="str">
        <f>VLOOKUP(A133,'Trips&amp;Operators'!$C$1:$G$99999,5,FALSE)</f>
        <v>FORTUNATO FRANK</v>
      </c>
      <c r="M133" s="6">
        <f t="shared" si="27"/>
        <v>2.8020833335176576E-2</v>
      </c>
      <c r="N133" s="7">
        <f t="shared" si="48"/>
        <v>40.350000002654269</v>
      </c>
      <c r="O133" s="7"/>
      <c r="P133" s="7"/>
      <c r="Q133" s="22"/>
      <c r="R133" s="173"/>
      <c r="S133" s="176">
        <f t="shared" si="47"/>
        <v>1</v>
      </c>
      <c r="T133" s="202" t="str">
        <f t="shared" si="30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1"/>
        <v>https://d0f6bd738d7f1b3e5a7ca70fe4ff75f0.us-east-1.aws.found.io/app/kibana#/discover/Steve-Slow-Train-Analysis-(2080s-and-2083s)?_g=(refreshInterval:(display:Off,pause:!f,section:0,value:0),time:(from:'2017-06-03T18:19:04-0600',mode:absolute,to:'2017-06-03T21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3" s="204" t="str">
        <f t="shared" si="32"/>
        <v>N</v>
      </c>
      <c r="X133" s="204">
        <f t="shared" si="33"/>
        <v>1</v>
      </c>
      <c r="Y133" s="204">
        <f t="shared" si="49"/>
        <v>23.3001</v>
      </c>
      <c r="Z133" s="204">
        <f t="shared" si="35"/>
        <v>1.32E-2</v>
      </c>
      <c r="AA133" s="204">
        <f t="shared" si="36"/>
        <v>23.286899999999999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7"/>
        <v>0220-03</v>
      </c>
      <c r="AE133" s="80" t="str">
        <f t="shared" si="38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133" s="77" t="str">
        <f t="shared" si="39"/>
        <v>"C:\Program Files (x86)\AstroGrep\AstroGrep.exe" /e /r /s /spath="%USERPROFILE%\AppData\Local\Temp\OnboardLogs" /stypes="app*4013*20170604*" /stext=" 02:.+((SYSTEM_STATE.+slice.+state.+changed )|(ment ac)|(multiple cpu faults)|(system.+state.+changed )|(\[timeout)|(PRM\|1\|D)|(kpr)|(kdp)|(train st.+moving)|(\|lc)|(penalty))"</v>
      </c>
      <c r="AG133" s="1" t="str">
        <f t="shared" si="40"/>
        <v>EC</v>
      </c>
      <c r="AH133" s="81" t="str">
        <f t="shared" si="41"/>
        <v>"%USERPROFILE%\Documents\GitHub\eaglep3\Utilities\RefineRTDCRunTimes.py" --tripid 220-03 --locoid 4013 --swversion DE.1.0.9.0 --startMP 204:233001 --initTime 2017-06-03T19:19:04 --startdatetime 2017-06-03T19:27:12 --delay 1 --endMP 204:132 --enddatetime 2017-06-03T20:07:33 --enforcementcount 0 &gt;&gt;C:\Users\stu\Documents\GitHub\eaglep3-reporting\EC\2017-06-03-refined-times.txt</v>
      </c>
      <c r="AI133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{"issue":{"subject":"","project_id":79,"tracker_id":40,"status_id":1,"priority_id":2,"assigned_to_id":23,"start_date":"2017-06-03","description":"","custom_fields":[{"id":1,"name":"Subdivision","value":"EC"},{"id":4,"name":"Milepost","value":"0.0132"},{"id":17,"name":"Train ID","value":"220-03"},{"id":16,"name":"Locomotive ID","value":"4013"},{"id":130,"name":"Impact","value":""},{"id":150,"name":"Time of Event (Mountain Time)","value":"20:07:33"},{"id":151,"name":"Denver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3"/>
        <v>start /low /b %USERPROFILE%\Documents\GitHub\eaglep3\Utilities\DownloadLogsFromS3.py --loco 4013 --day 2017-06-03</v>
      </c>
      <c r="AN133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02:07:33"},{"id":29,"name":"Sharepoint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813</v>
      </c>
      <c r="B134" s="7">
        <v>4008</v>
      </c>
      <c r="C134" s="21" t="s">
        <v>204</v>
      </c>
      <c r="D134" s="21" t="s">
        <v>368</v>
      </c>
      <c r="E134" s="13">
        <v>42889.787349537037</v>
      </c>
      <c r="F134" s="13">
        <v>42889.791863425926</v>
      </c>
      <c r="G134" s="7">
        <v>1</v>
      </c>
      <c r="H134" s="21" t="s">
        <v>524</v>
      </c>
      <c r="I134" s="13">
        <v>42889.818541666667</v>
      </c>
      <c r="J134" s="7">
        <v>0</v>
      </c>
      <c r="K134" s="92" t="str">
        <f t="shared" si="26"/>
        <v>4007/4008</v>
      </c>
      <c r="L134" s="21" t="str">
        <f>VLOOKUP(A134,'Trips&amp;Operators'!$C$1:$G$99999,5,FALSE)</f>
        <v>SULLIVAN BRANDON</v>
      </c>
      <c r="M134" s="6">
        <f t="shared" si="27"/>
        <v>2.6678240741603076E-2</v>
      </c>
      <c r="N134" s="7">
        <f t="shared" si="48"/>
        <v>38.41666666790843</v>
      </c>
      <c r="O134" s="7"/>
      <c r="P134" s="7"/>
      <c r="Q134" s="22"/>
      <c r="R134" s="173"/>
      <c r="S134" s="176">
        <f t="shared" si="47"/>
        <v>1</v>
      </c>
      <c r="T134" s="202" t="str">
        <f t="shared" si="30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1"/>
        <v>https://d0f6bd738d7f1b3e5a7ca70fe4ff75f0.us-east-1.aws.found.io/app/kibana#/discover/Steve-Slow-Train-Analysis-(2080s-and-2083s)?_g=(refreshInterval:(display:Off,pause:!f,section:0,value:0),time:(from:'2017-06-03T17:53:47-0600',mode:absolute,to:'2017-06-03T20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4" s="204" t="str">
        <f t="shared" si="32"/>
        <v>N</v>
      </c>
      <c r="X134" s="204">
        <f t="shared" si="33"/>
        <v>1</v>
      </c>
      <c r="Y134" s="204">
        <f t="shared" si="49"/>
        <v>4.5499999999999999E-2</v>
      </c>
      <c r="Z134" s="204">
        <f t="shared" si="35"/>
        <v>23.328700000000001</v>
      </c>
      <c r="AA134" s="204">
        <f t="shared" si="36"/>
        <v>23.283200000000001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7"/>
        <v>0221-03</v>
      </c>
      <c r="AE134" s="80" t="str">
        <f t="shared" si="38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134" s="77" t="str">
        <f t="shared" si="39"/>
        <v>"C:\Program Files (x86)\AstroGrep\AstroGrep.exe" /e /r /s /spath="%USERPROFILE%\AppData\Local\Temp\OnboardLogs" /stypes="app*4008*20170604*" /stext=" 01:.+((SYSTEM_STATE.+slice.+state.+changed )|(ment ac)|(multiple cpu faults)|(system.+state.+changed )|(\[timeout)|(PRM\|1\|D)|(kpr)|(kdp)|(train st.+moving)|(\|lc)|(penalty))"</v>
      </c>
      <c r="AG134" s="1" t="str">
        <f t="shared" si="40"/>
        <v>EC</v>
      </c>
      <c r="AH134" s="81" t="str">
        <f t="shared" si="41"/>
        <v>"%USERPROFILE%\Documents\GitHub\eaglep3\Utilities\RefineRTDCRunTimes.py" --tripid 221-03 --locoid 4008 --swversion DE.1.0.9.0 --startMP 204:455 --initTime 2017-06-03T18:53:47 --startdatetime 2017-06-03T19:00:17 --delay 1 --endMP 204:233287 --enddatetime 2017-06-03T19:38:42 --enforcementcount 0 &gt;&gt;C:\Users\stu\Documents\GitHub\eaglep3-reporting\EC\2017-06-03-refined-times.txt</v>
      </c>
      <c r="AI134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{"issue":{"subject":"","project_id":79,"tracker_id":40,"status_id":1,"priority_id":2,"assigned_to_id":23,"start_date":"2017-06-03","description":"","custom_fields":[{"id":1,"name":"Subdivision","value":"EC"},{"id":4,"name":"Milepost","value":"23.3287"},{"id":17,"name":"Train ID","value":"221-03"},{"id":16,"name":"Locomotive ID","value":"4008"},{"id":130,"name":"Impact","value":""},{"id":150,"name":"Time of Event (Mountain Time)","value":"19:38:42"},{"id":151,"name":"Denver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3"/>
        <v>start /low /b %USERPROFILE%\Documents\GitHub\eaglep3\Utilities\DownloadLogsFromS3.py --loco 4008 --day 2017-06-03</v>
      </c>
      <c r="AN134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821</v>
      </c>
      <c r="B135" s="7">
        <v>4007</v>
      </c>
      <c r="C135" s="21" t="s">
        <v>204</v>
      </c>
      <c r="D135" s="21" t="s">
        <v>589</v>
      </c>
      <c r="E135" s="13">
        <v>42889.822592592594</v>
      </c>
      <c r="F135" s="13">
        <v>42889.831562500003</v>
      </c>
      <c r="G135" s="7">
        <v>1</v>
      </c>
      <c r="H135" s="21" t="s">
        <v>435</v>
      </c>
      <c r="I135" s="13">
        <v>42889.859293981484</v>
      </c>
      <c r="J135" s="7">
        <v>0</v>
      </c>
      <c r="K135" s="92" t="str">
        <f t="shared" si="26"/>
        <v>4007/4008</v>
      </c>
      <c r="L135" s="21" t="str">
        <f>VLOOKUP(A135,'Trips&amp;Operators'!$C$1:$G$99999,5,FALSE)</f>
        <v>SULLIVAN BRANDON</v>
      </c>
      <c r="M135" s="6">
        <f t="shared" si="27"/>
        <v>2.7731481481168885E-2</v>
      </c>
      <c r="N135" s="7">
        <f t="shared" si="48"/>
        <v>39.933333332883194</v>
      </c>
      <c r="O135" s="7"/>
      <c r="P135" s="7"/>
      <c r="Q135" s="22"/>
      <c r="R135" s="173"/>
      <c r="S135" s="176">
        <f t="shared" si="47"/>
        <v>1</v>
      </c>
      <c r="T135" s="202" t="str">
        <f t="shared" si="30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1"/>
        <v>https://d0f6bd738d7f1b3e5a7ca70fe4ff75f0.us-east-1.aws.found.io/app/kibana#/discover/Steve-Slow-Train-Analysis-(2080s-and-2083s)?_g=(refreshInterval:(display:Off,pause:!f,section:0,value:0),time:(from:'2017-06-03T18:44:32-0600',mode:absolute,to:'2017-06-03T21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5" s="204" t="str">
        <f t="shared" si="32"/>
        <v>N</v>
      </c>
      <c r="X135" s="204">
        <f t="shared" si="33"/>
        <v>1</v>
      </c>
      <c r="Y135" s="204">
        <f t="shared" si="49"/>
        <v>23.298100000000002</v>
      </c>
      <c r="Z135" s="204">
        <f t="shared" si="35"/>
        <v>1.61E-2</v>
      </c>
      <c r="AA135" s="204">
        <f t="shared" si="36"/>
        <v>23.282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7"/>
        <v>0222-03</v>
      </c>
      <c r="AE135" s="80" t="str">
        <f t="shared" si="38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135" s="77" t="str">
        <f t="shared" si="39"/>
        <v>"C:\Program Files (x86)\AstroGrep\AstroGrep.exe" /e /r /s /spath="%USERPROFILE%\AppData\Local\Temp\OnboardLogs" /stypes="app*4007*20170604*" /stext=" 02:.+((SYSTEM_STATE.+slice.+state.+changed )|(ment ac)|(multiple cpu faults)|(system.+state.+changed )|(\[timeout)|(PRM\|1\|D)|(kpr)|(kdp)|(train st.+moving)|(\|lc)|(penalty))"</v>
      </c>
      <c r="AG135" s="1" t="str">
        <f t="shared" si="40"/>
        <v>EC</v>
      </c>
      <c r="AH135" s="81" t="str">
        <f t="shared" si="41"/>
        <v>"%USERPROFILE%\Documents\GitHub\eaglep3\Utilities\RefineRTDCRunTimes.py" --tripid 222-03 --locoid 4007 --swversion DE.1.0.9.0 --startMP 204:232981 --initTime 2017-06-03T19:44:32 --startdatetime 2017-06-03T19:57:27 --delay 1 --endMP 204:161 --enddatetime 2017-06-03T20:37:23 --enforcementcount 0 &gt;&gt;C:\Users\stu\Documents\GitHub\eaglep3-reporting\EC\2017-06-03-refined-times.txt</v>
      </c>
      <c r="AI135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{"issue":{"subject":"","project_id":79,"tracker_id":40,"status_id":1,"priority_id":2,"assigned_to_id":23,"start_date":"2017-06-03","description":"","custom_fields":[{"id":1,"name":"Subdivision","value":"EC"},{"id":4,"name":"Milepost","value":"0.0161"},{"id":17,"name":"Train ID","value":"222-03"},{"id":16,"name":"Locomotive ID","value":"4007"},{"id":130,"name":"Impact","value":""},{"id":150,"name":"Time of Event (Mountain Time)","value":"20:37:23"},{"id":151,"name":"Denver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3"/>
        <v>start /low /b %USERPROFILE%\Documents\GitHub\eaglep3\Utilities\DownloadLogsFromS3.py --loco 4007 --day 2017-06-03</v>
      </c>
      <c r="AN135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02:37:23"},{"id":29,"name":"Sharepoint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818</v>
      </c>
      <c r="B136" s="7">
        <v>4010</v>
      </c>
      <c r="C136" s="21" t="s">
        <v>204</v>
      </c>
      <c r="D136" s="21" t="s">
        <v>482</v>
      </c>
      <c r="E136" s="13">
        <v>42889.808159722219</v>
      </c>
      <c r="F136" s="13">
        <v>42889.812708333331</v>
      </c>
      <c r="G136" s="7">
        <v>1</v>
      </c>
      <c r="H136" s="21" t="s">
        <v>523</v>
      </c>
      <c r="I136" s="13">
        <v>42889.838113425925</v>
      </c>
      <c r="J136" s="7">
        <v>0</v>
      </c>
      <c r="K136" s="92" t="str">
        <f t="shared" si="26"/>
        <v>4009/4010</v>
      </c>
      <c r="L136" s="21" t="str">
        <f>VLOOKUP(A136,'Trips&amp;Operators'!$C$1:$G$99999,5,FALSE)</f>
        <v>YANG JAN</v>
      </c>
      <c r="M136" s="6">
        <f t="shared" si="27"/>
        <v>2.5405092594155576E-2</v>
      </c>
      <c r="N136" s="7">
        <f t="shared" si="48"/>
        <v>36.58333333558403</v>
      </c>
      <c r="O136" s="7"/>
      <c r="P136" s="7"/>
      <c r="Q136" s="22"/>
      <c r="R136" s="173"/>
      <c r="S136" s="176">
        <f t="shared" si="47"/>
        <v>1</v>
      </c>
      <c r="T136" s="202" t="str">
        <f t="shared" si="30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1"/>
        <v>https://d0f6bd738d7f1b3e5a7ca70fe4ff75f0.us-east-1.aws.found.io/app/kibana#/discover/Steve-Slow-Train-Analysis-(2080s-and-2083s)?_g=(refreshInterval:(display:Off,pause:!f,section:0,value:0),time:(from:'2017-06-03T18:23:45-0600',mode:absolute,to:'2017-06-03T21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204" t="str">
        <f t="shared" si="32"/>
        <v>N</v>
      </c>
      <c r="X136" s="204">
        <f t="shared" si="33"/>
        <v>1</v>
      </c>
      <c r="Y136" s="204">
        <f t="shared" si="49"/>
        <v>4.7500000000000001E-2</v>
      </c>
      <c r="Z136" s="204">
        <f t="shared" si="35"/>
        <v>23.331800000000001</v>
      </c>
      <c r="AA136" s="204">
        <f t="shared" si="36"/>
        <v>23.284300000000002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7"/>
        <v>0223-03</v>
      </c>
      <c r="AE136" s="80" t="str">
        <f t="shared" si="38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136" s="77" t="str">
        <f t="shared" si="39"/>
        <v>"C:\Program Files (x86)\AstroGrep\AstroGrep.exe" /e /r /s /spath="%USERPROFILE%\AppData\Local\Temp\OnboardLogs" /stypes="app*4010*20170604*" /stext=" 02:.+((SYSTEM_STATE.+slice.+state.+changed )|(ment ac)|(multiple cpu faults)|(system.+state.+changed )|(\[timeout)|(PRM\|1\|D)|(kpr)|(kdp)|(train st.+moving)|(\|lc)|(penalty))"</v>
      </c>
      <c r="AG136" s="1" t="str">
        <f t="shared" si="40"/>
        <v>EC</v>
      </c>
      <c r="AH136" s="81" t="str">
        <f t="shared" si="41"/>
        <v>"%USERPROFILE%\Documents\GitHub\eaglep3\Utilities\RefineRTDCRunTimes.py" --tripid 223-03 --locoid 4010 --swversion DE.1.0.9.0 --startMP 204:475 --initTime 2017-06-03T19:23:45 --startdatetime 2017-06-03T19:30:18 --delay 1 --endMP 204:233318 --enddatetime 2017-06-03T20:06:53 --enforcementcount 0 &gt;&gt;C:\Users\stu\Documents\GitHub\eaglep3-reporting\EC\2017-06-03-refined-times.txt</v>
      </c>
      <c r="AI136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{"issue":{"subject":"","project_id":79,"tracker_id":40,"status_id":1,"priority_id":2,"assigned_to_id":23,"start_date":"2017-06-03","description":"","custom_fields":[{"id":1,"name":"Subdivision","value":"EC"},{"id":4,"name":"Milepost","value":"23.3318"},{"id":17,"name":"Train ID","value":"223-03"},{"id":16,"name":"Locomotive ID","value":"4010"},{"id":130,"name":"Impact","value":""},{"id":150,"name":"Time of Event (Mountain Time)","value":"20:06:53"},{"id":151,"name":"Denver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3"/>
        <v>start /low /b %USERPROFILE%\Documents\GitHub\eaglep3\Utilities\DownloadLogsFromS3.py --loco 4010 --day 2017-06-03</v>
      </c>
      <c r="AN136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823</v>
      </c>
      <c r="B137" s="7">
        <v>4009</v>
      </c>
      <c r="C137" s="21" t="s">
        <v>204</v>
      </c>
      <c r="D137" s="21" t="s">
        <v>953</v>
      </c>
      <c r="E137" s="13">
        <v>42889.839814814812</v>
      </c>
      <c r="F137" s="13">
        <v>42889.852256944447</v>
      </c>
      <c r="G137" s="7">
        <v>1</v>
      </c>
      <c r="H137" s="21" t="s">
        <v>403</v>
      </c>
      <c r="I137" s="13">
        <v>42889.879131944443</v>
      </c>
      <c r="J137" s="7">
        <v>0</v>
      </c>
      <c r="K137" s="92" t="str">
        <f t="shared" si="26"/>
        <v>4009/4010</v>
      </c>
      <c r="L137" s="21" t="str">
        <f>VLOOKUP(A137,'Trips&amp;Operators'!$C$1:$G$99999,5,FALSE)</f>
        <v>YANG JAN</v>
      </c>
      <c r="M137" s="6">
        <f t="shared" si="27"/>
        <v>2.6874999995925464E-2</v>
      </c>
      <c r="N137" s="7">
        <f t="shared" si="48"/>
        <v>38.699999994132668</v>
      </c>
      <c r="O137" s="7"/>
      <c r="P137" s="7"/>
      <c r="Q137" s="22"/>
      <c r="R137" s="173"/>
      <c r="S137" s="176">
        <f t="shared" si="47"/>
        <v>1</v>
      </c>
      <c r="T137" s="202" t="str">
        <f t="shared" si="30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1"/>
        <v>https://d0f6bd738d7f1b3e5a7ca70fe4ff75f0.us-east-1.aws.found.io/app/kibana#/discover/Steve-Slow-Train-Analysis-(2080s-and-2083s)?_g=(refreshInterval:(display:Off,pause:!f,section:0,value:0),time:(from:'2017-06-03T19:09:20-0600',mode:absolute,to:'2017-06-03T22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204" t="str">
        <f t="shared" si="32"/>
        <v>N</v>
      </c>
      <c r="X137" s="204">
        <f t="shared" si="33"/>
        <v>1</v>
      </c>
      <c r="Y137" s="204">
        <f t="shared" si="49"/>
        <v>23.300899999999999</v>
      </c>
      <c r="Z137" s="204">
        <f t="shared" si="35"/>
        <v>1.54E-2</v>
      </c>
      <c r="AA137" s="204">
        <f t="shared" si="36"/>
        <v>23.285499999999999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7"/>
        <v>0224-03</v>
      </c>
      <c r="AE137" s="80" t="str">
        <f t="shared" si="38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137" s="77" t="str">
        <f t="shared" si="39"/>
        <v>"C:\Program Files (x86)\AstroGrep\AstroGrep.exe" /e /r /s /spath="%USERPROFILE%\AppData\Local\Temp\OnboardLogs" /stypes="app*4009*20170604*" /stext=" 03:.+((SYSTEM_STATE.+slice.+state.+changed )|(ment ac)|(multiple cpu faults)|(system.+state.+changed )|(\[timeout)|(PRM\|1\|D)|(kpr)|(kdp)|(train st.+moving)|(\|lc)|(penalty))"</v>
      </c>
      <c r="AG137" s="1" t="str">
        <f t="shared" si="40"/>
        <v>EC</v>
      </c>
      <c r="AH137" s="81" t="str">
        <f t="shared" si="41"/>
        <v>"%USERPROFILE%\Documents\GitHub\eaglep3\Utilities\RefineRTDCRunTimes.py" --tripid 224-03 --locoid 4009 --swversion DE.1.0.9.0 --startMP 204:233009 --initTime 2017-06-03T20:09:20 --startdatetime 2017-06-03T20:27:15 --delay 1 --endMP 204:154 --enddatetime 2017-06-03T21:05:57 --enforcementcount 0 &gt;&gt;C:\Users\stu\Documents\GitHub\eaglep3-reporting\EC\2017-06-03-refined-times.txt</v>
      </c>
      <c r="AI137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ID","value":"224-03"},{"id":16,"name":"Locomotive ID","value":"4009"},{"id":130,"name":"Impact","value":""},{"id":150,"name":"Time of Event (Mountain Time)","value":"21:05:57"},{"id":151,"name":"Denver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3"/>
        <v>start /low /b %USERPROFILE%\Documents\GitHub\eaglep3\Utilities\DownloadLogsFromS3.py --loco 4009 --day 2017-06-03</v>
      </c>
      <c r="AN137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03:05:57"},{"id":29,"name":"Sharepoint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822</v>
      </c>
      <c r="B138" s="7">
        <v>4026</v>
      </c>
      <c r="C138" s="21" t="s">
        <v>204</v>
      </c>
      <c r="D138" s="21" t="s">
        <v>368</v>
      </c>
      <c r="E138" s="13">
        <v>42889.829351851855</v>
      </c>
      <c r="F138" s="13">
        <v>42889.833657407406</v>
      </c>
      <c r="G138" s="7">
        <v>2</v>
      </c>
      <c r="H138" s="21" t="s">
        <v>526</v>
      </c>
      <c r="I138" s="13">
        <v>42889.859282407408</v>
      </c>
      <c r="J138" s="7">
        <v>0</v>
      </c>
      <c r="K138" s="92" t="str">
        <f t="shared" si="26"/>
        <v>4025/4026</v>
      </c>
      <c r="L138" s="21" t="str">
        <f>VLOOKUP(A138,'Trips&amp;Operators'!$C$1:$G$99999,5,FALSE)</f>
        <v>BADERTSCHER DIANE</v>
      </c>
      <c r="M138" s="6">
        <f t="shared" si="27"/>
        <v>2.5625000002037268E-2</v>
      </c>
      <c r="N138" s="7">
        <f t="shared" si="48"/>
        <v>36.900000002933666</v>
      </c>
      <c r="O138" s="7"/>
      <c r="P138" s="7"/>
      <c r="Q138" s="22"/>
      <c r="R138" s="173"/>
      <c r="S138" s="176">
        <f t="shared" si="47"/>
        <v>1</v>
      </c>
      <c r="T138" s="202" t="str">
        <f t="shared" si="30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1"/>
        <v>https://d0f6bd738d7f1b3e5a7ca70fe4ff75f0.us-east-1.aws.found.io/app/kibana#/discover/Steve-Slow-Train-Analysis-(2080s-and-2083s)?_g=(refreshInterval:(display:Off,pause:!f,section:0,value:0),time:(from:'2017-06-03T18:54:16-0600',mode:absolute,to:'2017-06-03T21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204" t="str">
        <f t="shared" si="32"/>
        <v>N</v>
      </c>
      <c r="X138" s="204">
        <f t="shared" si="33"/>
        <v>1</v>
      </c>
      <c r="Y138" s="204">
        <f t="shared" si="49"/>
        <v>4.5499999999999999E-2</v>
      </c>
      <c r="Z138" s="204">
        <f t="shared" si="35"/>
        <v>23.331499999999998</v>
      </c>
      <c r="AA138" s="204">
        <f t="shared" si="36"/>
        <v>23.285999999999998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7"/>
        <v>0225-03</v>
      </c>
      <c r="AE138" s="80" t="str">
        <f t="shared" si="38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138" s="77" t="str">
        <f t="shared" si="39"/>
        <v>"C:\Program Files (x86)\AstroGrep\AstroGrep.exe" /e /r /s /spath="%USERPROFILE%\AppData\Local\Temp\OnboardLogs" /stypes="app*4026*20170604*" /stext=" 02:.+((SYSTEM_STATE.+slice.+state.+changed )|(ment ac)|(multiple cpu faults)|(system.+state.+changed )|(\[timeout)|(PRM\|1\|D)|(kpr)|(kdp)|(train st.+moving)|(\|lc)|(penalty))"</v>
      </c>
      <c r="AG138" s="1" t="str">
        <f t="shared" si="40"/>
        <v>EC</v>
      </c>
      <c r="AH138" s="81" t="str">
        <f t="shared" si="41"/>
        <v>"%USERPROFILE%\Documents\GitHub\eaglep3\Utilities\RefineRTDCRunTimes.py" --tripid 225-03 --locoid 4026 --swversion DE.1.0.9.0 --startMP 204:455 --initTime 2017-06-03T19:54:16 --startdatetime 2017-06-03T20:00:28 --delay 2 --endMP 204:233315 --enddatetime 2017-06-03T20:37:22 --enforcementcount 0 &gt;&gt;C:\Users\stu\Documents\GitHub\eaglep3-reporting\EC\2017-06-03-refined-times.txt</v>
      </c>
      <c r="AI138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{"issue":{"subject":"","project_id":79,"tracker_id":40,"status_id":1,"priority_id":2,"assigned_to_id":23,"start_date":"2017-06-03","description":"","custom_fields":[{"id":1,"name":"Subdivision","value":"EC"},{"id":4,"name":"Milepost","value":"23.3315"},{"id":17,"name":"Train ID","value":"225-03"},{"id":16,"name":"Locomotive ID","value":"4026"},{"id":130,"name":"Impact","value":""},{"id":150,"name":"Time of Event (Mountain Time)","value":"20:37:22"},{"id":151,"name":"Denver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3"/>
        <v>start /low /b %USERPROFILE%\Documents\GitHub\eaglep3\Utilities\DownloadLogsFromS3.py --loco 4026 --day 2017-06-03</v>
      </c>
      <c r="AN138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827</v>
      </c>
      <c r="B139" s="7">
        <v>4025</v>
      </c>
      <c r="C139" s="21" t="s">
        <v>204</v>
      </c>
      <c r="D139" s="21" t="s">
        <v>591</v>
      </c>
      <c r="E139" s="13">
        <v>42889.861597222225</v>
      </c>
      <c r="F139" s="13">
        <v>42889.873101851852</v>
      </c>
      <c r="G139" s="7">
        <v>1</v>
      </c>
      <c r="H139" s="21" t="s">
        <v>354</v>
      </c>
      <c r="I139" s="13">
        <v>42889.900335648148</v>
      </c>
      <c r="J139" s="7">
        <v>0</v>
      </c>
      <c r="K139" s="92" t="str">
        <f t="shared" si="26"/>
        <v>4025/4026</v>
      </c>
      <c r="L139" s="21" t="str">
        <f>VLOOKUP(A139,'Trips&amp;Operators'!$C$1:$G$99999,5,FALSE)</f>
        <v>BADERTSCHER DIANE</v>
      </c>
      <c r="M139" s="6">
        <f t="shared" si="27"/>
        <v>2.7233796296059154E-2</v>
      </c>
      <c r="N139" s="7">
        <f t="shared" si="48"/>
        <v>39.216666666325182</v>
      </c>
      <c r="O139" s="7"/>
      <c r="P139" s="7"/>
      <c r="Q139" s="22"/>
      <c r="R139" s="173"/>
      <c r="S139" s="176">
        <f t="shared" si="47"/>
        <v>1</v>
      </c>
      <c r="T139" s="202" t="str">
        <f t="shared" si="30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1"/>
        <v>https://d0f6bd738d7f1b3e5a7ca70fe4ff75f0.us-east-1.aws.found.io/app/kibana#/discover/Steve-Slow-Train-Analysis-(2080s-and-2083s)?_g=(refreshInterval:(display:Off,pause:!f,section:0,value:0),time:(from:'2017-06-03T19:40:42-0600',mode:absolute,to:'2017-06-03T22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204" t="str">
        <f t="shared" si="32"/>
        <v>N</v>
      </c>
      <c r="X139" s="204">
        <f t="shared" si="33"/>
        <v>1</v>
      </c>
      <c r="Y139" s="204">
        <f t="shared" si="49"/>
        <v>23.299299999999999</v>
      </c>
      <c r="Z139" s="204">
        <f t="shared" si="35"/>
        <v>1.43E-2</v>
      </c>
      <c r="AA139" s="204">
        <f t="shared" si="36"/>
        <v>23.285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7"/>
        <v>0226-03</v>
      </c>
      <c r="AE139" s="80" t="str">
        <f t="shared" si="38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139" s="77" t="str">
        <f t="shared" si="39"/>
        <v>"C:\Program Files (x86)\AstroGrep\AstroGrep.exe" /e /r /s /spath="%USERPROFILE%\AppData\Local\Temp\OnboardLogs" /stypes="app*4025*20170604*" /stext=" 03:.+((SYSTEM_STATE.+slice.+state.+changed )|(ment ac)|(multiple cpu faults)|(system.+state.+changed )|(\[timeout)|(PRM\|1\|D)|(kpr)|(kdp)|(train st.+moving)|(\|lc)|(penalty))"</v>
      </c>
      <c r="AG139" s="1" t="str">
        <f t="shared" si="40"/>
        <v>EC</v>
      </c>
      <c r="AH139" s="81" t="str">
        <f t="shared" si="41"/>
        <v>"%USERPROFILE%\Documents\GitHub\eaglep3\Utilities\RefineRTDCRunTimes.py" --tripid 226-03 --locoid 4025 --swversion DE.1.0.9.0 --startMP 204:232993 --initTime 2017-06-03T20:40:42 --startdatetime 2017-06-03T20:57:16 --delay 1 --endMP 204:143 --enddatetime 2017-06-03T21:36:29 --enforcementcount 0 &gt;&gt;C:\Users\stu\Documents\GitHub\eaglep3-reporting\EC\2017-06-03-refined-times.txt</v>
      </c>
      <c r="AI139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{"issue":{"subject":"","project_id":79,"tracker_id":40,"status_id":1,"priority_id":2,"assigned_to_id":23,"start_date":"2017-06-03","description":"","custom_fields":[{"id":1,"name":"Subdivision","value":"EC"},{"id":4,"name":"Milepost","value":"0.0143"},{"id":17,"name":"Train ID","value":"226-03"},{"id":16,"name":"Locomotive ID","value":"4025"},{"id":130,"name":"Impact","value":""},{"id":150,"name":"Time of Event (Mountain Time)","value":"21:36:29"},{"id":151,"name":"Denver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3"/>
        <v>start /low /b %USERPROFILE%\Documents\GitHub\eaglep3\Utilities\DownloadLogsFromS3.py --loco 4025 --day 2017-06-03</v>
      </c>
      <c r="AN139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825</v>
      </c>
      <c r="B140" s="7">
        <v>4014</v>
      </c>
      <c r="C140" s="21" t="s">
        <v>204</v>
      </c>
      <c r="D140" s="21" t="s">
        <v>406</v>
      </c>
      <c r="E140" s="13">
        <v>42889.846435185187</v>
      </c>
      <c r="F140" s="13">
        <v>42889.854317129626</v>
      </c>
      <c r="G140" s="7">
        <v>1</v>
      </c>
      <c r="H140" s="21" t="s">
        <v>479</v>
      </c>
      <c r="I140" s="13">
        <v>42889.879560185182</v>
      </c>
      <c r="J140" s="7">
        <v>0</v>
      </c>
      <c r="K140" s="92" t="str">
        <f t="shared" si="26"/>
        <v>4013/4014</v>
      </c>
      <c r="L140" s="21" t="str">
        <f>VLOOKUP(A140,'Trips&amp;Operators'!$C$1:$G$99999,5,FALSE)</f>
        <v>FORTUNATO FRANK</v>
      </c>
      <c r="M140" s="6">
        <f t="shared" si="27"/>
        <v>2.5243055555620231E-2</v>
      </c>
      <c r="N140" s="7">
        <f t="shared" si="48"/>
        <v>36.350000000093132</v>
      </c>
      <c r="O140" s="7"/>
      <c r="P140" s="7"/>
      <c r="Q140" s="22"/>
      <c r="R140" s="173"/>
      <c r="S140" s="176">
        <f t="shared" si="47"/>
        <v>1</v>
      </c>
      <c r="T140" s="202" t="str">
        <f t="shared" si="30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1"/>
        <v>https://d0f6bd738d7f1b3e5a7ca70fe4ff75f0.us-east-1.aws.found.io/app/kibana#/discover/Steve-Slow-Train-Analysis-(2080s-and-2083s)?_g=(refreshInterval:(display:Off,pause:!f,section:0,value:0),time:(from:'2017-06-03T19:18:52-0600',mode:absolute,to:'2017-06-03T22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0" s="204" t="str">
        <f t="shared" si="32"/>
        <v>N</v>
      </c>
      <c r="X140" s="204">
        <f t="shared" si="33"/>
        <v>1</v>
      </c>
      <c r="Y140" s="204">
        <f t="shared" si="49"/>
        <v>4.7300000000000002E-2</v>
      </c>
      <c r="Z140" s="204">
        <f t="shared" si="35"/>
        <v>23.3309</v>
      </c>
      <c r="AA140" s="204">
        <f t="shared" si="36"/>
        <v>23.2836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7"/>
        <v>0227-03</v>
      </c>
      <c r="AE140" s="80" t="str">
        <f t="shared" si="38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140" s="77" t="str">
        <f t="shared" si="39"/>
        <v>"C:\Program Files (x86)\AstroGrep\AstroGrep.exe" /e /r /s /spath="%USERPROFILE%\AppData\Local\Temp\OnboardLogs" /stypes="app*4014*20170604*" /stext=" 03:.+((SYSTEM_STATE.+slice.+state.+changed )|(ment ac)|(multiple cpu faults)|(system.+state.+changed )|(\[timeout)|(PRM\|1\|D)|(kpr)|(kdp)|(train st.+moving)|(\|lc)|(penalty))"</v>
      </c>
      <c r="AG140" s="1" t="str">
        <f t="shared" si="40"/>
        <v>EC</v>
      </c>
      <c r="AH140" s="81" t="str">
        <f t="shared" si="41"/>
        <v>"%USERPROFILE%\Documents\GitHub\eaglep3\Utilities\RefineRTDCRunTimes.py" --tripid 227-03 --locoid 4014 --swversion DE.1.0.9.0 --startMP 204:473 --initTime 2017-06-03T20:18:52 --startdatetime 2017-06-03T20:30:13 --delay 1 --endMP 204:233309 --enddatetime 2017-06-03T21:06:34 --enforcementcount 0 &gt;&gt;C:\Users\stu\Documents\GitHub\eaglep3-reporting\EC\2017-06-03-refined-times.txt</v>
      </c>
      <c r="AI140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{"issue":{"subject":"","project_id":79,"tracker_id":40,"status_id":1,"priority_id":2,"assigned_to_id":23,"start_date":"2017-06-03","description":"","custom_fields":[{"id":1,"name":"Subdivision","value":"EC"},{"id":4,"name":"Milepost","value":"23.3309"},{"id":17,"name":"Train ID","value":"227-03"},{"id":16,"name":"Locomotive ID","value":"4014"},{"id":130,"name":"Impact","value":""},{"id":150,"name":"Time of Event (Mountain Time)","value":"21:06:34"},{"id":151,"name":"Denver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3"/>
        <v>start /low /b %USERPROFILE%\Documents\GitHub\eaglep3\Utilities\DownloadLogsFromS3.py --loco 4014 --day 2017-06-03</v>
      </c>
      <c r="AN140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03:06:34"},{"id":29,"name":"Sharepoint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830</v>
      </c>
      <c r="B141" s="7">
        <v>4013</v>
      </c>
      <c r="C141" s="21" t="s">
        <v>204</v>
      </c>
      <c r="D141" s="21" t="s">
        <v>535</v>
      </c>
      <c r="E141" s="13">
        <v>42889.884432870371</v>
      </c>
      <c r="F141" s="13">
        <v>42889.894108796296</v>
      </c>
      <c r="G141" s="7">
        <v>1</v>
      </c>
      <c r="H141" s="21" t="s">
        <v>352</v>
      </c>
      <c r="I141" s="13">
        <v>42889.921956018516</v>
      </c>
      <c r="J141" s="7">
        <v>0</v>
      </c>
      <c r="K141" s="92" t="str">
        <f t="shared" ref="K141:K204" si="50">IF(ISEVEN(B141),(B141-1)&amp;"/"&amp;B141,B141&amp;"/"&amp;(B141+1))</f>
        <v>4013/4014</v>
      </c>
      <c r="L141" s="21" t="str">
        <f>VLOOKUP(A141,'Trips&amp;Operators'!$C$1:$G$99999,5,FALSE)</f>
        <v>FORTUNATO FRANK</v>
      </c>
      <c r="M141" s="6">
        <f t="shared" ref="M141:M204" si="51">I141-F141</f>
        <v>2.7847222219861578E-2</v>
      </c>
      <c r="N141" s="7">
        <f t="shared" si="48"/>
        <v>40.099999996600673</v>
      </c>
      <c r="O141" s="7"/>
      <c r="P141" s="7"/>
      <c r="Q141" s="22"/>
      <c r="R141" s="173"/>
      <c r="S141" s="176">
        <f t="shared" si="47"/>
        <v>1</v>
      </c>
      <c r="T141" s="202" t="str">
        <f t="shared" ref="T141:T204" si="52">IF(ISEVEN(LEFT(AD141,4)),"Southbound","NorthBound")</f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-03T20:13:35-0600',mode:absolute,to:'2017-06-03T23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1" s="204" t="str">
        <f t="shared" ref="W141:W204" si="54">IF(AA141&lt;IF(AG141="EC",23,5.65),"Y","N")</f>
        <v>N</v>
      </c>
      <c r="X141" s="204">
        <f t="shared" ref="X141:X204" si="55">VALUE(LEFT(AD141,4))-VALUE(LEFT(AD140,4))</f>
        <v>1</v>
      </c>
      <c r="Y141" s="204">
        <f t="shared" si="49"/>
        <v>23.298999999999999</v>
      </c>
      <c r="Z141" s="204">
        <f t="shared" ref="Z141:Z204" si="56">RIGHT(H141,LEN(H141)-4)/10000</f>
        <v>1.4999999999999999E-2</v>
      </c>
      <c r="AA141" s="204">
        <f t="shared" ref="AA141:AA204" si="57">ABS(Z141-Y141)</f>
        <v>23.283999999999999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8">IF(LEN(A141)=6,"0"&amp;A141,A141)</f>
        <v>0228-03</v>
      </c>
      <c r="AE141" s="80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141" s="77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/stypes="app*4013*20170604*"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1" t="str">
        <f t="shared" si="41"/>
        <v>"%USERPROFILE%\Documents\GitHub\eaglep3\Utilities\RefineRTDCRunTimes.py" --tripid 228-03 --locoid 4013 --swversion DE.1.0.9.0 --startMP 204:232990 --initTime 2017-06-03T21:13:35 --startdatetime 2017-06-03T21:27:31 --delay 1 --endMP 204:150 --enddatetime 2017-06-03T22:07:37 --enforcementcount 0 &gt;&gt;C:\Users\stu\Documents\GitHub\eaglep3-reporting\EC\2017-06-03-refined-times.txt</v>
      </c>
      <c r="AI141" s="99" t="str">
        <f t="shared" si="42"/>
        <v>echo {"issue":{"subject":"","project_id":79,"tracker_id":40,"status_id":1,"priority_id":2,"assigned_to_id":23,"start_date":"2017-06-03","description":"","custom_fields":[{"id":1,"name":"Subdivision","value":"EC"},{"id":4,"name":"Milepost","value":"0.015"},{"id":17,"name":"Train ID","value":"228-03"},{"id":16,"name":"Locomotive ID","value":"4013"},{"id":130,"name":"Impact","value":""},{"id":150,"name":"Time of Event (Mountain Time)","value":"22:07:37"},{"id":151,"name":"Denver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3"/>
        <v>start /low /b %USERPROFILE%\Documents\GitHub\eaglep3\Utilities\DownloadLogsFromS3.py --loco 4013 --day 2017-06-03</v>
      </c>
      <c r="AN141" s="154" t="str">
        <f t="shared" si="44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04:07:37"},{"id":29,"name":"Sharepoint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828</v>
      </c>
      <c r="B142" s="7">
        <v>4008</v>
      </c>
      <c r="C142" s="21" t="s">
        <v>204</v>
      </c>
      <c r="D142" s="21" t="s">
        <v>200</v>
      </c>
      <c r="E142" s="13">
        <v>42889.866608796299</v>
      </c>
      <c r="F142" s="13">
        <v>42889.8752662037</v>
      </c>
      <c r="G142" s="7">
        <v>1</v>
      </c>
      <c r="H142" s="21" t="s">
        <v>400</v>
      </c>
      <c r="I142" s="13">
        <v>42889.90184027778</v>
      </c>
      <c r="J142" s="7">
        <v>0</v>
      </c>
      <c r="K142" s="92" t="str">
        <f t="shared" si="50"/>
        <v>4007/4008</v>
      </c>
      <c r="L142" s="21" t="str">
        <f>VLOOKUP(A142,'Trips&amp;Operators'!$C$1:$G$99999,5,FALSE)</f>
        <v>SULLIVAN BRANDON</v>
      </c>
      <c r="M142" s="6">
        <f t="shared" si="51"/>
        <v>2.6574074079690035E-2</v>
      </c>
      <c r="N142" s="7">
        <f t="shared" si="48"/>
        <v>38.266666674753651</v>
      </c>
      <c r="O142" s="7"/>
      <c r="P142" s="7"/>
      <c r="Q142" s="22"/>
      <c r="R142" s="173"/>
      <c r="S142" s="176">
        <f t="shared" si="47"/>
        <v>1</v>
      </c>
      <c r="T142" s="202" t="str">
        <f t="shared" si="52"/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3"/>
        <v>https://d0f6bd738d7f1b3e5a7ca70fe4ff75f0.us-east-1.aws.found.io/app/kibana#/discover/Steve-Slow-Train-Analysis-(2080s-and-2083s)?_g=(refreshInterval:(display:Off,pause:!f,section:0,value:0),time:(from:'2017-06-03T19:47:55-0600',mode:absolute,to:'2017-06-03T22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2" s="204" t="str">
        <f t="shared" si="54"/>
        <v>N</v>
      </c>
      <c r="X142" s="204">
        <f t="shared" si="55"/>
        <v>1</v>
      </c>
      <c r="Y142" s="204">
        <f t="shared" si="49"/>
        <v>4.5699999999999998E-2</v>
      </c>
      <c r="Z142" s="204">
        <f t="shared" si="56"/>
        <v>23.3293</v>
      </c>
      <c r="AA142" s="204">
        <f t="shared" si="57"/>
        <v>23.2836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8"/>
        <v>0229-03</v>
      </c>
      <c r="AE142" s="80" t="str">
        <f t="shared" si="59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142" s="77" t="str">
        <f t="shared" si="60"/>
        <v>"C:\Program Files (x86)\AstroGrep\AstroGrep.exe" /e /r /s /spath="%USERPROFILE%\AppData\Local\Temp\OnboardLogs" /stypes="app*4008*20170604*" /stext=" 03:.+((SYSTEM_STATE.+slice.+state.+changed )|(ment ac)|(multiple cpu faults)|(system.+state.+changed )|(\[timeout)|(PRM\|1\|D)|(kpr)|(kdp)|(train st.+moving)|(\|lc)|(penalty))"</v>
      </c>
      <c r="AG142" s="1" t="str">
        <f t="shared" si="61"/>
        <v>EC</v>
      </c>
      <c r="AH142" s="81" t="str">
        <f t="shared" ref="AH142:AH205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229-03 --locoid 4008 --swversion DE.1.0.9.0 --startMP 204:457 --initTime 2017-06-03T20:47:55 --startdatetime 2017-06-03T21:00:23 --delay 1 --endMP 204:233293 --enddatetime 2017-06-03T21:38:39 --enforcementcount 0 &gt;&gt;C:\Users\stu\Documents\GitHub\eaglep3-reporting\EC\2017-06-03-refined-times.txt</v>
      </c>
      <c r="AI142" s="99" t="str">
        <f t="shared" ref="AI142:AI205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{"issue":{"subject":"","project_id":79,"tracker_id":40,"status_id":1,"priority_id":2,"assigned_to_id":23,"start_date":"2017-06-03","description":"","custom_fields":[{"id":1,"name":"Subdivision","value":"EC"},{"id":4,"name":"Milepost","value":"23.3293"},{"id":17,"name":"Train ID","value":"229-03"},{"id":16,"name":"Locomotive ID","value":"4008"},{"id":130,"name":"Impact","value":""},{"id":150,"name":"Time of Event (Mountain Time)","value":"21:38:39"},{"id":151,"name":"Denver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5" si="64">"start /low /b "&amp;dls3logs&amp;" --loco "&amp;B142&amp;" --day "&amp;TEXT(F142,"YYYY-MM-DD")</f>
        <v>start /low /b %USERPROFILE%\Documents\GitHub\eaglep3\Utilities\DownloadLogsFromS3.py --loco 4008 --day 2017-06-03</v>
      </c>
      <c r="AN142" s="154" t="str">
        <f t="shared" ref="AN142:AN205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03:38:39"},{"id":29,"name":"Sharepoint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833</v>
      </c>
      <c r="B143" s="7">
        <v>4007</v>
      </c>
      <c r="C143" s="21" t="s">
        <v>204</v>
      </c>
      <c r="D143" s="21" t="s">
        <v>528</v>
      </c>
      <c r="E143" s="13">
        <v>42889.906504629631</v>
      </c>
      <c r="F143" s="13">
        <v>42889.91474537037</v>
      </c>
      <c r="G143" s="7">
        <v>1</v>
      </c>
      <c r="H143" s="21" t="s">
        <v>403</v>
      </c>
      <c r="I143" s="13">
        <v>42889.942696759259</v>
      </c>
      <c r="J143" s="7">
        <v>0</v>
      </c>
      <c r="K143" s="92" t="str">
        <f t="shared" si="50"/>
        <v>4007/4008</v>
      </c>
      <c r="L143" s="21" t="str">
        <f>VLOOKUP(A143,'Trips&amp;Operators'!$C$1:$G$99999,5,FALSE)</f>
        <v>SULLIVAN BRANDON</v>
      </c>
      <c r="M143" s="6">
        <f t="shared" si="51"/>
        <v>2.7951388889050577E-2</v>
      </c>
      <c r="N143" s="7">
        <f t="shared" si="48"/>
        <v>40.250000000232831</v>
      </c>
      <c r="O143" s="7"/>
      <c r="P143" s="7"/>
      <c r="Q143" s="22"/>
      <c r="R143" s="173"/>
      <c r="S143" s="176">
        <f t="shared" ref="S143:S174" si="66">SUM(U143:U143)/IF(AG143="EC",12,1)</f>
        <v>1</v>
      </c>
      <c r="T143" s="202" t="str">
        <f t="shared" si="52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3"/>
        <v>https://d0f6bd738d7f1b3e5a7ca70fe4ff75f0.us-east-1.aws.found.io/app/kibana#/discover/Steve-Slow-Train-Analysis-(2080s-and-2083s)?_g=(refreshInterval:(display:Off,pause:!f,section:0,value:0),time:(from:'2017-06-03T20:45:22-0600',mode:absolute,to:'2017-06-03T23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3" s="204" t="str">
        <f t="shared" si="54"/>
        <v>N</v>
      </c>
      <c r="X143" s="204">
        <f t="shared" si="55"/>
        <v>1</v>
      </c>
      <c r="Y143" s="204">
        <f t="shared" si="49"/>
        <v>23.300599999999999</v>
      </c>
      <c r="Z143" s="204">
        <f t="shared" si="56"/>
        <v>1.54E-2</v>
      </c>
      <c r="AA143" s="204">
        <f t="shared" si="57"/>
        <v>23.2852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8"/>
        <v>0230-03</v>
      </c>
      <c r="AE143" s="80" t="str">
        <f t="shared" si="59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143" s="77" t="str">
        <f t="shared" si="60"/>
        <v>"C:\Program Files (x86)\AstroGrep\AstroGrep.exe" /e /r /s /spath="%USERPROFILE%\AppData\Local\Temp\OnboardLogs" /stypes="app*4007*20170604*" /stext=" 04:.+((SYSTEM_STATE.+slice.+state.+changed )|(ment ac)|(multiple cpu faults)|(system.+state.+changed )|(\[timeout)|(PRM\|1\|D)|(kpr)|(kdp)|(train st.+moving)|(\|lc)|(penalty))"</v>
      </c>
      <c r="AG143" s="1" t="str">
        <f t="shared" si="61"/>
        <v>EC</v>
      </c>
      <c r="AH143" s="81" t="str">
        <f t="shared" si="62"/>
        <v>"%USERPROFILE%\Documents\GitHub\eaglep3\Utilities\RefineRTDCRunTimes.py" --tripid 230-03 --locoid 4007 --swversion DE.1.0.9.0 --startMP 204:233006 --initTime 2017-06-03T21:45:22 --startdatetime 2017-06-03T21:57:14 --delay 1 --endMP 204:154 --enddatetime 2017-06-03T22:37:29 --enforcementcount 0 &gt;&gt;C:\Users\stu\Documents\GitHub\eaglep3-reporting\EC\2017-06-03-refined-times.txt</v>
      </c>
      <c r="AI143" s="99" t="str">
        <f t="shared" si="63"/>
        <v>echo {"issue":{"subject":"","project_id":79,"tracker_id":40,"status_id":1,"priority_id":2,"assigned_to_id":23,"start_date":"2017-06-03","description":"","custom_fields":[{"id":1,"name":"Subdivision","value":"EC"},{"id":4,"name":"Milepost","value":"0.0154"},{"id":17,"name":"Train ID","value":"230-03"},{"id":16,"name":"Locomotive ID","value":"4007"},{"id":130,"name":"Impact","value":""},{"id":150,"name":"Time of Event (Mountain Time)","value":"22:37:29"},{"id":151,"name":"Denver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4"/>
        <v>start /low /b %USERPROFILE%\Documents\GitHub\eaglep3\Utilities\DownloadLogsFromS3.py --loco 4007 --day 2017-06-03</v>
      </c>
      <c r="AN143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04:37:29"},{"id":29,"name":"Sharepoint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831</v>
      </c>
      <c r="B144" s="7">
        <v>4010</v>
      </c>
      <c r="C144" s="21" t="s">
        <v>204</v>
      </c>
      <c r="D144" s="21" t="s">
        <v>356</v>
      </c>
      <c r="E144" s="13">
        <v>42889.884942129633</v>
      </c>
      <c r="F144" s="13">
        <v>42889.896087962959</v>
      </c>
      <c r="G144" s="7">
        <v>1</v>
      </c>
      <c r="H144" s="21" t="s">
        <v>592</v>
      </c>
      <c r="I144" s="13">
        <v>42889.9218287037</v>
      </c>
      <c r="J144" s="7">
        <v>0</v>
      </c>
      <c r="K144" s="92" t="str">
        <f t="shared" si="50"/>
        <v>4009/4010</v>
      </c>
      <c r="L144" s="21" t="str">
        <f>VLOOKUP(A144,'Trips&amp;Operators'!$C$1:$G$99999,5,FALSE)</f>
        <v>YANG JAN</v>
      </c>
      <c r="M144" s="6">
        <f t="shared" si="51"/>
        <v>2.5740740740729962E-2</v>
      </c>
      <c r="N144" s="7">
        <f t="shared" si="48"/>
        <v>37.066666666651145</v>
      </c>
      <c r="O144" s="7"/>
      <c r="P144" s="7"/>
      <c r="Q144" s="22"/>
      <c r="R144" s="173"/>
      <c r="S144" s="176">
        <f t="shared" si="66"/>
        <v>1</v>
      </c>
      <c r="T144" s="202" t="str">
        <f t="shared" si="52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3"/>
        <v>https://d0f6bd738d7f1b3e5a7ca70fe4ff75f0.us-east-1.aws.found.io/app/kibana#/discover/Steve-Slow-Train-Analysis-(2080s-and-2083s)?_g=(refreshInterval:(display:Off,pause:!f,section:0,value:0),time:(from:'2017-06-03T20:14:19-0600',mode:absolute,to:'2017-06-03T23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204" t="str">
        <f t="shared" si="54"/>
        <v>N</v>
      </c>
      <c r="X144" s="204">
        <f t="shared" si="55"/>
        <v>1</v>
      </c>
      <c r="Y144" s="204">
        <f t="shared" si="49"/>
        <v>4.5100000000000001E-2</v>
      </c>
      <c r="Z144" s="204">
        <f t="shared" si="56"/>
        <v>23.3337</v>
      </c>
      <c r="AA144" s="204">
        <f t="shared" si="57"/>
        <v>23.288599999999999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8"/>
        <v>0231-03</v>
      </c>
      <c r="AE144" s="80" t="str">
        <f t="shared" si="59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144" s="77" t="str">
        <f t="shared" si="60"/>
        <v>"C:\Program Files (x86)\AstroGrep\AstroGrep.exe" /e /r /s /spath="%USERPROFILE%\AppData\Local\Temp\OnboardLogs" /stypes="app*4010*20170604*" /stext=" 04:.+((SYSTEM_STATE.+slice.+state.+changed )|(ment ac)|(multiple cpu faults)|(system.+state.+changed )|(\[timeout)|(PRM\|1\|D)|(kpr)|(kdp)|(train st.+moving)|(\|lc)|(penalty))"</v>
      </c>
      <c r="AG144" s="1" t="str">
        <f t="shared" si="61"/>
        <v>EC</v>
      </c>
      <c r="AH144" s="81" t="str">
        <f t="shared" si="62"/>
        <v>"%USERPROFILE%\Documents\GitHub\eaglep3\Utilities\RefineRTDCRunTimes.py" --tripid 231-03 --locoid 4010 --swversion DE.1.0.9.0 --startMP 204:451 --initTime 2017-06-03T21:14:19 --startdatetime 2017-06-03T21:30:22 --delay 1 --endMP 204:233337 --enddatetime 2017-06-03T22:07:26 --enforcementcount 0 &gt;&gt;C:\Users\stu\Documents\GitHub\eaglep3-reporting\EC\2017-06-03-refined-times.txt</v>
      </c>
      <c r="AI144" s="99" t="str">
        <f t="shared" si="63"/>
        <v>echo {"issue":{"subject":"","project_id":79,"tracker_id":40,"status_id":1,"priority_id":2,"assigned_to_id":23,"start_date":"2017-06-03","description":"","custom_fields":[{"id":1,"name":"Subdivision","value":"EC"},{"id":4,"name":"Milepost","value":"23.3337"},{"id":17,"name":"Train ID","value":"231-03"},{"id":16,"name":"Locomotive ID","value":"4010"},{"id":130,"name":"Impact","value":""},{"id":150,"name":"Time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4"/>
        <v>start /low /b %USERPROFILE%\Documents\GitHub\eaglep3\Utilities\DownloadLogsFromS3.py --loco 4010 --day 2017-06-03</v>
      </c>
      <c r="AN144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04:07:26"},{"id":29,"name":"Sharepoint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836</v>
      </c>
      <c r="B145" s="7">
        <v>4009</v>
      </c>
      <c r="C145" s="21" t="s">
        <v>204</v>
      </c>
      <c r="D145" s="21" t="s">
        <v>405</v>
      </c>
      <c r="E145" s="13">
        <v>42889.923645833333</v>
      </c>
      <c r="F145" s="13">
        <v>42889.935613425929</v>
      </c>
      <c r="G145" s="7">
        <v>1</v>
      </c>
      <c r="H145" s="21" t="s">
        <v>361</v>
      </c>
      <c r="I145" s="13">
        <v>42889.962708333333</v>
      </c>
      <c r="J145" s="7">
        <v>0</v>
      </c>
      <c r="K145" s="92" t="str">
        <f t="shared" si="50"/>
        <v>4009/4010</v>
      </c>
      <c r="L145" s="21" t="str">
        <f>VLOOKUP(A145,'Trips&amp;Operators'!$C$1:$G$99999,5,FALSE)</f>
        <v>YANG JAN</v>
      </c>
      <c r="M145" s="6">
        <f t="shared" si="51"/>
        <v>2.7094907403807156E-2</v>
      </c>
      <c r="N145" s="7">
        <f t="shared" si="48"/>
        <v>39.016666661482304</v>
      </c>
      <c r="O145" s="7"/>
      <c r="P145" s="7"/>
      <c r="Q145" s="22"/>
      <c r="R145" s="173"/>
      <c r="S145" s="176">
        <f t="shared" si="66"/>
        <v>1</v>
      </c>
      <c r="T145" s="202" t="str">
        <f t="shared" si="52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3"/>
        <v>https://d0f6bd738d7f1b3e5a7ca70fe4ff75f0.us-east-1.aws.found.io/app/kibana#/discover/Steve-Slow-Train-Analysis-(2080s-and-2083s)?_g=(refreshInterval:(display:Off,pause:!f,section:0,value:0),time:(from:'2017-06-03T21:10:03-0600',mode:absolute,to:'2017-06-04T00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204" t="str">
        <f t="shared" si="54"/>
        <v>N</v>
      </c>
      <c r="X145" s="204">
        <f t="shared" si="55"/>
        <v>1</v>
      </c>
      <c r="Y145" s="204">
        <f t="shared" si="49"/>
        <v>23.298200000000001</v>
      </c>
      <c r="Z145" s="204">
        <f t="shared" si="56"/>
        <v>1.3899999999999999E-2</v>
      </c>
      <c r="AA145" s="204">
        <f t="shared" si="57"/>
        <v>23.284300000000002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8"/>
        <v>0232-03</v>
      </c>
      <c r="AE145" s="80" t="str">
        <f t="shared" si="59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145" s="77" t="str">
        <f t="shared" si="60"/>
        <v>"C:\Program Files (x86)\AstroGrep\AstroGrep.exe" /e /r /s /spath="%USERPROFILE%\AppData\Local\Temp\OnboardLogs" /stypes="app*4009*20170604*" /stext=" 05:.+((SYSTEM_STATE.+slice.+state.+changed )|(ment ac)|(multiple cpu faults)|(system.+state.+changed )|(\[timeout)|(PRM\|1\|D)|(kpr)|(kdp)|(train st.+moving)|(\|lc)|(penalty))"</v>
      </c>
      <c r="AG145" s="1" t="str">
        <f t="shared" si="61"/>
        <v>EC</v>
      </c>
      <c r="AH145" s="81" t="str">
        <f t="shared" si="62"/>
        <v>"%USERPROFILE%\Documents\GitHub\eaglep3\Utilities\RefineRTDCRunTimes.py" --tripid 232-03 --locoid 4009 --swversion DE.1.0.9.0 --startMP 204:232982 --initTime 2017-06-03T22:10:03 --startdatetime 2017-06-03T22:27:17 --delay 1 --endMP 204:139 --enddatetime 2017-06-03T23:06:18 --enforcementcount 0 &gt;&gt;C:\Users\stu\Documents\GitHub\eaglep3-reporting\EC\2017-06-03-refined-times.txt</v>
      </c>
      <c r="AI145" s="99" t="str">
        <f t="shared" si="63"/>
        <v>echo {"issue":{"subject":"","project_id":79,"tracker_id":40,"status_id":1,"priority_id":2,"assigned_to_id":23,"start_date":"2017-06-03","description":"","custom_fields":[{"id":1,"name":"Subdivision","value":"EC"},{"id":4,"name":"Milepost","value":"0.0139"},{"id":17,"name":"Train ID","value":"232-03"},{"id":16,"name":"Locomotive ID","value":"4009"},{"id":130,"name":"Impact","value":""},{"id":150,"name":"Time of Event (Mountain Time)","value":"23:06:18"},{"id":151,"name":"Denver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4"/>
        <v>start /low /b %USERPROFILE%\Documents\GitHub\eaglep3\Utilities\DownloadLogsFromS3.py --loco 4009 --day 2017-06-03</v>
      </c>
      <c r="AN145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05:06:18"},{"id":29,"name":"Sharepoint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834</v>
      </c>
      <c r="B146" s="7">
        <v>4026</v>
      </c>
      <c r="C146" s="21" t="s">
        <v>204</v>
      </c>
      <c r="D146" s="21" t="s">
        <v>355</v>
      </c>
      <c r="E146" s="13">
        <v>42889.910127314812</v>
      </c>
      <c r="F146" s="13">
        <v>42889.91684027778</v>
      </c>
      <c r="G146" s="7">
        <v>1</v>
      </c>
      <c r="H146" s="21" t="s">
        <v>931</v>
      </c>
      <c r="I146" s="13">
        <v>42889.941944444443</v>
      </c>
      <c r="J146" s="7">
        <v>0</v>
      </c>
      <c r="K146" s="92" t="str">
        <f t="shared" si="50"/>
        <v>4025/4026</v>
      </c>
      <c r="L146" s="21" t="str">
        <f>VLOOKUP(A146,'Trips&amp;Operators'!$C$1:$G$99999,5,FALSE)</f>
        <v>PERKINS DARREN</v>
      </c>
      <c r="M146" s="6">
        <f t="shared" si="51"/>
        <v>2.5104166663368233E-2</v>
      </c>
      <c r="N146" s="7">
        <f t="shared" si="48"/>
        <v>36.149999995250255</v>
      </c>
      <c r="O146" s="7"/>
      <c r="P146" s="7"/>
      <c r="Q146" s="22"/>
      <c r="R146" s="173"/>
      <c r="S146" s="176">
        <f t="shared" si="66"/>
        <v>1</v>
      </c>
      <c r="T146" s="202" t="str">
        <f t="shared" si="52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3"/>
        <v>https://d0f6bd738d7f1b3e5a7ca70fe4ff75f0.us-east-1.aws.found.io/app/kibana#/discover/Steve-Slow-Train-Analysis-(2080s-and-2083s)?_g=(refreshInterval:(display:Off,pause:!f,section:0,value:0),time:(from:'2017-06-03T20:50:35-0600',mode:absolute,to:'2017-06-03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204" t="str">
        <f t="shared" si="54"/>
        <v>N</v>
      </c>
      <c r="X146" s="204">
        <f t="shared" si="55"/>
        <v>1</v>
      </c>
      <c r="Y146" s="204">
        <f t="shared" si="49"/>
        <v>4.6600000000000003E-2</v>
      </c>
      <c r="Z146" s="204">
        <f t="shared" si="56"/>
        <v>23.332899999999999</v>
      </c>
      <c r="AA146" s="204">
        <f t="shared" si="57"/>
        <v>23.286299999999997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8"/>
        <v>0233-03</v>
      </c>
      <c r="AE146" s="80" t="str">
        <f t="shared" si="59"/>
        <v>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 &amp; 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</v>
      </c>
      <c r="AF146" s="77" t="str">
        <f t="shared" si="60"/>
        <v>"C:\Program Files (x86)\AstroGrep\AstroGrep.exe" /e /r /s /spath="%USERPROFILE%\AppData\Local\Temp\OnboardLogs" /stypes="app*4026*20170604*" /stext=" 04:.+((SYSTEM_STATE.+slice.+state.+changed )|(ment ac)|(multiple cpu faults)|(system.+state.+changed )|(\[timeout)|(PRM\|1\|D)|(kpr)|(kdp)|(train st.+moving)|(\|lc)|(penalty))"</v>
      </c>
      <c r="AG146" s="1" t="str">
        <f t="shared" si="61"/>
        <v>EC</v>
      </c>
      <c r="AH146" s="81" t="str">
        <f t="shared" si="62"/>
        <v>"%USERPROFILE%\Documents\GitHub\eaglep3\Utilities\RefineRTDCRunTimes.py" --tripid 233-03 --locoid 4026 --swversion DE.1.0.9.0 --startMP 204:466 --initTime 2017-06-03T21:50:35 --startdatetime 2017-06-03T22:00:15 --delay 1 --endMP 204:233329 --enddatetime 2017-06-03T22:36:24 --enforcementcount 0 &gt;&gt;C:\Users\stu\Documents\GitHub\eaglep3-reporting\EC\2017-06-03-refined-times.txt</v>
      </c>
      <c r="AI146" s="99" t="str">
        <f t="shared" si="63"/>
        <v>echo {"issue":{"subject":"","project_id":79,"tracker_id":40,"status_id":1,"priority_id":2,"assigned_to_id":23,"start_date":"2017-06-03","description":"","custom_fields":[{"id":1,"name":"Subdivision","value":"EC"},{"id":4,"name":"Milepost","value":"23.3329"},{"id":17,"name":"Train ID","value":"233-03"},{"id":16,"name":"Locomotive ID","value":"4026"},{"id":130,"name":"Impact","value":""},{"id":150,"name":"Time of Event (Mountain Time)","value":"22:36:24"},{"id":151,"name":"Denver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4"/>
        <v>start /low /b %USERPROFILE%\Documents\GitHub\eaglep3\Utilities\DownloadLogsFromS3.py --loco 4026 --day 2017-06-03</v>
      </c>
      <c r="AN146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640</v>
      </c>
      <c r="B147" s="7">
        <v>4025</v>
      </c>
      <c r="C147" s="21" t="s">
        <v>204</v>
      </c>
      <c r="D147" s="21" t="s">
        <v>522</v>
      </c>
      <c r="E147" s="13">
        <v>42889.947615740741</v>
      </c>
      <c r="F147" s="13">
        <v>42889.956550925926</v>
      </c>
      <c r="G147" s="7">
        <v>1</v>
      </c>
      <c r="H147" s="21" t="s">
        <v>352</v>
      </c>
      <c r="I147" s="13">
        <v>42889.983865740738</v>
      </c>
      <c r="J147" s="7">
        <v>0</v>
      </c>
      <c r="K147" s="92" t="str">
        <f t="shared" si="50"/>
        <v>4025/4026</v>
      </c>
      <c r="L147" s="21" t="str">
        <f>VLOOKUP(A147,'Trips&amp;Operators'!$C$1:$G$99999,5,FALSE)</f>
        <v>PERKINS DARREN</v>
      </c>
      <c r="M147" s="6">
        <f t="shared" si="51"/>
        <v>2.7314814811688848E-2</v>
      </c>
      <c r="N147" s="7">
        <f t="shared" si="48"/>
        <v>39.333333328831941</v>
      </c>
      <c r="O147" s="7"/>
      <c r="P147" s="7"/>
      <c r="Q147" s="22"/>
      <c r="R147" s="173"/>
      <c r="S147" s="176">
        <f t="shared" si="66"/>
        <v>1</v>
      </c>
      <c r="T147" s="202" t="str">
        <f t="shared" si="52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3"/>
        <v>https://d0f6bd738d7f1b3e5a7ca70fe4ff75f0.us-east-1.aws.found.io/app/kibana#/discover/Steve-Slow-Train-Analysis-(2080s-and-2083s)?_g=(refreshInterval:(display:Off,pause:!f,section:0,value:0),time:(from:'2017-06-03T21:44:34-0600',mode:absolute,to:'2017-06-04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204" t="str">
        <f t="shared" si="54"/>
        <v>N</v>
      </c>
      <c r="X147" s="204">
        <f t="shared" si="55"/>
        <v>1</v>
      </c>
      <c r="Y147" s="204">
        <f t="shared" si="49"/>
        <v>23.3004</v>
      </c>
      <c r="Z147" s="204">
        <f t="shared" si="56"/>
        <v>1.4999999999999999E-2</v>
      </c>
      <c r="AA147" s="204">
        <f t="shared" si="57"/>
        <v>23.285399999999999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8"/>
        <v>0234-03</v>
      </c>
      <c r="AE147" s="80" t="str">
        <f t="shared" si="59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147" s="77" t="str">
        <f t="shared" si="60"/>
        <v>"C:\Program Files (x86)\AstroGrep\AstroGrep.exe" /e /r /s /spath="%USERPROFILE%\AppData\Local\Temp\OnboardLogs" /stypes="app*4025*20170604*" /stext=" 05:.+((SYSTEM_STATE.+slice.+state.+changed )|(ment ac)|(multiple cpu faults)|(system.+state.+changed )|(\[timeout)|(PRM\|1\|D)|(kpr)|(kdp)|(train st.+moving)|(\|lc)|(penalty))"</v>
      </c>
      <c r="AG147" s="1" t="str">
        <f t="shared" si="61"/>
        <v>EC</v>
      </c>
      <c r="AH147" s="81" t="str">
        <f t="shared" si="62"/>
        <v>"%USERPROFILE%\Documents\GitHub\eaglep3\Utilities\RefineRTDCRunTimes.py" --tripid 234-03 --locoid 4025 --swversion DE.1.0.9.0 --startMP 204:233004 --initTime 2017-06-03T22:44:34 --startdatetime 2017-06-03T22:57:26 --delay 1 --endMP 204:150 --enddatetime 2017-06-03T23:36:46 --enforcementcount 0 &gt;&gt;C:\Users\stu\Documents\GitHub\eaglep3-reporting\EC\2017-06-03-refined-times.txt</v>
      </c>
      <c r="AI147" s="99" t="str">
        <f t="shared" si="63"/>
        <v>echo {"issue":{"subject":"","project_id":79,"tracker_id":40,"status_id":1,"priority_id":2,"assigned_to_id":23,"start_date":"2017-06-03","description":"","custom_fields":[{"id":1,"name":"Subdivision","value":"EC"},{"id":4,"name":"Milepost","value":"0.015"},{"id":17,"name":"Train ID","value":"234-03"},{"id":16,"name":"Locomotive ID","value":"4025"},{"id":130,"name":"Impact","value":""},{"id":150,"name":"Time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4"/>
        <v>start /low /b %USERPROFILE%\Documents\GitHub\eaglep3\Utilities\DownloadLogsFromS3.py --loco 4025 --day 2017-06-03</v>
      </c>
      <c r="AN147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837</v>
      </c>
      <c r="B148" s="7">
        <v>4014</v>
      </c>
      <c r="C148" s="21" t="s">
        <v>204</v>
      </c>
      <c r="D148" s="21" t="s">
        <v>201</v>
      </c>
      <c r="E148" s="13">
        <v>42889.930914351855</v>
      </c>
      <c r="F148" s="13">
        <v>42889.937662037039</v>
      </c>
      <c r="G148" s="7">
        <v>1</v>
      </c>
      <c r="H148" s="21" t="s">
        <v>954</v>
      </c>
      <c r="I148" s="13">
        <v>42889.963217592594</v>
      </c>
      <c r="J148" s="7">
        <v>0</v>
      </c>
      <c r="K148" s="92" t="str">
        <f t="shared" si="50"/>
        <v>4013/4014</v>
      </c>
      <c r="L148" s="21" t="str">
        <f>VLOOKUP(A148,'Trips&amp;Operators'!$C$1:$G$99999,5,FALSE)</f>
        <v>FORTUNATO FRANK</v>
      </c>
      <c r="M148" s="6">
        <f t="shared" si="51"/>
        <v>2.5555555555911269E-2</v>
      </c>
      <c r="N148" s="7">
        <f t="shared" si="48"/>
        <v>36.800000000512227</v>
      </c>
      <c r="O148" s="7"/>
      <c r="P148" s="7"/>
      <c r="Q148" s="22"/>
      <c r="R148" s="173"/>
      <c r="S148" s="176">
        <f t="shared" si="66"/>
        <v>1</v>
      </c>
      <c r="T148" s="202" t="str">
        <f t="shared" si="52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3"/>
        <v>https://d0f6bd738d7f1b3e5a7ca70fe4ff75f0.us-east-1.aws.found.io/app/kibana#/discover/Steve-Slow-Train-Analysis-(2080s-and-2083s)?_g=(refreshInterval:(display:Off,pause:!f,section:0,value:0),time:(from:'2017-06-03T21:20:31-0600',mode:absolute,to:'2017-06-04T00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8" s="204" t="str">
        <f t="shared" si="54"/>
        <v>N</v>
      </c>
      <c r="X148" s="204">
        <f t="shared" si="55"/>
        <v>1</v>
      </c>
      <c r="Y148" s="204">
        <f t="shared" si="49"/>
        <v>4.5999999999999999E-2</v>
      </c>
      <c r="Z148" s="204">
        <f t="shared" si="56"/>
        <v>23.336600000000001</v>
      </c>
      <c r="AA148" s="204">
        <f t="shared" si="57"/>
        <v>23.290600000000001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8"/>
        <v>0235-03</v>
      </c>
      <c r="AE148" s="80" t="str">
        <f t="shared" si="59"/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AF148" s="77" t="str">
        <f t="shared" si="60"/>
        <v>"C:\Program Files (x86)\AstroGrep\AstroGrep.exe" /e /r /s /spath="%USERPROFILE%\AppData\Local\Temp\OnboardLogs" /stypes="app*4014*20170604*" /stext=" 05:.+((SYSTEM_STATE.+slice.+state.+changed )|(ment ac)|(multiple cpu faults)|(system.+state.+changed )|(\[timeout)|(PRM\|1\|D)|(kpr)|(kdp)|(train st.+moving)|(\|lc)|(penalty))"</v>
      </c>
      <c r="AG148" s="1" t="str">
        <f t="shared" si="61"/>
        <v>EC</v>
      </c>
      <c r="AH148" s="81" t="str">
        <f t="shared" si="62"/>
        <v>"%USERPROFILE%\Documents\GitHub\eaglep3\Utilities\RefineRTDCRunTimes.py" --tripid 235-03 --locoid 4014 --swversion DE.1.0.9.0 --startMP 204:460 --initTime 2017-06-03T22:20:31 --startdatetime 2017-06-03T22:30:14 --delay 1 --endMP 204:233366 --enddatetime 2017-06-03T23:07:02 --enforcementcount 0 &gt;&gt;C:\Users\stu\Documents\GitHub\eaglep3-reporting\EC\2017-06-03-refined-times.txt</v>
      </c>
      <c r="AI148" s="99" t="str">
        <f t="shared" si="63"/>
        <v>echo {"issue":{"subject":"","project_id":79,"tracker_id":40,"status_id":1,"priority_id":2,"assigned_to_id":23,"start_date":"2017-06-03","description":"","custom_fields":[{"id":1,"name":"Subdivision","value":"EC"},{"id":4,"name":"Milepost","value":"23.3366"},{"id":17,"name":"Train ID","value":"235-03"},{"id":16,"name":"Locomotive ID","value":"4014"},{"id":130,"name":"Impact","value":""},{"id":150,"name":"Time of Event (Mountain Time)","value":"23:07:02"},{"id":151,"name":"Denver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4"/>
        <v>start /low /b %USERPROFILE%\Documents\GitHub\eaglep3\Utilities\DownloadLogsFromS3.py --loco 4014 --day 2017-06-03</v>
      </c>
      <c r="AN148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840</v>
      </c>
      <c r="B149" s="7">
        <v>4013</v>
      </c>
      <c r="C149" s="21" t="s">
        <v>204</v>
      </c>
      <c r="D149" s="21" t="s">
        <v>955</v>
      </c>
      <c r="E149" s="13">
        <v>42889.973217592589</v>
      </c>
      <c r="F149" s="13">
        <v>42889.977384259262</v>
      </c>
      <c r="G149" s="7">
        <v>0</v>
      </c>
      <c r="H149" s="21" t="s">
        <v>440</v>
      </c>
      <c r="I149" s="13">
        <v>42890.004467592589</v>
      </c>
      <c r="J149" s="7">
        <v>0</v>
      </c>
      <c r="K149" s="92" t="str">
        <f t="shared" si="50"/>
        <v>4013/4014</v>
      </c>
      <c r="L149" s="21" t="str">
        <f>VLOOKUP(A149,'Trips&amp;Operators'!$C$1:$G$99999,5,FALSE)</f>
        <v>FORTUNATO FRANK</v>
      </c>
      <c r="M149" s="6">
        <f t="shared" si="51"/>
        <v>2.7083333327027503E-2</v>
      </c>
      <c r="N149" s="7">
        <f t="shared" si="48"/>
        <v>38.999999990919605</v>
      </c>
      <c r="O149" s="7"/>
      <c r="P149" s="7"/>
      <c r="Q149" s="22"/>
      <c r="R149" s="173"/>
      <c r="S149" s="176">
        <f t="shared" si="66"/>
        <v>1</v>
      </c>
      <c r="T149" s="202" t="str">
        <f t="shared" si="52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3"/>
        <v>https://d0f6bd738d7f1b3e5a7ca70fe4ff75f0.us-east-1.aws.found.io/app/kibana#/discover/Steve-Slow-Train-Analysis-(2080s-and-2083s)?_g=(refreshInterval:(display:Off,pause:!f,section:0,value:0),time:(from:'2017-06-03T22:21:26-0600',mode:absolute,to:'2017-06-04T01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9" s="204" t="str">
        <f t="shared" si="54"/>
        <v>N</v>
      </c>
      <c r="X149" s="204">
        <f t="shared" si="55"/>
        <v>1</v>
      </c>
      <c r="Y149" s="204">
        <f t="shared" si="49"/>
        <v>23.302499999999998</v>
      </c>
      <c r="Z149" s="204">
        <f t="shared" si="56"/>
        <v>1.4500000000000001E-2</v>
      </c>
      <c r="AA149" s="204">
        <f t="shared" si="57"/>
        <v>23.287999999999997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8"/>
        <v>0236-03</v>
      </c>
      <c r="AE149" s="80" t="str">
        <f t="shared" si="59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149" s="77" t="str">
        <f t="shared" si="60"/>
        <v>"C:\Program Files (x86)\AstroGrep\AstroGrep.exe" /e /r /s /spath="%USERPROFILE%\AppData\Local\Temp\OnboardLogs" /stypes="app*4013*20170604*" /stext=" 06:.+((SYSTEM_STATE.+slice.+state.+changed )|(ment ac)|(multiple cpu faults)|(system.+state.+changed )|(\[timeout)|(PRM\|1\|D)|(kpr)|(kdp)|(train st.+moving)|(\|lc)|(penalty))"</v>
      </c>
      <c r="AG149" s="1" t="str">
        <f t="shared" si="61"/>
        <v>EC</v>
      </c>
      <c r="AH149" s="81" t="str">
        <f t="shared" si="62"/>
        <v>"%USERPROFILE%\Documents\GitHub\eaglep3\Utilities\RefineRTDCRunTimes.py" --tripid 236-03 --locoid 4013 --swversion DE.1.0.9.0 --startMP 204:233025 --initTime 2017-06-03T23:21:26 --startdatetime 2017-06-03T23:27:26 --delay 0 --endMP 204:145 --enddatetime 2017-06-04T00:06:26 --enforcementcount 0 &gt;&gt;C:\Users\stu\Documents\GitHub\eaglep3-reporting\EC\2017-06-03-refined-times.txt</v>
      </c>
      <c r="AI149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ID","value":"236-03"},{"id":16,"name":"Locomotive ID","value":"4013"},{"id":130,"name":"Impact","value":""},{"id":150,"name":"Time of Event (Mountain Time)","value":"00:06:26"},{"id":151,"name":"Denver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4"/>
        <v>start /low /b %USERPROFILE%\Documents\GitHub\eaglep3\Utilities\DownloadLogsFromS3.py --loco 4013 --day 2017-06-03</v>
      </c>
      <c r="AN149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06:06:26"},{"id":29,"name":"Sharepoint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839</v>
      </c>
      <c r="B150" s="7">
        <v>4008</v>
      </c>
      <c r="C150" s="21" t="s">
        <v>204</v>
      </c>
      <c r="D150" s="21" t="s">
        <v>470</v>
      </c>
      <c r="E150" s="13">
        <v>42889.94871527778</v>
      </c>
      <c r="F150" s="13">
        <v>42889.958541666667</v>
      </c>
      <c r="G150" s="7">
        <v>1</v>
      </c>
      <c r="H150" s="21" t="s">
        <v>530</v>
      </c>
      <c r="I150" s="13">
        <v>42889.984618055554</v>
      </c>
      <c r="J150" s="7">
        <v>0</v>
      </c>
      <c r="K150" s="92" t="str">
        <f t="shared" si="50"/>
        <v>4007/4008</v>
      </c>
      <c r="L150" s="21" t="str">
        <f>VLOOKUP(A150,'Trips&amp;Operators'!$C$1:$G$99999,5,FALSE)</f>
        <v>SULLIVAN BRANDON</v>
      </c>
      <c r="M150" s="6">
        <f t="shared" si="51"/>
        <v>2.6076388887304347E-2</v>
      </c>
      <c r="N150" s="7">
        <f t="shared" si="48"/>
        <v>37.54999999771826</v>
      </c>
      <c r="O150" s="7"/>
      <c r="P150" s="7"/>
      <c r="Q150" s="22"/>
      <c r="R150" s="173"/>
      <c r="S150" s="176">
        <f t="shared" si="66"/>
        <v>1</v>
      </c>
      <c r="T150" s="202" t="str">
        <f t="shared" si="52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3"/>
        <v>https://d0f6bd738d7f1b3e5a7ca70fe4ff75f0.us-east-1.aws.found.io/app/kibana#/discover/Steve-Slow-Train-Analysis-(2080s-and-2083s)?_g=(refreshInterval:(display:Off,pause:!f,section:0,value:0),time:(from:'2017-06-03T21:46:09-0600',mode:absolute,to:'2017-06-04T00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204" t="str">
        <f t="shared" si="54"/>
        <v>N</v>
      </c>
      <c r="X150" s="204">
        <f t="shared" si="55"/>
        <v>1</v>
      </c>
      <c r="Y150" s="204">
        <f t="shared" si="49"/>
        <v>4.3799999999999999E-2</v>
      </c>
      <c r="Z150" s="204">
        <f t="shared" si="56"/>
        <v>23.331700000000001</v>
      </c>
      <c r="AA150" s="204">
        <f t="shared" si="57"/>
        <v>23.2879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8"/>
        <v>0237-03</v>
      </c>
      <c r="AE150" s="80" t="str">
        <f t="shared" si="59"/>
        <v>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 &amp; 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</v>
      </c>
      <c r="AF150" s="77" t="str">
        <f t="shared" si="60"/>
        <v>"C:\Program Files (x86)\AstroGrep\AstroGrep.exe" /e /r /s /spath="%USERPROFILE%\AppData\Local\Temp\OnboardLogs" /stypes="app*4008*20170604*" /stext=" 05:.+((SYSTEM_STATE.+slice.+state.+changed )|(ment ac)|(multiple cpu faults)|(system.+state.+changed )|(\[timeout)|(PRM\|1\|D)|(kpr)|(kdp)|(train st.+moving)|(\|lc)|(penalty))"</v>
      </c>
      <c r="AG150" s="1" t="str">
        <f t="shared" si="61"/>
        <v>EC</v>
      </c>
      <c r="AH150" s="81" t="str">
        <f t="shared" si="62"/>
        <v>"%USERPROFILE%\Documents\GitHub\eaglep3\Utilities\RefineRTDCRunTimes.py" --tripid 237-03 --locoid 4008 --swversion DE.1.0.9.0 --startMP 204:438 --initTime 2017-06-03T22:46:09 --startdatetime 2017-06-03T23:00:18 --delay 1 --endMP 204:233317 --enddatetime 2017-06-03T23:37:51 --enforcementcount 0 &gt;&gt;C:\Users\stu\Documents\GitHub\eaglep3-reporting\EC\2017-06-03-refined-times.txt</v>
      </c>
      <c r="AI150" s="99" t="str">
        <f t="shared" si="63"/>
        <v>echo {"issue":{"subject":"","project_id":79,"tracker_id":40,"status_id":1,"priority_id":2,"assigned_to_id":23,"start_date":"2017-06-03","description":"","custom_fields":[{"id":1,"name":"Subdivision","value":"EC"},{"id":4,"name":"Milepost","value":"23.3317"},{"id":17,"name":"Train ID","value":"237-03"},{"id":16,"name":"Locomotive ID","value":"4008"},{"id":130,"name":"Impact","value":""},{"id":150,"name":"Time of Event (Mountain Time)","value":"23:37:51"},{"id":151,"name":"Denver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4"/>
        <v>start /low /b %USERPROFILE%\Documents\GitHub\eaglep3\Utilities\DownloadLogsFromS3.py --loco 4008 --day 2017-06-03</v>
      </c>
      <c r="AN150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05:37:51"},{"id":29,"name":"Sharepoint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842</v>
      </c>
      <c r="B151" s="7">
        <v>4007</v>
      </c>
      <c r="C151" s="21" t="s">
        <v>204</v>
      </c>
      <c r="D151" s="21" t="s">
        <v>439</v>
      </c>
      <c r="E151" s="13">
        <v>42889.991481481484</v>
      </c>
      <c r="F151" s="13">
        <v>42889.998101851852</v>
      </c>
      <c r="G151" s="7">
        <v>1</v>
      </c>
      <c r="H151" s="21" t="s">
        <v>586</v>
      </c>
      <c r="I151" s="13">
        <v>42890.025648148148</v>
      </c>
      <c r="J151" s="7">
        <v>0</v>
      </c>
      <c r="K151" s="92" t="str">
        <f t="shared" si="50"/>
        <v>4007/4008</v>
      </c>
      <c r="L151" s="21" t="str">
        <f>VLOOKUP(A151,'Trips&amp;Operators'!$C$1:$G$99999,5,FALSE)</f>
        <v>SULLIVAN BRANDON</v>
      </c>
      <c r="M151" s="6">
        <f t="shared" si="51"/>
        <v>2.7546296296350192E-2</v>
      </c>
      <c r="N151" s="7">
        <f t="shared" si="48"/>
        <v>39.666666666744277</v>
      </c>
      <c r="O151" s="7"/>
      <c r="P151" s="7"/>
      <c r="Q151" s="22"/>
      <c r="R151" s="173"/>
      <c r="S151" s="176">
        <f t="shared" si="66"/>
        <v>1</v>
      </c>
      <c r="T151" s="202" t="str">
        <f t="shared" si="52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3"/>
        <v>https://d0f6bd738d7f1b3e5a7ca70fe4ff75f0.us-east-1.aws.found.io/app/kibana#/discover/Steve-Slow-Train-Analysis-(2080s-and-2083s)?_g=(refreshInterval:(display:Off,pause:!f,section:0,value:0),time:(from:'2017-06-03T22:47:44-0600',mode:absolute,to:'2017-06-04T01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204" t="str">
        <f t="shared" si="54"/>
        <v>N</v>
      </c>
      <c r="X151" s="204">
        <f t="shared" si="55"/>
        <v>1</v>
      </c>
      <c r="Y151" s="204">
        <f t="shared" si="49"/>
        <v>23.299399999999999</v>
      </c>
      <c r="Z151" s="204">
        <f t="shared" si="56"/>
        <v>1.3599999999999999E-2</v>
      </c>
      <c r="AA151" s="204">
        <f t="shared" si="57"/>
        <v>23.285799999999998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8"/>
        <v>0238-03</v>
      </c>
      <c r="AE151" s="80" t="str">
        <f t="shared" si="59"/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AF151" s="77" t="str">
        <f t="shared" si="60"/>
        <v>"C:\Program Files (x86)\AstroGrep\AstroGrep.exe" /e /r /s /spath="%USERPROFILE%\AppData\Local\Temp\OnboardLogs" /stypes="app*4007*20170604*" /stext=" 06:.+((SYSTEM_STATE.+slice.+state.+changed )|(ment ac)|(multiple cpu faults)|(system.+state.+changed )|(\[timeout)|(PRM\|1\|D)|(kpr)|(kdp)|(train st.+moving)|(\|lc)|(penalty))"</v>
      </c>
      <c r="AG151" s="1" t="str">
        <f t="shared" si="61"/>
        <v>EC</v>
      </c>
      <c r="AH151" s="81" t="str">
        <f t="shared" si="62"/>
        <v>"%USERPROFILE%\Documents\GitHub\eaglep3\Utilities\RefineRTDCRunTimes.py" --tripid 238-03 --locoid 4007 --swversion DE.1.0.9.0 --startMP 204:232994 --initTime 2017-06-03T23:47:44 --startdatetime 2017-06-03T23:57:16 --delay 1 --endMP 204:136 --enddatetime 2017-06-04T00:36:56 --enforcementcount 0 &gt;&gt;C:\Users\stu\Documents\GitHub\eaglep3-reporting\EC\2017-06-03-refined-times.txt</v>
      </c>
      <c r="AI151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{"issue":{"subject":"","project_id":79,"tracker_id":40,"status_id":1,"priority_id":2,"assigned_to_id":23,"start_date":"2017-06-04","description":"","custom_fields":[{"id":1,"name":"Subdivision","value":"EC"},{"id":4,"name":"Milepost","value":"0.0136"},{"id":17,"name":"Train ID","value":"238-03"},{"id":16,"name":"Locomotive ID","value":"4007"},{"id":130,"name":"Impact","value":""},{"id":150,"name":"Time of Event (Mountain Time)","value":"00:36:56"},{"id":151,"name":"Denver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4"/>
        <v>start /low /b %USERPROFILE%\Documents\GitHub\eaglep3\Utilities\DownloadLogsFromS3.py --loco 4007 --day 2017-06-03</v>
      </c>
      <c r="AN151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06:36:56"},{"id":29,"name":"Sharepoint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841</v>
      </c>
      <c r="B152" s="7">
        <v>4010</v>
      </c>
      <c r="C152" s="21" t="s">
        <v>204</v>
      </c>
      <c r="D152" s="21" t="s">
        <v>201</v>
      </c>
      <c r="E152" s="13">
        <v>42889.973622685182</v>
      </c>
      <c r="F152" s="13">
        <v>42889.979398148149</v>
      </c>
      <c r="G152" s="7">
        <v>1</v>
      </c>
      <c r="H152" s="21" t="s">
        <v>492</v>
      </c>
      <c r="I152" s="13">
        <v>42890.004629629628</v>
      </c>
      <c r="J152" s="7">
        <v>0</v>
      </c>
      <c r="K152" s="92" t="str">
        <f t="shared" si="50"/>
        <v>4009/4010</v>
      </c>
      <c r="L152" s="21" t="str">
        <f>VLOOKUP(A152,'Trips&amp;Operators'!$C$1:$G$99999,5,FALSE)</f>
        <v>YANG JAN</v>
      </c>
      <c r="M152" s="6">
        <f t="shared" si="51"/>
        <v>2.5231481478840578E-2</v>
      </c>
      <c r="N152" s="7">
        <f t="shared" si="48"/>
        <v>36.333333329530433</v>
      </c>
      <c r="O152" s="7"/>
      <c r="P152" s="7"/>
      <c r="Q152" s="22"/>
      <c r="R152" s="173"/>
      <c r="S152" s="176">
        <f t="shared" si="66"/>
        <v>1</v>
      </c>
      <c r="T152" s="202" t="str">
        <f t="shared" si="52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3"/>
        <v>https://d0f6bd738d7f1b3e5a7ca70fe4ff75f0.us-east-1.aws.found.io/app/kibana#/discover/Steve-Slow-Train-Analysis-(2080s-and-2083s)?_g=(refreshInterval:(display:Off,pause:!f,section:0,value:0),time:(from:'2017-06-03T22:22:01-0600',mode:absolute,to:'2017-06-04T01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2" s="204" t="str">
        <f t="shared" si="54"/>
        <v>N</v>
      </c>
      <c r="X152" s="204">
        <f t="shared" si="55"/>
        <v>1</v>
      </c>
      <c r="Y152" s="204">
        <f t="shared" si="49"/>
        <v>4.5999999999999999E-2</v>
      </c>
      <c r="Z152" s="204">
        <f t="shared" si="56"/>
        <v>23.330300000000001</v>
      </c>
      <c r="AA152" s="204">
        <f t="shared" si="57"/>
        <v>23.284300000000002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8"/>
        <v>0239-03</v>
      </c>
      <c r="AE152" s="80" t="str">
        <f t="shared" si="59"/>
        <v>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 &amp; 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</v>
      </c>
      <c r="AF152" s="77" t="str">
        <f t="shared" si="60"/>
        <v>"C:\Program Files (x86)\AstroGrep\AstroGrep.exe" /e /r /s /spath="%USERPROFILE%\AppData\Local\Temp\OnboardLogs" /stypes="app*4010*20170604*" /stext=" 06:.+((SYSTEM_STATE.+slice.+state.+changed )|(ment ac)|(multiple cpu faults)|(system.+state.+changed )|(\[timeout)|(PRM\|1\|D)|(kpr)|(kdp)|(train st.+moving)|(\|lc)|(penalty))"</v>
      </c>
      <c r="AG152" s="1" t="str">
        <f t="shared" si="61"/>
        <v>EC</v>
      </c>
      <c r="AH152" s="81" t="str">
        <f t="shared" si="62"/>
        <v>"%USERPROFILE%\Documents\GitHub\eaglep3\Utilities\RefineRTDCRunTimes.py" --tripid 239-03 --locoid 4010 --swversion DE.1.0.9.0 --startMP 204:460 --initTime 2017-06-03T23:22:01 --startdatetime 2017-06-03T23:30:20 --delay 1 --endMP 204:233303 --enddatetime 2017-06-04T00:06:40 --enforcementcount 0 &gt;&gt;C:\Users\stu\Documents\GitHub\eaglep3-reporting\EC\2017-06-03-refined-times.txt</v>
      </c>
      <c r="AI152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{"issue":{"subject":"","project_id":79,"tracker_id":40,"status_id":1,"priority_id":2,"assigned_to_id":23,"start_date":"2017-06-04","description":"","custom_fields":[{"id":1,"name":"Subdivision","value":"EC"},{"id":4,"name":"Milepost","value":"23.3303"},{"id":17,"name":"Train ID","value":"239-03"},{"id":16,"name":"Locomotive ID","value":"4010"},{"id":130,"name":"Impact","value":""},{"id":150,"name":"Time of Event (Mountain Time)","value":"00:06:40"},{"id":151,"name":"Denver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4"/>
        <v>start /low /b %USERPROFILE%\Documents\GitHub\eaglep3\Utilities\DownloadLogsFromS3.py --loco 4010 --day 2017-06-03</v>
      </c>
      <c r="AN152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06:06:40"},{"id":29,"name":"Sharepoint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845</v>
      </c>
      <c r="B153" s="7">
        <v>4009</v>
      </c>
      <c r="C153" s="21" t="s">
        <v>204</v>
      </c>
      <c r="D153" s="21" t="s">
        <v>434</v>
      </c>
      <c r="E153" s="13">
        <v>42890.013310185182</v>
      </c>
      <c r="F153" s="13">
        <v>42890.018935185188</v>
      </c>
      <c r="G153" s="7">
        <v>1</v>
      </c>
      <c r="H153" s="21" t="s">
        <v>469</v>
      </c>
      <c r="I153" s="13">
        <v>42890.045474537037</v>
      </c>
      <c r="J153" s="7">
        <v>0</v>
      </c>
      <c r="K153" s="92" t="str">
        <f t="shared" si="50"/>
        <v>4009/4010</v>
      </c>
      <c r="L153" s="21" t="str">
        <f>VLOOKUP(A153,'Trips&amp;Operators'!$C$1:$G$99999,5,FALSE)</f>
        <v>YANG JAN</v>
      </c>
      <c r="M153" s="6">
        <f t="shared" si="51"/>
        <v>2.6539351849351078E-2</v>
      </c>
      <c r="N153" s="7">
        <f t="shared" si="48"/>
        <v>38.216666663065553</v>
      </c>
      <c r="O153" s="7"/>
      <c r="P153" s="7"/>
      <c r="Q153" s="22"/>
      <c r="R153" s="173"/>
      <c r="S153" s="176">
        <f t="shared" si="66"/>
        <v>1</v>
      </c>
      <c r="T153" s="202" t="str">
        <f t="shared" si="52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3"/>
        <v>https://d0f6bd738d7f1b3e5a7ca70fe4ff75f0.us-east-1.aws.found.io/app/kibana#/discover/Steve-Slow-Train-Analysis-(2080s-and-2083s)?_g=(refreshInterval:(display:Off,pause:!f,section:0,value:0),time:(from:'2017-06-03T23:19:10-0600',mode:absolute,to:'2017-06-04T02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3" s="204" t="str">
        <f t="shared" si="54"/>
        <v>N</v>
      </c>
      <c r="X153" s="204">
        <f t="shared" si="55"/>
        <v>1</v>
      </c>
      <c r="Y153" s="204">
        <f t="shared" si="49"/>
        <v>23.299800000000001</v>
      </c>
      <c r="Z153" s="204">
        <f t="shared" si="56"/>
        <v>1.5599999999999999E-2</v>
      </c>
      <c r="AA153" s="204">
        <f t="shared" si="57"/>
        <v>23.284200000000002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8"/>
        <v>0240-03</v>
      </c>
      <c r="AE153" s="80" t="str">
        <f t="shared" si="59"/>
        <v>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 &amp; 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</v>
      </c>
      <c r="AF153" s="77" t="str">
        <f t="shared" si="60"/>
        <v>"C:\Program Files (x86)\AstroGrep\AstroGrep.exe" /e /r /s /spath="%USERPROFILE%\AppData\Local\Temp\OnboardLogs" /stypes="app*4009*20170604*" /stext=" 07:.+((SYSTEM_STATE.+slice.+state.+changed )|(ment ac)|(multiple cpu faults)|(system.+state.+changed )|(\[timeout)|(PRM\|1\|D)|(kpr)|(kdp)|(train st.+moving)|(\|lc)|(penalty))"</v>
      </c>
      <c r="AG153" s="1" t="str">
        <f t="shared" si="61"/>
        <v>EC</v>
      </c>
      <c r="AH153" s="81" t="str">
        <f t="shared" si="62"/>
        <v>"%USERPROFILE%\Documents\GitHub\eaglep3\Utilities\RefineRTDCRunTimes.py" --tripid 240-03 --locoid 4009 --swversion DE.1.0.9.0 --startMP 204:232998 --initTime 2017-06-04T00:19:10 --startdatetime 2017-06-04T00:27:16 --delay 1 --endMP 204:156 --enddatetime 2017-06-04T01:05:29 --enforcementcount 0 &gt;&gt;C:\Users\stu\Documents\GitHub\eaglep3-reporting\EC\2017-06-03-refined-times.txt</v>
      </c>
      <c r="AI153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{"issue":{"subject":"","project_id":79,"tracker_id":40,"status_id":1,"priority_id":2,"assigned_to_id":23,"start_date":"2017-06-04","description":"","custom_fields":[{"id":1,"name":"Subdivision","value":"EC"},{"id":4,"name":"Milepost","value":"0.0156"},{"id":17,"name":"Train ID","value":"240-03"},{"id":16,"name":"Locomotive ID","value":"4009"},{"id":130,"name":"Impact","value":""},{"id":150,"name":"Time of Event (Mountain Time)","value":"01:05:29"},{"id":151,"name":"Denver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4"/>
        <v>start /low /b %USERPROFILE%\Documents\GitHub\eaglep3\Utilities\DownloadLogsFromS3.py --loco 4009 --day 2017-06-04</v>
      </c>
      <c r="AN153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07:05:29"},{"id":29,"name":"Sharepoint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843</v>
      </c>
      <c r="B154" s="7">
        <v>4026</v>
      </c>
      <c r="C154" s="21" t="s">
        <v>204</v>
      </c>
      <c r="D154" s="21" t="s">
        <v>956</v>
      </c>
      <c r="E154" s="13">
        <v>42889.991620370369</v>
      </c>
      <c r="F154" s="13">
        <v>42890.000173611108</v>
      </c>
      <c r="G154" s="7">
        <v>1</v>
      </c>
      <c r="H154" s="21" t="s">
        <v>588</v>
      </c>
      <c r="I154" s="13">
        <v>42890.02547453704</v>
      </c>
      <c r="J154" s="7">
        <v>0</v>
      </c>
      <c r="K154" s="92" t="str">
        <f t="shared" si="50"/>
        <v>4025/4026</v>
      </c>
      <c r="L154" s="21" t="str">
        <f>VLOOKUP(A154,'Trips&amp;Operators'!$C$1:$G$99999,5,FALSE)</f>
        <v>PERKINS DARREN</v>
      </c>
      <c r="M154" s="6">
        <f t="shared" si="51"/>
        <v>2.5300925932242535E-2</v>
      </c>
      <c r="N154" s="7">
        <f t="shared" si="48"/>
        <v>36.43333334242925</v>
      </c>
      <c r="O154" s="7"/>
      <c r="P154" s="7"/>
      <c r="Q154" s="22"/>
      <c r="R154" s="173"/>
      <c r="S154" s="176">
        <f t="shared" si="66"/>
        <v>1</v>
      </c>
      <c r="T154" s="202" t="str">
        <f t="shared" si="52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3"/>
        <v>https://d0f6bd738d7f1b3e5a7ca70fe4ff75f0.us-east-1.aws.found.io/app/kibana#/discover/Steve-Slow-Train-Analysis-(2080s-and-2083s)?_g=(refreshInterval:(display:Off,pause:!f,section:0,value:0),time:(from:'2017-06-03T22:47:56-0600',mode:absolute,to:'2017-06-04T01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04" t="str">
        <f t="shared" si="54"/>
        <v>N</v>
      </c>
      <c r="X154" s="204">
        <f t="shared" si="55"/>
        <v>1</v>
      </c>
      <c r="Y154" s="204">
        <f t="shared" si="49"/>
        <v>4.3700000000000003E-2</v>
      </c>
      <c r="Z154" s="204">
        <f t="shared" si="56"/>
        <v>23.33</v>
      </c>
      <c r="AA154" s="204">
        <f t="shared" si="57"/>
        <v>23.286299999999997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8"/>
        <v>0241-03</v>
      </c>
      <c r="AE154" s="80" t="str">
        <f t="shared" si="59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154" s="77" t="str">
        <f t="shared" si="60"/>
        <v>"C:\Program Files (x86)\AstroGrep\AstroGrep.exe" /e /r /s /spath="%USERPROFILE%\AppData\Local\Temp\OnboardLogs" /stypes="app*4026*20170604*" /stext=" 06:.+((SYSTEM_STATE.+slice.+state.+changed )|(ment ac)|(multiple cpu faults)|(system.+state.+changed )|(\[timeout)|(PRM\|1\|D)|(kpr)|(kdp)|(train st.+moving)|(\|lc)|(penalty))"</v>
      </c>
      <c r="AG154" s="1" t="str">
        <f t="shared" si="61"/>
        <v>EC</v>
      </c>
      <c r="AH154" s="81" t="str">
        <f t="shared" si="62"/>
        <v>"%USERPROFILE%\Documents\GitHub\eaglep3\Utilities\RefineRTDCRunTimes.py" --tripid 241-03 --locoid 4026 --swversion DE.1.0.9.0 --startMP 204:437 --initTime 2017-06-03T23:47:56 --startdatetime 2017-06-04T00:00:15 --delay 1 --endMP 204:233300 --enddatetime 2017-06-04T00:36:41 --enforcementcount 0 &gt;&gt;C:\Users\stu\Documents\GitHub\eaglep3-reporting\EC\2017-06-03-refined-times.txt</v>
      </c>
      <c r="AI154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{"issue":{"subject":"","project_id":79,"tracker_id":40,"status_id":1,"priority_id":2,"assigned_to_id":23,"start_date":"2017-06-04","description":"","custom_fields":[{"id":1,"name":"Subdivision","value":"EC"},{"id":4,"name":"Milepost","value":"23.33"},{"id":17,"name":"Train ID","value":"241-03"},{"id":16,"name":"Locomotive ID","value":"4026"},{"id":130,"name":"Impact","value":""},{"id":150,"name":"Time of Event (Mountain Time)","value":"00:36:41"},{"id":151,"name":"Denver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4"/>
        <v>start /low /b %USERPROFILE%\Documents\GitHub\eaglep3\Utilities\DownloadLogsFromS3.py --loco 4026 --day 2017-06-04</v>
      </c>
      <c r="AN154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641</v>
      </c>
      <c r="B155" s="7">
        <v>4025</v>
      </c>
      <c r="C155" s="21" t="s">
        <v>204</v>
      </c>
      <c r="D155" s="21" t="s">
        <v>601</v>
      </c>
      <c r="E155" s="13">
        <v>42890.036944444444</v>
      </c>
      <c r="F155" s="13">
        <v>42890.03979166667</v>
      </c>
      <c r="G155" s="7">
        <v>1</v>
      </c>
      <c r="H155" s="21" t="s">
        <v>363</v>
      </c>
      <c r="I155" s="13">
        <v>42890.066504629627</v>
      </c>
      <c r="J155" s="7">
        <v>0</v>
      </c>
      <c r="K155" s="92" t="str">
        <f t="shared" si="50"/>
        <v>4025/4026</v>
      </c>
      <c r="L155" s="21" t="str">
        <f>VLOOKUP(A155,'Trips&amp;Operators'!$C$1:$G$99999,5,FALSE)</f>
        <v>PERKINS DARREN</v>
      </c>
      <c r="M155" s="6">
        <f t="shared" si="51"/>
        <v>2.6712962957390118E-2</v>
      </c>
      <c r="N155" s="7">
        <f t="shared" si="48"/>
        <v>38.46666665864177</v>
      </c>
      <c r="O155" s="7"/>
      <c r="P155" s="7"/>
      <c r="Q155" s="22"/>
      <c r="R155" s="173"/>
      <c r="S155" s="176">
        <f t="shared" si="66"/>
        <v>1</v>
      </c>
      <c r="T155" s="202" t="str">
        <f t="shared" si="52"/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53"/>
        <v>https://d0f6bd738d7f1b3e5a7ca70fe4ff75f0.us-east-1.aws.found.io/app/kibana#/discover/Steve-Slow-Train-Analysis-(2080s-and-2083s)?_g=(refreshInterval:(display:Off,pause:!f,section:0,value:0),time:(from:'2017-06-03T23:53:12-0600',mode:absolute,to:'2017-06-04T02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04" t="str">
        <f t="shared" si="54"/>
        <v>N</v>
      </c>
      <c r="X155" s="204">
        <f t="shared" si="55"/>
        <v>1</v>
      </c>
      <c r="Y155" s="204">
        <f t="shared" ref="Y155:Y186" si="67">RIGHT(D155,LEN(D155)-4)/10000</f>
        <v>23.299600000000002</v>
      </c>
      <c r="Z155" s="204">
        <f t="shared" si="56"/>
        <v>1.41E-2</v>
      </c>
      <c r="AA155" s="204">
        <f t="shared" si="57"/>
        <v>23.285500000000003</v>
      </c>
      <c r="AB155" s="57" t="str">
        <f>VLOOKUP(A155,Enforcements!$C$7:$K$13,8,0)</f>
        <v>Bulletin (2)</v>
      </c>
      <c r="AC155" s="53" t="str">
        <f>VLOOKUP(A155,Enforcements!$C$7:$E$13,3,0)</f>
        <v>GRADE CROSSING</v>
      </c>
      <c r="AD155" s="54" t="str">
        <f t="shared" si="58"/>
        <v>0242-03</v>
      </c>
      <c r="AE155" s="80" t="str">
        <f t="shared" si="59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155" s="77" t="str">
        <f t="shared" si="60"/>
        <v>"C:\Program Files (x86)\AstroGrep\AstroGrep.exe" /e /r /s /spath="%USERPROFILE%\AppData\Local\Temp\OnboardLogs" /stypes="app*4025*20170604*" /stext=" 07:.+((SYSTEM_STATE.+slice.+state.+changed )|(ment ac)|(multiple cpu faults)|(system.+state.+changed )|(\[timeout)|(PRM\|1\|D)|(kpr)|(kdp)|(train st.+moving)|(\|lc)|(penalty))"</v>
      </c>
      <c r="AG155" s="1" t="str">
        <f t="shared" si="61"/>
        <v>EC</v>
      </c>
      <c r="AH155" s="81" t="str">
        <f t="shared" si="62"/>
        <v>"%USERPROFILE%\Documents\GitHub\eaglep3\Utilities\RefineRTDCRunTimes.py" --tripid 242-03 --locoid 4025 --swversion DE.1.0.9.0 --startMP 204:232996 --initTime 2017-06-04T00:53:12 --startdatetime 2017-06-04T00:57:18 --delay 1 --endMP 204:141 --enddatetime 2017-06-04T01:35:46 --enforcementcount 0 &gt;&gt;C:\Users\stu\Documents\GitHub\eaglep3-reporting\EC\2017-06-03-refined-times.txt</v>
      </c>
      <c r="AI155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{"issue":{"subject":"","project_id":79,"tracker_id":40,"status_id":1,"priority_id":2,"assigned_to_id":23,"start_date":"2017-06-04","description":"","custom_fields":[{"id":1,"name":"Subdivision","value":"EC"},{"id":4,"name":"Milepost","value":"0.0141"},{"id":17,"name":"Train ID","value":"242-03"},{"id":16,"name":"Locomotive ID","value":"4025"},{"id":130,"name":"Impact","value":""},{"id":150,"name":"Time of Event (Mountain Time)","value":"01:35:46"},{"id":151,"name":"Denver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4"/>
        <v>start /low /b %USERPROFILE%\Documents\GitHub\eaglep3\Utilities\DownloadLogsFromS3.py --loco 4025 --day 2017-06-04</v>
      </c>
      <c r="AN155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844</v>
      </c>
      <c r="B156" s="7">
        <v>4014</v>
      </c>
      <c r="C156" s="21" t="s">
        <v>204</v>
      </c>
      <c r="D156" s="21" t="s">
        <v>345</v>
      </c>
      <c r="E156" s="13">
        <v>42890.005995370368</v>
      </c>
      <c r="F156" s="13">
        <v>42890.02107638889</v>
      </c>
      <c r="G156" s="7">
        <v>1</v>
      </c>
      <c r="H156" s="21" t="s">
        <v>957</v>
      </c>
      <c r="I156" s="13">
        <v>42890.046643518515</v>
      </c>
      <c r="J156" s="7">
        <v>0</v>
      </c>
      <c r="K156" s="92" t="str">
        <f t="shared" si="50"/>
        <v>4013/4014</v>
      </c>
      <c r="L156" s="21" t="str">
        <f>VLOOKUP(A156,'Trips&amp;Operators'!$C$1:$G$99999,5,FALSE)</f>
        <v>FORTUNATO FRANK</v>
      </c>
      <c r="M156" s="6">
        <f t="shared" si="51"/>
        <v>2.5567129625414964E-2</v>
      </c>
      <c r="N156" s="7">
        <f t="shared" si="48"/>
        <v>36.816666660597548</v>
      </c>
      <c r="O156" s="7"/>
      <c r="P156" s="7"/>
      <c r="Q156" s="22"/>
      <c r="R156" s="173"/>
      <c r="S156" s="176">
        <f t="shared" si="66"/>
        <v>1</v>
      </c>
      <c r="T156" s="202" t="str">
        <f t="shared" si="52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53"/>
        <v>https://d0f6bd738d7f1b3e5a7ca70fe4ff75f0.us-east-1.aws.found.io/app/kibana#/discover/Steve-Slow-Train-Analysis-(2080s-and-2083s)?_g=(refreshInterval:(display:Off,pause:!f,section:0,value:0),time:(from:'2017-06-03T23:08:38-0600',mode:absolute,to:'2017-06-04T02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6" s="204" t="str">
        <f t="shared" si="54"/>
        <v>N</v>
      </c>
      <c r="X156" s="204">
        <f t="shared" si="55"/>
        <v>1</v>
      </c>
      <c r="Y156" s="204">
        <f t="shared" si="67"/>
        <v>4.4900000000000002E-2</v>
      </c>
      <c r="Z156" s="204">
        <f t="shared" si="56"/>
        <v>23.3399</v>
      </c>
      <c r="AA156" s="204">
        <f t="shared" si="57"/>
        <v>23.295000000000002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8"/>
        <v>0243-03</v>
      </c>
      <c r="AE156" s="80" t="str">
        <f t="shared" si="59"/>
        <v>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 &amp; 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</v>
      </c>
      <c r="AF156" s="77" t="str">
        <f t="shared" si="60"/>
        <v>"C:\Program Files (x86)\AstroGrep\AstroGrep.exe" /e /r /s /spath="%USERPROFILE%\AppData\Local\Temp\OnboardLogs" /stypes="app*4014*20170604*" /stext=" 07:.+((SYSTEM_STATE.+slice.+state.+changed )|(ment ac)|(multiple cpu faults)|(system.+state.+changed )|(\[timeout)|(PRM\|1\|D)|(kpr)|(kdp)|(train st.+moving)|(\|lc)|(penalty))"</v>
      </c>
      <c r="AG156" s="1" t="str">
        <f t="shared" si="61"/>
        <v>EC</v>
      </c>
      <c r="AH156" s="81" t="str">
        <f t="shared" si="62"/>
        <v>"%USERPROFILE%\Documents\GitHub\eaglep3\Utilities\RefineRTDCRunTimes.py" --tripid 243-03 --locoid 4014 --swversion DE.1.0.9.0 --startMP 204:449 --initTime 2017-06-04T00:08:38 --startdatetime 2017-06-04T00:30:21 --delay 1 --endMP 204:233399 --enddatetime 2017-06-04T01:07:10 --enforcementcount 0 &gt;&gt;C:\Users\stu\Documents\GitHub\eaglep3-reporting\EC\2017-06-03-refined-times.txt</v>
      </c>
      <c r="AI156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{"issue":{"subject":"","project_id":79,"tracker_id":40,"status_id":1,"priority_id":2,"assigned_to_id":23,"start_date":"2017-06-04","description":"","custom_fields":[{"id":1,"name":"Subdivision","value":"EC"},{"id":4,"name":"Milepost","value":"23.3399"},{"id":17,"name":"Train ID","value":"243-03"},{"id":16,"name":"Locomotive ID","value":"4014"},{"id":130,"name":"Impact","value":""},{"id":150,"name":"Time of Event (Mountain Time)","value":"01:07:10"},{"id":151,"name":"Denver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4"/>
        <v>start /low /b %USERPROFILE%\Documents\GitHub\eaglep3\Utilities\DownloadLogsFromS3.py --loco 4014 --day 2017-06-04</v>
      </c>
      <c r="AN156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07:07:10"},{"id":29,"name":"Sharepoint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848</v>
      </c>
      <c r="B157" s="7">
        <v>4013</v>
      </c>
      <c r="C157" s="21" t="s">
        <v>204</v>
      </c>
      <c r="D157" s="21" t="s">
        <v>595</v>
      </c>
      <c r="E157" s="13">
        <v>42890.048148148147</v>
      </c>
      <c r="F157" s="13">
        <v>42890.060578703706</v>
      </c>
      <c r="G157" s="7">
        <v>1</v>
      </c>
      <c r="H157" s="21" t="s">
        <v>364</v>
      </c>
      <c r="I157" s="13">
        <v>42890.087592592594</v>
      </c>
      <c r="J157" s="7">
        <v>0</v>
      </c>
      <c r="K157" s="92" t="str">
        <f t="shared" si="50"/>
        <v>4013/4014</v>
      </c>
      <c r="L157" s="21" t="str">
        <f>VLOOKUP(A157,'Trips&amp;Operators'!$C$1:$G$99999,5,FALSE)</f>
        <v>FORTUNATO FRANK</v>
      </c>
      <c r="M157" s="6">
        <f t="shared" si="51"/>
        <v>2.7013888888177462E-2</v>
      </c>
      <c r="N157" s="7">
        <f t="shared" si="48"/>
        <v>38.899999998975545</v>
      </c>
      <c r="O157" s="7"/>
      <c r="P157" s="7"/>
      <c r="Q157" s="22"/>
      <c r="R157" s="173"/>
      <c r="S157" s="176">
        <f t="shared" si="66"/>
        <v>1</v>
      </c>
      <c r="T157" s="202" t="str">
        <f t="shared" si="52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53"/>
        <v>https://d0f6bd738d7f1b3e5a7ca70fe4ff75f0.us-east-1.aws.found.io/app/kibana#/discover/Steve-Slow-Train-Analysis-(2080s-and-2083s)?_g=(refreshInterval:(display:Off,pause:!f,section:0,value:0),time:(from:'2017-06-04T00:09:20-0600',mode:absolute,to:'2017-06-04T03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204" t="str">
        <f t="shared" si="54"/>
        <v>N</v>
      </c>
      <c r="X157" s="204">
        <f t="shared" si="55"/>
        <v>1</v>
      </c>
      <c r="Y157" s="204">
        <f t="shared" si="67"/>
        <v>23.307099999999998</v>
      </c>
      <c r="Z157" s="204">
        <f t="shared" si="56"/>
        <v>1.47E-2</v>
      </c>
      <c r="AA157" s="204">
        <f t="shared" si="57"/>
        <v>23.292399999999997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8"/>
        <v>0244-03</v>
      </c>
      <c r="AE157" s="80" t="str">
        <f t="shared" si="59"/>
        <v>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 &amp; aws s3 cp s3://rtdc.mdm.uploadarchive.raw/RTDC4013/ "%USERPROFILE%\AppData\Local\Temp\OnboardLogs"\RTDC4013\2017-06-05 --exclude "*" --recursive --include "*20170605*" &amp; "%USERPROFILE%\Documents\GitHub\mrs-test-scripts\Headless Mode &amp; Sideloading\WalkAndUnGZ.bat" "%USERPROFILE%\AppData\Local\Temp\OnboardLogs"\RTDC4013\2017-06-05</v>
      </c>
      <c r="AF157" s="77" t="str">
        <f t="shared" si="60"/>
        <v>"C:\Program Files (x86)\AstroGrep\AstroGrep.exe" /e /r /s /spath="%USERPROFILE%\AppData\Local\Temp\OnboardLogs" /stypes="app*4013*20170604*" /stext=" 08:.+((SYSTEM_STATE.+slice.+state.+changed )|(ment ac)|(multiple cpu faults)|(system.+state.+changed )|(\[timeout)|(PRM\|1\|D)|(kpr)|(kdp)|(train st.+moving)|(\|lc)|(penalty))"</v>
      </c>
      <c r="AG157" s="1" t="str">
        <f t="shared" si="61"/>
        <v>EC</v>
      </c>
      <c r="AH157" s="81" t="str">
        <f t="shared" si="62"/>
        <v>"%USERPROFILE%\Documents\GitHub\eaglep3\Utilities\RefineRTDCRunTimes.py" --tripid 244-03 --locoid 4013 --swversion DE.1.0.9.0 --startMP 204:233071 --initTime 2017-06-04T01:09:20 --startdatetime 2017-06-04T01:27:14 --delay 1 --endMP 204:147 --enddatetime 2017-06-04T02:06:08 --enforcementcount 0 &gt;&gt;C:\Users\stu\Documents\GitHub\eaglep3-reporting\EC\2017-06-03-refined-times.txt</v>
      </c>
      <c r="AI157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{"issue":{"subject":"","project_id":79,"tracker_id":40,"status_id":1,"priority_id":2,"assigned_to_id":23,"start_date":"2017-06-04","description":"","custom_fields":[{"id":1,"name":"Subdivision","value":"EC"},{"id":4,"name":"Milepost","value":"0.0147"},{"id":17,"name":"Train ID","value":"244-03"},{"id":16,"name":"Locomotive ID","value":"4013"},{"id":130,"name":"Impact","value":""},{"id":150,"name":"Time of Event (Mountain Time)","value":"02:06:08"},{"id":151,"name":"Denver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4"/>
        <v>start /low /b %USERPROFILE%\Documents\GitHub\eaglep3\Utilities\DownloadLogsFromS3.py --loco 4013 --day 2017-06-04</v>
      </c>
      <c r="AN157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846</v>
      </c>
      <c r="B158" s="7">
        <v>4008</v>
      </c>
      <c r="C158" s="21" t="s">
        <v>204</v>
      </c>
      <c r="D158" s="21" t="s">
        <v>201</v>
      </c>
      <c r="E158" s="13">
        <v>42890.034074074072</v>
      </c>
      <c r="F158" s="13">
        <v>42890.041875000003</v>
      </c>
      <c r="G158" s="7">
        <v>1</v>
      </c>
      <c r="H158" s="21" t="s">
        <v>951</v>
      </c>
      <c r="I158" s="13">
        <v>42890.067743055559</v>
      </c>
      <c r="J158" s="7">
        <v>0</v>
      </c>
      <c r="K158" s="92" t="str">
        <f t="shared" si="50"/>
        <v>4007/4008</v>
      </c>
      <c r="L158" s="21" t="str">
        <f>VLOOKUP(A158,'Trips&amp;Operators'!$C$1:$G$99999,5,FALSE)</f>
        <v>SULLIVAN BRANDON</v>
      </c>
      <c r="M158" s="6">
        <f t="shared" si="51"/>
        <v>2.5868055556202307E-2</v>
      </c>
      <c r="N158" s="7">
        <f t="shared" si="48"/>
        <v>37.250000000931323</v>
      </c>
      <c r="O158" s="7"/>
      <c r="P158" s="7"/>
      <c r="Q158" s="22"/>
      <c r="R158" s="173"/>
      <c r="S158" s="176">
        <f t="shared" si="66"/>
        <v>1</v>
      </c>
      <c r="T158" s="202" t="str">
        <f t="shared" si="52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53"/>
        <v>https://d0f6bd738d7f1b3e5a7ca70fe4ff75f0.us-east-1.aws.found.io/app/kibana#/discover/Steve-Slow-Train-Analysis-(2080s-and-2083s)?_g=(refreshInterval:(display:Off,pause:!f,section:0,value:0),time:(from:'2017-06-03T23:49:04-0600',mode:absolute,to:'2017-06-04T02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204" t="str">
        <f t="shared" si="54"/>
        <v>N</v>
      </c>
      <c r="X158" s="204">
        <f t="shared" si="55"/>
        <v>1</v>
      </c>
      <c r="Y158" s="204">
        <f t="shared" si="67"/>
        <v>4.5999999999999999E-2</v>
      </c>
      <c r="Z158" s="204">
        <f t="shared" si="56"/>
        <v>23.3325</v>
      </c>
      <c r="AA158" s="204">
        <f t="shared" si="57"/>
        <v>23.2865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8"/>
        <v>0245-03</v>
      </c>
      <c r="AE158" s="80" t="str">
        <f t="shared" si="59"/>
        <v>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 &amp; 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</v>
      </c>
      <c r="AF158" s="77" t="str">
        <f t="shared" si="60"/>
        <v>"C:\Program Files (x86)\AstroGrep\AstroGrep.exe" /e /r /s /spath="%USERPROFILE%\AppData\Local\Temp\OnboardLogs" /stypes="app*4008*20170604*" /stext=" 07:.+((SYSTEM_STATE.+slice.+state.+changed )|(ment ac)|(multiple cpu faults)|(system.+state.+changed )|(\[timeout)|(PRM\|1\|D)|(kpr)|(kdp)|(train st.+moving)|(\|lc)|(penalty))"</v>
      </c>
      <c r="AG158" s="1" t="str">
        <f t="shared" si="61"/>
        <v>EC</v>
      </c>
      <c r="AH158" s="81" t="str">
        <f t="shared" si="62"/>
        <v>"%USERPROFILE%\Documents\GitHub\eaglep3\Utilities\RefineRTDCRunTimes.py" --tripid 245-03 --locoid 4008 --swversion DE.1.0.9.0 --startMP 204:460 --initTime 2017-06-04T00:49:04 --startdatetime 2017-06-04T01:00:18 --delay 1 --endMP 204:233325 --enddatetime 2017-06-04T01:37:33 --enforcementcount 0 &gt;&gt;C:\Users\stu\Documents\GitHub\eaglep3-reporting\EC\2017-06-03-refined-times.txt</v>
      </c>
      <c r="AI158" s="99" t="str">
        <f t="shared" si="63"/>
        <v>echo {"issue":{"subject":"","project_id":79,"tracker_id":40,"status_id":1,"priority_id":2,"assigned_to_id":23,"start_date":"2017-06-04","description":"","custom_fields":[{"id":1,"name":"Subdivision","value":"EC"},{"id":4,"name":"Milepost","value":"23.3325"},{"id":17,"name":"Train ID","value":"245-03"},{"id":16,"name":"Locomotive ID","value":"4008"},{"id":130,"name":"Impact","value":""},{"id":150,"name":"Time of Event (Mountain Time)","value":"01:37:33"},{"id":151,"name":"Denver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4"/>
        <v>start /low /b %USERPROFILE%\Documents\GitHub\eaglep3\Utilities\DownloadLogsFromS3.py --loco 4008 --day 2017-06-04</v>
      </c>
      <c r="AN158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07:37:33"},{"id":29,"name":"Sharepoint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850</v>
      </c>
      <c r="B159" s="7">
        <v>4007</v>
      </c>
      <c r="C159" s="21" t="s">
        <v>204</v>
      </c>
      <c r="D159" s="21" t="s">
        <v>958</v>
      </c>
      <c r="E159" s="13">
        <v>42890.07540509259</v>
      </c>
      <c r="F159" s="13">
        <v>42890.081469907411</v>
      </c>
      <c r="G159" s="7">
        <v>1</v>
      </c>
      <c r="H159" s="21" t="s">
        <v>959</v>
      </c>
      <c r="I159" s="13">
        <v>42890.089872685188</v>
      </c>
      <c r="J159" s="7">
        <v>0</v>
      </c>
      <c r="K159" s="92" t="str">
        <f t="shared" si="50"/>
        <v>4007/4008</v>
      </c>
      <c r="L159" s="21" t="str">
        <f>VLOOKUP(A159,'Trips&amp;Operators'!$C$1:$G$99999,5,FALSE)</f>
        <v>SULLIVAN BRANDON</v>
      </c>
      <c r="M159" s="6">
        <f t="shared" si="51"/>
        <v>8.4027777775190771E-3</v>
      </c>
      <c r="N159" s="7"/>
      <c r="O159" s="7"/>
      <c r="P159" s="7">
        <f>24*60*SUM($M159:$M159)</f>
        <v>12.099999999627471</v>
      </c>
      <c r="Q159" s="22"/>
      <c r="R159" s="173" t="s">
        <v>421</v>
      </c>
      <c r="S159" s="176">
        <f t="shared" si="66"/>
        <v>0</v>
      </c>
      <c r="T159" s="202" t="str">
        <f t="shared" si="52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203" t="str">
        <f t="shared" si="53"/>
        <v>https://d0f6bd738d7f1b3e5a7ca70fe4ff75f0.us-east-1.aws.found.io/app/kibana#/discover/Steve-Slow-Train-Analysis-(2080s-and-2083s)?_g=(refreshInterval:(display:Off,pause:!f,section:0,value:0),time:(from:'2017-06-04T00:48:35-0600',mode:absolute,to:'2017-06-04T03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204" t="str">
        <f t="shared" si="54"/>
        <v>Y</v>
      </c>
      <c r="X159" s="204">
        <f t="shared" si="55"/>
        <v>1</v>
      </c>
      <c r="Y159" s="204">
        <f t="shared" si="67"/>
        <v>23.301300000000001</v>
      </c>
      <c r="Z159" s="204">
        <f t="shared" si="56"/>
        <v>14.4887</v>
      </c>
      <c r="AA159" s="204">
        <f t="shared" si="57"/>
        <v>8.8126000000000015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8"/>
        <v>0246-03</v>
      </c>
      <c r="AE159" s="80" t="str">
        <f t="shared" si="59"/>
        <v>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 &amp; aws s3 cp s3://rtdc.mdm.uploadarchive.raw/RTDC4007/ "%USERPROFILE%\AppData\Local\Temp\OnboardLogs"\RTDC4007\2017-06-05 --exclude "*" --recursive --include "*20170605*" &amp; "%USERPROFILE%\Documents\GitHub\mrs-test-scripts\Headless Mode &amp; Sideloading\WalkAndUnGZ.bat" "%USERPROFILE%\AppData\Local\Temp\OnboardLogs"\RTDC4007\2017-06-05</v>
      </c>
      <c r="AF159" s="77" t="str">
        <f t="shared" si="60"/>
        <v>"C:\Program Files (x86)\AstroGrep\AstroGrep.exe" /e /r /s /spath="%USERPROFILE%\AppData\Local\Temp\OnboardLogs" /stypes="app*4007*20170604*" /stext=" 08:.+((SYSTEM_STATE.+slice.+state.+changed )|(ment ac)|(multiple cpu faults)|(system.+state.+changed )|(\[timeout)|(PRM\|1\|D)|(kpr)|(kdp)|(train st.+moving)|(\|lc)|(penalty))"</v>
      </c>
      <c r="AG159" s="1" t="str">
        <f t="shared" si="61"/>
        <v>EC</v>
      </c>
      <c r="AH159" s="81" t="str">
        <f t="shared" si="62"/>
        <v>"%USERPROFILE%\Documents\GitHub\eaglep3\Utilities\RefineRTDCRunTimes.py" --tripid 246-03 --locoid 4007 --swversion DE.1.0.9.0 --startMP 204:233013 --initTime 2017-06-04T01:48:35 --startdatetime 2017-06-04T01:57:19 --delay 1 --endMP 204:144887 --enddatetime 2017-06-04T02:09:25 --enforcementcount 0 &gt;&gt;C:\Users\stu\Documents\GitHub\eaglep3-reporting\EC\2017-06-03-refined-times.txt</v>
      </c>
      <c r="AI159" s="99" t="str">
        <f t="shared" si="63"/>
        <v>echo {"issue":{"subject":"Wi-MAX data drop","project_id":79,"tracker_id":40,"status_id":1,"priority_id":2,"assigned_to_id":23,"start_date":"2017-06-04","description":"","custom_fields":[{"id":1,"name":"Subdivision","value":"EC"},{"id":4,"name":"Milepost","value":"14.4887"},{"id":17,"name":"Train ID","value":"246-03"},{"id":16,"name":"Locomotive ID","value":"4007"},{"id":130,"name":"Impact","value":""},{"id":150,"name":"Time of Event (Mountain Time)","value":"02:09:25"},{"id":151,"name":"Denver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64"/>
        <v>start /low /b %USERPROFILE%\Documents\GitHub\eaglep3\Utilities\DownloadLogsFromS3.py --loco 4007 --day 2017-06-04</v>
      </c>
      <c r="AN159" s="154" t="str">
        <f t="shared" si="65"/>
        <v>echo {"issue":{"subject":"Wi-MAX data drop","project_id":30,"tracker_id":4,"status_id":1,"priority_id":1,"assigned_to_id":10,"start_date":"2017-06-04","description":"","custom_fields":[{"id":30,"name":"Category","value":"Issue"},{"id":3,"name":"Functional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684</v>
      </c>
      <c r="B160" s="7">
        <v>4057</v>
      </c>
      <c r="C160" s="21" t="s">
        <v>204</v>
      </c>
      <c r="D160" s="21" t="s">
        <v>614</v>
      </c>
      <c r="E160" s="13">
        <v>42889.234837962962</v>
      </c>
      <c r="F160" s="13">
        <v>42889.236574074072</v>
      </c>
      <c r="G160" s="7">
        <v>1</v>
      </c>
      <c r="H160" s="21" t="s">
        <v>885</v>
      </c>
      <c r="I160" s="13">
        <v>42889.247071759259</v>
      </c>
      <c r="J160" s="7">
        <v>0</v>
      </c>
      <c r="K160" s="92" t="str">
        <f t="shared" si="50"/>
        <v>4057/4058</v>
      </c>
      <c r="L160" s="21" t="str">
        <f>VLOOKUP(A160,'Trips&amp;Operators'!$C$1:$G$99999,5,FALSE)</f>
        <v>MACDONALD THOMAS</v>
      </c>
      <c r="M160" s="6">
        <f t="shared" si="51"/>
        <v>1.0497685187146999E-2</v>
      </c>
      <c r="N160" s="7">
        <f t="shared" ref="N160:N191" si="68">24*60*SUM($M160:$M160)</f>
        <v>15.116666669491678</v>
      </c>
      <c r="O160" s="7"/>
      <c r="P160" s="7"/>
      <c r="Q160" s="22"/>
      <c r="R160" s="173"/>
      <c r="S160" s="176">
        <f t="shared" si="66"/>
        <v>1</v>
      </c>
      <c r="T160" s="202" t="str">
        <f t="shared" si="52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53"/>
        <v>https://d0f6bd738d7f1b3e5a7ca70fe4ff75f0.us-east-1.aws.found.io/app/kibana#/discover/Steve-Slow-Train-Analysis-(2080s-and-2083s)?_g=(refreshInterval:(display:Off,pause:!f,section:0,value:0),time:(from:'2017-06-03T04:38:10-0600',mode:absolute,to:'2017-06-03T06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0" s="204" t="str">
        <f t="shared" si="54"/>
        <v>N</v>
      </c>
      <c r="X160" s="204">
        <f t="shared" si="55"/>
        <v>1554</v>
      </c>
      <c r="Y160" s="204">
        <f t="shared" si="67"/>
        <v>5.8630000000000004</v>
      </c>
      <c r="Z160" s="204">
        <f t="shared" si="56"/>
        <v>6.9599999999999995E-2</v>
      </c>
      <c r="AA160" s="204">
        <f t="shared" si="57"/>
        <v>5.7934000000000001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8"/>
        <v>1800-03</v>
      </c>
      <c r="AE160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60" s="77" t="str">
        <f t="shared" si="60"/>
        <v>"C:\Program Files (x86)\AstroGrep\AstroGrep.exe" /e /r /s /spath="%USERPROFILE%\AppData\Local\Temp\OnboardLogs" /stypes="app*4057*20170603*" /stext=" 11:.+((SYSTEM_STATE.+slice.+state.+changed )|(ment ac)|(multiple cpu faults)|(system.+state.+changed )|(\[timeout)|(PRM\|1\|D)|(kpr)|(kdp)|(train st.+moving)|(\|lc)|(penalty))"</v>
      </c>
      <c r="AG160" s="1" t="str">
        <f t="shared" si="61"/>
        <v>NW</v>
      </c>
      <c r="AH160" s="81" t="str">
        <f t="shared" si="62"/>
        <v>"%USERPROFILE%\Documents\GitHub\eaglep3\Utilities\RefineRTDCRunTimes.py" --tripid 1800-03 --locoid 4057 --swversion DE.1.0.9.0 --startMP 300:58630 --initTime 2017-06-03T05:38:10 --startdatetime 2017-06-03T05:40:40 --delay 1 --endMP 204:696 --enddatetime 2017-06-03T05:55:47 --enforcementcount 0 &gt;&gt;C:\Users\stu\Documents\GitHub\eaglep3-reporting\EC\2017-06-03-refined-times.txt</v>
      </c>
      <c r="AI160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{"issue":{"subject":"","project_id":79,"tracker_id":40,"status_id":1,"priority_id":2,"assigned_to_id":23,"start_date":"2017-06-03","description":"","custom_fields":[{"id":1,"name":"Subdivision","value":"NW"},{"id":4,"name":"Milepost","value":"0.0696"},{"id":17,"name":"Train ID","value":"1800-03"},{"id":16,"name":"Locomotive ID","value":"4057"},{"id":130,"name":"Impact","value":""},{"id":150,"name":"Time of Event (Mountain Time)","value":"05:55:47"},{"id":151,"name":"Denver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4"/>
        <v>start /low /b %USERPROFILE%\Documents\GitHub\eaglep3\Utilities\DownloadLogsFromS3.py --loco 4057 --day 2017-06-03</v>
      </c>
      <c r="AN160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688</v>
      </c>
      <c r="B161" s="7">
        <v>4058</v>
      </c>
      <c r="C161" s="21" t="s">
        <v>204</v>
      </c>
      <c r="D161" s="21" t="s">
        <v>886</v>
      </c>
      <c r="E161" s="13">
        <v>42889.24832175926</v>
      </c>
      <c r="F161" s="13">
        <v>42889.264976851853</v>
      </c>
      <c r="G161" s="7">
        <v>1</v>
      </c>
      <c r="H161" s="21" t="s">
        <v>887</v>
      </c>
      <c r="I161" s="13">
        <v>42889.274386574078</v>
      </c>
      <c r="J161" s="7">
        <v>0</v>
      </c>
      <c r="K161" s="92" t="str">
        <f t="shared" si="50"/>
        <v>4057/4058</v>
      </c>
      <c r="L161" s="21" t="str">
        <f>VLOOKUP(A161,'Trips&amp;Operators'!$C$1:$G$99999,5,FALSE)</f>
        <v>MACDONALD THOMAS</v>
      </c>
      <c r="M161" s="6">
        <f t="shared" si="51"/>
        <v>9.4097222245181911E-3</v>
      </c>
      <c r="N161" s="7">
        <f t="shared" si="68"/>
        <v>13.550000003306195</v>
      </c>
      <c r="O161" s="7"/>
      <c r="P161" s="7"/>
      <c r="Q161" s="22"/>
      <c r="R161" s="173"/>
      <c r="S161" s="176">
        <f t="shared" si="66"/>
        <v>1</v>
      </c>
      <c r="T161" s="202" t="str">
        <f t="shared" si="52"/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3"/>
        <v>https://d0f6bd738d7f1b3e5a7ca70fe4ff75f0.us-east-1.aws.found.io/app/kibana#/discover/Steve-Slow-Train-Analysis-(2080s-and-2083s)?_g=(refreshInterval:(display:Off,pause:!f,section:0,value:0),time:(from:'2017-06-03T04:57:35-0600',mode:absolute,to:'2017-06-03T07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1" s="204" t="str">
        <f t="shared" si="54"/>
        <v>N</v>
      </c>
      <c r="X161" s="204">
        <f t="shared" si="55"/>
        <v>1</v>
      </c>
      <c r="Y161" s="204">
        <f t="shared" si="67"/>
        <v>9.8299999999999998E-2</v>
      </c>
      <c r="Z161" s="204">
        <f t="shared" si="56"/>
        <v>5.8936999999999999</v>
      </c>
      <c r="AA161" s="204">
        <f t="shared" si="57"/>
        <v>5.7953999999999999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8"/>
        <v>1801-03</v>
      </c>
      <c r="AE161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61" s="77" t="str">
        <f t="shared" si="60"/>
        <v>"C:\Program Files (x86)\AstroGrep\AstroGrep.exe" /e /r /s /spath="%USERPROFILE%\AppData\Local\Temp\OnboardLogs" /stypes="app*4058*20170603*" /stext=" 12:.+((SYSTEM_STATE.+slice.+state.+changed )|(ment ac)|(multiple cpu faults)|(system.+state.+changed )|(\[timeout)|(PRM\|1\|D)|(kpr)|(kdp)|(train st.+moving)|(\|lc)|(penalty))"</v>
      </c>
      <c r="AG161" s="1" t="str">
        <f t="shared" si="61"/>
        <v>NW</v>
      </c>
      <c r="AH161" s="81" t="str">
        <f t="shared" si="62"/>
        <v>"%USERPROFILE%\Documents\GitHub\eaglep3\Utilities\RefineRTDCRunTimes.py" --tripid 1801-03 --locoid 4058 --swversion DE.1.0.9.0 --startMP 204:983 --initTime 2017-06-03T05:57:35 --startdatetime 2017-06-03T06:21:34 --delay 1 --endMP 300:58937 --enddatetime 2017-06-03T06:35:07 --enforcementcount 0 &gt;&gt;C:\Users\stu\Documents\GitHub\eaglep3-reporting\EC\2017-06-03-refined-times.txt</v>
      </c>
      <c r="AI161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{"issue":{"subject":"","project_id":79,"tracker_id":40,"status_id":1,"priority_id":2,"assigned_to_id":23,"start_date":"2017-06-03","description":"","custom_fields":[{"id":1,"name":"Subdivision","value":"NW"},{"id":4,"name":"Milepost","value":"5.8937"},{"id":17,"name":"Train ID","value":"1801-03"},{"id":16,"name":"Locomotive ID","value":"4058"},{"id":130,"name":"Impact","value":""},{"id":150,"name":"Time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4"/>
        <v>start /low /b %USERPROFILE%\Documents\GitHub\eaglep3\Utilities\DownloadLogsFromS3.py --loco 4058 --day 2017-06-03</v>
      </c>
      <c r="AN161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693</v>
      </c>
      <c r="B162" s="7">
        <v>4057</v>
      </c>
      <c r="C162" s="21" t="s">
        <v>204</v>
      </c>
      <c r="D162" s="21" t="s">
        <v>606</v>
      </c>
      <c r="E162" s="13">
        <v>42889.27684027778</v>
      </c>
      <c r="F162" s="13">
        <v>42889.278113425928</v>
      </c>
      <c r="G162" s="7">
        <v>1</v>
      </c>
      <c r="H162" s="21" t="s">
        <v>888</v>
      </c>
      <c r="I162" s="13">
        <v>42889.288055555553</v>
      </c>
      <c r="J162" s="7">
        <v>0</v>
      </c>
      <c r="K162" s="92" t="str">
        <f t="shared" si="50"/>
        <v>4057/4058</v>
      </c>
      <c r="L162" s="21" t="str">
        <f>VLOOKUP(A162,'Trips&amp;Operators'!$C$1:$G$99999,5,FALSE)</f>
        <v>MACDONALD THOMAS</v>
      </c>
      <c r="M162" s="6">
        <f t="shared" si="51"/>
        <v>9.9421296254149638E-3</v>
      </c>
      <c r="N162" s="7">
        <f t="shared" si="68"/>
        <v>14.316666660597548</v>
      </c>
      <c r="O162" s="7"/>
      <c r="P162" s="7"/>
      <c r="Q162" s="22"/>
      <c r="R162" s="173"/>
      <c r="S162" s="176">
        <f t="shared" si="66"/>
        <v>1</v>
      </c>
      <c r="T162" s="202" t="str">
        <f t="shared" si="52"/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3"/>
        <v>https://d0f6bd738d7f1b3e5a7ca70fe4ff75f0.us-east-1.aws.found.io/app/kibana#/discover/Steve-Slow-Train-Analysis-(2080s-and-2083s)?_g=(refreshInterval:(display:Off,pause:!f,section:0,value:0),time:(from:'2017-06-03T05:38:39-0600',mode:absolute,to:'2017-06-03T07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2" s="204" t="str">
        <f t="shared" si="54"/>
        <v>N</v>
      </c>
      <c r="X162" s="204">
        <f t="shared" si="55"/>
        <v>1</v>
      </c>
      <c r="Y162" s="204">
        <f t="shared" si="67"/>
        <v>5.8608000000000002</v>
      </c>
      <c r="Z162" s="204">
        <f t="shared" si="56"/>
        <v>6.6600000000000006E-2</v>
      </c>
      <c r="AA162" s="204">
        <f t="shared" si="57"/>
        <v>5.7942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8"/>
        <v>1802-03</v>
      </c>
      <c r="AE162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62" s="77" t="str">
        <f t="shared" si="60"/>
        <v>"C:\Program Files (x86)\AstroGrep\AstroGrep.exe" /e /r /s /spath="%USERPROFILE%\AppData\Local\Temp\OnboardLogs" /stypes="app*4057*20170603*" /stext=" 12:.+((SYSTEM_STATE.+slice.+state.+changed )|(ment ac)|(multiple cpu faults)|(system.+state.+changed )|(\[timeout)|(PRM\|1\|D)|(kpr)|(kdp)|(train st.+moving)|(\|lc)|(penalty))"</v>
      </c>
      <c r="AG162" s="1" t="str">
        <f t="shared" si="61"/>
        <v>NW</v>
      </c>
      <c r="AH162" s="81" t="str">
        <f t="shared" si="62"/>
        <v>"%USERPROFILE%\Documents\GitHub\eaglep3\Utilities\RefineRTDCRunTimes.py" --tripid 1802-03 --locoid 4057 --swversion DE.1.0.9.0 --startMP 300:58608 --initTime 2017-06-03T06:38:39 --startdatetime 2017-06-03T06:40:29 --delay 1 --endMP 204:666 --enddatetime 2017-06-03T06:54:48 --enforcementcount 0 &gt;&gt;C:\Users\stu\Documents\GitHub\eaglep3-reporting\EC\2017-06-03-refined-times.txt</v>
      </c>
      <c r="AI162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{"issue":{"subject":"","project_id":79,"tracker_id":40,"status_id":1,"priority_id":2,"assigned_to_id":23,"start_date":"2017-06-03","description":"","custom_fields":[{"id":1,"name":"Subdivision","value":"NW"},{"id":4,"name":"Milepost","value":"0.0666"},{"id":17,"name":"Train ID","value":"1802-03"},{"id":16,"name":"Locomotive ID","value":"4057"},{"id":130,"name":"Impact","value":""},{"id":150,"name":"Time of Event (Mountain Time)","value":"06:54:48"},{"id":151,"name":"Denver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64"/>
        <v>start /low /b %USERPROFILE%\Documents\GitHub\eaglep3\Utilities\DownloadLogsFromS3.py --loco 4057 --day 2017-06-03</v>
      </c>
      <c r="AN162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618</v>
      </c>
      <c r="B163" s="7">
        <v>4058</v>
      </c>
      <c r="C163" s="21" t="s">
        <v>204</v>
      </c>
      <c r="D163" s="21" t="s">
        <v>889</v>
      </c>
      <c r="E163" s="13">
        <v>42889.288819444446</v>
      </c>
      <c r="F163" s="13">
        <v>42889.306377314817</v>
      </c>
      <c r="G163" s="7">
        <v>2</v>
      </c>
      <c r="H163" s="21" t="s">
        <v>887</v>
      </c>
      <c r="I163" s="13">
        <v>42889.314618055556</v>
      </c>
      <c r="J163" s="7">
        <v>0</v>
      </c>
      <c r="K163" s="92" t="str">
        <f t="shared" si="50"/>
        <v>4057/4058</v>
      </c>
      <c r="L163" s="21" t="str">
        <f>VLOOKUP(A163,'Trips&amp;Operators'!$C$1:$G$99999,5,FALSE)</f>
        <v>MACDONALD THOMAS</v>
      </c>
      <c r="M163" s="6">
        <f t="shared" si="51"/>
        <v>8.2407407389837317E-3</v>
      </c>
      <c r="N163" s="7">
        <f t="shared" si="68"/>
        <v>11.866666664136574</v>
      </c>
      <c r="O163" s="7"/>
      <c r="P163" s="7"/>
      <c r="Q163" s="22"/>
      <c r="R163" s="173"/>
      <c r="S163" s="176">
        <f t="shared" si="66"/>
        <v>1</v>
      </c>
      <c r="T163" s="202" t="str">
        <f t="shared" si="52"/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3"/>
        <v>https://d0f6bd738d7f1b3e5a7ca70fe4ff75f0.us-east-1.aws.found.io/app/kibana#/discover/Steve-Slow-Train-Analysis-(2080s-and-2083s)?_g=(refreshInterval:(display:Off,pause:!f,section:0,value:0),time:(from:'2017-06-03T05:55:54-0600',mode:absolute,to:'2017-06-03T08:33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3" s="204" t="str">
        <f t="shared" si="54"/>
        <v>N</v>
      </c>
      <c r="X163" s="204">
        <f t="shared" si="55"/>
        <v>1</v>
      </c>
      <c r="Y163" s="204">
        <f t="shared" si="67"/>
        <v>9.64E-2</v>
      </c>
      <c r="Z163" s="204">
        <f t="shared" si="56"/>
        <v>5.8936999999999999</v>
      </c>
      <c r="AA163" s="204">
        <f t="shared" si="57"/>
        <v>5.7972999999999999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8"/>
        <v>1803-03</v>
      </c>
      <c r="AE163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63" s="77" t="str">
        <f t="shared" si="60"/>
        <v>"C:\Program Files (x86)\AstroGrep\AstroGrep.exe" /e /r /s /spath="%USERPROFILE%\AppData\Local\Temp\OnboardLogs" /stypes="app*4058*20170603*" /stext=" 13:.+((SYSTEM_STATE.+slice.+state.+changed )|(ment ac)|(multiple cpu faults)|(system.+state.+changed )|(\[timeout)|(PRM\|1\|D)|(kpr)|(kdp)|(train st.+moving)|(\|lc)|(penalty))"</v>
      </c>
      <c r="AG163" s="1" t="str">
        <f t="shared" si="61"/>
        <v>NW</v>
      </c>
      <c r="AH163" s="81" t="str">
        <f t="shared" si="62"/>
        <v>"%USERPROFILE%\Documents\GitHub\eaglep3\Utilities\RefineRTDCRunTimes.py" --tripid 1803-03 --locoid 4058 --swversion DE.1.0.9.0 --startMP 204:964 --initTime 2017-06-03T06:55:54 --startdatetime 2017-06-03T07:21:11 --delay 2 --endMP 300:58937 --enddatetime 2017-06-03T07:33:03 --enforcementcount 0 &gt;&gt;C:\Users\stu\Documents\GitHub\eaglep3-reporting\EC\2017-06-03-refined-times.txt</v>
      </c>
      <c r="AI163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{"issue":{"subject":"","project_id":79,"tracker_id":40,"status_id":1,"priority_id":2,"assigned_to_id":23,"start_date":"2017-06-03","description":"","custom_fields":[{"id":1,"name":"Subdivision","value":"NW"},{"id":4,"name":"Milepost","value":"5.8937"},{"id":17,"name":"Train ID","value":"1803-03"},{"id":16,"name":"Locomotive ID","value":"4058"},{"id":130,"name":"Impact","value":""},{"id":150,"name":"Time of Event (Mountain Time)","value":"07:33:03"},{"id":151,"name":"Denver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4"/>
        <v>start /low /b %USERPROFILE%\Documents\GitHub\eaglep3\Utilities\DownloadLogsFromS3.py --loco 4058 --day 2017-06-03</v>
      </c>
      <c r="AN163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13:33:03"},{"id":29,"name":"Sharepoint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622</v>
      </c>
      <c r="B164" s="7">
        <v>4057</v>
      </c>
      <c r="C164" s="21" t="s">
        <v>204</v>
      </c>
      <c r="D164" s="21" t="s">
        <v>890</v>
      </c>
      <c r="E164" s="13">
        <v>42889.315960648149</v>
      </c>
      <c r="F164" s="13">
        <v>42889.317418981482</v>
      </c>
      <c r="G164" s="7">
        <v>1</v>
      </c>
      <c r="H164" s="21" t="s">
        <v>537</v>
      </c>
      <c r="I164" s="13">
        <v>42889.33021990741</v>
      </c>
      <c r="J164" s="7">
        <v>0</v>
      </c>
      <c r="K164" s="92" t="str">
        <f t="shared" si="50"/>
        <v>4057/4058</v>
      </c>
      <c r="L164" s="21" t="str">
        <f>VLOOKUP(A164,'Trips&amp;Operators'!$C$1:$G$99999,5,FALSE)</f>
        <v>MACDONALD THOMAS</v>
      </c>
      <c r="M164" s="6">
        <f t="shared" si="51"/>
        <v>1.280092592787696E-2</v>
      </c>
      <c r="N164" s="7">
        <f t="shared" si="68"/>
        <v>18.433333336142823</v>
      </c>
      <c r="O164" s="7"/>
      <c r="P164" s="7"/>
      <c r="Q164" s="22"/>
      <c r="R164" s="173"/>
      <c r="S164" s="176">
        <f t="shared" si="66"/>
        <v>1</v>
      </c>
      <c r="T164" s="202" t="str">
        <f t="shared" si="52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3"/>
        <v>https://d0f6bd738d7f1b3e5a7ca70fe4ff75f0.us-east-1.aws.found.io/app/kibana#/discover/Steve-Slow-Train-Analysis-(2080s-and-2083s)?_g=(refreshInterval:(display:Off,pause:!f,section:0,value:0),time:(from:'2017-06-03T06:34:59-0600',mode:absolute,to:'2017-06-03T08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4" s="204" t="str">
        <f t="shared" si="54"/>
        <v>N</v>
      </c>
      <c r="X164" s="204">
        <f t="shared" si="55"/>
        <v>1</v>
      </c>
      <c r="Y164" s="204">
        <f t="shared" si="67"/>
        <v>5.8613</v>
      </c>
      <c r="Z164" s="204">
        <f t="shared" si="56"/>
        <v>7.1499999999999994E-2</v>
      </c>
      <c r="AA164" s="204">
        <f t="shared" si="57"/>
        <v>5.7897999999999996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8"/>
        <v>1804-03</v>
      </c>
      <c r="AE164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64" s="77" t="str">
        <f t="shared" si="60"/>
        <v>"C:\Program Files (x86)\AstroGrep\AstroGrep.exe" /e /r /s /spath="%USERPROFILE%\AppData\Local\Temp\OnboardLogs" /stypes="app*4057*20170603*" /stext=" 13:.+((SYSTEM_STATE.+slice.+state.+changed )|(ment ac)|(multiple cpu faults)|(system.+state.+changed )|(\[timeout)|(PRM\|1\|D)|(kpr)|(kdp)|(train st.+moving)|(\|lc)|(penalty))"</v>
      </c>
      <c r="AG164" s="1" t="str">
        <f t="shared" si="61"/>
        <v>NW</v>
      </c>
      <c r="AH164" s="81" t="str">
        <f t="shared" si="62"/>
        <v>"%USERPROFILE%\Documents\GitHub\eaglep3\Utilities\RefineRTDCRunTimes.py" --tripid 1804-03 --locoid 4057 --swversion DE.1.0.9.0 --startMP 300:58613 --initTime 2017-06-03T07:34:59 --startdatetime 2017-06-03T07:37:05 --delay 1 --endMP 204:715 --enddatetime 2017-06-03T07:55:31 --enforcementcount 0 &gt;&gt;C:\Users\stu\Documents\GitHub\eaglep3-reporting\EC\2017-06-03-refined-times.txt</v>
      </c>
      <c r="AI164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{"issue":{"subject":"","project_id":79,"tracker_id":40,"status_id":1,"priority_id":2,"assigned_to_id":23,"start_date":"2017-06-03","description":"","custom_fields":[{"id":1,"name":"Subdivision","value":"NW"},{"id":4,"name":"Milepost","value":"0.0715"},{"id":17,"name":"Train ID","value":"1804-03"},{"id":16,"name":"Locomotive ID","value":"4057"},{"id":130,"name":"Impact","value":""},{"id":150,"name":"Time of Event (Mountain Time)","value":"07:55:31"},{"id":151,"name":"Denver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4"/>
        <v>start /low /b %USERPROFILE%\Documents\GitHub\eaglep3\Utilities\DownloadLogsFromS3.py --loco 4057 --day 2017-06-03</v>
      </c>
      <c r="AN164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13:55:31"},{"id":29,"name":"Sharepoint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703</v>
      </c>
      <c r="B165" s="7">
        <v>4058</v>
      </c>
      <c r="C165" s="21" t="s">
        <v>204</v>
      </c>
      <c r="D165" s="21" t="s">
        <v>891</v>
      </c>
      <c r="E165" s="13">
        <v>42889.331203703703</v>
      </c>
      <c r="F165" s="13">
        <v>42889.348414351851</v>
      </c>
      <c r="G165" s="7">
        <v>0</v>
      </c>
      <c r="H165" s="21" t="s">
        <v>892</v>
      </c>
      <c r="I165" s="13">
        <v>42889.357974537037</v>
      </c>
      <c r="J165" s="7">
        <v>0</v>
      </c>
      <c r="K165" s="92" t="str">
        <f t="shared" si="50"/>
        <v>4057/4058</v>
      </c>
      <c r="L165" s="21" t="str">
        <f>VLOOKUP(A165,'Trips&amp;Operators'!$C$1:$G$99999,5,FALSE)</f>
        <v>MACDONALD THOMAS</v>
      </c>
      <c r="M165" s="6">
        <f t="shared" si="51"/>
        <v>9.560185186273884E-3</v>
      </c>
      <c r="N165" s="7">
        <f t="shared" si="68"/>
        <v>13.766666668234393</v>
      </c>
      <c r="O165" s="7"/>
      <c r="P165" s="7"/>
      <c r="Q165" s="22"/>
      <c r="R165" s="173"/>
      <c r="S165" s="176">
        <f t="shared" si="66"/>
        <v>1</v>
      </c>
      <c r="T165" s="202" t="str">
        <f t="shared" si="52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3"/>
        <v>https://d0f6bd738d7f1b3e5a7ca70fe4ff75f0.us-east-1.aws.found.io/app/kibana#/discover/Steve-Slow-Train-Analysis-(2080s-and-2083s)?_g=(refreshInterval:(display:Off,pause:!f,section:0,value:0),time:(from:'2017-06-03T06:56:56-0600',mode:absolute,to:'2017-06-03T09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5" s="204" t="str">
        <f t="shared" si="54"/>
        <v>N</v>
      </c>
      <c r="X165" s="204">
        <f t="shared" si="55"/>
        <v>1</v>
      </c>
      <c r="Y165" s="204">
        <f t="shared" si="67"/>
        <v>0.1009</v>
      </c>
      <c r="Z165" s="204">
        <f t="shared" si="56"/>
        <v>5.8930999999999996</v>
      </c>
      <c r="AA165" s="204">
        <f t="shared" si="57"/>
        <v>5.7921999999999993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8"/>
        <v>1805-03</v>
      </c>
      <c r="AE165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65" s="77" t="str">
        <f t="shared" si="60"/>
        <v>"C:\Program Files (x86)\AstroGrep\AstroGrep.exe" /e /r /s /spath="%USERPROFILE%\AppData\Local\Temp\OnboardLogs" /stypes="app*4058*20170603*" /stext=" 14:.+((SYSTEM_STATE.+slice.+state.+changed )|(ment ac)|(multiple cpu faults)|(system.+state.+changed )|(\[timeout)|(PRM\|1\|D)|(kpr)|(kdp)|(train st.+moving)|(\|lc)|(penalty))"</v>
      </c>
      <c r="AG165" s="1" t="str">
        <f t="shared" si="61"/>
        <v>NW</v>
      </c>
      <c r="AH165" s="81" t="str">
        <f t="shared" si="62"/>
        <v>"%USERPROFILE%\Documents\GitHub\eaglep3\Utilities\RefineRTDCRunTimes.py" --tripid 1805-03 --locoid 4058 --swversion DE.1.0.9.0 --startMP 204:1009 --initTime 2017-06-03T07:56:56 --startdatetime 2017-06-03T08:21:43 --delay 0 --endMP 300:58931 --enddatetime 2017-06-03T08:35:29 --enforcementcount 0 &gt;&gt;C:\Users\stu\Documents\GitHub\eaglep3-reporting\EC\2017-06-03-refined-times.txt</v>
      </c>
      <c r="AI165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{"issue":{"subject":"","project_id":79,"tracker_id":40,"status_id":1,"priority_id":2,"assigned_to_id":23,"start_date":"2017-06-03","description":"","custom_fields":[{"id":1,"name":"Subdivision","value":"NW"},{"id":4,"name":"Milepost","value":"5.8931"},{"id":17,"name":"Train ID","value":"1805-03"},{"id":16,"name":"Locomotive ID","value":"4058"},{"id":130,"name":"Impact","value":""},{"id":150,"name":"Time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4"/>
        <v>start /low /b %USERPROFILE%\Documents\GitHub\eaglep3\Utilities\DownloadLogsFromS3.py --loco 4058 --day 2017-06-03</v>
      </c>
      <c r="AN165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623</v>
      </c>
      <c r="B166" s="7">
        <v>4057</v>
      </c>
      <c r="C166" s="21" t="s">
        <v>204</v>
      </c>
      <c r="D166" s="21" t="s">
        <v>890</v>
      </c>
      <c r="E166" s="13">
        <v>42889.359212962961</v>
      </c>
      <c r="F166" s="13">
        <v>42889.360798611109</v>
      </c>
      <c r="G166" s="7">
        <v>1</v>
      </c>
      <c r="H166" s="21" t="s">
        <v>500</v>
      </c>
      <c r="I166" s="13">
        <v>42889.372847222221</v>
      </c>
      <c r="J166" s="7">
        <v>0</v>
      </c>
      <c r="K166" s="92" t="str">
        <f t="shared" si="50"/>
        <v>4057/4058</v>
      </c>
      <c r="L166" s="21" t="str">
        <f>VLOOKUP(A166,'Trips&amp;Operators'!$C$1:$G$99999,5,FALSE)</f>
        <v>MACDONALD THOMAS</v>
      </c>
      <c r="M166" s="6">
        <f t="shared" si="51"/>
        <v>1.2048611111822538E-2</v>
      </c>
      <c r="N166" s="7">
        <f t="shared" si="68"/>
        <v>17.350000001024455</v>
      </c>
      <c r="O166" s="7"/>
      <c r="P166" s="7"/>
      <c r="Q166" s="22"/>
      <c r="R166" s="173"/>
      <c r="S166" s="176">
        <f t="shared" si="66"/>
        <v>1</v>
      </c>
      <c r="T166" s="202" t="str">
        <f t="shared" si="52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3"/>
        <v>https://d0f6bd738d7f1b3e5a7ca70fe4ff75f0.us-east-1.aws.found.io/app/kibana#/discover/Steve-Slow-Train-Analysis-(2080s-and-2083s)?_g=(refreshInterval:(display:Off,pause:!f,section:0,value:0),time:(from:'2017-06-03T07:37:16-0600',mode:absolute,to:'2017-06-03T09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6" s="204" t="str">
        <f t="shared" si="54"/>
        <v>N</v>
      </c>
      <c r="X166" s="204">
        <f t="shared" si="55"/>
        <v>1</v>
      </c>
      <c r="Y166" s="204">
        <f t="shared" si="67"/>
        <v>5.8613</v>
      </c>
      <c r="Z166" s="204">
        <f t="shared" si="56"/>
        <v>6.7799999999999999E-2</v>
      </c>
      <c r="AA166" s="204">
        <f t="shared" si="57"/>
        <v>5.7934999999999999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8"/>
        <v>1806-03</v>
      </c>
      <c r="AE166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66" s="77" t="str">
        <f t="shared" si="60"/>
        <v>"C:\Program Files (x86)\AstroGrep\AstroGrep.exe" /e /r /s /spath="%USERPROFILE%\AppData\Local\Temp\OnboardLogs" /stypes="app*4057*20170603*" /stext=" 14:.+((SYSTEM_STATE.+slice.+state.+changed )|(ment ac)|(multiple cpu faults)|(system.+state.+changed )|(\[timeout)|(PRM\|1\|D)|(kpr)|(kdp)|(train st.+moving)|(\|lc)|(penalty))"</v>
      </c>
      <c r="AG166" s="1" t="str">
        <f t="shared" si="61"/>
        <v>NW</v>
      </c>
      <c r="AH166" s="81" t="str">
        <f t="shared" si="62"/>
        <v>"%USERPROFILE%\Documents\GitHub\eaglep3\Utilities\RefineRTDCRunTimes.py" --tripid 1806-03 --locoid 4057 --swversion DE.1.0.9.0 --startMP 300:58613 --initTime 2017-06-03T08:37:16 --startdatetime 2017-06-03T08:39:33 --delay 1 --endMP 204:678 --enddatetime 2017-06-03T08:56:54 --enforcementcount 0 &gt;&gt;C:\Users\stu\Documents\GitHub\eaglep3-reporting\EC\2017-06-03-refined-times.txt</v>
      </c>
      <c r="AI166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{"issue":{"subject":"","project_id":79,"tracker_id":40,"status_id":1,"priority_id":2,"assigned_to_id":23,"start_date":"2017-06-03","description":"","custom_fields":[{"id":1,"name":"Subdivision","value":"NW"},{"id":4,"name":"Milepost","value":"0.0678"},{"id":17,"name":"Train ID","value":"1806-03"},{"id":16,"name":"Locomotive ID","value":"4057"},{"id":130,"name":"Impact","value":""},{"id":150,"name":"Time of Event (Mountain Time)","value":"08:56:54"},{"id":151,"name":"Denver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4"/>
        <v>start /low /b %USERPROFILE%\Documents\GitHub\eaglep3\Utilities\DownloadLogsFromS3.py --loco 4057 --day 2017-06-03</v>
      </c>
      <c r="AN166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14:56:54"},{"id":29,"name":"Sharepoint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711</v>
      </c>
      <c r="B167" s="7">
        <v>4058</v>
      </c>
      <c r="C167" s="21" t="s">
        <v>204</v>
      </c>
      <c r="D167" s="21" t="s">
        <v>893</v>
      </c>
      <c r="E167" s="13">
        <v>42889.373784722222</v>
      </c>
      <c r="F167" s="13">
        <v>42889.389791666668</v>
      </c>
      <c r="G167" s="7">
        <v>1</v>
      </c>
      <c r="H167" s="21" t="s">
        <v>894</v>
      </c>
      <c r="I167" s="13">
        <v>42889.39949074074</v>
      </c>
      <c r="J167" s="7">
        <v>0</v>
      </c>
      <c r="K167" s="92" t="str">
        <f t="shared" si="50"/>
        <v>4057/4058</v>
      </c>
      <c r="L167" s="21" t="str">
        <f>VLOOKUP(A167,'Trips&amp;Operators'!$C$1:$G$99999,5,FALSE)</f>
        <v>MACDONALD THOMAS</v>
      </c>
      <c r="M167" s="6">
        <f t="shared" si="51"/>
        <v>9.6990740712499246E-3</v>
      </c>
      <c r="N167" s="7">
        <f t="shared" si="68"/>
        <v>13.966666662599891</v>
      </c>
      <c r="O167" s="7"/>
      <c r="P167" s="7"/>
      <c r="Q167" s="22"/>
      <c r="R167" s="173"/>
      <c r="S167" s="176">
        <f t="shared" si="66"/>
        <v>1</v>
      </c>
      <c r="T167" s="202" t="str">
        <f t="shared" si="52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3"/>
        <v>https://d0f6bd738d7f1b3e5a7ca70fe4ff75f0.us-east-1.aws.found.io/app/kibana#/discover/Steve-Slow-Train-Analysis-(2080s-and-2083s)?_g=(refreshInterval:(display:Off,pause:!f,section:0,value:0),time:(from:'2017-06-03T07:58:15-0600',mode:absolute,to:'2017-06-03T10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7" s="204" t="str">
        <f t="shared" si="54"/>
        <v>N</v>
      </c>
      <c r="X167" s="204">
        <f t="shared" si="55"/>
        <v>1</v>
      </c>
      <c r="Y167" s="204">
        <f t="shared" si="67"/>
        <v>9.6000000000000002E-2</v>
      </c>
      <c r="Z167" s="204">
        <f t="shared" si="56"/>
        <v>5.8949999999999996</v>
      </c>
      <c r="AA167" s="204">
        <f t="shared" si="57"/>
        <v>5.7989999999999995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8"/>
        <v>1807-03</v>
      </c>
      <c r="AE167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67" s="77" t="str">
        <f t="shared" si="60"/>
        <v>"C:\Program Files (x86)\AstroGrep\AstroGrep.exe" /e /r /s /spath="%USERPROFILE%\AppData\Local\Temp\OnboardLogs" /stypes="app*4058*20170603*" /stext=" 15:.+((SYSTEM_STATE.+slice.+state.+changed )|(ment ac)|(multiple cpu faults)|(system.+state.+changed )|(\[timeout)|(PRM\|1\|D)|(kpr)|(kdp)|(train st.+moving)|(\|lc)|(penalty))"</v>
      </c>
      <c r="AG167" s="1" t="str">
        <f t="shared" si="61"/>
        <v>NW</v>
      </c>
      <c r="AH167" s="81" t="str">
        <f t="shared" si="62"/>
        <v>"%USERPROFILE%\Documents\GitHub\eaglep3\Utilities\RefineRTDCRunTimes.py" --tripid 1807-03 --locoid 4058 --swversion DE.1.0.9.0 --startMP 204:960 --initTime 2017-06-03T08:58:15 --startdatetime 2017-06-03T09:21:18 --delay 1 --endMP 300:58950 --enddatetime 2017-06-03T09:35:16 --enforcementcount 0 &gt;&gt;C:\Users\stu\Documents\GitHub\eaglep3-reporting\EC\2017-06-03-refined-times.txt</v>
      </c>
      <c r="AI167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{"issue":{"subject":"","project_id":79,"tracker_id":40,"status_id":1,"priority_id":2,"assigned_to_id":23,"start_date":"2017-06-03","description":"","custom_fields":[{"id":1,"name":"Subdivision","value":"NW"},{"id":4,"name":"Milepost","value":"5.895"},{"id":17,"name":"Train ID","value":"1807-03"},{"id":16,"name":"Locomotive ID","value":"4058"},{"id":130,"name":"Impact","value":""},{"id":150,"name":"Time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64"/>
        <v>start /low /b %USERPROFILE%\Documents\GitHub\eaglep3\Utilities\DownloadLogsFromS3.py --loco 4058 --day 2017-06-03</v>
      </c>
      <c r="AN167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626</v>
      </c>
      <c r="B168" s="7">
        <v>4057</v>
      </c>
      <c r="C168" s="21" t="s">
        <v>204</v>
      </c>
      <c r="D168" s="21" t="s">
        <v>611</v>
      </c>
      <c r="E168" s="13">
        <v>42889.400405092594</v>
      </c>
      <c r="F168" s="13">
        <v>42889.401782407411</v>
      </c>
      <c r="G168" s="7">
        <v>1</v>
      </c>
      <c r="H168" s="21" t="s">
        <v>895</v>
      </c>
      <c r="I168" s="13">
        <v>42889.413611111115</v>
      </c>
      <c r="J168" s="7">
        <v>0</v>
      </c>
      <c r="K168" s="92" t="str">
        <f t="shared" si="50"/>
        <v>4057/4058</v>
      </c>
      <c r="L168" s="21" t="str">
        <f>VLOOKUP(A168,'Trips&amp;Operators'!$C$1:$G$99999,5,FALSE)</f>
        <v>MACDONALD THOMAS</v>
      </c>
      <c r="M168" s="6">
        <f t="shared" si="51"/>
        <v>1.1828703703940846E-2</v>
      </c>
      <c r="N168" s="7">
        <f t="shared" si="68"/>
        <v>17.033333333674818</v>
      </c>
      <c r="O168" s="7"/>
      <c r="P168" s="7"/>
      <c r="Q168" s="22"/>
      <c r="R168" s="173"/>
      <c r="S168" s="176">
        <f t="shared" si="66"/>
        <v>1</v>
      </c>
      <c r="T168" s="202" t="str">
        <f t="shared" si="52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3"/>
        <v>https://d0f6bd738d7f1b3e5a7ca70fe4ff75f0.us-east-1.aws.found.io/app/kibana#/discover/Steve-Slow-Train-Analysis-(2080s-and-2083s)?_g=(refreshInterval:(display:Off,pause:!f,section:0,value:0),time:(from:'2017-06-03T08:36:35-0600',mode:absolute,to:'2017-06-03T10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8" s="204" t="str">
        <f t="shared" si="54"/>
        <v>N</v>
      </c>
      <c r="X168" s="204">
        <f t="shared" si="55"/>
        <v>1</v>
      </c>
      <c r="Y168" s="204">
        <f t="shared" si="67"/>
        <v>5.8620999999999999</v>
      </c>
      <c r="Z168" s="204">
        <f t="shared" si="56"/>
        <v>7.5200000000000003E-2</v>
      </c>
      <c r="AA168" s="204">
        <f t="shared" si="57"/>
        <v>5.7869000000000002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8"/>
        <v>1808-03</v>
      </c>
      <c r="AE168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68" s="77" t="str">
        <f t="shared" si="60"/>
        <v>"C:\Program Files (x86)\AstroGrep\AstroGrep.exe" /e /r /s /spath="%USERPROFILE%\AppData\Local\Temp\OnboardLogs" /stypes="app*4057*20170603*" /stext=" 15:.+((SYSTEM_STATE.+slice.+state.+changed )|(ment ac)|(multiple cpu faults)|(system.+state.+changed )|(\[timeout)|(PRM\|1\|D)|(kpr)|(kdp)|(train st.+moving)|(\|lc)|(penalty))"</v>
      </c>
      <c r="AG168" s="1" t="str">
        <f t="shared" si="61"/>
        <v>NW</v>
      </c>
      <c r="AH168" s="81" t="str">
        <f t="shared" si="62"/>
        <v>"%USERPROFILE%\Documents\GitHub\eaglep3\Utilities\RefineRTDCRunTimes.py" --tripid 1808-03 --locoid 4057 --swversion DE.1.0.9.0 --startMP 300:58621 --initTime 2017-06-03T09:36:35 --startdatetime 2017-06-03T09:38:34 --delay 1 --endMP 204:752 --enddatetime 2017-06-03T09:55:36 --enforcementcount 0 &gt;&gt;C:\Users\stu\Documents\GitHub\eaglep3-reporting\EC\2017-06-03-refined-times.txt</v>
      </c>
      <c r="AI168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{"issue":{"subject":"","project_id":79,"tracker_id":40,"status_id":1,"priority_id":2,"assigned_to_id":23,"start_date":"2017-06-03","description":"","custom_fields":[{"id":1,"name":"Subdivision","value":"NW"},{"id":4,"name":"Milepost","value":"0.0752"},{"id":17,"name":"Train ID","value":"1808-03"},{"id":16,"name":"Locomotive ID","value":"4057"},{"id":130,"name":"Impact","value":""},{"id":150,"name":"Time of Event (Mountain Time)","value":"09:55:36"},{"id":151,"name":"Denver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4"/>
        <v>start /low /b %USERPROFILE%\Documents\GitHub\eaglep3\Utilities\DownloadLogsFromS3.py --loco 4057 --day 2017-06-03</v>
      </c>
      <c r="AN168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15:55:36"},{"id":29,"name":"Sharepoint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720</v>
      </c>
      <c r="B169" s="7">
        <v>4058</v>
      </c>
      <c r="C169" s="21" t="s">
        <v>204</v>
      </c>
      <c r="D169" s="21" t="s">
        <v>613</v>
      </c>
      <c r="E169" s="13">
        <v>42889.415798611109</v>
      </c>
      <c r="F169" s="13">
        <v>42889.431655092594</v>
      </c>
      <c r="G169" s="7">
        <v>1</v>
      </c>
      <c r="H169" s="21" t="s">
        <v>896</v>
      </c>
      <c r="I169" s="13">
        <v>42889.44085648148</v>
      </c>
      <c r="J169" s="7">
        <v>0</v>
      </c>
      <c r="K169" s="92" t="str">
        <f t="shared" si="50"/>
        <v>4057/4058</v>
      </c>
      <c r="L169" s="21" t="str">
        <f>VLOOKUP(A169,'Trips&amp;Operators'!$C$1:$G$99999,5,FALSE)</f>
        <v>MACDONALD THOMAS</v>
      </c>
      <c r="M169" s="6">
        <f t="shared" si="51"/>
        <v>9.2013888861401938E-3</v>
      </c>
      <c r="N169" s="7">
        <f t="shared" si="68"/>
        <v>13.249999996041879</v>
      </c>
      <c r="O169" s="7"/>
      <c r="P169" s="7"/>
      <c r="Q169" s="22"/>
      <c r="R169" s="173"/>
      <c r="S169" s="176">
        <f t="shared" si="66"/>
        <v>1</v>
      </c>
      <c r="T169" s="202" t="str">
        <f t="shared" si="52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3"/>
        <v>https://d0f6bd738d7f1b3e5a7ca70fe4ff75f0.us-east-1.aws.found.io/app/kibana#/discover/Steve-Slow-Train-Analysis-(2080s-and-2083s)?_g=(refreshInterval:(display:Off,pause:!f,section:0,value:0),time:(from:'2017-06-03T08:58:45-0600',mode:absolute,to:'2017-06-03T11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9" s="204" t="str">
        <f t="shared" si="54"/>
        <v>N</v>
      </c>
      <c r="X169" s="204">
        <f t="shared" si="55"/>
        <v>1</v>
      </c>
      <c r="Y169" s="204">
        <f t="shared" si="67"/>
        <v>0.1011</v>
      </c>
      <c r="Z169" s="204">
        <f t="shared" si="56"/>
        <v>5.8924000000000003</v>
      </c>
      <c r="AA169" s="204">
        <f t="shared" si="57"/>
        <v>5.7913000000000006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8"/>
        <v>1809-03</v>
      </c>
      <c r="AE169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69" s="77" t="str">
        <f t="shared" si="60"/>
        <v>"C:\Program Files (x86)\AstroGrep\AstroGrep.exe" /e /r /s /spath="%USERPROFILE%\AppData\Local\Temp\OnboardLogs" /stypes="app*4058*20170603*" /stext=" 16:.+((SYSTEM_STATE.+slice.+state.+changed )|(ment ac)|(multiple cpu faults)|(system.+state.+changed )|(\[timeout)|(PRM\|1\|D)|(kpr)|(kdp)|(train st.+moving)|(\|lc)|(penalty))"</v>
      </c>
      <c r="AG169" s="1" t="str">
        <f t="shared" si="61"/>
        <v>NW</v>
      </c>
      <c r="AH169" s="81" t="str">
        <f t="shared" si="62"/>
        <v>"%USERPROFILE%\Documents\GitHub\eaglep3\Utilities\RefineRTDCRunTimes.py" --tripid 1809-03 --locoid 4058 --swversion DE.1.0.9.0 --startMP 204:1011 --initTime 2017-06-03T09:58:45 --startdatetime 2017-06-03T10:21:35 --delay 1 --endMP 300:58924 --enddatetime 2017-06-03T10:34:50 --enforcementcount 0 &gt;&gt;C:\Users\stu\Documents\GitHub\eaglep3-reporting\EC\2017-06-03-refined-times.txt</v>
      </c>
      <c r="AI169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{"issue":{"subject":"","project_id":79,"tracker_id":40,"status_id":1,"priority_id":2,"assigned_to_id":23,"start_date":"2017-06-03","description":"","custom_fields":[{"id":1,"name":"Subdivision","value":"NW"},{"id":4,"name":"Milepost","value":"5.8924"},{"id":17,"name":"Train ID","value":"1809-03"},{"id":16,"name":"Locomotive ID","value":"4058"},{"id":130,"name":"Impact","value":""},{"id":150,"name":"Time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4"/>
        <v>start /low /b %USERPROFILE%\Documents\GitHub\eaglep3\Utilities\DownloadLogsFromS3.py --loco 4058 --day 2017-06-03</v>
      </c>
      <c r="AN169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724</v>
      </c>
      <c r="B170" s="7">
        <v>4057</v>
      </c>
      <c r="C170" s="21" t="s">
        <v>204</v>
      </c>
      <c r="D170" s="21" t="s">
        <v>606</v>
      </c>
      <c r="E170" s="13">
        <v>42889.441481481481</v>
      </c>
      <c r="F170" s="13">
        <v>42889.442673611113</v>
      </c>
      <c r="G170" s="7">
        <v>1</v>
      </c>
      <c r="H170" s="21" t="s">
        <v>898</v>
      </c>
      <c r="I170" s="13">
        <v>42889.454976851855</v>
      </c>
      <c r="J170" s="7">
        <v>0</v>
      </c>
      <c r="K170" s="92" t="str">
        <f t="shared" si="50"/>
        <v>4057/4058</v>
      </c>
      <c r="L170" s="21" t="str">
        <f>VLOOKUP(A170,'Trips&amp;Operators'!$C$1:$G$99999,5,FALSE)</f>
        <v>MACDONALD THOMAS</v>
      </c>
      <c r="M170" s="6">
        <f t="shared" si="51"/>
        <v>1.230324074276723E-2</v>
      </c>
      <c r="N170" s="7">
        <f t="shared" si="68"/>
        <v>17.716666669584811</v>
      </c>
      <c r="O170" s="7"/>
      <c r="P170" s="7"/>
      <c r="Q170" s="22"/>
      <c r="R170" s="173"/>
      <c r="S170" s="176">
        <f t="shared" si="66"/>
        <v>1</v>
      </c>
      <c r="T170" s="202" t="str">
        <f t="shared" si="52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3"/>
        <v>https://d0f6bd738d7f1b3e5a7ca70fe4ff75f0.us-east-1.aws.found.io/app/kibana#/discover/Steve-Slow-Train-Analysis-(2080s-and-2083s)?_g=(refreshInterval:(display:Off,pause:!f,section:0,value:0),time:(from:'2017-06-03T09:35:44-0600',mode:absolute,to:'2017-06-03T11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0" s="204" t="str">
        <f t="shared" si="54"/>
        <v>N</v>
      </c>
      <c r="X170" s="204">
        <f t="shared" si="55"/>
        <v>1</v>
      </c>
      <c r="Y170" s="204">
        <f t="shared" si="67"/>
        <v>5.8608000000000002</v>
      </c>
      <c r="Z170" s="204">
        <f t="shared" si="56"/>
        <v>7.0499999999999993E-2</v>
      </c>
      <c r="AA170" s="204">
        <f t="shared" si="57"/>
        <v>5.7903000000000002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8"/>
        <v>1810-03</v>
      </c>
      <c r="AE170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70" s="77" t="str">
        <f t="shared" si="60"/>
        <v>"C:\Program Files (x86)\AstroGrep\AstroGrep.exe" /e /r /s /spath="%USERPROFILE%\AppData\Local\Temp\OnboardLogs" /stypes="app*4057*20170603*" /stext=" 16:.+((SYSTEM_STATE.+slice.+state.+changed )|(ment ac)|(multiple cpu faults)|(system.+state.+changed )|(\[timeout)|(PRM\|1\|D)|(kpr)|(kdp)|(train st.+moving)|(\|lc)|(penalty))"</v>
      </c>
      <c r="AG170" s="1" t="str">
        <f t="shared" si="61"/>
        <v>NW</v>
      </c>
      <c r="AH170" s="81" t="str">
        <f t="shared" si="62"/>
        <v>"%USERPROFILE%\Documents\GitHub\eaglep3\Utilities\RefineRTDCRunTimes.py" --tripid 1810-03 --locoid 4057 --swversion DE.1.0.9.0 --startMP 300:58608 --initTime 2017-06-03T10:35:44 --startdatetime 2017-06-03T10:37:27 --delay 1 --endMP 204:705 --enddatetime 2017-06-03T10:55:10 --enforcementcount 0 &gt;&gt;C:\Users\stu\Documents\GitHub\eaglep3-reporting\EC\2017-06-03-refined-times.txt</v>
      </c>
      <c r="AI170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{"issue":{"subject":"","project_id":79,"tracker_id":40,"status_id":1,"priority_id":2,"assigned_to_id":23,"start_date":"2017-06-03","description":"","custom_fields":[{"id":1,"name":"Subdivision","value":"NW"},{"id":4,"name":"Milepost","value":"0.0705"},{"id":17,"name":"Train ID","value":"1810-03"},{"id":16,"name":"Locomotive ID","value":"4057"},{"id":130,"name":"Impact","value":""},{"id":150,"name":"Time of Event (Mountain Time)","value":"10:55:10"},{"id":151,"name":"Denver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4"/>
        <v>start /low /b %USERPROFILE%\Documents\GitHub\eaglep3\Utilities\DownloadLogsFromS3.py --loco 4057 --day 2017-06-03</v>
      </c>
      <c r="AN170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16:55:10"},{"id":29,"name":"Sharepoint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629</v>
      </c>
      <c r="B171" s="7">
        <v>4058</v>
      </c>
      <c r="C171" s="21" t="s">
        <v>204</v>
      </c>
      <c r="D171" s="21" t="s">
        <v>499</v>
      </c>
      <c r="E171" s="13">
        <v>42889.456122685187</v>
      </c>
      <c r="F171" s="13">
        <v>42889.473321759258</v>
      </c>
      <c r="G171" s="7">
        <v>1</v>
      </c>
      <c r="H171" s="21" t="s">
        <v>892</v>
      </c>
      <c r="I171" s="13">
        <v>42889.483240740738</v>
      </c>
      <c r="J171" s="7">
        <v>0</v>
      </c>
      <c r="K171" s="92" t="str">
        <f t="shared" si="50"/>
        <v>4057/4058</v>
      </c>
      <c r="L171" s="21" t="str">
        <f>VLOOKUP(A171,'Trips&amp;Operators'!$C$1:$G$99999,5,FALSE)</f>
        <v>MACDONALD THOMAS</v>
      </c>
      <c r="M171" s="6">
        <f t="shared" si="51"/>
        <v>9.9189814791316167E-3</v>
      </c>
      <c r="N171" s="7">
        <f t="shared" si="68"/>
        <v>14.283333329949528</v>
      </c>
      <c r="O171" s="7"/>
      <c r="P171" s="7"/>
      <c r="Q171" s="22"/>
      <c r="R171" s="173"/>
      <c r="S171" s="176">
        <f t="shared" si="66"/>
        <v>1</v>
      </c>
      <c r="T171" s="202" t="str">
        <f t="shared" si="52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3"/>
        <v>https://d0f6bd738d7f1b3e5a7ca70fe4ff75f0.us-east-1.aws.found.io/app/kibana#/discover/Steve-Slow-Train-Analysis-(2080s-and-2083s)?_g=(refreshInterval:(display:Off,pause:!f,section:0,value:0),time:(from:'2017-06-03T09:56:49-0600',mode:absolute,to:'2017-06-03T12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1" s="204" t="str">
        <f t="shared" si="54"/>
        <v>N</v>
      </c>
      <c r="X171" s="204">
        <f t="shared" si="55"/>
        <v>1</v>
      </c>
      <c r="Y171" s="204">
        <f t="shared" si="67"/>
        <v>9.7799999999999998E-2</v>
      </c>
      <c r="Z171" s="204">
        <f t="shared" si="56"/>
        <v>5.8930999999999996</v>
      </c>
      <c r="AA171" s="204">
        <f t="shared" si="57"/>
        <v>5.7952999999999992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8"/>
        <v>1811-03</v>
      </c>
      <c r="AE171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71" s="77" t="str">
        <f t="shared" si="60"/>
        <v>"C:\Program Files (x86)\AstroGrep\AstroGrep.exe" /e /r /s /spath="%USERPROFILE%\AppData\Local\Temp\OnboardLogs" /stypes="app*4058*20170603*" /stext=" 17:.+((SYSTEM_STATE.+slice.+state.+changed )|(ment ac)|(multiple cpu faults)|(system.+state.+changed )|(\[timeout)|(PRM\|1\|D)|(kpr)|(kdp)|(train st.+moving)|(\|lc)|(penalty))"</v>
      </c>
      <c r="AG171" s="1" t="str">
        <f t="shared" si="61"/>
        <v>NW</v>
      </c>
      <c r="AH171" s="81" t="str">
        <f t="shared" si="62"/>
        <v>"%USERPROFILE%\Documents\GitHub\eaglep3\Utilities\RefineRTDCRunTimes.py" --tripid 1811-03 --locoid 4058 --swversion DE.1.0.9.0 --startMP 204:978 --initTime 2017-06-03T10:56:49 --startdatetime 2017-06-03T11:21:35 --delay 1 --endMP 300:58931 --enddatetime 2017-06-03T11:35:52 --enforcementcount 0 &gt;&gt;C:\Users\stu\Documents\GitHub\eaglep3-reporting\EC\2017-06-03-refined-times.txt</v>
      </c>
      <c r="AI171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{"issue":{"subject":"","project_id":79,"tracker_id":40,"status_id":1,"priority_id":2,"assigned_to_id":23,"start_date":"2017-06-03","description":"","custom_fields":[{"id":1,"name":"Subdivision","value":"NW"},{"id":4,"name":"Milepost","value":"5.8931"},{"id":17,"name":"Train ID","value":"1811-03"},{"id":16,"name":"Locomotive ID","value":"4058"},{"id":130,"name":"Impact","value":""},{"id":150,"name":"Time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4"/>
        <v>start /low /b %USERPROFILE%\Documents\GitHub\eaglep3\Utilities\DownloadLogsFromS3.py --loco 4058 --day 2017-06-03</v>
      </c>
      <c r="AN171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630</v>
      </c>
      <c r="B172" s="7">
        <v>4057</v>
      </c>
      <c r="C172" s="21" t="s">
        <v>204</v>
      </c>
      <c r="D172" s="21" t="s">
        <v>899</v>
      </c>
      <c r="E172" s="13">
        <v>42889.483969907407</v>
      </c>
      <c r="F172" s="13">
        <v>42889.485590277778</v>
      </c>
      <c r="G172" s="7">
        <v>1</v>
      </c>
      <c r="H172" s="21" t="s">
        <v>436</v>
      </c>
      <c r="I172" s="13">
        <v>42889.496724537035</v>
      </c>
      <c r="J172" s="7">
        <v>0</v>
      </c>
      <c r="K172" s="92" t="str">
        <f t="shared" si="50"/>
        <v>4057/4058</v>
      </c>
      <c r="L172" s="21" t="str">
        <f>VLOOKUP(A172,'Trips&amp;Operators'!$C$1:$G$99999,5,FALSE)</f>
        <v>MACDONALD THOMAS</v>
      </c>
      <c r="M172" s="6">
        <f t="shared" si="51"/>
        <v>1.113425925723277E-2</v>
      </c>
      <c r="N172" s="7">
        <f t="shared" si="68"/>
        <v>16.033333330415189</v>
      </c>
      <c r="O172" s="7"/>
      <c r="P172" s="7"/>
      <c r="Q172" s="22"/>
      <c r="R172" s="173"/>
      <c r="S172" s="176">
        <f t="shared" si="66"/>
        <v>1</v>
      </c>
      <c r="T172" s="202" t="str">
        <f t="shared" si="52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3"/>
        <v>https://d0f6bd738d7f1b3e5a7ca70fe4ff75f0.us-east-1.aws.found.io/app/kibana#/discover/Steve-Slow-Train-Analysis-(2080s-and-2083s)?_g=(refreshInterval:(display:Off,pause:!f,section:0,value:0),time:(from:'2017-06-03T10:36:55-0600',mode:absolute,to:'2017-06-03T12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2" s="204" t="str">
        <f t="shared" si="54"/>
        <v>N</v>
      </c>
      <c r="X172" s="204">
        <f t="shared" si="55"/>
        <v>1</v>
      </c>
      <c r="Y172" s="204">
        <f t="shared" si="67"/>
        <v>5.8615000000000004</v>
      </c>
      <c r="Z172" s="204">
        <f t="shared" si="56"/>
        <v>6.8400000000000002E-2</v>
      </c>
      <c r="AA172" s="204">
        <f t="shared" si="57"/>
        <v>5.7931000000000008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8"/>
        <v>1812-03</v>
      </c>
      <c r="AE172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72" s="77" t="str">
        <f t="shared" si="60"/>
        <v>"C:\Program Files (x86)\AstroGrep\AstroGrep.exe" /e /r /s /spath="%USERPROFILE%\AppData\Local\Temp\OnboardLogs" /stypes="app*4057*20170603*" /stext=" 17:.+((SYSTEM_STATE.+slice.+state.+changed )|(ment ac)|(multiple cpu faults)|(system.+state.+changed )|(\[timeout)|(PRM\|1\|D)|(kpr)|(kdp)|(train st.+moving)|(\|lc)|(penalty))"</v>
      </c>
      <c r="AG172" s="1" t="str">
        <f t="shared" si="61"/>
        <v>NW</v>
      </c>
      <c r="AH172" s="81" t="str">
        <f t="shared" si="62"/>
        <v>"%USERPROFILE%\Documents\GitHub\eaglep3\Utilities\RefineRTDCRunTimes.py" --tripid 1812-03 --locoid 4057 --swversion DE.1.0.9.0 --startMP 300:58615 --initTime 2017-06-03T11:36:55 --startdatetime 2017-06-03T11:39:15 --delay 1 --endMP 204:684 --enddatetime 2017-06-03T11:55:17 --enforcementcount 0 &gt;&gt;C:\Users\stu\Documents\GitHub\eaglep3-reporting\EC\2017-06-03-refined-times.txt</v>
      </c>
      <c r="AI172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{"issue":{"subject":"","project_id":79,"tracker_id":40,"status_id":1,"priority_id":2,"assigned_to_id":23,"start_date":"2017-06-03","description":"","custom_fields":[{"id":1,"name":"Subdivision","value":"NW"},{"id":4,"name":"Milepost","value":"0.0684"},{"id":17,"name":"Train ID","value":"1812-03"},{"id":16,"name":"Locomotive ID","value":"4057"},{"id":130,"name":"Impact","value":""},{"id":150,"name":"Time of Event (Mountain Time)","value":"11:55:17"},{"id":151,"name":"Denver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4"/>
        <v>start /low /b %USERPROFILE%\Documents\GitHub\eaglep3\Utilities\DownloadLogsFromS3.py --loco 4057 --day 2017-06-03</v>
      </c>
      <c r="AN172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17:55:17"},{"id":29,"name":"Sharepoint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738</v>
      </c>
      <c r="B173" s="7">
        <v>4058</v>
      </c>
      <c r="C173" s="21" t="s">
        <v>204</v>
      </c>
      <c r="D173" s="21" t="s">
        <v>499</v>
      </c>
      <c r="E173" s="13">
        <v>42889.497673611113</v>
      </c>
      <c r="F173" s="13">
        <v>42889.515057870369</v>
      </c>
      <c r="G173" s="7">
        <v>1</v>
      </c>
      <c r="H173" s="21" t="s">
        <v>610</v>
      </c>
      <c r="I173" s="13">
        <v>42889.524305555555</v>
      </c>
      <c r="J173" s="7">
        <v>0</v>
      </c>
      <c r="K173" s="92" t="str">
        <f t="shared" si="50"/>
        <v>4057/4058</v>
      </c>
      <c r="L173" s="21" t="str">
        <f>VLOOKUP(A173,'Trips&amp;Operators'!$C$1:$G$99999,5,FALSE)</f>
        <v>MACDONALD THOMAS</v>
      </c>
      <c r="M173" s="6">
        <f t="shared" si="51"/>
        <v>9.2476851859828457E-3</v>
      </c>
      <c r="N173" s="7">
        <f t="shared" si="68"/>
        <v>13.316666667815298</v>
      </c>
      <c r="O173" s="7"/>
      <c r="P173" s="7"/>
      <c r="Q173" s="22"/>
      <c r="R173" s="173"/>
      <c r="S173" s="176">
        <f t="shared" si="66"/>
        <v>1</v>
      </c>
      <c r="T173" s="202" t="str">
        <f t="shared" si="52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3"/>
        <v>https://d0f6bd738d7f1b3e5a7ca70fe4ff75f0.us-east-1.aws.found.io/app/kibana#/discover/Steve-Slow-Train-Analysis-(2080s-and-2083s)?_g=(refreshInterval:(display:Off,pause:!f,section:0,value:0),time:(from:'2017-06-03T10:56:39-0600',mode:absolute,to:'2017-06-03T13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3" s="204" t="str">
        <f t="shared" si="54"/>
        <v>N</v>
      </c>
      <c r="X173" s="204">
        <f t="shared" si="55"/>
        <v>1</v>
      </c>
      <c r="Y173" s="204">
        <f t="shared" si="67"/>
        <v>9.7799999999999998E-2</v>
      </c>
      <c r="Z173" s="204">
        <f t="shared" si="56"/>
        <v>5.8935000000000004</v>
      </c>
      <c r="AA173" s="204">
        <f t="shared" si="57"/>
        <v>5.7957000000000001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8"/>
        <v>1813-03</v>
      </c>
      <c r="AE173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73" s="77" t="str">
        <f t="shared" si="60"/>
        <v>"C:\Program Files (x86)\AstroGrep\AstroGrep.exe" /e /r /s /spath="%USERPROFILE%\AppData\Local\Temp\OnboardLogs" /stypes="app*4058*20170603*" /stext=" 18:.+((SYSTEM_STATE.+slice.+state.+changed )|(ment ac)|(multiple cpu faults)|(system.+state.+changed )|(\[timeout)|(PRM\|1\|D)|(kpr)|(kdp)|(train st.+moving)|(\|lc)|(penalty))"</v>
      </c>
      <c r="AG173" s="1" t="str">
        <f t="shared" si="61"/>
        <v>NW</v>
      </c>
      <c r="AH173" s="81" t="str">
        <f t="shared" si="62"/>
        <v>"%USERPROFILE%\Documents\GitHub\eaglep3\Utilities\RefineRTDCRunTimes.py" --tripid 1813-03 --locoid 4058 --swversion DE.1.0.9.0 --startMP 204:978 --initTime 2017-06-03T11:56:39 --startdatetime 2017-06-03T12:21:41 --delay 1 --endMP 300:58935 --enddatetime 2017-06-03T12:35:00 --enforcementcount 0 &gt;&gt;C:\Users\stu\Documents\GitHub\eaglep3-reporting\EC\2017-06-03-refined-times.txt</v>
      </c>
      <c r="AI173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{"issue":{"subject":"","project_id":79,"tracker_id":40,"status_id":1,"priority_id":2,"assigned_to_id":23,"start_date":"2017-06-03","description":"","custom_fields":[{"id":1,"name":"Subdivision","value":"NW"},{"id":4,"name":"Milepost","value":"5.8935"},{"id":17,"name":"Train ID","value":"1813-03"},{"id":16,"name":"Locomotive ID","value":"4058"},{"id":130,"name":"Impact","value":""},{"id":150,"name":"Time of Event (Mountain Time)","value":"12:35:00"},{"id":151,"name":"Denver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64"/>
        <v>start /low /b %USERPROFILE%\Documents\GitHub\eaglep3\Utilities\DownloadLogsFromS3.py --loco 4058 --day 2017-06-03</v>
      </c>
      <c r="AN173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745</v>
      </c>
      <c r="B174" s="7">
        <v>4057</v>
      </c>
      <c r="C174" s="21" t="s">
        <v>204</v>
      </c>
      <c r="D174" s="21" t="s">
        <v>900</v>
      </c>
      <c r="E174" s="13">
        <v>42889.525219907409</v>
      </c>
      <c r="F174" s="13">
        <v>42889.526550925926</v>
      </c>
      <c r="G174" s="7">
        <v>1</v>
      </c>
      <c r="H174" s="21" t="s">
        <v>895</v>
      </c>
      <c r="I174" s="13">
        <v>42889.539293981485</v>
      </c>
      <c r="J174" s="7">
        <v>0</v>
      </c>
      <c r="K174" s="92" t="str">
        <f t="shared" si="50"/>
        <v>4057/4058</v>
      </c>
      <c r="L174" s="21" t="str">
        <f>VLOOKUP(A174,'Trips&amp;Operators'!$C$1:$G$99999,5,FALSE)</f>
        <v>MACDONALD THOMAS</v>
      </c>
      <c r="M174" s="6">
        <f t="shared" si="51"/>
        <v>1.2743055558530614E-2</v>
      </c>
      <c r="N174" s="7">
        <f t="shared" si="68"/>
        <v>18.350000004284084</v>
      </c>
      <c r="O174" s="7"/>
      <c r="P174" s="7"/>
      <c r="Q174" s="22"/>
      <c r="R174" s="173"/>
      <c r="S174" s="176">
        <f t="shared" si="66"/>
        <v>1</v>
      </c>
      <c r="T174" s="202" t="str">
        <f t="shared" si="52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3"/>
        <v>https://d0f6bd738d7f1b3e5a7ca70fe4ff75f0.us-east-1.aws.found.io/app/kibana#/discover/Steve-Slow-Train-Analysis-(2080s-and-2083s)?_g=(refreshInterval:(display:Off,pause:!f,section:0,value:0),time:(from:'2017-06-03T11:36:19-0600',mode:absolute,to:'2017-06-03T13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4" s="204" t="str">
        <f t="shared" si="54"/>
        <v>N</v>
      </c>
      <c r="X174" s="204">
        <f t="shared" si="55"/>
        <v>1</v>
      </c>
      <c r="Y174" s="204">
        <f t="shared" si="67"/>
        <v>5.8619000000000003</v>
      </c>
      <c r="Z174" s="204">
        <f t="shared" si="56"/>
        <v>7.5200000000000003E-2</v>
      </c>
      <c r="AA174" s="204">
        <f t="shared" si="57"/>
        <v>5.7867000000000006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8"/>
        <v>1814-03</v>
      </c>
      <c r="AE174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74" s="77" t="str">
        <f t="shared" si="60"/>
        <v>"C:\Program Files (x86)\AstroGrep\AstroGrep.exe" /e /r /s /spath="%USERPROFILE%\AppData\Local\Temp\OnboardLogs" /stypes="app*4057*20170603*" /stext=" 18:.+((SYSTEM_STATE.+slice.+state.+changed )|(ment ac)|(multiple cpu faults)|(system.+state.+changed )|(\[timeout)|(PRM\|1\|D)|(kpr)|(kdp)|(train st.+moving)|(\|lc)|(penalty))"</v>
      </c>
      <c r="AG174" s="1" t="str">
        <f t="shared" si="61"/>
        <v>NW</v>
      </c>
      <c r="AH174" s="81" t="str">
        <f t="shared" si="62"/>
        <v>"%USERPROFILE%\Documents\GitHub\eaglep3\Utilities\RefineRTDCRunTimes.py" --tripid 1814-03 --locoid 4057 --swversion DE.1.0.9.0 --startMP 300:58619 --initTime 2017-06-03T12:36:19 --startdatetime 2017-06-03T12:38:14 --delay 1 --endMP 204:752 --enddatetime 2017-06-03T12:56:35 --enforcementcount 0 &gt;&gt;C:\Users\stu\Documents\GitHub\eaglep3-reporting\EC\2017-06-03-refined-times.txt</v>
      </c>
      <c r="AI174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{"issue":{"subject":"","project_id":79,"tracker_id":40,"status_id":1,"priority_id":2,"assigned_to_id":23,"start_date":"2017-06-03","description":"","custom_fields":[{"id":1,"name":"Subdivision","value":"NW"},{"id":4,"name":"Milepost","value":"0.0752"},{"id":17,"name":"Train ID","value":"1814-03"},{"id":16,"name":"Locomotive ID","value":"4057"},{"id":130,"name":"Impact","value":""},{"id":150,"name":"Time of Event (Mountain Time)","value":"12:56:35"},{"id":151,"name":"Denver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4"/>
        <v>start /low /b %USERPROFILE%\Documents\GitHub\eaglep3\Utilities\DownloadLogsFromS3.py --loco 4057 --day 2017-06-03</v>
      </c>
      <c r="AN174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633</v>
      </c>
      <c r="B175" s="7">
        <v>4058</v>
      </c>
      <c r="C175" s="21" t="s">
        <v>204</v>
      </c>
      <c r="D175" s="21" t="s">
        <v>901</v>
      </c>
      <c r="E175" s="13">
        <v>42889.545972222222</v>
      </c>
      <c r="F175" s="13">
        <v>42889.556701388887</v>
      </c>
      <c r="G175" s="7">
        <v>1</v>
      </c>
      <c r="H175" s="21" t="s">
        <v>902</v>
      </c>
      <c r="I175" s="13">
        <v>42889.56658564815</v>
      </c>
      <c r="J175" s="7">
        <v>0</v>
      </c>
      <c r="K175" s="92" t="str">
        <f t="shared" si="50"/>
        <v>4057/4058</v>
      </c>
      <c r="L175" s="21" t="str">
        <f>VLOOKUP(A175,'Trips&amp;Operators'!$C$1:$G$99999,5,FALSE)</f>
        <v>MACDONALD THOMAS</v>
      </c>
      <c r="M175" s="6">
        <f t="shared" si="51"/>
        <v>9.8842592633445747E-3</v>
      </c>
      <c r="N175" s="7">
        <f t="shared" si="68"/>
        <v>14.233333339216188</v>
      </c>
      <c r="O175" s="7"/>
      <c r="P175" s="7"/>
      <c r="Q175" s="22"/>
      <c r="R175" s="173"/>
      <c r="S175" s="176">
        <f t="shared" ref="S175:S206" si="69">SUM(U175:U175)/IF(AG175="EC",12,1)</f>
        <v>1</v>
      </c>
      <c r="T175" s="202" t="str">
        <f t="shared" si="52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3"/>
        <v>https://d0f6bd738d7f1b3e5a7ca70fe4ff75f0.us-east-1.aws.found.io/app/kibana#/discover/Steve-Slow-Train-Analysis-(2080s-and-2083s)?_g=(refreshInterval:(display:Off,pause:!f,section:0,value:0),time:(from:'2017-06-03T12:06:12-0600',mode:absolute,to:'2017-06-03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5" s="204" t="str">
        <f t="shared" si="54"/>
        <v>N</v>
      </c>
      <c r="X175" s="204">
        <f t="shared" si="55"/>
        <v>1</v>
      </c>
      <c r="Y175" s="204">
        <f t="shared" si="67"/>
        <v>0.1032</v>
      </c>
      <c r="Z175" s="204">
        <f t="shared" si="56"/>
        <v>5.8925999999999998</v>
      </c>
      <c r="AA175" s="204">
        <f t="shared" si="57"/>
        <v>5.7893999999999997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8"/>
        <v>1815-03</v>
      </c>
      <c r="AE175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75" s="77" t="str">
        <f t="shared" si="60"/>
        <v>"C:\Program Files (x86)\AstroGrep\AstroGrep.exe" /e /r /s /spath="%USERPROFILE%\AppData\Local\Temp\OnboardLogs" /stypes="app*4058*20170603*" /stext=" 19:.+((SYSTEM_STATE.+slice.+state.+changed )|(ment ac)|(multiple cpu faults)|(system.+state.+changed )|(\[timeout)|(PRM\|1\|D)|(kpr)|(kdp)|(train st.+moving)|(\|lc)|(penalty))"</v>
      </c>
      <c r="AG175" s="1" t="str">
        <f t="shared" si="61"/>
        <v>NW</v>
      </c>
      <c r="AH175" s="81" t="str">
        <f t="shared" si="62"/>
        <v>"%USERPROFILE%\Documents\GitHub\eaglep3\Utilities\RefineRTDCRunTimes.py" --tripid 1815-03 --locoid 4058 --swversion DE.1.0.9.0 --startMP 204:1032 --initTime 2017-06-03T13:06:12 --startdatetime 2017-06-03T13:21:39 --delay 1 --endMP 300:58926 --enddatetime 2017-06-03T13:35:53 --enforcementcount 0 &gt;&gt;C:\Users\stu\Documents\GitHub\eaglep3-reporting\EC\2017-06-03-refined-times.txt</v>
      </c>
      <c r="AI175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{"issue":{"subject":"","project_id":79,"tracker_id":40,"status_id":1,"priority_id":2,"assigned_to_id":23,"start_date":"2017-06-03","description":"","custom_fields":[{"id":1,"name":"Subdivision","value":"NW"},{"id":4,"name":"Milepost","value":"5.8926"},{"id":17,"name":"Train ID","value":"1815-03"},{"id":16,"name":"Locomotive ID","value":"4058"},{"id":130,"name":"Impact","value":""},{"id":150,"name":"Time of Event (Mountain Time)","value":"13:35:53"},{"id":151,"name":"Denver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4"/>
        <v>start /low /b %USERPROFILE%\Documents\GitHub\eaglep3\Utilities\DownloadLogsFromS3.py --loco 4058 --day 2017-06-03</v>
      </c>
      <c r="AN175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755</v>
      </c>
      <c r="B176" s="7">
        <v>4057</v>
      </c>
      <c r="C176" s="21" t="s">
        <v>204</v>
      </c>
      <c r="D176" s="21" t="s">
        <v>903</v>
      </c>
      <c r="E176" s="13">
        <v>42889.567523148151</v>
      </c>
      <c r="F176" s="13">
        <v>42889.56863425926</v>
      </c>
      <c r="G176" s="7">
        <v>1</v>
      </c>
      <c r="H176" s="21" t="s">
        <v>904</v>
      </c>
      <c r="I176" s="13">
        <v>42889.580023148148</v>
      </c>
      <c r="J176" s="7">
        <v>0</v>
      </c>
      <c r="K176" s="92" t="str">
        <f t="shared" si="50"/>
        <v>4057/4058</v>
      </c>
      <c r="L176" s="21" t="str">
        <f>VLOOKUP(A176,'Trips&amp;Operators'!$C$1:$G$99999,5,FALSE)</f>
        <v>MACDONALD THOMAS</v>
      </c>
      <c r="M176" s="6">
        <f t="shared" si="51"/>
        <v>1.1388888888177462E-2</v>
      </c>
      <c r="N176" s="7">
        <f t="shared" si="68"/>
        <v>16.399999998975545</v>
      </c>
      <c r="O176" s="7"/>
      <c r="P176" s="7"/>
      <c r="Q176" s="22"/>
      <c r="R176" s="173"/>
      <c r="S176" s="176">
        <f t="shared" si="69"/>
        <v>1</v>
      </c>
      <c r="T176" s="202" t="str">
        <f t="shared" si="52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3"/>
        <v>https://d0f6bd738d7f1b3e5a7ca70fe4ff75f0.us-east-1.aws.found.io/app/kibana#/discover/Steve-Slow-Train-Analysis-(2080s-and-2083s)?_g=(refreshInterval:(display:Off,pause:!f,section:0,value:0),time:(from:'2017-06-03T12:37:14-0600',mode:absolute,to:'2017-06-03T14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6" s="204" t="str">
        <f t="shared" si="54"/>
        <v>N</v>
      </c>
      <c r="X176" s="204">
        <f t="shared" si="55"/>
        <v>1</v>
      </c>
      <c r="Y176" s="204">
        <f t="shared" si="67"/>
        <v>5.8609</v>
      </c>
      <c r="Z176" s="204">
        <f t="shared" si="56"/>
        <v>7.6899999999999996E-2</v>
      </c>
      <c r="AA176" s="204">
        <f t="shared" si="57"/>
        <v>5.7839999999999998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8"/>
        <v>1816-03</v>
      </c>
      <c r="AE176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76" s="77" t="str">
        <f t="shared" si="60"/>
        <v>"C:\Program Files (x86)\AstroGrep\AstroGrep.exe" /e /r /s /spath="%USERPROFILE%\AppData\Local\Temp\OnboardLogs" /stypes="app*4057*20170603*" /stext=" 19:.+((SYSTEM_STATE.+slice.+state.+changed )|(ment ac)|(multiple cpu faults)|(system.+state.+changed )|(\[timeout)|(PRM\|1\|D)|(kpr)|(kdp)|(train st.+moving)|(\|lc)|(penalty))"</v>
      </c>
      <c r="AG176" s="1" t="str">
        <f t="shared" si="61"/>
        <v>NW</v>
      </c>
      <c r="AH176" s="81" t="str">
        <f t="shared" si="62"/>
        <v>"%USERPROFILE%\Documents\GitHub\eaglep3\Utilities\RefineRTDCRunTimes.py" --tripid 1816-03 --locoid 4057 --swversion DE.1.0.9.0 --startMP 300:58609 --initTime 2017-06-03T13:37:14 --startdatetime 2017-06-03T13:38:50 --delay 1 --endMP 204:769 --enddatetime 2017-06-03T13:55:14 --enforcementcount 0 &gt;&gt;C:\Users\stu\Documents\GitHub\eaglep3-reporting\EC\2017-06-03-refined-times.txt</v>
      </c>
      <c r="AI176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{"issue":{"subject":"","project_id":79,"tracker_id":40,"status_id":1,"priority_id":2,"assigned_to_id":23,"start_date":"2017-06-03","description":"","custom_fields":[{"id":1,"name":"Subdivision","value":"NW"},{"id":4,"name":"Milepost","value":"0.0769"},{"id":17,"name":"Train ID","value":"1816-03"},{"id":16,"name":"Locomotive ID","value":"4057"},{"id":130,"name":"Impact","value":""},{"id":150,"name":"Time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4"/>
        <v>start /low /b %USERPROFILE%\Documents\GitHub\eaglep3\Utilities\DownloadLogsFromS3.py --loco 4057 --day 2017-06-03</v>
      </c>
      <c r="AN176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19:55:14"},{"id":29,"name":"Sharepoint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759</v>
      </c>
      <c r="B177" s="7">
        <v>4058</v>
      </c>
      <c r="C177" s="21" t="s">
        <v>204</v>
      </c>
      <c r="D177" s="21" t="s">
        <v>905</v>
      </c>
      <c r="E177" s="13">
        <v>42889.584340277775</v>
      </c>
      <c r="F177" s="13">
        <v>42889.598090277781</v>
      </c>
      <c r="G177" s="7">
        <v>1</v>
      </c>
      <c r="H177" s="21" t="s">
        <v>894</v>
      </c>
      <c r="I177" s="13">
        <v>42889.608101851853</v>
      </c>
      <c r="J177" s="7">
        <v>0</v>
      </c>
      <c r="K177" s="92" t="str">
        <f t="shared" si="50"/>
        <v>4057/4058</v>
      </c>
      <c r="L177" s="21" t="str">
        <f>VLOOKUP(A177,'Trips&amp;Operators'!$C$1:$G$99999,5,FALSE)</f>
        <v>MCREYNOLDS KYLE</v>
      </c>
      <c r="M177" s="6">
        <f t="shared" si="51"/>
        <v>1.0011574071540963E-2</v>
      </c>
      <c r="N177" s="7">
        <f t="shared" si="68"/>
        <v>14.416666663018987</v>
      </c>
      <c r="O177" s="7"/>
      <c r="P177" s="7"/>
      <c r="Q177" s="22"/>
      <c r="R177" s="173"/>
      <c r="S177" s="176">
        <f t="shared" si="69"/>
        <v>1</v>
      </c>
      <c r="T177" s="202" t="str">
        <f t="shared" si="52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3"/>
        <v>https://d0f6bd738d7f1b3e5a7ca70fe4ff75f0.us-east-1.aws.found.io/app/kibana#/discover/Steve-Slow-Train-Analysis-(2080s-and-2083s)?_g=(refreshInterval:(display:Off,pause:!f,section:0,value:0),time:(from:'2017-06-03T13:01:27-0600',mode:absolute,to:'2017-06-03T15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7" s="204" t="str">
        <f t="shared" si="54"/>
        <v>N</v>
      </c>
      <c r="X177" s="204">
        <f t="shared" si="55"/>
        <v>1</v>
      </c>
      <c r="Y177" s="204">
        <f t="shared" si="67"/>
        <v>0.1048</v>
      </c>
      <c r="Z177" s="204">
        <f t="shared" si="56"/>
        <v>5.8949999999999996</v>
      </c>
      <c r="AA177" s="204">
        <f t="shared" si="57"/>
        <v>5.7901999999999996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8"/>
        <v>1817-03</v>
      </c>
      <c r="AE177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77" s="77" t="str">
        <f t="shared" si="60"/>
        <v>"C:\Program Files (x86)\AstroGrep\AstroGrep.exe" /e /r /s /spath="%USERPROFILE%\AppData\Local\Temp\OnboardLogs" /stypes="app*4058*20170603*" /stext=" 20:.+((SYSTEM_STATE.+slice.+state.+changed )|(ment ac)|(multiple cpu faults)|(system.+state.+changed )|(\[timeout)|(PRM\|1\|D)|(kpr)|(kdp)|(train st.+moving)|(\|lc)|(penalty))"</v>
      </c>
      <c r="AG177" s="1" t="str">
        <f t="shared" si="61"/>
        <v>NW</v>
      </c>
      <c r="AH177" s="81" t="str">
        <f t="shared" si="62"/>
        <v>"%USERPROFILE%\Documents\GitHub\eaglep3\Utilities\RefineRTDCRunTimes.py" --tripid 1817-03 --locoid 4058 --swversion DE.1.0.9.0 --startMP 204:1048 --initTime 2017-06-03T14:01:27 --startdatetime 2017-06-03T14:21:15 --delay 1 --endMP 300:58950 --enddatetime 2017-06-03T14:35:40 --enforcementcount 0 &gt;&gt;C:\Users\stu\Documents\GitHub\eaglep3-reporting\EC\2017-06-03-refined-times.txt</v>
      </c>
      <c r="AI177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{"issue":{"subject":"","project_id":79,"tracker_id":40,"status_id":1,"priority_id":2,"assigned_to_id":23,"start_date":"2017-06-03","description":"","custom_fields":[{"id":1,"name":"Subdivision","value":"NW"},{"id":4,"name":"Milepost","value":"5.895"},{"id":17,"name":"Train ID","value":"1817-03"},{"id":16,"name":"Locomotive ID","value":"4058"},{"id":130,"name":"Impact","value":""},{"id":150,"name":"Time of Event (Mountain Time)","value":"14:35:40"},{"id":151,"name":"Denver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4"/>
        <v>start /low /b %USERPROFILE%\Documents\GitHub\eaglep3\Utilities\DownloadLogsFromS3.py --loco 4058 --day 2017-06-03</v>
      </c>
      <c r="AN177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767</v>
      </c>
      <c r="B178" s="7">
        <v>4057</v>
      </c>
      <c r="C178" s="21" t="s">
        <v>204</v>
      </c>
      <c r="D178" s="21" t="s">
        <v>906</v>
      </c>
      <c r="E178" s="13">
        <v>42889.609756944446</v>
      </c>
      <c r="F178" s="13">
        <v>42889.611689814818</v>
      </c>
      <c r="G178" s="7">
        <v>1</v>
      </c>
      <c r="H178" s="21" t="s">
        <v>500</v>
      </c>
      <c r="I178" s="13">
        <v>42889.621458333335</v>
      </c>
      <c r="J178" s="7">
        <v>0</v>
      </c>
      <c r="K178" s="92" t="str">
        <f t="shared" si="50"/>
        <v>4057/4058</v>
      </c>
      <c r="L178" s="21" t="str">
        <f>VLOOKUP(A178,'Trips&amp;Operators'!$C$1:$G$99999,5,FALSE)</f>
        <v>MCREYNOLDS KYLE</v>
      </c>
      <c r="M178" s="6">
        <f t="shared" si="51"/>
        <v>9.7685185173759237E-3</v>
      </c>
      <c r="N178" s="7">
        <f t="shared" si="68"/>
        <v>14.06666666502133</v>
      </c>
      <c r="O178" s="7"/>
      <c r="P178" s="7"/>
      <c r="Q178" s="22"/>
      <c r="R178" s="173"/>
      <c r="S178" s="176">
        <f t="shared" si="69"/>
        <v>1</v>
      </c>
      <c r="T178" s="202" t="str">
        <f t="shared" si="52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3"/>
        <v>https://d0f6bd738d7f1b3e5a7ca70fe4ff75f0.us-east-1.aws.found.io/app/kibana#/discover/Steve-Slow-Train-Analysis-(2080s-and-2083s)?_g=(refreshInterval:(display:Off,pause:!f,section:0,value:0),time:(from:'2017-06-03T13:38:03-0600',mode:absolute,to:'2017-06-03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8" s="204" t="str">
        <f t="shared" si="54"/>
        <v>N</v>
      </c>
      <c r="X178" s="204">
        <f t="shared" si="55"/>
        <v>1</v>
      </c>
      <c r="Y178" s="204">
        <f t="shared" si="67"/>
        <v>5.8639999999999999</v>
      </c>
      <c r="Z178" s="204">
        <f t="shared" si="56"/>
        <v>6.7799999999999999E-2</v>
      </c>
      <c r="AA178" s="204">
        <f t="shared" si="57"/>
        <v>5.7961999999999998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8"/>
        <v>1818-03</v>
      </c>
      <c r="AE178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78" s="77" t="str">
        <f t="shared" si="60"/>
        <v>"C:\Program Files (x86)\AstroGrep\AstroGrep.exe" /e /r /s /spath="%USERPROFILE%\AppData\Local\Temp\OnboardLogs" /stypes="app*4057*20170603*" /stext=" 20:.+((SYSTEM_STATE.+slice.+state.+changed )|(ment ac)|(multiple cpu faults)|(system.+state.+changed )|(\[timeout)|(PRM\|1\|D)|(kpr)|(kdp)|(train st.+moving)|(\|lc)|(penalty))"</v>
      </c>
      <c r="AG178" s="1" t="str">
        <f t="shared" si="61"/>
        <v>NW</v>
      </c>
      <c r="AH178" s="81" t="str">
        <f t="shared" si="62"/>
        <v>"%USERPROFILE%\Documents\GitHub\eaglep3\Utilities\RefineRTDCRunTimes.py" --tripid 1818-03 --locoid 4057 --swversion DE.1.0.9.0 --startMP 300:58640 --initTime 2017-06-03T14:38:03 --startdatetime 2017-06-03T14:40:50 --delay 1 --endMP 204:678 --enddatetime 2017-06-03T14:54:54 --enforcementcount 0 &gt;&gt;C:\Users\stu\Documents\GitHub\eaglep3-reporting\EC\2017-06-03-refined-times.txt</v>
      </c>
      <c r="AI178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{"issue":{"subject":"","project_id":79,"tracker_id":40,"status_id":1,"priority_id":2,"assigned_to_id":23,"start_date":"2017-06-03","description":"","custom_fields":[{"id":1,"name":"Subdivision","value":"NW"},{"id":4,"name":"Milepost","value":"0.0678"},{"id":17,"name":"Train ID","value":"1818-03"},{"id":16,"name":"Locomotive ID","value":"4057"},{"id":130,"name":"Impact","value":""},{"id":150,"name":"Time of Event (Mountain Time)","value":"14:54:54"},{"id":151,"name":"Denver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4"/>
        <v>start /low /b %USERPROFILE%\Documents\GitHub\eaglep3\Utilities\DownloadLogsFromS3.py --loco 4057 --day 2017-06-03</v>
      </c>
      <c r="AN178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769</v>
      </c>
      <c r="B179" s="7">
        <v>4058</v>
      </c>
      <c r="C179" s="21" t="s">
        <v>204</v>
      </c>
      <c r="D179" s="21" t="s">
        <v>907</v>
      </c>
      <c r="E179" s="13">
        <v>42889.623622685183</v>
      </c>
      <c r="F179" s="13">
        <v>42889.639745370368</v>
      </c>
      <c r="G179" s="7">
        <v>1</v>
      </c>
      <c r="H179" s="21" t="s">
        <v>908</v>
      </c>
      <c r="I179" s="13">
        <v>42889.649791666663</v>
      </c>
      <c r="J179" s="7">
        <v>0</v>
      </c>
      <c r="K179" s="92" t="str">
        <f t="shared" si="50"/>
        <v>4057/4058</v>
      </c>
      <c r="L179" s="21" t="str">
        <f>VLOOKUP(A179,'Trips&amp;Operators'!$C$1:$G$99999,5,FALSE)</f>
        <v>MCREYNOLDS KYLE</v>
      </c>
      <c r="M179" s="6">
        <f t="shared" si="51"/>
        <v>1.0046296294603962E-2</v>
      </c>
      <c r="N179" s="7">
        <f t="shared" si="68"/>
        <v>14.466666664229706</v>
      </c>
      <c r="O179" s="7"/>
      <c r="P179" s="7"/>
      <c r="Q179" s="22"/>
      <c r="R179" s="173"/>
      <c r="S179" s="176">
        <f t="shared" si="69"/>
        <v>1</v>
      </c>
      <c r="T179" s="202" t="str">
        <f t="shared" si="52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3"/>
        <v>https://d0f6bd738d7f1b3e5a7ca70fe4ff75f0.us-east-1.aws.found.io/app/kibana#/discover/Steve-Slow-Train-Analysis-(2080s-and-2083s)?_g=(refreshInterval:(display:Off,pause:!f,section:0,value:0),time:(from:'2017-06-03T13:58:01-0600',mode:absolute,to:'2017-06-03T16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9" s="204" t="str">
        <f t="shared" si="54"/>
        <v>N</v>
      </c>
      <c r="X179" s="204">
        <f t="shared" si="55"/>
        <v>1</v>
      </c>
      <c r="Y179" s="204">
        <f t="shared" si="67"/>
        <v>9.7900000000000001E-2</v>
      </c>
      <c r="Z179" s="204">
        <f t="shared" si="56"/>
        <v>5.8978000000000002</v>
      </c>
      <c r="AA179" s="204">
        <f t="shared" si="57"/>
        <v>5.7999000000000001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8"/>
        <v>1819-03</v>
      </c>
      <c r="AE179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79" s="77" t="str">
        <f t="shared" si="60"/>
        <v>"C:\Program Files (x86)\AstroGrep\AstroGrep.exe" /e /r /s /spath="%USERPROFILE%\AppData\Local\Temp\OnboardLogs" /stypes="app*4058*20170603*" /stext=" 21:.+((SYSTEM_STATE.+slice.+state.+changed )|(ment ac)|(multiple cpu faults)|(system.+state.+changed )|(\[timeout)|(PRM\|1\|D)|(kpr)|(kdp)|(train st.+moving)|(\|lc)|(penalty))"</v>
      </c>
      <c r="AG179" s="1" t="str">
        <f t="shared" si="61"/>
        <v>NW</v>
      </c>
      <c r="AH179" s="81" t="str">
        <f t="shared" si="62"/>
        <v>"%USERPROFILE%\Documents\GitHub\eaglep3\Utilities\RefineRTDCRunTimes.py" --tripid 1819-03 --locoid 4058 --swversion DE.1.0.9.0 --startMP 204:979 --initTime 2017-06-03T14:58:01 --startdatetime 2017-06-03T15:21:14 --delay 1 --endMP 300:58978 --enddatetime 2017-06-03T15:35:42 --enforcementcount 0 &gt;&gt;C:\Users\stu\Documents\GitHub\eaglep3-reporting\EC\2017-06-03-refined-times.txt</v>
      </c>
      <c r="AI179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{"issue":{"subject":"","project_id":79,"tracker_id":40,"status_id":1,"priority_id":2,"assigned_to_id":23,"start_date":"2017-06-03","description":"","custom_fields":[{"id":1,"name":"Subdivision","value":"NW"},{"id":4,"name":"Milepost","value":"5.8978"},{"id":17,"name":"Train ID","value":"1819-03"},{"id":16,"name":"Locomotive ID","value":"4058"},{"id":130,"name":"Impact","value":""},{"id":150,"name":"Time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4"/>
        <v>start /low /b %USERPROFILE%\Documents\GitHub\eaglep3\Utilities\DownloadLogsFromS3.py --loco 4058 --day 2017-06-03</v>
      </c>
      <c r="AN179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774</v>
      </c>
      <c r="B180" s="7">
        <v>4057</v>
      </c>
      <c r="C180" s="21" t="s">
        <v>204</v>
      </c>
      <c r="D180" s="21" t="s">
        <v>909</v>
      </c>
      <c r="E180" s="13">
        <v>42889.651377314818</v>
      </c>
      <c r="F180" s="13">
        <v>42889.652928240743</v>
      </c>
      <c r="G180" s="7">
        <v>1</v>
      </c>
      <c r="H180" s="21" t="s">
        <v>888</v>
      </c>
      <c r="I180" s="13">
        <v>42889.663194444445</v>
      </c>
      <c r="J180" s="7">
        <v>0</v>
      </c>
      <c r="K180" s="92" t="str">
        <f t="shared" si="50"/>
        <v>4057/4058</v>
      </c>
      <c r="L180" s="21" t="str">
        <f>VLOOKUP(A180,'Trips&amp;Operators'!$C$1:$G$99999,5,FALSE)</f>
        <v>MCREYNOLDS KYLE</v>
      </c>
      <c r="M180" s="6">
        <f t="shared" si="51"/>
        <v>1.0266203702485655E-2</v>
      </c>
      <c r="N180" s="7">
        <f t="shared" si="68"/>
        <v>14.783333331579342</v>
      </c>
      <c r="O180" s="7"/>
      <c r="P180" s="7"/>
      <c r="Q180" s="22"/>
      <c r="R180" s="173"/>
      <c r="S180" s="176">
        <f t="shared" si="69"/>
        <v>1</v>
      </c>
      <c r="T180" s="202" t="str">
        <f t="shared" si="52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3"/>
        <v>https://d0f6bd738d7f1b3e5a7ca70fe4ff75f0.us-east-1.aws.found.io/app/kibana#/discover/Steve-Slow-Train-Analysis-(2080s-and-2083s)?_g=(refreshInterval:(display:Off,pause:!f,section:0,value:0),time:(from:'2017-06-03T14:37:59-0600',mode:absolute,to:'2017-06-03T16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0" s="204" t="str">
        <f t="shared" si="54"/>
        <v>N</v>
      </c>
      <c r="X180" s="204">
        <f t="shared" si="55"/>
        <v>1</v>
      </c>
      <c r="Y180" s="204">
        <f t="shared" si="67"/>
        <v>5.8655999999999997</v>
      </c>
      <c r="Z180" s="204">
        <f t="shared" si="56"/>
        <v>6.6600000000000006E-2</v>
      </c>
      <c r="AA180" s="204">
        <f t="shared" si="57"/>
        <v>5.7989999999999995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8"/>
        <v>1820-03</v>
      </c>
      <c r="AE180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80" s="77" t="str">
        <f t="shared" si="60"/>
        <v>"C:\Program Files (x86)\AstroGrep\AstroGrep.exe" /e /r /s /spath="%USERPROFILE%\AppData\Local\Temp\OnboardLogs" /stypes="app*4057*20170603*" /stext=" 21:.+((SYSTEM_STATE.+slice.+state.+changed )|(ment ac)|(multiple cpu faults)|(system.+state.+changed )|(\[timeout)|(PRM\|1\|D)|(kpr)|(kdp)|(train st.+moving)|(\|lc)|(penalty))"</v>
      </c>
      <c r="AG180" s="1" t="str">
        <f t="shared" si="61"/>
        <v>NW</v>
      </c>
      <c r="AH180" s="81" t="str">
        <f t="shared" si="62"/>
        <v>"%USERPROFILE%\Documents\GitHub\eaglep3\Utilities\RefineRTDCRunTimes.py" --tripid 1820-03 --locoid 4057 --swversion DE.1.0.9.0 --startMP 300:58656 --initTime 2017-06-03T15:37:59 --startdatetime 2017-06-03T15:40:13 --delay 1 --endMP 204:666 --enddatetime 2017-06-03T15:55:00 --enforcementcount 0 &gt;&gt;C:\Users\stu\Documents\GitHub\eaglep3-reporting\EC\2017-06-03-refined-times.txt</v>
      </c>
      <c r="AI180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{"issue":{"subject":"","project_id":79,"tracker_id":40,"status_id":1,"priority_id":2,"assigned_to_id":23,"start_date":"2017-06-03","description":"","custom_fields":[{"id":1,"name":"Subdivision","value":"NW"},{"id":4,"name":"Milepost","value":"0.0666"},{"id":17,"name":"Train ID","value":"1820-03"},{"id":16,"name":"Locomotive ID","value":"4057"},{"id":130,"name":"Impact","value":""},{"id":150,"name":"Time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4"/>
        <v>start /low /b %USERPROFILE%\Documents\GitHub\eaglep3\Utilities\DownloadLogsFromS3.py --loco 4057 --day 2017-06-03</v>
      </c>
      <c r="AN180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21:55:00"},{"id":29,"name":"Sharepoint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781</v>
      </c>
      <c r="B181" s="7">
        <v>4058</v>
      </c>
      <c r="C181" s="21" t="s">
        <v>204</v>
      </c>
      <c r="D181" s="21" t="s">
        <v>608</v>
      </c>
      <c r="E181" s="13">
        <v>42889.67591435185</v>
      </c>
      <c r="F181" s="13">
        <v>42889.68141203704</v>
      </c>
      <c r="G181" s="7">
        <v>1</v>
      </c>
      <c r="H181" s="21" t="s">
        <v>902</v>
      </c>
      <c r="I181" s="13">
        <v>42889.69159722222</v>
      </c>
      <c r="J181" s="7">
        <v>0</v>
      </c>
      <c r="K181" s="92" t="str">
        <f t="shared" si="50"/>
        <v>4057/4058</v>
      </c>
      <c r="L181" s="21" t="str">
        <f>VLOOKUP(A181,'Trips&amp;Operators'!$C$1:$G$99999,5,FALSE)</f>
        <v>MCREYNOLDS KYLE</v>
      </c>
      <c r="M181" s="6">
        <f t="shared" si="51"/>
        <v>1.0185185179580003E-2</v>
      </c>
      <c r="N181" s="7">
        <f t="shared" si="68"/>
        <v>14.666666658595204</v>
      </c>
      <c r="O181" s="7"/>
      <c r="P181" s="7"/>
      <c r="Q181" s="22"/>
      <c r="R181" s="173"/>
      <c r="S181" s="176">
        <f t="shared" si="69"/>
        <v>1</v>
      </c>
      <c r="T181" s="202" t="str">
        <f t="shared" si="52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3"/>
        <v>https://d0f6bd738d7f1b3e5a7ca70fe4ff75f0.us-east-1.aws.found.io/app/kibana#/discover/Steve-Slow-Train-Analysis-(2080s-and-2083s)?_g=(refreshInterval:(display:Off,pause:!f,section:0,value:0),time:(from:'2017-06-03T15:13:19-0600',mode:absolute,to:'2017-06-03T17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1" s="204" t="str">
        <f t="shared" si="54"/>
        <v>N</v>
      </c>
      <c r="X181" s="204">
        <f t="shared" si="55"/>
        <v>1</v>
      </c>
      <c r="Y181" s="204">
        <f t="shared" si="67"/>
        <v>9.6199999999999994E-2</v>
      </c>
      <c r="Z181" s="204">
        <f t="shared" si="56"/>
        <v>5.8925999999999998</v>
      </c>
      <c r="AA181" s="204">
        <f t="shared" si="57"/>
        <v>5.7964000000000002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8"/>
        <v>1821-03</v>
      </c>
      <c r="AE181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81" s="77" t="str">
        <f t="shared" si="60"/>
        <v>"C:\Program Files (x86)\AstroGrep\AstroGrep.exe" /e /r /s /spath="%USERPROFILE%\AppData\Local\Temp\OnboardLogs" /stypes="app*4058*20170603*" /stext=" 22:.+((SYSTEM_STATE.+slice.+state.+changed )|(ment ac)|(multiple cpu faults)|(system.+state.+changed )|(\[timeout)|(PRM\|1\|D)|(kpr)|(kdp)|(train st.+moving)|(\|lc)|(penalty))"</v>
      </c>
      <c r="AG181" s="1" t="str">
        <f t="shared" si="61"/>
        <v>NW</v>
      </c>
      <c r="AH181" s="81" t="str">
        <f t="shared" si="62"/>
        <v>"%USERPROFILE%\Documents\GitHub\eaglep3\Utilities\RefineRTDCRunTimes.py" --tripid 1821-03 --locoid 4058 --swversion DE.1.0.9.0 --startMP 204:962 --initTime 2017-06-03T16:13:19 --startdatetime 2017-06-03T16:21:14 --delay 1 --endMP 300:58926 --enddatetime 2017-06-03T16:35:54 --enforcementcount 0 &gt;&gt;C:\Users\stu\Documents\GitHub\eaglep3-reporting\EC\2017-06-03-refined-times.txt</v>
      </c>
      <c r="AI181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{"issue":{"subject":"","project_id":79,"tracker_id":40,"status_id":1,"priority_id":2,"assigned_to_id":23,"start_date":"2017-06-03","description":"","custom_fields":[{"id":1,"name":"Subdivision","value":"NW"},{"id":4,"name":"Milepost","value":"5.8926"},{"id":17,"name":"Train ID","value":"1821-03"},{"id":16,"name":"Locomotive ID","value":"4058"},{"id":130,"name":"Impact","value":""},{"id":150,"name":"Time of Event (Mountain Time)","value":"16:35:54"},{"id":151,"name":"Denver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4"/>
        <v>start /low /b %USERPROFILE%\Documents\GitHub\eaglep3\Utilities\DownloadLogsFromS3.py --loco 4058 --day 2017-06-03</v>
      </c>
      <c r="AN181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785</v>
      </c>
      <c r="B182" s="7">
        <v>4057</v>
      </c>
      <c r="C182" s="21" t="s">
        <v>204</v>
      </c>
      <c r="D182" s="21" t="s">
        <v>899</v>
      </c>
      <c r="E182" s="13">
        <v>42889.692407407405</v>
      </c>
      <c r="F182" s="13">
        <v>42889.694085648145</v>
      </c>
      <c r="G182" s="7">
        <v>1</v>
      </c>
      <c r="H182" s="21" t="s">
        <v>436</v>
      </c>
      <c r="I182" s="13">
        <v>42889.705011574071</v>
      </c>
      <c r="J182" s="7">
        <v>0</v>
      </c>
      <c r="K182" s="92" t="str">
        <f t="shared" si="50"/>
        <v>4057/4058</v>
      </c>
      <c r="L182" s="21" t="str">
        <f>VLOOKUP(A182,'Trips&amp;Operators'!$C$1:$G$99999,5,FALSE)</f>
        <v>MCREYNOLDS KYLE</v>
      </c>
      <c r="M182" s="6">
        <f t="shared" si="51"/>
        <v>1.0925925926130731E-2</v>
      </c>
      <c r="N182" s="7">
        <f t="shared" si="68"/>
        <v>15.733333333628252</v>
      </c>
      <c r="O182" s="7"/>
      <c r="P182" s="7"/>
      <c r="Q182" s="22"/>
      <c r="R182" s="173"/>
      <c r="S182" s="176">
        <f t="shared" si="69"/>
        <v>1</v>
      </c>
      <c r="T182" s="202" t="str">
        <f t="shared" si="52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3"/>
        <v>https://d0f6bd738d7f1b3e5a7ca70fe4ff75f0.us-east-1.aws.found.io/app/kibana#/discover/Steve-Slow-Train-Analysis-(2080s-and-2083s)?_g=(refreshInterval:(display:Off,pause:!f,section:0,value:0),time:(from:'2017-06-03T15:37:04-0600',mode:absolute,to:'2017-06-03T17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2" s="204" t="str">
        <f t="shared" si="54"/>
        <v>N</v>
      </c>
      <c r="X182" s="204">
        <f t="shared" si="55"/>
        <v>1</v>
      </c>
      <c r="Y182" s="204">
        <f t="shared" si="67"/>
        <v>5.8615000000000004</v>
      </c>
      <c r="Z182" s="204">
        <f t="shared" si="56"/>
        <v>6.8400000000000002E-2</v>
      </c>
      <c r="AA182" s="204">
        <f t="shared" si="57"/>
        <v>5.7931000000000008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8"/>
        <v>1822-03</v>
      </c>
      <c r="AE182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82" s="77" t="str">
        <f t="shared" si="60"/>
        <v>"C:\Program Files (x86)\AstroGrep\AstroGrep.exe" /e /r /s /spath="%USERPROFILE%\AppData\Local\Temp\OnboardLogs" /stypes="app*4057*20170603*" /stext=" 22:.+((SYSTEM_STATE.+slice.+state.+changed )|(ment ac)|(multiple cpu faults)|(system.+state.+changed )|(\[timeout)|(PRM\|1\|D)|(kpr)|(kdp)|(train st.+moving)|(\|lc)|(penalty))"</v>
      </c>
      <c r="AG182" s="1" t="str">
        <f t="shared" si="61"/>
        <v>NW</v>
      </c>
      <c r="AH182" s="81" t="str">
        <f t="shared" si="62"/>
        <v>"%USERPROFILE%\Documents\GitHub\eaglep3\Utilities\RefineRTDCRunTimes.py" --tripid 1822-03 --locoid 4057 --swversion DE.1.0.9.0 --startMP 300:58615 --initTime 2017-06-03T16:37:04 --startdatetime 2017-06-03T16:39:29 --delay 1 --endMP 204:684 --enddatetime 2017-06-03T16:55:13 --enforcementcount 0 &gt;&gt;C:\Users\stu\Documents\GitHub\eaglep3-reporting\EC\2017-06-03-refined-times.txt</v>
      </c>
      <c r="AI182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{"issue":{"subject":"","project_id":79,"tracker_id":40,"status_id":1,"priority_id":2,"assigned_to_id":23,"start_date":"2017-06-03","description":"","custom_fields":[{"id":1,"name":"Subdivision","value":"NW"},{"id":4,"name":"Milepost","value":"0.0684"},{"id":17,"name":"Train ID","value":"1822-03"},{"id":16,"name":"Locomotive ID","value":"4057"},{"id":130,"name":"Impact","value":""},{"id":150,"name":"Time of Event (Mountain Time)","value":"16:55:13"},{"id":151,"name":"Denver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4"/>
        <v>start /low /b %USERPROFILE%\Documents\GitHub\eaglep3\Utilities\DownloadLogsFromS3.py --loco 4057 --day 2017-06-03</v>
      </c>
      <c r="AN182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22:55:13"},{"id":29,"name":"Sharepoint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789</v>
      </c>
      <c r="B183" s="7">
        <v>4058</v>
      </c>
      <c r="C183" s="21" t="s">
        <v>204</v>
      </c>
      <c r="D183" s="21" t="s">
        <v>910</v>
      </c>
      <c r="E183" s="13">
        <v>42889.720081018517</v>
      </c>
      <c r="F183" s="13">
        <v>42889.723113425927</v>
      </c>
      <c r="G183" s="7">
        <v>1</v>
      </c>
      <c r="H183" s="21" t="s">
        <v>607</v>
      </c>
      <c r="I183" s="13">
        <v>42889.732974537037</v>
      </c>
      <c r="J183" s="7">
        <v>0</v>
      </c>
      <c r="K183" s="92" t="str">
        <f t="shared" si="50"/>
        <v>4057/4058</v>
      </c>
      <c r="L183" s="21" t="str">
        <f>VLOOKUP(A183,'Trips&amp;Operators'!$C$1:$G$99999,5,FALSE)</f>
        <v>MCREYNOLDS KYLE</v>
      </c>
      <c r="M183" s="6">
        <f t="shared" si="51"/>
        <v>9.8611111097852699E-3</v>
      </c>
      <c r="N183" s="7">
        <f t="shared" si="68"/>
        <v>14.199999998090789</v>
      </c>
      <c r="O183" s="7"/>
      <c r="P183" s="7"/>
      <c r="Q183" s="22"/>
      <c r="R183" s="173"/>
      <c r="S183" s="176">
        <f t="shared" si="69"/>
        <v>1</v>
      </c>
      <c r="T183" s="202" t="str">
        <f t="shared" si="52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3"/>
        <v>https://d0f6bd738d7f1b3e5a7ca70fe4ff75f0.us-east-1.aws.found.io/app/kibana#/discover/Steve-Slow-Train-Analysis-(2080s-and-2083s)?_g=(refreshInterval:(display:Off,pause:!f,section:0,value:0),time:(from:'2017-06-03T16:16:55-0600',mode:absolute,to:'2017-06-03T18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3" s="204" t="str">
        <f t="shared" si="54"/>
        <v>N</v>
      </c>
      <c r="X183" s="204">
        <f t="shared" si="55"/>
        <v>1</v>
      </c>
      <c r="Y183" s="204">
        <f t="shared" si="67"/>
        <v>9.8599999999999993E-2</v>
      </c>
      <c r="Z183" s="204">
        <f t="shared" si="56"/>
        <v>5.8958000000000004</v>
      </c>
      <c r="AA183" s="204">
        <f t="shared" si="57"/>
        <v>5.7972000000000001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8"/>
        <v>1823-03</v>
      </c>
      <c r="AE183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83" s="77" t="str">
        <f t="shared" si="60"/>
        <v>"C:\Program Files (x86)\AstroGrep\AstroGrep.exe" /e /r /s /spath="%USERPROFILE%\AppData\Local\Temp\OnboardLogs" /stypes="app*4058*20170603*" /stext=" 23:.+((SYSTEM_STATE.+slice.+state.+changed )|(ment ac)|(multiple cpu faults)|(system.+state.+changed )|(\[timeout)|(PRM\|1\|D)|(kpr)|(kdp)|(train st.+moving)|(\|lc)|(penalty))"</v>
      </c>
      <c r="AG183" s="1" t="str">
        <f t="shared" si="61"/>
        <v>NW</v>
      </c>
      <c r="AH183" s="81" t="str">
        <f t="shared" si="62"/>
        <v>"%USERPROFILE%\Documents\GitHub\eaglep3\Utilities\RefineRTDCRunTimes.py" --tripid 1823-03 --locoid 4058 --swversion DE.1.0.9.0 --startMP 204:986 --initTime 2017-06-03T17:16:55 --startdatetime 2017-06-03T17:21:17 --delay 1 --endMP 300:58958 --enddatetime 2017-06-03T17:35:29 --enforcementcount 0 &gt;&gt;C:\Users\stu\Documents\GitHub\eaglep3-reporting\EC\2017-06-03-refined-times.txt</v>
      </c>
      <c r="AI183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{"issue":{"subject":"","project_id":79,"tracker_id":40,"status_id":1,"priority_id":2,"assigned_to_id":23,"start_date":"2017-06-03","description":"","custom_fields":[{"id":1,"name":"Subdivision","value":"NW"},{"id":4,"name":"Milepost","value":"5.8958"},{"id":17,"name":"Train ID","value":"1823-03"},{"id":16,"name":"Locomotive ID","value":"4058"},{"id":130,"name":"Impact","value":""},{"id":150,"name":"Time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64"/>
        <v>start /low /b %USERPROFILE%\Documents\GitHub\eaglep3\Utilities\DownloadLogsFromS3.py --loco 4058 --day 2017-06-03</v>
      </c>
      <c r="AN183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794</v>
      </c>
      <c r="B184" s="7">
        <v>4057</v>
      </c>
      <c r="C184" s="21" t="s">
        <v>204</v>
      </c>
      <c r="D184" s="21" t="s">
        <v>906</v>
      </c>
      <c r="E184" s="13">
        <v>42889.734733796293</v>
      </c>
      <c r="F184" s="13">
        <v>42889.735937500001</v>
      </c>
      <c r="G184" s="7">
        <v>0</v>
      </c>
      <c r="H184" s="21" t="s">
        <v>911</v>
      </c>
      <c r="I184" s="13">
        <v>42889.746550925927</v>
      </c>
      <c r="J184" s="7">
        <v>0</v>
      </c>
      <c r="K184" s="92" t="str">
        <f t="shared" si="50"/>
        <v>4057/4058</v>
      </c>
      <c r="L184" s="21" t="str">
        <f>VLOOKUP(A184,'Trips&amp;Operators'!$C$1:$G$99999,5,FALSE)</f>
        <v>MCREYNOLDS KYLE</v>
      </c>
      <c r="M184" s="6">
        <f t="shared" si="51"/>
        <v>1.0613425925839692E-2</v>
      </c>
      <c r="N184" s="7">
        <f t="shared" si="68"/>
        <v>15.283333333209157</v>
      </c>
      <c r="O184" s="7"/>
      <c r="P184" s="7"/>
      <c r="Q184" s="22"/>
      <c r="R184" s="173"/>
      <c r="S184" s="176">
        <f t="shared" si="69"/>
        <v>1</v>
      </c>
      <c r="T184" s="202" t="str">
        <f t="shared" si="52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3"/>
        <v>https://d0f6bd738d7f1b3e5a7ca70fe4ff75f0.us-east-1.aws.found.io/app/kibana#/discover/Steve-Slow-Train-Analysis-(2080s-and-2083s)?_g=(refreshInterval:(display:Off,pause:!f,section:0,value:0),time:(from:'2017-06-03T16:38:01-0600',mode:absolute,to:'2017-06-03T18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4" s="204" t="str">
        <f t="shared" si="54"/>
        <v>N</v>
      </c>
      <c r="X184" s="204">
        <f t="shared" si="55"/>
        <v>1</v>
      </c>
      <c r="Y184" s="204">
        <f t="shared" si="67"/>
        <v>5.8639999999999999</v>
      </c>
      <c r="Z184" s="204">
        <f t="shared" si="56"/>
        <v>6.7100000000000007E-2</v>
      </c>
      <c r="AA184" s="204">
        <f t="shared" si="57"/>
        <v>5.7968999999999999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8"/>
        <v>1824-03</v>
      </c>
      <c r="AE184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84" s="77" t="str">
        <f t="shared" si="60"/>
        <v>"C:\Program Files (x86)\AstroGrep\AstroGrep.exe" /e /r /s /spath="%USERPROFILE%\AppData\Local\Temp\OnboardLogs" /stypes="app*4057*20170603*" /stext=" 23:.+((SYSTEM_STATE.+slice.+state.+changed )|(ment ac)|(multiple cpu faults)|(system.+state.+changed )|(\[timeout)|(PRM\|1\|D)|(kpr)|(kdp)|(train st.+moving)|(\|lc)|(penalty))"</v>
      </c>
      <c r="AG184" s="1" t="str">
        <f t="shared" si="61"/>
        <v>NW</v>
      </c>
      <c r="AH184" s="81" t="str">
        <f t="shared" si="62"/>
        <v>"%USERPROFILE%\Documents\GitHub\eaglep3\Utilities\RefineRTDCRunTimes.py" --tripid 1824-03 --locoid 4057 --swversion DE.1.0.9.0 --startMP 300:58640 --initTime 2017-06-03T17:38:01 --startdatetime 2017-06-03T17:39:45 --delay 0 --endMP 204:671 --enddatetime 2017-06-03T17:55:02 --enforcementcount 0 &gt;&gt;C:\Users\stu\Documents\GitHub\eaglep3-reporting\EC\2017-06-03-refined-times.txt</v>
      </c>
      <c r="AI184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{"issue":{"subject":"","project_id":79,"tracker_id":40,"status_id":1,"priority_id":2,"assigned_to_id":23,"start_date":"2017-06-03","description":"","custom_fields":[{"id":1,"name":"Subdivision","value":"NW"},{"id":4,"name":"Milepost","value":"0.0671"},{"id":17,"name":"Train ID","value":"1824-03"},{"id":16,"name":"Locomotive ID","value":"4057"},{"id":130,"name":"Impact","value":""},{"id":150,"name":"Time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64"/>
        <v>start /low /b %USERPROFILE%\Documents\GitHub\eaglep3\Utilities\DownloadLogsFromS3.py --loco 4057 --day 2017-06-03</v>
      </c>
      <c r="AN184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800</v>
      </c>
      <c r="B185" s="7">
        <v>4058</v>
      </c>
      <c r="C185" s="21" t="s">
        <v>204</v>
      </c>
      <c r="D185" s="21" t="s">
        <v>912</v>
      </c>
      <c r="E185" s="13">
        <v>42889.750393518516</v>
      </c>
      <c r="F185" s="13">
        <v>42889.764756944445</v>
      </c>
      <c r="G185" s="7">
        <v>1</v>
      </c>
      <c r="H185" s="21" t="s">
        <v>913</v>
      </c>
      <c r="I185" s="13">
        <v>42889.774710648147</v>
      </c>
      <c r="J185" s="7">
        <v>0</v>
      </c>
      <c r="K185" s="92" t="str">
        <f t="shared" si="50"/>
        <v>4057/4058</v>
      </c>
      <c r="L185" s="21" t="str">
        <f>VLOOKUP(A185,'Trips&amp;Operators'!$C$1:$G$99999,5,FALSE)</f>
        <v>MCREYNOLDS KYLE</v>
      </c>
      <c r="M185" s="6">
        <f t="shared" si="51"/>
        <v>9.9537037021946162E-3</v>
      </c>
      <c r="N185" s="7">
        <f t="shared" si="68"/>
        <v>14.333333331160247</v>
      </c>
      <c r="O185" s="7"/>
      <c r="P185" s="7"/>
      <c r="Q185" s="22"/>
      <c r="R185" s="173"/>
      <c r="S185" s="176">
        <f t="shared" si="69"/>
        <v>1</v>
      </c>
      <c r="T185" s="202" t="str">
        <f t="shared" si="52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3"/>
        <v>https://d0f6bd738d7f1b3e5a7ca70fe4ff75f0.us-east-1.aws.found.io/app/kibana#/discover/Steve-Slow-Train-Analysis-(2080s-and-2083s)?_g=(refreshInterval:(display:Off,pause:!f,section:0,value:0),time:(from:'2017-06-03T17:00:34-0600',mode:absolute,to:'2017-06-03T19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5" s="204" t="str">
        <f t="shared" si="54"/>
        <v>N</v>
      </c>
      <c r="X185" s="204">
        <f t="shared" si="55"/>
        <v>1</v>
      </c>
      <c r="Y185" s="204">
        <f t="shared" si="67"/>
        <v>9.4799999999999995E-2</v>
      </c>
      <c r="Z185" s="204">
        <f t="shared" si="56"/>
        <v>5.8997000000000002</v>
      </c>
      <c r="AA185" s="204">
        <f t="shared" si="57"/>
        <v>5.8048999999999999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8"/>
        <v>1825-03</v>
      </c>
      <c r="AE185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85" s="77" t="str">
        <f t="shared" si="60"/>
        <v>"C:\Program Files (x86)\AstroGrep\AstroGrep.exe" /e /r /s /spath="%USERPROFILE%\AppData\Local\Temp\OnboardLogs" /stypes="app*4058*20170604*" /stext=" 00:.+((SYSTEM_STATE.+slice.+state.+changed )|(ment ac)|(multiple cpu faults)|(system.+state.+changed )|(\[timeout)|(PRM\|1\|D)|(kpr)|(kdp)|(train st.+moving)|(\|lc)|(penalty))"</v>
      </c>
      <c r="AG185" s="1" t="str">
        <f t="shared" si="61"/>
        <v>NW</v>
      </c>
      <c r="AH185" s="81" t="str">
        <f t="shared" si="62"/>
        <v>"%USERPROFILE%\Documents\GitHub\eaglep3\Utilities\RefineRTDCRunTimes.py" --tripid 1825-03 --locoid 4058 --swversion DE.1.0.9.0 --startMP 204:948 --initTime 2017-06-03T18:00:34 --startdatetime 2017-06-03T18:21:15 --delay 1 --endMP 300:58997 --enddatetime 2017-06-03T18:35:35 --enforcementcount 0 &gt;&gt;C:\Users\stu\Documents\GitHub\eaglep3-reporting\EC\2017-06-03-refined-times.txt</v>
      </c>
      <c r="AI185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{"issue":{"subject":"","project_id":79,"tracker_id":40,"status_id":1,"priority_id":2,"assigned_to_id":23,"start_date":"2017-06-03","description":"","custom_fields":[{"id":1,"name":"Subdivision","value":"NW"},{"id":4,"name":"Milepost","value":"5.8997"},{"id":17,"name":"Train ID","value":"1825-03"},{"id":16,"name":"Locomotive ID","value":"4058"},{"id":130,"name":"Impact","value":""},{"id":150,"name":"Time of Event (Mountain Time)","value":"18:35:35"},{"id":151,"name":"Denver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64"/>
        <v>start /low /b %USERPROFILE%\Documents\GitHub\eaglep3\Utilities\DownloadLogsFromS3.py --loco 4058 --day 2017-06-03</v>
      </c>
      <c r="AN185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810</v>
      </c>
      <c r="B186" s="7">
        <v>4057</v>
      </c>
      <c r="C186" s="21" t="s">
        <v>204</v>
      </c>
      <c r="D186" s="21" t="s">
        <v>914</v>
      </c>
      <c r="E186" s="13">
        <v>42889.776365740741</v>
      </c>
      <c r="F186" s="13">
        <v>42889.778009259258</v>
      </c>
      <c r="G186" s="7">
        <v>1</v>
      </c>
      <c r="H186" s="21" t="s">
        <v>436</v>
      </c>
      <c r="I186" s="13">
        <v>42889.7891087963</v>
      </c>
      <c r="J186" s="7">
        <v>0</v>
      </c>
      <c r="K186" s="92" t="str">
        <f t="shared" si="50"/>
        <v>4057/4058</v>
      </c>
      <c r="L186" s="21" t="str">
        <f>VLOOKUP(A186,'Trips&amp;Operators'!$C$1:$G$99999,5,FALSE)</f>
        <v>MCREYNOLDS KYLE</v>
      </c>
      <c r="M186" s="6">
        <f t="shared" si="51"/>
        <v>1.1099537041445728E-2</v>
      </c>
      <c r="N186" s="7">
        <f t="shared" si="68"/>
        <v>15.983333339681849</v>
      </c>
      <c r="O186" s="7"/>
      <c r="P186" s="7"/>
      <c r="Q186" s="22"/>
      <c r="R186" s="173"/>
      <c r="S186" s="176">
        <f t="shared" si="69"/>
        <v>1</v>
      </c>
      <c r="T186" s="202" t="str">
        <f t="shared" si="52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3"/>
        <v>https://d0f6bd738d7f1b3e5a7ca70fe4ff75f0.us-east-1.aws.found.io/app/kibana#/discover/Steve-Slow-Train-Analysis-(2080s-and-2083s)?_g=(refreshInterval:(display:Off,pause:!f,section:0,value:0),time:(from:'2017-06-03T17:37:58-0600',mode:absolute,to:'2017-06-03T19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6" s="204" t="str">
        <f t="shared" si="54"/>
        <v>N</v>
      </c>
      <c r="X186" s="204">
        <f t="shared" si="55"/>
        <v>1</v>
      </c>
      <c r="Y186" s="204">
        <f t="shared" si="67"/>
        <v>5.867</v>
      </c>
      <c r="Z186" s="204">
        <f t="shared" si="56"/>
        <v>6.8400000000000002E-2</v>
      </c>
      <c r="AA186" s="204">
        <f t="shared" si="57"/>
        <v>5.7986000000000004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8"/>
        <v>1826-03</v>
      </c>
      <c r="AE186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86" s="77" t="str">
        <f t="shared" si="60"/>
        <v>"C:\Program Files (x86)\AstroGrep\AstroGrep.exe" /e /r /s /spath="%USERPROFILE%\AppData\Local\Temp\OnboardLogs" /stypes="app*4057*20170604*" /stext=" 00:.+((SYSTEM_STATE.+slice.+state.+changed )|(ment ac)|(multiple cpu faults)|(system.+state.+changed )|(\[timeout)|(PRM\|1\|D)|(kpr)|(kdp)|(train st.+moving)|(\|lc)|(penalty))"</v>
      </c>
      <c r="AG186" s="1" t="str">
        <f t="shared" si="61"/>
        <v>NW</v>
      </c>
      <c r="AH186" s="81" t="str">
        <f t="shared" si="62"/>
        <v>"%USERPROFILE%\Documents\GitHub\eaglep3\Utilities\RefineRTDCRunTimes.py" --tripid 1826-03 --locoid 4057 --swversion DE.1.0.9.0 --startMP 300:58670 --initTime 2017-06-03T18:37:58 --startdatetime 2017-06-03T18:40:20 --delay 1 --endMP 204:684 --enddatetime 2017-06-03T18:56:19 --enforcementcount 0 &gt;&gt;C:\Users\stu\Documents\GitHub\eaglep3-reporting\EC\2017-06-03-refined-times.txt</v>
      </c>
      <c r="AI186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{"issue":{"subject":"","project_id":79,"tracker_id":40,"status_id":1,"priority_id":2,"assigned_to_id":23,"start_date":"2017-06-03","description":"","custom_fields":[{"id":1,"name":"Subdivision","value":"NW"},{"id":4,"name":"Milepost","value":"0.0684"},{"id":17,"name":"Train ID","value":"1826-03"},{"id":16,"name":"Locomotive ID","value":"4057"},{"id":130,"name":"Impact","value":""},{"id":150,"name":"Time of Event (Mountain Time)","value":"18:56:19"},{"id":151,"name":"Denver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4"/>
        <v>start /low /b %USERPROFILE%\Documents\GitHub\eaglep3\Utilities\DownloadLogsFromS3.py --loco 4057 --day 2017-06-03</v>
      </c>
      <c r="AN186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816</v>
      </c>
      <c r="B187" s="7">
        <v>4058</v>
      </c>
      <c r="C187" s="21" t="s">
        <v>204</v>
      </c>
      <c r="D187" s="21" t="s">
        <v>915</v>
      </c>
      <c r="E187" s="13">
        <v>42889.800868055558</v>
      </c>
      <c r="F187" s="13">
        <v>42889.806481481479</v>
      </c>
      <c r="G187" s="7">
        <v>1</v>
      </c>
      <c r="H187" s="21" t="s">
        <v>607</v>
      </c>
      <c r="I187" s="13">
        <v>42889.816550925927</v>
      </c>
      <c r="J187" s="7">
        <v>0</v>
      </c>
      <c r="K187" s="92" t="str">
        <f t="shared" si="50"/>
        <v>4057/4058</v>
      </c>
      <c r="L187" s="21" t="str">
        <f>VLOOKUP(A187,'Trips&amp;Operators'!$C$1:$G$99999,5,FALSE)</f>
        <v>MCREYNOLDS KYLE</v>
      </c>
      <c r="M187" s="6">
        <f t="shared" si="51"/>
        <v>1.0069444448163267E-2</v>
      </c>
      <c r="N187" s="7">
        <f t="shared" si="68"/>
        <v>14.500000005355105</v>
      </c>
      <c r="O187" s="7"/>
      <c r="P187" s="7"/>
      <c r="Q187" s="22"/>
      <c r="R187" s="173"/>
      <c r="S187" s="176">
        <f t="shared" si="69"/>
        <v>1</v>
      </c>
      <c r="T187" s="202" t="str">
        <f t="shared" si="52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3"/>
        <v>https://d0f6bd738d7f1b3e5a7ca70fe4ff75f0.us-east-1.aws.found.io/app/kibana#/discover/Steve-Slow-Train-Analysis-(2080s-and-2083s)?_g=(refreshInterval:(display:Off,pause:!f,section:0,value:0),time:(from:'2017-06-03T18:13:15-0600',mode:absolute,to:'2017-06-03T20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7" s="204" t="str">
        <f t="shared" si="54"/>
        <v>N</v>
      </c>
      <c r="X187" s="204">
        <f t="shared" si="55"/>
        <v>1</v>
      </c>
      <c r="Y187" s="204">
        <f t="shared" ref="Y187:Y223" si="70">RIGHT(D187,LEN(D187)-4)/10000</f>
        <v>9.8100000000000007E-2</v>
      </c>
      <c r="Z187" s="204">
        <f t="shared" si="56"/>
        <v>5.8958000000000004</v>
      </c>
      <c r="AA187" s="204">
        <f t="shared" si="57"/>
        <v>5.7977000000000007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8"/>
        <v>1827-03</v>
      </c>
      <c r="AE187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87" s="77" t="str">
        <f t="shared" si="60"/>
        <v>"C:\Program Files (x86)\AstroGrep\AstroGrep.exe" /e /r /s /spath="%USERPROFILE%\AppData\Local\Temp\OnboardLogs" /stypes="app*4058*20170604*" /stext=" 01:.+((SYSTEM_STATE.+slice.+state.+changed )|(ment ac)|(multiple cpu faults)|(system.+state.+changed )|(\[timeout)|(PRM\|1\|D)|(kpr)|(kdp)|(train st.+moving)|(\|lc)|(penalty))"</v>
      </c>
      <c r="AG187" s="1" t="str">
        <f t="shared" si="61"/>
        <v>NW</v>
      </c>
      <c r="AH187" s="81" t="str">
        <f t="shared" si="62"/>
        <v>"%USERPROFILE%\Documents\GitHub\eaglep3\Utilities\RefineRTDCRunTimes.py" --tripid 1827-03 --locoid 4058 --swversion DE.1.0.9.0 --startMP 204:981 --initTime 2017-06-03T19:13:15 --startdatetime 2017-06-03T19:21:20 --delay 1 --endMP 300:58958 --enddatetime 2017-06-03T19:35:50 --enforcementcount 0 &gt;&gt;C:\Users\stu\Documents\GitHub\eaglep3-reporting\EC\2017-06-03-refined-times.txt</v>
      </c>
      <c r="AI187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{"issue":{"subject":"","project_id":79,"tracker_id":40,"status_id":1,"priority_id":2,"assigned_to_id":23,"start_date":"2017-06-03","description":"","custom_fields":[{"id":1,"name":"Subdivision","value":"NW"},{"id":4,"name":"Milepost","value":"5.8958"},{"id":17,"name":"Train ID","value":"1827-03"},{"id":16,"name":"Locomotive ID","value":"4058"},{"id":130,"name":"Impact","value":""},{"id":150,"name":"Time of Event (Mountain Time)","value":"19:35:50"},{"id":151,"name":"Denver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4"/>
        <v>start /low /b %USERPROFILE%\Documents\GitHub\eaglep3\Utilities\DownloadLogsFromS3.py --loco 4058 --day 2017-06-03</v>
      </c>
      <c r="AN187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819</v>
      </c>
      <c r="B188" s="7">
        <v>4057</v>
      </c>
      <c r="C188" s="21" t="s">
        <v>204</v>
      </c>
      <c r="D188" s="21" t="s">
        <v>604</v>
      </c>
      <c r="E188" s="13">
        <v>42889.818252314813</v>
      </c>
      <c r="F188" s="13">
        <v>42889.819976851853</v>
      </c>
      <c r="G188" s="7">
        <v>1</v>
      </c>
      <c r="H188" s="21" t="s">
        <v>916</v>
      </c>
      <c r="I188" s="13">
        <v>42889.83079861111</v>
      </c>
      <c r="J188" s="7">
        <v>0</v>
      </c>
      <c r="K188" s="92" t="str">
        <f t="shared" si="50"/>
        <v>4057/4058</v>
      </c>
      <c r="L188" s="21" t="str">
        <f>VLOOKUP(A188,'Trips&amp;Operators'!$C$1:$G$99999,5,FALSE)</f>
        <v>MCREYNOLDS KYLE</v>
      </c>
      <c r="M188" s="6">
        <f t="shared" si="51"/>
        <v>1.0821759256941732E-2</v>
      </c>
      <c r="N188" s="7">
        <f t="shared" si="68"/>
        <v>15.583333329996094</v>
      </c>
      <c r="O188" s="7"/>
      <c r="P188" s="7"/>
      <c r="Q188" s="22"/>
      <c r="R188" s="173"/>
      <c r="S188" s="176">
        <f t="shared" si="69"/>
        <v>1</v>
      </c>
      <c r="T188" s="202" t="str">
        <f t="shared" si="52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3"/>
        <v>https://d0f6bd738d7f1b3e5a7ca70fe4ff75f0.us-east-1.aws.found.io/app/kibana#/discover/Steve-Slow-Train-Analysis-(2080s-and-2083s)?_g=(refreshInterval:(display:Off,pause:!f,section:0,value:0),time:(from:'2017-06-03T18:38:17-0600',mode:absolute,to:'2017-06-03T20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8" s="204" t="str">
        <f t="shared" si="54"/>
        <v>N</v>
      </c>
      <c r="X188" s="204">
        <f t="shared" si="55"/>
        <v>1</v>
      </c>
      <c r="Y188" s="204">
        <f t="shared" si="70"/>
        <v>5.8640999999999996</v>
      </c>
      <c r="Z188" s="204">
        <f t="shared" si="56"/>
        <v>6.7000000000000004E-2</v>
      </c>
      <c r="AA188" s="204">
        <f t="shared" si="57"/>
        <v>5.7970999999999995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8"/>
        <v>1828-03</v>
      </c>
      <c r="AE188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88" s="77" t="str">
        <f t="shared" si="60"/>
        <v>"C:\Program Files (x86)\AstroGrep\AstroGrep.exe" /e /r /s /spath="%USERPROFILE%\AppData\Local\Temp\OnboardLogs" /stypes="app*4057*20170604*" /stext=" 01:.+((SYSTEM_STATE.+slice.+state.+changed )|(ment ac)|(multiple cpu faults)|(system.+state.+changed )|(\[timeout)|(PRM\|1\|D)|(kpr)|(kdp)|(train st.+moving)|(\|lc)|(penalty))"</v>
      </c>
      <c r="AG188" s="1" t="str">
        <f t="shared" si="61"/>
        <v>NW</v>
      </c>
      <c r="AH188" s="81" t="str">
        <f t="shared" si="62"/>
        <v>"%USERPROFILE%\Documents\GitHub\eaglep3\Utilities\RefineRTDCRunTimes.py" --tripid 1828-03 --locoid 4057 --swversion DE.1.0.9.0 --startMP 300:58641 --initTime 2017-06-03T19:38:17 --startdatetime 2017-06-03T19:40:46 --delay 1 --endMP 204:670 --enddatetime 2017-06-03T19:56:21 --enforcementcount 0 &gt;&gt;C:\Users\stu\Documents\GitHub\eaglep3-reporting\EC\2017-06-03-refined-times.txt</v>
      </c>
      <c r="AI188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{"issue":{"subject":"","project_id":79,"tracker_id":40,"status_id":1,"priority_id":2,"assigned_to_id":23,"start_date":"2017-06-03","description":"","custom_fields":[{"id":1,"name":"Subdivision","value":"NW"},{"id":4,"name":"Milepost","value":"0.067"},{"id":17,"name":"Train ID","value":"1828-03"},{"id":16,"name":"Locomotive ID","value":"4057"},{"id":130,"name":"Impact","value":""},{"id":150,"name":"Time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4"/>
        <v>start /low /b %USERPROFILE%\Documents\GitHub\eaglep3\Utilities\DownloadLogsFromS3.py --loco 4057 --day 2017-06-03</v>
      </c>
      <c r="AN188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824</v>
      </c>
      <c r="B189" s="7">
        <v>4058</v>
      </c>
      <c r="C189" s="21" t="s">
        <v>204</v>
      </c>
      <c r="D189" s="21" t="s">
        <v>917</v>
      </c>
      <c r="E189" s="13">
        <v>42889.843321759261</v>
      </c>
      <c r="F189" s="13">
        <v>42889.84814814815</v>
      </c>
      <c r="G189" s="7">
        <v>1</v>
      </c>
      <c r="H189" s="21" t="s">
        <v>536</v>
      </c>
      <c r="I189" s="13">
        <v>42889.857986111114</v>
      </c>
      <c r="J189" s="7">
        <v>0</v>
      </c>
      <c r="K189" s="92" t="str">
        <f t="shared" si="50"/>
        <v>4057/4058</v>
      </c>
      <c r="L189" s="21" t="str">
        <f>VLOOKUP(A189,'Trips&amp;Operators'!$C$1:$G$99999,5,FALSE)</f>
        <v>MCREYNOLDS KYLE</v>
      </c>
      <c r="M189" s="6">
        <f t="shared" si="51"/>
        <v>9.8379629635019228E-3</v>
      </c>
      <c r="N189" s="7">
        <f t="shared" si="68"/>
        <v>14.166666667442769</v>
      </c>
      <c r="O189" s="7"/>
      <c r="P189" s="7"/>
      <c r="Q189" s="22"/>
      <c r="R189" s="173"/>
      <c r="S189" s="176">
        <f t="shared" si="69"/>
        <v>1</v>
      </c>
      <c r="T189" s="202" t="str">
        <f t="shared" si="52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3"/>
        <v>https://d0f6bd738d7f1b3e5a7ca70fe4ff75f0.us-east-1.aws.found.io/app/kibana#/discover/Steve-Slow-Train-Analysis-(2080s-and-2083s)?_g=(refreshInterval:(display:Off,pause:!f,section:0,value:0),time:(from:'2017-06-03T19:14:23-0600',mode:absolute,to:'2017-06-03T21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9" s="204" t="str">
        <f t="shared" si="54"/>
        <v>N</v>
      </c>
      <c r="X189" s="204">
        <f t="shared" si="55"/>
        <v>1</v>
      </c>
      <c r="Y189" s="204">
        <f t="shared" si="70"/>
        <v>9.5500000000000002E-2</v>
      </c>
      <c r="Z189" s="204">
        <f t="shared" si="56"/>
        <v>5.8956</v>
      </c>
      <c r="AA189" s="204">
        <f t="shared" si="57"/>
        <v>5.8000999999999996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8"/>
        <v>1829-03</v>
      </c>
      <c r="AE189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89" s="77" t="str">
        <f t="shared" si="60"/>
        <v>"C:\Program Files (x86)\AstroGrep\AstroGrep.exe" /e /r /s /spath="%USERPROFILE%\AppData\Local\Temp\OnboardLogs" /stypes="app*4058*20170604*" /stext=" 02:.+((SYSTEM_STATE.+slice.+state.+changed )|(ment ac)|(multiple cpu faults)|(system.+state.+changed )|(\[timeout)|(PRM\|1\|D)|(kpr)|(kdp)|(train st.+moving)|(\|lc)|(penalty))"</v>
      </c>
      <c r="AG189" s="1" t="str">
        <f t="shared" si="61"/>
        <v>NW</v>
      </c>
      <c r="AH189" s="81" t="str">
        <f t="shared" si="62"/>
        <v>"%USERPROFILE%\Documents\GitHub\eaglep3\Utilities\RefineRTDCRunTimes.py" --tripid 1829-03 --locoid 4058 --swversion DE.1.0.9.0 --startMP 204:955 --initTime 2017-06-03T20:14:23 --startdatetime 2017-06-03T20:21:20 --delay 1 --endMP 300:58956 --enddatetime 2017-06-03T20:35:30 --enforcementcount 0 &gt;&gt;C:\Users\stu\Documents\GitHub\eaglep3-reporting\EC\2017-06-03-refined-times.txt</v>
      </c>
      <c r="AI189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{"issue":{"subject":"","project_id":79,"tracker_id":40,"status_id":1,"priority_id":2,"assigned_to_id":23,"start_date":"2017-06-03","description":"","custom_fields":[{"id":1,"name":"Subdivision","value":"NW"},{"id":4,"name":"Milepost","value":"5.8956"},{"id":17,"name":"Train ID","value":"1829-03"},{"id":16,"name":"Locomotive ID","value":"4058"},{"id":130,"name":"Impact","value":""},{"id":150,"name":"Time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4"/>
        <v>start /low /b %USERPROFILE%\Documents\GitHub\eaglep3\Utilities\DownloadLogsFromS3.py --loco 4058 --day 2017-06-03</v>
      </c>
      <c r="AN189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826</v>
      </c>
      <c r="B190" s="7">
        <v>4057</v>
      </c>
      <c r="C190" s="21" t="s">
        <v>204</v>
      </c>
      <c r="D190" s="21" t="s">
        <v>919</v>
      </c>
      <c r="E190" s="13">
        <v>42889.859629629631</v>
      </c>
      <c r="F190" s="13">
        <v>42889.861064814817</v>
      </c>
      <c r="G190" s="7">
        <v>1</v>
      </c>
      <c r="H190" s="21" t="s">
        <v>605</v>
      </c>
      <c r="I190" s="13">
        <v>42889.871354166666</v>
      </c>
      <c r="J190" s="7">
        <v>0</v>
      </c>
      <c r="K190" s="92" t="str">
        <f t="shared" si="50"/>
        <v>4057/4058</v>
      </c>
      <c r="L190" s="21" t="str">
        <f>VLOOKUP(A190,'Trips&amp;Operators'!$C$1:$G$99999,5,FALSE)</f>
        <v>MCREYNOLDS KYLE</v>
      </c>
      <c r="M190" s="6">
        <f t="shared" si="51"/>
        <v>1.0289351848769002E-2</v>
      </c>
      <c r="N190" s="7">
        <f t="shared" si="68"/>
        <v>14.816666662227362</v>
      </c>
      <c r="O190" s="7"/>
      <c r="P190" s="7"/>
      <c r="Q190" s="22"/>
      <c r="R190" s="173"/>
      <c r="S190" s="176">
        <f t="shared" si="69"/>
        <v>1</v>
      </c>
      <c r="T190" s="202" t="str">
        <f t="shared" si="52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3"/>
        <v>https://d0f6bd738d7f1b3e5a7ca70fe4ff75f0.us-east-1.aws.found.io/app/kibana#/discover/Steve-Slow-Train-Analysis-(2080s-and-2083s)?_g=(refreshInterval:(display:Off,pause:!f,section:0,value:0),time:(from:'2017-06-03T19:37:52-0600',mode:absolute,to:'2017-06-03T21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0" s="204" t="str">
        <f t="shared" si="54"/>
        <v>N</v>
      </c>
      <c r="X190" s="204">
        <f t="shared" si="55"/>
        <v>1</v>
      </c>
      <c r="Y190" s="204">
        <f t="shared" si="70"/>
        <v>5.8634000000000004</v>
      </c>
      <c r="Z190" s="204">
        <f t="shared" si="56"/>
        <v>6.8500000000000005E-2</v>
      </c>
      <c r="AA190" s="204">
        <f t="shared" si="57"/>
        <v>5.7949000000000002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8"/>
        <v>1830-03</v>
      </c>
      <c r="AE190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90" s="77" t="str">
        <f t="shared" si="60"/>
        <v>"C:\Program Files (x86)\AstroGrep\AstroGrep.exe" /e /r /s /spath="%USERPROFILE%\AppData\Local\Temp\OnboardLogs" /stypes="app*4057*20170604*" /stext=" 02:.+((SYSTEM_STATE.+slice.+state.+changed )|(ment ac)|(multiple cpu faults)|(system.+state.+changed )|(\[timeout)|(PRM\|1\|D)|(kpr)|(kdp)|(train st.+moving)|(\|lc)|(penalty))"</v>
      </c>
      <c r="AG190" s="1" t="str">
        <f t="shared" si="61"/>
        <v>NW</v>
      </c>
      <c r="AH190" s="81" t="str">
        <f t="shared" si="62"/>
        <v>"%USERPROFILE%\Documents\GitHub\eaglep3\Utilities\RefineRTDCRunTimes.py" --tripid 1830-03 --locoid 4057 --swversion DE.1.0.9.0 --startMP 300:58634 --initTime 2017-06-03T20:37:52 --startdatetime 2017-06-03T20:39:56 --delay 1 --endMP 204:685 --enddatetime 2017-06-03T20:54:45 --enforcementcount 0 &gt;&gt;C:\Users\stu\Documents\GitHub\eaglep3-reporting\EC\2017-06-03-refined-times.txt</v>
      </c>
      <c r="AI190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{"issue":{"subject":"","project_id":79,"tracker_id":40,"status_id":1,"priority_id":2,"assigned_to_id":23,"start_date":"2017-06-03","description":"","custom_fields":[{"id":1,"name":"Subdivision","value":"NW"},{"id":4,"name":"Milepost","value":"0.0685"},{"id":17,"name":"Train ID","value":"1830-03"},{"id":16,"name":"Locomotive ID","value":"4057"},{"id":130,"name":"Impact","value":""},{"id":150,"name":"Time of Event (Mountain Time)","value":"20:54:45"},{"id":151,"name":"Denver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4"/>
        <v>start /low /b %USERPROFILE%\Documents\GitHub\eaglep3\Utilities\DownloadLogsFromS3.py --loco 4057 --day 2017-06-03</v>
      </c>
      <c r="AN190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02:54:45"},{"id":29,"name":"Sharepoint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829</v>
      </c>
      <c r="B191" s="7">
        <v>4058</v>
      </c>
      <c r="C191" s="21" t="s">
        <v>204</v>
      </c>
      <c r="D191" s="21" t="s">
        <v>907</v>
      </c>
      <c r="E191" s="13">
        <v>42889.872673611113</v>
      </c>
      <c r="F191" s="13">
        <v>42889.889791666668</v>
      </c>
      <c r="G191" s="7">
        <v>1</v>
      </c>
      <c r="H191" s="21" t="s">
        <v>612</v>
      </c>
      <c r="I191" s="13">
        <v>42889.899340277778</v>
      </c>
      <c r="J191" s="7">
        <v>0</v>
      </c>
      <c r="K191" s="92" t="str">
        <f t="shared" si="50"/>
        <v>4057/4058</v>
      </c>
      <c r="L191" s="21" t="str">
        <f>VLOOKUP(A191,'Trips&amp;Operators'!$C$1:$G$99999,5,FALSE)</f>
        <v>MCREYNOLDS KYLE</v>
      </c>
      <c r="M191" s="6">
        <f t="shared" si="51"/>
        <v>9.5486111094942316E-3</v>
      </c>
      <c r="N191" s="7">
        <f t="shared" si="68"/>
        <v>13.749999997671694</v>
      </c>
      <c r="O191" s="7"/>
      <c r="P191" s="7"/>
      <c r="Q191" s="22"/>
      <c r="R191" s="173"/>
      <c r="S191" s="176">
        <f t="shared" si="69"/>
        <v>1</v>
      </c>
      <c r="T191" s="202" t="str">
        <f t="shared" si="52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53"/>
        <v>https://d0f6bd738d7f1b3e5a7ca70fe4ff75f0.us-east-1.aws.found.io/app/kibana#/discover/Steve-Slow-Train-Analysis-(2080s-and-2083s)?_g=(refreshInterval:(display:Off,pause:!f,section:0,value:0),time:(from:'2017-06-03T19:56:39-0600',mode:absolute,to:'2017-06-03T22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1" s="204" t="str">
        <f t="shared" si="54"/>
        <v>N</v>
      </c>
      <c r="X191" s="204">
        <f t="shared" si="55"/>
        <v>1</v>
      </c>
      <c r="Y191" s="204">
        <f t="shared" si="70"/>
        <v>9.7900000000000001E-2</v>
      </c>
      <c r="Z191" s="204">
        <f t="shared" si="56"/>
        <v>5.8943000000000003</v>
      </c>
      <c r="AA191" s="204">
        <f t="shared" si="57"/>
        <v>5.7964000000000002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8"/>
        <v>1831-03</v>
      </c>
      <c r="AE191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91" s="77" t="str">
        <f t="shared" si="60"/>
        <v>"C:\Program Files (x86)\AstroGrep\AstroGrep.exe" /e /r /s /spath="%USERPROFILE%\AppData\Local\Temp\OnboardLogs" /stypes="app*4058*20170604*" /stext=" 03:.+((SYSTEM_STATE.+slice.+state.+changed )|(ment ac)|(multiple cpu faults)|(system.+state.+changed )|(\[timeout)|(PRM\|1\|D)|(kpr)|(kdp)|(train st.+moving)|(\|lc)|(penalty))"</v>
      </c>
      <c r="AG191" s="1" t="str">
        <f t="shared" si="61"/>
        <v>NW</v>
      </c>
      <c r="AH191" s="81" t="str">
        <f t="shared" si="62"/>
        <v>"%USERPROFILE%\Documents\GitHub\eaglep3\Utilities\RefineRTDCRunTimes.py" --tripid 1831-03 --locoid 4058 --swversion DE.1.0.9.0 --startMP 204:979 --initTime 2017-06-03T20:56:39 --startdatetime 2017-06-03T21:21:18 --delay 1 --endMP 300:58943 --enddatetime 2017-06-03T21:35:03 --enforcementcount 0 &gt;&gt;C:\Users\stu\Documents\GitHub\eaglep3-reporting\EC\2017-06-03-refined-times.txt</v>
      </c>
      <c r="AI191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{"issue":{"subject":"","project_id":79,"tracker_id":40,"status_id":1,"priority_id":2,"assigned_to_id":23,"start_date":"2017-06-03","description":"","custom_fields":[{"id":1,"name":"Subdivision","value":"NW"},{"id":4,"name":"Milepost","value":"5.8943"},{"id":17,"name":"Train ID","value":"1831-03"},{"id":16,"name":"Locomotive ID","value":"4058"},{"id":130,"name":"Impact","value":""},{"id":150,"name":"Time of Event (Mountain Time)","value":"21:35:03"},{"id":151,"name":"Denver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4"/>
        <v>start /low /b %USERPROFILE%\Documents\GitHub\eaglep3\Utilities\DownloadLogsFromS3.py --loco 4058 --day 2017-06-03</v>
      </c>
      <c r="AN191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03:35:03"},{"id":29,"name":"Sharepoint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832</v>
      </c>
      <c r="B192" s="7">
        <v>4057</v>
      </c>
      <c r="C192" s="21" t="s">
        <v>204</v>
      </c>
      <c r="D192" s="21" t="s">
        <v>920</v>
      </c>
      <c r="E192" s="13">
        <v>42889.900717592594</v>
      </c>
      <c r="F192" s="13">
        <v>42889.902349537035</v>
      </c>
      <c r="G192" s="7">
        <v>1</v>
      </c>
      <c r="H192" s="21" t="s">
        <v>921</v>
      </c>
      <c r="I192" s="13">
        <v>42889.913148148145</v>
      </c>
      <c r="J192" s="7">
        <v>0</v>
      </c>
      <c r="K192" s="92" t="str">
        <f t="shared" si="50"/>
        <v>4057/4058</v>
      </c>
      <c r="L192" s="21" t="str">
        <f>VLOOKUP(A192,'Trips&amp;Operators'!$C$1:$G$99999,5,FALSE)</f>
        <v>MCREYNOLDS KYLE</v>
      </c>
      <c r="M192" s="6">
        <f t="shared" si="51"/>
        <v>1.0798611110658385E-2</v>
      </c>
      <c r="N192" s="7">
        <f t="shared" ref="N192:N223" si="71">24*60*SUM($M192:$M192)</f>
        <v>15.549999999348074</v>
      </c>
      <c r="O192" s="7"/>
      <c r="P192" s="7"/>
      <c r="Q192" s="22"/>
      <c r="R192" s="173"/>
      <c r="S192" s="176">
        <f t="shared" si="69"/>
        <v>1</v>
      </c>
      <c r="T192" s="202" t="str">
        <f t="shared" si="52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3"/>
        <v>https://d0f6bd738d7f1b3e5a7ca70fe4ff75f0.us-east-1.aws.found.io/app/kibana#/discover/Steve-Slow-Train-Analysis-(2080s-and-2083s)?_g=(refreshInterval:(display:Off,pause:!f,section:0,value:0),time:(from:'2017-06-03T20:37:02-0600',mode:absolute,to:'2017-06-03T22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2" s="204" t="str">
        <f t="shared" si="54"/>
        <v>N</v>
      </c>
      <c r="X192" s="204">
        <f t="shared" si="55"/>
        <v>1</v>
      </c>
      <c r="Y192" s="204">
        <f t="shared" si="70"/>
        <v>5.8624000000000001</v>
      </c>
      <c r="Z192" s="204">
        <f t="shared" si="56"/>
        <v>7.1199999999999999E-2</v>
      </c>
      <c r="AA192" s="204">
        <f t="shared" si="57"/>
        <v>5.7911999999999999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8"/>
        <v>1832-03</v>
      </c>
      <c r="AE192" s="80" t="str">
        <f t="shared" si="59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192" s="77" t="str">
        <f t="shared" si="60"/>
        <v>"C:\Program Files (x86)\AstroGrep\AstroGrep.exe" /e /r /s /spath="%USERPROFILE%\AppData\Local\Temp\OnboardLogs" /stypes="app*4057*20170604*" /stext=" 03:.+((SYSTEM_STATE.+slice.+state.+changed )|(ment ac)|(multiple cpu faults)|(system.+state.+changed )|(\[timeout)|(PRM\|1\|D)|(kpr)|(kdp)|(train st.+moving)|(\|lc)|(penalty))"</v>
      </c>
      <c r="AG192" s="1" t="str">
        <f t="shared" si="61"/>
        <v>NW</v>
      </c>
      <c r="AH192" s="81" t="str">
        <f t="shared" si="62"/>
        <v>"%USERPROFILE%\Documents\GitHub\eaglep3\Utilities\RefineRTDCRunTimes.py" --tripid 1832-03 --locoid 4057 --swversion DE.1.0.9.0 --startMP 300:58624 --initTime 2017-06-03T21:37:02 --startdatetime 2017-06-03T21:39:23 --delay 1 --endMP 204:712 --enddatetime 2017-06-03T21:54:56 --enforcementcount 0 &gt;&gt;C:\Users\stu\Documents\GitHub\eaglep3-reporting\EC\2017-06-03-refined-times.txt</v>
      </c>
      <c r="AI192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{"issue":{"subject":"","project_id":79,"tracker_id":40,"status_id":1,"priority_id":2,"assigned_to_id":23,"start_date":"2017-06-03","description":"","custom_fields":[{"id":1,"name":"Subdivision","value":"NW"},{"id":4,"name":"Milepost","value":"0.0712"},{"id":17,"name":"Train ID","value":"1832-03"},{"id":16,"name":"Locomotive ID","value":"4057"},{"id":130,"name":"Impact","value":""},{"id":150,"name":"Time of Event (Mountain Time)","value":"21:54:56"},{"id":151,"name":"Denver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4"/>
        <v>start /low /b %USERPROFILE%\Documents\GitHub\eaglep3\Utilities\DownloadLogsFromS3.py --loco 4057 --day 2017-06-03</v>
      </c>
      <c r="AN192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835</v>
      </c>
      <c r="B193" s="7">
        <v>4058</v>
      </c>
      <c r="C193" s="21" t="s">
        <v>204</v>
      </c>
      <c r="D193" s="21" t="s">
        <v>609</v>
      </c>
      <c r="E193" s="13">
        <v>42889.922627314816</v>
      </c>
      <c r="F193" s="13">
        <v>42889.931701388887</v>
      </c>
      <c r="G193" s="7">
        <v>1</v>
      </c>
      <c r="H193" s="21" t="s">
        <v>922</v>
      </c>
      <c r="I193" s="13">
        <v>42889.941967592589</v>
      </c>
      <c r="J193" s="7">
        <v>0</v>
      </c>
      <c r="K193" s="92" t="str">
        <f t="shared" si="50"/>
        <v>4057/4058</v>
      </c>
      <c r="L193" s="21" t="str">
        <f>VLOOKUP(A193,'Trips&amp;Operators'!$C$1:$G$99999,5,FALSE)</f>
        <v>MCREYNOLDS KYLE</v>
      </c>
      <c r="M193" s="6">
        <f t="shared" si="51"/>
        <v>1.0266203702485655E-2</v>
      </c>
      <c r="N193" s="7">
        <f t="shared" si="71"/>
        <v>14.783333331579342</v>
      </c>
      <c r="O193" s="7"/>
      <c r="P193" s="7"/>
      <c r="Q193" s="22"/>
      <c r="R193" s="173"/>
      <c r="S193" s="176">
        <f t="shared" si="69"/>
        <v>1</v>
      </c>
      <c r="T193" s="202" t="str">
        <f t="shared" si="52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53"/>
        <v>https://d0f6bd738d7f1b3e5a7ca70fe4ff75f0.us-east-1.aws.found.io/app/kibana#/discover/Steve-Slow-Train-Analysis-(2080s-and-2083s)?_g=(refreshInterval:(display:Off,pause:!f,section:0,value:0),time:(from:'2017-06-03T21:08:35-0600',mode:absolute,to:'2017-06-03T23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3" s="204" t="str">
        <f t="shared" si="54"/>
        <v>N</v>
      </c>
      <c r="X193" s="204">
        <f t="shared" si="55"/>
        <v>1</v>
      </c>
      <c r="Y193" s="204">
        <f t="shared" si="70"/>
        <v>0.1004</v>
      </c>
      <c r="Z193" s="204">
        <f t="shared" si="56"/>
        <v>5.8987999999999996</v>
      </c>
      <c r="AA193" s="204">
        <f t="shared" si="57"/>
        <v>5.7984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8"/>
        <v>1833-03</v>
      </c>
      <c r="AE193" s="80" t="str">
        <f t="shared" si="59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193" s="77" t="str">
        <f t="shared" si="60"/>
        <v>"C:\Program Files (x86)\AstroGrep\AstroGrep.exe" /e /r /s /spath="%USERPROFILE%\AppData\Local\Temp\OnboardLogs" /stypes="app*4058*20170604*" /stext=" 04:.+((SYSTEM_STATE.+slice.+state.+changed )|(ment ac)|(multiple cpu faults)|(system.+state.+changed )|(\[timeout)|(PRM\|1\|D)|(kpr)|(kdp)|(train st.+moving)|(\|lc)|(penalty))"</v>
      </c>
      <c r="AG193" s="1" t="str">
        <f t="shared" si="61"/>
        <v>NW</v>
      </c>
      <c r="AH193" s="81" t="str">
        <f t="shared" si="62"/>
        <v>"%USERPROFILE%\Documents\GitHub\eaglep3\Utilities\RefineRTDCRunTimes.py" --tripid 1833-03 --locoid 4058 --swversion DE.1.0.9.0 --startMP 204:1004 --initTime 2017-06-03T22:08:35 --startdatetime 2017-06-03T22:21:39 --delay 1 --endMP 300:58988 --enddatetime 2017-06-03T22:36:26 --enforcementcount 0 &gt;&gt;C:\Users\stu\Documents\GitHub\eaglep3-reporting\EC\2017-06-03-refined-times.txt</v>
      </c>
      <c r="AI193" s="99" t="str">
        <f t="shared" si="63"/>
        <v>echo {"issue":{"subject":"","project_id":79,"tracker_id":40,"status_id":1,"priority_id":2,"assigned_to_id":23,"start_date":"2017-06-03","description":"","custom_fields":[{"id":1,"name":"Subdivision","value":"NW"},{"id":4,"name":"Milepost","value":"5.8988"},{"id":17,"name":"Train ID","value":"1833-03"},{"id":16,"name":"Locomotive ID","value":"4058"},{"id":130,"name":"Impact","value":""},{"id":150,"name":"Time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4"/>
        <v>start /low /b %USERPROFILE%\Documents\GitHub\eaglep3\Utilities\DownloadLogsFromS3.py --loco 4058 --day 2017-06-03</v>
      </c>
      <c r="AN193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653</v>
      </c>
      <c r="B194" s="7">
        <v>4023</v>
      </c>
      <c r="C194" s="21" t="s">
        <v>204</v>
      </c>
      <c r="D194" s="21" t="s">
        <v>960</v>
      </c>
      <c r="E194" s="13">
        <v>42889.114328703705</v>
      </c>
      <c r="F194" s="13">
        <v>42889.118668981479</v>
      </c>
      <c r="G194" s="7">
        <v>5</v>
      </c>
      <c r="H194" s="21" t="s">
        <v>961</v>
      </c>
      <c r="I194" s="13">
        <v>42889.124502314815</v>
      </c>
      <c r="J194" s="7">
        <v>0</v>
      </c>
      <c r="K194" s="92" t="str">
        <f t="shared" si="50"/>
        <v>4023/4024</v>
      </c>
      <c r="L194" s="21" t="str">
        <f>VLOOKUP(A194,'Trips&amp;Operators'!$C$1:$G$99999,5,FALSE)</f>
        <v>BEAM ROSS</v>
      </c>
      <c r="M194" s="6">
        <f t="shared" si="51"/>
        <v>5.8333333363407291E-3</v>
      </c>
      <c r="N194" s="7">
        <f t="shared" si="71"/>
        <v>8.40000000433065</v>
      </c>
      <c r="O194" s="7"/>
      <c r="P194" s="7"/>
      <c r="Q194" s="22"/>
      <c r="R194" s="173"/>
      <c r="S194" s="176">
        <f t="shared" si="69"/>
        <v>1</v>
      </c>
      <c r="T194" s="202" t="str">
        <f t="shared" si="52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3"/>
        <v>https://d0f6bd738d7f1b3e5a7ca70fe4ff75f0.us-east-1.aws.found.io/app/kibana#/discover/Steve-Slow-Train-Analysis-(2080s-and-2083s)?_g=(refreshInterval:(display:Off,pause:!f,section:0,value:0),time:(from:'2017-06-03T01:44:38-0600',mode:absolute,to:'2017-06-03T03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204" t="str">
        <f t="shared" si="54"/>
        <v>Y</v>
      </c>
      <c r="X194" s="204">
        <f t="shared" si="55"/>
        <v>-1533</v>
      </c>
      <c r="Y194" s="204">
        <f t="shared" si="70"/>
        <v>2.1507000000000001</v>
      </c>
      <c r="Z194" s="204">
        <f t="shared" si="56"/>
        <v>1.29E-2</v>
      </c>
      <c r="AA194" s="204">
        <f t="shared" si="57"/>
        <v>2.1377999999999999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8"/>
        <v>0300-03</v>
      </c>
      <c r="AE194" s="80" t="str">
        <f t="shared" si="59"/>
        <v>aws s3 cp s3://rtdc.mdm.uploadarchive.raw/RTDC4023/ "%USERPROFILE%\AppData\Local\Temp\OnboardLogs"\RTDC4023\2017-06-03 --exclude "*" --recursive --include "*20170603*" &amp; "%USERPROFILE%\Documents\GitHub\mrs-test-scripts\Headless Mode &amp; Sideloading\WalkAndUnGZ.bat" "%USERPROFILE%\AppData\Local\Temp\OnboardLogs"\RTDC4023\2017-06-03 &amp; 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</v>
      </c>
      <c r="AF194" s="77" t="str">
        <f t="shared" si="60"/>
        <v>"C:\Program Files (x86)\AstroGrep\AstroGrep.exe" /e /r /s /spath="%USERPROFILE%\AppData\Local\Temp\OnboardLogs" /stypes="app*4023*20170603*" /stext=" 08:.+((SYSTEM_STATE.+slice.+state.+changed )|(ment ac)|(multiple cpu faults)|(system.+state.+changed )|(\[timeout)|(PRM\|1\|D)|(kpr)|(kdp)|(train st.+moving)|(\|lc)|(penalty))"</v>
      </c>
      <c r="AG194" s="1" t="str">
        <f t="shared" si="61"/>
        <v>Other</v>
      </c>
      <c r="AH194" s="81" t="str">
        <f t="shared" si="62"/>
        <v>"%USERPROFILE%\Documents\GitHub\eaglep3\Utilities\RefineRTDCRunTimes.py" --tripid 300-03 --locoid 4023 --swversion DE.1.0.9.0 --startMP 300:21507 --initTime 2017-06-03T02:44:38 --startdatetime 2017-06-03T02:50:53 --delay 5 --endMP 204:129 --enddatetime 2017-06-03T02:59:17 --enforcementcount 0 &gt;&gt;C:\Users\stu\Documents\GitHub\eaglep3-reporting\EC\2017-06-03-refined-times.txt</v>
      </c>
      <c r="AI194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{"issue":{"subject":"","project_id":79,"tracker_id":40,"status_id":1,"priority_id":2,"assigned_to_id":23,"start_date":"2017-06-03","description":"","custom_fields":[{"id":1,"name":"Subdivision","value":"Other"},{"id":4,"name":"Milepost","value":"0.0129"},{"id":17,"name":"Train ID","value":"300-03"},{"id":16,"name":"Locomotive ID","value":"4023"},{"id":130,"name":"Impact","value":""},{"id":150,"name":"Time of Event (Mountain Time)","value":"02:59:17"},{"id":151,"name":"Denver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64"/>
        <v>start /low /b %USERPROFILE%\Documents\GitHub\eaglep3\Utilities\DownloadLogsFromS3.py --loco 4023 --day 2017-06-03</v>
      </c>
      <c r="AN194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08:59:17"},{"id":29,"name":"Sharepoint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853</v>
      </c>
      <c r="B195" s="7">
        <v>4001</v>
      </c>
      <c r="C195" s="21" t="s">
        <v>204</v>
      </c>
      <c r="D195" s="21" t="s">
        <v>962</v>
      </c>
      <c r="E195" s="13">
        <v>42890.112361111111</v>
      </c>
      <c r="F195" s="13">
        <v>42890.117118055554</v>
      </c>
      <c r="G195" s="7">
        <v>6</v>
      </c>
      <c r="H195" s="21" t="s">
        <v>963</v>
      </c>
      <c r="I195" s="13">
        <v>42890.118020833332</v>
      </c>
      <c r="J195" s="7">
        <v>0</v>
      </c>
      <c r="K195" s="92" t="str">
        <f t="shared" si="50"/>
        <v>4001/4002</v>
      </c>
      <c r="L195" s="21" t="str">
        <f>VLOOKUP(A195,'Trips&amp;Operators'!$C$1:$G$99999,5,FALSE)</f>
        <v>MAELZER KURT</v>
      </c>
      <c r="M195" s="6">
        <f t="shared" si="51"/>
        <v>9.0277777781011537E-4</v>
      </c>
      <c r="N195" s="7">
        <f t="shared" si="71"/>
        <v>1.3000000000465661</v>
      </c>
      <c r="O195" s="7"/>
      <c r="P195" s="7"/>
      <c r="Q195" s="22"/>
      <c r="R195" s="173"/>
      <c r="S195" s="176">
        <f t="shared" si="69"/>
        <v>0</v>
      </c>
      <c r="T195" s="202" t="str">
        <f t="shared" si="52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203" t="str">
        <f t="shared" si="53"/>
        <v>https://d0f6bd738d7f1b3e5a7ca70fe4ff75f0.us-east-1.aws.found.io/app/kibana#/discover/Steve-Slow-Train-Analysis-(2080s-and-2083s)?_g=(refreshInterval:(display:Off,pause:!f,section:0,value:0),time:(from:'2017-06-04T01:41:48-0600',mode:absolute,to:'2017-06-04T03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204" t="str">
        <f t="shared" si="54"/>
        <v>Y</v>
      </c>
      <c r="X195" s="204">
        <f t="shared" si="55"/>
        <v>0</v>
      </c>
      <c r="Y195" s="204">
        <f t="shared" si="70"/>
        <v>2.1884000000000001</v>
      </c>
      <c r="Z195" s="204">
        <f t="shared" si="56"/>
        <v>2</v>
      </c>
      <c r="AA195" s="204">
        <f t="shared" si="57"/>
        <v>0.18840000000000012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8"/>
        <v>0300-04</v>
      </c>
      <c r="AE195" s="80" t="str">
        <f t="shared" si="59"/>
        <v>aws s3 cp s3://rtdc.mdm.uploadarchive.raw/RTDC4001/ "%USERPROFILE%\AppData\Local\Temp\OnboardLogs"\RTDC4001\2017-06-04 --exclude "*" --recursive --include "*20170604*" &amp; "%USERPROFILE%\Documents\GitHub\mrs-test-scripts\Headless Mode &amp; Sideloading\WalkAndUnGZ.bat" "%USERPROFILE%\AppData\Local\Temp\OnboardLogs"\RTDC4001\2017-06-04 &amp; aws s3 cp s3://rtdc.mdm.uploadarchive.raw/RTDC4001/ "%USERPROFILE%\AppData\Local\Temp\OnboardLogs"\RTDC4001\2017-06-05 --exclude "*" --recursive --include "*20170605*" &amp; "%USERPROFILE%\Documents\GitHub\mrs-test-scripts\Headless Mode &amp; Sideloading\WalkAndUnGZ.bat" "%USERPROFILE%\AppData\Local\Temp\OnboardLogs"\RTDC4001\2017-06-05</v>
      </c>
      <c r="AF195" s="77" t="str">
        <f t="shared" si="60"/>
        <v>"C:\Program Files (x86)\AstroGrep\AstroGrep.exe" /e /r /s /spath="%USERPROFILE%\AppData\Local\Temp\OnboardLogs" /stypes="app*4001*20170604*" /stext=" 08:.+((SYSTEM_STATE.+slice.+state.+changed )|(ment ac)|(multiple cpu faults)|(system.+state.+changed )|(\[timeout)|(PRM\|1\|D)|(kpr)|(kdp)|(train st.+moving)|(\|lc)|(penalty))"</v>
      </c>
      <c r="AG195" s="1" t="str">
        <f t="shared" si="61"/>
        <v>Other</v>
      </c>
      <c r="AH195" s="81" t="str">
        <f t="shared" si="62"/>
        <v>"%USERPROFILE%\Documents\GitHub\eaglep3\Utilities\RefineRTDCRunTimes.py" --tripid 300-04 --locoid 4001 --swversion DE.1.0.9.0 --startMP 300:21884 --initTime 2017-06-04T02:41:48 --startdatetime 2017-06-04T02:48:39 --delay 6 --endMP 300:20000 --enddatetime 2017-06-04T02:49:57 --enforcementcount 0 &gt;&gt;C:\Users\stu\Documents\GitHub\eaglep3-reporting\EC\2017-06-03-refined-times.txt</v>
      </c>
      <c r="AI195" s="99" t="str">
        <f t="shared" si="63"/>
        <v>echo {"issue":{"subject":"","project_id":79,"tracker_id":40,"status_id":1,"priority_id":2,"assigned_to_id":23,"start_date":"2017-06-04","description":"","custom_fields":[{"id":1,"name":"Subdivision","value":"Other"},{"id":4,"name":"Milepost","value":"2"},{"id":17,"name":"Train ID","value":"300-04"},{"id":16,"name":"Locomotive ID","value":"4001"},{"id":130,"name":"Impact","value":""},{"id":150,"name":"Time of Event (Mountain Time)","value":"02:49:57"},{"id":151,"name":"Denver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4"/>
        <v>start /low /b %USERPROFILE%\Documents\GitHub\eaglep3\Utilities\DownloadLogsFromS3.py --loco 4001 --day 2017-06-04</v>
      </c>
      <c r="AN195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661</v>
      </c>
      <c r="B196" s="7">
        <v>4009</v>
      </c>
      <c r="C196" s="21" t="s">
        <v>204</v>
      </c>
      <c r="D196" s="21" t="s">
        <v>964</v>
      </c>
      <c r="E196" s="13">
        <v>42889.137129629627</v>
      </c>
      <c r="F196" s="13">
        <v>42889.14099537037</v>
      </c>
      <c r="G196" s="7">
        <v>5</v>
      </c>
      <c r="H196" s="21" t="s">
        <v>440</v>
      </c>
      <c r="I196" s="13">
        <v>42889.147013888891</v>
      </c>
      <c r="J196" s="7">
        <v>0</v>
      </c>
      <c r="K196" s="92" t="str">
        <f t="shared" si="50"/>
        <v>4009/4010</v>
      </c>
      <c r="L196" s="21" t="str">
        <f>VLOOKUP(A196,'Trips&amp;Operators'!$C$1:$G$99999,5,FALSE)</f>
        <v>WILLIAMS DONTE</v>
      </c>
      <c r="M196" s="6">
        <f t="shared" si="51"/>
        <v>6.0185185211594217E-3</v>
      </c>
      <c r="N196" s="7">
        <f t="shared" si="71"/>
        <v>8.6666666704695672</v>
      </c>
      <c r="O196" s="7"/>
      <c r="P196" s="7"/>
      <c r="Q196" s="22"/>
      <c r="R196" s="173"/>
      <c r="S196" s="176">
        <f t="shared" si="69"/>
        <v>1</v>
      </c>
      <c r="T196" s="202" t="str">
        <f t="shared" si="52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3"/>
        <v>https://d0f6bd738d7f1b3e5a7ca70fe4ff75f0.us-east-1.aws.found.io/app/kibana#/discover/Steve-Slow-Train-Analysis-(2080s-and-2083s)?_g=(refreshInterval:(display:Off,pause:!f,section:0,value:0),time:(from:'2017-06-03T02:17:28-0600',mode:absolute,to:'2017-06-03T04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6" s="204" t="str">
        <f t="shared" si="54"/>
        <v>Y</v>
      </c>
      <c r="X196" s="204">
        <f t="shared" si="55"/>
        <v>2</v>
      </c>
      <c r="Y196" s="204">
        <f t="shared" si="70"/>
        <v>2.3264</v>
      </c>
      <c r="Z196" s="204">
        <f t="shared" si="56"/>
        <v>1.4500000000000001E-2</v>
      </c>
      <c r="AA196" s="204">
        <f t="shared" si="57"/>
        <v>2.3119000000000001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8"/>
        <v>0302-03</v>
      </c>
      <c r="AE196" s="80" t="str">
        <f t="shared" si="59"/>
        <v>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 &amp; 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</v>
      </c>
      <c r="AF196" s="77" t="str">
        <f t="shared" si="60"/>
        <v>"C:\Program Files (x86)\AstroGrep\AstroGrep.exe" /e /r /s /spath="%USERPROFILE%\AppData\Local\Temp\OnboardLogs" /stypes="app*4009*20170603*" /stext=" 09:.+((SYSTEM_STATE.+slice.+state.+changed )|(ment ac)|(multiple cpu faults)|(system.+state.+changed )|(\[timeout)|(PRM\|1\|D)|(kpr)|(kdp)|(train st.+moving)|(\|lc)|(penalty))"</v>
      </c>
      <c r="AG196" s="1" t="str">
        <f t="shared" si="61"/>
        <v>Other</v>
      </c>
      <c r="AH196" s="81" t="str">
        <f t="shared" si="62"/>
        <v>"%USERPROFILE%\Documents\GitHub\eaglep3\Utilities\RefineRTDCRunTimes.py" --tripid 302-03 --locoid 4009 --swversion DE.1.0.9.0 --startMP 300:23264 --initTime 2017-06-03T03:17:28 --startdatetime 2017-06-03T03:23:02 --delay 5 --endMP 204:145 --enddatetime 2017-06-03T03:31:42 --enforcementcount 0 &gt;&gt;C:\Users\stu\Documents\GitHub\eaglep3-reporting\EC\2017-06-03-refined-times.txt</v>
      </c>
      <c r="AI196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{"issue":{"subject":"","project_id":79,"tracker_id":40,"status_id":1,"priority_id":2,"assigned_to_id":23,"start_date":"2017-06-03","description":"","custom_fields":[{"id":1,"name":"Subdivision","value":"Other"},{"id":4,"name":"Milepost","value":"0.0145"},{"id":17,"name":"Train ID","value":"302-03"},{"id":16,"name":"Locomotive ID","value":"4009"},{"id":130,"name":"Impact","value":""},{"id":150,"name":"Time of Event (Mountain Time)","value":"03:31:42"},{"id":151,"name":"Denver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4"/>
        <v>start /low /b %USERPROFILE%\Documents\GitHub\eaglep3\Utilities\DownloadLogsFromS3.py --loco 4009 --day 2017-06-03</v>
      </c>
      <c r="AN196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09:31:42"},{"id":29,"name":"Sharepoint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815</v>
      </c>
      <c r="B197" s="7">
        <v>4050</v>
      </c>
      <c r="C197" s="21" t="s">
        <v>204</v>
      </c>
      <c r="D197" s="21" t="s">
        <v>482</v>
      </c>
      <c r="E197" s="13">
        <v>42889.798946759256</v>
      </c>
      <c r="F197" s="13">
        <v>42889.802268518521</v>
      </c>
      <c r="G197" s="7">
        <v>1</v>
      </c>
      <c r="H197" s="21" t="s">
        <v>602</v>
      </c>
      <c r="I197" s="13">
        <v>42889.808969907404</v>
      </c>
      <c r="J197" s="7">
        <v>0</v>
      </c>
      <c r="K197" s="92" t="str">
        <f t="shared" si="50"/>
        <v>4049/4050</v>
      </c>
      <c r="L197" s="21" t="str">
        <f>VLOOKUP(A197,'Trips&amp;Operators'!$C$1:$G$99999,5,FALSE)</f>
        <v>DELGADO DIANAH</v>
      </c>
      <c r="M197" s="6">
        <f t="shared" si="51"/>
        <v>6.7013888838118874E-3</v>
      </c>
      <c r="N197" s="7">
        <f t="shared" si="71"/>
        <v>9.6499999926891178</v>
      </c>
      <c r="O197" s="7"/>
      <c r="P197" s="7"/>
      <c r="Q197" s="22"/>
      <c r="R197" s="173"/>
      <c r="S197" s="176">
        <f t="shared" si="69"/>
        <v>1</v>
      </c>
      <c r="T197" s="202" t="str">
        <f t="shared" si="52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3"/>
        <v>https://d0f6bd738d7f1b3e5a7ca70fe4ff75f0.us-east-1.aws.found.io/app/kibana#/discover/Steve-Slow-Train-Analysis-(2080s-and-2083s)?_g=(refreshInterval:(display:Off,pause:!f,section:0,value:0),time:(from:'2017-06-03T18:10:29-0600',mode:absolute,to:'2017-06-03T20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7" s="204" t="str">
        <f t="shared" si="54"/>
        <v>Y</v>
      </c>
      <c r="X197" s="204">
        <f t="shared" si="55"/>
        <v>1</v>
      </c>
      <c r="Y197" s="204">
        <f t="shared" si="70"/>
        <v>4.7500000000000001E-2</v>
      </c>
      <c r="Z197" s="204">
        <f t="shared" si="56"/>
        <v>2.3306</v>
      </c>
      <c r="AA197" s="204">
        <f t="shared" si="57"/>
        <v>2.2831000000000001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8"/>
        <v>0303-03</v>
      </c>
      <c r="AE197" s="80" t="str">
        <f t="shared" si="59"/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AF197" s="77" t="str">
        <f t="shared" si="60"/>
        <v>"C:\Program Files (x86)\AstroGrep\AstroGrep.exe" /e /r /s /spath="%USERPROFILE%\AppData\Local\Temp\OnboardLogs" /stypes="app*4050*20170604*" /stext=" 01:.+((SYSTEM_STATE.+slice.+state.+changed )|(ment ac)|(multiple cpu faults)|(system.+state.+changed )|(\[timeout)|(PRM\|1\|D)|(kpr)|(kdp)|(train st.+moving)|(\|lc)|(penalty))"</v>
      </c>
      <c r="AG197" s="1" t="str">
        <f t="shared" si="61"/>
        <v>Other</v>
      </c>
      <c r="AH197" s="81" t="str">
        <f t="shared" si="62"/>
        <v>"%USERPROFILE%\Documents\GitHub\eaglep3\Utilities\RefineRTDCRunTimes.py" --tripid 303-03 --locoid 4050 --swversion DE.1.0.9.0 --startMP 204:475 --initTime 2017-06-03T19:10:29 --startdatetime 2017-06-03T19:15:16 --delay 1 --endMP 300:23306 --enddatetime 2017-06-03T19:24:55 --enforcementcount 0 &gt;&gt;C:\Users\stu\Documents\GitHub\eaglep3-reporting\EC\2017-06-03-refined-times.txt</v>
      </c>
      <c r="AI197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{"issue":{"subject":"","project_id":79,"tracker_id":40,"status_id":1,"priority_id":2,"assigned_to_id":23,"start_date":"2017-06-03","description":"","custom_fields":[{"id":1,"name":"Subdivision","value":"Other"},{"id":4,"name":"Milepost","value":"2.3306"},{"id":17,"name":"Train ID","value":"303-03"},{"id":16,"name":"Locomotive ID","value":"4050"},{"id":130,"name":"Impact","value":""},{"id":150,"name":"Time of Event (Mountain Time)","value":"19:24:55"},{"id":151,"name":"Denver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4"/>
        <v>start /low /b %USERPROFILE%\Documents\GitHub\eaglep3\Utilities\DownloadLogsFromS3.py --loco 4050 --day 2017-06-03</v>
      </c>
      <c r="AN197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663</v>
      </c>
      <c r="B198" s="7">
        <v>4025</v>
      </c>
      <c r="C198" s="21" t="s">
        <v>204</v>
      </c>
      <c r="D198" s="21" t="s">
        <v>965</v>
      </c>
      <c r="E198" s="13">
        <v>42889.153449074074</v>
      </c>
      <c r="F198" s="13">
        <v>42889.160578703704</v>
      </c>
      <c r="G198" s="7">
        <v>10</v>
      </c>
      <c r="H198" s="21" t="s">
        <v>352</v>
      </c>
      <c r="I198" s="13">
        <v>42889.166030092594</v>
      </c>
      <c r="J198" s="7">
        <v>0</v>
      </c>
      <c r="K198" s="92" t="str">
        <f t="shared" si="50"/>
        <v>4025/4026</v>
      </c>
      <c r="L198" s="21" t="str">
        <f>VLOOKUP(A198,'Trips&amp;Operators'!$C$1:$G$99999,5,FALSE)</f>
        <v>DAVIS WENDY</v>
      </c>
      <c r="M198" s="6">
        <f t="shared" si="51"/>
        <v>5.4513888899236917E-3</v>
      </c>
      <c r="N198" s="7">
        <f t="shared" si="71"/>
        <v>7.8500000014901161</v>
      </c>
      <c r="O198" s="7"/>
      <c r="P198" s="7"/>
      <c r="Q198" s="22"/>
      <c r="R198" s="173"/>
      <c r="S198" s="176">
        <f t="shared" si="69"/>
        <v>1</v>
      </c>
      <c r="T198" s="202" t="str">
        <f t="shared" si="52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3"/>
        <v>https://d0f6bd738d7f1b3e5a7ca70fe4ff75f0.us-east-1.aws.found.io/app/kibana#/discover/Steve-Slow-Train-Analysis-(2080s-and-2083s)?_g=(refreshInterval:(display:Off,pause:!f,section:0,value:0),time:(from:'2017-06-03T02:40:58-0600',mode:absolute,to:'2017-06-03T04:59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204" t="str">
        <f t="shared" si="54"/>
        <v>Y</v>
      </c>
      <c r="X198" s="204">
        <f t="shared" si="55"/>
        <v>1</v>
      </c>
      <c r="Y198" s="204">
        <f t="shared" si="70"/>
        <v>2.2726000000000002</v>
      </c>
      <c r="Z198" s="204">
        <f t="shared" si="56"/>
        <v>1.4999999999999999E-2</v>
      </c>
      <c r="AA198" s="204">
        <f t="shared" si="57"/>
        <v>2.2576000000000001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8"/>
        <v>0304-03</v>
      </c>
      <c r="AE198" s="80" t="str">
        <f t="shared" si="59"/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AF198" s="77" t="str">
        <f t="shared" si="60"/>
        <v>"C:\Program Files (x86)\AstroGrep\AstroGrep.exe" /e /r /s /spath="%USERPROFILE%\AppData\Local\Temp\OnboardLogs" /stypes="app*4025*20170603*" /stext=" 09:.+((SYSTEM_STATE.+slice.+state.+changed )|(ment ac)|(multiple cpu faults)|(system.+state.+changed )|(\[timeout)|(PRM\|1\|D)|(kpr)|(kdp)|(train st.+moving)|(\|lc)|(penalty))"</v>
      </c>
      <c r="AG198" s="1" t="str">
        <f t="shared" si="61"/>
        <v>Other</v>
      </c>
      <c r="AH198" s="81" t="str">
        <f t="shared" si="62"/>
        <v>"%USERPROFILE%\Documents\GitHub\eaglep3\Utilities\RefineRTDCRunTimes.py" --tripid 304-03 --locoid 4025 --swversion DE.1.0.9.0 --startMP 300:22726 --initTime 2017-06-03T03:40:58 --startdatetime 2017-06-03T03:51:14 --delay 10 --endMP 204:150 --enddatetime 2017-06-03T03:59:05 --enforcementcount 0 &gt;&gt;C:\Users\stu\Documents\GitHub\eaglep3-reporting\EC\2017-06-03-refined-times.txt</v>
      </c>
      <c r="AI198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{"issue":{"subject":"","project_id":79,"tracker_id":40,"status_id":1,"priority_id":2,"assigned_to_id":23,"start_date":"2017-06-03","description":"","custom_fields":[{"id":1,"name":"Subdivision","value":"Other"},{"id":4,"name":"Milepost","value":"0.015"},{"id":17,"name":"Train ID","value":"304-03"},{"id":16,"name":"Locomotive ID","value":"4025"},{"id":130,"name":"Impact","value":""},{"id":150,"name":"Time of Event (Mountain Time)","value":"03:59:05"},{"id":151,"name":"Denver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4"/>
        <v>start /low /b %USERPROFILE%\Documents\GitHub\eaglep3\Utilities\DownloadLogsFromS3.py --loco 4025 --day 2017-06-03</v>
      </c>
      <c r="AN198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09:59:05"},{"id":29,"name":"Sharepoint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820</v>
      </c>
      <c r="B199" s="7">
        <v>4032</v>
      </c>
      <c r="C199" s="21" t="s">
        <v>204</v>
      </c>
      <c r="D199" s="21" t="s">
        <v>345</v>
      </c>
      <c r="E199" s="13">
        <v>42889.8202662037</v>
      </c>
      <c r="F199" s="13">
        <v>42889.823298611111</v>
      </c>
      <c r="G199" s="7">
        <v>1</v>
      </c>
      <c r="H199" s="21" t="s">
        <v>966</v>
      </c>
      <c r="I199" s="13">
        <v>42889.830370370371</v>
      </c>
      <c r="J199" s="7">
        <v>0</v>
      </c>
      <c r="K199" s="92" t="str">
        <f t="shared" si="50"/>
        <v>4031/4032</v>
      </c>
      <c r="L199" s="21" t="str">
        <f>VLOOKUP(A199,'Trips&amp;Operators'!$C$1:$G$99999,5,FALSE)</f>
        <v>HOLCOMB KAMDEN</v>
      </c>
      <c r="M199" s="6">
        <f t="shared" si="51"/>
        <v>7.07175926072523E-3</v>
      </c>
      <c r="N199" s="7">
        <f t="shared" si="71"/>
        <v>10.183333335444331</v>
      </c>
      <c r="O199" s="7"/>
      <c r="P199" s="7"/>
      <c r="Q199" s="22"/>
      <c r="R199" s="173"/>
      <c r="S199" s="176">
        <f t="shared" si="69"/>
        <v>1</v>
      </c>
      <c r="T199" s="202" t="str">
        <f t="shared" si="52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53"/>
        <v>https://d0f6bd738d7f1b3e5a7ca70fe4ff75f0.us-east-1.aws.found.io/app/kibana#/discover/Steve-Slow-Train-Analysis-(2080s-and-2083s)?_g=(refreshInterval:(display:Off,pause:!f,section:0,value:0),time:(from:'2017-06-03T18:41:11-0600',mode:absolute,to:'2017-06-03T20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04" t="str">
        <f t="shared" si="54"/>
        <v>Y</v>
      </c>
      <c r="X199" s="204">
        <f t="shared" si="55"/>
        <v>1</v>
      </c>
      <c r="Y199" s="204">
        <f t="shared" si="70"/>
        <v>4.4900000000000002E-2</v>
      </c>
      <c r="Z199" s="204">
        <f t="shared" si="56"/>
        <v>2.3308</v>
      </c>
      <c r="AA199" s="204">
        <f t="shared" si="57"/>
        <v>2.2858999999999998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8"/>
        <v>0305-03</v>
      </c>
      <c r="AE199" s="80" t="str">
        <f t="shared" si="59"/>
        <v>aws s3 cp s3://rtdc.mdm.uploadarchive.raw/RTDC4032/ "%USERPROFILE%\AppData\Local\Temp\OnboardLogs"\RTDC4032\2017-06-03 --exclude "*" --recursive --include "*20170603*" &amp; "%USERPROFILE%\Documents\GitHub\mrs-test-scripts\Headless Mode &amp; Sideloading\WalkAndUnGZ.bat" "%USERPROFILE%\AppData\Local\Temp\OnboardLogs"\RTDC4032\2017-06-03 &amp; aws s3 cp s3://rtdc.mdm.uploadarchive.raw/RTDC4032/ "%USERPROFILE%\AppData\Local\Temp\OnboardLogs"\RTDC4032\2017-06-04 --exclude "*" --recursive --include "*20170604*" &amp; "%USERPROFILE%\Documents\GitHub\mrs-test-scripts\Headless Mode &amp; Sideloading\WalkAndUnGZ.bat" "%USERPROFILE%\AppData\Local\Temp\OnboardLogs"\RTDC4032\2017-06-04</v>
      </c>
      <c r="AF199" s="77" t="str">
        <f t="shared" si="60"/>
        <v>"C:\Program Files (x86)\AstroGrep\AstroGrep.exe" /e /r /s /spath="%USERPROFILE%\AppData\Local\Temp\OnboardLogs" /stypes="app*4032*20170604*" /stext=" 01:.+((SYSTEM_STATE.+slice.+state.+changed )|(ment ac)|(multiple cpu faults)|(system.+state.+changed )|(\[timeout)|(PRM\|1\|D)|(kpr)|(kdp)|(train st.+moving)|(\|lc)|(penalty))"</v>
      </c>
      <c r="AG199" s="1" t="str">
        <f t="shared" si="61"/>
        <v>Other</v>
      </c>
      <c r="AH199" s="81" t="str">
        <f t="shared" si="62"/>
        <v>"%USERPROFILE%\Documents\GitHub\eaglep3\Utilities\RefineRTDCRunTimes.py" --tripid 305-03 --locoid 4032 --swversion DE.1.0.9.0 --startMP 204:449 --initTime 2017-06-03T19:41:11 --startdatetime 2017-06-03T19:45:33 --delay 1 --endMP 300:23308 --enddatetime 2017-06-03T19:55:44 --enforcementcount 0 &gt;&gt;C:\Users\stu\Documents\GitHub\eaglep3-reporting\EC\2017-06-03-refined-times.txt</v>
      </c>
      <c r="AI199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{"issue":{"subject":"","project_id":79,"tracker_id":40,"status_id":1,"priority_id":2,"assigned_to_id":23,"start_date":"2017-06-03","description":"","custom_fields":[{"id":1,"name":"Subdivision","value":"Other"},{"id":4,"name":"Milepost","value":"2.3308"},{"id":17,"name":"Train ID","value":"305-03"},{"id":16,"name":"Locomotive ID","value":"4032"},{"id":130,"name":"Impact","value":""},{"id":150,"name":"Time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4"/>
        <v>start /low /b %USERPROFILE%\Documents\GitHub\eaglep3\Utilities\DownloadLogsFromS3.py --loco 4032 --day 2017-06-03</v>
      </c>
      <c r="AN199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01:55:44"},{"id":29,"name":"Sharepoint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664</v>
      </c>
      <c r="B200" s="7">
        <v>4013</v>
      </c>
      <c r="C200" s="21" t="s">
        <v>204</v>
      </c>
      <c r="D200" s="21" t="s">
        <v>967</v>
      </c>
      <c r="E200" s="13">
        <v>42889.164513888885</v>
      </c>
      <c r="F200" s="13">
        <v>42889.16883101852</v>
      </c>
      <c r="G200" s="7">
        <v>6</v>
      </c>
      <c r="H200" s="21" t="s">
        <v>361</v>
      </c>
      <c r="I200" s="13">
        <v>42889.173935185187</v>
      </c>
      <c r="J200" s="7">
        <v>0</v>
      </c>
      <c r="K200" s="92" t="str">
        <f t="shared" si="50"/>
        <v>4013/4014</v>
      </c>
      <c r="L200" s="21" t="str">
        <f>VLOOKUP(A200,'Trips&amp;Operators'!$C$1:$G$99999,5,FALSE)</f>
        <v>GEBRETEKLE DAGNEW</v>
      </c>
      <c r="M200" s="6">
        <f t="shared" si="51"/>
        <v>5.1041666665696539E-3</v>
      </c>
      <c r="N200" s="7">
        <f t="shared" si="71"/>
        <v>7.3499999998603016</v>
      </c>
      <c r="O200" s="7"/>
      <c r="P200" s="7"/>
      <c r="Q200" s="22"/>
      <c r="R200" s="173"/>
      <c r="S200" s="176">
        <f t="shared" si="69"/>
        <v>1</v>
      </c>
      <c r="T200" s="202" t="str">
        <f t="shared" si="52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53"/>
        <v>https://d0f6bd738d7f1b3e5a7ca70fe4ff75f0.us-east-1.aws.found.io/app/kibana#/discover/Steve-Slow-Train-Analysis-(2080s-and-2083s)?_g=(refreshInterval:(display:Off,pause:!f,section:0,value:0),time:(from:'2017-06-03T02:56:54-0600',mode:absolute,to:'2017-06-03T05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0" s="204" t="str">
        <f t="shared" si="54"/>
        <v>Y</v>
      </c>
      <c r="X200" s="204">
        <f t="shared" si="55"/>
        <v>1</v>
      </c>
      <c r="Y200" s="204">
        <f t="shared" si="70"/>
        <v>2.3605</v>
      </c>
      <c r="Z200" s="204">
        <f t="shared" si="56"/>
        <v>1.3899999999999999E-2</v>
      </c>
      <c r="AA200" s="204">
        <f t="shared" si="57"/>
        <v>2.3466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8"/>
        <v>0306-03</v>
      </c>
      <c r="AE200" s="80" t="str">
        <f t="shared" si="59"/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AF200" s="77" t="str">
        <f t="shared" si="60"/>
        <v>"C:\Program Files (x86)\AstroGrep\AstroGrep.exe" /e /r /s /spath="%USERPROFILE%\AppData\Local\Temp\OnboardLogs" /stypes="app*4013*20170603*" /stext=" 10:.+((SYSTEM_STATE.+slice.+state.+changed )|(ment ac)|(multiple cpu faults)|(system.+state.+changed )|(\[timeout)|(PRM\|1\|D)|(kpr)|(kdp)|(train st.+moving)|(\|lc)|(penalty))"</v>
      </c>
      <c r="AG200" s="1" t="str">
        <f t="shared" si="61"/>
        <v>Other</v>
      </c>
      <c r="AH200" s="81" t="str">
        <f t="shared" si="62"/>
        <v>"%USERPROFILE%\Documents\GitHub\eaglep3\Utilities\RefineRTDCRunTimes.py" --tripid 306-03 --locoid 4013 --swversion DE.1.0.9.0 --startMP 300:23605 --initTime 2017-06-03T03:56:54 --startdatetime 2017-06-03T04:03:07 --delay 6 --endMP 204:139 --enddatetime 2017-06-03T04:10:28 --enforcementcount 0 &gt;&gt;C:\Users\stu\Documents\GitHub\eaglep3-reporting\EC\2017-06-03-refined-times.txt</v>
      </c>
      <c r="AI200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{"issue":{"subject":"","project_id":79,"tracker_id":40,"status_id":1,"priority_id":2,"assigned_to_id":23,"start_date":"2017-06-03","description":"","custom_fields":[{"id":1,"name":"Subdivision","value":"Other"},{"id":4,"name":"Milepost","value":"0.0139"},{"id":17,"name":"Train ID","value":"306-03"},{"id":16,"name":"Locomotive ID","value":"4013"},{"id":130,"name":"Impact","value":""},{"id":150,"name":"Time of Event (Mountain Time)","value":"04:10:28"},{"id":151,"name":"Denver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4"/>
        <v>start /low /b %USERPROFILE%\Documents\GitHub\eaglep3\Utilities\DownloadLogsFromS3.py --loco 4013 --day 2017-06-03</v>
      </c>
      <c r="AN200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10:10:28"},{"id":29,"name":"Sharepoint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847</v>
      </c>
      <c r="B201" s="7">
        <v>4010</v>
      </c>
      <c r="C201" s="21" t="s">
        <v>204</v>
      </c>
      <c r="D201" s="21" t="s">
        <v>351</v>
      </c>
      <c r="E201" s="13">
        <v>42890.047418981485</v>
      </c>
      <c r="F201" s="13">
        <v>42890.049131944441</v>
      </c>
      <c r="G201" s="7">
        <v>1</v>
      </c>
      <c r="H201" s="21" t="s">
        <v>966</v>
      </c>
      <c r="I201" s="13">
        <v>42890.05773148148</v>
      </c>
      <c r="J201" s="7">
        <v>0</v>
      </c>
      <c r="K201" s="92" t="str">
        <f t="shared" si="50"/>
        <v>4009/4010</v>
      </c>
      <c r="L201" s="21" t="str">
        <f>VLOOKUP(A201,'Trips&amp;Operators'!$C$1:$G$99999,5,FALSE)</f>
        <v>YANG JAN</v>
      </c>
      <c r="M201" s="6">
        <f t="shared" si="51"/>
        <v>8.599537039117422E-3</v>
      </c>
      <c r="N201" s="7">
        <f t="shared" si="71"/>
        <v>12.383333336329088</v>
      </c>
      <c r="O201" s="7"/>
      <c r="P201" s="7"/>
      <c r="Q201" s="22"/>
      <c r="R201" s="173"/>
      <c r="S201" s="176">
        <f t="shared" si="69"/>
        <v>1</v>
      </c>
      <c r="T201" s="202" t="str">
        <f t="shared" si="52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3"/>
        <v>https://d0f6bd738d7f1b3e5a7ca70fe4ff75f0.us-east-1.aws.found.io/app/kibana#/discover/Steve-Slow-Train-Analysis-(2080s-and-2083s)?_g=(refreshInterval:(display:Off,pause:!f,section:0,value:0),time:(from:'2017-06-04T00:08:17-0600',mode:absolute,to:'2017-06-04T02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1" s="204" t="str">
        <f t="shared" si="54"/>
        <v>Y</v>
      </c>
      <c r="X201" s="204">
        <f t="shared" si="55"/>
        <v>1</v>
      </c>
      <c r="Y201" s="204">
        <f t="shared" si="70"/>
        <v>4.58E-2</v>
      </c>
      <c r="Z201" s="204">
        <f t="shared" si="56"/>
        <v>2.3308</v>
      </c>
      <c r="AA201" s="204">
        <f t="shared" si="57"/>
        <v>2.2850000000000001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8"/>
        <v>0307-03</v>
      </c>
      <c r="AE201" s="80" t="str">
        <f t="shared" si="59"/>
        <v>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 &amp; 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</v>
      </c>
      <c r="AF201" s="77" t="str">
        <f t="shared" si="60"/>
        <v>"C:\Program Files (x86)\AstroGrep\AstroGrep.exe" /e /r /s /spath="%USERPROFILE%\AppData\Local\Temp\OnboardLogs" /stypes="app*4010*20170604*" /stext=" 07:.+((SYSTEM_STATE.+slice.+state.+changed )|(ment ac)|(multiple cpu faults)|(system.+state.+changed )|(\[timeout)|(PRM\|1\|D)|(kpr)|(kdp)|(train st.+moving)|(\|lc)|(penalty))"</v>
      </c>
      <c r="AG201" s="1" t="str">
        <f t="shared" si="61"/>
        <v>Other</v>
      </c>
      <c r="AH201" s="81" t="str">
        <f t="shared" si="62"/>
        <v>"%USERPROFILE%\Documents\GitHub\eaglep3\Utilities\RefineRTDCRunTimes.py" --tripid 307-03 --locoid 4010 --swversion DE.1.0.9.0 --startMP 204:458 --initTime 2017-06-04T01:08:17 --startdatetime 2017-06-04T01:10:45 --delay 1 --endMP 300:23308 --enddatetime 2017-06-04T01:23:08 --enforcementcount 0 &gt;&gt;C:\Users\stu\Documents\GitHub\eaglep3-reporting\EC\2017-06-03-refined-times.txt</v>
      </c>
      <c r="AI201" s="99" t="str">
        <f t="shared" si="63"/>
        <v>echo {"issue":{"subject":"","project_id":79,"tracker_id":40,"status_id":1,"priority_id":2,"assigned_to_id":23,"start_date":"2017-06-04","description":"","custom_fields":[{"id":1,"name":"Subdivision","value":"Other"},{"id":4,"name":"Milepost","value":"2.3308"},{"id":17,"name":"Train ID","value":"307-03"},{"id":16,"name":"Locomotive ID","value":"4010"},{"id":130,"name":"Impact","value":""},{"id":150,"name":"Time of Event (Mountain Time)","value":"01:23:08"},{"id":151,"name":"Denver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5" t="str">
        <f t="shared" si="64"/>
        <v>start /low /b %USERPROFILE%\Documents\GitHub\eaglep3\Utilities\DownloadLogsFromS3.py --loco 4010 --day 2017-06-04</v>
      </c>
      <c r="AN201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07:23:08"},{"id":29,"name":"Sharepoint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668</v>
      </c>
      <c r="B202" s="7">
        <v>4003</v>
      </c>
      <c r="C202" s="21" t="s">
        <v>204</v>
      </c>
      <c r="D202" s="21" t="s">
        <v>968</v>
      </c>
      <c r="E202" s="13">
        <v>42889.182939814818</v>
      </c>
      <c r="F202" s="13">
        <v>42889.186793981484</v>
      </c>
      <c r="G202" s="7">
        <v>5</v>
      </c>
      <c r="H202" s="21" t="s">
        <v>493</v>
      </c>
      <c r="I202" s="13">
        <v>42889.191874999997</v>
      </c>
      <c r="J202" s="7">
        <v>0</v>
      </c>
      <c r="K202" s="92" t="str">
        <f t="shared" si="50"/>
        <v>4003/4004</v>
      </c>
      <c r="L202" s="21" t="str">
        <f>VLOOKUP(A202,'Trips&amp;Operators'!$C$1:$G$99999,5,FALSE)</f>
        <v>LALONDE GREGORY</v>
      </c>
      <c r="M202" s="6">
        <f t="shared" si="51"/>
        <v>5.0810185130103491E-3</v>
      </c>
      <c r="N202" s="7">
        <f t="shared" si="71"/>
        <v>7.3166666587349027</v>
      </c>
      <c r="O202" s="7"/>
      <c r="P202" s="7"/>
      <c r="Q202" s="22"/>
      <c r="R202" s="173"/>
      <c r="S202" s="176">
        <f t="shared" si="69"/>
        <v>1</v>
      </c>
      <c r="T202" s="202" t="str">
        <f t="shared" si="52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53"/>
        <v>https://d0f6bd738d7f1b3e5a7ca70fe4ff75f0.us-east-1.aws.found.io/app/kibana#/discover/Steve-Slow-Train-Analysis-(2080s-and-2083s)?_g=(refreshInterval:(display:Off,pause:!f,section:0,value:0),time:(from:'2017-06-03T03:23:26-0600',mode:absolute,to:'2017-06-03T05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2" s="204" t="str">
        <f t="shared" si="54"/>
        <v>Y</v>
      </c>
      <c r="X202" s="204">
        <f t="shared" si="55"/>
        <v>1</v>
      </c>
      <c r="Y202" s="204">
        <f t="shared" si="70"/>
        <v>2.3449</v>
      </c>
      <c r="Z202" s="204">
        <f t="shared" si="56"/>
        <v>1.6299999999999999E-2</v>
      </c>
      <c r="AA202" s="204">
        <f t="shared" si="57"/>
        <v>2.3285999999999998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8"/>
        <v>0308-03</v>
      </c>
      <c r="AE202" s="80" t="str">
        <f t="shared" si="59"/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AF202" s="77" t="str">
        <f t="shared" si="60"/>
        <v>"C:\Program Files (x86)\AstroGrep\AstroGrep.exe" /e /r /s /spath="%USERPROFILE%\AppData\Local\Temp\OnboardLogs" /stypes="app*4003*20170603*" /stext=" 10:.+((SYSTEM_STATE.+slice.+state.+changed )|(ment ac)|(multiple cpu faults)|(system.+state.+changed )|(\[timeout)|(PRM\|1\|D)|(kpr)|(kdp)|(train st.+moving)|(\|lc)|(penalty))"</v>
      </c>
      <c r="AG202" s="1" t="str">
        <f t="shared" si="61"/>
        <v>Other</v>
      </c>
      <c r="AH202" s="81" t="str">
        <f t="shared" si="62"/>
        <v>"%USERPROFILE%\Documents\GitHub\eaglep3\Utilities\RefineRTDCRunTimes.py" --tripid 308-03 --locoid 4003 --swversion DE.1.0.9.0 --startMP 300:23449 --initTime 2017-06-03T04:23:26 --startdatetime 2017-06-03T04:28:59 --delay 5 --endMP 204:163 --enddatetime 2017-06-03T04:36:18 --enforcementcount 0 &gt;&gt;C:\Users\stu\Documents\GitHub\eaglep3-reporting\EC\2017-06-03-refined-times.txt</v>
      </c>
      <c r="AI202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{"issue":{"subject":"","project_id":79,"tracker_id":40,"status_id":1,"priority_id":2,"assigned_to_id":23,"start_date":"2017-06-03","description":"","custom_fields":[{"id":1,"name":"Subdivision","value":"Other"},{"id":4,"name":"Milepost","value":"0.0163"},{"id":17,"name":"Train ID","value":"308-03"},{"id":16,"name":"Locomotive ID","value":"4003"},{"id":130,"name":"Impact","value":""},{"id":150,"name":"Time of Event (Mountain Time)","value":"04:36:18"},{"id":151,"name":"Denver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4"/>
        <v>start /low /b %USERPROFILE%\Documents\GitHub\eaglep3\Utilities\DownloadLogsFromS3.py --loco 4003 --day 2017-06-03</v>
      </c>
      <c r="AN202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849</v>
      </c>
      <c r="B203" s="7">
        <v>4026</v>
      </c>
      <c r="C203" s="21" t="s">
        <v>204</v>
      </c>
      <c r="D203" s="21" t="s">
        <v>200</v>
      </c>
      <c r="E203" s="13">
        <v>42890.068124999998</v>
      </c>
      <c r="F203" s="13">
        <v>42890.070138888892</v>
      </c>
      <c r="G203" s="7">
        <v>1</v>
      </c>
      <c r="H203" s="21" t="s">
        <v>969</v>
      </c>
      <c r="I203" s="13">
        <v>42890.077951388892</v>
      </c>
      <c r="J203" s="7">
        <v>0</v>
      </c>
      <c r="K203" s="92" t="str">
        <f t="shared" si="50"/>
        <v>4025/4026</v>
      </c>
      <c r="L203" s="21" t="str">
        <f>VLOOKUP(A203,'Trips&amp;Operators'!$C$1:$G$99999,5,FALSE)</f>
        <v>PERKINS DARREN</v>
      </c>
      <c r="M203" s="6">
        <f t="shared" si="51"/>
        <v>7.8125E-3</v>
      </c>
      <c r="N203" s="7">
        <f t="shared" si="71"/>
        <v>11.25</v>
      </c>
      <c r="O203" s="7"/>
      <c r="P203" s="7"/>
      <c r="Q203" s="22"/>
      <c r="R203" s="173"/>
      <c r="S203" s="176">
        <f t="shared" si="69"/>
        <v>1</v>
      </c>
      <c r="T203" s="202" t="str">
        <f t="shared" si="52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53"/>
        <v>https://d0f6bd738d7f1b3e5a7ca70fe4ff75f0.us-east-1.aws.found.io/app/kibana#/discover/Steve-Slow-Train-Analysis-(2080s-and-2083s)?_g=(refreshInterval:(display:Off,pause:!f,section:0,value:0),time:(from:'2017-06-04T00:38:06-0600',mode:absolute,to:'2017-06-04T02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204" t="str">
        <f t="shared" si="54"/>
        <v>Y</v>
      </c>
      <c r="X203" s="204">
        <f t="shared" si="55"/>
        <v>1</v>
      </c>
      <c r="Y203" s="204">
        <f t="shared" si="70"/>
        <v>4.5699999999999998E-2</v>
      </c>
      <c r="Z203" s="204">
        <f t="shared" si="56"/>
        <v>2.3300999999999998</v>
      </c>
      <c r="AA203" s="204">
        <f t="shared" si="57"/>
        <v>2.2843999999999998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8"/>
        <v>0309-03</v>
      </c>
      <c r="AE203" s="80" t="str">
        <f t="shared" si="59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203" s="77" t="str">
        <f t="shared" si="60"/>
        <v>"C:\Program Files (x86)\AstroGrep\AstroGrep.exe" /e /r /s /spath="%USERPROFILE%\AppData\Local\Temp\OnboardLogs" /stypes="app*4026*20170604*" /stext=" 07:.+((SYSTEM_STATE.+slice.+state.+changed )|(ment ac)|(multiple cpu faults)|(system.+state.+changed )|(\[timeout)|(PRM\|1\|D)|(kpr)|(kdp)|(train st.+moving)|(\|lc)|(penalty))"</v>
      </c>
      <c r="AG203" s="1" t="str">
        <f t="shared" si="61"/>
        <v>Other</v>
      </c>
      <c r="AH203" s="81" t="str">
        <f t="shared" si="62"/>
        <v>"%USERPROFILE%\Documents\GitHub\eaglep3\Utilities\RefineRTDCRunTimes.py" --tripid 309-03 --locoid 4026 --swversion DE.1.0.9.0 --startMP 204:457 --initTime 2017-06-04T01:38:06 --startdatetime 2017-06-04T01:41:00 --delay 1 --endMP 300:23301 --enddatetime 2017-06-04T01:52:15 --enforcementcount 0 &gt;&gt;C:\Users\stu\Documents\GitHub\eaglep3-reporting\EC\2017-06-03-refined-times.txt</v>
      </c>
      <c r="AI203" s="99" t="str">
        <f t="shared" si="63"/>
        <v>echo {"issue":{"subject":"","project_id":79,"tracker_id":40,"status_id":1,"priority_id":2,"assigned_to_id":23,"start_date":"2017-06-04","description":"","custom_fields":[{"id":1,"name":"Subdivision","value":"Other"},{"id":4,"name":"Milepost","value":"2.3301"},{"id":17,"name":"Train ID","value":"309-03"},{"id":16,"name":"Locomotive ID","value":"4026"},{"id":130,"name":"Impact","value":""},{"id":150,"name":"Time of Event (Mountain Time)","value":"01:52:15"},{"id":151,"name":"Denver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64"/>
        <v>start /low /b %USERPROFILE%\Documents\GitHub\eaglep3\Utilities\DownloadLogsFromS3.py --loco 4026 --day 2017-06-04</v>
      </c>
      <c r="AN203" s="154" t="str">
        <f t="shared" si="65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07:52:15"},{"id":29,"name":"Sharepoint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673</v>
      </c>
      <c r="B204" s="7">
        <v>4049</v>
      </c>
      <c r="C204" s="21" t="s">
        <v>204</v>
      </c>
      <c r="D204" s="21" t="s">
        <v>970</v>
      </c>
      <c r="E204" s="13">
        <v>42889.202800925923</v>
      </c>
      <c r="F204" s="13">
        <v>42889.205370370371</v>
      </c>
      <c r="G204" s="7">
        <v>3</v>
      </c>
      <c r="H204" s="21" t="s">
        <v>195</v>
      </c>
      <c r="I204" s="13">
        <v>42889.211712962962</v>
      </c>
      <c r="J204" s="7">
        <v>0</v>
      </c>
      <c r="K204" s="92" t="str">
        <f t="shared" si="50"/>
        <v>4049/4050</v>
      </c>
      <c r="L204" s="21" t="str">
        <f>VLOOKUP(A204,'Trips&amp;Operators'!$C$1:$G$99999,5,FALSE)</f>
        <v>DAVIDSON DAVID</v>
      </c>
      <c r="M204" s="6">
        <f t="shared" si="51"/>
        <v>6.3425925909541547E-3</v>
      </c>
      <c r="N204" s="7">
        <f t="shared" si="71"/>
        <v>9.1333333309739828</v>
      </c>
      <c r="O204" s="7"/>
      <c r="P204" s="7"/>
      <c r="Q204" s="22"/>
      <c r="R204" s="173"/>
      <c r="S204" s="176">
        <f t="shared" si="69"/>
        <v>1</v>
      </c>
      <c r="T204" s="202" t="str">
        <f t="shared" si="52"/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53"/>
        <v>https://d0f6bd738d7f1b3e5a7ca70fe4ff75f0.us-east-1.aws.found.io/app/kibana#/discover/Steve-Slow-Train-Analysis-(2080s-and-2083s)?_g=(refreshInterval:(display:Off,pause:!f,section:0,value:0),time:(from:'2017-06-03T03:52:02-0600',mode:absolute,to:'2017-06-03T06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4" s="204" t="str">
        <f t="shared" si="54"/>
        <v>Y</v>
      </c>
      <c r="X204" s="204">
        <f t="shared" si="55"/>
        <v>1</v>
      </c>
      <c r="Y204" s="204">
        <f t="shared" si="70"/>
        <v>2.3483000000000001</v>
      </c>
      <c r="Z204" s="204">
        <f t="shared" si="56"/>
        <v>1.52E-2</v>
      </c>
      <c r="AA204" s="204">
        <f t="shared" si="57"/>
        <v>2.3331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8"/>
        <v>0310-03</v>
      </c>
      <c r="AE204" s="80" t="str">
        <f t="shared" si="59"/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AF204" s="77" t="str">
        <f t="shared" si="60"/>
        <v>"C:\Program Files (x86)\AstroGrep\AstroGrep.exe" /e /r /s /spath="%USERPROFILE%\AppData\Local\Temp\OnboardLogs" /stypes="app*4049*20170603*" /stext=" 11:.+((SYSTEM_STATE.+slice.+state.+changed )|(ment ac)|(multiple cpu faults)|(system.+state.+changed )|(\[timeout)|(PRM\|1\|D)|(kpr)|(kdp)|(train st.+moving)|(\|lc)|(penalty))"</v>
      </c>
      <c r="AG204" s="1" t="str">
        <f t="shared" si="61"/>
        <v>Other</v>
      </c>
      <c r="AH204" s="81" t="str">
        <f t="shared" si="62"/>
        <v>"%USERPROFILE%\Documents\GitHub\eaglep3\Utilities\RefineRTDCRunTimes.py" --tripid 310-03 --locoid 4049 --swversion DE.1.0.9.0 --startMP 300:23483 --initTime 2017-06-03T04:52:02 --startdatetime 2017-06-03T04:55:44 --delay 3 --endMP 204:152 --enddatetime 2017-06-03T05:04:52 --enforcementcount 0 &gt;&gt;C:\Users\stu\Documents\GitHub\eaglep3-reporting\EC\2017-06-03-refined-times.txt</v>
      </c>
      <c r="AI204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{"issue":{"subject":"","project_id":79,"tracker_id":40,"status_id":1,"priority_id":2,"assigned_to_id":23,"start_date":"2017-06-03","description":"","custom_fields":[{"id":1,"name":"Subdivision","value":"Other"},{"id":4,"name":"Milepost","value":"0.0152"},{"id":17,"name":"Train ID","value":"310-03"},{"id":16,"name":"Locomotive ID","value":"4049"},{"id":130,"name":"Impact","value":""},{"id":150,"name":"Time of Event (Mountain Time)","value":"05:04:52"},{"id":151,"name":"Denver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4"/>
        <v>start /low /b %USERPROFILE%\Documents\GitHub\eaglep3\Utilities\DownloadLogsFromS3.py --loco 4049 --day 2017-06-03</v>
      </c>
      <c r="AN204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651</v>
      </c>
      <c r="B205" s="7">
        <v>4040</v>
      </c>
      <c r="C205" s="21" t="s">
        <v>204</v>
      </c>
      <c r="D205" s="21" t="s">
        <v>355</v>
      </c>
      <c r="E205" s="13">
        <v>42889.08971064815</v>
      </c>
      <c r="F205" s="13">
        <v>42889.090949074074</v>
      </c>
      <c r="G205" s="7">
        <v>1</v>
      </c>
      <c r="H205" s="21" t="s">
        <v>357</v>
      </c>
      <c r="I205" s="13">
        <v>42889.100740740738</v>
      </c>
      <c r="J205" s="7">
        <v>0</v>
      </c>
      <c r="K205" s="92" t="str">
        <f t="shared" ref="K205:K223" si="72">IF(ISEVEN(B205),(B205-1)&amp;"/"&amp;B205,B205&amp;"/"&amp;(B205+1))</f>
        <v>4039/4040</v>
      </c>
      <c r="L205" s="21" t="str">
        <f>VLOOKUP(A205,'Trips&amp;Operators'!$C$1:$G$99999,5,FALSE)</f>
        <v>FORTUNATO FRANK</v>
      </c>
      <c r="M205" s="6">
        <f t="shared" ref="M205:M223" si="73">I205-F205</f>
        <v>9.7916666636592709E-3</v>
      </c>
      <c r="N205" s="7">
        <f t="shared" si="71"/>
        <v>14.09999999566935</v>
      </c>
      <c r="O205" s="7"/>
      <c r="P205" s="7"/>
      <c r="Q205" s="22"/>
      <c r="R205" s="173"/>
      <c r="S205" s="176">
        <f t="shared" si="69"/>
        <v>1</v>
      </c>
      <c r="T205" s="202" t="str">
        <f t="shared" ref="T205:T223" si="74"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23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-03T01:09:11-0600',mode:absolute,to:'2017-06-03T03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204" t="str">
        <f t="shared" ref="W205:W223" si="76">IF(AA205&lt;IF(AG205="EC",23,5.65),"Y","N")</f>
        <v>Y</v>
      </c>
      <c r="X205" s="204">
        <f t="shared" ref="X205:X223" si="77">VALUE(LEFT(AD205,4))-VALUE(LEFT(AD204,4))</f>
        <v>1</v>
      </c>
      <c r="Y205" s="204">
        <f t="shared" si="70"/>
        <v>4.6600000000000003E-2</v>
      </c>
      <c r="Z205" s="204">
        <f t="shared" ref="Z205:Z223" si="78">RIGHT(H205,LEN(H205)-4)/10000</f>
        <v>2.3346</v>
      </c>
      <c r="AA205" s="204">
        <f t="shared" ref="AA205:AA268" si="79">ABS(Z205-Y205)</f>
        <v>2.2879999999999998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23" si="80">IF(LEN(A205)=6,"0"&amp;A205,A205)</f>
        <v>0311-02</v>
      </c>
      <c r="AE205" s="80" t="str">
        <f t="shared" ref="AE205:AE223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 &amp; 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</v>
      </c>
      <c r="AF205" s="77" t="str">
        <f t="shared" ref="AF205:AF223" si="8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/stypes="app*4040*20170603*" /stext=" 08:.+((SYSTEM_STATE.+slice.+state.+changed )|(ment ac)|(multiple cpu faults)|(system.+state.+changed )|(\[timeout)|(PRM\|1\|D)|(kpr)|(kdp)|(train st.+moving)|(\|lc)|(penalty))"</v>
      </c>
      <c r="AG205" s="1" t="str">
        <f t="shared" ref="AG205:AG223" si="83">IFERROR(IF(VALUE(LEFT(AD205,2))&lt;=2,"EC",IF(OR(VALUE(LEFT(AD205,2))=8,VALUE(LEFT(AD205,2))=18),"NW","Other")),"Other")</f>
        <v>Other</v>
      </c>
      <c r="AH205" s="81" t="str">
        <f t="shared" si="62"/>
        <v>"%USERPROFILE%\Documents\GitHub\eaglep3\Utilities\RefineRTDCRunTimes.py" --tripid 311-02 --locoid 4040 --swversion DE.1.0.9.0 --startMP 204:466 --initTime 2017-06-03T02:09:11 --startdatetime 2017-06-03T02:10:58 --delay 1 --endMP 300:23346 --enddatetime 2017-06-03T02:25:04 --enforcementcount 0 &gt;&gt;C:\Users\stu\Documents\GitHub\eaglep3-reporting\EC\2017-06-03-refined-times.txt</v>
      </c>
      <c r="AI205" s="99" t="str">
        <f t="shared" si="63"/>
        <v>echo {"issue":{"subject":"","project_id":79,"tracker_id":40,"status_id":1,"priority_id":2,"assigned_to_id":23,"start_date":"2017-06-03","description":"","custom_fields":[{"id":1,"name":"Subdivision","value":"Other"},{"id":4,"name":"Milepost","value":"2.3346"},{"id":17,"name":"Train ID","value":"311-02"},{"id":16,"name":"Locomotive ID","value":"4040"},{"id":130,"name":"Impact","value":""},{"id":150,"name":"Time of Event (Mountain Time)","value":"02:25:04"},{"id":151,"name":"Denver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64"/>
        <v>start /low /b %USERPROFILE%\Documents\GitHub\eaglep3\Utilities\DownloadLogsFromS3.py --loco 4040 --day 2017-06-03</v>
      </c>
      <c r="AN205" s="154" t="str">
        <f t="shared" si="6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651</v>
      </c>
      <c r="B206" s="7">
        <v>4040</v>
      </c>
      <c r="C206" s="21" t="s">
        <v>204</v>
      </c>
      <c r="D206" s="21" t="s">
        <v>357</v>
      </c>
      <c r="E206" s="13">
        <v>42889.08971064815</v>
      </c>
      <c r="F206" s="13">
        <v>42889.090949074074</v>
      </c>
      <c r="G206" s="7">
        <v>11</v>
      </c>
      <c r="H206" s="21" t="s">
        <v>357</v>
      </c>
      <c r="I206" s="13">
        <v>42889.100740740738</v>
      </c>
      <c r="J206" s="7">
        <v>0</v>
      </c>
      <c r="K206" s="92" t="str">
        <f t="shared" si="72"/>
        <v>4039/4040</v>
      </c>
      <c r="L206" s="21" t="str">
        <f>VLOOKUP(A206,'Trips&amp;Operators'!$C$1:$G$99999,5,FALSE)</f>
        <v>FORTUNATO FRANK</v>
      </c>
      <c r="M206" s="6">
        <f t="shared" si="73"/>
        <v>9.7916666636592709E-3</v>
      </c>
      <c r="N206" s="7">
        <f t="shared" si="71"/>
        <v>14.09999999566935</v>
      </c>
      <c r="O206" s="7"/>
      <c r="P206" s="7"/>
      <c r="Q206" s="22"/>
      <c r="R206" s="173"/>
      <c r="S206" s="176">
        <f t="shared" si="69"/>
        <v>0</v>
      </c>
      <c r="T206" s="202" t="str">
        <f t="shared" si="74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03" t="str">
        <f t="shared" si="75"/>
        <v>https://d0f6bd738d7f1b3e5a7ca70fe4ff75f0.us-east-1.aws.found.io/app/kibana#/discover/Steve-Slow-Train-Analysis-(2080s-and-2083s)?_g=(refreshInterval:(display:Off,pause:!f,section:0,value:0),time:(from:'2017-06-03T01:09:11-0600',mode:absolute,to:'2017-06-03T03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6" s="204" t="str">
        <f t="shared" si="76"/>
        <v>Y</v>
      </c>
      <c r="X206" s="204">
        <f t="shared" si="77"/>
        <v>0</v>
      </c>
      <c r="Y206" s="204">
        <f t="shared" si="70"/>
        <v>2.3346</v>
      </c>
      <c r="Z206" s="204">
        <f t="shared" si="78"/>
        <v>2.3346</v>
      </c>
      <c r="AA206" s="204">
        <f t="shared" si="79"/>
        <v>0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0"/>
        <v>0311-02</v>
      </c>
      <c r="AE206" s="80" t="str">
        <f t="shared" si="81"/>
        <v>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 &amp; 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</v>
      </c>
      <c r="AF206" s="77" t="str">
        <f t="shared" si="82"/>
        <v>"C:\Program Files (x86)\AstroGrep\AstroGrep.exe" /e /r /s /spath="%USERPROFILE%\AppData\Local\Temp\OnboardLogs" /stypes="app*4040*20170603*" /stext=" 08:.+((SYSTEM_STATE.+slice.+state.+changed )|(ment ac)|(multiple cpu faults)|(system.+state.+changed )|(\[timeout)|(PRM\|1\|D)|(kpr)|(kdp)|(train st.+moving)|(\|lc)|(penalty))"</v>
      </c>
      <c r="AG206" s="1" t="str">
        <f t="shared" si="83"/>
        <v>Other</v>
      </c>
      <c r="AH206" s="81" t="str">
        <f t="shared" ref="AH206:AH223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311-02 --locoid 4040 --swversion DE.1.0.9.0 --startMP 300:23346 --initTime 2017-06-03T02:09:11 --startdatetime 2017-06-03T02:10:58 --delay 11 --endMP 300:23346 --enddatetime 2017-06-03T02:25:04 --enforcementcount 0 &gt;&gt;C:\Users\stu\Documents\GitHub\eaglep3-reporting\EC\2017-06-03-refined-times.txt</v>
      </c>
      <c r="AI206" s="99" t="str">
        <f t="shared" ref="AI206:AI223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{"issue":{"subject":"","project_id":79,"tracker_id":40,"status_id":1,"priority_id":2,"assigned_to_id":23,"start_date":"2017-06-03","description":"","custom_fields":[{"id":1,"name":"Subdivision","value":"Other"},{"id":4,"name":"Milepost","value":"2.3346"},{"id":17,"name":"Train ID","value":"311-02"},{"id":16,"name":"Locomotive ID","value":"4040"},{"id":130,"name":"Impact","value":""},{"id":150,"name":"Time of Event (Mountain Time)","value":"02:25:04"},{"id":151,"name":"Denver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23" si="86">"start /low /b "&amp;dls3logs&amp;" --loco "&amp;B206&amp;" --day "&amp;TEXT(F206,"YYYY-MM-DD")</f>
        <v>start /low /b %USERPROFILE%\Documents\GitHub\eaglep3\Utilities\DownloadLogsFromS3.py --loco 4040 --day 2017-06-03</v>
      </c>
      <c r="AN206" s="154" t="str">
        <f t="shared" ref="AN206:AN223" si="8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851</v>
      </c>
      <c r="B207" s="7">
        <v>4014</v>
      </c>
      <c r="C207" s="21" t="s">
        <v>204</v>
      </c>
      <c r="D207" s="21" t="s">
        <v>355</v>
      </c>
      <c r="E207" s="13">
        <v>42890.08934027778</v>
      </c>
      <c r="F207" s="13">
        <v>42890.090428240743</v>
      </c>
      <c r="G207" s="7">
        <v>1</v>
      </c>
      <c r="H207" s="21" t="s">
        <v>971</v>
      </c>
      <c r="I207" s="13">
        <v>42890.096122685187</v>
      </c>
      <c r="J207" s="7">
        <v>0</v>
      </c>
      <c r="K207" s="92" t="str">
        <f t="shared" si="72"/>
        <v>4013/4014</v>
      </c>
      <c r="L207" s="21" t="str">
        <f>VLOOKUP(A207,'Trips&amp;Operators'!$C$1:$G$99999,5,FALSE)</f>
        <v>FORTUNATO FRANK</v>
      </c>
      <c r="M207" s="6">
        <f t="shared" si="73"/>
        <v>5.694444444088731E-3</v>
      </c>
      <c r="N207" s="7">
        <f t="shared" si="71"/>
        <v>8.1999999994877726</v>
      </c>
      <c r="O207" s="7"/>
      <c r="P207" s="7"/>
      <c r="Q207" s="22"/>
      <c r="R207" s="173"/>
      <c r="S207" s="176">
        <f t="shared" ref="S207:S223" si="88">SUM(U207:U207)/IF(AG207="EC",12,1)</f>
        <v>1</v>
      </c>
      <c r="T207" s="202" t="str">
        <f t="shared" si="74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75"/>
        <v>https://d0f6bd738d7f1b3e5a7ca70fe4ff75f0.us-east-1.aws.found.io/app/kibana#/discover/Steve-Slow-Train-Analysis-(2080s-and-2083s)?_g=(refreshInterval:(display:Off,pause:!f,section:0,value:0),time:(from:'2017-06-04T01:08:39-0600',mode:absolute,to:'2017-06-04T03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204" t="str">
        <f t="shared" si="76"/>
        <v>Y</v>
      </c>
      <c r="X207" s="204">
        <f t="shared" si="77"/>
        <v>0</v>
      </c>
      <c r="Y207" s="204">
        <f t="shared" si="70"/>
        <v>4.6600000000000003E-2</v>
      </c>
      <c r="Z207" s="204">
        <f t="shared" si="78"/>
        <v>1.3415999999999999</v>
      </c>
      <c r="AA207" s="204">
        <f t="shared" si="79"/>
        <v>1.2949999999999999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0"/>
        <v>0311-03</v>
      </c>
      <c r="AE207" s="80" t="str">
        <f t="shared" si="81"/>
        <v>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 &amp; 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</v>
      </c>
      <c r="AF207" s="77" t="str">
        <f t="shared" si="82"/>
        <v>"C:\Program Files (x86)\AstroGrep\AstroGrep.exe" /e /r /s /spath="%USERPROFILE%\AppData\Local\Temp\OnboardLogs" /stypes="app*4014*20170604*" /stext=" 08:.+((SYSTEM_STATE.+slice.+state.+changed )|(ment ac)|(multiple cpu faults)|(system.+state.+changed )|(\[timeout)|(PRM\|1\|D)|(kpr)|(kdp)|(train st.+moving)|(\|lc)|(penalty))"</v>
      </c>
      <c r="AG207" s="1" t="str">
        <f t="shared" si="83"/>
        <v>Other</v>
      </c>
      <c r="AH207" s="81" t="str">
        <f t="shared" si="84"/>
        <v>"%USERPROFILE%\Documents\GitHub\eaglep3\Utilities\RefineRTDCRunTimes.py" --tripid 311-03 --locoid 4014 --swversion DE.1.0.9.0 --startMP 204:466 --initTime 2017-06-04T02:08:39 --startdatetime 2017-06-04T02:10:13 --delay 1 --endMP 300:13416 --enddatetime 2017-06-04T02:18:25 --enforcementcount 0 &gt;&gt;C:\Users\stu\Documents\GitHub\eaglep3-reporting\EC\2017-06-03-refined-times.txt</v>
      </c>
      <c r="AI207" s="99" t="str">
        <f t="shared" si="85"/>
        <v>echo {"issue":{"subject":"","project_id":79,"tracker_id":40,"status_id":1,"priority_id":2,"assigned_to_id":23,"start_date":"2017-06-04","description":"","custom_fields":[{"id":1,"name":"Subdivision","value":"Other"},{"id":4,"name":"Milepost","value":"1.3416"},{"id":17,"name":"Train ID","value":"311-03"},{"id":16,"name":"Locomotive ID","value":"4014"},{"id":130,"name":"Impact","value":""},{"id":150,"name":"Time of Event (Mountain Time)","value":"02:18:25"},{"id":151,"name":"Denver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6"/>
        <v>start /low /b %USERPROFILE%\Documents\GitHub\eaglep3\Utilities\DownloadLogsFromS3.py --loco 4014 --day 2017-06-04</v>
      </c>
      <c r="AN207" s="154" t="str">
        <f t="shared" si="87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616</v>
      </c>
      <c r="B208" s="7">
        <v>4043</v>
      </c>
      <c r="C208" s="21" t="s">
        <v>204</v>
      </c>
      <c r="D208" s="21" t="s">
        <v>972</v>
      </c>
      <c r="E208" s="13">
        <v>42889.223599537036</v>
      </c>
      <c r="F208" s="13">
        <v>42889.224386574075</v>
      </c>
      <c r="G208" s="7">
        <v>0</v>
      </c>
      <c r="H208" s="21" t="s">
        <v>469</v>
      </c>
      <c r="I208" s="13">
        <v>42889.228425925925</v>
      </c>
      <c r="J208" s="7">
        <v>0</v>
      </c>
      <c r="K208" s="92" t="str">
        <f t="shared" si="72"/>
        <v>4043/4044</v>
      </c>
      <c r="L208" s="21" t="str">
        <f>VLOOKUP(A208,'Trips&amp;Operators'!$C$1:$G$99999,5,FALSE)</f>
        <v>GUZMAN DANNY</v>
      </c>
      <c r="M208" s="6">
        <f t="shared" si="73"/>
        <v>4.0393518502241932E-3</v>
      </c>
      <c r="N208" s="7">
        <f t="shared" si="71"/>
        <v>5.8166666643228382</v>
      </c>
      <c r="O208" s="7"/>
      <c r="P208" s="7"/>
      <c r="Q208" s="22"/>
      <c r="R208" s="173"/>
      <c r="S208" s="176">
        <f t="shared" si="88"/>
        <v>1</v>
      </c>
      <c r="T208" s="202" t="str">
        <f t="shared" si="74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75"/>
        <v>https://d0f6bd738d7f1b3e5a7ca70fe4ff75f0.us-east-1.aws.found.io/app/kibana#/discover/Steve-Slow-Train-Analysis-(2080s-and-2083s)?_g=(refreshInterval:(display:Off,pause:!f,section:0,value:0),time:(from:'2017-06-03T04:21:59-0600',mode:absolute,to:'2017-06-03T06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204" t="str">
        <f t="shared" si="76"/>
        <v>Y</v>
      </c>
      <c r="X208" s="204">
        <f t="shared" si="77"/>
        <v>1</v>
      </c>
      <c r="Y208" s="204">
        <f t="shared" si="70"/>
        <v>1.7092000000000001</v>
      </c>
      <c r="Z208" s="204">
        <f t="shared" si="78"/>
        <v>1.5599999999999999E-2</v>
      </c>
      <c r="AA208" s="204">
        <f t="shared" si="79"/>
        <v>1.6936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0"/>
        <v>0312-03</v>
      </c>
      <c r="AE208" s="80" t="str">
        <f t="shared" si="81"/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AF208" s="77" t="str">
        <f t="shared" si="82"/>
        <v>"C:\Program Files (x86)\AstroGrep\AstroGrep.exe" /e /r /s /spath="%USERPROFILE%\AppData\Local\Temp\OnboardLogs" /stypes="app*4043*20170603*" /stext=" 11:.+((SYSTEM_STATE.+slice.+state.+changed )|(ment ac)|(multiple cpu faults)|(system.+state.+changed )|(\[timeout)|(PRM\|1\|D)|(kpr)|(kdp)|(train st.+moving)|(\|lc)|(penalty))"</v>
      </c>
      <c r="AG208" s="1" t="str">
        <f t="shared" si="83"/>
        <v>Other</v>
      </c>
      <c r="AH208" s="81" t="str">
        <f t="shared" si="84"/>
        <v>"%USERPROFILE%\Documents\GitHub\eaglep3\Utilities\RefineRTDCRunTimes.py" --tripid 312-03 --locoid 4043 --swversion DE.1.0.9.0 --startMP 300:17092 --initTime 2017-06-03T05:21:59 --startdatetime 2017-06-03T05:23:07 --delay 0 --endMP 204:156 --enddatetime 2017-06-03T05:28:56 --enforcementcount 0 &gt;&gt;C:\Users\stu\Documents\GitHub\eaglep3-reporting\EC\2017-06-03-refined-times.txt</v>
      </c>
      <c r="AI208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{"issue":{"subject":"","project_id":79,"tracker_id":40,"status_id":1,"priority_id":2,"assigned_to_id":23,"start_date":"2017-06-03","description":"","custom_fields":[{"id":1,"name":"Subdivision","value":"Other"},{"id":4,"name":"Milepost","value":"0.0156"},{"id":17,"name":"Train ID","value":"312-03"},{"id":16,"name":"Locomotive ID","value":"4043"},{"id":130,"name":"Impact","value":""},{"id":150,"name":"Time of Event (Mountain Time)","value":"05:28:56"},{"id":151,"name":"Denver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6"/>
        <v>start /low /b %USERPROFILE%\Documents\GitHub\eaglep3\Utilities\DownloadLogsFromS3.py --loco 4043 --day 2017-06-03</v>
      </c>
      <c r="AN208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11:28:56"},{"id":29,"name":"Sharepoint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616</v>
      </c>
      <c r="B209" s="7">
        <v>4043</v>
      </c>
      <c r="C209" s="21" t="s">
        <v>204</v>
      </c>
      <c r="D209" s="21" t="s">
        <v>973</v>
      </c>
      <c r="E209" s="13">
        <v>42889.217083333337</v>
      </c>
      <c r="F209" s="13">
        <v>42889.224386574075</v>
      </c>
      <c r="G209" s="7">
        <v>4</v>
      </c>
      <c r="H209" s="21" t="s">
        <v>974</v>
      </c>
      <c r="I209" s="13">
        <v>42889.228425925925</v>
      </c>
      <c r="J209" s="7">
        <v>0</v>
      </c>
      <c r="K209" s="92" t="str">
        <f t="shared" si="72"/>
        <v>4043/4044</v>
      </c>
      <c r="L209" s="21" t="str">
        <f>VLOOKUP(A209,'Trips&amp;Operators'!$C$1:$G$99999,5,FALSE)</f>
        <v>GUZMAN DANNY</v>
      </c>
      <c r="M209" s="6">
        <f t="shared" si="73"/>
        <v>4.0393518502241932E-3</v>
      </c>
      <c r="N209" s="7">
        <f t="shared" si="71"/>
        <v>5.8166666643228382</v>
      </c>
      <c r="O209" s="7"/>
      <c r="P209" s="7"/>
      <c r="Q209" s="22"/>
      <c r="R209" s="173"/>
      <c r="S209" s="176">
        <f t="shared" si="88"/>
        <v>0</v>
      </c>
      <c r="T209" s="202" t="str">
        <f t="shared" si="74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03" t="str">
        <f t="shared" si="75"/>
        <v>https://d0f6bd738d7f1b3e5a7ca70fe4ff75f0.us-east-1.aws.found.io/app/kibana#/discover/Steve-Slow-Train-Analysis-(2080s-and-2083s)?_g=(refreshInterval:(display:Off,pause:!f,section:0,value:0),time:(from:'2017-06-03T04:12:36-0600',mode:absolute,to:'2017-06-03T06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04" t="str">
        <f t="shared" si="76"/>
        <v>Y</v>
      </c>
      <c r="X209" s="204">
        <f t="shared" si="77"/>
        <v>0</v>
      </c>
      <c r="Y209" s="204">
        <f t="shared" si="70"/>
        <v>2.3946999999999998</v>
      </c>
      <c r="Z209" s="204">
        <f t="shared" si="78"/>
        <v>1.9124000000000001</v>
      </c>
      <c r="AA209" s="204">
        <f t="shared" si="79"/>
        <v>0.48229999999999973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0"/>
        <v>0312-03</v>
      </c>
      <c r="AE209" s="80" t="str">
        <f t="shared" si="81"/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AF209" s="77" t="str">
        <f t="shared" si="82"/>
        <v>"C:\Program Files (x86)\AstroGrep\AstroGrep.exe" /e /r /s /spath="%USERPROFILE%\AppData\Local\Temp\OnboardLogs" /stypes="app*4043*20170603*" /stext=" 11:.+((SYSTEM_STATE.+slice.+state.+changed )|(ment ac)|(multiple cpu faults)|(system.+state.+changed )|(\[timeout)|(PRM\|1\|D)|(kpr)|(kdp)|(train st.+moving)|(\|lc)|(penalty))"</v>
      </c>
      <c r="AG209" s="1" t="str">
        <f t="shared" si="83"/>
        <v>Other</v>
      </c>
      <c r="AH209" s="81" t="str">
        <f t="shared" si="84"/>
        <v>"%USERPROFILE%\Documents\GitHub\eaglep3\Utilities\RefineRTDCRunTimes.py" --tripid 312-03 --locoid 4043 --swversion DE.1.0.9.0 --startMP 300:23947 --initTime 2017-06-03T05:12:36 --startdatetime 2017-06-03T05:23:07 --delay 4 --endMP 300:19124 --enddatetime 2017-06-03T05:28:56 --enforcementcount 0 &gt;&gt;C:\Users\stu\Documents\GitHub\eaglep3-reporting\EC\2017-06-03-refined-times.txt</v>
      </c>
      <c r="AI209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{"issue":{"subject":"","project_id":79,"tracker_id":40,"status_id":1,"priority_id":2,"assigned_to_id":23,"start_date":"2017-06-03","description":"","custom_fields":[{"id":1,"name":"Subdivision","value":"Other"},{"id":4,"name":"Milepost","value":"1.9124"},{"id":17,"name":"Train ID","value":"312-03"},{"id":16,"name":"Locomotive ID","value":"4043"},{"id":130,"name":"Impact","value":""},{"id":150,"name":"Time of Event (Mountain Time)","value":"05:28:56"},{"id":151,"name":"Denver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6"/>
        <v>start /low /b %USERPROFILE%\Documents\GitHub\eaglep3\Utilities\DownloadLogsFromS3.py --loco 4043 --day 2017-06-03</v>
      </c>
      <c r="AN209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11:28:56"},{"id":29,"name":"Sharepoint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652</v>
      </c>
      <c r="B210" s="7">
        <v>4042</v>
      </c>
      <c r="C210" s="21" t="s">
        <v>204</v>
      </c>
      <c r="D210" s="21" t="s">
        <v>351</v>
      </c>
      <c r="E210" s="13">
        <v>42889.111574074072</v>
      </c>
      <c r="F210" s="13">
        <v>42889.114166666666</v>
      </c>
      <c r="G210" s="7">
        <v>2</v>
      </c>
      <c r="H210" s="21" t="s">
        <v>975</v>
      </c>
      <c r="I210" s="13">
        <v>42889.120497685188</v>
      </c>
      <c r="J210" s="7">
        <v>0</v>
      </c>
      <c r="K210" s="92" t="str">
        <f t="shared" si="72"/>
        <v>4041/4042</v>
      </c>
      <c r="L210" s="21" t="str">
        <f>VLOOKUP(A210,'Trips&amp;Operators'!$C$1:$G$99999,5,FALSE)</f>
        <v>SAFIEF AEIMEN</v>
      </c>
      <c r="M210" s="6">
        <f t="shared" si="73"/>
        <v>6.33101852145046E-3</v>
      </c>
      <c r="N210" s="7">
        <f t="shared" si="71"/>
        <v>9.1166666708886623</v>
      </c>
      <c r="O210" s="7"/>
      <c r="P210" s="7"/>
      <c r="Q210" s="22"/>
      <c r="R210" s="173"/>
      <c r="S210" s="176">
        <f t="shared" si="88"/>
        <v>1</v>
      </c>
      <c r="T210" s="202" t="str">
        <f t="shared" si="74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75"/>
        <v>https://d0f6bd738d7f1b3e5a7ca70fe4ff75f0.us-east-1.aws.found.io/app/kibana#/discover/Steve-Slow-Train-Analysis-(2080s-and-2083s)?_g=(refreshInterval:(display:Off,pause:!f,section:0,value:0),time:(from:'2017-06-03T01:40:40-0600',mode:absolute,to:'2017-06-03T03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204" t="str">
        <f t="shared" si="76"/>
        <v>Y</v>
      </c>
      <c r="X210" s="204">
        <f t="shared" si="77"/>
        <v>1</v>
      </c>
      <c r="Y210" s="204">
        <f t="shared" si="70"/>
        <v>4.58E-2</v>
      </c>
      <c r="Z210" s="204">
        <f t="shared" si="78"/>
        <v>2.3298999999999999</v>
      </c>
      <c r="AA210" s="204">
        <f t="shared" si="79"/>
        <v>2.2841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0"/>
        <v>0313-02</v>
      </c>
      <c r="AE210" s="80" t="str">
        <f t="shared" si="81"/>
        <v>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 &amp; 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</v>
      </c>
      <c r="AF210" s="77" t="str">
        <f t="shared" si="82"/>
        <v>"C:\Program Files (x86)\AstroGrep\AstroGrep.exe" /e /r /s /spath="%USERPROFILE%\AppData\Local\Temp\OnboardLogs" /stypes="app*4042*20170603*" /stext=" 08:.+((SYSTEM_STATE.+slice.+state.+changed )|(ment ac)|(multiple cpu faults)|(system.+state.+changed )|(\[timeout)|(PRM\|1\|D)|(kpr)|(kdp)|(train st.+moving)|(\|lc)|(penalty))"</v>
      </c>
      <c r="AG210" s="1" t="str">
        <f t="shared" si="83"/>
        <v>Other</v>
      </c>
      <c r="AH210" s="81" t="str">
        <f t="shared" si="84"/>
        <v>"%USERPROFILE%\Documents\GitHub\eaglep3\Utilities\RefineRTDCRunTimes.py" --tripid 313-02 --locoid 4042 --swversion DE.1.0.9.0 --startMP 204:458 --initTime 2017-06-03T02:40:40 --startdatetime 2017-06-03T02:44:24 --delay 2 --endMP 300:23299 --enddatetime 2017-06-03T02:53:31 --enforcementcount 0 &gt;&gt;C:\Users\stu\Documents\GitHub\eaglep3-reporting\EC\2017-06-03-refined-times.txt</v>
      </c>
      <c r="AI210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{"issue":{"subject":"","project_id":79,"tracker_id":40,"status_id":1,"priority_id":2,"assigned_to_id":23,"start_date":"2017-06-03","description":"","custom_fields":[{"id":1,"name":"Subdivision","value":"Other"},{"id":4,"name":"Milepost","value":"2.3299"},{"id":17,"name":"Train ID","value":"313-02"},{"id":16,"name":"Locomotive ID","value":"4042"},{"id":130,"name":"Impact","value":""},{"id":150,"name":"Time of Event (Mountain Time)","value":"02:53:31"},{"id":151,"name":"Denver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6"/>
        <v>start /low /b %USERPROFILE%\Documents\GitHub\eaglep3\Utilities\DownloadLogsFromS3.py --loco 4042 --day 2017-06-03</v>
      </c>
      <c r="AN210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852</v>
      </c>
      <c r="B211" s="7">
        <v>4008</v>
      </c>
      <c r="C211" s="21" t="s">
        <v>204</v>
      </c>
      <c r="D211" s="21" t="s">
        <v>585</v>
      </c>
      <c r="E211" s="13">
        <v>42890.110509259262</v>
      </c>
      <c r="F211" s="13">
        <v>42890.111689814818</v>
      </c>
      <c r="G211" s="7">
        <v>1</v>
      </c>
      <c r="H211" s="21" t="s">
        <v>976</v>
      </c>
      <c r="I211" s="13">
        <v>42890.113020833334</v>
      </c>
      <c r="J211" s="7">
        <v>0</v>
      </c>
      <c r="K211" s="92" t="str">
        <f t="shared" si="72"/>
        <v>4007/4008</v>
      </c>
      <c r="L211" s="21" t="str">
        <f>VLOOKUP(A211,'Trips&amp;Operators'!$C$1:$G$99999,5,FALSE)</f>
        <v>SULLIVAN BRANDON</v>
      </c>
      <c r="M211" s="6">
        <f t="shared" si="73"/>
        <v>1.3310185167938471E-3</v>
      </c>
      <c r="N211" s="7">
        <f t="shared" si="71"/>
        <v>1.9166666641831398</v>
      </c>
      <c r="O211" s="7"/>
      <c r="P211" s="7"/>
      <c r="Q211" s="22"/>
      <c r="R211" s="173"/>
      <c r="S211" s="176">
        <f t="shared" si="88"/>
        <v>0</v>
      </c>
      <c r="T211" s="202" t="str">
        <f t="shared" si="74"/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03" t="str">
        <f t="shared" si="75"/>
        <v>https://d0f6bd738d7f1b3e5a7ca70fe4ff75f0.us-east-1.aws.found.io/app/kibana#/discover/Steve-Slow-Train-Analysis-(2080s-and-2083s)?_g=(refreshInterval:(display:Off,pause:!f,section:0,value:0),time:(from:'2017-06-04T01:39:08-0600',mode:absolute,to:'2017-06-04T03:42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204" t="str">
        <f t="shared" si="76"/>
        <v>Y</v>
      </c>
      <c r="X211" s="204">
        <f t="shared" si="77"/>
        <v>0</v>
      </c>
      <c r="Y211" s="204">
        <f t="shared" si="70"/>
        <v>4.8000000000000001E-2</v>
      </c>
      <c r="Z211" s="204">
        <f t="shared" si="78"/>
        <v>0.2419</v>
      </c>
      <c r="AA211" s="204">
        <f t="shared" si="79"/>
        <v>0.19390000000000002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0"/>
        <v>0313-03</v>
      </c>
      <c r="AE211" s="80" t="str">
        <f t="shared" si="81"/>
        <v>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 &amp; 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</v>
      </c>
      <c r="AF211" s="77" t="str">
        <f t="shared" si="82"/>
        <v>"C:\Program Files (x86)\AstroGrep\AstroGrep.exe" /e /r /s /spath="%USERPROFILE%\AppData\Local\Temp\OnboardLogs" /stypes="app*4008*20170604*" /stext=" 08:.+((SYSTEM_STATE.+slice.+state.+changed )|(ment ac)|(multiple cpu faults)|(system.+state.+changed )|(\[timeout)|(PRM\|1\|D)|(kpr)|(kdp)|(train st.+moving)|(\|lc)|(penalty))"</v>
      </c>
      <c r="AG211" s="1" t="str">
        <f t="shared" si="83"/>
        <v>Other</v>
      </c>
      <c r="AH211" s="81" t="str">
        <f t="shared" si="84"/>
        <v>"%USERPROFILE%\Documents\GitHub\eaglep3\Utilities\RefineRTDCRunTimes.py" --tripid 313-03 --locoid 4008 --swversion DE.1.0.9.0 --startMP 204:480 --initTime 2017-06-04T02:39:08 --startdatetime 2017-06-04T02:40:50 --delay 1 --endMP 204:2419 --enddatetime 2017-06-04T02:42:45 --enforcementcount 0 &gt;&gt;C:\Users\stu\Documents\GitHub\eaglep3-reporting\EC\2017-06-03-refined-times.txt</v>
      </c>
      <c r="AI211" s="99" t="str">
        <f t="shared" si="85"/>
        <v>echo {"issue":{"subject":"","project_id":79,"tracker_id":40,"status_id":1,"priority_id":2,"assigned_to_id":23,"start_date":"2017-06-04","description":"","custom_fields":[{"id":1,"name":"Subdivision","value":"Other"},{"id":4,"name":"Milepost","value":"0.2419"},{"id":17,"name":"Train ID","value":"313-03"},{"id":16,"name":"Locomotive ID","value":"4008"},{"id":130,"name":"Impact","value":""},{"id":150,"name":"Time of Event (Mountain Time)","value":"02:42:45"},{"id":151,"name":"Denver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86"/>
        <v>start /low /b %USERPROFILE%\Documents\GitHub\eaglep3\Utilities\DownloadLogsFromS3.py --loco 4008 --day 2017-06-04</v>
      </c>
      <c r="AN211" s="154" t="str">
        <f t="shared" si="87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08:42:45"},{"id":29,"name":"Sharepoint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617</v>
      </c>
      <c r="B212" s="7">
        <v>4058</v>
      </c>
      <c r="C212" s="21" t="s">
        <v>204</v>
      </c>
      <c r="D212" s="21" t="s">
        <v>924</v>
      </c>
      <c r="E212" s="13">
        <v>42889.224490740744</v>
      </c>
      <c r="F212" s="13">
        <v>42889.228275462963</v>
      </c>
      <c r="G212" s="7">
        <v>5</v>
      </c>
      <c r="H212" s="21" t="s">
        <v>536</v>
      </c>
      <c r="I212" s="13">
        <v>42889.233981481484</v>
      </c>
      <c r="J212" s="7">
        <v>0</v>
      </c>
      <c r="K212" s="92" t="str">
        <f t="shared" si="72"/>
        <v>4057/4058</v>
      </c>
      <c r="L212" s="21" t="str">
        <f>VLOOKUP(A212,'Trips&amp;Operators'!$C$1:$G$99999,5,FALSE)</f>
        <v>MACDONALD THOMAS</v>
      </c>
      <c r="M212" s="6">
        <f t="shared" si="73"/>
        <v>5.7060185208683833E-3</v>
      </c>
      <c r="N212" s="7">
        <f t="shared" si="71"/>
        <v>8.216666670050472</v>
      </c>
      <c r="O212" s="7"/>
      <c r="P212" s="7"/>
      <c r="Q212" s="22"/>
      <c r="R212" s="173"/>
      <c r="S212" s="176">
        <f t="shared" si="88"/>
        <v>0</v>
      </c>
      <c r="T212" s="202" t="str">
        <f t="shared" si="74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03" t="str">
        <f t="shared" si="75"/>
        <v>https://d0f6bd738d7f1b3e5a7ca70fe4ff75f0.us-east-1.aws.found.io/app/kibana#/discover/Steve-Slow-Train-Analysis-(2080s-and-2083s)?_g=(refreshInterval:(display:Off,pause:!f,section:0,value:0),time:(from:'2017-06-03T04:23:16-0600',mode:absolute,to:'2017-06-03T06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2" s="204" t="str">
        <f t="shared" si="76"/>
        <v>Y</v>
      </c>
      <c r="X212" s="204">
        <f t="shared" si="77"/>
        <v>1588</v>
      </c>
      <c r="Y212" s="204">
        <f t="shared" si="70"/>
        <v>3.0158999999999998</v>
      </c>
      <c r="Z212" s="204">
        <f t="shared" si="78"/>
        <v>5.8956</v>
      </c>
      <c r="AA212" s="204">
        <f t="shared" si="79"/>
        <v>2.8797000000000001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0"/>
        <v>1901-03</v>
      </c>
      <c r="AE212" s="80" t="str">
        <f t="shared" si="81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212" s="77" t="str">
        <f t="shared" si="82"/>
        <v>"C:\Program Files (x86)\AstroGrep\AstroGrep.exe" /e /r /s /spath="%USERPROFILE%\AppData\Local\Temp\OnboardLogs" /stypes="app*4058*20170603*" /stext=" 11:.+((SYSTEM_STATE.+slice.+state.+changed )|(ment ac)|(multiple cpu faults)|(system.+state.+changed )|(\[timeout)|(PRM\|1\|D)|(kpr)|(kdp)|(train st.+moving)|(\|lc)|(penalty))"</v>
      </c>
      <c r="AG212" s="1" t="str">
        <f t="shared" si="83"/>
        <v>Other</v>
      </c>
      <c r="AH212" s="81" t="str">
        <f t="shared" si="84"/>
        <v>"%USERPROFILE%\Documents\GitHub\eaglep3\Utilities\RefineRTDCRunTimes.py" --tripid 1901-03 --locoid 4058 --swversion DE.1.0.9.0 --startMP 300:30159 --initTime 2017-06-03T05:23:16 --startdatetime 2017-06-03T05:28:43 --delay 5 --endMP 300:58956 --enddatetime 2017-06-03T05:36:56 --enforcementcount 0 &gt;&gt;C:\Users\stu\Documents\GitHub\eaglep3-reporting\EC\2017-06-03-refined-times.txt</v>
      </c>
      <c r="AI212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{"issue":{"subject":"","project_id":79,"tracker_id":40,"status_id":1,"priority_id":2,"assigned_to_id":23,"start_date":"2017-06-03","description":"","custom_fields":[{"id":1,"name":"Subdivision","value":"Other"},{"id":4,"name":"Milepost","value":"5.8956"},{"id":17,"name":"Train ID","value":"1901-03"},{"id":16,"name":"Locomotive ID","value":"4058"},{"id":130,"name":"Impact","value":""},{"id":150,"name":"Time of Event (Mountain Time)","value":"05:36:56"},{"id":151,"name":"Denver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86"/>
        <v>start /low /b %USERPROFILE%\Documents\GitHub\eaglep3\Utilities\DownloadLogsFromS3.py --loco 4058 --day 2017-06-03</v>
      </c>
      <c r="AN212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838</v>
      </c>
      <c r="B213" s="7">
        <v>4057</v>
      </c>
      <c r="C213" s="21" t="s">
        <v>204</v>
      </c>
      <c r="D213" s="21" t="s">
        <v>603</v>
      </c>
      <c r="E213" s="13">
        <v>42889.943136574075</v>
      </c>
      <c r="F213" s="13">
        <v>42889.953472222223</v>
      </c>
      <c r="G213" s="7">
        <v>1</v>
      </c>
      <c r="H213" s="21" t="s">
        <v>925</v>
      </c>
      <c r="I213" s="13">
        <v>42889.968090277776</v>
      </c>
      <c r="J213" s="7">
        <v>0</v>
      </c>
      <c r="K213" s="92" t="str">
        <f t="shared" si="72"/>
        <v>4057/4058</v>
      </c>
      <c r="L213" s="21" t="str">
        <f>VLOOKUP(A213,'Trips&amp;Operators'!$C$1:$G$99999,5,FALSE)</f>
        <v>MCREYNOLDS KYLE</v>
      </c>
      <c r="M213" s="6">
        <f t="shared" si="73"/>
        <v>1.4618055553000886E-2</v>
      </c>
      <c r="N213" s="7">
        <f t="shared" si="71"/>
        <v>21.049999996321276</v>
      </c>
      <c r="O213" s="7"/>
      <c r="P213" s="7"/>
      <c r="Q213" s="22"/>
      <c r="R213" s="173"/>
      <c r="S213" s="176">
        <f t="shared" si="88"/>
        <v>0</v>
      </c>
      <c r="T213" s="202" t="str">
        <f t="shared" si="74"/>
        <v>Southbound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03" t="str">
        <f t="shared" si="75"/>
        <v>https://d0f6bd738d7f1b3e5a7ca70fe4ff75f0.us-east-1.aws.found.io/app/kibana#/discover/Steve-Slow-Train-Analysis-(2080s-and-2083s)?_g=(refreshInterval:(display:Off,pause:!f,section:0,value:0),time:(from:'2017-06-03T21:38:07-0600',mode:absolute,to:'2017-06-04T00:14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204" t="str">
        <f t="shared" si="76"/>
        <v>Y</v>
      </c>
      <c r="X213" s="204">
        <f t="shared" si="77"/>
        <v>1</v>
      </c>
      <c r="Y213" s="204">
        <f t="shared" si="70"/>
        <v>5.8672000000000004</v>
      </c>
      <c r="Z213" s="204">
        <f t="shared" si="78"/>
        <v>2.1739999999999999</v>
      </c>
      <c r="AA213" s="204">
        <f t="shared" si="79"/>
        <v>3.6932000000000005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0"/>
        <v>1902-03</v>
      </c>
      <c r="AE213" s="80" t="str">
        <f t="shared" si="81"/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AF213" s="77" t="str">
        <f t="shared" si="82"/>
        <v>"C:\Program Files (x86)\AstroGrep\AstroGrep.exe" /e /r /s /spath="%USERPROFILE%\AppData\Local\Temp\OnboardLogs" /stypes="app*4057*20170604*" /stext=" 05:.+((SYSTEM_STATE.+slice.+state.+changed )|(ment ac)|(multiple cpu faults)|(system.+state.+changed )|(\[timeout)|(PRM\|1\|D)|(kpr)|(kdp)|(train st.+moving)|(\|lc)|(penalty))"</v>
      </c>
      <c r="AG213" s="1" t="str">
        <f t="shared" si="83"/>
        <v>Other</v>
      </c>
      <c r="AH213" s="81" t="str">
        <f t="shared" si="84"/>
        <v>"%USERPROFILE%\Documents\GitHub\eaglep3\Utilities\RefineRTDCRunTimes.py" --tripid 1902-03 --locoid 4057 --swversion DE.1.0.9.0 --startMP 300:58672 --initTime 2017-06-03T22:38:07 --startdatetime 2017-06-03T22:53:00 --delay 1 --endMP 300:21740 --enddatetime 2017-06-03T23:14:03 --enforcementcount 0 &gt;&gt;C:\Users\stu\Documents\GitHub\eaglep3-reporting\EC\2017-06-03-refined-times.txt</v>
      </c>
      <c r="AI213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{"issue":{"subject":"","project_id":79,"tracker_id":40,"status_id":1,"priority_id":2,"assigned_to_id":23,"start_date":"2017-06-03","description":"","custom_fields":[{"id":1,"name":"Subdivision","value":"Other"},{"id":4,"name":"Milepost","value":"2.174"},{"id":17,"name":"Train ID","value":"1902-03"},{"id":16,"name":"Locomotive ID","value":"4057"},{"id":130,"name":"Impact","value":""},{"id":150,"name":"Time of Event (Mountain Time)","value":"23:14:03"},{"id":151,"name":"Denver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86"/>
        <v>start /low /b %USERPROFILE%\Documents\GitHub\eaglep3\Utilities\DownloadLogsFromS3.py --loco 4057 --day 2017-06-03</v>
      </c>
      <c r="AN213" s="154" t="str">
        <f t="shared" si="87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05:14:03"},{"id":29,"name":"Sharepoint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838</v>
      </c>
      <c r="B214" s="7">
        <v>4058</v>
      </c>
      <c r="C214" s="21" t="s">
        <v>204</v>
      </c>
      <c r="D214" s="21" t="s">
        <v>926</v>
      </c>
      <c r="E214" s="13">
        <v>42889.952002314814</v>
      </c>
      <c r="F214" s="13">
        <v>42889.953472222223</v>
      </c>
      <c r="G214" s="7">
        <v>1</v>
      </c>
      <c r="H214" s="21" t="s">
        <v>927</v>
      </c>
      <c r="I214" s="13">
        <v>42889.968090277776</v>
      </c>
      <c r="J214" s="7">
        <v>0</v>
      </c>
      <c r="K214" s="92" t="str">
        <f t="shared" si="72"/>
        <v>4057/4058</v>
      </c>
      <c r="L214" s="21" t="str">
        <f>VLOOKUP(A214,'Trips&amp;Operators'!$C$1:$G$99999,5,FALSE)</f>
        <v>MCREYNOLDS KYLE</v>
      </c>
      <c r="M214" s="6">
        <f t="shared" si="73"/>
        <v>1.4618055553000886E-2</v>
      </c>
      <c r="N214" s="7">
        <f t="shared" si="71"/>
        <v>21.049999996321276</v>
      </c>
      <c r="O214" s="7"/>
      <c r="P214" s="7"/>
      <c r="Q214" s="22"/>
      <c r="R214" s="173"/>
      <c r="S214" s="176">
        <f t="shared" si="88"/>
        <v>0</v>
      </c>
      <c r="T214" s="202" t="str">
        <f t="shared" si="74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75"/>
        <v>https://d0f6bd738d7f1b3e5a7ca70fe4ff75f0.us-east-1.aws.found.io/app/kibana#/discover/Steve-Slow-Train-Analysis-(2080s-and-2083s)?_g=(refreshInterval:(display:Off,pause:!f,section:0,value:0),time:(from:'2017-06-03T21:50:53-0600',mode:absolute,to:'2017-06-04T00:14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4" s="204" t="str">
        <f t="shared" si="76"/>
        <v>Y</v>
      </c>
      <c r="X214" s="204">
        <f t="shared" si="77"/>
        <v>0</v>
      </c>
      <c r="Y214" s="204">
        <f t="shared" si="70"/>
        <v>2.2067999999999999</v>
      </c>
      <c r="Z214" s="204">
        <f t="shared" si="78"/>
        <v>2.3302</v>
      </c>
      <c r="AA214" s="204">
        <f t="shared" si="79"/>
        <v>0.12340000000000018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0"/>
        <v>1902-03</v>
      </c>
      <c r="AE214" s="80" t="str">
        <f t="shared" si="81"/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AF214" s="77" t="str">
        <f t="shared" si="82"/>
        <v>"C:\Program Files (x86)\AstroGrep\AstroGrep.exe" /e /r /s /spath="%USERPROFILE%\AppData\Local\Temp\OnboardLogs" /stypes="app*4058*20170604*" /stext=" 05:.+((SYSTEM_STATE.+slice.+state.+changed )|(ment ac)|(multiple cpu faults)|(system.+state.+changed )|(\[timeout)|(PRM\|1\|D)|(kpr)|(kdp)|(train st.+moving)|(\|lc)|(penalty))"</v>
      </c>
      <c r="AG214" s="1" t="str">
        <f t="shared" si="83"/>
        <v>Other</v>
      </c>
      <c r="AH214" s="81" t="str">
        <f t="shared" si="84"/>
        <v>"%USERPROFILE%\Documents\GitHub\eaglep3\Utilities\RefineRTDCRunTimes.py" --tripid 1902-03 --locoid 4058 --swversion DE.1.0.9.0 --startMP 300:22068 --initTime 2017-06-03T22:50:53 --startdatetime 2017-06-03T22:53:00 --delay 1 --endMP 300:23302 --enddatetime 2017-06-03T23:14:03 --enforcementcount 0 &gt;&gt;C:\Users\stu\Documents\GitHub\eaglep3-reporting\EC\2017-06-03-refined-times.txt</v>
      </c>
      <c r="AI214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{"issue":{"subject":"","project_id":79,"tracker_id":40,"status_id":1,"priority_id":2,"assigned_to_id":23,"start_date":"2017-06-03","description":"","custom_fields":[{"id":1,"name":"Subdivision","value":"Other"},{"id":4,"name":"Milepost","value":"2.3302"},{"id":17,"name":"Train ID","value":"1902-03"},{"id":16,"name":"Locomotive ID","value":"4058"},{"id":130,"name":"Impact","value":""},{"id":150,"name":"Time of Event (Mountain Time)","value":"23:14:03"},{"id":151,"name":"Denver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86"/>
        <v>start /low /b %USERPROFILE%\Documents\GitHub\eaglep3\Utilities\DownloadLogsFromS3.py --loco 4058 --day 2017-06-03</v>
      </c>
      <c r="AN214" s="154" t="str">
        <f t="shared" si="87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05:14:03"},{"id":29,"name":"Sharepoint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656</v>
      </c>
      <c r="B215" s="7">
        <v>4023</v>
      </c>
      <c r="C215" s="21" t="s">
        <v>204</v>
      </c>
      <c r="D215" s="21" t="s">
        <v>977</v>
      </c>
      <c r="E215" s="13">
        <v>42889.140694444446</v>
      </c>
      <c r="F215" s="13">
        <v>42889.142245370371</v>
      </c>
      <c r="G215" s="7">
        <v>1</v>
      </c>
      <c r="H215" s="21" t="s">
        <v>978</v>
      </c>
      <c r="I215" s="13">
        <v>42889.143263888887</v>
      </c>
      <c r="J215" s="7">
        <v>0</v>
      </c>
      <c r="K215" s="92" t="str">
        <f t="shared" si="72"/>
        <v>4023/4024</v>
      </c>
      <c r="L215" s="21" t="str">
        <f>VLOOKUP(A215,'Trips&amp;Operators'!$C$1:$G$99999,5,FALSE)</f>
        <v>MAYBERRY BILL</v>
      </c>
      <c r="M215" s="6">
        <f t="shared" si="73"/>
        <v>1.0185185165028088E-3</v>
      </c>
      <c r="N215" s="7">
        <f t="shared" si="71"/>
        <v>1.4666666637640446</v>
      </c>
      <c r="O215" s="7"/>
      <c r="P215" s="7"/>
      <c r="Q215" s="22"/>
      <c r="R215" s="173"/>
      <c r="S215" s="176">
        <f t="shared" si="88"/>
        <v>0</v>
      </c>
      <c r="T215" s="202" t="e">
        <f t="shared" si="74"/>
        <v>#VALUE!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03" t="str">
        <f t="shared" si="75"/>
        <v>https://d0f6bd738d7f1b3e5a7ca70fe4ff75f0.us-east-1.aws.found.io/app/kibana#/discover/Steve-Slow-Train-Analysis-(2080s-and-2083s)?_g=(refreshInterval:(display:Off,pause:!f,section:0,value:0),time:(from:'2017-06-03T02:22:36-0600',mode:absolute,to:'2017-06-03T04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5" s="204" t="str">
        <f t="shared" si="76"/>
        <v>Y</v>
      </c>
      <c r="X215" s="204" t="e">
        <f t="shared" si="77"/>
        <v>#VALUE!</v>
      </c>
      <c r="Y215" s="204">
        <f t="shared" si="70"/>
        <v>0.29530000000000001</v>
      </c>
      <c r="Z215" s="204">
        <f t="shared" si="78"/>
        <v>0.11650000000000001</v>
      </c>
      <c r="AA215" s="204">
        <f t="shared" si="79"/>
        <v>0.17880000000000001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0"/>
        <v>50-03</v>
      </c>
      <c r="AE215" s="80" t="str">
        <f t="shared" si="81"/>
        <v>aws s3 cp s3://rtdc.mdm.uploadarchive.raw/RTDC4023/ "%USERPROFILE%\AppData\Local\Temp\OnboardLogs"\RTDC4023\2017-06-03 --exclude "*" --recursive --include "*20170603*" &amp; "%USERPROFILE%\Documents\GitHub\mrs-test-scripts\Headless Mode &amp; Sideloading\WalkAndUnGZ.bat" "%USERPROFILE%\AppData\Local\Temp\OnboardLogs"\RTDC4023\2017-06-03 &amp; 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</v>
      </c>
      <c r="AF215" s="77" t="str">
        <f t="shared" si="82"/>
        <v>"C:\Program Files (x86)\AstroGrep\AstroGrep.exe" /e /r /s /spath="%USERPROFILE%\AppData\Local\Temp\OnboardLogs" /stypes="app*4023*20170603*" /stext=" 09:.+((SYSTEM_STATE.+slice.+state.+changed )|(ment ac)|(multiple cpu faults)|(system.+state.+changed )|(\[timeout)|(PRM\|1\|D)|(kpr)|(kdp)|(train st.+moving)|(\|lc)|(penalty))"</v>
      </c>
      <c r="AG215" s="1" t="str">
        <f t="shared" si="83"/>
        <v>Other</v>
      </c>
      <c r="AH215" s="81" t="str">
        <f t="shared" si="84"/>
        <v>"%USERPROFILE%\Documents\GitHub\eaglep3\Utilities\RefineRTDCRunTimes.py" --tripid 50-03 --locoid 4023 --swversion DE.1.0.9.0 --startMP 204:2953 --initTime 2017-06-03T03:22:36 --startdatetime 2017-06-03T03:24:50 --delay 1 --endMP 204:1165 --enddatetime 2017-06-03T03:26:18 --enforcementcount 0 &gt;&gt;C:\Users\stu\Documents\GitHub\eaglep3-reporting\EC\2017-06-03-refined-times.txt</v>
      </c>
      <c r="AI215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{"issue":{"subject":"","project_id":79,"tracker_id":40,"status_id":1,"priority_id":2,"assigned_to_id":23,"start_date":"2017-06-03","description":"","custom_fields":[{"id":1,"name":"Subdivision","value":"Other"},{"id":4,"name":"Milepost","value":"0.1165"},{"id":17,"name":"Train ID","value":"50-03"},{"id":16,"name":"Locomotive ID","value":"4023"},{"id":130,"name":"Impact","value":""},{"id":150,"name":"Time of Event (Mountain Time)","value":"03:26:18"},{"id":151,"name":"Denver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86"/>
        <v>start /low /b %USERPROFILE%\Documents\GitHub\eaglep3\Utilities\DownloadLogsFromS3.py --loco 4023 --day 2017-06-03</v>
      </c>
      <c r="AN215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09:26:18"},{"id":29,"name":"Sharepoint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660</v>
      </c>
      <c r="B216" s="7">
        <v>4024</v>
      </c>
      <c r="C216" s="21" t="s">
        <v>204</v>
      </c>
      <c r="D216" s="21" t="s">
        <v>442</v>
      </c>
      <c r="E216" s="13">
        <v>42889.129201388889</v>
      </c>
      <c r="F216" s="13">
        <v>42889.138761574075</v>
      </c>
      <c r="G216" s="7">
        <v>0</v>
      </c>
      <c r="H216" s="21" t="s">
        <v>979</v>
      </c>
      <c r="I216" s="13">
        <v>42889.139872685184</v>
      </c>
      <c r="J216" s="7">
        <v>0</v>
      </c>
      <c r="K216" s="92" t="str">
        <f t="shared" si="72"/>
        <v>4023/4024</v>
      </c>
      <c r="L216" s="21" t="str">
        <f>VLOOKUP(A216,'Trips&amp;Operators'!$C$1:$G$99999,5,FALSE)</f>
        <v>MAYBERRY BILL</v>
      </c>
      <c r="M216" s="6">
        <f t="shared" si="73"/>
        <v>1.111111108912155E-3</v>
      </c>
      <c r="N216" s="7">
        <f t="shared" si="71"/>
        <v>1.5999999968335032</v>
      </c>
      <c r="O216" s="7"/>
      <c r="P216" s="7"/>
      <c r="Q216" s="22"/>
      <c r="R216" s="173"/>
      <c r="S216" s="176">
        <f t="shared" si="88"/>
        <v>0</v>
      </c>
      <c r="T216" s="202" t="e">
        <f t="shared" si="74"/>
        <v>#VALUE!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03" t="str">
        <f t="shared" si="75"/>
        <v>https://d0f6bd738d7f1b3e5a7ca70fe4ff75f0.us-east-1.aws.found.io/app/kibana#/discover/Steve-Slow-Train-Analysis-(2080s-and-2083s)?_g=(refreshInterval:(display:Off,pause:!f,section:0,value:0),time:(from:'2017-06-03T02:06:03-0600',mode:absolute,to:'2017-06-03T04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6" s="204" t="str">
        <f t="shared" si="76"/>
        <v>Y</v>
      </c>
      <c r="X216" s="204" t="e">
        <f t="shared" si="77"/>
        <v>#VALUE!</v>
      </c>
      <c r="Y216" s="204">
        <f t="shared" si="70"/>
        <v>4.4200000000000003E-2</v>
      </c>
      <c r="Z216" s="204">
        <f t="shared" si="78"/>
        <v>0.32840000000000003</v>
      </c>
      <c r="AA216" s="204">
        <f t="shared" si="79"/>
        <v>0.28420000000000001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0"/>
        <v>51-03</v>
      </c>
      <c r="AE216" s="80" t="str">
        <f t="shared" si="81"/>
        <v>aws s3 cp s3://rtdc.mdm.uploadarchive.raw/RTDC4024/ "%USERPROFILE%\AppData\Local\Temp\OnboardLogs"\RTDC4024\2017-06-03 --exclude "*" --recursive --include "*20170603*" &amp; "%USERPROFILE%\Documents\GitHub\mrs-test-scripts\Headless Mode &amp; Sideloading\WalkAndUnGZ.bat" "%USERPROFILE%\AppData\Local\Temp\OnboardLogs"\RTDC4024\2017-06-03 &amp; 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</v>
      </c>
      <c r="AF216" s="77" t="str">
        <f t="shared" si="82"/>
        <v>"C:\Program Files (x86)\AstroGrep\AstroGrep.exe" /e /r /s /spath="%USERPROFILE%\AppData\Local\Temp\OnboardLogs" /stypes="app*4024*20170603*" /stext=" 09:.+((SYSTEM_STATE.+slice.+state.+changed )|(ment ac)|(multiple cpu faults)|(system.+state.+changed )|(\[timeout)|(PRM\|1\|D)|(kpr)|(kdp)|(train st.+moving)|(\|lc)|(penalty))"</v>
      </c>
      <c r="AG216" s="1" t="str">
        <f t="shared" si="83"/>
        <v>Other</v>
      </c>
      <c r="AH216" s="81" t="str">
        <f t="shared" si="84"/>
        <v>"%USERPROFILE%\Documents\GitHub\eaglep3\Utilities\RefineRTDCRunTimes.py" --tripid 51-03 --locoid 4024 --swversion DE.1.0.9.0 --startMP 204:442 --initTime 2017-06-03T03:06:03 --startdatetime 2017-06-03T03:19:49 --delay 0 --endMP 204:3284 --enddatetime 2017-06-03T03:21:25 --enforcementcount 0 &gt;&gt;C:\Users\stu\Documents\GitHub\eaglep3-reporting\EC\2017-06-03-refined-times.txt</v>
      </c>
      <c r="AI216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{"issue":{"subject":"","project_id":79,"tracker_id":40,"status_id":1,"priority_id":2,"assigned_to_id":23,"start_date":"2017-06-03","description":"","custom_fields":[{"id":1,"name":"Subdivision","value":"Other"},{"id":4,"name":"Milepost","value":"0.3284"},{"id":17,"name":"Train ID","value":"51-03"},{"id":16,"name":"Locomotive ID","value":"4024"},{"id":130,"name":"Impact","value":""},{"id":150,"name":"Time of Event (Mountain Time)","value":"03:21:25"},{"id":151,"name":"Denver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86"/>
        <v>start /low /b %USERPROFILE%\Documents\GitHub\eaglep3\Utilities\DownloadLogsFromS3.py --loco 4024 --day 2017-06-03</v>
      </c>
      <c r="AN216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09:21:25"},{"id":29,"name":"Sharepoint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790</v>
      </c>
      <c r="B217" s="7">
        <v>4044</v>
      </c>
      <c r="C217" s="21" t="s">
        <v>204</v>
      </c>
      <c r="D217" s="21" t="s">
        <v>980</v>
      </c>
      <c r="E217" s="13">
        <v>42889.724664351852</v>
      </c>
      <c r="F217" s="13">
        <v>42889.725925925923</v>
      </c>
      <c r="G217" s="7">
        <v>1</v>
      </c>
      <c r="H217" s="21" t="s">
        <v>981</v>
      </c>
      <c r="I217" s="13">
        <v>42889.733599537038</v>
      </c>
      <c r="J217" s="7">
        <v>0</v>
      </c>
      <c r="K217" s="92" t="str">
        <f t="shared" si="72"/>
        <v>4043/4044</v>
      </c>
      <c r="L217" s="21" t="str">
        <f>VLOOKUP(A217,'Trips&amp;Operators'!$C$1:$G$99999,5,FALSE)</f>
        <v>BROWN JACOB</v>
      </c>
      <c r="M217" s="6">
        <f t="shared" si="73"/>
        <v>7.6736111150239594E-3</v>
      </c>
      <c r="N217" s="7">
        <f t="shared" si="71"/>
        <v>11.050000005634502</v>
      </c>
      <c r="O217" s="7"/>
      <c r="P217" s="7"/>
      <c r="Q217" s="22"/>
      <c r="R217" s="173"/>
      <c r="S217" s="176">
        <f t="shared" si="88"/>
        <v>0</v>
      </c>
      <c r="T217" s="202" t="e">
        <f t="shared" si="74"/>
        <v>#VALUE!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03" t="str">
        <f t="shared" si="75"/>
        <v>https://d0f6bd738d7f1b3e5a7ca70fe4ff75f0.us-east-1.aws.found.io/app/kibana#/discover/Steve-Slow-Train-Analysis-(2080s-and-2083s)?_g=(refreshInterval:(display:Off,pause:!f,section:0,value:0),time:(from:'2017-06-03T16:23:31-0600',mode:absolute,to:'2017-06-03T18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7" s="204" t="str">
        <f t="shared" si="76"/>
        <v>Y</v>
      </c>
      <c r="X217" s="204" t="e">
        <f t="shared" si="77"/>
        <v>#VALUE!</v>
      </c>
      <c r="Y217" s="204">
        <f t="shared" si="70"/>
        <v>0.14829999999999999</v>
      </c>
      <c r="Z217" s="204">
        <f t="shared" si="78"/>
        <v>2.331</v>
      </c>
      <c r="AA217" s="204">
        <f t="shared" si="79"/>
        <v>2.1827000000000001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0"/>
        <v>52-03</v>
      </c>
      <c r="AE217" s="80" t="str">
        <f t="shared" si="81"/>
        <v>aws s3 cp s3://rtdc.mdm.uploadarchive.raw/RTDC4044/ "%USERPROFILE%\AppData\Local\Temp\OnboardLogs"\RTDC4044\2017-06-03 --exclude "*" --recursive --include "*20170603*" &amp; "%USERPROFILE%\Documents\GitHub\mrs-test-scripts\Headless Mode &amp; Sideloading\WalkAndUnGZ.bat" "%USERPROFILE%\AppData\Local\Temp\OnboardLogs"\RTDC4044\2017-06-03 &amp; aws s3 cp s3://rtdc.mdm.uploadarchive.raw/RTDC4044/ "%USERPROFILE%\AppData\Local\Temp\OnboardLogs"\RTDC4044\2017-06-04 --exclude "*" --recursive --include "*20170604*" &amp; "%USERPROFILE%\Documents\GitHub\mrs-test-scripts\Headless Mode &amp; Sideloading\WalkAndUnGZ.bat" "%USERPROFILE%\AppData\Local\Temp\OnboardLogs"\RTDC4044\2017-06-04</v>
      </c>
      <c r="AF217" s="77" t="str">
        <f t="shared" si="82"/>
        <v>"C:\Program Files (x86)\AstroGrep\AstroGrep.exe" /e /r /s /spath="%USERPROFILE%\AppData\Local\Temp\OnboardLogs" /stypes="app*4044*20170603*" /stext=" 23:.+((SYSTEM_STATE.+slice.+state.+changed )|(ment ac)|(multiple cpu faults)|(system.+state.+changed )|(\[timeout)|(PRM\|1\|D)|(kpr)|(kdp)|(train st.+moving)|(\|lc)|(penalty))"</v>
      </c>
      <c r="AG217" s="1" t="str">
        <f t="shared" si="83"/>
        <v>Other</v>
      </c>
      <c r="AH217" s="81" t="str">
        <f t="shared" si="84"/>
        <v>"%USERPROFILE%\Documents\GitHub\eaglep3\Utilities\RefineRTDCRunTimes.py" --tripid 52-03 --locoid 4044 --swversion DE.1.0.9.0 --startMP 204:1483 --initTime 2017-06-03T17:23:31 --startdatetime 2017-06-03T17:25:20 --delay 1 --endMP 300:23310 --enddatetime 2017-06-03T17:36:23 --enforcementcount 0 &gt;&gt;C:\Users\stu\Documents\GitHub\eaglep3-reporting\EC\2017-06-03-refined-times.txt</v>
      </c>
      <c r="AI217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{"issue":{"subject":"","project_id":79,"tracker_id":40,"status_id":1,"priority_id":2,"assigned_to_id":23,"start_date":"2017-06-03","description":"","custom_fields":[{"id":1,"name":"Subdivision","value":"Other"},{"id":4,"name":"Milepost","value":"2.331"},{"id":17,"name":"Train ID","value":"52-03"},{"id":16,"name":"Locomotive ID","value":"4044"},{"id":130,"name":"Impact","value":""},{"id":150,"name":"Time of Event (Mountain Time)","value":"17:36:23"},{"id":151,"name":"Denver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86"/>
        <v>start /low /b %USERPROFILE%\Documents\GitHub\eaglep3\Utilities\DownloadLogsFromS3.py --loco 4044 --day 2017-06-03</v>
      </c>
      <c r="AN217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792</v>
      </c>
      <c r="B218" s="7">
        <v>4031</v>
      </c>
      <c r="C218" s="21" t="s">
        <v>204</v>
      </c>
      <c r="D218" s="21" t="s">
        <v>982</v>
      </c>
      <c r="E218" s="13">
        <v>42889.735162037039</v>
      </c>
      <c r="F218" s="13">
        <v>42889.73642361111</v>
      </c>
      <c r="G218" s="7">
        <v>1</v>
      </c>
      <c r="H218" s="21" t="s">
        <v>586</v>
      </c>
      <c r="I218" s="13">
        <v>42889.737638888888</v>
      </c>
      <c r="J218" s="7">
        <v>0</v>
      </c>
      <c r="K218" s="92" t="str">
        <f t="shared" si="72"/>
        <v>4031/4032</v>
      </c>
      <c r="L218" s="21" t="str">
        <f>VLOOKUP(A218,'Trips&amp;Operators'!$C$1:$G$99999,5,FALSE)</f>
        <v>ROMERO CHAD</v>
      </c>
      <c r="M218" s="6">
        <f t="shared" si="73"/>
        <v>1.2152777781011537E-3</v>
      </c>
      <c r="N218" s="7">
        <f t="shared" si="71"/>
        <v>1.7500000004656613</v>
      </c>
      <c r="O218" s="7"/>
      <c r="P218" s="7"/>
      <c r="Q218" s="22"/>
      <c r="R218" s="173"/>
      <c r="S218" s="176">
        <f t="shared" si="88"/>
        <v>0</v>
      </c>
      <c r="T218" s="202" t="e">
        <f t="shared" si="74"/>
        <v>#VALUE!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75"/>
        <v>https://d0f6bd738d7f1b3e5a7ca70fe4ff75f0.us-east-1.aws.found.io/app/kibana#/discover/Steve-Slow-Train-Analysis-(2080s-and-2083s)?_g=(refreshInterval:(display:Off,pause:!f,section:0,value:0),time:(from:'2017-06-03T16:38:38-0600',mode:absolute,to:'2017-06-03T18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8" s="204" t="str">
        <f t="shared" si="76"/>
        <v>Y</v>
      </c>
      <c r="X218" s="204" t="e">
        <f t="shared" si="77"/>
        <v>#VALUE!</v>
      </c>
      <c r="Y218" s="204">
        <f t="shared" si="70"/>
        <v>0.31730000000000003</v>
      </c>
      <c r="Z218" s="204">
        <f t="shared" si="78"/>
        <v>1.3599999999999999E-2</v>
      </c>
      <c r="AA218" s="204">
        <f t="shared" si="79"/>
        <v>0.30370000000000003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0"/>
        <v>53-03</v>
      </c>
      <c r="AE218" s="80" t="str">
        <f t="shared" si="81"/>
        <v>aws s3 cp s3://rtdc.mdm.uploadarchive.raw/RTDC4031/ "%USERPROFILE%\AppData\Local\Temp\OnboardLogs"\RTDC4031\2017-06-03 --exclude "*" --recursive --include "*20170603*" &amp; "%USERPROFILE%\Documents\GitHub\mrs-test-scripts\Headless Mode &amp; Sideloading\WalkAndUnGZ.bat" "%USERPROFILE%\AppData\Local\Temp\OnboardLogs"\RTDC4031\2017-06-03 &amp; aws s3 cp s3://rtdc.mdm.uploadarchive.raw/RTDC4031/ "%USERPROFILE%\AppData\Local\Temp\OnboardLogs"\RTDC4031\2017-06-04 --exclude "*" --recursive --include "*20170604*" &amp; "%USERPROFILE%\Documents\GitHub\mrs-test-scripts\Headless Mode &amp; Sideloading\WalkAndUnGZ.bat" "%USERPROFILE%\AppData\Local\Temp\OnboardLogs"\RTDC4031\2017-06-04</v>
      </c>
      <c r="AF218" s="77" t="str">
        <f t="shared" si="82"/>
        <v>"C:\Program Files (x86)\AstroGrep\AstroGrep.exe" /e /r /s /spath="%USERPROFILE%\AppData\Local\Temp\OnboardLogs" /stypes="app*4031*20170603*" /stext=" 23:.+((SYSTEM_STATE.+slice.+state.+changed )|(ment ac)|(multiple cpu faults)|(system.+state.+changed )|(\[timeout)|(PRM\|1\|D)|(kpr)|(kdp)|(train st.+moving)|(\|lc)|(penalty))"</v>
      </c>
      <c r="AG218" s="1" t="str">
        <f t="shared" si="83"/>
        <v>Other</v>
      </c>
      <c r="AH218" s="81" t="str">
        <f t="shared" si="84"/>
        <v>"%USERPROFILE%\Documents\GitHub\eaglep3\Utilities\RefineRTDCRunTimes.py" --tripid 53-03 --locoid 4031 --swversion DE.1.0.9.0 --startMP 204:3173 --initTime 2017-06-03T17:38:38 --startdatetime 2017-06-03T17:40:27 --delay 1 --endMP 204:136 --enddatetime 2017-06-03T17:42:12 --enforcementcount 0 &gt;&gt;C:\Users\stu\Documents\GitHub\eaglep3-reporting\EC\2017-06-03-refined-times.txt</v>
      </c>
      <c r="AI218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{"issue":{"subject":"","project_id":79,"tracker_id":40,"status_id":1,"priority_id":2,"assigned_to_id":23,"start_date":"2017-06-03","description":"","custom_fields":[{"id":1,"name":"Subdivision","value":"Other"},{"id":4,"name":"Milepost","value":"0.0136"},{"id":17,"name":"Train ID","value":"53-03"},{"id":16,"name":"Locomotive ID","value":"4031"},{"id":130,"name":"Impact","value":""},{"id":150,"name":"Time of Event (Mountain Time)","value":"17:42:12"},{"id":151,"name":"Denver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86"/>
        <v>start /low /b %USERPROFILE%\Documents\GitHub\eaglep3\Utilities\DownloadLogsFromS3.py --loco 4031 --day 2017-06-03</v>
      </c>
      <c r="AN218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792</v>
      </c>
      <c r="B219" s="7">
        <v>4032</v>
      </c>
      <c r="C219" s="21" t="s">
        <v>204</v>
      </c>
      <c r="D219" s="21" t="s">
        <v>983</v>
      </c>
      <c r="E219" s="13">
        <v>42889.727939814817</v>
      </c>
      <c r="F219" s="13">
        <v>42889.73642361111</v>
      </c>
      <c r="G219" s="7">
        <v>1</v>
      </c>
      <c r="H219" s="21" t="s">
        <v>984</v>
      </c>
      <c r="I219" s="13">
        <v>42889.737638888888</v>
      </c>
      <c r="J219" s="7">
        <v>0</v>
      </c>
      <c r="K219" s="92" t="str">
        <f t="shared" si="72"/>
        <v>4031/4032</v>
      </c>
      <c r="L219" s="21" t="str">
        <f>VLOOKUP(A219,'Trips&amp;Operators'!$C$1:$G$99999,5,FALSE)</f>
        <v>ROMERO CHAD</v>
      </c>
      <c r="M219" s="6">
        <f t="shared" si="73"/>
        <v>1.2152777781011537E-3</v>
      </c>
      <c r="N219" s="7">
        <f t="shared" si="71"/>
        <v>1.7500000004656613</v>
      </c>
      <c r="O219" s="7"/>
      <c r="P219" s="7"/>
      <c r="Q219" s="22"/>
      <c r="R219" s="173"/>
      <c r="S219" s="176">
        <f t="shared" si="88"/>
        <v>0</v>
      </c>
      <c r="T219" s="202" t="e">
        <f t="shared" si="74"/>
        <v>#VALUE!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75"/>
        <v>https://d0f6bd738d7f1b3e5a7ca70fe4ff75f0.us-east-1.aws.found.io/app/kibana#/discover/Steve-Slow-Train-Analysis-(2080s-and-2083s)?_g=(refreshInterval:(display:Off,pause:!f,section:0,value:0),time:(from:'2017-06-03T16:28:14-0600',mode:absolute,to:'2017-06-03T18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9" s="204" t="str">
        <f t="shared" si="76"/>
        <v>Y</v>
      </c>
      <c r="X219" s="204" t="e">
        <f t="shared" si="77"/>
        <v>#VALUE!</v>
      </c>
      <c r="Y219" s="204">
        <f t="shared" si="70"/>
        <v>0.1154</v>
      </c>
      <c r="Z219" s="204">
        <f t="shared" si="78"/>
        <v>0.34989999999999999</v>
      </c>
      <c r="AA219" s="204">
        <f t="shared" si="79"/>
        <v>0.23449999999999999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0"/>
        <v>53-03</v>
      </c>
      <c r="AE219" s="80" t="str">
        <f t="shared" si="81"/>
        <v>aws s3 cp s3://rtdc.mdm.uploadarchive.raw/RTDC4032/ "%USERPROFILE%\AppData\Local\Temp\OnboardLogs"\RTDC4032\2017-06-03 --exclude "*" --recursive --include "*20170603*" &amp; "%USERPROFILE%\Documents\GitHub\mrs-test-scripts\Headless Mode &amp; Sideloading\WalkAndUnGZ.bat" "%USERPROFILE%\AppData\Local\Temp\OnboardLogs"\RTDC4032\2017-06-03 &amp; aws s3 cp s3://rtdc.mdm.uploadarchive.raw/RTDC4032/ "%USERPROFILE%\AppData\Local\Temp\OnboardLogs"\RTDC4032\2017-06-04 --exclude "*" --recursive --include "*20170604*" &amp; "%USERPROFILE%\Documents\GitHub\mrs-test-scripts\Headless Mode &amp; Sideloading\WalkAndUnGZ.bat" "%USERPROFILE%\AppData\Local\Temp\OnboardLogs"\RTDC4032\2017-06-04</v>
      </c>
      <c r="AF219" s="77" t="str">
        <f t="shared" si="82"/>
        <v>"C:\Program Files (x86)\AstroGrep\AstroGrep.exe" /e /r /s /spath="%USERPROFILE%\AppData\Local\Temp\OnboardLogs" /stypes="app*4032*20170603*" /stext=" 23:.+((SYSTEM_STATE.+slice.+state.+changed )|(ment ac)|(multiple cpu faults)|(system.+state.+changed )|(\[timeout)|(PRM\|1\|D)|(kpr)|(kdp)|(train st.+moving)|(\|lc)|(penalty))"</v>
      </c>
      <c r="AG219" s="1" t="str">
        <f t="shared" si="83"/>
        <v>Other</v>
      </c>
      <c r="AH219" s="81" t="str">
        <f t="shared" si="84"/>
        <v>"%USERPROFILE%\Documents\GitHub\eaglep3\Utilities\RefineRTDCRunTimes.py" --tripid 53-03 --locoid 4032 --swversion DE.1.0.9.0 --startMP 204:1154 --initTime 2017-06-03T17:28:14 --startdatetime 2017-06-03T17:40:27 --delay 1 --endMP 204:3499 --enddatetime 2017-06-03T17:42:12 --enforcementcount 0 &gt;&gt;C:\Users\stu\Documents\GitHub\eaglep3-reporting\EC\2017-06-03-refined-times.txt</v>
      </c>
      <c r="AI219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{"issue":{"subject":"","project_id":79,"tracker_id":40,"status_id":1,"priority_id":2,"assigned_to_id":23,"start_date":"2017-06-03","description":"","custom_fields":[{"id":1,"name":"Subdivision","value":"Other"},{"id":4,"name":"Milepost","value":"0.3499"},{"id":17,"name":"Train ID","value":"53-03"},{"id":16,"name":"Locomotive ID","value":"4032"},{"id":130,"name":"Impact","value":""},{"id":150,"name":"Time of Event (Mountain Time)","value":"17:42:12"},{"id":151,"name":"Denver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86"/>
        <v>start /low /b %USERPROFILE%\Documents\GitHub\eaglep3\Utilities\DownloadLogsFromS3.py --loco 4032 --day 2017-06-03</v>
      </c>
      <c r="AN219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23:42:12"},{"id":29,"name":"Sharepoint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739</v>
      </c>
      <c r="B220" s="7">
        <v>4023</v>
      </c>
      <c r="C220" s="21" t="s">
        <v>204</v>
      </c>
      <c r="D220" s="21" t="s">
        <v>985</v>
      </c>
      <c r="E220" s="13">
        <v>42889.515081018515</v>
      </c>
      <c r="F220" s="13">
        <v>42889.516631944447</v>
      </c>
      <c r="G220" s="7">
        <v>1</v>
      </c>
      <c r="H220" s="21" t="s">
        <v>864</v>
      </c>
      <c r="I220" s="13">
        <v>42889.517777777779</v>
      </c>
      <c r="J220" s="7">
        <v>0</v>
      </c>
      <c r="K220" s="92" t="str">
        <f t="shared" si="72"/>
        <v>4023/4024</v>
      </c>
      <c r="L220" s="21" t="str">
        <f>VLOOKUP(A220,'Trips&amp;Operators'!$C$1:$G$99999,5,FALSE)</f>
        <v>ROMERO CHAD</v>
      </c>
      <c r="M220" s="6">
        <f t="shared" si="73"/>
        <v>1.1458333319751546E-3</v>
      </c>
      <c r="N220" s="7">
        <f t="shared" si="71"/>
        <v>1.6499999980442226</v>
      </c>
      <c r="O220" s="7"/>
      <c r="P220" s="7"/>
      <c r="Q220" s="22"/>
      <c r="R220" s="173"/>
      <c r="S220" s="176">
        <f t="shared" si="88"/>
        <v>0</v>
      </c>
      <c r="T220" s="202" t="e">
        <f t="shared" si="74"/>
        <v>#VALUE!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 t="shared" si="75"/>
        <v>https://d0f6bd738d7f1b3e5a7ca70fe4ff75f0.us-east-1.aws.found.io/app/kibana#/discover/Steve-Slow-Train-Analysis-(2080s-and-2083s)?_g=(refreshInterval:(display:Off,pause:!f,section:0,value:0),time:(from:'2017-06-03T11:21:43-0600',mode:absolute,to:'2017-06-03T13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0" s="204" t="str">
        <f t="shared" si="76"/>
        <v>Y</v>
      </c>
      <c r="X220" s="204" t="e">
        <f t="shared" si="77"/>
        <v>#VALUE!</v>
      </c>
      <c r="Y220" s="204">
        <f t="shared" si="70"/>
        <v>0.32250000000000001</v>
      </c>
      <c r="Z220" s="204">
        <f t="shared" si="78"/>
        <v>1.2999999999999999E-2</v>
      </c>
      <c r="AA220" s="204">
        <f t="shared" si="79"/>
        <v>0.3095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0"/>
        <v>59-03</v>
      </c>
      <c r="AE220" s="80" t="str">
        <f t="shared" si="81"/>
        <v>aws s3 cp s3://rtdc.mdm.uploadarchive.raw/RTDC4023/ "%USERPROFILE%\AppData\Local\Temp\OnboardLogs"\RTDC4023\2017-06-03 --exclude "*" --recursive --include "*20170603*" &amp; "%USERPROFILE%\Documents\GitHub\mrs-test-scripts\Headless Mode &amp; Sideloading\WalkAndUnGZ.bat" "%USERPROFILE%\AppData\Local\Temp\OnboardLogs"\RTDC4023\2017-06-03 &amp; 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</v>
      </c>
      <c r="AF220" s="77" t="str">
        <f t="shared" si="82"/>
        <v>"C:\Program Files (x86)\AstroGrep\AstroGrep.exe" /e /r /s /spath="%USERPROFILE%\AppData\Local\Temp\OnboardLogs" /stypes="app*4023*20170603*" /stext=" 18:.+((SYSTEM_STATE.+slice.+state.+changed )|(ment ac)|(multiple cpu faults)|(system.+state.+changed )|(\[timeout)|(PRM\|1\|D)|(kpr)|(kdp)|(train st.+moving)|(\|lc)|(penalty))"</v>
      </c>
      <c r="AG220" s="1" t="str">
        <f t="shared" si="83"/>
        <v>Other</v>
      </c>
      <c r="AH220" s="81" t="str">
        <f t="shared" si="84"/>
        <v>"%USERPROFILE%\Documents\GitHub\eaglep3\Utilities\RefineRTDCRunTimes.py" --tripid 59-03 --locoid 4023 --swversion DE.1.0.9.0 --startMP 204:3225 --initTime 2017-06-03T12:21:43 --startdatetime 2017-06-03T12:23:57 --delay 1 --endMP 204:130 --enddatetime 2017-06-03T12:25:36 --enforcementcount 0 &gt;&gt;C:\Users\stu\Documents\GitHub\eaglep3-reporting\EC\2017-06-03-refined-times.txt</v>
      </c>
      <c r="AI220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{"issue":{"subject":"","project_id":79,"tracker_id":40,"status_id":1,"priority_id":2,"assigned_to_id":23,"start_date":"2017-06-03","description":"","custom_fields":[{"id":1,"name":"Subdivision","value":"Other"},{"id":4,"name":"Milepost","value":"0.013"},{"id":17,"name":"Train ID","value":"59-03"},{"id":16,"name":"Locomotive ID","value":"4023"},{"id":130,"name":"Impact","value":""},{"id":150,"name":"Time of Event (Mountain Time)","value":"12:25:36"},{"id":151,"name":"Denver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86"/>
        <v>start /low /b %USERPROFILE%\Documents\GitHub\eaglep3\Utilities\DownloadLogsFromS3.py --loco 4023 --day 2017-06-03</v>
      </c>
      <c r="AN220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2" t="s">
        <v>739</v>
      </c>
      <c r="B221" s="7">
        <v>4024</v>
      </c>
      <c r="C221" s="21" t="s">
        <v>204</v>
      </c>
      <c r="D221" s="21" t="s">
        <v>986</v>
      </c>
      <c r="E221" s="13">
        <v>42889.503379629627</v>
      </c>
      <c r="F221" s="13">
        <v>42889.516631944447</v>
      </c>
      <c r="G221" s="7">
        <v>1</v>
      </c>
      <c r="H221" s="21" t="s">
        <v>987</v>
      </c>
      <c r="I221" s="13">
        <v>42889.517777777779</v>
      </c>
      <c r="J221" s="7">
        <v>0</v>
      </c>
      <c r="K221" s="92" t="str">
        <f t="shared" si="72"/>
        <v>4023/4024</v>
      </c>
      <c r="L221" s="21" t="str">
        <f>VLOOKUP(A221,'Trips&amp;Operators'!$C$1:$G$99999,5,FALSE)</f>
        <v>ROMERO CHAD</v>
      </c>
      <c r="M221" s="6">
        <f t="shared" si="73"/>
        <v>1.1458333319751546E-3</v>
      </c>
      <c r="N221" s="7">
        <f t="shared" si="71"/>
        <v>1.6499999980442226</v>
      </c>
      <c r="O221" s="7"/>
      <c r="P221" s="7"/>
      <c r="Q221" s="22"/>
      <c r="R221" s="173"/>
      <c r="S221" s="176">
        <f t="shared" si="88"/>
        <v>0</v>
      </c>
      <c r="T221" s="202" t="e">
        <f t="shared" si="74"/>
        <v>#VALUE!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03" t="str">
        <f t="shared" si="75"/>
        <v>https://d0f6bd738d7f1b3e5a7ca70fe4ff75f0.us-east-1.aws.found.io/app/kibana#/discover/Steve-Slow-Train-Analysis-(2080s-and-2083s)?_g=(refreshInterval:(display:Off,pause:!f,section:0,value:0),time:(from:'2017-06-03T11:04:52-0600',mode:absolute,to:'2017-06-03T13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1" s="204" t="str">
        <f t="shared" si="76"/>
        <v>Y</v>
      </c>
      <c r="X221" s="204" t="e">
        <f t="shared" si="77"/>
        <v>#VALUE!</v>
      </c>
      <c r="Y221" s="204">
        <f t="shared" si="70"/>
        <v>0.14879999999999999</v>
      </c>
      <c r="Z221" s="204">
        <f t="shared" si="78"/>
        <v>0.35249999999999998</v>
      </c>
      <c r="AA221" s="204">
        <f t="shared" si="79"/>
        <v>0.20369999999999999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0"/>
        <v>59-03</v>
      </c>
      <c r="AE221" s="80" t="str">
        <f t="shared" si="81"/>
        <v>aws s3 cp s3://rtdc.mdm.uploadarchive.raw/RTDC4024/ "%USERPROFILE%\AppData\Local\Temp\OnboardLogs"\RTDC4024\2017-06-03 --exclude "*" --recursive --include "*20170603*" &amp; "%USERPROFILE%\Documents\GitHub\mrs-test-scripts\Headless Mode &amp; Sideloading\WalkAndUnGZ.bat" "%USERPROFILE%\AppData\Local\Temp\OnboardLogs"\RTDC4024\2017-06-03 &amp; 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</v>
      </c>
      <c r="AF221" s="77" t="str">
        <f t="shared" si="82"/>
        <v>"C:\Program Files (x86)\AstroGrep\AstroGrep.exe" /e /r /s /spath="%USERPROFILE%\AppData\Local\Temp\OnboardLogs" /stypes="app*4024*20170603*" /stext=" 18:.+((SYSTEM_STATE.+slice.+state.+changed )|(ment ac)|(multiple cpu faults)|(system.+state.+changed )|(\[timeout)|(PRM\|1\|D)|(kpr)|(kdp)|(train st.+moving)|(\|lc)|(penalty))"</v>
      </c>
      <c r="AG221" s="1" t="str">
        <f t="shared" si="83"/>
        <v>Other</v>
      </c>
      <c r="AH221" s="81" t="str">
        <f t="shared" si="84"/>
        <v>"%USERPROFILE%\Documents\GitHub\eaglep3\Utilities\RefineRTDCRunTimes.py" --tripid 59-03 --locoid 4024 --swversion DE.1.0.9.0 --startMP 204:1488 --initTime 2017-06-03T12:04:52 --startdatetime 2017-06-03T12:23:57 --delay 1 --endMP 204:3525 --enddatetime 2017-06-03T12:25:36 --enforcementcount 0 &gt;&gt;C:\Users\stu\Documents\GitHub\eaglep3-reporting\EC\2017-06-03-refined-times.txt</v>
      </c>
      <c r="AI221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{"issue":{"subject":"","project_id":79,"tracker_id":40,"status_id":1,"priority_id":2,"assigned_to_id":23,"start_date":"2017-06-03","description":"","custom_fields":[{"id":1,"name":"Subdivision","value":"Other"},{"id":4,"name":"Milepost","value":"0.3525"},{"id":17,"name":"Train ID","value":"59-03"},{"id":16,"name":"Locomotive ID","value":"4024"},{"id":130,"name":"Impact","value":""},{"id":150,"name":"Time of Event (Mountain Time)","value":"12:25:36"},{"id":151,"name":"Denver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5" t="str">
        <f t="shared" si="86"/>
        <v>start /low /b %USERPROFILE%\Documents\GitHub\eaglep3\Utilities\DownloadLogsFromS3.py --loco 4024 --day 2017-06-03</v>
      </c>
      <c r="AN221" s="154" t="str">
        <f t="shared" si="87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18:25:36"},{"id":29,"name":"Sharepoint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803</v>
      </c>
      <c r="B222" s="7">
        <v>4015</v>
      </c>
      <c r="C222" s="21" t="s">
        <v>204</v>
      </c>
      <c r="D222" s="21" t="s">
        <v>988</v>
      </c>
      <c r="E222" s="13">
        <v>42889.755104166667</v>
      </c>
      <c r="F222" s="13">
        <v>42889.7578587963</v>
      </c>
      <c r="G222" s="7">
        <v>3</v>
      </c>
      <c r="H222" s="21" t="s">
        <v>989</v>
      </c>
      <c r="I222" s="13">
        <v>42889.764305555553</v>
      </c>
      <c r="J222" s="7">
        <v>0</v>
      </c>
      <c r="K222" s="92" t="str">
        <f t="shared" si="72"/>
        <v>4015/4016</v>
      </c>
      <c r="L222" s="21" t="str">
        <f>VLOOKUP(A222,'Trips&amp;Operators'!$C$1:$G$99999,5,FALSE)</f>
        <v>MAGEE KENYA</v>
      </c>
      <c r="M222" s="6">
        <f t="shared" si="73"/>
        <v>6.4467592528671958E-3</v>
      </c>
      <c r="N222" s="7">
        <f t="shared" si="71"/>
        <v>9.2833333241287619</v>
      </c>
      <c r="O222" s="7"/>
      <c r="P222" s="7"/>
      <c r="Q222" s="22"/>
      <c r="R222" s="173"/>
      <c r="S222" s="176">
        <f t="shared" si="88"/>
        <v>0</v>
      </c>
      <c r="T222" s="202" t="e">
        <f t="shared" si="74"/>
        <v>#VALUE!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 t="shared" si="75"/>
        <v>https://d0f6bd738d7f1b3e5a7ca70fe4ff75f0.us-east-1.aws.found.io/app/kibana#/discover/Steve-Slow-Train-Analysis-(2080s-and-2083s)?_g=(refreshInterval:(display:Off,pause:!f,section:0,value:0),time:(from:'2017-06-03T17:07:21-0600',mode:absolute,to:'2017-06-03T19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204" t="str">
        <f t="shared" si="76"/>
        <v>Y</v>
      </c>
      <c r="X222" s="204" t="e">
        <f t="shared" si="77"/>
        <v>#VALUE!</v>
      </c>
      <c r="Y222" s="204">
        <f t="shared" si="70"/>
        <v>2.2219000000000002</v>
      </c>
      <c r="Z222" s="204">
        <f t="shared" si="78"/>
        <v>0.18160000000000001</v>
      </c>
      <c r="AA222" s="204">
        <f t="shared" si="79"/>
        <v>2.0403000000000002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0"/>
        <v>70-03</v>
      </c>
      <c r="AE222" s="80" t="str">
        <f t="shared" si="81"/>
        <v>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 &amp; aws s3 cp s3://rtdc.mdm.uploadarchive.raw/RTDC4015/ "%USERPROFILE%\AppData\Local\Temp\OnboardLogs"\RTDC4015\2017-06-04 --exclude "*" --recursive --include "*20170604*" &amp; "%USERPROFILE%\Documents\GitHub\mrs-test-scripts\Headless Mode &amp; Sideloading\WalkAndUnGZ.bat" "%USERPROFILE%\AppData\Local\Temp\OnboardLogs"\RTDC4015\2017-06-04</v>
      </c>
      <c r="AF222" s="77" t="str">
        <f t="shared" si="82"/>
        <v>"C:\Program Files (x86)\AstroGrep\AstroGrep.exe" /e /r /s /spath="%USERPROFILE%\AppData\Local\Temp\OnboardLogs" /stypes="app*4015*20170604*" /stext=" 00:.+((SYSTEM_STATE.+slice.+state.+changed )|(ment ac)|(multiple cpu faults)|(system.+state.+changed )|(\[timeout)|(PRM\|1\|D)|(kpr)|(kdp)|(train st.+moving)|(\|lc)|(penalty))"</v>
      </c>
      <c r="AG222" s="1" t="str">
        <f t="shared" si="83"/>
        <v>Other</v>
      </c>
      <c r="AH222" s="81" t="str">
        <f t="shared" si="84"/>
        <v>"%USERPROFILE%\Documents\GitHub\eaglep3\Utilities\RefineRTDCRunTimes.py" --tripid 70-03 --locoid 4015 --swversion DE.1.0.9.0 --startMP 300:22219 --initTime 2017-06-03T18:07:21 --startdatetime 2017-06-03T18:11:19 --delay 3 --endMP 204:1816 --enddatetime 2017-06-03T18:20:36 --enforcementcount 0 &gt;&gt;C:\Users\stu\Documents\GitHub\eaglep3-reporting\EC\2017-06-03-refined-times.txt</v>
      </c>
      <c r="AI222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{"issue":{"subject":"","project_id":79,"tracker_id":40,"status_id":1,"priority_id":2,"assigned_to_id":23,"start_date":"2017-06-03","description":"","custom_fields":[{"id":1,"name":"Subdivision","value":"Other"},{"id":4,"name":"Milepost","value":"0.1816"},{"id":17,"name":"Train ID","value":"70-03"},{"id":16,"name":"Locomotive ID","value":"4015"},{"id":130,"name":"Impact","value":""},{"id":150,"name":"Time of Event (Mountain Time)","value":"18:20:36"},{"id":151,"name":"Denver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86"/>
        <v>start /low /b %USERPROFILE%\Documents\GitHub\eaglep3\Utilities\DownloadLogsFromS3.py --loco 4015 --day 2017-06-03</v>
      </c>
      <c r="AN222" s="154" t="str">
        <f t="shared" si="87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798</v>
      </c>
      <c r="B223" s="7">
        <v>4024</v>
      </c>
      <c r="C223" s="21" t="s">
        <v>204</v>
      </c>
      <c r="D223" s="21" t="s">
        <v>990</v>
      </c>
      <c r="E223" s="13">
        <v>42889.745416666665</v>
      </c>
      <c r="F223" s="13">
        <v>42889.746886574074</v>
      </c>
      <c r="G223" s="7">
        <v>1</v>
      </c>
      <c r="H223" s="21" t="s">
        <v>981</v>
      </c>
      <c r="I223" s="13">
        <v>42889.753865740742</v>
      </c>
      <c r="J223" s="7">
        <v>0</v>
      </c>
      <c r="K223" s="92" t="str">
        <f t="shared" si="72"/>
        <v>4023/4024</v>
      </c>
      <c r="L223" s="21" t="str">
        <f>VLOOKUP(A223,'Trips&amp;Operators'!$C$1:$G$99999,5,FALSE)</f>
        <v>ROMERO CHAD</v>
      </c>
      <c r="M223" s="6">
        <f t="shared" si="73"/>
        <v>6.9791666683158837E-3</v>
      </c>
      <c r="N223" s="7">
        <f t="shared" si="71"/>
        <v>10.050000002374873</v>
      </c>
      <c r="O223" s="7"/>
      <c r="P223" s="7"/>
      <c r="Q223" s="22"/>
      <c r="R223" s="173"/>
      <c r="S223" s="176">
        <f t="shared" si="88"/>
        <v>0</v>
      </c>
      <c r="T223" s="202" t="e">
        <f t="shared" si="74"/>
        <v>#VALUE!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75"/>
        <v>https://d0f6bd738d7f1b3e5a7ca70fe4ff75f0.us-east-1.aws.found.io/app/kibana#/discover/Steve-Slow-Train-Analysis-(2080s-and-2083s)?_g=(refreshInterval:(display:Off,pause:!f,section:0,value:0),time:(from:'2017-06-03T16:53:24-0600',mode:absolute,to:'2017-06-03T19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3" s="204" t="str">
        <f t="shared" si="76"/>
        <v>Y</v>
      </c>
      <c r="X223" s="204" t="e">
        <f t="shared" si="77"/>
        <v>#VALUE!</v>
      </c>
      <c r="Y223" s="204">
        <f t="shared" si="70"/>
        <v>0.11550000000000001</v>
      </c>
      <c r="Z223" s="204">
        <f t="shared" si="78"/>
        <v>2.331</v>
      </c>
      <c r="AA223" s="204">
        <f t="shared" si="79"/>
        <v>2.2155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0"/>
        <v>71-03</v>
      </c>
      <c r="AE223" s="80" t="str">
        <f t="shared" si="81"/>
        <v>aws s3 cp s3://rtdc.mdm.uploadarchive.raw/RTDC4024/ "%USERPROFILE%\AppData\Local\Temp\OnboardLogs"\RTDC4024\2017-06-03 --exclude "*" --recursive --include "*20170603*" &amp; "%USERPROFILE%\Documents\GitHub\mrs-test-scripts\Headless Mode &amp; Sideloading\WalkAndUnGZ.bat" "%USERPROFILE%\AppData\Local\Temp\OnboardLogs"\RTDC4024\2017-06-03 &amp; 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</v>
      </c>
      <c r="AF223" s="77" t="str">
        <f t="shared" si="82"/>
        <v>"C:\Program Files (x86)\AstroGrep\AstroGrep.exe" /e /r /s /spath="%USERPROFILE%\AppData\Local\Temp\OnboardLogs" /stypes="app*4024*20170604*" /stext=" 00:.+((SYSTEM_STATE.+slice.+state.+changed )|(ment ac)|(multiple cpu faults)|(system.+state.+changed )|(\[timeout)|(PRM\|1\|D)|(kpr)|(kdp)|(train st.+moving)|(\|lc)|(penalty))"</v>
      </c>
      <c r="AG223" s="1" t="str">
        <f t="shared" si="83"/>
        <v>Other</v>
      </c>
      <c r="AH223" s="81" t="str">
        <f t="shared" si="84"/>
        <v>"%USERPROFILE%\Documents\GitHub\eaglep3\Utilities\RefineRTDCRunTimes.py" --tripid 71-03 --locoid 4024 --swversion DE.1.0.9.0 --startMP 204:1155 --initTime 2017-06-03T17:53:24 --startdatetime 2017-06-03T17:55:31 --delay 1 --endMP 300:23310 --enddatetime 2017-06-03T18:05:34 --enforcementcount 0 &gt;&gt;C:\Users\stu\Documents\GitHub\eaglep3-reporting\EC\2017-06-03-refined-times.txt</v>
      </c>
      <c r="AI223" s="99" t="str">
        <f t="shared" si="85"/>
        <v>echo {"issue":{"subject":"","project_id":79,"tracker_id":40,"status_id":1,"priority_id":2,"assigned_to_id":23,"start_date":"2017-06-03","description":"","custom_fields":[{"id":1,"name":"Subdivision","value":"Other"},{"id":4,"name":"Milepost","value":"2.331"},{"id":17,"name":"Train ID","value":"71-03"},{"id":16,"name":"Locomotive ID","value":"4024"},{"id":130,"name":"Impact","value":""},{"id":150,"name":"Time of Event (Mountain Time)","value":"18:05:34"},{"id":151,"name":"Denver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86"/>
        <v>start /low /b %USERPROFILE%\Documents\GitHub\eaglep3\Utilities\DownloadLogsFromS3.py --loco 4024 --day 2017-06-03</v>
      </c>
      <c r="AN223" s="154" t="str">
        <f t="shared" si="87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00:05:34"},{"id":29,"name":"Sharepoint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</sheetData>
  <autoFilter ref="A12:AG274">
    <sortState ref="A13:AG274">
      <sortCondition ref="AG13:AG223"/>
      <sortCondition ref="AD13:AD223"/>
    </sortState>
  </autoFilter>
  <sortState ref="A13:AH200">
    <sortCondition ref="AG13:AG200"/>
    <sortCondition ref="AD13:AD200"/>
  </sortState>
  <mergeCells count="1">
    <mergeCell ref="A11:P11"/>
  </mergeCells>
  <conditionalFormatting sqref="W11:W12 W278:X1048576 W13:X223">
    <cfRule type="cellIs" dxfId="10" priority="401" operator="equal">
      <formula>"Y"</formula>
    </cfRule>
  </conditionalFormatting>
  <conditionalFormatting sqref="X278:X1048576 X13:X223">
    <cfRule type="cellIs" dxfId="9" priority="384" operator="greaterThan">
      <formula>1</formula>
    </cfRule>
  </conditionalFormatting>
  <conditionalFormatting sqref="X278:X1048576 X12:X223">
    <cfRule type="cellIs" dxfId="8" priority="381" operator="equal">
      <formula>0</formula>
    </cfRule>
  </conditionalFormatting>
  <conditionalFormatting sqref="A13:S223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9"/>
  <sheetViews>
    <sheetView topLeftCell="A2" zoomScaleNormal="100" workbookViewId="0">
      <selection activeCell="P21" sqref="P2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COUNTIF($O$7:$O$281,"=Y")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COUNTA($O$7:$O$281)-O2</f>
        <v>23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- 2017-06-03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42890.061180555553</v>
      </c>
      <c r="B7" s="30" t="s">
        <v>438</v>
      </c>
      <c r="C7" s="30" t="s">
        <v>641</v>
      </c>
      <c r="D7" s="30" t="s">
        <v>98</v>
      </c>
      <c r="E7" s="30" t="s">
        <v>189</v>
      </c>
      <c r="F7" s="42">
        <v>0</v>
      </c>
      <c r="G7" s="42">
        <v>119</v>
      </c>
      <c r="H7" s="42">
        <v>27333</v>
      </c>
      <c r="I7" s="42">
        <v>27234</v>
      </c>
      <c r="J7" s="30" t="s">
        <v>190</v>
      </c>
      <c r="K7" s="42">
        <v>27350</v>
      </c>
      <c r="L7" s="134" t="s">
        <v>51</v>
      </c>
      <c r="M7" s="135">
        <f t="shared" ref="M7:M31" si="0">CONVERT((I7-K7)/10000,"mi","ft")*IF(L7="Increasing Mileposts (1)",-1,1)</f>
        <v>-61.247999999999998</v>
      </c>
      <c r="N7" s="136" t="str">
        <f>VLOOKUP(C7,'Trips&amp;Operators'!$C$1:$G$99999,5,FALSE)</f>
        <v>PERKINS DARREN</v>
      </c>
      <c r="O7" s="210" t="s">
        <v>182</v>
      </c>
      <c r="P7" s="137" t="s">
        <v>404</v>
      </c>
      <c r="Q7" s="30"/>
      <c r="R7" s="84" t="str">
        <f>VLOOKUP(C7,'Train Runs'!$A$13:$AE$9933,31,0)</f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S7" s="87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-06-03T23:53:12-0600',mode:absolute,to:'2017-06-04T02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9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/stypes="*4025*201706040*" /stext=" 07:.+((SYSTEM_STATE.+slice.+state.+changed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4025</v>
      </c>
      <c r="V7" s="31">
        <f t="shared" ref="V7:V31" si="3">A7-utc_offset/24</f>
        <v>42890.311180555553</v>
      </c>
      <c r="W7" s="45" t="str">
        <f t="shared" ref="W7:W31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1" si="5">IF(AND(E7="TRACK WARRANT AUTHORITY",G7&lt;10),"OMIT","KEEP")</f>
        <v>KEEP</v>
      </c>
      <c r="Y7" s="99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arrival","project_id":79,"tracker_id":40,"status_id":1,"priority_id":2,"assigned_to_id":23,"start_date":"2017-06-04","description":"","custom_fields":[{"id":1,"name":"Subdivision","value":"EC"},{"id":4,"name":"Milepost","value":"2.735"},{"id":17,"name":"Train ID","value":"242-03"},{"id":16,"name":"Locomotive ID","value":"4025"},{"id":130,"name":"Impact","value":""},{"id":150,"name":"Time of Event (Mountain Time)","value":"01:28:06"},{"id":151,"name":"Denver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1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/cygdrive/c/Users/stu/AppData/Local/Temp/OnboardLogs/RTDC4025 --include="*4025*201706040*"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"%USERPROFILE%\AppData\Local\Temp\OnboardLogs"\RTDC4025\*4025*201706040* &gt;&gt; 2017-06-03-SliceDisagreementCheck.txt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4025 --day 2017-06-04</v>
      </c>
    </row>
    <row r="8" spans="1:32" s="1" customFormat="1" x14ac:dyDescent="0.25">
      <c r="A8" s="31">
        <v>42889.643252314818</v>
      </c>
      <c r="B8" s="30" t="s">
        <v>407</v>
      </c>
      <c r="C8" s="30" t="s">
        <v>634</v>
      </c>
      <c r="D8" s="30" t="s">
        <v>49</v>
      </c>
      <c r="E8" s="30" t="s">
        <v>189</v>
      </c>
      <c r="F8" s="42">
        <v>150</v>
      </c>
      <c r="G8" s="42">
        <v>216</v>
      </c>
      <c r="H8" s="42">
        <v>31326</v>
      </c>
      <c r="I8" s="42">
        <v>30940</v>
      </c>
      <c r="J8" s="30" t="s">
        <v>190</v>
      </c>
      <c r="K8" s="42">
        <v>30970</v>
      </c>
      <c r="L8" s="134" t="s">
        <v>51</v>
      </c>
      <c r="M8" s="135">
        <f t="shared" si="0"/>
        <v>-15.84</v>
      </c>
      <c r="N8" s="136" t="str">
        <f>VLOOKUP(C8,'Trips&amp;Operators'!$C$1:$G$99999,5,FALSE)</f>
        <v>DELGADO DIANAH</v>
      </c>
      <c r="O8" s="210" t="s">
        <v>182</v>
      </c>
      <c r="P8" s="137" t="s">
        <v>404</v>
      </c>
      <c r="Q8" s="30"/>
      <c r="R8" s="84" t="str">
        <f>VLOOKUP(C8,'Train Runs'!$A$13:$AE$9933,31,0)</f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S8" s="87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-06-03T13:38:04-0600',mode:absolute,to:'2017-06-03T16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8" s="89" t="str">
        <f t="shared" si="1"/>
        <v>"C:\Program Files (x86)\AstroGrep\AstroGrep.exe" /e /r /s /spath="%USERPROFILE%\AppData\Local\Temp\OnboardLogs" /stypes="*4049*201706032*"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4049</v>
      </c>
      <c r="V8" s="31">
        <f t="shared" si="3"/>
        <v>42889.893252314818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arrival","project_id":79,"tracker_id":40,"status_id":1,"priority_id":2,"assigned_to_id":23,"start_date":"2017-06-03","description":"","custom_fields":[{"id":1,"name":"Subdivision","value":"EC"},{"id":4,"name":"Milepost","value":"3.097"},{"id":17,"name":"Train ID","value":"184-03"},{"id":16,"name":"Locomotive ID","value":"4049"},{"id":130,"name":"Impact","value":""},{"id":150,"name":"Time of Event (Mountain Time)","value":"15:26:17"},{"id":151,"name":"Denver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/cygdrive/c/Users/stu/AppData/Local/Temp/OnboardLogs/RTDC4049 --include="*4049*201706032*"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"%USERPROFILE%\AppData\Local\Temp\OnboardLogs"\RTDC4049\*4049*201706032* &gt;&gt; 2017-06-03-SliceDisagreementCheck.txt</v>
      </c>
      <c r="AE8" s="148" t="str">
        <f t="shared" ref="AE8:AE31" si="9">"start /low /b "&amp;dls3logs&amp;" --loco "&amp;U8&amp;" --day "&amp;TEXT(V8,"YYYY-MM-DD")</f>
        <v>start /low /b %USERPROFILE%\Documents\GitHub\eaglep3\Utilities\DownloadLogsFromS3.py --loco 4049 --day 2017-06-03</v>
      </c>
    </row>
    <row r="9" spans="1:32" s="1" customFormat="1" x14ac:dyDescent="0.25">
      <c r="A9" s="31">
        <v>42889.498703703706</v>
      </c>
      <c r="B9" s="30" t="s">
        <v>407</v>
      </c>
      <c r="C9" s="30" t="s">
        <v>631</v>
      </c>
      <c r="D9" s="30" t="s">
        <v>49</v>
      </c>
      <c r="E9" s="30" t="s">
        <v>189</v>
      </c>
      <c r="F9" s="42">
        <v>0</v>
      </c>
      <c r="G9" s="42">
        <v>185</v>
      </c>
      <c r="H9" s="42">
        <v>33365</v>
      </c>
      <c r="I9" s="42">
        <v>33183</v>
      </c>
      <c r="J9" s="30" t="s">
        <v>190</v>
      </c>
      <c r="K9" s="42">
        <v>33257</v>
      </c>
      <c r="L9" s="134" t="s">
        <v>51</v>
      </c>
      <c r="M9" s="135">
        <f t="shared" si="0"/>
        <v>-39.072000000000003</v>
      </c>
      <c r="N9" s="136" t="str">
        <f>VLOOKUP(C9,'Trips&amp;Operators'!$C$1:$G$99999,5,FALSE)</f>
        <v>DAVIDSON DAVID</v>
      </c>
      <c r="O9" s="210" t="s">
        <v>182</v>
      </c>
      <c r="P9" s="137" t="s">
        <v>404</v>
      </c>
      <c r="Q9" s="30"/>
      <c r="R9" s="84" t="str">
        <f>VLOOKUP(C9,'Train Runs'!$A$13:$AE$9933,31,0)</f>
        <v>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 &amp; 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</v>
      </c>
      <c r="S9" s="87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-06-03T10:09:51-0600',mode:absolute,to:'2017-06-03T13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9" t="str">
        <f t="shared" si="1"/>
        <v>"C:\Program Files (x86)\AstroGrep\AstroGrep.exe" /e /r /s /spath="%USERPROFILE%\AppData\Local\Temp\OnboardLogs" /stypes="*4049*201706031*"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4049</v>
      </c>
      <c r="V9" s="31">
        <f t="shared" si="3"/>
        <v>42889.748703703706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arrival","project_id":79,"tracker_id":40,"status_id":1,"priority_id":2,"assigned_to_id":23,"start_date":"2017-06-03","description":"","custom_fields":[{"id":1,"name":"Subdivision","value":"EC"},{"id":4,"name":"Milepost","value":"3.3257"},{"id":17,"name":"Train ID","value":"156-03"},{"id":16,"name":"Locomotive ID","value":"4049"},{"id":130,"name":"Impact","value":""},{"id":150,"name":"Time of Event (Mountain Time)","value":"11:58:08"},{"id":151,"name":"Denver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/cygdrive/c/Users/stu/AppData/Local/Temp/OnboardLogs/RTDC4049 --include="*4049*201706031*"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"%USERPROFILE%\AppData\Local\Temp\OnboardLogs"\RTDC4049\*4049*201706031* &gt;&gt; 2017-06-03-SliceDisagreementCheck.txt</v>
      </c>
      <c r="AE9" s="148" t="str">
        <f t="shared" si="9"/>
        <v>start /low /b %USERPROFILE%\Documents\GitHub\eaglep3\Utilities\DownloadLogsFromS3.py --loco 4049 --day 2017-06-03</v>
      </c>
    </row>
    <row r="10" spans="1:32" s="1" customFormat="1" x14ac:dyDescent="0.25">
      <c r="A10" s="31">
        <v>42889.526504629626</v>
      </c>
      <c r="B10" s="30" t="s">
        <v>438</v>
      </c>
      <c r="C10" s="30" t="s">
        <v>632</v>
      </c>
      <c r="D10" s="30" t="s">
        <v>49</v>
      </c>
      <c r="E10" s="30" t="s">
        <v>189</v>
      </c>
      <c r="F10" s="42">
        <v>310</v>
      </c>
      <c r="G10" s="42">
        <v>371</v>
      </c>
      <c r="H10" s="42">
        <v>58883</v>
      </c>
      <c r="I10" s="42">
        <v>57795</v>
      </c>
      <c r="J10" s="30" t="s">
        <v>190</v>
      </c>
      <c r="K10" s="42">
        <v>58301</v>
      </c>
      <c r="L10" s="134" t="s">
        <v>51</v>
      </c>
      <c r="M10" s="135">
        <f t="shared" si="0"/>
        <v>-267.16800000000001</v>
      </c>
      <c r="N10" s="136" t="str">
        <f>VLOOKUP(C10,'Trips&amp;Operators'!$C$1:$G$99999,5,FALSE)</f>
        <v>DAVIS MICHAEL</v>
      </c>
      <c r="O10" s="210" t="s">
        <v>182</v>
      </c>
      <c r="P10" s="137" t="s">
        <v>404</v>
      </c>
      <c r="Q10" s="30"/>
      <c r="R10" s="84" t="str">
        <f>VLOOKUP(C10,'Train Runs'!$A$13:$AE$9933,31,0)</f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S10" s="87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-06-03T11:07:14-0600',mode:absolute,to:'2017-06-03T13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9" t="str">
        <f t="shared" si="1"/>
        <v>"C:\Program Files (x86)\AstroGrep\AstroGrep.exe" /e /r /s /spath="%USERPROFILE%\AppData\Local\Temp\OnboardLogs" /stypes="*4025*201706031*"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4025</v>
      </c>
      <c r="V10" s="31">
        <f t="shared" si="3"/>
        <v>42889.776504629626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arrival","project_id":79,"tracker_id":40,"status_id":1,"priority_id":2,"assigned_to_id":23,"start_date":"2017-06-03","description":"","custom_fields":[{"id":1,"name":"Subdivision","value":"EC"},{"id":4,"name":"Milepost","value":"5.8301"},{"id":17,"name":"Train ID","value":"162-03"},{"id":16,"name":"Locomotive ID","value":"4025"},{"id":130,"name":"Impact","value":""},{"id":150,"name":"Time of Event (Mountain Time)","value":"12:38:10"},{"id":151,"name":"Denver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/cygdrive/c/Users/stu/AppData/Local/Temp/OnboardLogs/RTDC4025 --include="*4025*201706031*"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"%USERPROFILE%\AppData\Local\Temp\OnboardLogs"\RTDC4025\*4025*201706031* &gt;&gt; 2017-06-03-SliceDisagreementCheck.txt</v>
      </c>
      <c r="AE10" s="148" t="str">
        <f t="shared" si="9"/>
        <v>start /low /b %USERPROFILE%\Documents\GitHub\eaglep3\Utilities\DownloadLogsFromS3.py --loco 4025 --day 2017-06-03</v>
      </c>
    </row>
    <row r="11" spans="1:32" s="1" customFormat="1" x14ac:dyDescent="0.25">
      <c r="A11" s="31">
        <v>42889.467835648145</v>
      </c>
      <c r="B11" s="30" t="s">
        <v>447</v>
      </c>
      <c r="C11" s="30" t="s">
        <v>627</v>
      </c>
      <c r="D11" s="30" t="s">
        <v>49</v>
      </c>
      <c r="E11" s="30" t="s">
        <v>189</v>
      </c>
      <c r="F11" s="42">
        <v>0</v>
      </c>
      <c r="G11" s="42">
        <v>317</v>
      </c>
      <c r="H11" s="42">
        <v>62151</v>
      </c>
      <c r="I11" s="42">
        <v>62897</v>
      </c>
      <c r="J11" s="30" t="s">
        <v>190</v>
      </c>
      <c r="K11" s="42">
        <v>63069</v>
      </c>
      <c r="L11" s="134" t="s">
        <v>50</v>
      </c>
      <c r="M11" s="135">
        <f t="shared" si="0"/>
        <v>90.816000000000003</v>
      </c>
      <c r="N11" s="136" t="str">
        <f>VLOOKUP(C11,'Trips&amp;Operators'!$C$1:$G$99999,5,FALSE)</f>
        <v>GUZMAN DANNY</v>
      </c>
      <c r="O11" s="210" t="s">
        <v>182</v>
      </c>
      <c r="P11" s="137" t="s">
        <v>404</v>
      </c>
      <c r="Q11" s="30"/>
      <c r="R11" s="84" t="str">
        <f>VLOOKUP(C11,'Train Runs'!$A$13:$AE$9933,31,0)</f>
        <v>aws s3 cp s3://rtdc.mdm.uploadarchive.raw/RTDC4044/ "%USERPROFILE%\AppData\Local\Temp\OnboardLogs"\RTDC4044\2017-06-03 --exclude "*" --recursive --include "*20170603*" &amp; "%USERPROFILE%\Documents\GitHub\mrs-test-scripts\Headless Mode &amp; Sideloading\WalkAndUnGZ.bat" "%USERPROFILE%\AppData\Local\Temp\OnboardLogs"\RTDC4044\2017-06-03 &amp; aws s3 cp s3://rtdc.mdm.uploadarchive.raw/RTDC4044/ "%USERPROFILE%\AppData\Local\Temp\OnboardLogs"\RTDC4044\2017-06-04 --exclude "*" --recursive --include "*20170604*" &amp; "%USERPROFILE%\Documents\GitHub\mrs-test-scripts\Headless Mode &amp; Sideloading\WalkAndUnGZ.bat" "%USERPROFILE%\AppData\Local\Temp\OnboardLogs"\RTDC4044\2017-06-04</v>
      </c>
      <c r="S11" s="87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-06-03T09:54:39-0600',mode:absolute,to:'2017-06-03T12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89" t="str">
        <f t="shared" si="1"/>
        <v>"C:\Program Files (x86)\AstroGrep\AstroGrep.exe" /e /r /s /spath="%USERPROFILE%\AppData\Local\Temp\OnboardLogs" /stypes="*4044*201706031*"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4044</v>
      </c>
      <c r="V11" s="31">
        <f t="shared" si="3"/>
        <v>42889.717835648145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arrival","project_id":79,"tracker_id":40,"status_id":1,"priority_id":2,"assigned_to_id":23,"start_date":"2017-06-03","description":"","custom_fields":[{"id":1,"name":"Subdivision","value":"EC"},{"id":4,"name":"Milepost","value":"6.3069"},{"id":17,"name":"Train ID","value":"159-03"},{"id":16,"name":"Locomotive ID","value":"4044"},{"id":130,"name":"Impact","value":""},{"id":150,"name":"Time of Event (Mountain Time)","value":"11:13:41"},{"id":151,"name":"Denver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/cygdrive/c/Users/stu/AppData/Local/Temp/OnboardLogs/RTDC4044 --include="*4044*201706031*"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"%USERPROFILE%\AppData\Local\Temp\OnboardLogs"\RTDC4044\*4044*201706031* &gt;&gt; 2017-06-03-SliceDisagreementCheck.txt</v>
      </c>
      <c r="AE11" s="148" t="str">
        <f t="shared" si="9"/>
        <v>start /low /b %USERPROFILE%\Documents\GitHub\eaglep3\Utilities\DownloadLogsFromS3.py --loco 4044 --day 2017-06-03</v>
      </c>
    </row>
    <row r="12" spans="1:32" s="1" customFormat="1" x14ac:dyDescent="0.25">
      <c r="A12" s="31">
        <v>42889.375277777777</v>
      </c>
      <c r="B12" s="30" t="s">
        <v>443</v>
      </c>
      <c r="C12" s="30" t="s">
        <v>624</v>
      </c>
      <c r="D12" s="30" t="s">
        <v>49</v>
      </c>
      <c r="E12" s="30" t="s">
        <v>202</v>
      </c>
      <c r="F12" s="42">
        <v>300</v>
      </c>
      <c r="G12" s="42">
        <v>351</v>
      </c>
      <c r="H12" s="42">
        <v>22426</v>
      </c>
      <c r="I12" s="42">
        <v>21566</v>
      </c>
      <c r="J12" s="30" t="s">
        <v>203</v>
      </c>
      <c r="K12" s="42">
        <v>21848</v>
      </c>
      <c r="L12" s="134" t="s">
        <v>51</v>
      </c>
      <c r="M12" s="135">
        <f t="shared" si="0"/>
        <v>-148.89599999999999</v>
      </c>
      <c r="N12" s="136" t="str">
        <f>VLOOKUP(C12,'Trips&amp;Operators'!$C$1:$G$99999,5,FALSE)</f>
        <v>GUZMAN DANNY</v>
      </c>
      <c r="O12" s="210" t="s">
        <v>182</v>
      </c>
      <c r="P12" s="137"/>
      <c r="Q12" s="30"/>
      <c r="R12" s="84" t="str">
        <f>VLOOKUP(C12,'Train Runs'!$A$13:$AE$9933,31,0)</f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S12" s="87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-06-03T07:13:24-0600',mode:absolute,to:'2017-06-03T10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9" t="str">
        <f t="shared" si="1"/>
        <v>"C:\Program Files (x86)\AstroGrep\AstroGrep.exe" /e /r /s /spath="%USERPROFILE%\AppData\Local\Temp\OnboardLogs" /stypes="*4043*201706031*"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4043</v>
      </c>
      <c r="V12" s="31">
        <f t="shared" si="3"/>
        <v>42889.625277777777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{"issue":{"subject":"","project_id":79,"tracker_id":40,"status_id":1,"priority_id":2,"assigned_to_id":23,"start_date":"2017-06-03","description":"","custom_fields":[{"id":1,"name":"Subdivision","value":"EC"},{"id":4,"name":"Milepost","value":"2.1848"},{"id":17,"name":"Train ID","value":"132-03"},{"id":16,"name":"Locomotive ID","value":"4043"},{"id":130,"name":"Impact","value":""},{"id":150,"name":"Time of Event (Mountain Time)","value":"09:00:24"},{"id":151,"name":"Denver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/cygdrive/c/Users/stu/AppData/Local/Temp/OnboardLogs/RTDC4043 --include="*4043*201706031*"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"%USERPROFILE%\AppData\Local\Temp\OnboardLogs"\RTDC4043\*4043*201706031* &gt;&gt; 2017-06-03-SliceDisagreementCheck.txt</v>
      </c>
      <c r="AE12" s="148" t="str">
        <f t="shared" si="9"/>
        <v>start /low /b %USERPROFILE%\Documents\GitHub\eaglep3\Utilities\DownloadLogsFromS3.py --loco 4043 --day 2017-06-03</v>
      </c>
    </row>
    <row r="13" spans="1:32" s="1" customFormat="1" x14ac:dyDescent="0.25">
      <c r="A13" s="31">
        <v>42889.396956018521</v>
      </c>
      <c r="B13" s="30" t="s">
        <v>376</v>
      </c>
      <c r="C13" s="30" t="s">
        <v>625</v>
      </c>
      <c r="D13" s="30" t="s">
        <v>49</v>
      </c>
      <c r="E13" s="30" t="s">
        <v>202</v>
      </c>
      <c r="F13" s="42">
        <v>300</v>
      </c>
      <c r="G13" s="42">
        <v>386</v>
      </c>
      <c r="H13" s="42">
        <v>23154</v>
      </c>
      <c r="I13" s="42">
        <v>20625</v>
      </c>
      <c r="J13" s="30" t="s">
        <v>203</v>
      </c>
      <c r="K13" s="42">
        <v>21848</v>
      </c>
      <c r="L13" s="134" t="s">
        <v>51</v>
      </c>
      <c r="M13" s="135">
        <f t="shared" si="0"/>
        <v>-645.74400000000003</v>
      </c>
      <c r="N13" s="136" t="str">
        <f>VLOOKUP(C13,'Trips&amp;Operators'!$C$1:$G$99999,5,FALSE)</f>
        <v>CHANDLER KELVIN</v>
      </c>
      <c r="O13" s="210" t="s">
        <v>182</v>
      </c>
      <c r="P13" s="137"/>
      <c r="Q13" s="30"/>
      <c r="R13" s="84" t="str">
        <f>VLOOKUP(C13,'Train Runs'!$A$13:$AE$9933,31,0)</f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S13" s="87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-06-03T07:51:32-0600',mode:absolute,to:'2017-06-03T10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89" t="str">
        <f t="shared" si="1"/>
        <v>"C:\Program Files (x86)\AstroGrep\AstroGrep.exe" /e /r /s /spath="%USERPROFILE%\AppData\Local\Temp\OnboardLogs" /stypes="*4013*201706031*"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4013</v>
      </c>
      <c r="V13" s="31">
        <f t="shared" si="3"/>
        <v>42889.646956018521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{"issue":{"subject":"","project_id":79,"tracker_id":40,"status_id":1,"priority_id":2,"assigned_to_id":23,"start_date":"2017-06-03","description":"","custom_fields":[{"id":1,"name":"Subdivision","value":"EC"},{"id":4,"name":"Milepost","value":"2.1848"},{"id":17,"name":"Train ID","value":"136-03"},{"id":16,"name":"Locomotive ID","value":"4013"},{"id":130,"name":"Impact","value":""},{"id":150,"name":"Time of Event (Mountain Time)","value":"09:31:37"},{"id":151,"name":"Denver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/cygdrive/c/Users/stu/AppData/Local/Temp/OnboardLogs/RTDC4013 --include="*4013*201706031*"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"%USERPROFILE%\AppData\Local\Temp\OnboardLogs"\RTDC4013\*4013*201706031* &gt;&gt; 2017-06-03-SliceDisagreementCheck.txt</v>
      </c>
      <c r="AE13" s="148" t="str">
        <f t="shared" si="9"/>
        <v>start /low /b %USERPROFILE%\Documents\GitHub\eaglep3\Utilities\DownloadLogsFromS3.py --loco 4013 --day 2017-06-03</v>
      </c>
    </row>
    <row r="14" spans="1:32" x14ac:dyDescent="0.25">
      <c r="A14" s="31">
        <v>42889.321145833332</v>
      </c>
      <c r="B14" s="30" t="s">
        <v>619</v>
      </c>
      <c r="C14" s="30" t="s">
        <v>620</v>
      </c>
      <c r="D14" s="30" t="s">
        <v>49</v>
      </c>
      <c r="E14" s="30" t="s">
        <v>202</v>
      </c>
      <c r="F14" s="42">
        <v>400</v>
      </c>
      <c r="G14" s="42">
        <v>482</v>
      </c>
      <c r="H14" s="42">
        <v>121032</v>
      </c>
      <c r="I14" s="42">
        <v>119653</v>
      </c>
      <c r="J14" s="30" t="s">
        <v>203</v>
      </c>
      <c r="K14" s="42">
        <v>119716</v>
      </c>
      <c r="L14" s="134" t="s">
        <v>51</v>
      </c>
      <c r="M14" s="135">
        <f t="shared" si="0"/>
        <v>-33.264000000000003</v>
      </c>
      <c r="N14" s="136" t="str">
        <f>VLOOKUP(C14,'Trips&amp;Operators'!$C$1:$G$99999,5,FALSE)</f>
        <v>LALONDE GREGORY</v>
      </c>
      <c r="O14" s="210" t="s">
        <v>182</v>
      </c>
      <c r="P14" s="137"/>
      <c r="Q14" s="30"/>
      <c r="R14" s="84" t="str">
        <f>VLOOKUP(C14,'Train Runs'!$A$13:$AE$9933,31,0)</f>
        <v>aws s3 cp s3://rtdc.mdm.uploadarchive.raw/RTDC4003/ "%USERPROFILE%\AppData\Local\Temp\OnboardLogs"\RTDC4003\2017-06-03 --exclude "*" --recursive --include "*20170603*" &amp; "%USERPROFILE%\Documents\GitHub\mrs-test-scripts\Headless Mode &amp; Sideloading\WalkAndUnGZ.bat" "%USERPROFILE%\AppData\Local\Temp\OnboardLogs"\RTDC4003\2017-06-03 &amp; 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</v>
      </c>
      <c r="S14" s="87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-06-03T06:08:02-0600',mode:absolute,to:'2017-06-03T09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89" t="str">
        <f t="shared" si="1"/>
        <v>"C:\Program Files (x86)\AstroGrep\AstroGrep.exe" /e /r /s /spath="%USERPROFILE%\AppData\Local\Temp\OnboardLogs" /stypes="*4003*201706031*"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4003</v>
      </c>
      <c r="V14" s="31">
        <f t="shared" si="3"/>
        <v>42889.571145833332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{"issue":{"subject":"","project_id":79,"tracker_id":40,"status_id":1,"priority_id":2,"assigned_to_id":23,"start_date":"2017-06-03","description":"","custom_fields":[{"id":1,"name":"Subdivision","value":"EC"},{"id":4,"name":"Milepost","value":"11.9716"},{"id":17,"name":"Train ID","value":"124-03"},{"id":16,"name":"Locomotive ID","value":"4003"},{"id":130,"name":"Impact","value":""},{"id":150,"name":"Time of Event (Mountain Time)","value":"07:42:27"},{"id":151,"name":"Denver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/cygdrive/c/Users/stu/AppData/Local/Temp/OnboardLogs/RTDC4003 --include="*4003*201706031*"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"%USERPROFILE%\AppData\Local\Temp\OnboardLogs"\RTDC4003\*4003*201706031* &gt;&gt; 2017-06-03-SliceDisagreementCheck.txt</v>
      </c>
      <c r="AE14" s="148" t="str">
        <f t="shared" si="9"/>
        <v>start /low /b %USERPROFILE%\Documents\GitHub\eaglep3\Utilities\DownloadLogsFromS3.py --loco 4003 --day 2017-06-03</v>
      </c>
      <c r="AF14" s="1"/>
    </row>
    <row r="15" spans="1:32" x14ac:dyDescent="0.25">
      <c r="A15" s="31">
        <v>42889.961689814816</v>
      </c>
      <c r="B15" s="30" t="s">
        <v>438</v>
      </c>
      <c r="C15" s="30" t="s">
        <v>640</v>
      </c>
      <c r="D15" s="30" t="s">
        <v>98</v>
      </c>
      <c r="E15" s="30" t="s">
        <v>202</v>
      </c>
      <c r="F15" s="42">
        <v>700</v>
      </c>
      <c r="G15" s="42">
        <v>751</v>
      </c>
      <c r="H15" s="42">
        <v>175363</v>
      </c>
      <c r="I15" s="42">
        <v>172268</v>
      </c>
      <c r="J15" s="30" t="s">
        <v>203</v>
      </c>
      <c r="K15" s="42">
        <v>183829</v>
      </c>
      <c r="L15" s="134" t="s">
        <v>51</v>
      </c>
      <c r="M15" s="135">
        <f t="shared" si="0"/>
        <v>-6104.2079999999996</v>
      </c>
      <c r="N15" s="136" t="str">
        <f>VLOOKUP(C15,'Trips&amp;Operators'!$C$1:$G$99999,5,FALSE)</f>
        <v>PERKINS DARREN</v>
      </c>
      <c r="O15" s="210" t="s">
        <v>182</v>
      </c>
      <c r="P15" s="137"/>
      <c r="Q15" s="30"/>
      <c r="R15" s="84" t="str">
        <f>VLOOKUP(C15,'Train Runs'!$A$13:$AE$9933,31,0)</f>
        <v>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 &amp; 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</v>
      </c>
      <c r="S15" s="87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-06-03T21:44:34-0600',mode:absolute,to:'2017-06-04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9" t="str">
        <f t="shared" si="1"/>
        <v>"C:\Program Files (x86)\AstroGrep\AstroGrep.exe" /e /r /s /spath="%USERPROFILE%\AppData\Local\Temp\OnboardLogs" /stypes="*4025*201706040*" /stext=" 05:.+((SYSTEM_STATE.+slice.+state.+changed )|(ment ac)|(multiple cpu faults)|(system.+state.+changed )|(\[timeout)|(PRM\|1\|D)|(kpr)|(kdp)|(train st.+moving)|(\|lc)|(penalty))"</v>
      </c>
      <c r="U15" s="9" t="str">
        <f t="shared" si="2"/>
        <v>4025</v>
      </c>
      <c r="V15" s="31">
        <f t="shared" si="3"/>
        <v>42890.211689814816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{"issue":{"subject":"","project_id":79,"tracker_id":40,"status_id":1,"priority_id":2,"assigned_to_id":23,"start_date":"2017-06-03","description":"","custom_fields":[{"id":1,"name":"Subdivision","value":"EC"},{"id":4,"name":"Milepost","value":"18.3829"},{"id":17,"name":"Train ID","value":"234-03"},{"id":16,"name":"Locomotive ID","value":"4025"},{"id":130,"name":"Impact","value":""},{"id":150,"name":"Time of Event (Mountain Time)","value":"23:04:50"},{"id":151,"name":"Denver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/cygdrive/c/Users/stu/AppData/Local/Temp/OnboardLogs/RTDC4025 --include="*4025*201706040*"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"%USERPROFILE%\AppData\Local\Temp\OnboardLogs"\RTDC4025\*4025*201706040* &gt;&gt; 2017-06-03-SliceDisagreementCheck.txt</v>
      </c>
      <c r="AE15" s="148" t="str">
        <f t="shared" si="9"/>
        <v>start /low /b %USERPROFILE%\Documents\GitHub\eaglep3\Utilities\DownloadLogsFromS3.py --loco 4025 --day 2017-06-04</v>
      </c>
      <c r="AF15" s="1"/>
    </row>
    <row r="16" spans="1:32" x14ac:dyDescent="0.25">
      <c r="A16" s="31">
        <v>42889.32199074074</v>
      </c>
      <c r="B16" s="30" t="s">
        <v>542</v>
      </c>
      <c r="C16" s="30" t="s">
        <v>621</v>
      </c>
      <c r="D16" s="30" t="s">
        <v>98</v>
      </c>
      <c r="E16" s="30" t="s">
        <v>202</v>
      </c>
      <c r="F16" s="42">
        <v>350</v>
      </c>
      <c r="G16" s="42">
        <v>406</v>
      </c>
      <c r="H16" s="42">
        <v>228674</v>
      </c>
      <c r="I16" s="42">
        <v>227824</v>
      </c>
      <c r="J16" s="30" t="s">
        <v>203</v>
      </c>
      <c r="K16" s="42">
        <v>232107</v>
      </c>
      <c r="L16" s="134" t="s">
        <v>51</v>
      </c>
      <c r="M16" s="135">
        <f t="shared" si="0"/>
        <v>-2261.424</v>
      </c>
      <c r="N16" s="136" t="str">
        <f>VLOOKUP(C16,'Trips&amp;Operators'!$C$1:$G$99999,5,FALSE)</f>
        <v>BEAM ROSS</v>
      </c>
      <c r="O16" s="210" t="s">
        <v>182</v>
      </c>
      <c r="P16" s="137"/>
      <c r="Q16" s="30"/>
      <c r="R16" s="84" t="str">
        <f>VLOOKUP(C16,'Train Runs'!$A$13:$AE$9933,31,0)</f>
        <v>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 &amp; aws s3 cp s3://rtdc.mdm.uploadarchive.raw/RTDC4007/ "%USERPROFILE%\AppData\Local\Temp\OnboardLogs"\RTDC4007\2017-06-04 --exclude "*" --recursive --include "*20170604*" &amp; "%USERPROFILE%\Documents\GitHub\mrs-test-scripts\Headless Mode &amp; Sideloading\WalkAndUnGZ.bat" "%USERPROFILE%\AppData\Local\Temp\OnboardLogs"\RTDC4007\2017-06-04</v>
      </c>
      <c r="S16" s="87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-06-03T06:36:12-0600',mode:absolute,to:'2017-06-03T09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9" t="str">
        <f t="shared" si="1"/>
        <v>"C:\Program Files (x86)\AstroGrep\AstroGrep.exe" /e /r /s /spath="%USERPROFILE%\AppData\Local\Temp\OnboardLogs" /stypes="*4007*201706031*"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4007</v>
      </c>
      <c r="V16" s="31">
        <f t="shared" si="3"/>
        <v>42889.57199074074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{"issue":{"subject":"","project_id":79,"tracker_id":40,"status_id":1,"priority_id":2,"assigned_to_id":23,"start_date":"2017-06-03","description":"","custom_fields":[{"id":1,"name":"Subdivision","value":"EC"},{"id":4,"name":"Milepost","value":"23.2107"},{"id":17,"name":"Train ID","value":"126-03"},{"id":16,"name":"Locomotive ID","value":"4007"},{"id":130,"name":"Impact","value":""},{"id":150,"name":"Time of Event (Mountain Time)","value":"07:43:40"},{"id":151,"name":"Denver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/cygdrive/c/Users/stu/AppData/Local/Temp/OnboardLogs/RTDC4007 --include="*4007*201706031*"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"%USERPROFILE%\AppData\Local\Temp\OnboardLogs"\RTDC4007\*4007*201706031* &gt;&gt; 2017-06-03-SliceDisagreementCheck.txt</v>
      </c>
      <c r="AE16" s="148" t="str">
        <f t="shared" si="9"/>
        <v>start /low /b %USERPROFILE%\Documents\GitHub\eaglep3\Utilities\DownloadLogsFromS3.py --loco 4007 --day 2017-06-03</v>
      </c>
      <c r="AF16" s="1"/>
    </row>
    <row r="17" spans="1:32" x14ac:dyDescent="0.25">
      <c r="A17" s="31">
        <v>42889.731238425928</v>
      </c>
      <c r="B17" s="30" t="s">
        <v>637</v>
      </c>
      <c r="C17" s="30" t="s">
        <v>638</v>
      </c>
      <c r="D17" s="30" t="s">
        <v>49</v>
      </c>
      <c r="E17" s="30" t="s">
        <v>426</v>
      </c>
      <c r="F17" s="42">
        <v>0</v>
      </c>
      <c r="G17" s="42">
        <v>623</v>
      </c>
      <c r="H17" s="42">
        <v>212500</v>
      </c>
      <c r="I17" s="42">
        <v>215344</v>
      </c>
      <c r="J17" s="30" t="s">
        <v>422</v>
      </c>
      <c r="K17" s="42">
        <v>217106</v>
      </c>
      <c r="L17" s="134" t="s">
        <v>50</v>
      </c>
      <c r="M17" s="135">
        <f t="shared" si="0"/>
        <v>930.33600000000001</v>
      </c>
      <c r="N17" s="136" t="str">
        <f>VLOOKUP(C17,'Trips&amp;Operators'!$C$1:$G$99999,5,FALSE)</f>
        <v>BRUDER RICHARD</v>
      </c>
      <c r="O17" s="210" t="s">
        <v>420</v>
      </c>
      <c r="P17" s="137" t="s">
        <v>421</v>
      </c>
      <c r="Q17" s="30"/>
      <c r="R17" s="84" t="str">
        <f>VLOOKUP(C17,'Train Runs'!$A$13:$AE$9933,31,0)</f>
        <v>aws s3 cp s3://rtdc.mdm.uploadarchive.raw/RTDC4004/ "%USERPROFILE%\AppData\Local\Temp\OnboardLogs"\RTDC4004\2017-06-03 --exclude "*" --recursive --include "*20170603*" &amp; "%USERPROFILE%\Documents\GitHub\mrs-test-scripts\Headless Mode &amp; Sideloading\WalkAndUnGZ.bat" "%USERPROFILE%\AppData\Local\Temp\OnboardLogs"\RTDC4004\2017-06-03 &amp; 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</v>
      </c>
      <c r="S17" s="87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-06-03T15:54:44-0600',mode:absolute,to:'2017-06-03T18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7" s="89" t="str">
        <f t="shared" si="1"/>
        <v>"C:\Program Files (x86)\AstroGrep\AstroGrep.exe" /e /r /s /spath="%USERPROFILE%\AppData\Local\Temp\OnboardLogs" /stypes="*4004*201706032*"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4004</v>
      </c>
      <c r="V17" s="31">
        <f t="shared" si="3"/>
        <v>42889.981238425928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{"issue":{"subject":"Wi-MAX data drop","project_id":79,"tracker_id":40,"status_id":1,"priority_id":2,"assigned_to_id":23,"start_date":"2017-06-03","description":"","custom_fields":[{"id":1,"name":"Subdivision","value":"EC"},{"id":4,"name":"Milepost","value":"21.7106"},{"id":17,"name":"Train ID","value":"207-03"},{"id":16,"name":"Locomotive ID","value":"4004"},{"id":130,"name":"Impact","value":""},{"id":150,"name":"Time of Event (Mountain Time)","value":"17:32:59"},{"id":151,"name":"Denver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/cygdrive/c/Users/stu/AppData/Local/Temp/OnboardLogs/RTDC4004 --include="*4004*201706032*"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"%USERPROFILE%\AppData\Local\Temp\OnboardLogs"\RTDC4004\*4004*201706032* &gt;&gt; 2017-06-03-SliceDisagreementCheck.txt</v>
      </c>
      <c r="AE17" s="148" t="str">
        <f t="shared" si="9"/>
        <v>start /low /b %USERPROFILE%\Documents\GitHub\eaglep3\Utilities\DownloadLogsFromS3.py --loco 4004 --day 2017-06-03</v>
      </c>
      <c r="AF17" s="1"/>
    </row>
    <row r="18" spans="1:32" x14ac:dyDescent="0.25">
      <c r="A18" s="31">
        <v>42889.473310185182</v>
      </c>
      <c r="B18" s="30" t="s">
        <v>376</v>
      </c>
      <c r="C18" s="30" t="s">
        <v>628</v>
      </c>
      <c r="D18" s="30" t="s">
        <v>49</v>
      </c>
      <c r="E18" s="30" t="s">
        <v>183</v>
      </c>
      <c r="F18" s="42">
        <v>0</v>
      </c>
      <c r="G18" s="42">
        <v>49</v>
      </c>
      <c r="H18" s="42">
        <v>172</v>
      </c>
      <c r="I18" s="42">
        <v>134</v>
      </c>
      <c r="J18" s="30" t="s">
        <v>184</v>
      </c>
      <c r="K18" s="42">
        <v>1</v>
      </c>
      <c r="L18" s="134" t="s">
        <v>51</v>
      </c>
      <c r="M18" s="135">
        <f t="shared" si="0"/>
        <v>70.224000000000004</v>
      </c>
      <c r="N18" s="136" t="str">
        <f>VLOOKUP(C18,'Trips&amp;Operators'!$C$1:$G$99999,5,FALSE)</f>
        <v>CHANDLER KELVIN</v>
      </c>
      <c r="O18" s="210" t="s">
        <v>182</v>
      </c>
      <c r="P18" s="137"/>
      <c r="Q18" s="30"/>
      <c r="R18" s="84" t="str">
        <f>VLOOKUP(C18,'Train Runs'!$A$13:$AE$9933,31,0)</f>
        <v>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 &amp; aws s3 cp s3://rtdc.mdm.uploadarchive.raw/RTDC4013/ "%USERPROFILE%\AppData\Local\Temp\OnboardLogs"\RTDC4013\2017-06-04 --exclude "*" --recursive --include "*20170604*" &amp; "%USERPROFILE%\Documents\GitHub\mrs-test-scripts\Headless Mode &amp; Sideloading\WalkAndUnGZ.bat" "%USERPROFILE%\AppData\Local\Temp\OnboardLogs"\RTDC4013\2017-06-04</v>
      </c>
      <c r="S18" s="87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-06-03T09:39:50-0600',mode:absolute,to:'2017-06-03T12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8" s="89" t="str">
        <f t="shared" si="1"/>
        <v>"C:\Program Files (x86)\AstroGrep\AstroGrep.exe" /e /r /s /spath="%USERPROFILE%\AppData\Local\Temp\OnboardLogs" /stypes="*4013*201706031*"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4013</v>
      </c>
      <c r="V18" s="31">
        <f t="shared" si="3"/>
        <v>42889.723310185182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{"issue":{"subject":"","project_id":79,"tracker_id":40,"status_id":1,"priority_id":2,"assigned_to_id":23,"start_date":"2017-06-03","description":"","custom_fields":[{"id":1,"name":"Subdivision","value":"EC"},{"id":4,"name":"Milepost","value":"0.0001"},{"id":17,"name":"Train ID","value":"150-03"},{"id":16,"name":"Locomotive ID","value":"4013"},{"id":130,"name":"Impact","value":""},{"id":150,"name":"Time of Event (Mountain Time)","value":"11:21:34"},{"id":151,"name":"Denver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/cygdrive/c/Users/stu/AppData/Local/Temp/OnboardLogs/RTDC4013 --include="*4013*201706031*"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"%USERPROFILE%\AppData\Local\Temp\OnboardLogs"\RTDC4013\*4013*201706031* &gt;&gt; 2017-06-03-SliceDisagreementCheck.txt</v>
      </c>
      <c r="AE18" s="148" t="str">
        <f t="shared" si="9"/>
        <v>start /low /b %USERPROFILE%\Documents\GitHub\eaglep3\Utilities\DownloadLogsFromS3.py --loco 4013 --day 2017-06-03</v>
      </c>
      <c r="AF18" s="1"/>
    </row>
    <row r="19" spans="1:32" x14ac:dyDescent="0.25">
      <c r="A19" s="31">
        <v>42889.651250000003</v>
      </c>
      <c r="B19" s="30" t="s">
        <v>382</v>
      </c>
      <c r="C19" s="30" t="s">
        <v>635</v>
      </c>
      <c r="D19" s="30" t="s">
        <v>49</v>
      </c>
      <c r="E19" s="30" t="s">
        <v>183</v>
      </c>
      <c r="F19" s="42">
        <v>0</v>
      </c>
      <c r="G19" s="42">
        <v>42</v>
      </c>
      <c r="H19" s="42">
        <v>233359</v>
      </c>
      <c r="I19" s="42">
        <v>233399</v>
      </c>
      <c r="J19" s="30" t="s">
        <v>184</v>
      </c>
      <c r="K19" s="42">
        <v>233491</v>
      </c>
      <c r="L19" s="134" t="s">
        <v>50</v>
      </c>
      <c r="M19" s="135">
        <f t="shared" si="0"/>
        <v>48.576000000000001</v>
      </c>
      <c r="N19" s="136" t="str">
        <f>VLOOKUP(C19,'Trips&amp;Operators'!$C$1:$G$99999,5,FALSE)</f>
        <v>BRANDNER MELINDA</v>
      </c>
      <c r="O19" s="210" t="s">
        <v>182</v>
      </c>
      <c r="P19" s="137"/>
      <c r="Q19" s="30"/>
      <c r="R19" s="84" t="str">
        <f>VLOOKUP(C19,'Train Runs'!$A$13:$AE$9933,31,0)</f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S19" s="87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-06-03T13:53:39-0600',mode:absolute,to:'2017-06-03T16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9" t="str">
        <f t="shared" si="1"/>
        <v>"C:\Program Files (x86)\AstroGrep\AstroGrep.exe" /e /r /s /spath="%USERPROFILE%\AppData\Local\Temp\OnboardLogs" /stypes="*4014*201706032*"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4014</v>
      </c>
      <c r="V19" s="31">
        <f t="shared" si="3"/>
        <v>42889.901250000003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{"issue":{"subject":"","project_id":79,"tracker_id":40,"status_id":1,"priority_id":2,"assigned_to_id":23,"start_date":"2017-06-03","description":"","custom_fields":[{"id":1,"name":"Subdivision","value":"EC"},{"id":4,"name":"Milepost","value":"23.3491"},{"id":17,"name":"Train ID","value":"191-03"},{"id":16,"name":"Locomotive ID","value":"4014"},{"id":130,"name":"Impact","value":""},{"id":150,"name":"Time of Event (Mountain Time)","value":"15:37:48"},{"id":151,"name":"Denver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/cygdrive/c/Users/stu/AppData/Local/Temp/OnboardLogs/RTDC4014 --include="*4014*201706032*"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"%USERPROFILE%\AppData\Local\Temp\OnboardLogs"\RTDC4014\*4014*201706032* &gt;&gt; 2017-06-03-SliceDisagreementCheck.txt</v>
      </c>
      <c r="AE19" s="148" t="str">
        <f t="shared" si="9"/>
        <v>start /low /b %USERPROFILE%\Documents\GitHub\eaglep3\Utilities\DownloadLogsFromS3.py --loco 4014 --day 2017-06-03</v>
      </c>
      <c r="AF19" s="1"/>
    </row>
    <row r="20" spans="1:32" x14ac:dyDescent="0.25">
      <c r="A20" s="31">
        <v>42889.723564814813</v>
      </c>
      <c r="B20" s="30" t="s">
        <v>382</v>
      </c>
      <c r="C20" s="30" t="s">
        <v>636</v>
      </c>
      <c r="D20" s="30" t="s">
        <v>49</v>
      </c>
      <c r="E20" s="30" t="s">
        <v>183</v>
      </c>
      <c r="F20" s="42">
        <v>0</v>
      </c>
      <c r="G20" s="42">
        <v>81</v>
      </c>
      <c r="H20" s="42">
        <v>233164</v>
      </c>
      <c r="I20" s="42">
        <v>233255</v>
      </c>
      <c r="J20" s="30" t="s">
        <v>184</v>
      </c>
      <c r="K20" s="42">
        <v>233491</v>
      </c>
      <c r="L20" s="134" t="s">
        <v>50</v>
      </c>
      <c r="M20" s="135">
        <f t="shared" si="0"/>
        <v>124.608</v>
      </c>
      <c r="N20" s="136" t="str">
        <f>VLOOKUP(C20,'Trips&amp;Operators'!$C$1:$G$99999,5,FALSE)</f>
        <v>BRANDNER MELINDA</v>
      </c>
      <c r="O20" s="210" t="s">
        <v>182</v>
      </c>
      <c r="P20" s="137"/>
      <c r="Q20" s="30"/>
      <c r="R20" s="84" t="str">
        <f>VLOOKUP(C20,'Train Runs'!$A$13:$AE$9933,31,0)</f>
        <v>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 &amp; 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</v>
      </c>
      <c r="S20" s="87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-06-03T15:40:41-0600',mode:absolute,to:'2017-06-03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0" s="89" t="str">
        <f t="shared" si="1"/>
        <v>"C:\Program Files (x86)\AstroGrep\AstroGrep.exe" /e /r /s /spath="%USERPROFILE%\AppData\Local\Temp\OnboardLogs" /stypes="*4014*201706032*"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4014</v>
      </c>
      <c r="V20" s="31">
        <f t="shared" si="3"/>
        <v>42889.973564814813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{"issue":{"subject":"","project_id":79,"tracker_id":40,"status_id":1,"priority_id":2,"assigned_to_id":23,"start_date":"2017-06-03","description":"","custom_fields":[{"id":1,"name":"Subdivision","value":"EC"},{"id":4,"name":"Milepost","value":"23.3491"},{"id":17,"name":"Train ID","value":"205-03"},{"id":16,"name":"Locomotive ID","value":"4014"},{"id":130,"name":"Impact","value":""},{"id":150,"name":"Time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/cygdrive/c/Users/stu/AppData/Local/Temp/OnboardLogs/RTDC4014 --include="*4014*201706032*"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"%USERPROFILE%\AppData\Local\Temp\OnboardLogs"\RTDC4014\*4014*201706032* &gt;&gt; 2017-06-03-SliceDisagreementCheck.txt</v>
      </c>
      <c r="AE20" s="148" t="str">
        <f t="shared" si="9"/>
        <v>start /low /b %USERPROFILE%\Documents\GitHub\eaglep3\Utilities\DownloadLogsFromS3.py --loco 4014 --day 2017-06-03</v>
      </c>
      <c r="AF20" s="1"/>
    </row>
    <row r="21" spans="1:32" x14ac:dyDescent="0.25">
      <c r="A21" s="31">
        <v>42889.753935185188</v>
      </c>
      <c r="B21" s="30" t="s">
        <v>408</v>
      </c>
      <c r="C21" s="30" t="s">
        <v>639</v>
      </c>
      <c r="D21" s="30" t="s">
        <v>49</v>
      </c>
      <c r="E21" s="30" t="s">
        <v>183</v>
      </c>
      <c r="F21" s="42">
        <v>0</v>
      </c>
      <c r="G21" s="42">
        <v>33</v>
      </c>
      <c r="H21" s="42">
        <v>233368</v>
      </c>
      <c r="I21" s="42">
        <v>233391</v>
      </c>
      <c r="J21" s="30" t="s">
        <v>184</v>
      </c>
      <c r="K21" s="42">
        <v>233491</v>
      </c>
      <c r="L21" s="134" t="s">
        <v>50</v>
      </c>
      <c r="M21" s="135">
        <f t="shared" si="0"/>
        <v>52.8</v>
      </c>
      <c r="N21" s="136" t="str">
        <f>VLOOKUP(C21,'Trips&amp;Operators'!$C$1:$G$99999,5,FALSE)</f>
        <v>DELGADO DIANAH</v>
      </c>
      <c r="O21" s="210" t="s">
        <v>182</v>
      </c>
      <c r="P21" s="137"/>
      <c r="Q21" s="30"/>
      <c r="R21" s="84" t="str">
        <f>VLOOKUP(C21,'Train Runs'!$A$13:$AE$9933,31,0)</f>
        <v>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 &amp; 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</v>
      </c>
      <c r="S21" s="87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-06-03T16:24:04-0600',mode:absolute,to:'2017-06-03T19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9" t="str">
        <f t="shared" si="1"/>
        <v>"C:\Program Files (x86)\AstroGrep\AstroGrep.exe" /e /r /s /spath="%USERPROFILE%\AppData\Local\Temp\OnboardLogs" /stypes="*4050*201706040*"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42890.003935185188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{"issue":{"subject":"","project_id":79,"tracker_id":40,"status_id":1,"priority_id":2,"assigned_to_id":23,"start_date":"2017-06-03","description":"","custom_fields":[{"id":1,"name":"Subdivision","value":"EC"},{"id":4,"name":"Milepost","value":"23.3491"},{"id":17,"name":"Train ID","value":"211-03"},{"id":16,"name":"Locomotive ID","value":"4050"},{"id":130,"name":"Impact","value":""},{"id":150,"name":"Time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/cygdrive/c/Users/stu/AppData/Local/Temp/OnboardLogs/RTDC4050 --include="*4050*201706040*"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"%USERPROFILE%\AppData\Local\Temp\OnboardLogs"\RTDC4050\*4050*201706040* &gt;&gt; 2017-06-03-SliceDisagreementCheck.txt</v>
      </c>
      <c r="AE21" s="148" t="str">
        <f t="shared" si="9"/>
        <v>start /low /b %USERPROFILE%\Documents\GitHub\eaglep3\Utilities\DownloadLogsFromS3.py --loco 4050 --day 2017-06-04</v>
      </c>
      <c r="AF21" s="1"/>
    </row>
    <row r="22" spans="1:32" x14ac:dyDescent="0.25">
      <c r="A22" s="31">
        <v>42889.476481481484</v>
      </c>
      <c r="B22" s="30" t="s">
        <v>504</v>
      </c>
      <c r="C22" s="30" t="s">
        <v>629</v>
      </c>
      <c r="D22" s="30" t="s">
        <v>49</v>
      </c>
      <c r="E22" s="30" t="s">
        <v>202</v>
      </c>
      <c r="F22" s="42">
        <v>300</v>
      </c>
      <c r="G22" s="42">
        <v>540</v>
      </c>
      <c r="H22" s="42">
        <v>18181</v>
      </c>
      <c r="I22" s="42">
        <v>20216</v>
      </c>
      <c r="J22" s="30" t="s">
        <v>203</v>
      </c>
      <c r="K22" s="42">
        <v>21299</v>
      </c>
      <c r="L22" s="134" t="s">
        <v>50</v>
      </c>
      <c r="M22" s="135">
        <f t="shared" si="0"/>
        <v>571.82399999999996</v>
      </c>
      <c r="N22" s="136" t="str">
        <f>VLOOKUP(C22,'Trips&amp;Operators'!$C$1:$G$99999,5,FALSE)</f>
        <v>MACDONALD THOMAS</v>
      </c>
      <c r="O22" s="210" t="s">
        <v>182</v>
      </c>
      <c r="P22" s="137"/>
      <c r="Q22" s="30"/>
      <c r="R22" s="84" t="str">
        <f>VLOOKUP(C22,'Train Runs'!$A$13:$AE$9933,31,0)</f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S22" s="87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-06-03T09:56:49-0600',mode:absolute,to:'2017-06-03T12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2" s="89" t="str">
        <f t="shared" si="1"/>
        <v>"C:\Program Files (x86)\AstroGrep\AstroGrep.exe" /e /r /s /spath="%USERPROFILE%\AppData\Local\Temp\OnboardLogs" /stypes="*4058*201706031*"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4058</v>
      </c>
      <c r="V22" s="31">
        <f t="shared" si="3"/>
        <v>42889.726481481484</v>
      </c>
      <c r="W22" s="45" t="str">
        <f t="shared" si="4"/>
        <v>NW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{"issue":{"subject":"","project_id":79,"tracker_id":40,"status_id":1,"priority_id":2,"assigned_to_id":23,"start_date":"2017-06-03","description":"","custom_fields":[{"id":1,"name":"Subdivision","value":"NW"},{"id":4,"name":"Milepost","value":"2.1299"},{"id":17,"name":"Train ID","value":"1811-03"},{"id":16,"name":"Locomotive ID","value":"4058"},{"id":130,"name":"Impact","value":""},{"id":150,"name":"Time of Event (Mountain Time)","value":"11:26:08"},{"id":151,"name":"Denver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/cygdrive/c/Users/stu/AppData/Local/Temp/OnboardLogs/RTDC4058 --include="*4058*201706031*"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"%USERPROFILE%\AppData\Local\Temp\OnboardLogs"\RTDC4058\*4058*201706031* &gt;&gt; 2017-06-03-SliceDisagreementCheck.txt</v>
      </c>
      <c r="AE22" s="148" t="str">
        <f t="shared" si="9"/>
        <v>start /low /b %USERPROFILE%\Documents\GitHub\eaglep3\Utilities\DownloadLogsFromS3.py --loco 4058 --day 2017-06-03</v>
      </c>
      <c r="AF22" s="1"/>
    </row>
    <row r="23" spans="1:32" x14ac:dyDescent="0.25">
      <c r="A23" s="31">
        <v>42889.325381944444</v>
      </c>
      <c r="B23" s="30" t="s">
        <v>502</v>
      </c>
      <c r="C23" s="30" t="s">
        <v>622</v>
      </c>
      <c r="D23" s="30" t="s">
        <v>49</v>
      </c>
      <c r="E23" s="30" t="s">
        <v>202</v>
      </c>
      <c r="F23" s="42">
        <v>300</v>
      </c>
      <c r="G23" s="42">
        <v>463</v>
      </c>
      <c r="H23" s="42">
        <v>24692</v>
      </c>
      <c r="I23" s="42">
        <v>23396</v>
      </c>
      <c r="J23" s="30" t="s">
        <v>203</v>
      </c>
      <c r="K23" s="42">
        <v>23561</v>
      </c>
      <c r="L23" s="134" t="s">
        <v>51</v>
      </c>
      <c r="M23" s="135">
        <f t="shared" si="0"/>
        <v>-87.12</v>
      </c>
      <c r="N23" s="136" t="str">
        <f>VLOOKUP(C23,'Trips&amp;Operators'!$C$1:$G$99999,5,FALSE)</f>
        <v>MACDONALD THOMAS</v>
      </c>
      <c r="O23" s="210" t="s">
        <v>182</v>
      </c>
      <c r="P23" s="137"/>
      <c r="Q23" s="30"/>
      <c r="R23" s="84" t="str">
        <f>VLOOKUP(C23,'Train Runs'!$A$13:$AE$9933,31,0)</f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S23" s="87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-06-03T06:34:59-0600',mode:absolute,to:'2017-06-03T08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3" s="89" t="str">
        <f t="shared" si="1"/>
        <v>"C:\Program Files (x86)\AstroGrep\AstroGrep.exe" /e /r /s /spath="%USERPROFILE%\AppData\Local\Temp\OnboardLogs" /stypes="*4057*201706031*"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4057</v>
      </c>
      <c r="V23" s="31">
        <f t="shared" si="3"/>
        <v>42889.575381944444</v>
      </c>
      <c r="W23" s="45" t="str">
        <f t="shared" si="4"/>
        <v>NW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{"issue":{"subject":"","project_id":79,"tracker_id":40,"status_id":1,"priority_id":2,"assigned_to_id":23,"start_date":"2017-06-03","description":"","custom_fields":[{"id":1,"name":"Subdivision","value":"NW"},{"id":4,"name":"Milepost","value":"2.3561"},{"id":17,"name":"Train ID","value":"1804-03"},{"id":16,"name":"Locomotive ID","value":"4057"},{"id":130,"name":"Impact","value":""},{"id":150,"name":"Time of Event (Mountain Time)","value":"07:48:33"},{"id":151,"name":"Denver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/cygdrive/c/Users/stu/AppData/Local/Temp/OnboardLogs/RTDC4057 --include="*4057*201706031*"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"%USERPROFILE%\AppData\Local\Temp\OnboardLogs"\RTDC4057\*4057*201706031* &gt;&gt; 2017-06-03-SliceDisagreementCheck.txt</v>
      </c>
      <c r="AE23" s="148" t="str">
        <f t="shared" si="9"/>
        <v>start /low /b %USERPROFILE%\Documents\GitHub\eaglep3\Utilities\DownloadLogsFromS3.py --loco 4057 --day 2017-06-03</v>
      </c>
      <c r="AF23" s="1"/>
    </row>
    <row r="24" spans="1:32" x14ac:dyDescent="0.25">
      <c r="A24" s="31">
        <v>42889.367777777778</v>
      </c>
      <c r="B24" s="30" t="s">
        <v>502</v>
      </c>
      <c r="C24" s="30" t="s">
        <v>623</v>
      </c>
      <c r="D24" s="30" t="s">
        <v>49</v>
      </c>
      <c r="E24" s="30" t="s">
        <v>202</v>
      </c>
      <c r="F24" s="42">
        <v>300</v>
      </c>
      <c r="G24" s="42">
        <v>622</v>
      </c>
      <c r="H24" s="42">
        <v>26435</v>
      </c>
      <c r="I24" s="42">
        <v>23902</v>
      </c>
      <c r="J24" s="30" t="s">
        <v>203</v>
      </c>
      <c r="K24" s="42">
        <v>23561</v>
      </c>
      <c r="L24" s="134" t="s">
        <v>51</v>
      </c>
      <c r="M24" s="135">
        <f t="shared" si="0"/>
        <v>180.048</v>
      </c>
      <c r="N24" s="136" t="str">
        <f>VLOOKUP(C24,'Trips&amp;Operators'!$C$1:$G$99999,5,FALSE)</f>
        <v>MACDONALD THOMAS</v>
      </c>
      <c r="O24" s="210" t="s">
        <v>182</v>
      </c>
      <c r="P24" s="137"/>
      <c r="Q24" s="30"/>
      <c r="R24" s="84" t="str">
        <f>VLOOKUP(C24,'Train Runs'!$A$13:$AE$9933,31,0)</f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S24" s="87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-06-03T07:37:16-0600',mode:absolute,to:'2017-06-03T09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4" s="89" t="str">
        <f t="shared" si="1"/>
        <v>"C:\Program Files (x86)\AstroGrep\AstroGrep.exe" /e /r /s /spath="%USERPROFILE%\AppData\Local\Temp\OnboardLogs" /stypes="*4057*201706031*"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4057</v>
      </c>
      <c r="V24" s="31">
        <f t="shared" si="3"/>
        <v>42889.617777777778</v>
      </c>
      <c r="W24" s="45" t="str">
        <f t="shared" si="4"/>
        <v>NW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{"issue":{"subject":"","project_id":79,"tracker_id":40,"status_id":1,"priority_id":2,"assigned_to_id":23,"start_date":"2017-06-03","description":"","custom_fields":[{"id":1,"name":"Subdivision","value":"NW"},{"id":4,"name":"Milepost","value":"2.3561"},{"id":17,"name":"Train ID","value":"1806-03"},{"id":16,"name":"Locomotive ID","value":"4057"},{"id":130,"name":"Impact","value":""},{"id":150,"name":"Time of Event (Mountain Time)","value":"08:49:36"},{"id":151,"name":"Denver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/cygdrive/c/Users/stu/AppData/Local/Temp/OnboardLogs/RTDC4057 --include="*4057*201706031*"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"%USERPROFILE%\AppData\Local\Temp\OnboardLogs"\RTDC4057\*4057*201706031* &gt;&gt; 2017-06-03-SliceDisagreementCheck.txt</v>
      </c>
      <c r="AE24" s="148" t="str">
        <f t="shared" si="9"/>
        <v>start /low /b %USERPROFILE%\Documents\GitHub\eaglep3\Utilities\DownloadLogsFromS3.py --loco 4057 --day 2017-06-03</v>
      </c>
      <c r="AF24" s="1"/>
    </row>
    <row r="25" spans="1:32" x14ac:dyDescent="0.25">
      <c r="A25" s="31">
        <v>42889.366006944445</v>
      </c>
      <c r="B25" s="30" t="s">
        <v>502</v>
      </c>
      <c r="C25" s="30" t="s">
        <v>623</v>
      </c>
      <c r="D25" s="30" t="s">
        <v>98</v>
      </c>
      <c r="E25" s="30" t="s">
        <v>202</v>
      </c>
      <c r="F25" s="42">
        <v>400</v>
      </c>
      <c r="G25" s="42">
        <v>452</v>
      </c>
      <c r="H25" s="42">
        <v>38881</v>
      </c>
      <c r="I25" s="42">
        <v>37577</v>
      </c>
      <c r="J25" s="30" t="s">
        <v>203</v>
      </c>
      <c r="K25" s="42">
        <v>40977</v>
      </c>
      <c r="L25" s="134" t="s">
        <v>51</v>
      </c>
      <c r="M25" s="135">
        <f t="shared" si="0"/>
        <v>-1795.2</v>
      </c>
      <c r="N25" s="136" t="str">
        <f>VLOOKUP(C25,'Trips&amp;Operators'!$C$1:$G$99999,5,FALSE)</f>
        <v>MACDONALD THOMAS</v>
      </c>
      <c r="O25" s="210" t="s">
        <v>182</v>
      </c>
      <c r="P25" s="137"/>
      <c r="Q25" s="30"/>
      <c r="R25" s="84" t="str">
        <f>VLOOKUP(C25,'Train Runs'!$A$13:$AE$9933,31,0)</f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S25" s="87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-06-03T07:37:16-0600',mode:absolute,to:'2017-06-03T09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89" t="str">
        <f t="shared" si="1"/>
        <v>"C:\Program Files (x86)\AstroGrep\AstroGrep.exe" /e /r /s /spath="%USERPROFILE%\AppData\Local\Temp\OnboardLogs" /stypes="*4057*201706031*"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4057</v>
      </c>
      <c r="V25" s="31">
        <f t="shared" si="3"/>
        <v>42889.616006944445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{"issue":{"subject":"","project_id":79,"tracker_id":40,"status_id":1,"priority_id":2,"assigned_to_id":23,"start_date":"2017-06-03","description":"","custom_fields":[{"id":1,"name":"Subdivision","value":"NW"},{"id":4,"name":"Milepost","value":"4.0977"},{"id":17,"name":"Train ID","value":"1806-03"},{"id":16,"name":"Locomotive ID","value":"4057"},{"id":130,"name":"Impact","value":""},{"id":150,"name":"Time of Event (Mountain Time)","value":"08:47:03"},{"id":151,"name":"Denver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/cygdrive/c/Users/stu/AppData/Local/Temp/OnboardLogs/RTDC4057 --include="*4057*201706031*"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"%USERPROFILE%\AppData\Local\Temp\OnboardLogs"\RTDC4057\*4057*201706031* &gt;&gt; 2017-06-03-SliceDisagreementCheck.txt</v>
      </c>
      <c r="AE25" s="148" t="str">
        <f t="shared" si="9"/>
        <v>start /low /b %USERPROFILE%\Documents\GitHub\eaglep3\Utilities\DownloadLogsFromS3.py --loco 4057 --day 2017-06-03</v>
      </c>
      <c r="AF25" s="1"/>
    </row>
    <row r="26" spans="1:32" x14ac:dyDescent="0.25">
      <c r="A26" s="31">
        <v>42889.405381944445</v>
      </c>
      <c r="B26" s="30" t="s">
        <v>502</v>
      </c>
      <c r="C26" s="30" t="s">
        <v>626</v>
      </c>
      <c r="D26" s="30" t="s">
        <v>98</v>
      </c>
      <c r="E26" s="30" t="s">
        <v>202</v>
      </c>
      <c r="F26" s="42">
        <v>150</v>
      </c>
      <c r="G26" s="42">
        <v>202</v>
      </c>
      <c r="H26" s="42">
        <v>56942</v>
      </c>
      <c r="I26" s="42">
        <v>56559</v>
      </c>
      <c r="J26" s="30" t="s">
        <v>203</v>
      </c>
      <c r="K26" s="42">
        <v>59050</v>
      </c>
      <c r="L26" s="134" t="s">
        <v>51</v>
      </c>
      <c r="M26" s="135">
        <f t="shared" si="0"/>
        <v>-1315.248</v>
      </c>
      <c r="N26" s="136" t="str">
        <f>VLOOKUP(C26,'Trips&amp;Operators'!$C$1:$G$99999,5,FALSE)</f>
        <v>MACDONALD THOMAS</v>
      </c>
      <c r="O26" s="210" t="s">
        <v>182</v>
      </c>
      <c r="P26" s="137"/>
      <c r="Q26" s="30"/>
      <c r="R26" s="84" t="str">
        <f>VLOOKUP(C26,'Train Runs'!$A$13:$AE$9933,31,0)</f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S26" s="87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-06-03T08:36:35-0600',mode:absolute,to:'2017-06-03T10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6" s="89" t="str">
        <f t="shared" si="1"/>
        <v>"C:\Program Files (x86)\AstroGrep\AstroGrep.exe" /e /r /s /spath="%USERPROFILE%\AppData\Local\Temp\OnboardLogs" /stypes="*4057*201706031*"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4057</v>
      </c>
      <c r="V26" s="31">
        <f t="shared" si="3"/>
        <v>42889.655381944445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{"issue":{"subject":"","project_id":79,"tracker_id":40,"status_id":1,"priority_id":2,"assigned_to_id":23,"start_date":"2017-06-03","description":"","custom_fields":[{"id":1,"name":"Subdivision","value":"NW"},{"id":4,"name":"Milepost","value":"5.905"},{"id":17,"name":"Train ID","value":"1808-03"},{"id":16,"name":"Locomotive ID","value":"4057"},{"id":130,"name":"Impact","value":""},{"id":150,"name":"Time of Event (Mountain Time)","value":"09:43:45"},{"id":151,"name":"Denver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/cygdrive/c/Users/stu/AppData/Local/Temp/OnboardLogs/RTDC4057 --include="*4057*201706031*"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"%USERPROFILE%\AppData\Local\Temp\OnboardLogs"\RTDC4057\*4057*201706031* &gt;&gt; 2017-06-03-SliceDisagreementCheck.txt</v>
      </c>
      <c r="AE26" s="148" t="str">
        <f t="shared" si="9"/>
        <v>start /low /b %USERPROFILE%\Documents\GitHub\eaglep3\Utilities\DownloadLogsFromS3.py --loco 4057 --day 2017-06-03</v>
      </c>
      <c r="AF26" s="1"/>
    </row>
    <row r="27" spans="1:32" x14ac:dyDescent="0.25">
      <c r="A27" s="31">
        <v>42889.488541666666</v>
      </c>
      <c r="B27" s="30" t="s">
        <v>502</v>
      </c>
      <c r="C27" s="30" t="s">
        <v>630</v>
      </c>
      <c r="D27" s="30" t="s">
        <v>98</v>
      </c>
      <c r="E27" s="30" t="s">
        <v>202</v>
      </c>
      <c r="F27" s="42">
        <v>150</v>
      </c>
      <c r="G27" s="42">
        <v>201</v>
      </c>
      <c r="H27" s="42">
        <v>56976</v>
      </c>
      <c r="I27" s="42">
        <v>56371</v>
      </c>
      <c r="J27" s="30" t="s">
        <v>203</v>
      </c>
      <c r="K27" s="42">
        <v>59050</v>
      </c>
      <c r="L27" s="134" t="s">
        <v>51</v>
      </c>
      <c r="M27" s="135">
        <f t="shared" si="0"/>
        <v>-1414.5120000000002</v>
      </c>
      <c r="N27" s="136" t="str">
        <f>VLOOKUP(C27,'Trips&amp;Operators'!$C$1:$G$99999,5,FALSE)</f>
        <v>MACDONALD THOMAS</v>
      </c>
      <c r="O27" s="210" t="s">
        <v>182</v>
      </c>
      <c r="P27" s="137"/>
      <c r="Q27" s="30"/>
      <c r="R27" s="84" t="str">
        <f>VLOOKUP(C27,'Train Runs'!$A$13:$AE$9933,31,0)</f>
        <v>aws s3 cp s3://rtdc.mdm.uploadarchive.raw/RTDC4057/ "%USERPROFILE%\AppData\Local\Temp\OnboardLogs"\RTDC4057\2017-06-03 --exclude "*" --recursive --include "*20170603*" &amp; "%USERPROFILE%\Documents\GitHub\mrs-test-scripts\Headless Mode &amp; Sideloading\WalkAndUnGZ.bat" "%USERPROFILE%\AppData\Local\Temp\OnboardLogs"\RTDC4057\2017-06-03 &amp; aws s3 cp s3://rtdc.mdm.uploadarchive.raw/RTDC4057/ "%USERPROFILE%\AppData\Local\Temp\OnboardLogs"\RTDC4057\2017-06-04 --exclude "*" --recursive --include "*20170604*" &amp; "%USERPROFILE%\Documents\GitHub\mrs-test-scripts\Headless Mode &amp; Sideloading\WalkAndUnGZ.bat" "%USERPROFILE%\AppData\Local\Temp\OnboardLogs"\RTDC4057\2017-06-04</v>
      </c>
      <c r="S27" s="87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-06-03T10:36:55-0600',mode:absolute,to:'2017-06-03T12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7" s="89" t="str">
        <f t="shared" si="1"/>
        <v>"C:\Program Files (x86)\AstroGrep\AstroGrep.exe" /e /r /s /spath="%USERPROFILE%\AppData\Local\Temp\OnboardLogs" /stypes="*4057*201706031*" /stext=" 17:.+((SYSTEM_STATE.+slice.+state.+changed )|(ment ac)|(multiple cpu faults)|(system.+state.+changed )|(\[timeout)|(PRM\|1\|D)|(kpr)|(kdp)|(train st.+moving)|(\|lc)|(penalty))"</v>
      </c>
      <c r="U27" s="9" t="str">
        <f t="shared" si="2"/>
        <v>4057</v>
      </c>
      <c r="V27" s="31">
        <f t="shared" si="3"/>
        <v>42889.738541666666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{"issue":{"subject":"","project_id":79,"tracker_id":40,"status_id":1,"priority_id":2,"assigned_to_id":23,"start_date":"2017-06-03","description":"","custom_fields":[{"id":1,"name":"Subdivision","value":"NW"},{"id":4,"name":"Milepost","value":"5.905"},{"id":17,"name":"Train ID","value":"1812-03"},{"id":16,"name":"Locomotive ID","value":"4057"},{"id":130,"name":"Impact","value":""},{"id":150,"name":"Time of Event (Mountain Time)","value":"11:43:30"},{"id":151,"name":"Denver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/cygdrive/c/Users/stu/AppData/Local/Temp/OnboardLogs/RTDC4057 --include="*4057*201706031*"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"%USERPROFILE%\AppData\Local\Temp\OnboardLogs"\RTDC4057\*4057*201706031* &gt;&gt; 2017-06-03-SliceDisagreementCheck.txt</v>
      </c>
      <c r="AE27" s="148" t="str">
        <f t="shared" si="9"/>
        <v>start /low /b %USERPROFILE%\Documents\GitHub\eaglep3\Utilities\DownloadLogsFromS3.py --loco 4057 --day 2017-06-03</v>
      </c>
      <c r="AF27" s="1"/>
    </row>
    <row r="28" spans="1:32" x14ac:dyDescent="0.25">
      <c r="A28" s="31">
        <v>42889.561122685183</v>
      </c>
      <c r="B28" s="30" t="s">
        <v>504</v>
      </c>
      <c r="C28" s="30" t="s">
        <v>633</v>
      </c>
      <c r="D28" s="30" t="s">
        <v>49</v>
      </c>
      <c r="E28" s="30" t="s">
        <v>366</v>
      </c>
      <c r="F28" s="42">
        <v>0</v>
      </c>
      <c r="G28" s="42">
        <v>571</v>
      </c>
      <c r="H28" s="42">
        <v>31992</v>
      </c>
      <c r="I28" s="42">
        <v>33571</v>
      </c>
      <c r="J28" s="30" t="s">
        <v>367</v>
      </c>
      <c r="K28" s="42">
        <v>33236</v>
      </c>
      <c r="L28" s="134" t="s">
        <v>50</v>
      </c>
      <c r="M28" s="135">
        <f t="shared" si="0"/>
        <v>-176.88000000000002</v>
      </c>
      <c r="N28" s="136" t="str">
        <f>VLOOKUP(C28,'Trips&amp;Operators'!$C$1:$G$99999,5,FALSE)</f>
        <v>MACDONALD THOMAS</v>
      </c>
      <c r="O28" s="210" t="s">
        <v>420</v>
      </c>
      <c r="P28" s="137" t="s">
        <v>421</v>
      </c>
      <c r="Q28" s="30"/>
      <c r="R28" s="84" t="str">
        <f>VLOOKUP(C28,'Train Runs'!$A$13:$AE$9933,31,0)</f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S28" s="87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-06-03T12:06:12-0600',mode:absolute,to:'2017-06-03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8" s="89" t="str">
        <f t="shared" si="1"/>
        <v>"C:\Program Files (x86)\AstroGrep\AstroGrep.exe" /e /r /s /spath="%USERPROFILE%\AppData\Local\Temp\OnboardLogs" /stypes="*4058*201706031*"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4058</v>
      </c>
      <c r="V28" s="31">
        <f t="shared" si="3"/>
        <v>42889.811122685183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{"issue":{"subject":"Wi-MAX data drop","project_id":79,"tracker_id":40,"status_id":1,"priority_id":2,"assigned_to_id":23,"start_date":"2017-06-03","description":"","custom_fields":[{"id":1,"name":"Subdivision","value":"NW"},{"id":4,"name":"Milepost","value":"3.3236"},{"id":17,"name":"Train ID","value":"1815-03"},{"id":16,"name":"Locomotive ID","value":"4058"},{"id":130,"name":"Impact","value":""},{"id":150,"name":"Time of Event (Mountain Time)","value":"13:28:01"},{"id":151,"name":"Denver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/cygdrive/c/Users/stu/AppData/Local/Temp/OnboardLogs/RTDC4058 --include="*4058*201706031*"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"%USERPROFILE%\AppData\Local\Temp\OnboardLogs"\RTDC4058\*4058*201706031* &gt;&gt; 2017-06-03-SliceDisagreementCheck.txt</v>
      </c>
      <c r="AE28" s="148" t="str">
        <f t="shared" si="9"/>
        <v>start /low /b %USERPROFILE%\Documents\GitHub\eaglep3\Utilities\DownloadLogsFromS3.py --loco 4058 --day 2017-06-03</v>
      </c>
      <c r="AF28" s="1"/>
    </row>
    <row r="29" spans="1:32" x14ac:dyDescent="0.25">
      <c r="A29" s="31">
        <v>42889.314618055556</v>
      </c>
      <c r="B29" s="30" t="s">
        <v>504</v>
      </c>
      <c r="C29" s="30" t="s">
        <v>618</v>
      </c>
      <c r="D29" s="30" t="s">
        <v>49</v>
      </c>
      <c r="E29" s="30" t="s">
        <v>183</v>
      </c>
      <c r="F29" s="42">
        <v>0</v>
      </c>
      <c r="G29" s="42">
        <v>147</v>
      </c>
      <c r="H29" s="42">
        <v>58466</v>
      </c>
      <c r="I29" s="42">
        <v>58653</v>
      </c>
      <c r="J29" s="30" t="s">
        <v>184</v>
      </c>
      <c r="K29" s="42">
        <v>59058</v>
      </c>
      <c r="L29" s="134" t="s">
        <v>50</v>
      </c>
      <c r="M29" s="135">
        <f t="shared" si="0"/>
        <v>213.84</v>
      </c>
      <c r="N29" s="136" t="str">
        <f>VLOOKUP(C29,'Trips&amp;Operators'!$C$1:$G$99999,5,FALSE)</f>
        <v>MACDONALD THOMAS</v>
      </c>
      <c r="O29" s="210" t="s">
        <v>182</v>
      </c>
      <c r="P29" s="137"/>
      <c r="Q29" s="30"/>
      <c r="R29" s="84" t="str">
        <f>VLOOKUP(C29,'Train Runs'!$A$13:$AE$9933,31,0)</f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S29" s="87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-06-03T05:55:54-0600',mode:absolute,to:'2017-06-03T08:33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9" s="89" t="str">
        <f t="shared" si="1"/>
        <v>"C:\Program Files (x86)\AstroGrep\AstroGrep.exe" /e /r /s /spath="%USERPROFILE%\AppData\Local\Temp\OnboardLogs" /stypes="*4058*201706031*"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4058</v>
      </c>
      <c r="V29" s="31">
        <f t="shared" si="3"/>
        <v>42889.564618055556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{"issue":{"subject":"","project_id":79,"tracker_id":40,"status_id":1,"priority_id":2,"assigned_to_id":23,"start_date":"2017-06-03","description":"","custom_fields":[{"id":1,"name":"Subdivision","value":"NW"},{"id":4,"name":"Milepost","value":"5.9058"},{"id":17,"name":"Train ID","value":"1803-03"},{"id":16,"name":"Locomotive ID","value":"4058"},{"id":130,"name":"Impact","value":""},{"id":150,"name":"Time of Event (Mountain Time)","value":"07:33:03"},{"id":151,"name":"Denver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/cygdrive/c/Users/stu/AppData/Local/Temp/OnboardLogs/RTDC4058 --include="*4058*201706031*"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"%USERPROFILE%\AppData\Local\Temp\OnboardLogs"\RTDC4058\*4058*201706031* &gt;&gt; 2017-06-03-SliceDisagreementCheck.txt</v>
      </c>
      <c r="AE29" s="148" t="str">
        <f t="shared" si="9"/>
        <v>start /low /b %USERPROFILE%\Documents\GitHub\eaglep3\Utilities\DownloadLogsFromS3.py --loco 4058 --day 2017-06-03</v>
      </c>
      <c r="AF29" s="1"/>
    </row>
    <row r="30" spans="1:32" x14ac:dyDescent="0.25">
      <c r="A30" s="31">
        <v>42889.222708333335</v>
      </c>
      <c r="B30" s="30" t="s">
        <v>443</v>
      </c>
      <c r="C30" s="30" t="s">
        <v>616</v>
      </c>
      <c r="D30" s="30" t="s">
        <v>49</v>
      </c>
      <c r="E30" s="30" t="s">
        <v>366</v>
      </c>
      <c r="F30" s="42">
        <v>0</v>
      </c>
      <c r="G30" s="42">
        <v>31</v>
      </c>
      <c r="H30" s="42">
        <v>19120</v>
      </c>
      <c r="I30" s="42">
        <v>19092</v>
      </c>
      <c r="J30" s="30" t="s">
        <v>367</v>
      </c>
      <c r="K30" s="42">
        <v>19000</v>
      </c>
      <c r="L30" s="134" t="s">
        <v>51</v>
      </c>
      <c r="M30" s="135">
        <f t="shared" si="0"/>
        <v>48.576000000000001</v>
      </c>
      <c r="N30" s="136" t="str">
        <f>VLOOKUP(C30,'Trips&amp;Operators'!$C$1:$G$99999,5,FALSE)</f>
        <v>GUZMAN DANNY</v>
      </c>
      <c r="O30" s="210" t="s">
        <v>182</v>
      </c>
      <c r="P30" s="137"/>
      <c r="Q30" s="30"/>
      <c r="R30" s="84" t="str">
        <f>VLOOKUP(C30,'Train Runs'!$A$13:$AE$9933,31,0)</f>
        <v>aws s3 cp s3://rtdc.mdm.uploadarchive.raw/RTDC4043/ "%USERPROFILE%\AppData\Local\Temp\OnboardLogs"\RTDC4043\2017-06-03 --exclude "*" --recursive --include "*20170603*" &amp; "%USERPROFILE%\Documents\GitHub\mrs-test-scripts\Headless Mode &amp; Sideloading\WalkAndUnGZ.bat" "%USERPROFILE%\AppData\Local\Temp\OnboardLogs"\RTDC4043\2017-06-03 &amp; 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</v>
      </c>
      <c r="S30" s="87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-06-03T04:21:59-0600',mode:absolute,to:'2017-06-03T06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89" t="str">
        <f t="shared" si="1"/>
        <v>"C:\Program Files (x86)\AstroGrep\AstroGrep.exe" /e /r /s /spath="%USERPROFILE%\AppData\Local\Temp\OnboardLogs" /stypes="*4043*201706031*" /stext=" 11:.+((SYSTEM_STATE.+slice.+state.+changed )|(ment ac)|(multiple cpu faults)|(system.+state.+changed )|(\[timeout)|(PRM\|1\|D)|(kpr)|(kdp)|(train st.+moving)|(\|lc)|(penalty))"</v>
      </c>
      <c r="U30" s="9" t="str">
        <f t="shared" si="2"/>
        <v>4043</v>
      </c>
      <c r="V30" s="31">
        <f t="shared" si="3"/>
        <v>42889.472708333335</v>
      </c>
      <c r="W30" s="45" t="str">
        <f t="shared" si="4"/>
        <v>Other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{"issue":{"subject":"","project_id":79,"tracker_id":40,"status_id":1,"priority_id":2,"assigned_to_id":23,"start_date":"2017-06-03","description":"","custom_fields":[{"id":1,"name":"Subdivision","value":"Other"},{"id":4,"name":"Milepost","value":"1.9"},{"id":17,"name":"Train ID","value":"312-03"},{"id":16,"name":"Locomotive ID","value":"4043"},{"id":130,"name":"Impact","value":""},{"id":150,"name":"Time of Event (Mountain Time)","value":"05:20:42"},{"id":151,"name":"Denver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/cygdrive/c/Users/stu/AppData/Local/Temp/OnboardLogs/RTDC4043 --include="*4043*201706031*"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"%USERPROFILE%\AppData\Local\Temp\OnboardLogs"\RTDC4043\*4043*201706031* &gt;&gt; 2017-06-03-SliceDisagreementCheck.txt</v>
      </c>
      <c r="AE30" s="148" t="str">
        <f t="shared" si="9"/>
        <v>start /low /b %USERPROFILE%\Documents\GitHub\eaglep3\Utilities\DownloadLogsFromS3.py --loco 4043 --day 2017-06-03</v>
      </c>
      <c r="AF30" s="1"/>
    </row>
    <row r="31" spans="1:32" x14ac:dyDescent="0.25">
      <c r="A31" s="31">
        <v>42889.23332175926</v>
      </c>
      <c r="B31" s="30" t="s">
        <v>504</v>
      </c>
      <c r="C31" s="30" t="s">
        <v>617</v>
      </c>
      <c r="D31" s="30" t="s">
        <v>49</v>
      </c>
      <c r="E31" s="30" t="s">
        <v>183</v>
      </c>
      <c r="F31" s="42">
        <v>0</v>
      </c>
      <c r="G31" s="42">
        <v>114</v>
      </c>
      <c r="H31" s="42">
        <v>58598</v>
      </c>
      <c r="I31" s="42">
        <v>58668</v>
      </c>
      <c r="J31" s="30" t="s">
        <v>184</v>
      </c>
      <c r="K31" s="42">
        <v>59058</v>
      </c>
      <c r="L31" s="134" t="s">
        <v>50</v>
      </c>
      <c r="M31" s="135">
        <f t="shared" si="0"/>
        <v>205.92</v>
      </c>
      <c r="N31" s="136" t="str">
        <f>VLOOKUP(C31,'Trips&amp;Operators'!$C$1:$G$99999,5,FALSE)</f>
        <v>MACDONALD THOMAS</v>
      </c>
      <c r="O31" s="210" t="s">
        <v>182</v>
      </c>
      <c r="P31" s="137"/>
      <c r="Q31" s="30"/>
      <c r="R31" s="84" t="str">
        <f>VLOOKUP(C31,'Train Runs'!$A$13:$AE$9933,31,0)</f>
        <v>aws s3 cp s3://rtdc.mdm.uploadarchive.raw/RTDC4058/ "%USERPROFILE%\AppData\Local\Temp\OnboardLogs"\RTDC4058\2017-06-03 --exclude "*" --recursive --include "*20170603*" &amp; "%USERPROFILE%\Documents\GitHub\mrs-test-scripts\Headless Mode &amp; Sideloading\WalkAndUnGZ.bat" "%USERPROFILE%\AppData\Local\Temp\OnboardLogs"\RTDC4058\2017-06-03 &amp; aws s3 cp s3://rtdc.mdm.uploadarchive.raw/RTDC4058/ "%USERPROFILE%\AppData\Local\Temp\OnboardLogs"\RTDC4058\2017-06-04 --exclude "*" --recursive --include "*20170604*" &amp; "%USERPROFILE%\Documents\GitHub\mrs-test-scripts\Headless Mode &amp; Sideloading\WalkAndUnGZ.bat" "%USERPROFILE%\AppData\Local\Temp\OnboardLogs"\RTDC4058\2017-06-04</v>
      </c>
      <c r="S31" s="87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-06-03T04:23:16-0600',mode:absolute,to:'2017-06-03T06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1" s="89" t="str">
        <f t="shared" si="1"/>
        <v>"C:\Program Files (x86)\AstroGrep\AstroGrep.exe" /e /r /s /spath="%USERPROFILE%\AppData\Local\Temp\OnboardLogs" /stypes="*4058*201706031*"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4058</v>
      </c>
      <c r="V31" s="31">
        <f t="shared" si="3"/>
        <v>42889.48332175926</v>
      </c>
      <c r="W31" s="45" t="str">
        <f t="shared" si="4"/>
        <v>Other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{"issue":{"subject":"","project_id":79,"tracker_id":40,"status_id":1,"priority_id":2,"assigned_to_id":23,"start_date":"2017-06-03","description":"","custom_fields":[{"id":1,"name":"Subdivision","value":"Other"},{"id":4,"name":"Milepost","value":"5.9058"},{"id":17,"name":"Train ID","value":"1901-03"},{"id":16,"name":"Locomotive ID","value":"4058"},{"id":130,"name":"Impact","value":""},{"id":150,"name":"Time of Event (Mountain Time)","value":"05:35:59"},{"id":151,"name":"Denver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/cygdrive/c/Users/stu/AppData/Local/Temp/OnboardLogs/RTDC4058 --include="*4058*201706031*"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"%USERPROFILE%\AppData\Local\Temp\OnboardLogs"\RTDC4058\*4058*201706031* &gt;&gt; 2017-06-03-SliceDisagreementCheck.txt</v>
      </c>
      <c r="AE31" s="148" t="str">
        <f t="shared" si="9"/>
        <v>start /low /b %USERPROFILE%\Documents\GitHub\eaglep3\Utilities\DownloadLogsFromS3.py --loco 4058 --day 2017-06-03</v>
      </c>
      <c r="AF31" s="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</sheetData>
  <autoFilter ref="A6:AC53">
    <sortState ref="A7:AC53">
      <sortCondition ref="W7:W31"/>
      <sortCondition ref="E7:E31"/>
      <sortCondition ref="K7:K31"/>
      <sortCondition ref="F7:F3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0:O1048576 O7:O3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7"/>
  <sheetViews>
    <sheetView workbookViewId="0">
      <selection activeCell="A3" sqref="A3:XFD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2017-06-03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-03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Runs'!$A$13:$A$99930,1,FALSE)</f>
        <v>#N/A</v>
      </c>
    </row>
    <row r="4" spans="1:10" x14ac:dyDescent="0.25">
      <c r="A4" s="202"/>
      <c r="B4" s="42" t="str">
        <f>A4&amp;"-"&amp;IF(DAY(Variables!$A$2)&lt;10,0,"")&amp;DAY(Variables!$A$2)</f>
        <v>-03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Runs'!$A$13:$A$99930,1,FALSE)</f>
        <v>#N/A</v>
      </c>
    </row>
    <row r="5" spans="1:10" x14ac:dyDescent="0.25">
      <c r="A5" s="202"/>
      <c r="B5" s="42" t="str">
        <f>A5&amp;"-"&amp;IF(DAY(Variables!$A$2)&lt;10,0,"")&amp;DAY(Variables!$A$2)</f>
        <v>-03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Runs'!$A$13:$A$99930,1,FALSE)</f>
        <v>#N/A</v>
      </c>
    </row>
    <row r="6" spans="1:10" x14ac:dyDescent="0.25">
      <c r="A6" s="202"/>
      <c r="B6" s="42" t="str">
        <f>A6&amp;"-"&amp;IF(DAY(Variables!$A$2)&lt;10,0,"")&amp;DAY(Variables!$A$2)</f>
        <v>-03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Runs'!$A$13:$A$99930,1,FALSE)</f>
        <v>#N/A</v>
      </c>
    </row>
    <row r="7" spans="1:10" x14ac:dyDescent="0.25">
      <c r="A7" s="202"/>
      <c r="B7" s="42" t="str">
        <f>A7&amp;"-"&amp;IF(DAY(Variables!$A$2)&lt;10,0,"")&amp;DAY(Variables!$A$2)</f>
        <v>-03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Runs'!$A$13:$A$99930,1,FALSE)</f>
        <v>#N/A</v>
      </c>
    </row>
    <row r="8" spans="1:10" x14ac:dyDescent="0.25">
      <c r="A8" s="202"/>
      <c r="B8" s="42" t="str">
        <f>A8&amp;"-"&amp;IF(DAY(Variables!$A$2)&lt;10,0,"")&amp;DAY(Variables!$A$2)</f>
        <v>-03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Runs'!$A$13:$A$99930,1,FALSE)</f>
        <v>#N/A</v>
      </c>
    </row>
    <row r="9" spans="1:10" x14ac:dyDescent="0.25">
      <c r="A9" s="202"/>
      <c r="B9" s="42" t="str">
        <f>A9&amp;"-"&amp;IF(DAY(Variables!$A$2)&lt;10,0,"")&amp;DAY(Variables!$A$2)</f>
        <v>-03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Runs'!$A$13:$A$99930,1,FALSE)</f>
        <v>#N/A</v>
      </c>
    </row>
    <row r="10" spans="1:10" x14ac:dyDescent="0.25">
      <c r="A10" s="202"/>
      <c r="B10" s="42" t="str">
        <f>A10&amp;"-"&amp;IF(DAY(Variables!$A$2)&lt;10,0,"")&amp;DAY(Variables!$A$2)</f>
        <v>-03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Runs'!$A$13:$A$99930,1,FALSE)</f>
        <v>#N/A</v>
      </c>
    </row>
    <row r="11" spans="1:10" x14ac:dyDescent="0.25">
      <c r="A11" s="202"/>
      <c r="B11" s="42" t="str">
        <f>A11&amp;"-"&amp;IF(DAY(Variables!$A$2)&lt;10,0,"")&amp;DAY(Variables!$A$2)</f>
        <v>-03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Runs'!$A$13:$A$99930,1,FALSE)</f>
        <v>#N/A</v>
      </c>
    </row>
    <row r="12" spans="1:10" x14ac:dyDescent="0.25">
      <c r="A12" s="202"/>
      <c r="B12" s="42" t="str">
        <f>A12&amp;"-"&amp;IF(DAY(Variables!$A$2)&lt;10,0,"")&amp;DAY(Variables!$A$2)</f>
        <v>-03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Runs'!$A$13:$A$99930,1,FALSE)</f>
        <v>#N/A</v>
      </c>
    </row>
    <row r="13" spans="1:10" x14ac:dyDescent="0.25">
      <c r="A13" s="202"/>
      <c r="B13" s="42" t="str">
        <f>A13&amp;"-"&amp;IF(DAY(Variables!$A$2)&lt;10,0,"")&amp;DAY(Variables!$A$2)</f>
        <v>-03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Runs'!$A$13:$A$99930,1,FALSE)</f>
        <v>#N/A</v>
      </c>
    </row>
    <row r="14" spans="1:10" x14ac:dyDescent="0.25">
      <c r="A14" s="202"/>
      <c r="B14" s="42" t="str">
        <f>A14&amp;"-"&amp;IF(DAY(Variables!$A$2)&lt;10,0,"")&amp;DAY(Variables!$A$2)</f>
        <v>-03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Runs'!$A$13:$A$99930,1,FALSE)</f>
        <v>#N/A</v>
      </c>
    </row>
    <row r="15" spans="1:10" x14ac:dyDescent="0.25">
      <c r="A15" s="202"/>
      <c r="B15" s="42" t="str">
        <f>A15&amp;"-"&amp;IF(DAY(Variables!$A$2)&lt;10,0,"")&amp;DAY(Variables!$A$2)</f>
        <v>-03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Runs'!$A$13:$A$99930,1,FALSE)</f>
        <v>#N/A</v>
      </c>
    </row>
    <row r="16" spans="1:10" x14ac:dyDescent="0.25">
      <c r="A16" s="202"/>
      <c r="B16" s="42" t="str">
        <f>A16&amp;"-"&amp;IF(DAY(Variables!$A$2)&lt;10,0,"")&amp;DAY(Variables!$A$2)</f>
        <v>-03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Runs'!$A$13:$A$99930,1,FALSE)</f>
        <v>#N/A</v>
      </c>
    </row>
    <row r="17" spans="1:10" x14ac:dyDescent="0.25">
      <c r="A17" s="202"/>
      <c r="B17" s="42" t="str">
        <f>A17&amp;"-"&amp;IF(DAY(Variables!$A$2)&lt;10,0,"")&amp;DAY(Variables!$A$2)</f>
        <v>-03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Runs'!$A$13:$A$99930,1,FALSE)</f>
        <v>#N/A</v>
      </c>
    </row>
    <row r="18" spans="1:10" x14ac:dyDescent="0.25">
      <c r="A18" s="202"/>
      <c r="B18" s="42" t="str">
        <f>A18&amp;"-"&amp;IF(DAY(Variables!$A$2)&lt;10,0,"")&amp;DAY(Variables!$A$2)</f>
        <v>-03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Runs'!$A$13:$A$99930,1,FALSE)</f>
        <v>#N/A</v>
      </c>
    </row>
    <row r="19" spans="1:10" x14ac:dyDescent="0.25">
      <c r="A19" s="202"/>
      <c r="B19" s="42" t="str">
        <f>A19&amp;"-"&amp;IF(DAY(Variables!$A$2)&lt;10,0,"")&amp;DAY(Variables!$A$2)</f>
        <v>-03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Runs'!$A$13:$A$99930,1,FALSE)</f>
        <v>#N/A</v>
      </c>
    </row>
    <row r="20" spans="1:10" x14ac:dyDescent="0.25">
      <c r="A20" s="202"/>
      <c r="B20" s="42" t="str">
        <f>A20&amp;"-"&amp;IF(DAY(Variables!$A$2)&lt;10,0,"")&amp;DAY(Variables!$A$2)</f>
        <v>-03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Runs'!$A$13:$A$99930,1,FALSE)</f>
        <v>#N/A</v>
      </c>
    </row>
    <row r="21" spans="1:10" x14ac:dyDescent="0.25">
      <c r="A21" s="202"/>
      <c r="B21" s="42" t="str">
        <f>A21&amp;"-"&amp;IF(DAY(Variables!$A$2)&lt;10,0,"")&amp;DAY(Variables!$A$2)</f>
        <v>-03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1" s="30" t="e">
        <f>VLOOKUP(B21,'Train Runs'!$A$13:$A$99930,1,FALSE)</f>
        <v>#N/A</v>
      </c>
    </row>
    <row r="22" spans="1:10" x14ac:dyDescent="0.25">
      <c r="A22" s="202"/>
      <c r="B22" s="42" t="str">
        <f>A22&amp;"-"&amp;IF(DAY(Variables!$A$2)&lt;10,0,"")&amp;DAY(Variables!$A$2)</f>
        <v>-03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2" s="30" t="e">
        <f>VLOOKUP(B22,'Train Runs'!$A$13:$A$99930,1,FALSE)</f>
        <v>#N/A</v>
      </c>
    </row>
    <row r="23" spans="1:10" x14ac:dyDescent="0.25">
      <c r="A23" s="202"/>
      <c r="B23" s="42" t="str">
        <f>A23&amp;"-"&amp;IF(DAY(Variables!$A$2)&lt;10,0,"")&amp;DAY(Variables!$A$2)</f>
        <v>-03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3" s="30" t="e">
        <f>VLOOKUP(B23,'Train Runs'!$A$13:$A$99930,1,FALSE)</f>
        <v>#N/A</v>
      </c>
    </row>
    <row r="24" spans="1:10" x14ac:dyDescent="0.25">
      <c r="A24" s="202"/>
      <c r="B24" s="42" t="str">
        <f>A24&amp;"-"&amp;IF(DAY(Variables!$A$2)&lt;10,0,"")&amp;DAY(Variables!$A$2)</f>
        <v>-03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4" s="30" t="e">
        <f>VLOOKUP(B24,'Train Runs'!$A$13:$A$99930,1,FALSE)</f>
        <v>#N/A</v>
      </c>
    </row>
    <row r="25" spans="1:10" x14ac:dyDescent="0.25">
      <c r="A25" s="202"/>
      <c r="B25" s="42" t="str">
        <f>A25&amp;"-"&amp;IF(DAY(Variables!$A$2)&lt;10,0,"")&amp;DAY(Variables!$A$2)</f>
        <v>-03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5" s="30" t="e">
        <f>VLOOKUP(B25,'Train Runs'!$A$13:$A$99930,1,FALSE)</f>
        <v>#N/A</v>
      </c>
    </row>
    <row r="26" spans="1:10" x14ac:dyDescent="0.25">
      <c r="A26" s="202"/>
      <c r="B26" s="42" t="str">
        <f>A26&amp;"-"&amp;IF(DAY(Variables!$A$2)&lt;10,0,"")&amp;DAY(Variables!$A$2)</f>
        <v>-03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6" s="30" t="e">
        <f>VLOOKUP(B26,'Train Runs'!$A$13:$A$99930,1,FALSE)</f>
        <v>#N/A</v>
      </c>
    </row>
    <row r="27" spans="1:10" x14ac:dyDescent="0.25">
      <c r="A27" s="202"/>
      <c r="B27" s="42" t="str">
        <f>A27&amp;"-"&amp;IF(DAY(Variables!$A$2)&lt;10,0,"")&amp;DAY(Variables!$A$2)</f>
        <v>-03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7" s="30" t="e">
        <f>VLOOKUP(B27,'Train Runs'!$A$13:$A$99930,1,FALSE)</f>
        <v>#N/A</v>
      </c>
    </row>
    <row r="28" spans="1:10" x14ac:dyDescent="0.25">
      <c r="A28" s="202"/>
      <c r="B28" s="42" t="str">
        <f>A28&amp;"-"&amp;IF(DAY(Variables!$A$2)&lt;10,0,"")&amp;DAY(Variables!$A$2)</f>
        <v>-03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8" s="30" t="e">
        <f>VLOOKUP(B28,'Train Runs'!$A$13:$A$99930,1,FALSE)</f>
        <v>#N/A</v>
      </c>
    </row>
    <row r="29" spans="1:10" x14ac:dyDescent="0.25">
      <c r="A29" s="202"/>
      <c r="B29" s="42" t="str">
        <f>A29&amp;"-"&amp;IF(DAY(Variables!$A$2)&lt;10,0,"")&amp;DAY(Variables!$A$2)</f>
        <v>-03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9" s="30" t="e">
        <f>VLOOKUP(B29,'Train Runs'!$A$13:$A$99930,1,FALSE)</f>
        <v>#N/A</v>
      </c>
    </row>
    <row r="30" spans="1:10" x14ac:dyDescent="0.25">
      <c r="A30" s="202"/>
      <c r="B30" s="42" t="str">
        <f>A30&amp;"-"&amp;IF(DAY(Variables!$A$2)&lt;10,0,"")&amp;DAY(Variables!$A$2)</f>
        <v>-03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0" s="30" t="e">
        <f>VLOOKUP(B30,'Train Runs'!$A$13:$A$99930,1,FALSE)</f>
        <v>#N/A</v>
      </c>
    </row>
    <row r="31" spans="1:10" x14ac:dyDescent="0.25">
      <c r="A31" s="202"/>
      <c r="B31" s="42" t="str">
        <f>A31&amp;"-"&amp;IF(DAY(Variables!$A$2)&lt;10,0,"")&amp;DAY(Variables!$A$2)</f>
        <v>-03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1" s="30" t="e">
        <f>VLOOKUP(B31,'Train Runs'!$A$13:$A$99930,1,FALSE)</f>
        <v>#N/A</v>
      </c>
    </row>
    <row r="32" spans="1:10" x14ac:dyDescent="0.25">
      <c r="A32" s="202"/>
      <c r="B32" s="42" t="str">
        <f>A32&amp;"-"&amp;IF(DAY(Variables!$A$2)&lt;10,0,"")&amp;DAY(Variables!$A$2)</f>
        <v>-03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2" s="30" t="e">
        <f>VLOOKUP(B32,'Train Runs'!$A$13:$A$99930,1,FALSE)</f>
        <v>#N/A</v>
      </c>
    </row>
    <row r="33" spans="1:10" x14ac:dyDescent="0.25">
      <c r="A33" s="202"/>
      <c r="B33" s="42" t="str">
        <f>A33&amp;"-"&amp;IF(DAY(Variables!$A$2)&lt;10,0,"")&amp;DAY(Variables!$A$2)</f>
        <v>-03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3" s="30" t="e">
        <f>VLOOKUP(B33,'Train Runs'!$A$13:$A$99930,1,FALSE)</f>
        <v>#N/A</v>
      </c>
    </row>
    <row r="34" spans="1:10" x14ac:dyDescent="0.25">
      <c r="A34" s="202"/>
      <c r="B34" s="42" t="str">
        <f>A34&amp;"-"&amp;IF(DAY(Variables!$A$2)&lt;10,0,"")&amp;DAY(Variables!$A$2)</f>
        <v>-03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4" s="30" t="e">
        <f>VLOOKUP(B34,'Train Runs'!$A$13:$A$99930,1,FALSE)</f>
        <v>#N/A</v>
      </c>
    </row>
    <row r="35" spans="1:10" x14ac:dyDescent="0.25">
      <c r="A35" s="202"/>
      <c r="B35" s="42" t="str">
        <f>A35&amp;"-"&amp;IF(DAY(Variables!$A$2)&lt;10,0,"")&amp;DAY(Variables!$A$2)</f>
        <v>-03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5" s="30" t="e">
        <f>VLOOKUP(B35,'Train Runs'!$A$13:$A$99930,1,FALSE)</f>
        <v>#N/A</v>
      </c>
    </row>
    <row r="36" spans="1:10" x14ac:dyDescent="0.25">
      <c r="A36" s="202"/>
      <c r="B36" s="42" t="str">
        <f>A36&amp;"-"&amp;IF(DAY(Variables!$A$2)&lt;10,0,"")&amp;DAY(Variables!$A$2)</f>
        <v>-03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6" s="30" t="e">
        <f>VLOOKUP(B36,'Train Runs'!$A$13:$A$99930,1,FALSE)</f>
        <v>#N/A</v>
      </c>
    </row>
    <row r="37" spans="1:10" x14ac:dyDescent="0.25">
      <c r="A37" s="202"/>
      <c r="B37" s="42" t="str">
        <f>A37&amp;"-"&amp;IF(DAY(Variables!$A$2)&lt;10,0,"")&amp;DAY(Variables!$A$2)</f>
        <v>-03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7" s="30" t="e">
        <f>VLOOKUP(B37,'Train Runs'!$A$13:$A$99930,1,FALSE)</f>
        <v>#N/A</v>
      </c>
    </row>
    <row r="38" spans="1:10" x14ac:dyDescent="0.25">
      <c r="A38" s="202"/>
      <c r="B38" s="42" t="str">
        <f>A38&amp;"-"&amp;IF(DAY(Variables!$A$2)&lt;10,0,"")&amp;DAY(Variables!$A$2)</f>
        <v>-03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8" s="30" t="e">
        <f>VLOOKUP(B38,'Train Runs'!$A$13:$A$99930,1,FALSE)</f>
        <v>#N/A</v>
      </c>
    </row>
    <row r="39" spans="1:10" x14ac:dyDescent="0.25">
      <c r="A39" s="202"/>
      <c r="B39" s="42" t="str">
        <f>A39&amp;"-"&amp;IF(DAY(Variables!$A$2)&lt;10,0,"")&amp;DAY(Variables!$A$2)</f>
        <v>-03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9" s="30" t="e">
        <f>VLOOKUP(B39,'Train Runs'!$A$13:$A$99930,1,FALSE)</f>
        <v>#N/A</v>
      </c>
    </row>
    <row r="40" spans="1:10" x14ac:dyDescent="0.25">
      <c r="A40" s="202"/>
      <c r="B40" s="42" t="str">
        <f>A40&amp;"-"&amp;IF(DAY(Variables!$A$2)&lt;10,0,"")&amp;DAY(Variables!$A$2)</f>
        <v>-03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0" s="30" t="e">
        <f>VLOOKUP(B40,'Train Runs'!$A$13:$A$99930,1,FALSE)</f>
        <v>#N/A</v>
      </c>
    </row>
    <row r="41" spans="1:10" x14ac:dyDescent="0.25">
      <c r="A41" s="202"/>
      <c r="B41" s="42" t="str">
        <f>A41&amp;"-"&amp;IF(DAY(Variables!$A$2)&lt;10,0,"")&amp;DAY(Variables!$A$2)</f>
        <v>-03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ref="I41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1" s="30" t="e">
        <f>VLOOKUP(B41,'Train Runs'!$A$13:$A$99930,1,FALSE)</f>
        <v>#N/A</v>
      </c>
    </row>
    <row r="42" spans="1:10" x14ac:dyDescent="0.25">
      <c r="A42" s="202"/>
      <c r="B42" s="42" t="str">
        <f>A42&amp;"-"&amp;IF(DAY(Variables!$A$2)&lt;10,0,"")&amp;DAY(Variables!$A$2)</f>
        <v>-03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2" s="30" t="e">
        <f>VLOOKUP(B42,'Train Runs'!$A$13:$A$99930,1,FALSE)</f>
        <v>#N/A</v>
      </c>
    </row>
    <row r="43" spans="1:10" x14ac:dyDescent="0.25">
      <c r="A43" s="202"/>
      <c r="B43" s="42" t="str">
        <f>A43&amp;"-"&amp;IF(DAY(Variables!$A$2)&lt;10,0,"")&amp;DAY(Variables!$A$2)</f>
        <v>-03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3" s="30" t="e">
        <f>VLOOKUP(B43,'Train Runs'!$A$13:$A$99930,1,FALSE)</f>
        <v>#N/A</v>
      </c>
    </row>
    <row r="44" spans="1:10" x14ac:dyDescent="0.25">
      <c r="A44" s="202"/>
      <c r="B44" s="42" t="str">
        <f>A44&amp;"-"&amp;IF(DAY(Variables!$A$2)&lt;10,0,"")&amp;DAY(Variables!$A$2)</f>
        <v>-03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4" s="30" t="e">
        <f>VLOOKUP(B44,'Train Runs'!$A$13:$A$99930,1,FALSE)</f>
        <v>#N/A</v>
      </c>
    </row>
    <row r="45" spans="1:10" x14ac:dyDescent="0.25">
      <c r="A45" s="202"/>
      <c r="B45" s="42" t="str">
        <f>A45&amp;"-"&amp;IF(DAY(Variables!$A$2)&lt;10,0,"")&amp;DAY(Variables!$A$2)</f>
        <v>-03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5" s="30" t="e">
        <f>VLOOKUP(B45,'Train Runs'!$A$13:$A$99930,1,FALSE)</f>
        <v>#N/A</v>
      </c>
    </row>
    <row r="46" spans="1:10" x14ac:dyDescent="0.25">
      <c r="A46" s="202"/>
      <c r="B46" s="42" t="str">
        <f>A46&amp;"-"&amp;IF(DAY(Variables!$A$2)&lt;10,0,"")&amp;DAY(Variables!$A$2)</f>
        <v>-03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6" s="30" t="e">
        <f>VLOOKUP(B46,'Train Runs'!$A$13:$A$99930,1,FALSE)</f>
        <v>#N/A</v>
      </c>
    </row>
    <row r="47" spans="1:10" x14ac:dyDescent="0.25">
      <c r="A47" s="202"/>
      <c r="B47" s="42" t="str">
        <f>A47&amp;"-"&amp;IF(DAY(Variables!$A$2)&lt;10,0,"")&amp;DAY(Variables!$A$2)</f>
        <v>-03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7" s="30" t="e">
        <f>VLOOKUP(B47,'Train Runs'!$A$13:$A$99930,1,FALSE)</f>
        <v>#N/A</v>
      </c>
    </row>
    <row r="48" spans="1:10" x14ac:dyDescent="0.25">
      <c r="A48" s="202"/>
      <c r="B48" s="42" t="str">
        <f>A48&amp;"-"&amp;IF(DAY(Variables!$A$2)&lt;10,0,"")&amp;DAY(Variables!$A$2)</f>
        <v>-03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8" s="30" t="e">
        <f>VLOOKUP(B48,'Train Runs'!$A$13:$A$99930,1,FALSE)</f>
        <v>#N/A</v>
      </c>
    </row>
    <row r="49" spans="1:10" x14ac:dyDescent="0.25">
      <c r="A49" s="202"/>
      <c r="B49" s="42" t="str">
        <f>A49&amp;"-"&amp;IF(DAY(Variables!$A$2)&lt;10,0,"")&amp;DAY(Variables!$A$2)</f>
        <v>-03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9" s="30" t="e">
        <f>VLOOKUP(B49,'Train Runs'!$A$13:$A$99930,1,FALSE)</f>
        <v>#N/A</v>
      </c>
    </row>
    <row r="50" spans="1:10" x14ac:dyDescent="0.25">
      <c r="A50" s="202"/>
      <c r="B50" s="42" t="str">
        <f>A50&amp;"-"&amp;IF(DAY(Variables!$A$2)&lt;10,0,"")&amp;DAY(Variables!$A$2)</f>
        <v>-03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0" s="30" t="e">
        <f>VLOOKUP(B50,'Train Runs'!$A$13:$A$99930,1,FALSE)</f>
        <v>#N/A</v>
      </c>
    </row>
    <row r="51" spans="1:10" x14ac:dyDescent="0.25">
      <c r="A51" s="202"/>
      <c r="B51" s="42" t="str">
        <f>A51&amp;"-"&amp;IF(DAY(Variables!$A$2)&lt;10,0,"")&amp;DAY(Variables!$A$2)</f>
        <v>-03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1" s="30" t="e">
        <f>VLOOKUP(B51,'Train Runs'!$A$13:$A$99930,1,FALSE)</f>
        <v>#N/A</v>
      </c>
    </row>
    <row r="52" spans="1:10" x14ac:dyDescent="0.25">
      <c r="A52" s="202"/>
      <c r="B52" s="42" t="str">
        <f>A52&amp;"-"&amp;IF(DAY(Variables!$A$2)&lt;10,0,"")&amp;DAY(Variables!$A$2)</f>
        <v>-03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2" s="30" t="e">
        <f>VLOOKUP(B52,'Train Runs'!$A$13:$A$99930,1,FALSE)</f>
        <v>#N/A</v>
      </c>
    </row>
    <row r="53" spans="1:10" x14ac:dyDescent="0.25">
      <c r="A53" s="202"/>
      <c r="B53" s="42" t="str">
        <f>A53&amp;"-"&amp;IF(DAY(Variables!$A$2)&lt;10,0,"")&amp;DAY(Variables!$A$2)</f>
        <v>-03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3" s="30" t="e">
        <f>VLOOKUP(B53,'Train Runs'!$A$13:$A$99930,1,FALSE)</f>
        <v>#N/A</v>
      </c>
    </row>
    <row r="54" spans="1:10" x14ac:dyDescent="0.25">
      <c r="A54" s="202"/>
      <c r="B54" s="42" t="str">
        <f>A54&amp;"-"&amp;IF(DAY(Variables!$A$2)&lt;10,0,"")&amp;DAY(Variables!$A$2)</f>
        <v>-03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4" s="30" t="e">
        <f>VLOOKUP(B54,'Train Runs'!$A$13:$A$99930,1,FALSE)</f>
        <v>#N/A</v>
      </c>
    </row>
    <row r="55" spans="1:10" x14ac:dyDescent="0.25">
      <c r="A55" s="202"/>
      <c r="B55" s="42" t="str">
        <f>A55&amp;"-"&amp;IF(DAY(Variables!$A$2)&lt;10,0,"")&amp;DAY(Variables!$A$2)</f>
        <v>-03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5" s="30" t="e">
        <f>VLOOKUP(B55,'Train Runs'!$A$13:$A$99930,1,FALSE)</f>
        <v>#N/A</v>
      </c>
    </row>
    <row r="56" spans="1:10" x14ac:dyDescent="0.25">
      <c r="A56" s="202"/>
      <c r="B56" s="42" t="str">
        <f>A56&amp;"-"&amp;IF(DAY(Variables!$A$2)&lt;10,0,"")&amp;DAY(Variables!$A$2)</f>
        <v>-03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6" s="30" t="e">
        <f>VLOOKUP(B56,'Train Runs'!$A$13:$A$99930,1,FALSE)</f>
        <v>#N/A</v>
      </c>
    </row>
    <row r="57" spans="1:10" x14ac:dyDescent="0.25">
      <c r="A57" s="202"/>
      <c r="B57" s="42" t="str">
        <f>A57&amp;"-"&amp;IF(DAY(Variables!$A$2)&lt;10,0,"")&amp;DAY(Variables!$A$2)</f>
        <v>-03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7" s="30" t="e">
        <f>VLOOKUP(B57,'Train Runs'!$A$13:$A$99930,1,FALSE)</f>
        <v>#N/A</v>
      </c>
    </row>
    <row r="58" spans="1:10" x14ac:dyDescent="0.25">
      <c r="A58" s="202"/>
      <c r="B58" s="42" t="str">
        <f>A58&amp;"-"&amp;IF(DAY(Variables!$A$2)&lt;10,0,"")&amp;DAY(Variables!$A$2)</f>
        <v>-03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8" s="30" t="e">
        <f>VLOOKUP(B58,'Train Runs'!$A$13:$A$99930,1,FALSE)</f>
        <v>#N/A</v>
      </c>
    </row>
    <row r="59" spans="1:10" x14ac:dyDescent="0.25">
      <c r="A59" s="202"/>
      <c r="B59" s="42" t="str">
        <f>A59&amp;"-"&amp;IF(DAY(Variables!$A$2)&lt;10,0,"")&amp;DAY(Variables!$A$2)</f>
        <v>-03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9" s="30" t="e">
        <f>VLOOKUP(B59,'Train Runs'!$A$13:$A$99930,1,FALSE)</f>
        <v>#N/A</v>
      </c>
    </row>
    <row r="60" spans="1:10" x14ac:dyDescent="0.25">
      <c r="A60" s="202"/>
      <c r="B60" s="42" t="str">
        <f>A60&amp;"-"&amp;IF(DAY(Variables!$A$2)&lt;10,0,"")&amp;DAY(Variables!$A$2)</f>
        <v>-03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0" s="30" t="e">
        <f>VLOOKUP(B60,'Train Runs'!$A$13:$A$99930,1,FALSE)</f>
        <v>#N/A</v>
      </c>
    </row>
    <row r="61" spans="1:10" x14ac:dyDescent="0.25">
      <c r="A61" s="202"/>
      <c r="B61" s="42" t="str">
        <f>A61&amp;"-"&amp;IF(DAY(Variables!$A$2)&lt;10,0,"")&amp;DAY(Variables!$A$2)</f>
        <v>-03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1" s="30" t="e">
        <f>VLOOKUP(B61,'Train Runs'!$A$13:$A$99930,1,FALSE)</f>
        <v>#N/A</v>
      </c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</sheetData>
  <autoFilter ref="A2:J6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42889.035949074074</v>
      </c>
      <c r="B2" s="20" t="s">
        <v>642</v>
      </c>
      <c r="C2" s="20" t="s">
        <v>643</v>
      </c>
      <c r="D2" s="141">
        <v>2260000</v>
      </c>
      <c r="E2" s="20" t="s">
        <v>644</v>
      </c>
      <c r="F2" s="20" t="s">
        <v>645</v>
      </c>
      <c r="G2" s="8" t="str">
        <f>E2&amp;" "&amp;F2</f>
        <v>ARVIDSON DANIEL</v>
      </c>
    </row>
    <row r="3" spans="1:7" x14ac:dyDescent="0.25">
      <c r="A3" s="8">
        <v>42889.04923611111</v>
      </c>
      <c r="B3" s="20" t="s">
        <v>414</v>
      </c>
      <c r="C3" s="20" t="s">
        <v>646</v>
      </c>
      <c r="D3" s="141">
        <v>1540000</v>
      </c>
      <c r="E3" s="20" t="s">
        <v>510</v>
      </c>
      <c r="F3" s="20" t="s">
        <v>511</v>
      </c>
      <c r="G3" s="8" t="str">
        <f t="shared" ref="G3:G66" si="0">E3&amp;" "&amp;F3</f>
        <v>HELVIE ADAM</v>
      </c>
    </row>
    <row r="4" spans="1:7" x14ac:dyDescent="0.25">
      <c r="A4" s="8">
        <v>42889.049259259256</v>
      </c>
      <c r="B4" s="20" t="s">
        <v>377</v>
      </c>
      <c r="C4" s="20" t="s">
        <v>647</v>
      </c>
      <c r="D4" s="141">
        <v>3000000</v>
      </c>
      <c r="E4" s="20" t="s">
        <v>448</v>
      </c>
      <c r="F4" s="20" t="s">
        <v>449</v>
      </c>
      <c r="G4" s="8" t="str">
        <f t="shared" si="0"/>
        <v>FORTUNATO FRANK</v>
      </c>
    </row>
    <row r="5" spans="1:7" x14ac:dyDescent="0.25">
      <c r="A5" s="8">
        <v>42889.070034722223</v>
      </c>
      <c r="B5" s="20" t="s">
        <v>648</v>
      </c>
      <c r="C5" s="20" t="s">
        <v>649</v>
      </c>
      <c r="D5" s="141">
        <v>2260000</v>
      </c>
      <c r="E5" s="20" t="s">
        <v>644</v>
      </c>
      <c r="F5" s="20" t="s">
        <v>645</v>
      </c>
      <c r="G5" s="8" t="str">
        <f t="shared" si="0"/>
        <v>ARVIDSON DANIEL</v>
      </c>
    </row>
    <row r="6" spans="1:7" x14ac:dyDescent="0.25">
      <c r="A6" s="8">
        <v>42889.071250000001</v>
      </c>
      <c r="B6" s="20" t="s">
        <v>427</v>
      </c>
      <c r="C6" s="20" t="s">
        <v>650</v>
      </c>
      <c r="D6" s="141">
        <v>2630000</v>
      </c>
      <c r="E6" s="20" t="s">
        <v>488</v>
      </c>
      <c r="F6" s="20" t="s">
        <v>489</v>
      </c>
      <c r="G6" s="8" t="str">
        <f t="shared" si="0"/>
        <v>SAFIEF AEIMEN</v>
      </c>
    </row>
    <row r="7" spans="1:7" x14ac:dyDescent="0.25">
      <c r="A7" s="8">
        <v>42889.090243055558</v>
      </c>
      <c r="B7" s="20" t="s">
        <v>380</v>
      </c>
      <c r="C7" s="20" t="s">
        <v>651</v>
      </c>
      <c r="D7" s="141">
        <v>3000000</v>
      </c>
      <c r="E7" s="20" t="s">
        <v>448</v>
      </c>
      <c r="F7" s="20" t="s">
        <v>449</v>
      </c>
      <c r="G7" s="8" t="str">
        <f t="shared" si="0"/>
        <v>FORTUNATO FRANK</v>
      </c>
    </row>
    <row r="8" spans="1:7" x14ac:dyDescent="0.25">
      <c r="A8" s="8">
        <v>42889.112233796295</v>
      </c>
      <c r="B8" s="20" t="s">
        <v>362</v>
      </c>
      <c r="C8" s="20" t="s">
        <v>652</v>
      </c>
      <c r="D8" s="141">
        <v>2630000</v>
      </c>
      <c r="E8" s="20" t="s">
        <v>488</v>
      </c>
      <c r="F8" s="20" t="s">
        <v>489</v>
      </c>
      <c r="G8" s="8" t="str">
        <f t="shared" si="0"/>
        <v>SAFIEF AEIMEN</v>
      </c>
    </row>
    <row r="9" spans="1:7" ht="15.75" thickBot="1" x14ac:dyDescent="0.3">
      <c r="A9" s="24">
        <v>42889.114907407406</v>
      </c>
      <c r="B9" s="20" t="s">
        <v>501</v>
      </c>
      <c r="C9" s="20" t="s">
        <v>653</v>
      </c>
      <c r="D9" s="141">
        <v>1340000</v>
      </c>
      <c r="E9" s="20" t="s">
        <v>654</v>
      </c>
      <c r="F9" s="20" t="s">
        <v>655</v>
      </c>
      <c r="G9" s="8" t="str">
        <f t="shared" si="0"/>
        <v>BEAM ROSS</v>
      </c>
    </row>
    <row r="10" spans="1:7" x14ac:dyDescent="0.25">
      <c r="A10" s="8">
        <v>42889.115601851852</v>
      </c>
      <c r="B10" s="20" t="s">
        <v>501</v>
      </c>
      <c r="C10" s="20" t="s">
        <v>653</v>
      </c>
      <c r="D10" s="141">
        <v>1340000</v>
      </c>
      <c r="E10" s="20" t="s">
        <v>654</v>
      </c>
      <c r="F10" s="20" t="s">
        <v>655</v>
      </c>
      <c r="G10" s="8" t="str">
        <f t="shared" si="0"/>
        <v>BEAM ROSS</v>
      </c>
    </row>
    <row r="11" spans="1:7" x14ac:dyDescent="0.25">
      <c r="A11" s="8">
        <v>42889.128020833334</v>
      </c>
      <c r="B11" s="20" t="s">
        <v>503</v>
      </c>
      <c r="C11" s="20" t="s">
        <v>656</v>
      </c>
      <c r="D11" s="141">
        <v>1520000</v>
      </c>
      <c r="E11" s="20" t="s">
        <v>657</v>
      </c>
      <c r="F11" s="20" t="s">
        <v>658</v>
      </c>
      <c r="G11" s="8" t="str">
        <f t="shared" si="0"/>
        <v>MAYBERRY BILL</v>
      </c>
    </row>
    <row r="12" spans="1:7" x14ac:dyDescent="0.25">
      <c r="A12" s="8">
        <v>42889.128310185188</v>
      </c>
      <c r="B12" s="20" t="s">
        <v>409</v>
      </c>
      <c r="C12" s="20" t="s">
        <v>659</v>
      </c>
      <c r="D12" s="141">
        <v>1340000</v>
      </c>
      <c r="E12" s="20" t="s">
        <v>654</v>
      </c>
      <c r="F12" s="20" t="s">
        <v>655</v>
      </c>
      <c r="G12" s="8" t="str">
        <f t="shared" si="0"/>
        <v>BEAM ROSS</v>
      </c>
    </row>
    <row r="13" spans="1:7" x14ac:dyDescent="0.25">
      <c r="A13" s="8">
        <v>42889.128692129627</v>
      </c>
      <c r="B13" s="20" t="s">
        <v>503</v>
      </c>
      <c r="C13" s="20" t="s">
        <v>656</v>
      </c>
      <c r="D13" s="141">
        <v>1520000</v>
      </c>
      <c r="E13" s="20" t="s">
        <v>657</v>
      </c>
      <c r="F13" s="20" t="s">
        <v>658</v>
      </c>
      <c r="G13" s="8" t="str">
        <f t="shared" si="0"/>
        <v>MAYBERRY BILL</v>
      </c>
    </row>
    <row r="14" spans="1:7" x14ac:dyDescent="0.25">
      <c r="A14" s="8">
        <v>42889.129537037035</v>
      </c>
      <c r="B14" s="20" t="s">
        <v>503</v>
      </c>
      <c r="C14" s="20" t="s">
        <v>660</v>
      </c>
      <c r="D14" s="141">
        <v>1520000</v>
      </c>
      <c r="E14" s="20" t="s">
        <v>657</v>
      </c>
      <c r="F14" s="20" t="s">
        <v>658</v>
      </c>
      <c r="G14" s="8" t="str">
        <f t="shared" si="0"/>
        <v>MAYBERRY BILL</v>
      </c>
    </row>
    <row r="15" spans="1:7" x14ac:dyDescent="0.25">
      <c r="A15" s="8">
        <v>42889.13784722222</v>
      </c>
      <c r="B15" s="20" t="s">
        <v>474</v>
      </c>
      <c r="C15" s="20" t="s">
        <v>661</v>
      </c>
      <c r="D15" s="141">
        <v>3040000</v>
      </c>
      <c r="E15" s="20" t="s">
        <v>390</v>
      </c>
      <c r="F15" s="20" t="s">
        <v>391</v>
      </c>
      <c r="G15" s="8" t="str">
        <f t="shared" si="0"/>
        <v>WILLIAMS DONTE</v>
      </c>
    </row>
    <row r="16" spans="1:7" x14ac:dyDescent="0.25">
      <c r="A16" s="8">
        <v>42889.141145833331</v>
      </c>
      <c r="B16" s="20" t="s">
        <v>501</v>
      </c>
      <c r="C16" s="20" t="s">
        <v>656</v>
      </c>
      <c r="D16" s="141">
        <v>1520000</v>
      </c>
      <c r="E16" s="20" t="s">
        <v>657</v>
      </c>
      <c r="F16" s="20" t="s">
        <v>658</v>
      </c>
      <c r="G16" s="8" t="str">
        <f t="shared" si="0"/>
        <v>MAYBERRY BILL</v>
      </c>
    </row>
    <row r="17" spans="1:7" x14ac:dyDescent="0.25">
      <c r="A17" s="8">
        <v>42889.150057870371</v>
      </c>
      <c r="B17" s="20" t="s">
        <v>465</v>
      </c>
      <c r="C17" s="20" t="s">
        <v>662</v>
      </c>
      <c r="D17" s="141">
        <v>3040000</v>
      </c>
      <c r="E17" s="20" t="s">
        <v>390</v>
      </c>
      <c r="F17" s="20" t="s">
        <v>391</v>
      </c>
      <c r="G17" s="8" t="str">
        <f t="shared" si="0"/>
        <v>WILLIAMS DONTE</v>
      </c>
    </row>
    <row r="18" spans="1:7" x14ac:dyDescent="0.25">
      <c r="A18" s="8">
        <v>42889.154178240744</v>
      </c>
      <c r="B18" s="20" t="s">
        <v>438</v>
      </c>
      <c r="C18" s="20" t="s">
        <v>663</v>
      </c>
      <c r="D18" s="141">
        <v>1990000</v>
      </c>
      <c r="E18" s="20" t="s">
        <v>429</v>
      </c>
      <c r="F18" s="20" t="s">
        <v>505</v>
      </c>
      <c r="G18" s="8" t="str">
        <f t="shared" si="0"/>
        <v>DAVIS WENDY</v>
      </c>
    </row>
    <row r="19" spans="1:7" x14ac:dyDescent="0.25">
      <c r="A19" s="8">
        <v>42889.165231481478</v>
      </c>
      <c r="B19" s="20" t="s">
        <v>376</v>
      </c>
      <c r="C19" s="20" t="s">
        <v>664</v>
      </c>
      <c r="D19" s="141">
        <v>1100000</v>
      </c>
      <c r="E19" s="20" t="s">
        <v>506</v>
      </c>
      <c r="F19" s="20" t="s">
        <v>507</v>
      </c>
      <c r="G19" s="8" t="str">
        <f t="shared" si="0"/>
        <v>GEBRETEKLE DAGNEW</v>
      </c>
    </row>
    <row r="20" spans="1:7" x14ac:dyDescent="0.25">
      <c r="A20" s="8">
        <v>42889.16609953704</v>
      </c>
      <c r="B20" s="20" t="s">
        <v>542</v>
      </c>
      <c r="C20" s="20" t="s">
        <v>665</v>
      </c>
      <c r="D20" s="141">
        <v>1340000</v>
      </c>
      <c r="E20" s="20" t="s">
        <v>654</v>
      </c>
      <c r="F20" s="20" t="s">
        <v>655</v>
      </c>
      <c r="G20" s="8" t="str">
        <f t="shared" si="0"/>
        <v>BEAM ROSS</v>
      </c>
    </row>
    <row r="21" spans="1:7" x14ac:dyDescent="0.25">
      <c r="A21" s="8">
        <v>42889.169479166667</v>
      </c>
      <c r="B21" s="20" t="s">
        <v>425</v>
      </c>
      <c r="C21" s="20" t="s">
        <v>666</v>
      </c>
      <c r="D21" s="141">
        <v>1990000</v>
      </c>
      <c r="E21" s="20" t="s">
        <v>429</v>
      </c>
      <c r="F21" s="20" t="s">
        <v>505</v>
      </c>
      <c r="G21" s="8" t="str">
        <f t="shared" si="0"/>
        <v>DAVIS WENDY</v>
      </c>
    </row>
    <row r="22" spans="1:7" x14ac:dyDescent="0.25">
      <c r="A22" s="26">
        <v>42889.177349537036</v>
      </c>
      <c r="B22" s="20" t="s">
        <v>382</v>
      </c>
      <c r="C22" s="20" t="s">
        <v>667</v>
      </c>
      <c r="D22" s="141">
        <v>1100000</v>
      </c>
      <c r="E22" s="20" t="s">
        <v>506</v>
      </c>
      <c r="F22" s="20" t="s">
        <v>507</v>
      </c>
      <c r="G22" s="8" t="str">
        <f t="shared" si="0"/>
        <v>GEBRETEKLE DAGNEW</v>
      </c>
    </row>
    <row r="23" spans="1:7" x14ac:dyDescent="0.25">
      <c r="A23" s="8">
        <v>42889.183715277781</v>
      </c>
      <c r="B23" s="20" t="s">
        <v>619</v>
      </c>
      <c r="C23" s="20" t="s">
        <v>668</v>
      </c>
      <c r="D23" s="141">
        <v>2530000</v>
      </c>
      <c r="E23" s="20" t="s">
        <v>669</v>
      </c>
      <c r="F23" s="20" t="s">
        <v>670</v>
      </c>
      <c r="G23" s="8" t="str">
        <f t="shared" si="0"/>
        <v>LALONDE GREGORY</v>
      </c>
    </row>
    <row r="24" spans="1:7" x14ac:dyDescent="0.25">
      <c r="A24" s="8">
        <v>42889.185868055552</v>
      </c>
      <c r="B24" s="20" t="s">
        <v>474</v>
      </c>
      <c r="C24" s="20" t="s">
        <v>671</v>
      </c>
      <c r="D24" s="141">
        <v>3040000</v>
      </c>
      <c r="E24" s="20" t="s">
        <v>390</v>
      </c>
      <c r="F24" s="20" t="s">
        <v>391</v>
      </c>
      <c r="G24" s="8" t="str">
        <f t="shared" si="0"/>
        <v>WILLIAMS DONTE</v>
      </c>
    </row>
    <row r="25" spans="1:7" x14ac:dyDescent="0.25">
      <c r="A25" s="8">
        <v>42889.196145833332</v>
      </c>
      <c r="B25" s="20" t="s">
        <v>637</v>
      </c>
      <c r="C25" s="20" t="s">
        <v>672</v>
      </c>
      <c r="D25" s="141">
        <v>2530000</v>
      </c>
      <c r="E25" s="20" t="s">
        <v>669</v>
      </c>
      <c r="F25" s="20" t="s">
        <v>670</v>
      </c>
      <c r="G25" s="8" t="str">
        <f t="shared" si="0"/>
        <v>LALONDE GREGORY</v>
      </c>
    </row>
    <row r="26" spans="1:7" x14ac:dyDescent="0.25">
      <c r="A26" s="8">
        <v>42889.2033912037</v>
      </c>
      <c r="B26" s="20" t="s">
        <v>407</v>
      </c>
      <c r="C26" s="20" t="s">
        <v>673</v>
      </c>
      <c r="D26" s="141">
        <v>2600000</v>
      </c>
      <c r="E26" s="20" t="s">
        <v>674</v>
      </c>
      <c r="F26" s="20" t="s">
        <v>675</v>
      </c>
      <c r="G26" s="8" t="str">
        <f t="shared" si="0"/>
        <v>DAVIDSON DAVID</v>
      </c>
    </row>
    <row r="27" spans="1:7" x14ac:dyDescent="0.25">
      <c r="A27" s="8">
        <v>42889.206469907411</v>
      </c>
      <c r="B27" s="20" t="s">
        <v>409</v>
      </c>
      <c r="C27" s="20" t="s">
        <v>676</v>
      </c>
      <c r="D27" s="141">
        <v>1780000</v>
      </c>
      <c r="E27" s="20" t="s">
        <v>516</v>
      </c>
      <c r="F27" s="20" t="s">
        <v>517</v>
      </c>
      <c r="G27" s="8" t="str">
        <f t="shared" si="0"/>
        <v>DE LA ROSA ALEX</v>
      </c>
    </row>
    <row r="28" spans="1:7" x14ac:dyDescent="0.25">
      <c r="A28" s="8">
        <v>42889.213831018518</v>
      </c>
      <c r="B28" s="20" t="s">
        <v>408</v>
      </c>
      <c r="C28" s="20" t="s">
        <v>677</v>
      </c>
      <c r="D28" s="141">
        <v>2600000</v>
      </c>
      <c r="E28" s="20" t="s">
        <v>674</v>
      </c>
      <c r="F28" s="20" t="s">
        <v>675</v>
      </c>
      <c r="G28" s="8" t="str">
        <f t="shared" si="0"/>
        <v>DAVIDSON DAVID</v>
      </c>
    </row>
    <row r="29" spans="1:7" x14ac:dyDescent="0.25">
      <c r="A29" s="8">
        <v>42889.214722222219</v>
      </c>
      <c r="B29" s="20" t="s">
        <v>438</v>
      </c>
      <c r="C29" s="20" t="s">
        <v>678</v>
      </c>
      <c r="D29" s="141">
        <v>1990000</v>
      </c>
      <c r="E29" s="20" t="s">
        <v>429</v>
      </c>
      <c r="F29" s="20" t="s">
        <v>505</v>
      </c>
      <c r="G29" s="8" t="str">
        <f t="shared" si="0"/>
        <v>DAVIS WENDY</v>
      </c>
    </row>
    <row r="30" spans="1:7" x14ac:dyDescent="0.25">
      <c r="A30" s="8">
        <v>42889.217719907407</v>
      </c>
      <c r="B30" s="20" t="s">
        <v>443</v>
      </c>
      <c r="C30" s="20" t="s">
        <v>616</v>
      </c>
      <c r="D30" s="141">
        <v>2970000</v>
      </c>
      <c r="E30" s="20" t="s">
        <v>387</v>
      </c>
      <c r="F30" s="20" t="s">
        <v>388</v>
      </c>
      <c r="G30" s="8" t="str">
        <f t="shared" si="0"/>
        <v>GUZMAN DANNY</v>
      </c>
    </row>
    <row r="31" spans="1:7" x14ac:dyDescent="0.25">
      <c r="A31" s="8">
        <v>42889.223634259259</v>
      </c>
      <c r="B31" s="20" t="s">
        <v>376</v>
      </c>
      <c r="C31" s="20" t="s">
        <v>679</v>
      </c>
      <c r="D31" s="141">
        <v>1100000</v>
      </c>
      <c r="E31" s="20" t="s">
        <v>506</v>
      </c>
      <c r="F31" s="20" t="s">
        <v>507</v>
      </c>
      <c r="G31" s="8" t="str">
        <f t="shared" si="0"/>
        <v>GEBRETEKLE DAGNEW</v>
      </c>
    </row>
    <row r="32" spans="1:7" x14ac:dyDescent="0.25">
      <c r="A32" s="8">
        <v>42889.223773148151</v>
      </c>
      <c r="B32" s="20" t="s">
        <v>443</v>
      </c>
      <c r="C32" s="20" t="s">
        <v>616</v>
      </c>
      <c r="D32" s="141">
        <v>2970000</v>
      </c>
      <c r="E32" s="20" t="s">
        <v>387</v>
      </c>
      <c r="F32" s="20" t="s">
        <v>388</v>
      </c>
      <c r="G32" s="8" t="str">
        <f t="shared" si="0"/>
        <v>GUZMAN DANNY</v>
      </c>
    </row>
    <row r="33" spans="1:7" x14ac:dyDescent="0.25">
      <c r="A33" s="8">
        <v>42889.225277777776</v>
      </c>
      <c r="B33" s="20" t="s">
        <v>504</v>
      </c>
      <c r="C33" s="20" t="s">
        <v>617</v>
      </c>
      <c r="D33" s="141">
        <v>2560000</v>
      </c>
      <c r="E33" s="20" t="s">
        <v>680</v>
      </c>
      <c r="F33" s="20" t="s">
        <v>372</v>
      </c>
      <c r="G33" s="8" t="str">
        <f t="shared" si="0"/>
        <v>MACDONALD THOMAS</v>
      </c>
    </row>
    <row r="34" spans="1:7" x14ac:dyDescent="0.25">
      <c r="A34" s="8">
        <v>42889.226805555554</v>
      </c>
      <c r="B34" s="20" t="s">
        <v>465</v>
      </c>
      <c r="C34" s="20" t="s">
        <v>681</v>
      </c>
      <c r="D34" s="141">
        <v>3040000</v>
      </c>
      <c r="E34" s="20" t="s">
        <v>390</v>
      </c>
      <c r="F34" s="20" t="s">
        <v>391</v>
      </c>
      <c r="G34" s="8" t="str">
        <f t="shared" si="0"/>
        <v>WILLIAMS DONTE</v>
      </c>
    </row>
    <row r="35" spans="1:7" x14ac:dyDescent="0.25">
      <c r="A35" s="8">
        <v>42889.227881944447</v>
      </c>
      <c r="B35" s="20" t="s">
        <v>619</v>
      </c>
      <c r="C35" s="20" t="s">
        <v>682</v>
      </c>
      <c r="D35" s="141">
        <v>2530000</v>
      </c>
      <c r="E35" s="20" t="s">
        <v>669</v>
      </c>
      <c r="F35" s="20" t="s">
        <v>670</v>
      </c>
      <c r="G35" s="8" t="str">
        <f t="shared" si="0"/>
        <v>LALONDE GREGORY</v>
      </c>
    </row>
    <row r="36" spans="1:7" x14ac:dyDescent="0.25">
      <c r="A36" s="8">
        <v>42889.231041666666</v>
      </c>
      <c r="B36" s="20" t="s">
        <v>447</v>
      </c>
      <c r="C36" s="20" t="s">
        <v>683</v>
      </c>
      <c r="D36" s="141">
        <v>2970000</v>
      </c>
      <c r="E36" s="20" t="s">
        <v>387</v>
      </c>
      <c r="F36" s="20" t="s">
        <v>388</v>
      </c>
      <c r="G36" s="8" t="str">
        <f t="shared" si="0"/>
        <v>GUZMAN DANNY</v>
      </c>
    </row>
    <row r="37" spans="1:7" x14ac:dyDescent="0.25">
      <c r="A37" s="8">
        <v>42889.235462962963</v>
      </c>
      <c r="B37" s="20" t="s">
        <v>502</v>
      </c>
      <c r="C37" s="20" t="s">
        <v>684</v>
      </c>
      <c r="D37" s="141">
        <v>2560000</v>
      </c>
      <c r="E37" s="20" t="s">
        <v>680</v>
      </c>
      <c r="F37" s="20" t="s">
        <v>372</v>
      </c>
      <c r="G37" s="8" t="str">
        <f t="shared" si="0"/>
        <v>MACDONALD THOMAS</v>
      </c>
    </row>
    <row r="38" spans="1:7" x14ac:dyDescent="0.25">
      <c r="A38" s="8">
        <v>42889.244340277779</v>
      </c>
      <c r="B38" s="20" t="s">
        <v>542</v>
      </c>
      <c r="C38" s="20" t="s">
        <v>685</v>
      </c>
      <c r="D38" s="141">
        <v>1780000</v>
      </c>
      <c r="E38" s="20" t="s">
        <v>516</v>
      </c>
      <c r="F38" s="20" t="s">
        <v>517</v>
      </c>
      <c r="G38" s="8" t="str">
        <f t="shared" si="0"/>
        <v>DE LA ROSA ALEX</v>
      </c>
    </row>
    <row r="39" spans="1:7" x14ac:dyDescent="0.25">
      <c r="A39" s="8">
        <v>42889.245775462965</v>
      </c>
      <c r="B39" s="20" t="s">
        <v>425</v>
      </c>
      <c r="C39" s="20" t="s">
        <v>686</v>
      </c>
      <c r="D39" s="141">
        <v>1990000</v>
      </c>
      <c r="E39" s="20" t="s">
        <v>429</v>
      </c>
      <c r="F39" s="20" t="s">
        <v>505</v>
      </c>
      <c r="G39" s="8" t="str">
        <f t="shared" si="0"/>
        <v>DAVIS WENDY</v>
      </c>
    </row>
    <row r="40" spans="1:7" x14ac:dyDescent="0.25">
      <c r="A40" s="8">
        <v>42889.248032407406</v>
      </c>
      <c r="B40" s="25" t="s">
        <v>407</v>
      </c>
      <c r="C40" s="20" t="s">
        <v>687</v>
      </c>
      <c r="D40" s="141">
        <v>2600000</v>
      </c>
      <c r="E40" s="20" t="s">
        <v>674</v>
      </c>
      <c r="F40" s="20" t="s">
        <v>675</v>
      </c>
      <c r="G40" s="8" t="str">
        <f t="shared" si="0"/>
        <v>DAVIDSON DAVID</v>
      </c>
    </row>
    <row r="41" spans="1:7" x14ac:dyDescent="0.25">
      <c r="A41" s="8">
        <v>42889.248703703706</v>
      </c>
      <c r="B41" s="20" t="s">
        <v>504</v>
      </c>
      <c r="C41" s="20" t="s">
        <v>688</v>
      </c>
      <c r="D41" s="141">
        <v>2560000</v>
      </c>
      <c r="E41" s="20" t="s">
        <v>680</v>
      </c>
      <c r="F41" s="20" t="s">
        <v>372</v>
      </c>
      <c r="G41" s="8" t="str">
        <f t="shared" si="0"/>
        <v>MACDONALD THOMAS</v>
      </c>
    </row>
    <row r="42" spans="1:7" x14ac:dyDescent="0.25">
      <c r="A42" s="8">
        <v>42889.256157407406</v>
      </c>
      <c r="B42" s="20" t="s">
        <v>382</v>
      </c>
      <c r="C42" s="20" t="s">
        <v>689</v>
      </c>
      <c r="D42" s="141">
        <v>1100000</v>
      </c>
      <c r="E42" s="20" t="s">
        <v>506</v>
      </c>
      <c r="F42" s="20" t="s">
        <v>507</v>
      </c>
      <c r="G42" s="8" t="str">
        <f t="shared" si="0"/>
        <v>GEBRETEKLE DAGNEW</v>
      </c>
    </row>
    <row r="43" spans="1:7" x14ac:dyDescent="0.25">
      <c r="A43" s="8">
        <v>42889.258877314816</v>
      </c>
      <c r="B43" s="20" t="s">
        <v>474</v>
      </c>
      <c r="C43" s="20" t="s">
        <v>690</v>
      </c>
      <c r="D43" s="141">
        <v>3040000</v>
      </c>
      <c r="E43" s="20" t="s">
        <v>390</v>
      </c>
      <c r="F43" s="20" t="s">
        <v>391</v>
      </c>
      <c r="G43" s="8" t="str">
        <f t="shared" si="0"/>
        <v>WILLIAMS DONTE</v>
      </c>
    </row>
    <row r="44" spans="1:7" x14ac:dyDescent="0.25">
      <c r="A44" s="8">
        <v>42889.265381944446</v>
      </c>
      <c r="B44" s="20" t="s">
        <v>637</v>
      </c>
      <c r="C44" s="20" t="s">
        <v>691</v>
      </c>
      <c r="D44" s="141">
        <v>2530000</v>
      </c>
      <c r="E44" s="20" t="s">
        <v>669</v>
      </c>
      <c r="F44" s="20" t="s">
        <v>670</v>
      </c>
      <c r="G44" s="8" t="str">
        <f t="shared" si="0"/>
        <v>LALONDE GREGORY</v>
      </c>
    </row>
    <row r="45" spans="1:7" x14ac:dyDescent="0.25">
      <c r="A45" s="8">
        <v>42889.267500000002</v>
      </c>
      <c r="B45" s="20" t="s">
        <v>443</v>
      </c>
      <c r="C45" s="20" t="s">
        <v>692</v>
      </c>
      <c r="D45" s="141">
        <v>2970000</v>
      </c>
      <c r="E45" s="20" t="s">
        <v>387</v>
      </c>
      <c r="F45" s="20" t="s">
        <v>388</v>
      </c>
      <c r="G45" s="8" t="str">
        <f t="shared" si="0"/>
        <v>GUZMAN DANNY</v>
      </c>
    </row>
    <row r="46" spans="1:7" x14ac:dyDescent="0.25">
      <c r="A46" s="8">
        <v>42889.277291666665</v>
      </c>
      <c r="B46" s="20" t="s">
        <v>502</v>
      </c>
      <c r="C46" s="20" t="s">
        <v>693</v>
      </c>
      <c r="D46" s="141">
        <v>2560000</v>
      </c>
      <c r="E46" s="20" t="s">
        <v>680</v>
      </c>
      <c r="F46" s="20" t="s">
        <v>372</v>
      </c>
      <c r="G46" s="8" t="str">
        <f t="shared" si="0"/>
        <v>MACDONALD THOMAS</v>
      </c>
    </row>
    <row r="47" spans="1:7" x14ac:dyDescent="0.25">
      <c r="A47" s="8">
        <v>42889.279791666668</v>
      </c>
      <c r="B47" s="20" t="s">
        <v>409</v>
      </c>
      <c r="C47" s="20" t="s">
        <v>694</v>
      </c>
      <c r="D47" s="141">
        <v>1340000</v>
      </c>
      <c r="E47" s="20" t="s">
        <v>654</v>
      </c>
      <c r="F47" s="20" t="s">
        <v>655</v>
      </c>
      <c r="G47" s="8" t="str">
        <f t="shared" si="0"/>
        <v>BEAM ROSS</v>
      </c>
    </row>
    <row r="48" spans="1:7" x14ac:dyDescent="0.25">
      <c r="A48" s="8">
        <v>42889.28765046296</v>
      </c>
      <c r="B48" s="20" t="s">
        <v>438</v>
      </c>
      <c r="C48" s="20" t="s">
        <v>695</v>
      </c>
      <c r="D48" s="141">
        <v>1990000</v>
      </c>
      <c r="E48" s="20" t="s">
        <v>429</v>
      </c>
      <c r="F48" s="20" t="s">
        <v>505</v>
      </c>
      <c r="G48" s="8" t="str">
        <f t="shared" si="0"/>
        <v>DAVIS WENDY</v>
      </c>
    </row>
    <row r="49" spans="1:7" x14ac:dyDescent="0.25">
      <c r="A49" s="8">
        <v>42889.287916666668</v>
      </c>
      <c r="B49" s="20" t="s">
        <v>408</v>
      </c>
      <c r="C49" s="20" t="s">
        <v>696</v>
      </c>
      <c r="D49" s="141">
        <v>2600000</v>
      </c>
      <c r="E49" s="20" t="s">
        <v>674</v>
      </c>
      <c r="F49" s="20" t="s">
        <v>675</v>
      </c>
      <c r="G49" s="8" t="str">
        <f t="shared" si="0"/>
        <v>DAVIDSON DAVID</v>
      </c>
    </row>
    <row r="50" spans="1:7" x14ac:dyDescent="0.25">
      <c r="A50" s="8">
        <v>42889.290092592593</v>
      </c>
      <c r="B50" s="20" t="s">
        <v>504</v>
      </c>
      <c r="C50" s="20" t="s">
        <v>618</v>
      </c>
      <c r="D50" s="141">
        <v>2560000</v>
      </c>
      <c r="E50" s="20" t="s">
        <v>680</v>
      </c>
      <c r="F50" s="20" t="s">
        <v>372</v>
      </c>
      <c r="G50" s="8" t="str">
        <f t="shared" si="0"/>
        <v>MACDONALD THOMAS</v>
      </c>
    </row>
    <row r="51" spans="1:7" x14ac:dyDescent="0.25">
      <c r="A51" s="8">
        <v>42889.296851851854</v>
      </c>
      <c r="B51" s="20" t="s">
        <v>376</v>
      </c>
      <c r="C51" s="20" t="s">
        <v>697</v>
      </c>
      <c r="D51" s="141">
        <v>1100000</v>
      </c>
      <c r="E51" s="20" t="s">
        <v>506</v>
      </c>
      <c r="F51" s="20" t="s">
        <v>507</v>
      </c>
      <c r="G51" s="8" t="str">
        <f t="shared" si="0"/>
        <v>GEBRETEKLE DAGNEW</v>
      </c>
    </row>
    <row r="52" spans="1:7" x14ac:dyDescent="0.25">
      <c r="A52" s="8">
        <v>42889.297638888886</v>
      </c>
      <c r="B52" s="20" t="s">
        <v>619</v>
      </c>
      <c r="C52" s="20" t="s">
        <v>620</v>
      </c>
      <c r="D52" s="141">
        <v>2530000</v>
      </c>
      <c r="E52" s="20" t="s">
        <v>669</v>
      </c>
      <c r="F52" s="20" t="s">
        <v>670</v>
      </c>
      <c r="G52" s="8" t="str">
        <f t="shared" si="0"/>
        <v>LALONDE GREGORY</v>
      </c>
    </row>
    <row r="53" spans="1:7" x14ac:dyDescent="0.25">
      <c r="A53" s="8">
        <v>42889.298877314817</v>
      </c>
      <c r="B53" s="20" t="s">
        <v>465</v>
      </c>
      <c r="C53" s="20" t="s">
        <v>698</v>
      </c>
      <c r="D53" s="141">
        <v>3040000</v>
      </c>
      <c r="E53" s="20" t="s">
        <v>390</v>
      </c>
      <c r="F53" s="20" t="s">
        <v>391</v>
      </c>
      <c r="G53" s="8" t="str">
        <f t="shared" si="0"/>
        <v>WILLIAMS DONTE</v>
      </c>
    </row>
    <row r="54" spans="1:7" x14ac:dyDescent="0.25">
      <c r="A54" s="8">
        <v>42889.308298611111</v>
      </c>
      <c r="B54" s="20" t="s">
        <v>447</v>
      </c>
      <c r="C54" s="20" t="s">
        <v>699</v>
      </c>
      <c r="D54" s="141">
        <v>2970000</v>
      </c>
      <c r="E54" s="20" t="s">
        <v>387</v>
      </c>
      <c r="F54" s="20" t="s">
        <v>388</v>
      </c>
      <c r="G54" s="8" t="str">
        <f t="shared" si="0"/>
        <v>GUZMAN DANNY</v>
      </c>
    </row>
    <row r="55" spans="1:7" x14ac:dyDescent="0.25">
      <c r="A55" s="8">
        <v>42889.316458333335</v>
      </c>
      <c r="B55" s="20" t="s">
        <v>502</v>
      </c>
      <c r="C55" s="20" t="s">
        <v>622</v>
      </c>
      <c r="D55" s="141">
        <v>2560000</v>
      </c>
      <c r="E55" s="20" t="s">
        <v>680</v>
      </c>
      <c r="F55" s="20" t="s">
        <v>372</v>
      </c>
      <c r="G55" s="8" t="str">
        <f t="shared" si="0"/>
        <v>MACDONALD THOMAS</v>
      </c>
    </row>
    <row r="56" spans="1:7" x14ac:dyDescent="0.25">
      <c r="A56" s="8">
        <v>42889.317476851851</v>
      </c>
      <c r="B56" s="20" t="s">
        <v>542</v>
      </c>
      <c r="C56" s="20" t="s">
        <v>621</v>
      </c>
      <c r="D56" s="141">
        <v>1340000</v>
      </c>
      <c r="E56" s="20" t="s">
        <v>654</v>
      </c>
      <c r="F56" s="20" t="s">
        <v>655</v>
      </c>
      <c r="G56" s="8" t="str">
        <f t="shared" si="0"/>
        <v>BEAM ROSS</v>
      </c>
    </row>
    <row r="57" spans="1:7" x14ac:dyDescent="0.25">
      <c r="A57" s="8">
        <v>42889.318240740744</v>
      </c>
      <c r="B57" s="20" t="s">
        <v>425</v>
      </c>
      <c r="C57" s="20" t="s">
        <v>700</v>
      </c>
      <c r="D57" s="141">
        <v>1990000</v>
      </c>
      <c r="E57" s="20" t="s">
        <v>429</v>
      </c>
      <c r="F57" s="20" t="s">
        <v>505</v>
      </c>
      <c r="G57" s="8" t="str">
        <f t="shared" si="0"/>
        <v>DAVIS WENDY</v>
      </c>
    </row>
    <row r="58" spans="1:7" x14ac:dyDescent="0.25">
      <c r="A58" s="8">
        <v>42889.319780092592</v>
      </c>
      <c r="B58" s="20" t="s">
        <v>407</v>
      </c>
      <c r="C58" s="20" t="s">
        <v>701</v>
      </c>
      <c r="D58" s="141">
        <v>2600000</v>
      </c>
      <c r="E58" s="20" t="s">
        <v>674</v>
      </c>
      <c r="F58" s="20" t="s">
        <v>675</v>
      </c>
      <c r="G58" s="8" t="str">
        <f t="shared" si="0"/>
        <v>DAVIDSON DAVID</v>
      </c>
    </row>
    <row r="59" spans="1:7" x14ac:dyDescent="0.25">
      <c r="A59" s="8">
        <v>42889.329745370371</v>
      </c>
      <c r="B59" s="20" t="s">
        <v>382</v>
      </c>
      <c r="C59" s="20" t="s">
        <v>702</v>
      </c>
      <c r="D59" s="141">
        <v>1800000</v>
      </c>
      <c r="E59" s="20" t="s">
        <v>385</v>
      </c>
      <c r="F59" s="20" t="s">
        <v>386</v>
      </c>
      <c r="G59" s="8" t="str">
        <f t="shared" si="0"/>
        <v>CHANDLER KELVIN</v>
      </c>
    </row>
    <row r="60" spans="1:7" x14ac:dyDescent="0.25">
      <c r="A60" s="8">
        <v>42889.331550925926</v>
      </c>
      <c r="B60" s="20" t="s">
        <v>504</v>
      </c>
      <c r="C60" s="20" t="s">
        <v>703</v>
      </c>
      <c r="D60" s="141">
        <v>2560000</v>
      </c>
      <c r="E60" s="20" t="s">
        <v>680</v>
      </c>
      <c r="F60" s="20" t="s">
        <v>372</v>
      </c>
      <c r="G60" s="8" t="str">
        <f t="shared" si="0"/>
        <v>MACDONALD THOMAS</v>
      </c>
    </row>
    <row r="61" spans="1:7" x14ac:dyDescent="0.25">
      <c r="A61" s="8">
        <v>42889.331678240742</v>
      </c>
      <c r="B61" s="20" t="s">
        <v>474</v>
      </c>
      <c r="C61" s="20" t="s">
        <v>704</v>
      </c>
      <c r="D61" s="141">
        <v>3040000</v>
      </c>
      <c r="E61" s="20" t="s">
        <v>390</v>
      </c>
      <c r="F61" s="20" t="s">
        <v>391</v>
      </c>
      <c r="G61" s="8" t="str">
        <f t="shared" si="0"/>
        <v>WILLIAMS DONTE</v>
      </c>
    </row>
    <row r="62" spans="1:7" x14ac:dyDescent="0.25">
      <c r="A62" s="8">
        <v>42889.338472222225</v>
      </c>
      <c r="B62" s="20" t="s">
        <v>637</v>
      </c>
      <c r="C62" s="20" t="s">
        <v>705</v>
      </c>
      <c r="D62" s="141">
        <v>2530000</v>
      </c>
      <c r="E62" s="20" t="s">
        <v>669</v>
      </c>
      <c r="F62" s="20" t="s">
        <v>670</v>
      </c>
      <c r="G62" s="8" t="str">
        <f t="shared" si="0"/>
        <v>LALONDE GREGORY</v>
      </c>
    </row>
    <row r="63" spans="1:7" x14ac:dyDescent="0.25">
      <c r="A63" s="8">
        <v>42889.34302083333</v>
      </c>
      <c r="B63" s="20" t="s">
        <v>443</v>
      </c>
      <c r="C63" s="20" t="s">
        <v>624</v>
      </c>
      <c r="D63" s="141">
        <v>2970000</v>
      </c>
      <c r="E63" s="20" t="s">
        <v>387</v>
      </c>
      <c r="F63" s="20" t="s">
        <v>388</v>
      </c>
      <c r="G63" s="8" t="str">
        <f t="shared" si="0"/>
        <v>GUZMAN DANNY</v>
      </c>
    </row>
    <row r="64" spans="1:7" x14ac:dyDescent="0.25">
      <c r="A64" s="26">
        <v>42889.349641203706</v>
      </c>
      <c r="B64" s="20" t="s">
        <v>409</v>
      </c>
      <c r="C64" s="20" t="s">
        <v>706</v>
      </c>
      <c r="D64" s="141">
        <v>1780000</v>
      </c>
      <c r="E64" s="20" t="s">
        <v>516</v>
      </c>
      <c r="F64" s="20" t="s">
        <v>517</v>
      </c>
      <c r="G64" s="8" t="str">
        <f t="shared" si="0"/>
        <v>DE LA ROSA ALEX</v>
      </c>
    </row>
    <row r="65" spans="1:7" x14ac:dyDescent="0.25">
      <c r="A65" s="8">
        <v>42889.359872685185</v>
      </c>
      <c r="B65" s="20" t="s">
        <v>502</v>
      </c>
      <c r="C65" s="20" t="s">
        <v>623</v>
      </c>
      <c r="D65" s="141">
        <v>2560000</v>
      </c>
      <c r="E65" s="20" t="s">
        <v>680</v>
      </c>
      <c r="F65" s="20" t="s">
        <v>372</v>
      </c>
      <c r="G65" s="8" t="str">
        <f t="shared" si="0"/>
        <v>MACDONALD THOMAS</v>
      </c>
    </row>
    <row r="66" spans="1:7" x14ac:dyDescent="0.25">
      <c r="A66" s="8">
        <v>42889.360023148147</v>
      </c>
      <c r="B66" s="20" t="s">
        <v>438</v>
      </c>
      <c r="C66" s="20" t="s">
        <v>707</v>
      </c>
      <c r="D66" s="141">
        <v>1990000</v>
      </c>
      <c r="E66" s="20" t="s">
        <v>429</v>
      </c>
      <c r="F66" s="20" t="s">
        <v>505</v>
      </c>
      <c r="G66" s="8" t="str">
        <f t="shared" si="0"/>
        <v>DAVIS WENDY</v>
      </c>
    </row>
    <row r="67" spans="1:7" x14ac:dyDescent="0.25">
      <c r="A67" s="8">
        <v>42889.360439814816</v>
      </c>
      <c r="B67" s="20" t="s">
        <v>408</v>
      </c>
      <c r="C67" s="20" t="s">
        <v>708</v>
      </c>
      <c r="D67" s="141">
        <v>2600000</v>
      </c>
      <c r="E67" s="20" t="s">
        <v>674</v>
      </c>
      <c r="F67" s="20" t="s">
        <v>675</v>
      </c>
      <c r="G67" s="8" t="str">
        <f t="shared" ref="G67:G130" si="1">E67&amp;" "&amp;F67</f>
        <v>DAVIDSON DAVID</v>
      </c>
    </row>
    <row r="68" spans="1:7" x14ac:dyDescent="0.25">
      <c r="A68" s="8">
        <v>42889.369699074072</v>
      </c>
      <c r="B68" s="20" t="s">
        <v>376</v>
      </c>
      <c r="C68" s="20" t="s">
        <v>625</v>
      </c>
      <c r="D68" s="141">
        <v>1800000</v>
      </c>
      <c r="E68" s="20" t="s">
        <v>385</v>
      </c>
      <c r="F68" s="20" t="s">
        <v>386</v>
      </c>
      <c r="G68" s="8" t="str">
        <f t="shared" si="1"/>
        <v>CHANDLER KELVIN</v>
      </c>
    </row>
    <row r="69" spans="1:7" x14ac:dyDescent="0.25">
      <c r="A69" s="8">
        <v>42889.370034722226</v>
      </c>
      <c r="B69" s="20" t="s">
        <v>619</v>
      </c>
      <c r="C69" s="20" t="s">
        <v>709</v>
      </c>
      <c r="D69" s="141">
        <v>2530000</v>
      </c>
      <c r="E69" s="20" t="s">
        <v>669</v>
      </c>
      <c r="F69" s="20" t="s">
        <v>670</v>
      </c>
      <c r="G69" s="8" t="str">
        <f t="shared" si="1"/>
        <v>LALONDE GREGORY</v>
      </c>
    </row>
    <row r="70" spans="1:7" x14ac:dyDescent="0.25">
      <c r="A70" s="8">
        <v>42889.372418981482</v>
      </c>
      <c r="B70" s="20" t="s">
        <v>465</v>
      </c>
      <c r="C70" s="20" t="s">
        <v>710</v>
      </c>
      <c r="D70" s="141">
        <v>3040000</v>
      </c>
      <c r="E70" s="20" t="s">
        <v>390</v>
      </c>
      <c r="F70" s="20" t="s">
        <v>391</v>
      </c>
      <c r="G70" s="8" t="str">
        <f t="shared" si="1"/>
        <v>WILLIAMS DONTE</v>
      </c>
    </row>
    <row r="71" spans="1:7" x14ac:dyDescent="0.25">
      <c r="A71" s="8">
        <v>42889.374074074076</v>
      </c>
      <c r="B71" s="20" t="s">
        <v>504</v>
      </c>
      <c r="C71" s="20" t="s">
        <v>711</v>
      </c>
      <c r="D71" s="141">
        <v>2560000</v>
      </c>
      <c r="E71" s="20" t="s">
        <v>680</v>
      </c>
      <c r="F71" s="20" t="s">
        <v>372</v>
      </c>
      <c r="G71" s="8" t="str">
        <f t="shared" si="1"/>
        <v>MACDONALD THOMAS</v>
      </c>
    </row>
    <row r="72" spans="1:7" x14ac:dyDescent="0.25">
      <c r="A72" s="8">
        <v>42889.382673611108</v>
      </c>
      <c r="B72" s="20" t="s">
        <v>447</v>
      </c>
      <c r="C72" s="20" t="s">
        <v>712</v>
      </c>
      <c r="D72" s="141">
        <v>2970000</v>
      </c>
      <c r="E72" s="20" t="s">
        <v>387</v>
      </c>
      <c r="F72" s="20" t="s">
        <v>388</v>
      </c>
      <c r="G72" s="8" t="str">
        <f t="shared" si="1"/>
        <v>GUZMAN DANNY</v>
      </c>
    </row>
    <row r="73" spans="1:7" x14ac:dyDescent="0.25">
      <c r="A73" s="8">
        <v>42889.389432870368</v>
      </c>
      <c r="B73" s="20" t="s">
        <v>542</v>
      </c>
      <c r="C73" s="20" t="s">
        <v>713</v>
      </c>
      <c r="D73" s="141">
        <v>1780000</v>
      </c>
      <c r="E73" s="20" t="s">
        <v>516</v>
      </c>
      <c r="F73" s="20" t="s">
        <v>517</v>
      </c>
      <c r="G73" s="8" t="str">
        <f t="shared" si="1"/>
        <v>DE LA ROSA ALEX</v>
      </c>
    </row>
    <row r="74" spans="1:7" x14ac:dyDescent="0.25">
      <c r="A74" s="8">
        <v>42889.391388888886</v>
      </c>
      <c r="B74" s="20" t="s">
        <v>425</v>
      </c>
      <c r="C74" s="20" t="s">
        <v>714</v>
      </c>
      <c r="D74" s="141">
        <v>1990000</v>
      </c>
      <c r="E74" s="20" t="s">
        <v>429</v>
      </c>
      <c r="F74" s="20" t="s">
        <v>505</v>
      </c>
      <c r="G74" s="8" t="str">
        <f t="shared" si="1"/>
        <v>DAVIS WENDY</v>
      </c>
    </row>
    <row r="75" spans="1:7" x14ac:dyDescent="0.25">
      <c r="A75" s="8">
        <v>42889.392233796294</v>
      </c>
      <c r="B75" s="20" t="s">
        <v>407</v>
      </c>
      <c r="C75" s="20" t="s">
        <v>715</v>
      </c>
      <c r="D75" s="141">
        <v>2600000</v>
      </c>
      <c r="E75" s="20" t="s">
        <v>674</v>
      </c>
      <c r="F75" s="20" t="s">
        <v>675</v>
      </c>
      <c r="G75" s="8" t="str">
        <f t="shared" si="1"/>
        <v>DAVIDSON DAVID</v>
      </c>
    </row>
    <row r="76" spans="1:7" x14ac:dyDescent="0.25">
      <c r="A76" s="8">
        <v>42889.400879629633</v>
      </c>
      <c r="B76" s="20" t="s">
        <v>502</v>
      </c>
      <c r="C76" s="20" t="s">
        <v>626</v>
      </c>
      <c r="D76" s="141">
        <v>2560000</v>
      </c>
      <c r="E76" s="20" t="s">
        <v>680</v>
      </c>
      <c r="F76" s="20" t="s">
        <v>372</v>
      </c>
      <c r="G76" s="8" t="str">
        <f t="shared" si="1"/>
        <v>MACDONALD THOMAS</v>
      </c>
    </row>
    <row r="77" spans="1:7" x14ac:dyDescent="0.25">
      <c r="A77" s="8">
        <v>42889.404097222221</v>
      </c>
      <c r="B77" s="20" t="s">
        <v>474</v>
      </c>
      <c r="C77" s="20" t="s">
        <v>716</v>
      </c>
      <c r="D77" s="141">
        <v>3040000</v>
      </c>
      <c r="E77" s="20" t="s">
        <v>390</v>
      </c>
      <c r="F77" s="20" t="s">
        <v>391</v>
      </c>
      <c r="G77" s="8" t="str">
        <f t="shared" si="1"/>
        <v>WILLIAMS DONTE</v>
      </c>
    </row>
    <row r="78" spans="1:7" x14ac:dyDescent="0.25">
      <c r="A78" s="8">
        <v>42889.404398148145</v>
      </c>
      <c r="B78" s="20" t="s">
        <v>382</v>
      </c>
      <c r="C78" s="20" t="s">
        <v>717</v>
      </c>
      <c r="D78" s="141">
        <v>1800000</v>
      </c>
      <c r="E78" s="20" t="s">
        <v>385</v>
      </c>
      <c r="F78" s="20" t="s">
        <v>386</v>
      </c>
      <c r="G78" s="8" t="str">
        <f t="shared" si="1"/>
        <v>CHANDLER KELVIN</v>
      </c>
    </row>
    <row r="79" spans="1:7" x14ac:dyDescent="0.25">
      <c r="A79" s="8">
        <v>42889.412210648145</v>
      </c>
      <c r="B79" s="20" t="s">
        <v>637</v>
      </c>
      <c r="C79" s="20" t="s">
        <v>718</v>
      </c>
      <c r="D79" s="141">
        <v>2530000</v>
      </c>
      <c r="E79" s="20" t="s">
        <v>669</v>
      </c>
      <c r="F79" s="20" t="s">
        <v>670</v>
      </c>
      <c r="G79" s="8" t="str">
        <f t="shared" si="1"/>
        <v>LALONDE GREGORY</v>
      </c>
    </row>
    <row r="80" spans="1:7" x14ac:dyDescent="0.25">
      <c r="A80" s="8">
        <v>42889.415810185186</v>
      </c>
      <c r="B80" s="20" t="s">
        <v>443</v>
      </c>
      <c r="C80" s="20" t="s">
        <v>719</v>
      </c>
      <c r="D80" s="141">
        <v>2970000</v>
      </c>
      <c r="E80" s="20" t="s">
        <v>387</v>
      </c>
      <c r="F80" s="20" t="s">
        <v>388</v>
      </c>
      <c r="G80" s="8" t="str">
        <f t="shared" si="1"/>
        <v>GUZMAN DANNY</v>
      </c>
    </row>
    <row r="81" spans="1:7" x14ac:dyDescent="0.25">
      <c r="A81" s="8">
        <v>42889.416226851848</v>
      </c>
      <c r="B81" s="20" t="s">
        <v>504</v>
      </c>
      <c r="C81" s="20" t="s">
        <v>720</v>
      </c>
      <c r="D81" s="141">
        <v>2560000</v>
      </c>
      <c r="E81" s="20" t="s">
        <v>680</v>
      </c>
      <c r="F81" s="20" t="s">
        <v>372</v>
      </c>
      <c r="G81" s="8" t="str">
        <f t="shared" si="1"/>
        <v>MACDONALD THOMAS</v>
      </c>
    </row>
    <row r="82" spans="1:7" x14ac:dyDescent="0.25">
      <c r="A82" s="8">
        <v>42889.422858796293</v>
      </c>
      <c r="B82" s="20" t="s">
        <v>409</v>
      </c>
      <c r="C82" s="20" t="s">
        <v>721</v>
      </c>
      <c r="D82" s="141">
        <v>1810000</v>
      </c>
      <c r="E82" s="20" t="s">
        <v>373</v>
      </c>
      <c r="F82" s="20" t="s">
        <v>191</v>
      </c>
      <c r="G82" s="8" t="str">
        <f t="shared" si="1"/>
        <v>NEWELL JAMES</v>
      </c>
    </row>
    <row r="83" spans="1:7" x14ac:dyDescent="0.25">
      <c r="A83" s="8">
        <v>42889.433935185189</v>
      </c>
      <c r="B83" s="20" t="s">
        <v>408</v>
      </c>
      <c r="C83" s="20" t="s">
        <v>722</v>
      </c>
      <c r="D83" s="141">
        <v>2600000</v>
      </c>
      <c r="E83" s="20" t="s">
        <v>674</v>
      </c>
      <c r="F83" s="20" t="s">
        <v>675</v>
      </c>
      <c r="G83" s="8" t="str">
        <f t="shared" si="1"/>
        <v>DAVIDSON DAVID</v>
      </c>
    </row>
    <row r="84" spans="1:7" x14ac:dyDescent="0.25">
      <c r="A84" s="8">
        <v>42889.434791666667</v>
      </c>
      <c r="B84" s="20" t="s">
        <v>438</v>
      </c>
      <c r="C84" s="20" t="s">
        <v>723</v>
      </c>
      <c r="D84" s="141">
        <v>1990000</v>
      </c>
      <c r="E84" s="20" t="s">
        <v>429</v>
      </c>
      <c r="F84" s="20" t="s">
        <v>505</v>
      </c>
      <c r="G84" s="8" t="str">
        <f t="shared" si="1"/>
        <v>DAVIS WENDY</v>
      </c>
    </row>
    <row r="85" spans="1:7" x14ac:dyDescent="0.25">
      <c r="A85" s="8">
        <v>42889.441817129627</v>
      </c>
      <c r="B85" s="20" t="s">
        <v>502</v>
      </c>
      <c r="C85" s="20" t="s">
        <v>724</v>
      </c>
      <c r="D85" s="141">
        <v>2560000</v>
      </c>
      <c r="E85" s="20" t="s">
        <v>680</v>
      </c>
      <c r="F85" s="20" t="s">
        <v>372</v>
      </c>
      <c r="G85" s="8" t="str">
        <f t="shared" si="1"/>
        <v>MACDONALD THOMAS</v>
      </c>
    </row>
    <row r="86" spans="1:7" x14ac:dyDescent="0.25">
      <c r="A86" s="8">
        <v>42889.444456018522</v>
      </c>
      <c r="B86" s="20" t="s">
        <v>619</v>
      </c>
      <c r="C86" s="20" t="s">
        <v>725</v>
      </c>
      <c r="D86" s="141">
        <v>2530000</v>
      </c>
      <c r="E86" s="20" t="s">
        <v>669</v>
      </c>
      <c r="F86" s="20" t="s">
        <v>670</v>
      </c>
      <c r="G86" s="8" t="str">
        <f t="shared" si="1"/>
        <v>LALONDE GREGORY</v>
      </c>
    </row>
    <row r="87" spans="1:7" x14ac:dyDescent="0.25">
      <c r="A87" s="8">
        <v>42889.444618055553</v>
      </c>
      <c r="B87" s="20" t="s">
        <v>376</v>
      </c>
      <c r="C87" s="20" t="s">
        <v>628</v>
      </c>
      <c r="D87" s="141">
        <v>1800000</v>
      </c>
      <c r="E87" s="20" t="s">
        <v>385</v>
      </c>
      <c r="F87" s="20" t="s">
        <v>386</v>
      </c>
      <c r="G87" s="8" t="str">
        <f t="shared" si="1"/>
        <v>CHANDLER KELVIN</v>
      </c>
    </row>
    <row r="88" spans="1:7" x14ac:dyDescent="0.25">
      <c r="A88" s="8">
        <v>42889.445925925924</v>
      </c>
      <c r="B88" s="20" t="s">
        <v>465</v>
      </c>
      <c r="C88" s="20" t="s">
        <v>726</v>
      </c>
      <c r="D88" s="141">
        <v>880000</v>
      </c>
      <c r="E88" s="20" t="s">
        <v>487</v>
      </c>
      <c r="F88" s="20" t="s">
        <v>194</v>
      </c>
      <c r="G88" s="8" t="str">
        <f t="shared" si="1"/>
        <v>STEWART MICHAEL</v>
      </c>
    </row>
    <row r="89" spans="1:7" x14ac:dyDescent="0.25">
      <c r="A89" s="8">
        <v>42889.454988425925</v>
      </c>
      <c r="B89" s="20" t="s">
        <v>447</v>
      </c>
      <c r="C89" s="20" t="s">
        <v>627</v>
      </c>
      <c r="D89" s="141">
        <v>2970000</v>
      </c>
      <c r="E89" s="20" t="s">
        <v>387</v>
      </c>
      <c r="F89" s="20" t="s">
        <v>388</v>
      </c>
      <c r="G89" s="8" t="str">
        <f t="shared" si="1"/>
        <v>GUZMAN DANNY</v>
      </c>
    </row>
    <row r="90" spans="1:7" x14ac:dyDescent="0.25">
      <c r="A90" s="8">
        <v>42889.456493055557</v>
      </c>
      <c r="B90" s="20" t="s">
        <v>504</v>
      </c>
      <c r="C90" s="20" t="s">
        <v>629</v>
      </c>
      <c r="D90" s="141">
        <v>2560000</v>
      </c>
      <c r="E90" s="20" t="s">
        <v>680</v>
      </c>
      <c r="F90" s="20" t="s">
        <v>372</v>
      </c>
      <c r="G90" s="8" t="str">
        <f t="shared" si="1"/>
        <v>MACDONALD THOMAS</v>
      </c>
    </row>
    <row r="91" spans="1:7" x14ac:dyDescent="0.25">
      <c r="A91" s="8">
        <v>42889.458020833335</v>
      </c>
      <c r="B91" s="20" t="s">
        <v>542</v>
      </c>
      <c r="C91" s="20" t="s">
        <v>727</v>
      </c>
      <c r="D91" s="141">
        <v>1810000</v>
      </c>
      <c r="E91" s="20" t="s">
        <v>373</v>
      </c>
      <c r="F91" s="20" t="s">
        <v>191</v>
      </c>
      <c r="G91" s="8" t="str">
        <f t="shared" si="1"/>
        <v>NEWELL JAMES</v>
      </c>
    </row>
    <row r="92" spans="1:7" x14ac:dyDescent="0.25">
      <c r="A92" s="8">
        <v>42889.465624999997</v>
      </c>
      <c r="B92" s="20" t="s">
        <v>407</v>
      </c>
      <c r="C92" s="20" t="s">
        <v>631</v>
      </c>
      <c r="D92" s="141">
        <v>2600000</v>
      </c>
      <c r="E92" s="20" t="s">
        <v>674</v>
      </c>
      <c r="F92" s="20" t="s">
        <v>675</v>
      </c>
      <c r="G92" s="8" t="str">
        <f t="shared" si="1"/>
        <v>DAVIDSON DAVID</v>
      </c>
    </row>
    <row r="93" spans="1:7" x14ac:dyDescent="0.25">
      <c r="A93" s="8">
        <v>42889.466064814813</v>
      </c>
      <c r="B93" s="20" t="s">
        <v>425</v>
      </c>
      <c r="C93" s="20" t="s">
        <v>728</v>
      </c>
      <c r="D93" s="141">
        <v>920000</v>
      </c>
      <c r="E93" s="20" t="s">
        <v>429</v>
      </c>
      <c r="F93" s="20" t="s">
        <v>194</v>
      </c>
      <c r="G93" s="8" t="str">
        <f t="shared" si="1"/>
        <v>DAVIS MICHAEL</v>
      </c>
    </row>
    <row r="94" spans="1:7" x14ac:dyDescent="0.25">
      <c r="A94" s="8">
        <v>42889.477060185185</v>
      </c>
      <c r="B94" s="20" t="s">
        <v>382</v>
      </c>
      <c r="C94" s="20" t="s">
        <v>729</v>
      </c>
      <c r="D94" s="141">
        <v>2270000</v>
      </c>
      <c r="E94" s="20" t="s">
        <v>730</v>
      </c>
      <c r="F94" s="20" t="s">
        <v>731</v>
      </c>
      <c r="G94" s="8" t="str">
        <f t="shared" si="1"/>
        <v>BROWN JACOB</v>
      </c>
    </row>
    <row r="95" spans="1:7" x14ac:dyDescent="0.25">
      <c r="A95" s="8">
        <v>42889.484293981484</v>
      </c>
      <c r="B95" s="20" t="s">
        <v>502</v>
      </c>
      <c r="C95" s="20" t="s">
        <v>630</v>
      </c>
      <c r="D95" s="141">
        <v>2560000</v>
      </c>
      <c r="E95" s="20" t="s">
        <v>680</v>
      </c>
      <c r="F95" s="20" t="s">
        <v>372</v>
      </c>
      <c r="G95" s="8" t="str">
        <f t="shared" si="1"/>
        <v>MACDONALD THOMAS</v>
      </c>
    </row>
    <row r="96" spans="1:7" x14ac:dyDescent="0.25">
      <c r="A96" s="8">
        <v>42889.485972222225</v>
      </c>
      <c r="B96" s="20" t="s">
        <v>637</v>
      </c>
      <c r="C96" s="20" t="s">
        <v>732</v>
      </c>
      <c r="D96" s="141">
        <v>1770000</v>
      </c>
      <c r="E96" s="20" t="s">
        <v>733</v>
      </c>
      <c r="F96" s="20" t="s">
        <v>734</v>
      </c>
      <c r="G96" s="8" t="str">
        <f t="shared" si="1"/>
        <v>BRUDER RICHARD</v>
      </c>
    </row>
    <row r="97" spans="1:7" x14ac:dyDescent="0.25">
      <c r="A97" s="8">
        <v>42889.486273148148</v>
      </c>
      <c r="B97" s="20" t="s">
        <v>474</v>
      </c>
      <c r="C97" s="20" t="s">
        <v>735</v>
      </c>
      <c r="D97" s="141">
        <v>880000</v>
      </c>
      <c r="E97" s="20" t="s">
        <v>487</v>
      </c>
      <c r="F97" s="20" t="s">
        <v>194</v>
      </c>
      <c r="G97" s="8" t="str">
        <f t="shared" si="1"/>
        <v>STEWART MICHAEL</v>
      </c>
    </row>
    <row r="98" spans="1:7" x14ac:dyDescent="0.25">
      <c r="A98" s="8">
        <v>42889.48777777778</v>
      </c>
      <c r="B98" s="20" t="s">
        <v>443</v>
      </c>
      <c r="C98" s="20" t="s">
        <v>736</v>
      </c>
      <c r="D98" s="141">
        <v>2970000</v>
      </c>
      <c r="E98" s="20" t="s">
        <v>387</v>
      </c>
      <c r="F98" s="20" t="s">
        <v>388</v>
      </c>
      <c r="G98" s="8" t="str">
        <f t="shared" si="1"/>
        <v>GUZMAN DANNY</v>
      </c>
    </row>
    <row r="99" spans="1:7" x14ac:dyDescent="0.25">
      <c r="A99" s="8">
        <v>42889.495891203704</v>
      </c>
      <c r="B99" s="20" t="s">
        <v>409</v>
      </c>
      <c r="C99" s="20" t="s">
        <v>737</v>
      </c>
      <c r="D99" s="141">
        <v>2480000</v>
      </c>
      <c r="E99" s="20" t="s">
        <v>543</v>
      </c>
      <c r="F99" s="20" t="s">
        <v>544</v>
      </c>
      <c r="G99" s="8" t="str">
        <f t="shared" si="1"/>
        <v>WHITED DUSTIN</v>
      </c>
    </row>
    <row r="100" spans="1:7" x14ac:dyDescent="0.25">
      <c r="A100" s="8">
        <v>42889.498090277775</v>
      </c>
      <c r="B100" s="20" t="s">
        <v>504</v>
      </c>
      <c r="C100" s="20" t="s">
        <v>738</v>
      </c>
      <c r="D100" s="141">
        <v>2560000</v>
      </c>
      <c r="E100" s="20" t="s">
        <v>680</v>
      </c>
      <c r="F100" s="20" t="s">
        <v>372</v>
      </c>
      <c r="G100" s="8" t="str">
        <f t="shared" si="1"/>
        <v>MACDONALD THOMAS</v>
      </c>
    </row>
    <row r="101" spans="1:7" x14ac:dyDescent="0.25">
      <c r="A101" s="8">
        <v>42889.503877314812</v>
      </c>
      <c r="B101" s="20" t="s">
        <v>503</v>
      </c>
      <c r="C101" s="20" t="s">
        <v>739</v>
      </c>
      <c r="D101" s="141">
        <v>2470000</v>
      </c>
      <c r="E101" s="20" t="s">
        <v>548</v>
      </c>
      <c r="F101" s="20" t="s">
        <v>549</v>
      </c>
      <c r="G101" s="8" t="str">
        <f t="shared" si="1"/>
        <v>ROMERO CHAD</v>
      </c>
    </row>
    <row r="102" spans="1:7" x14ac:dyDescent="0.25">
      <c r="A102" s="8">
        <v>42889.505810185183</v>
      </c>
      <c r="B102" s="20" t="s">
        <v>438</v>
      </c>
      <c r="C102" s="20" t="s">
        <v>632</v>
      </c>
      <c r="D102" s="141">
        <v>920000</v>
      </c>
      <c r="E102" s="20" t="s">
        <v>429</v>
      </c>
      <c r="F102" s="20" t="s">
        <v>194</v>
      </c>
      <c r="G102" s="8" t="str">
        <f t="shared" si="1"/>
        <v>DAVIS MICHAEL</v>
      </c>
    </row>
    <row r="103" spans="1:7" x14ac:dyDescent="0.25">
      <c r="A103" s="8">
        <v>42889.507974537039</v>
      </c>
      <c r="B103" s="20" t="s">
        <v>408</v>
      </c>
      <c r="C103" s="20" t="s">
        <v>740</v>
      </c>
      <c r="D103" s="141">
        <v>2370000</v>
      </c>
      <c r="E103" s="20" t="s">
        <v>512</v>
      </c>
      <c r="F103" s="20" t="s">
        <v>513</v>
      </c>
      <c r="G103" s="8" t="str">
        <f t="shared" si="1"/>
        <v>DELGADO DIANAH</v>
      </c>
    </row>
    <row r="104" spans="1:7" x14ac:dyDescent="0.25">
      <c r="A104" s="8">
        <v>42889.513657407406</v>
      </c>
      <c r="B104" s="20" t="s">
        <v>376</v>
      </c>
      <c r="C104" s="20" t="s">
        <v>741</v>
      </c>
      <c r="D104" s="141">
        <v>2270000</v>
      </c>
      <c r="E104" s="20" t="s">
        <v>730</v>
      </c>
      <c r="F104" s="20" t="s">
        <v>731</v>
      </c>
      <c r="G104" s="8" t="str">
        <f t="shared" si="1"/>
        <v>BROWN JACOB</v>
      </c>
    </row>
    <row r="105" spans="1:7" x14ac:dyDescent="0.25">
      <c r="A105" s="8">
        <v>42889.5155787037</v>
      </c>
      <c r="B105" s="20" t="s">
        <v>501</v>
      </c>
      <c r="C105" s="20" t="s">
        <v>739</v>
      </c>
      <c r="D105" s="141">
        <v>2470000</v>
      </c>
      <c r="E105" s="20" t="s">
        <v>548</v>
      </c>
      <c r="F105" s="20" t="s">
        <v>549</v>
      </c>
      <c r="G105" s="8" t="str">
        <f t="shared" si="1"/>
        <v>ROMERO CHAD</v>
      </c>
    </row>
    <row r="106" spans="1:7" x14ac:dyDescent="0.25">
      <c r="A106" s="8">
        <v>42889.51703703704</v>
      </c>
      <c r="B106" s="20" t="s">
        <v>465</v>
      </c>
      <c r="C106" s="20" t="s">
        <v>742</v>
      </c>
      <c r="D106" s="141">
        <v>880000</v>
      </c>
      <c r="E106" s="20" t="s">
        <v>487</v>
      </c>
      <c r="F106" s="20" t="s">
        <v>194</v>
      </c>
      <c r="G106" s="8" t="str">
        <f t="shared" si="1"/>
        <v>STEWART MICHAEL</v>
      </c>
    </row>
    <row r="107" spans="1:7" x14ac:dyDescent="0.25">
      <c r="A107" s="8">
        <v>42889.522291666668</v>
      </c>
      <c r="B107" s="20" t="s">
        <v>503</v>
      </c>
      <c r="C107" s="20" t="s">
        <v>743</v>
      </c>
      <c r="D107" s="141">
        <v>2420000</v>
      </c>
      <c r="E107" s="20" t="s">
        <v>514</v>
      </c>
      <c r="F107" s="20" t="s">
        <v>515</v>
      </c>
      <c r="G107" s="8" t="str">
        <f t="shared" si="1"/>
        <v>HOLCOMB KAMDEN</v>
      </c>
    </row>
    <row r="108" spans="1:7" x14ac:dyDescent="0.25">
      <c r="A108" s="8">
        <v>42889.524016203701</v>
      </c>
      <c r="B108" s="20" t="s">
        <v>619</v>
      </c>
      <c r="C108" s="20" t="s">
        <v>744</v>
      </c>
      <c r="D108" s="141">
        <v>1770000</v>
      </c>
      <c r="E108" s="20" t="s">
        <v>733</v>
      </c>
      <c r="F108" s="20" t="s">
        <v>734</v>
      </c>
      <c r="G108" s="8" t="str">
        <f t="shared" si="1"/>
        <v>BRUDER RICHARD</v>
      </c>
    </row>
    <row r="109" spans="1:7" x14ac:dyDescent="0.25">
      <c r="A109" s="8">
        <v>42889.525567129633</v>
      </c>
      <c r="B109" s="20" t="s">
        <v>502</v>
      </c>
      <c r="C109" s="20" t="s">
        <v>745</v>
      </c>
      <c r="D109" s="141">
        <v>2560000</v>
      </c>
      <c r="E109" s="20" t="s">
        <v>680</v>
      </c>
      <c r="F109" s="20" t="s">
        <v>372</v>
      </c>
      <c r="G109" s="8" t="str">
        <f t="shared" si="1"/>
        <v>MACDONALD THOMAS</v>
      </c>
    </row>
    <row r="110" spans="1:7" x14ac:dyDescent="0.25">
      <c r="A110" s="8">
        <v>42889.532164351855</v>
      </c>
      <c r="B110" s="20" t="s">
        <v>542</v>
      </c>
      <c r="C110" s="20" t="s">
        <v>746</v>
      </c>
      <c r="D110" s="141">
        <v>2480000</v>
      </c>
      <c r="E110" s="20" t="s">
        <v>543</v>
      </c>
      <c r="F110" s="20" t="s">
        <v>544</v>
      </c>
      <c r="G110" s="8" t="str">
        <f t="shared" si="1"/>
        <v>WHITED DUSTIN</v>
      </c>
    </row>
    <row r="111" spans="1:7" x14ac:dyDescent="0.25">
      <c r="A111" s="8">
        <v>42889.539386574077</v>
      </c>
      <c r="B111" s="20" t="s">
        <v>425</v>
      </c>
      <c r="C111" s="20" t="s">
        <v>747</v>
      </c>
      <c r="D111" s="141">
        <v>920000</v>
      </c>
      <c r="E111" s="20" t="s">
        <v>429</v>
      </c>
      <c r="F111" s="20" t="s">
        <v>194</v>
      </c>
      <c r="G111" s="8" t="str">
        <f t="shared" si="1"/>
        <v>DAVIS MICHAEL</v>
      </c>
    </row>
    <row r="112" spans="1:7" x14ac:dyDescent="0.25">
      <c r="A112" s="8">
        <v>42889.543055555558</v>
      </c>
      <c r="B112" s="20" t="s">
        <v>407</v>
      </c>
      <c r="C112" s="20" t="s">
        <v>748</v>
      </c>
      <c r="D112" s="141">
        <v>2370000</v>
      </c>
      <c r="E112" s="20" t="s">
        <v>512</v>
      </c>
      <c r="F112" s="20" t="s">
        <v>513</v>
      </c>
      <c r="G112" s="8" t="str">
        <f t="shared" si="1"/>
        <v>DELGADO DIANAH</v>
      </c>
    </row>
    <row r="113" spans="1:7" x14ac:dyDescent="0.25">
      <c r="A113" s="8">
        <v>42889.546331018515</v>
      </c>
      <c r="B113" s="20" t="s">
        <v>504</v>
      </c>
      <c r="C113" s="20" t="s">
        <v>633</v>
      </c>
      <c r="D113" s="141">
        <v>2560000</v>
      </c>
      <c r="E113" s="20" t="s">
        <v>680</v>
      </c>
      <c r="F113" s="20" t="s">
        <v>372</v>
      </c>
      <c r="G113" s="8" t="str">
        <f t="shared" si="1"/>
        <v>MACDONALD THOMAS</v>
      </c>
    </row>
    <row r="114" spans="1:7" x14ac:dyDescent="0.25">
      <c r="A114" s="8">
        <v>42889.547627314816</v>
      </c>
      <c r="B114" s="20" t="s">
        <v>382</v>
      </c>
      <c r="C114" s="20" t="s">
        <v>749</v>
      </c>
      <c r="D114" s="141">
        <v>2360000</v>
      </c>
      <c r="E114" s="20" t="s">
        <v>750</v>
      </c>
      <c r="F114" s="20" t="s">
        <v>751</v>
      </c>
      <c r="G114" s="8" t="str">
        <f t="shared" si="1"/>
        <v>BRANDNER MELINDA</v>
      </c>
    </row>
    <row r="115" spans="1:7" x14ac:dyDescent="0.25">
      <c r="A115" s="8">
        <v>42889.557835648149</v>
      </c>
      <c r="B115" s="20" t="s">
        <v>637</v>
      </c>
      <c r="C115" s="20" t="s">
        <v>752</v>
      </c>
      <c r="D115" s="141">
        <v>1770000</v>
      </c>
      <c r="E115" s="20" t="s">
        <v>733</v>
      </c>
      <c r="F115" s="20" t="s">
        <v>734</v>
      </c>
      <c r="G115" s="8" t="str">
        <f t="shared" si="1"/>
        <v>BRUDER RICHARD</v>
      </c>
    </row>
    <row r="116" spans="1:7" x14ac:dyDescent="0.25">
      <c r="A116" s="8">
        <v>42889.558171296296</v>
      </c>
      <c r="B116" s="20" t="s">
        <v>474</v>
      </c>
      <c r="C116" s="20" t="s">
        <v>753</v>
      </c>
      <c r="D116" s="141">
        <v>880000</v>
      </c>
      <c r="E116" s="20" t="s">
        <v>487</v>
      </c>
      <c r="F116" s="20" t="s">
        <v>194</v>
      </c>
      <c r="G116" s="8" t="str">
        <f t="shared" si="1"/>
        <v>STEWART MICHAEL</v>
      </c>
    </row>
    <row r="117" spans="1:7" x14ac:dyDescent="0.25">
      <c r="A117" s="8">
        <v>42889.562534722223</v>
      </c>
      <c r="B117" s="20" t="s">
        <v>501</v>
      </c>
      <c r="C117" s="20" t="s">
        <v>754</v>
      </c>
      <c r="D117" s="141">
        <v>2420000</v>
      </c>
      <c r="E117" s="20" t="s">
        <v>514</v>
      </c>
      <c r="F117" s="20" t="s">
        <v>515</v>
      </c>
      <c r="G117" s="8" t="str">
        <f t="shared" si="1"/>
        <v>HOLCOMB KAMDEN</v>
      </c>
    </row>
    <row r="118" spans="1:7" x14ac:dyDescent="0.25">
      <c r="A118" s="8">
        <v>42889.567847222221</v>
      </c>
      <c r="B118" s="20" t="s">
        <v>502</v>
      </c>
      <c r="C118" s="20" t="s">
        <v>755</v>
      </c>
      <c r="D118" s="141">
        <v>2560000</v>
      </c>
      <c r="E118" s="20" t="s">
        <v>680</v>
      </c>
      <c r="F118" s="20" t="s">
        <v>372</v>
      </c>
      <c r="G118" s="8" t="str">
        <f t="shared" si="1"/>
        <v>MACDONALD THOMAS</v>
      </c>
    </row>
    <row r="119" spans="1:7" x14ac:dyDescent="0.25">
      <c r="A119" s="8">
        <v>42889.568379629629</v>
      </c>
      <c r="B119" s="20" t="s">
        <v>409</v>
      </c>
      <c r="C119" s="20" t="s">
        <v>756</v>
      </c>
      <c r="D119" s="141">
        <v>2480000</v>
      </c>
      <c r="E119" s="20" t="s">
        <v>543</v>
      </c>
      <c r="F119" s="20" t="s">
        <v>544</v>
      </c>
      <c r="G119" s="8" t="str">
        <f t="shared" si="1"/>
        <v>WHITED DUSTIN</v>
      </c>
    </row>
    <row r="120" spans="1:7" x14ac:dyDescent="0.25">
      <c r="A120" s="8">
        <v>42889.578460648147</v>
      </c>
      <c r="B120" s="20" t="s">
        <v>438</v>
      </c>
      <c r="C120" s="20" t="s">
        <v>757</v>
      </c>
      <c r="D120" s="141">
        <v>920000</v>
      </c>
      <c r="E120" s="20" t="s">
        <v>429</v>
      </c>
      <c r="F120" s="20" t="s">
        <v>194</v>
      </c>
      <c r="G120" s="8" t="str">
        <f t="shared" si="1"/>
        <v>DAVIS MICHAEL</v>
      </c>
    </row>
    <row r="121" spans="1:7" x14ac:dyDescent="0.25">
      <c r="A121" s="8">
        <v>42889.578657407408</v>
      </c>
      <c r="B121" s="20" t="s">
        <v>408</v>
      </c>
      <c r="C121" s="20" t="s">
        <v>758</v>
      </c>
      <c r="D121" s="141">
        <v>2370000</v>
      </c>
      <c r="E121" s="20" t="s">
        <v>512</v>
      </c>
      <c r="F121" s="20" t="s">
        <v>513</v>
      </c>
      <c r="G121" s="8" t="str">
        <f t="shared" si="1"/>
        <v>DELGADO DIANAH</v>
      </c>
    </row>
    <row r="122" spans="1:7" x14ac:dyDescent="0.25">
      <c r="A122" s="8">
        <v>42889.585104166668</v>
      </c>
      <c r="B122" s="25" t="s">
        <v>504</v>
      </c>
      <c r="C122" s="20" t="s">
        <v>759</v>
      </c>
      <c r="D122" s="141">
        <v>2540000</v>
      </c>
      <c r="E122" s="20" t="s">
        <v>760</v>
      </c>
      <c r="F122" s="20" t="s">
        <v>761</v>
      </c>
      <c r="G122" s="8" t="str">
        <f t="shared" si="1"/>
        <v>MCREYNOLDS KYLE</v>
      </c>
    </row>
    <row r="123" spans="1:7" x14ac:dyDescent="0.25">
      <c r="A123" s="8">
        <v>42889.587939814817</v>
      </c>
      <c r="B123" s="20" t="s">
        <v>376</v>
      </c>
      <c r="C123" s="20" t="s">
        <v>762</v>
      </c>
      <c r="D123" s="141">
        <v>2360000</v>
      </c>
      <c r="E123" s="20" t="s">
        <v>750</v>
      </c>
      <c r="F123" s="20" t="s">
        <v>751</v>
      </c>
      <c r="G123" s="8" t="str">
        <f t="shared" si="1"/>
        <v>BRANDNER MELINDA</v>
      </c>
    </row>
    <row r="124" spans="1:7" x14ac:dyDescent="0.25">
      <c r="A124" s="8">
        <v>42889.591377314813</v>
      </c>
      <c r="B124" s="20" t="s">
        <v>465</v>
      </c>
      <c r="C124" s="20" t="s">
        <v>763</v>
      </c>
      <c r="D124" s="141">
        <v>880000</v>
      </c>
      <c r="E124" s="20" t="s">
        <v>487</v>
      </c>
      <c r="F124" s="20" t="s">
        <v>194</v>
      </c>
      <c r="G124" s="8" t="str">
        <f t="shared" si="1"/>
        <v>STEWART MICHAEL</v>
      </c>
    </row>
    <row r="125" spans="1:7" x14ac:dyDescent="0.25">
      <c r="A125" s="8">
        <v>42889.597071759257</v>
      </c>
      <c r="B125" s="20" t="s">
        <v>619</v>
      </c>
      <c r="C125" s="20" t="s">
        <v>764</v>
      </c>
      <c r="D125" s="141">
        <v>1770000</v>
      </c>
      <c r="E125" s="20" t="s">
        <v>733</v>
      </c>
      <c r="F125" s="20" t="s">
        <v>734</v>
      </c>
      <c r="G125" s="8" t="str">
        <f t="shared" si="1"/>
        <v>BRUDER RICHARD</v>
      </c>
    </row>
    <row r="126" spans="1:7" x14ac:dyDescent="0.25">
      <c r="A126" s="8">
        <v>42889.602060185185</v>
      </c>
      <c r="B126" s="20" t="s">
        <v>503</v>
      </c>
      <c r="C126" s="20" t="s">
        <v>765</v>
      </c>
      <c r="D126" s="141">
        <v>2420000</v>
      </c>
      <c r="E126" s="20" t="s">
        <v>514</v>
      </c>
      <c r="F126" s="20" t="s">
        <v>515</v>
      </c>
      <c r="G126" s="8" t="str">
        <f t="shared" si="1"/>
        <v>HOLCOMB KAMDEN</v>
      </c>
    </row>
    <row r="127" spans="1:7" x14ac:dyDescent="0.25">
      <c r="A127" s="8">
        <v>42889.608657407407</v>
      </c>
      <c r="B127" s="20" t="s">
        <v>542</v>
      </c>
      <c r="C127" s="20" t="s">
        <v>766</v>
      </c>
      <c r="D127" s="141">
        <v>2480000</v>
      </c>
      <c r="E127" s="20" t="s">
        <v>543</v>
      </c>
      <c r="F127" s="20" t="s">
        <v>544</v>
      </c>
      <c r="G127" s="8" t="str">
        <f t="shared" si="1"/>
        <v>WHITED DUSTIN</v>
      </c>
    </row>
    <row r="128" spans="1:7" x14ac:dyDescent="0.25">
      <c r="A128" s="8">
        <v>42889.610127314816</v>
      </c>
      <c r="B128" s="20" t="s">
        <v>407</v>
      </c>
      <c r="C128" s="20" t="s">
        <v>634</v>
      </c>
      <c r="D128" s="141">
        <v>2370000</v>
      </c>
      <c r="E128" s="20" t="s">
        <v>512</v>
      </c>
      <c r="F128" s="20" t="s">
        <v>513</v>
      </c>
      <c r="G128" s="8" t="str">
        <f t="shared" si="1"/>
        <v>DELGADO DIANAH</v>
      </c>
    </row>
    <row r="129" spans="1:7" x14ac:dyDescent="0.25">
      <c r="A129" s="8">
        <v>42889.610277777778</v>
      </c>
      <c r="B129" s="20" t="s">
        <v>502</v>
      </c>
      <c r="C129" s="20" t="s">
        <v>767</v>
      </c>
      <c r="D129" s="141">
        <v>2540000</v>
      </c>
      <c r="E129" s="20" t="s">
        <v>760</v>
      </c>
      <c r="F129" s="20" t="s">
        <v>761</v>
      </c>
      <c r="G129" s="8" t="str">
        <f t="shared" si="1"/>
        <v>MCREYNOLDS KYLE</v>
      </c>
    </row>
    <row r="130" spans="1:7" x14ac:dyDescent="0.25">
      <c r="A130" s="8">
        <v>42889.613564814812</v>
      </c>
      <c r="B130" s="20" t="s">
        <v>425</v>
      </c>
      <c r="C130" s="20" t="s">
        <v>768</v>
      </c>
      <c r="D130" s="141">
        <v>920000</v>
      </c>
      <c r="E130" s="20" t="s">
        <v>429</v>
      </c>
      <c r="F130" s="20" t="s">
        <v>194</v>
      </c>
      <c r="G130" s="8" t="str">
        <f t="shared" si="1"/>
        <v>DAVIS MICHAEL</v>
      </c>
    </row>
    <row r="131" spans="1:7" x14ac:dyDescent="0.25">
      <c r="A131" s="8">
        <v>42889.62128472222</v>
      </c>
      <c r="B131" s="20" t="s">
        <v>382</v>
      </c>
      <c r="C131" s="20" t="s">
        <v>635</v>
      </c>
      <c r="D131" s="141">
        <v>2360000</v>
      </c>
      <c r="E131" s="20" t="s">
        <v>750</v>
      </c>
      <c r="F131" s="20" t="s">
        <v>751</v>
      </c>
      <c r="G131" s="8" t="str">
        <f t="shared" ref="G131:G194" si="2">E131&amp;" "&amp;F131</f>
        <v>BRANDNER MELINDA</v>
      </c>
    </row>
    <row r="132" spans="1:7" x14ac:dyDescent="0.25">
      <c r="A132" s="8">
        <v>42889.624016203707</v>
      </c>
      <c r="B132" s="20" t="s">
        <v>504</v>
      </c>
      <c r="C132" s="20" t="s">
        <v>769</v>
      </c>
      <c r="D132" s="141">
        <v>2540000</v>
      </c>
      <c r="E132" s="20" t="s">
        <v>760</v>
      </c>
      <c r="F132" s="20" t="s">
        <v>761</v>
      </c>
      <c r="G132" s="8" t="str">
        <f t="shared" si="2"/>
        <v>MCREYNOLDS KYLE</v>
      </c>
    </row>
    <row r="133" spans="1:7" x14ac:dyDescent="0.25">
      <c r="A133" s="8">
        <v>42889.630902777775</v>
      </c>
      <c r="B133" s="20" t="s">
        <v>474</v>
      </c>
      <c r="C133" s="20" t="s">
        <v>770</v>
      </c>
      <c r="D133" s="141">
        <v>880000</v>
      </c>
      <c r="E133" s="20" t="s">
        <v>487</v>
      </c>
      <c r="F133" s="20" t="s">
        <v>194</v>
      </c>
      <c r="G133" s="8" t="str">
        <f t="shared" si="2"/>
        <v>STEWART MICHAEL</v>
      </c>
    </row>
    <row r="134" spans="1:7" x14ac:dyDescent="0.25">
      <c r="A134" s="8">
        <v>42889.631805555553</v>
      </c>
      <c r="B134" s="20" t="s">
        <v>637</v>
      </c>
      <c r="C134" s="20" t="s">
        <v>771</v>
      </c>
      <c r="D134" s="141">
        <v>1770000</v>
      </c>
      <c r="E134" s="20" t="s">
        <v>733</v>
      </c>
      <c r="F134" s="20" t="s">
        <v>734</v>
      </c>
      <c r="G134" s="8" t="str">
        <f t="shared" si="2"/>
        <v>BRUDER RICHARD</v>
      </c>
    </row>
    <row r="135" spans="1:7" x14ac:dyDescent="0.25">
      <c r="A135" s="8">
        <v>42889.640972222223</v>
      </c>
      <c r="B135" s="20" t="s">
        <v>501</v>
      </c>
      <c r="C135" s="20" t="s">
        <v>772</v>
      </c>
      <c r="D135" s="141">
        <v>2420000</v>
      </c>
      <c r="E135" s="20" t="s">
        <v>514</v>
      </c>
      <c r="F135" s="20" t="s">
        <v>515</v>
      </c>
      <c r="G135" s="8" t="str">
        <f t="shared" si="2"/>
        <v>HOLCOMB KAMDEN</v>
      </c>
    </row>
    <row r="136" spans="1:7" x14ac:dyDescent="0.25">
      <c r="A136" s="8">
        <v>42889.642337962963</v>
      </c>
      <c r="B136" s="20" t="s">
        <v>409</v>
      </c>
      <c r="C136" s="20" t="s">
        <v>773</v>
      </c>
      <c r="D136" s="141">
        <v>2480000</v>
      </c>
      <c r="E136" s="20" t="s">
        <v>543</v>
      </c>
      <c r="F136" s="20" t="s">
        <v>544</v>
      </c>
      <c r="G136" s="8" t="str">
        <f t="shared" si="2"/>
        <v>WHITED DUSTIN</v>
      </c>
    </row>
    <row r="137" spans="1:7" x14ac:dyDescent="0.25">
      <c r="A137" s="8">
        <v>42889.651863425926</v>
      </c>
      <c r="B137" s="20" t="s">
        <v>502</v>
      </c>
      <c r="C137" s="20" t="s">
        <v>774</v>
      </c>
      <c r="D137" s="141">
        <v>2540000</v>
      </c>
      <c r="E137" s="20" t="s">
        <v>760</v>
      </c>
      <c r="F137" s="20" t="s">
        <v>761</v>
      </c>
      <c r="G137" s="8" t="str">
        <f t="shared" si="2"/>
        <v>MCREYNOLDS KYLE</v>
      </c>
    </row>
    <row r="138" spans="1:7" x14ac:dyDescent="0.25">
      <c r="A138" s="8">
        <v>42889.652175925927</v>
      </c>
      <c r="B138" s="20" t="s">
        <v>438</v>
      </c>
      <c r="C138" s="20" t="s">
        <v>775</v>
      </c>
      <c r="D138" s="141">
        <v>920000</v>
      </c>
      <c r="E138" s="20" t="s">
        <v>429</v>
      </c>
      <c r="F138" s="20" t="s">
        <v>194</v>
      </c>
      <c r="G138" s="8" t="str">
        <f t="shared" si="2"/>
        <v>DAVIS MICHAEL</v>
      </c>
    </row>
    <row r="139" spans="1:7" x14ac:dyDescent="0.25">
      <c r="A139" s="8">
        <v>42889.653946759259</v>
      </c>
      <c r="B139" s="20" t="s">
        <v>408</v>
      </c>
      <c r="C139" s="20" t="s">
        <v>776</v>
      </c>
      <c r="D139" s="141">
        <v>2370000</v>
      </c>
      <c r="E139" s="20" t="s">
        <v>512</v>
      </c>
      <c r="F139" s="20" t="s">
        <v>513</v>
      </c>
      <c r="G139" s="8" t="str">
        <f t="shared" si="2"/>
        <v>DELGADO DIANAH</v>
      </c>
    </row>
    <row r="140" spans="1:7" x14ac:dyDescent="0.25">
      <c r="A140" s="8">
        <v>42889.660358796296</v>
      </c>
      <c r="B140" s="20" t="s">
        <v>376</v>
      </c>
      <c r="C140" s="20" t="s">
        <v>777</v>
      </c>
      <c r="D140" s="141">
        <v>2360000</v>
      </c>
      <c r="E140" s="20" t="s">
        <v>750</v>
      </c>
      <c r="F140" s="20" t="s">
        <v>751</v>
      </c>
      <c r="G140" s="8" t="str">
        <f t="shared" si="2"/>
        <v>BRANDNER MELINDA</v>
      </c>
    </row>
    <row r="141" spans="1:7" x14ac:dyDescent="0.25">
      <c r="A141" s="8">
        <v>42889.663668981484</v>
      </c>
      <c r="B141" s="20" t="s">
        <v>465</v>
      </c>
      <c r="C141" s="20" t="s">
        <v>778</v>
      </c>
      <c r="D141" s="141">
        <v>880000</v>
      </c>
      <c r="E141" s="20" t="s">
        <v>487</v>
      </c>
      <c r="F141" s="20" t="s">
        <v>194</v>
      </c>
      <c r="G141" s="8" t="str">
        <f t="shared" si="2"/>
        <v>STEWART MICHAEL</v>
      </c>
    </row>
    <row r="142" spans="1:7" x14ac:dyDescent="0.25">
      <c r="A142" s="8">
        <v>42889.670740740738</v>
      </c>
      <c r="B142" s="20" t="s">
        <v>619</v>
      </c>
      <c r="C142" s="20" t="s">
        <v>779</v>
      </c>
      <c r="D142" s="141">
        <v>1770000</v>
      </c>
      <c r="E142" s="20" t="s">
        <v>733</v>
      </c>
      <c r="F142" s="20" t="s">
        <v>734</v>
      </c>
      <c r="G142" s="8" t="str">
        <f t="shared" si="2"/>
        <v>BRUDER RICHARD</v>
      </c>
    </row>
    <row r="143" spans="1:7" x14ac:dyDescent="0.25">
      <c r="A143" s="8">
        <v>42889.674143518518</v>
      </c>
      <c r="B143" s="20" t="s">
        <v>503</v>
      </c>
      <c r="C143" s="20" t="s">
        <v>780</v>
      </c>
      <c r="D143" s="141">
        <v>2420000</v>
      </c>
      <c r="E143" s="20" t="s">
        <v>514</v>
      </c>
      <c r="F143" s="20" t="s">
        <v>515</v>
      </c>
      <c r="G143" s="8" t="str">
        <f t="shared" si="2"/>
        <v>HOLCOMB KAMDEN</v>
      </c>
    </row>
    <row r="144" spans="1:7" x14ac:dyDescent="0.25">
      <c r="A144" s="8">
        <v>42889.676342592589</v>
      </c>
      <c r="B144" s="20" t="s">
        <v>504</v>
      </c>
      <c r="C144" s="20" t="s">
        <v>781</v>
      </c>
      <c r="D144" s="141">
        <v>2540000</v>
      </c>
      <c r="E144" s="20" t="s">
        <v>760</v>
      </c>
      <c r="F144" s="20" t="s">
        <v>761</v>
      </c>
      <c r="G144" s="8" t="str">
        <f t="shared" si="2"/>
        <v>MCREYNOLDS KYLE</v>
      </c>
    </row>
    <row r="145" spans="1:7" x14ac:dyDescent="0.25">
      <c r="A145" s="8">
        <v>42889.680451388886</v>
      </c>
      <c r="B145" s="20" t="s">
        <v>542</v>
      </c>
      <c r="C145" s="20" t="s">
        <v>782</v>
      </c>
      <c r="D145" s="141">
        <v>2480000</v>
      </c>
      <c r="E145" s="20" t="s">
        <v>543</v>
      </c>
      <c r="F145" s="20" t="s">
        <v>544</v>
      </c>
      <c r="G145" s="8" t="str">
        <f t="shared" si="2"/>
        <v>WHITED DUSTIN</v>
      </c>
    </row>
    <row r="146" spans="1:7" x14ac:dyDescent="0.25">
      <c r="A146" s="8">
        <v>42889.68513888889</v>
      </c>
      <c r="B146" s="20" t="s">
        <v>425</v>
      </c>
      <c r="C146" s="20" t="s">
        <v>783</v>
      </c>
      <c r="D146" s="141">
        <v>920000</v>
      </c>
      <c r="E146" s="20" t="s">
        <v>429</v>
      </c>
      <c r="F146" s="20" t="s">
        <v>194</v>
      </c>
      <c r="G146" s="8" t="str">
        <f t="shared" si="2"/>
        <v>DAVIS MICHAEL</v>
      </c>
    </row>
    <row r="147" spans="1:7" x14ac:dyDescent="0.25">
      <c r="A147" s="8">
        <v>42889.687800925924</v>
      </c>
      <c r="B147" s="20" t="s">
        <v>407</v>
      </c>
      <c r="C147" s="20" t="s">
        <v>784</v>
      </c>
      <c r="D147" s="141">
        <v>2370000</v>
      </c>
      <c r="E147" s="20" t="s">
        <v>512</v>
      </c>
      <c r="F147" s="20" t="s">
        <v>513</v>
      </c>
      <c r="G147" s="8" t="str">
        <f t="shared" si="2"/>
        <v>DELGADO DIANAH</v>
      </c>
    </row>
    <row r="148" spans="1:7" x14ac:dyDescent="0.25">
      <c r="A148" s="8">
        <v>42889.692881944444</v>
      </c>
      <c r="B148" s="20" t="s">
        <v>502</v>
      </c>
      <c r="C148" s="20" t="s">
        <v>785</v>
      </c>
      <c r="D148" s="141">
        <v>2540000</v>
      </c>
      <c r="E148" s="20" t="s">
        <v>760</v>
      </c>
      <c r="F148" s="20" t="s">
        <v>761</v>
      </c>
      <c r="G148" s="8" t="str">
        <f t="shared" si="2"/>
        <v>MCREYNOLDS KYLE</v>
      </c>
    </row>
    <row r="149" spans="1:7" x14ac:dyDescent="0.25">
      <c r="A149" s="8">
        <v>42889.695324074077</v>
      </c>
      <c r="B149" s="20" t="s">
        <v>382</v>
      </c>
      <c r="C149" s="20" t="s">
        <v>636</v>
      </c>
      <c r="D149" s="141">
        <v>2360000</v>
      </c>
      <c r="E149" s="20" t="s">
        <v>750</v>
      </c>
      <c r="F149" s="20" t="s">
        <v>751</v>
      </c>
      <c r="G149" s="8" t="str">
        <f t="shared" si="2"/>
        <v>BRANDNER MELINDA</v>
      </c>
    </row>
    <row r="150" spans="1:7" x14ac:dyDescent="0.25">
      <c r="A150" s="8">
        <v>42889.704328703701</v>
      </c>
      <c r="B150" s="20" t="s">
        <v>474</v>
      </c>
      <c r="C150" s="20" t="s">
        <v>786</v>
      </c>
      <c r="D150" s="141">
        <v>880000</v>
      </c>
      <c r="E150" s="20" t="s">
        <v>487</v>
      </c>
      <c r="F150" s="20" t="s">
        <v>194</v>
      </c>
      <c r="G150" s="8" t="str">
        <f t="shared" si="2"/>
        <v>STEWART MICHAEL</v>
      </c>
    </row>
    <row r="151" spans="1:7" x14ac:dyDescent="0.25">
      <c r="A151" s="8">
        <v>42889.705347222225</v>
      </c>
      <c r="B151" s="20" t="s">
        <v>637</v>
      </c>
      <c r="C151" s="20" t="s">
        <v>638</v>
      </c>
      <c r="D151" s="141">
        <v>1770000</v>
      </c>
      <c r="E151" s="20" t="s">
        <v>733</v>
      </c>
      <c r="F151" s="20" t="s">
        <v>734</v>
      </c>
      <c r="G151" s="8" t="str">
        <f t="shared" si="2"/>
        <v>BRUDER RICHARD</v>
      </c>
    </row>
    <row r="152" spans="1:7" x14ac:dyDescent="0.25">
      <c r="A152" s="8">
        <v>42889.712557870371</v>
      </c>
      <c r="B152" s="20" t="s">
        <v>501</v>
      </c>
      <c r="C152" s="20" t="s">
        <v>787</v>
      </c>
      <c r="D152" s="141">
        <v>2420000</v>
      </c>
      <c r="E152" s="20" t="s">
        <v>514</v>
      </c>
      <c r="F152" s="20" t="s">
        <v>515</v>
      </c>
      <c r="G152" s="8" t="str">
        <f t="shared" si="2"/>
        <v>HOLCOMB KAMDEN</v>
      </c>
    </row>
    <row r="153" spans="1:7" x14ac:dyDescent="0.25">
      <c r="A153" s="8">
        <v>42889.714594907404</v>
      </c>
      <c r="B153" s="20" t="s">
        <v>409</v>
      </c>
      <c r="C153" s="20" t="s">
        <v>788</v>
      </c>
      <c r="D153" s="141">
        <v>2480000</v>
      </c>
      <c r="E153" s="20" t="s">
        <v>543</v>
      </c>
      <c r="F153" s="20" t="s">
        <v>544</v>
      </c>
      <c r="G153" s="8" t="str">
        <f t="shared" si="2"/>
        <v>WHITED DUSTIN</v>
      </c>
    </row>
    <row r="154" spans="1:7" x14ac:dyDescent="0.25">
      <c r="A154" s="8">
        <v>42889.720439814817</v>
      </c>
      <c r="B154" s="20" t="s">
        <v>504</v>
      </c>
      <c r="C154" s="20" t="s">
        <v>789</v>
      </c>
      <c r="D154" s="141">
        <v>2540000</v>
      </c>
      <c r="E154" s="20" t="s">
        <v>760</v>
      </c>
      <c r="F154" s="20" t="s">
        <v>761</v>
      </c>
      <c r="G154" s="8" t="str">
        <f t="shared" si="2"/>
        <v>MCREYNOLDS KYLE</v>
      </c>
    </row>
    <row r="155" spans="1:7" x14ac:dyDescent="0.25">
      <c r="A155" s="8">
        <v>42889.725185185183</v>
      </c>
      <c r="B155" s="20" t="s">
        <v>447</v>
      </c>
      <c r="C155" s="20" t="s">
        <v>790</v>
      </c>
      <c r="D155" s="141">
        <v>2270000</v>
      </c>
      <c r="E155" s="20" t="s">
        <v>730</v>
      </c>
      <c r="F155" s="20" t="s">
        <v>731</v>
      </c>
      <c r="G155" s="8" t="str">
        <f t="shared" si="2"/>
        <v>BROWN JACOB</v>
      </c>
    </row>
    <row r="156" spans="1:7" x14ac:dyDescent="0.25">
      <c r="A156" s="8">
        <v>42889.72556712963</v>
      </c>
      <c r="B156" s="20" t="s">
        <v>408</v>
      </c>
      <c r="C156" s="20" t="s">
        <v>639</v>
      </c>
      <c r="D156" s="141">
        <v>2370000</v>
      </c>
      <c r="E156" s="20" t="s">
        <v>512</v>
      </c>
      <c r="F156" s="20" t="s">
        <v>513</v>
      </c>
      <c r="G156" s="8" t="str">
        <f t="shared" si="2"/>
        <v>DELGADO DIANAH</v>
      </c>
    </row>
    <row r="157" spans="1:7" x14ac:dyDescent="0.25">
      <c r="A157" s="8">
        <v>42889.726134259261</v>
      </c>
      <c r="B157" s="20" t="s">
        <v>438</v>
      </c>
      <c r="C157" s="20" t="s">
        <v>791</v>
      </c>
      <c r="D157" s="141">
        <v>920000</v>
      </c>
      <c r="E157" s="20" t="s">
        <v>429</v>
      </c>
      <c r="F157" s="20" t="s">
        <v>194</v>
      </c>
      <c r="G157" s="8" t="str">
        <f t="shared" si="2"/>
        <v>DAVIS MICHAEL</v>
      </c>
    </row>
    <row r="158" spans="1:7" x14ac:dyDescent="0.25">
      <c r="A158" s="8">
        <v>42889.728379629632</v>
      </c>
      <c r="B158" s="20" t="s">
        <v>547</v>
      </c>
      <c r="C158" s="20" t="s">
        <v>792</v>
      </c>
      <c r="D158" s="141">
        <v>2470000</v>
      </c>
      <c r="E158" s="20" t="s">
        <v>548</v>
      </c>
      <c r="F158" s="20" t="s">
        <v>549</v>
      </c>
      <c r="G158" s="8" t="str">
        <f t="shared" si="2"/>
        <v>ROMERO CHAD</v>
      </c>
    </row>
    <row r="159" spans="1:7" x14ac:dyDescent="0.25">
      <c r="A159" s="8">
        <v>42889.732222222221</v>
      </c>
      <c r="B159" s="20" t="s">
        <v>376</v>
      </c>
      <c r="C159" s="20" t="s">
        <v>793</v>
      </c>
      <c r="D159" s="141">
        <v>2360000</v>
      </c>
      <c r="E159" s="20" t="s">
        <v>750</v>
      </c>
      <c r="F159" s="20" t="s">
        <v>751</v>
      </c>
      <c r="G159" s="8" t="str">
        <f t="shared" si="2"/>
        <v>BRANDNER MELINDA</v>
      </c>
    </row>
    <row r="160" spans="1:7" x14ac:dyDescent="0.25">
      <c r="A160" s="8">
        <v>42889.735034722224</v>
      </c>
      <c r="B160" s="20" t="s">
        <v>502</v>
      </c>
      <c r="C160" s="20" t="s">
        <v>794</v>
      </c>
      <c r="D160" s="141">
        <v>2540000</v>
      </c>
      <c r="E160" s="20" t="s">
        <v>760</v>
      </c>
      <c r="F160" s="20" t="s">
        <v>761</v>
      </c>
      <c r="G160" s="8" t="str">
        <f t="shared" si="2"/>
        <v>MCREYNOLDS KYLE</v>
      </c>
    </row>
    <row r="161" spans="1:7" x14ac:dyDescent="0.25">
      <c r="A161" s="8">
        <v>42889.735613425924</v>
      </c>
      <c r="B161" s="20" t="s">
        <v>795</v>
      </c>
      <c r="C161" s="20" t="s">
        <v>792</v>
      </c>
      <c r="D161" s="141">
        <v>2470000</v>
      </c>
      <c r="E161" s="20" t="s">
        <v>548</v>
      </c>
      <c r="F161" s="20" t="s">
        <v>549</v>
      </c>
      <c r="G161" s="8" t="str">
        <f t="shared" si="2"/>
        <v>ROMERO CHAD</v>
      </c>
    </row>
    <row r="162" spans="1:7" x14ac:dyDescent="0.25">
      <c r="A162" s="8">
        <v>42889.737337962964</v>
      </c>
      <c r="B162" s="20" t="s">
        <v>465</v>
      </c>
      <c r="C162" s="20" t="s">
        <v>796</v>
      </c>
      <c r="D162" s="141">
        <v>2730000</v>
      </c>
      <c r="E162" s="20" t="s">
        <v>485</v>
      </c>
      <c r="F162" s="20" t="s">
        <v>486</v>
      </c>
      <c r="G162" s="8" t="str">
        <f t="shared" si="2"/>
        <v>YANG JAN</v>
      </c>
    </row>
    <row r="163" spans="1:7" x14ac:dyDescent="0.25">
      <c r="A163" s="8">
        <v>42889.743738425925</v>
      </c>
      <c r="B163" s="20" t="s">
        <v>619</v>
      </c>
      <c r="C163" s="20" t="s">
        <v>797</v>
      </c>
      <c r="D163" s="141">
        <v>1770000</v>
      </c>
      <c r="E163" s="20" t="s">
        <v>733</v>
      </c>
      <c r="F163" s="20" t="s">
        <v>734</v>
      </c>
      <c r="G163" s="8" t="str">
        <f t="shared" si="2"/>
        <v>BRUDER RICHARD</v>
      </c>
    </row>
    <row r="164" spans="1:7" x14ac:dyDescent="0.25">
      <c r="A164" s="8">
        <v>42889.745868055557</v>
      </c>
      <c r="B164" s="20" t="s">
        <v>503</v>
      </c>
      <c r="C164" s="20" t="s">
        <v>798</v>
      </c>
      <c r="D164" s="141">
        <v>2470000</v>
      </c>
      <c r="E164" s="20" t="s">
        <v>548</v>
      </c>
      <c r="F164" s="20" t="s">
        <v>549</v>
      </c>
      <c r="G164" s="8" t="str">
        <f t="shared" si="2"/>
        <v>ROMERO CHAD</v>
      </c>
    </row>
    <row r="165" spans="1:7" x14ac:dyDescent="0.25">
      <c r="A165" s="8">
        <v>42889.747928240744</v>
      </c>
      <c r="B165" s="20" t="s">
        <v>547</v>
      </c>
      <c r="C165" s="20" t="s">
        <v>799</v>
      </c>
      <c r="D165" s="141">
        <v>2420000</v>
      </c>
      <c r="E165" s="20" t="s">
        <v>514</v>
      </c>
      <c r="F165" s="20" t="s">
        <v>515</v>
      </c>
      <c r="G165" s="8" t="str">
        <f t="shared" si="2"/>
        <v>HOLCOMB KAMDEN</v>
      </c>
    </row>
    <row r="166" spans="1:7" x14ac:dyDescent="0.25">
      <c r="A166" s="8">
        <v>42889.750740740739</v>
      </c>
      <c r="B166" s="20" t="s">
        <v>504</v>
      </c>
      <c r="C166" s="20" t="s">
        <v>800</v>
      </c>
      <c r="D166" s="141">
        <v>2540000</v>
      </c>
      <c r="E166" s="20" t="s">
        <v>760</v>
      </c>
      <c r="F166" s="20" t="s">
        <v>761</v>
      </c>
      <c r="G166" s="8" t="str">
        <f t="shared" si="2"/>
        <v>MCREYNOLDS KYLE</v>
      </c>
    </row>
    <row r="167" spans="1:7" x14ac:dyDescent="0.25">
      <c r="A167" s="8">
        <v>42889.752465277779</v>
      </c>
      <c r="B167" s="20" t="s">
        <v>542</v>
      </c>
      <c r="C167" s="20" t="s">
        <v>801</v>
      </c>
      <c r="D167" s="141">
        <v>2480000</v>
      </c>
      <c r="E167" s="20" t="s">
        <v>543</v>
      </c>
      <c r="F167" s="20" t="s">
        <v>544</v>
      </c>
      <c r="G167" s="8" t="str">
        <f t="shared" si="2"/>
        <v>WHITED DUSTIN</v>
      </c>
    </row>
    <row r="168" spans="1:7" x14ac:dyDescent="0.25">
      <c r="A168" s="8">
        <v>42889.755578703705</v>
      </c>
      <c r="B168" s="20" t="s">
        <v>802</v>
      </c>
      <c r="C168" s="20" t="s">
        <v>803</v>
      </c>
      <c r="D168" s="141">
        <v>2610000</v>
      </c>
      <c r="E168" s="20" t="s">
        <v>432</v>
      </c>
      <c r="F168" s="20" t="s">
        <v>433</v>
      </c>
      <c r="G168" s="8" t="str">
        <f t="shared" si="2"/>
        <v>MAGEE KENYA</v>
      </c>
    </row>
    <row r="169" spans="1:7" x14ac:dyDescent="0.25">
      <c r="A169" s="8">
        <v>42889.758159722223</v>
      </c>
      <c r="B169" s="20" t="s">
        <v>425</v>
      </c>
      <c r="C169" s="20" t="s">
        <v>804</v>
      </c>
      <c r="D169" s="141">
        <v>2620000</v>
      </c>
      <c r="E169" s="20" t="s">
        <v>805</v>
      </c>
      <c r="F169" s="20" t="s">
        <v>806</v>
      </c>
      <c r="G169" s="8" t="str">
        <f t="shared" si="2"/>
        <v>PERKINS DARREN</v>
      </c>
    </row>
    <row r="170" spans="1:7" x14ac:dyDescent="0.25">
      <c r="A170" s="8">
        <v>42889.759409722225</v>
      </c>
      <c r="B170" s="20" t="s">
        <v>407</v>
      </c>
      <c r="C170" s="20" t="s">
        <v>807</v>
      </c>
      <c r="D170" s="141">
        <v>2370000</v>
      </c>
      <c r="E170" s="20" t="s">
        <v>512</v>
      </c>
      <c r="F170" s="20" t="s">
        <v>513</v>
      </c>
      <c r="G170" s="8" t="str">
        <f t="shared" si="2"/>
        <v>DELGADO DIANAH</v>
      </c>
    </row>
    <row r="171" spans="1:7" x14ac:dyDescent="0.25">
      <c r="A171" s="8">
        <v>42889.766979166663</v>
      </c>
      <c r="B171" s="20" t="s">
        <v>382</v>
      </c>
      <c r="C171" s="20" t="s">
        <v>808</v>
      </c>
      <c r="D171" s="141">
        <v>3000000</v>
      </c>
      <c r="E171" s="20" t="s">
        <v>448</v>
      </c>
      <c r="F171" s="20" t="s">
        <v>449</v>
      </c>
      <c r="G171" s="8" t="str">
        <f t="shared" si="2"/>
        <v>FORTUNATO FRANK</v>
      </c>
    </row>
    <row r="172" spans="1:7" x14ac:dyDescent="0.25">
      <c r="A172" s="8">
        <v>42889.775717592594</v>
      </c>
      <c r="B172" s="20" t="s">
        <v>474</v>
      </c>
      <c r="C172" s="20" t="s">
        <v>809</v>
      </c>
      <c r="D172" s="141">
        <v>2730000</v>
      </c>
      <c r="E172" s="20" t="s">
        <v>485</v>
      </c>
      <c r="F172" s="20" t="s">
        <v>486</v>
      </c>
      <c r="G172" s="8" t="str">
        <f t="shared" si="2"/>
        <v>YANG JAN</v>
      </c>
    </row>
    <row r="173" spans="1:7" x14ac:dyDescent="0.25">
      <c r="A173" s="8">
        <v>42889.776886574073</v>
      </c>
      <c r="B173" s="20" t="s">
        <v>502</v>
      </c>
      <c r="C173" s="20" t="s">
        <v>810</v>
      </c>
      <c r="D173" s="141">
        <v>2540000</v>
      </c>
      <c r="E173" s="20" t="s">
        <v>760</v>
      </c>
      <c r="F173" s="20" t="s">
        <v>761</v>
      </c>
      <c r="G173" s="8" t="str">
        <f t="shared" si="2"/>
        <v>MCREYNOLDS KYLE</v>
      </c>
    </row>
    <row r="174" spans="1:7" x14ac:dyDescent="0.25">
      <c r="A174" s="8">
        <v>42889.777557870373</v>
      </c>
      <c r="B174" s="20" t="s">
        <v>637</v>
      </c>
      <c r="C174" s="20" t="s">
        <v>811</v>
      </c>
      <c r="D174" s="141">
        <v>1770000</v>
      </c>
      <c r="E174" s="20" t="s">
        <v>733</v>
      </c>
      <c r="F174" s="20" t="s">
        <v>734</v>
      </c>
      <c r="G174" s="8" t="str">
        <f t="shared" si="2"/>
        <v>BRUDER RICHARD</v>
      </c>
    </row>
    <row r="175" spans="1:7" x14ac:dyDescent="0.25">
      <c r="A175" s="8">
        <v>42889.785543981481</v>
      </c>
      <c r="B175" s="20" t="s">
        <v>795</v>
      </c>
      <c r="C175" s="20" t="s">
        <v>812</v>
      </c>
      <c r="D175" s="141">
        <v>2420000</v>
      </c>
      <c r="E175" s="20" t="s">
        <v>514</v>
      </c>
      <c r="F175" s="20" t="s">
        <v>515</v>
      </c>
      <c r="G175" s="8" t="str">
        <f t="shared" si="2"/>
        <v>HOLCOMB KAMDEN</v>
      </c>
    </row>
    <row r="176" spans="1:7" x14ac:dyDescent="0.25">
      <c r="A176" s="8">
        <v>42889.787812499999</v>
      </c>
      <c r="B176" s="20" t="s">
        <v>409</v>
      </c>
      <c r="C176" s="20" t="s">
        <v>813</v>
      </c>
      <c r="D176" s="141">
        <v>3010000</v>
      </c>
      <c r="E176" s="20" t="s">
        <v>401</v>
      </c>
      <c r="F176" s="20" t="s">
        <v>402</v>
      </c>
      <c r="G176" s="8" t="str">
        <f t="shared" si="2"/>
        <v>SULLIVAN BRANDON</v>
      </c>
    </row>
    <row r="177" spans="1:7" x14ac:dyDescent="0.25">
      <c r="A177" s="8">
        <v>42889.794386574074</v>
      </c>
      <c r="B177" s="20" t="s">
        <v>438</v>
      </c>
      <c r="C177" s="20" t="s">
        <v>814</v>
      </c>
      <c r="D177" s="141">
        <v>2620000</v>
      </c>
      <c r="E177" s="20" t="s">
        <v>805</v>
      </c>
      <c r="F177" s="20" t="s">
        <v>806</v>
      </c>
      <c r="G177" s="8" t="str">
        <f t="shared" si="2"/>
        <v>PERKINS DARREN</v>
      </c>
    </row>
    <row r="178" spans="1:7" x14ac:dyDescent="0.25">
      <c r="A178" s="8">
        <v>42889.799201388887</v>
      </c>
      <c r="B178" s="20" t="s">
        <v>408</v>
      </c>
      <c r="C178" s="20" t="s">
        <v>815</v>
      </c>
      <c r="D178" s="141">
        <v>2370000</v>
      </c>
      <c r="E178" s="20" t="s">
        <v>512</v>
      </c>
      <c r="F178" s="20" t="s">
        <v>513</v>
      </c>
      <c r="G178" s="8" t="str">
        <f t="shared" si="2"/>
        <v>DELGADO DIANAH</v>
      </c>
    </row>
    <row r="179" spans="1:7" x14ac:dyDescent="0.25">
      <c r="A179" s="8">
        <v>42889.801168981481</v>
      </c>
      <c r="B179" s="20" t="s">
        <v>504</v>
      </c>
      <c r="C179" s="20" t="s">
        <v>816</v>
      </c>
      <c r="D179" s="141">
        <v>2540000</v>
      </c>
      <c r="E179" s="20" t="s">
        <v>760</v>
      </c>
      <c r="F179" s="20" t="s">
        <v>761</v>
      </c>
      <c r="G179" s="8" t="str">
        <f t="shared" si="2"/>
        <v>MCREYNOLDS KYLE</v>
      </c>
    </row>
    <row r="180" spans="1:7" x14ac:dyDescent="0.25">
      <c r="A180" s="8">
        <v>42889.805451388886</v>
      </c>
      <c r="B180" s="20" t="s">
        <v>376</v>
      </c>
      <c r="C180" s="20" t="s">
        <v>817</v>
      </c>
      <c r="D180" s="141">
        <v>3000000</v>
      </c>
      <c r="E180" s="20" t="s">
        <v>448</v>
      </c>
      <c r="F180" s="20" t="s">
        <v>449</v>
      </c>
      <c r="G180" s="8" t="str">
        <f t="shared" si="2"/>
        <v>FORTUNATO FRANK</v>
      </c>
    </row>
    <row r="181" spans="1:7" x14ac:dyDescent="0.25">
      <c r="A181" s="8">
        <v>42889.808530092596</v>
      </c>
      <c r="B181" s="20" t="s">
        <v>465</v>
      </c>
      <c r="C181" s="20" t="s">
        <v>818</v>
      </c>
      <c r="D181" s="141">
        <v>2730000</v>
      </c>
      <c r="E181" s="20" t="s">
        <v>485</v>
      </c>
      <c r="F181" s="20" t="s">
        <v>486</v>
      </c>
      <c r="G181" s="8" t="str">
        <f t="shared" si="2"/>
        <v>YANG JAN</v>
      </c>
    </row>
    <row r="182" spans="1:7" x14ac:dyDescent="0.25">
      <c r="A182" s="8">
        <v>42889.818668981483</v>
      </c>
      <c r="B182" s="20" t="s">
        <v>502</v>
      </c>
      <c r="C182" s="20" t="s">
        <v>819</v>
      </c>
      <c r="D182" s="141">
        <v>2540000</v>
      </c>
      <c r="E182" s="20" t="s">
        <v>760</v>
      </c>
      <c r="F182" s="20" t="s">
        <v>761</v>
      </c>
      <c r="G182" s="8" t="str">
        <f t="shared" si="2"/>
        <v>MCREYNOLDS KYLE</v>
      </c>
    </row>
    <row r="183" spans="1:7" x14ac:dyDescent="0.25">
      <c r="A183" s="8">
        <v>42889.820567129631</v>
      </c>
      <c r="B183" s="20" t="s">
        <v>547</v>
      </c>
      <c r="C183" s="20" t="s">
        <v>820</v>
      </c>
      <c r="D183" s="141">
        <v>2420000</v>
      </c>
      <c r="E183" s="20" t="s">
        <v>514</v>
      </c>
      <c r="F183" s="20" t="s">
        <v>515</v>
      </c>
      <c r="G183" s="8" t="str">
        <f t="shared" si="2"/>
        <v>HOLCOMB KAMDEN</v>
      </c>
    </row>
    <row r="184" spans="1:7" x14ac:dyDescent="0.25">
      <c r="A184" s="8">
        <v>42889.82298611111</v>
      </c>
      <c r="B184" s="20" t="s">
        <v>542</v>
      </c>
      <c r="C184" s="20" t="s">
        <v>821</v>
      </c>
      <c r="D184" s="141">
        <v>3010000</v>
      </c>
      <c r="E184" s="20" t="s">
        <v>401</v>
      </c>
      <c r="F184" s="20" t="s">
        <v>402</v>
      </c>
      <c r="G184" s="8" t="str">
        <f t="shared" si="2"/>
        <v>SULLIVAN BRANDON</v>
      </c>
    </row>
    <row r="185" spans="1:7" x14ac:dyDescent="0.25">
      <c r="A185" s="8">
        <v>42889.830416666664</v>
      </c>
      <c r="B185" s="20" t="s">
        <v>425</v>
      </c>
      <c r="C185" s="20" t="s">
        <v>822</v>
      </c>
      <c r="D185" s="141">
        <v>2550000</v>
      </c>
      <c r="E185" s="20" t="s">
        <v>518</v>
      </c>
      <c r="F185" s="20" t="s">
        <v>519</v>
      </c>
      <c r="G185" s="8" t="str">
        <f t="shared" si="2"/>
        <v>BADERTSCHER DIANE</v>
      </c>
    </row>
    <row r="186" spans="1:7" x14ac:dyDescent="0.25">
      <c r="A186" s="8">
        <v>42889.840150462966</v>
      </c>
      <c r="B186" s="20" t="s">
        <v>474</v>
      </c>
      <c r="C186" s="20" t="s">
        <v>823</v>
      </c>
      <c r="D186" s="141">
        <v>2730000</v>
      </c>
      <c r="E186" s="20" t="s">
        <v>485</v>
      </c>
      <c r="F186" s="20" t="s">
        <v>486</v>
      </c>
      <c r="G186" s="8" t="str">
        <f t="shared" si="2"/>
        <v>YANG JAN</v>
      </c>
    </row>
    <row r="187" spans="1:7" x14ac:dyDescent="0.25">
      <c r="A187" s="8">
        <v>42889.843865740739</v>
      </c>
      <c r="B187" s="20" t="s">
        <v>504</v>
      </c>
      <c r="C187" s="20" t="s">
        <v>824</v>
      </c>
      <c r="D187" s="141">
        <v>2540000</v>
      </c>
      <c r="E187" s="20" t="s">
        <v>760</v>
      </c>
      <c r="F187" s="20" t="s">
        <v>761</v>
      </c>
      <c r="G187" s="8" t="str">
        <f t="shared" si="2"/>
        <v>MCREYNOLDS KYLE</v>
      </c>
    </row>
    <row r="188" spans="1:7" x14ac:dyDescent="0.25">
      <c r="A188" s="8">
        <v>42889.846770833334</v>
      </c>
      <c r="B188" s="20" t="s">
        <v>382</v>
      </c>
      <c r="C188" s="20" t="s">
        <v>825</v>
      </c>
      <c r="D188" s="141">
        <v>3000000</v>
      </c>
      <c r="E188" s="20" t="s">
        <v>448</v>
      </c>
      <c r="F188" s="20" t="s">
        <v>449</v>
      </c>
      <c r="G188" s="8" t="str">
        <f t="shared" si="2"/>
        <v>FORTUNATO FRANK</v>
      </c>
    </row>
    <row r="189" spans="1:7" x14ac:dyDescent="0.25">
      <c r="A189" s="8">
        <v>42889.859953703701</v>
      </c>
      <c r="B189" s="20" t="s">
        <v>502</v>
      </c>
      <c r="C189" s="20" t="s">
        <v>826</v>
      </c>
      <c r="D189" s="141">
        <v>2540000</v>
      </c>
      <c r="E189" s="20" t="s">
        <v>760</v>
      </c>
      <c r="F189" s="20" t="s">
        <v>761</v>
      </c>
      <c r="G189" s="8" t="str">
        <f t="shared" si="2"/>
        <v>MCREYNOLDS KYLE</v>
      </c>
    </row>
    <row r="190" spans="1:7" x14ac:dyDescent="0.25">
      <c r="A190" s="8">
        <v>42889.862303240741</v>
      </c>
      <c r="B190" s="20" t="s">
        <v>438</v>
      </c>
      <c r="C190" s="20" t="s">
        <v>827</v>
      </c>
      <c r="D190" s="141">
        <v>2550000</v>
      </c>
      <c r="E190" s="20" t="s">
        <v>518</v>
      </c>
      <c r="F190" s="20" t="s">
        <v>519</v>
      </c>
      <c r="G190" s="8" t="str">
        <f t="shared" si="2"/>
        <v>BADERTSCHER DIANE</v>
      </c>
    </row>
    <row r="191" spans="1:7" x14ac:dyDescent="0.25">
      <c r="A191" s="8">
        <v>42889.866886574076</v>
      </c>
      <c r="B191" s="20" t="s">
        <v>409</v>
      </c>
      <c r="C191" s="20" t="s">
        <v>828</v>
      </c>
      <c r="D191" s="141">
        <v>3010000</v>
      </c>
      <c r="E191" s="20" t="s">
        <v>401</v>
      </c>
      <c r="F191" s="20" t="s">
        <v>402</v>
      </c>
      <c r="G191" s="8" t="str">
        <f t="shared" si="2"/>
        <v>SULLIVAN BRANDON</v>
      </c>
    </row>
    <row r="192" spans="1:7" x14ac:dyDescent="0.25">
      <c r="A192" s="8">
        <v>42889.873032407406</v>
      </c>
      <c r="B192" s="20" t="s">
        <v>504</v>
      </c>
      <c r="C192" s="20" t="s">
        <v>829</v>
      </c>
      <c r="D192" s="141">
        <v>2540000</v>
      </c>
      <c r="E192" s="20" t="s">
        <v>760</v>
      </c>
      <c r="F192" s="20" t="s">
        <v>761</v>
      </c>
      <c r="G192" s="8" t="str">
        <f t="shared" si="2"/>
        <v>MCREYNOLDS KYLE</v>
      </c>
    </row>
    <row r="193" spans="1:7" x14ac:dyDescent="0.25">
      <c r="A193" s="8">
        <v>42889.884988425925</v>
      </c>
      <c r="B193" s="20" t="s">
        <v>376</v>
      </c>
      <c r="C193" s="20" t="s">
        <v>830</v>
      </c>
      <c r="D193" s="141">
        <v>3000000</v>
      </c>
      <c r="E193" s="20" t="s">
        <v>448</v>
      </c>
      <c r="F193" s="20" t="s">
        <v>449</v>
      </c>
      <c r="G193" s="8" t="str">
        <f t="shared" si="2"/>
        <v>FORTUNATO FRANK</v>
      </c>
    </row>
    <row r="194" spans="1:7" x14ac:dyDescent="0.25">
      <c r="A194" s="8">
        <v>42889.885266203702</v>
      </c>
      <c r="B194" s="20" t="s">
        <v>465</v>
      </c>
      <c r="C194" s="20" t="s">
        <v>831</v>
      </c>
      <c r="D194" s="141">
        <v>2730000</v>
      </c>
      <c r="E194" s="20" t="s">
        <v>485</v>
      </c>
      <c r="F194" s="20" t="s">
        <v>486</v>
      </c>
      <c r="G194" s="8" t="str">
        <f t="shared" si="2"/>
        <v>YANG JAN</v>
      </c>
    </row>
    <row r="195" spans="1:7" x14ac:dyDescent="0.25">
      <c r="A195" s="8">
        <v>42889.901180555556</v>
      </c>
      <c r="B195" s="20" t="s">
        <v>502</v>
      </c>
      <c r="C195" s="20" t="s">
        <v>832</v>
      </c>
      <c r="D195" s="141">
        <v>2540000</v>
      </c>
      <c r="E195" s="20" t="s">
        <v>760</v>
      </c>
      <c r="F195" s="20" t="s">
        <v>761</v>
      </c>
      <c r="G195" s="8" t="str">
        <f t="shared" ref="G195:G258" si="3">E195&amp;" "&amp;F195</f>
        <v>MCREYNOLDS KYLE</v>
      </c>
    </row>
    <row r="196" spans="1:7" x14ac:dyDescent="0.25">
      <c r="A196" s="8">
        <v>42889.906805555554</v>
      </c>
      <c r="B196" s="20" t="s">
        <v>542</v>
      </c>
      <c r="C196" s="20" t="s">
        <v>833</v>
      </c>
      <c r="D196" s="141">
        <v>3010000</v>
      </c>
      <c r="E196" s="20" t="s">
        <v>401</v>
      </c>
      <c r="F196" s="20" t="s">
        <v>402</v>
      </c>
      <c r="G196" s="8" t="str">
        <f t="shared" si="3"/>
        <v>SULLIVAN BRANDON</v>
      </c>
    </row>
    <row r="197" spans="1:7" x14ac:dyDescent="0.25">
      <c r="A197" s="8">
        <v>42889.910763888889</v>
      </c>
      <c r="B197" s="20" t="s">
        <v>425</v>
      </c>
      <c r="C197" s="20" t="s">
        <v>834</v>
      </c>
      <c r="D197" s="141">
        <v>2620000</v>
      </c>
      <c r="E197" s="20" t="s">
        <v>805</v>
      </c>
      <c r="F197" s="20" t="s">
        <v>806</v>
      </c>
      <c r="G197" s="8" t="str">
        <f t="shared" si="3"/>
        <v>PERKINS DARREN</v>
      </c>
    </row>
    <row r="198" spans="1:7" x14ac:dyDescent="0.25">
      <c r="A198" s="8">
        <v>42889.923067129632</v>
      </c>
      <c r="B198" s="20" t="s">
        <v>504</v>
      </c>
      <c r="C198" s="20" t="s">
        <v>835</v>
      </c>
      <c r="D198" s="141">
        <v>2540000</v>
      </c>
      <c r="E198" s="20" t="s">
        <v>760</v>
      </c>
      <c r="F198" s="20" t="s">
        <v>761</v>
      </c>
      <c r="G198" s="8" t="str">
        <f t="shared" si="3"/>
        <v>MCREYNOLDS KYLE</v>
      </c>
    </row>
    <row r="199" spans="1:7" x14ac:dyDescent="0.25">
      <c r="A199" s="8">
        <v>42889.924062500002</v>
      </c>
      <c r="B199" s="20" t="s">
        <v>474</v>
      </c>
      <c r="C199" s="20" t="s">
        <v>836</v>
      </c>
      <c r="D199" s="141">
        <v>2730000</v>
      </c>
      <c r="E199" s="20" t="s">
        <v>485</v>
      </c>
      <c r="F199" s="20" t="s">
        <v>486</v>
      </c>
      <c r="G199" s="8" t="str">
        <f t="shared" si="3"/>
        <v>YANG JAN</v>
      </c>
    </row>
    <row r="200" spans="1:7" x14ac:dyDescent="0.25">
      <c r="A200" s="8">
        <v>42889.931215277778</v>
      </c>
      <c r="B200" s="20" t="s">
        <v>382</v>
      </c>
      <c r="C200" s="20" t="s">
        <v>837</v>
      </c>
      <c r="D200" s="141">
        <v>3000000</v>
      </c>
      <c r="E200" s="20" t="s">
        <v>448</v>
      </c>
      <c r="F200" s="20" t="s">
        <v>449</v>
      </c>
      <c r="G200" s="8" t="str">
        <f t="shared" si="3"/>
        <v>FORTUNATO FRANK</v>
      </c>
    </row>
    <row r="201" spans="1:7" x14ac:dyDescent="0.25">
      <c r="A201" s="8">
        <v>42889.943692129629</v>
      </c>
      <c r="B201" s="20" t="s">
        <v>502</v>
      </c>
      <c r="C201" s="20" t="s">
        <v>838</v>
      </c>
      <c r="D201" s="141">
        <v>2540000</v>
      </c>
      <c r="E201" s="20" t="s">
        <v>760</v>
      </c>
      <c r="F201" s="20" t="s">
        <v>761</v>
      </c>
      <c r="G201" s="8" t="str">
        <f t="shared" si="3"/>
        <v>MCREYNOLDS KYLE</v>
      </c>
    </row>
    <row r="202" spans="1:7" x14ac:dyDescent="0.25">
      <c r="A202" s="26">
        <v>42889.948159722226</v>
      </c>
      <c r="B202" s="20" t="s">
        <v>438</v>
      </c>
      <c r="C202" s="20" t="s">
        <v>640</v>
      </c>
      <c r="D202" s="141">
        <v>2620000</v>
      </c>
      <c r="E202" s="20" t="s">
        <v>805</v>
      </c>
      <c r="F202" s="20" t="s">
        <v>806</v>
      </c>
      <c r="G202" s="8" t="str">
        <f t="shared" si="3"/>
        <v>PERKINS DARREN</v>
      </c>
    </row>
    <row r="203" spans="1:7" x14ac:dyDescent="0.25">
      <c r="A203" s="8">
        <v>42889.948993055557</v>
      </c>
      <c r="B203" s="20" t="s">
        <v>409</v>
      </c>
      <c r="C203" s="20" t="s">
        <v>839</v>
      </c>
      <c r="D203" s="141">
        <v>3010000</v>
      </c>
      <c r="E203" s="20" t="s">
        <v>401</v>
      </c>
      <c r="F203" s="20" t="s">
        <v>402</v>
      </c>
      <c r="G203" s="8" t="str">
        <f t="shared" si="3"/>
        <v>SULLIVAN BRANDON</v>
      </c>
    </row>
    <row r="204" spans="1:7" x14ac:dyDescent="0.25">
      <c r="A204" s="8">
        <v>42889.950914351852</v>
      </c>
      <c r="B204" s="20" t="s">
        <v>504</v>
      </c>
      <c r="C204" s="20" t="s">
        <v>838</v>
      </c>
      <c r="D204" s="141">
        <v>2540000</v>
      </c>
      <c r="E204" s="20" t="s">
        <v>760</v>
      </c>
      <c r="F204" s="20" t="s">
        <v>761</v>
      </c>
      <c r="G204" s="8" t="str">
        <f t="shared" si="3"/>
        <v>MCREYNOLDS KYLE</v>
      </c>
    </row>
    <row r="205" spans="1:7" x14ac:dyDescent="0.25">
      <c r="A205" s="8">
        <v>42889.951469907406</v>
      </c>
      <c r="B205" s="20" t="s">
        <v>504</v>
      </c>
      <c r="C205" s="20" t="s">
        <v>838</v>
      </c>
      <c r="D205" s="141">
        <v>2540000</v>
      </c>
      <c r="E205" s="20" t="s">
        <v>760</v>
      </c>
      <c r="F205" s="20" t="s">
        <v>761</v>
      </c>
      <c r="G205" s="8" t="str">
        <f t="shared" si="3"/>
        <v>MCREYNOLDS KYLE</v>
      </c>
    </row>
    <row r="206" spans="1:7" x14ac:dyDescent="0.25">
      <c r="A206" s="8">
        <v>42889.95239583333</v>
      </c>
      <c r="B206" s="20" t="s">
        <v>504</v>
      </c>
      <c r="C206" s="20" t="s">
        <v>838</v>
      </c>
      <c r="D206" s="141">
        <v>2540000</v>
      </c>
      <c r="E206" s="20" t="s">
        <v>760</v>
      </c>
      <c r="F206" s="20" t="s">
        <v>761</v>
      </c>
      <c r="G206" s="8" t="str">
        <f t="shared" si="3"/>
        <v>MCREYNOLDS KYLE</v>
      </c>
    </row>
    <row r="207" spans="1:7" x14ac:dyDescent="0.25">
      <c r="A207" s="8">
        <v>42889.97351851852</v>
      </c>
      <c r="B207" s="20" t="s">
        <v>376</v>
      </c>
      <c r="C207" s="20" t="s">
        <v>840</v>
      </c>
      <c r="D207" s="141">
        <v>3000000</v>
      </c>
      <c r="E207" s="20" t="s">
        <v>448</v>
      </c>
      <c r="F207" s="20" t="s">
        <v>449</v>
      </c>
      <c r="G207" s="8" t="str">
        <f t="shared" si="3"/>
        <v>FORTUNATO FRANK</v>
      </c>
    </row>
    <row r="208" spans="1:7" x14ac:dyDescent="0.25">
      <c r="A208" s="8">
        <v>42889.973993055559</v>
      </c>
      <c r="B208" s="20" t="s">
        <v>465</v>
      </c>
      <c r="C208" s="20" t="s">
        <v>841</v>
      </c>
      <c r="D208" s="141">
        <v>2730000</v>
      </c>
      <c r="E208" s="20" t="s">
        <v>485</v>
      </c>
      <c r="F208" s="20" t="s">
        <v>486</v>
      </c>
      <c r="G208" s="8" t="str">
        <f t="shared" si="3"/>
        <v>YANG JAN</v>
      </c>
    </row>
    <row r="209" spans="1:7" x14ac:dyDescent="0.25">
      <c r="A209" s="8">
        <v>42889.991909722223</v>
      </c>
      <c r="B209" s="20" t="s">
        <v>542</v>
      </c>
      <c r="C209" s="20" t="s">
        <v>842</v>
      </c>
      <c r="D209" s="141">
        <v>3010000</v>
      </c>
      <c r="E209" s="20" t="s">
        <v>401</v>
      </c>
      <c r="F209" s="20" t="s">
        <v>402</v>
      </c>
      <c r="G209" s="8" t="str">
        <f t="shared" si="3"/>
        <v>SULLIVAN BRANDON</v>
      </c>
    </row>
    <row r="210" spans="1:7" x14ac:dyDescent="0.25">
      <c r="A210" s="8">
        <v>42889.991967592592</v>
      </c>
      <c r="B210" s="20" t="s">
        <v>425</v>
      </c>
      <c r="C210" s="20" t="s">
        <v>843</v>
      </c>
      <c r="D210" s="141">
        <v>2620000</v>
      </c>
      <c r="E210" s="20" t="s">
        <v>805</v>
      </c>
      <c r="F210" s="20" t="s">
        <v>806</v>
      </c>
      <c r="G210" s="8" t="str">
        <f t="shared" si="3"/>
        <v>PERKINS DARREN</v>
      </c>
    </row>
    <row r="211" spans="1:7" x14ac:dyDescent="0.25">
      <c r="A211" s="8">
        <v>42890.006284722222</v>
      </c>
      <c r="B211" s="20" t="s">
        <v>382</v>
      </c>
      <c r="C211" s="20" t="s">
        <v>844</v>
      </c>
      <c r="D211" s="141">
        <v>3000000</v>
      </c>
      <c r="E211" s="20" t="s">
        <v>448</v>
      </c>
      <c r="F211" s="20" t="s">
        <v>449</v>
      </c>
      <c r="G211" s="8" t="str">
        <f t="shared" si="3"/>
        <v>FORTUNATO FRANK</v>
      </c>
    </row>
    <row r="212" spans="1:7" x14ac:dyDescent="0.25">
      <c r="A212" s="8">
        <v>42890.013680555552</v>
      </c>
      <c r="B212" s="20" t="s">
        <v>474</v>
      </c>
      <c r="C212" s="20" t="s">
        <v>845</v>
      </c>
      <c r="D212" s="141">
        <v>2730000</v>
      </c>
      <c r="E212" s="20" t="s">
        <v>485</v>
      </c>
      <c r="F212" s="20" t="s">
        <v>486</v>
      </c>
      <c r="G212" s="8" t="str">
        <f t="shared" si="3"/>
        <v>YANG JAN</v>
      </c>
    </row>
    <row r="213" spans="1:7" x14ac:dyDescent="0.25">
      <c r="A213" s="8">
        <v>42890.034363425926</v>
      </c>
      <c r="B213" s="20" t="s">
        <v>409</v>
      </c>
      <c r="C213" s="20" t="s">
        <v>846</v>
      </c>
      <c r="D213" s="141">
        <v>3010000</v>
      </c>
      <c r="E213" s="20" t="s">
        <v>401</v>
      </c>
      <c r="F213" s="20" t="s">
        <v>402</v>
      </c>
      <c r="G213" s="8" t="str">
        <f t="shared" si="3"/>
        <v>SULLIVAN BRANDON</v>
      </c>
    </row>
    <row r="214" spans="1:7" x14ac:dyDescent="0.25">
      <c r="A214" s="8">
        <v>42890.037303240744</v>
      </c>
      <c r="B214" s="20" t="s">
        <v>438</v>
      </c>
      <c r="C214" s="20" t="s">
        <v>641</v>
      </c>
      <c r="D214" s="141">
        <v>2620000</v>
      </c>
      <c r="E214" s="20" t="s">
        <v>805</v>
      </c>
      <c r="F214" s="20" t="s">
        <v>806</v>
      </c>
      <c r="G214" s="8" t="str">
        <f t="shared" si="3"/>
        <v>PERKINS DARREN</v>
      </c>
    </row>
    <row r="215" spans="1:7" x14ac:dyDescent="0.25">
      <c r="A215" s="8">
        <v>42890.047754629632</v>
      </c>
      <c r="B215" s="20" t="s">
        <v>465</v>
      </c>
      <c r="C215" s="20" t="s">
        <v>847</v>
      </c>
      <c r="D215" s="141">
        <v>2730000</v>
      </c>
      <c r="E215" s="20" t="s">
        <v>485</v>
      </c>
      <c r="F215" s="20" t="s">
        <v>486</v>
      </c>
      <c r="G215" s="8" t="str">
        <f t="shared" si="3"/>
        <v>YANG JAN</v>
      </c>
    </row>
    <row r="216" spans="1:7" x14ac:dyDescent="0.25">
      <c r="A216" s="8">
        <v>42890.048634259256</v>
      </c>
      <c r="B216" s="20" t="s">
        <v>376</v>
      </c>
      <c r="C216" s="20" t="s">
        <v>848</v>
      </c>
      <c r="D216" s="141">
        <v>3000000</v>
      </c>
      <c r="E216" s="20" t="s">
        <v>448</v>
      </c>
      <c r="F216" s="20" t="s">
        <v>449</v>
      </c>
      <c r="G216" s="8" t="str">
        <f t="shared" si="3"/>
        <v>FORTUNATO FRANK</v>
      </c>
    </row>
    <row r="217" spans="1:7" x14ac:dyDescent="0.25">
      <c r="A217" s="8">
        <v>42890.068414351852</v>
      </c>
      <c r="B217" s="20" t="s">
        <v>425</v>
      </c>
      <c r="C217" s="20" t="s">
        <v>849</v>
      </c>
      <c r="D217" s="141">
        <v>2620000</v>
      </c>
      <c r="E217" s="20" t="s">
        <v>805</v>
      </c>
      <c r="F217" s="20" t="s">
        <v>806</v>
      </c>
      <c r="G217" s="8" t="str">
        <f t="shared" si="3"/>
        <v>PERKINS DARREN</v>
      </c>
    </row>
    <row r="218" spans="1:7" x14ac:dyDescent="0.25">
      <c r="A218" s="8">
        <v>42890.075775462959</v>
      </c>
      <c r="B218" s="20" t="s">
        <v>542</v>
      </c>
      <c r="C218" s="20" t="s">
        <v>850</v>
      </c>
      <c r="D218" s="141">
        <v>3010000</v>
      </c>
      <c r="E218" s="20" t="s">
        <v>401</v>
      </c>
      <c r="F218" s="20" t="s">
        <v>402</v>
      </c>
      <c r="G218" s="8" t="str">
        <f t="shared" si="3"/>
        <v>SULLIVAN BRANDON</v>
      </c>
    </row>
    <row r="219" spans="1:7" x14ac:dyDescent="0.25">
      <c r="A219" s="8">
        <v>42890.089641203704</v>
      </c>
      <c r="B219" s="20" t="s">
        <v>382</v>
      </c>
      <c r="C219" s="20" t="s">
        <v>851</v>
      </c>
      <c r="D219" s="141">
        <v>3000000</v>
      </c>
      <c r="E219" s="20" t="s">
        <v>448</v>
      </c>
      <c r="F219" s="20" t="s">
        <v>449</v>
      </c>
      <c r="G219" s="8" t="str">
        <f t="shared" si="3"/>
        <v>FORTUNATO FRANK</v>
      </c>
    </row>
    <row r="220" spans="1:7" x14ac:dyDescent="0.25">
      <c r="A220" s="8">
        <v>42890.110798611109</v>
      </c>
      <c r="B220" s="20" t="s">
        <v>409</v>
      </c>
      <c r="C220" s="20" t="s">
        <v>852</v>
      </c>
      <c r="D220" s="141">
        <v>3010000</v>
      </c>
      <c r="E220" s="20" t="s">
        <v>401</v>
      </c>
      <c r="F220" s="20" t="s">
        <v>402</v>
      </c>
      <c r="G220" s="8" t="str">
        <f t="shared" si="3"/>
        <v>SULLIVAN BRANDON</v>
      </c>
    </row>
    <row r="221" spans="1:7" x14ac:dyDescent="0.25">
      <c r="A221" s="8">
        <v>42890.113703703704</v>
      </c>
      <c r="B221" s="20" t="s">
        <v>483</v>
      </c>
      <c r="C221" s="20" t="s">
        <v>853</v>
      </c>
      <c r="D221" s="141">
        <v>2010000</v>
      </c>
      <c r="E221" s="20" t="s">
        <v>854</v>
      </c>
      <c r="F221" s="20" t="s">
        <v>855</v>
      </c>
      <c r="G221" s="8" t="str">
        <f t="shared" si="3"/>
        <v>MAELZER KURT</v>
      </c>
    </row>
    <row r="222" spans="1:7" x14ac:dyDescent="0.25">
      <c r="A222" s="8">
        <v>42887.844618055555</v>
      </c>
      <c r="B222" s="20" t="s">
        <v>446</v>
      </c>
      <c r="C222" s="20" t="s">
        <v>554</v>
      </c>
      <c r="D222" s="141">
        <v>3120000</v>
      </c>
      <c r="E222" s="20" t="s">
        <v>545</v>
      </c>
      <c r="F222" s="20" t="s">
        <v>546</v>
      </c>
      <c r="G222" s="8" t="str">
        <f t="shared" si="3"/>
        <v>THOMPSON LESTER</v>
      </c>
    </row>
    <row r="223" spans="1:7" x14ac:dyDescent="0.25">
      <c r="A223" s="8">
        <v>42887.844756944447</v>
      </c>
      <c r="B223" s="20" t="s">
        <v>438</v>
      </c>
      <c r="C223" s="20" t="s">
        <v>555</v>
      </c>
      <c r="D223" s="141">
        <v>2230000</v>
      </c>
      <c r="E223" s="20" t="s">
        <v>344</v>
      </c>
      <c r="F223" s="20" t="s">
        <v>194</v>
      </c>
      <c r="G223" s="8" t="str">
        <f t="shared" si="3"/>
        <v>SMITH MICHAEL</v>
      </c>
    </row>
    <row r="224" spans="1:7" x14ac:dyDescent="0.25">
      <c r="A224" s="8">
        <v>42887.847986111112</v>
      </c>
      <c r="B224" t="s">
        <v>409</v>
      </c>
      <c r="C224" t="s">
        <v>556</v>
      </c>
      <c r="D224" s="141">
        <v>3000000</v>
      </c>
      <c r="E224" t="s">
        <v>448</v>
      </c>
      <c r="F224" s="20" t="s">
        <v>449</v>
      </c>
      <c r="G224" s="8" t="str">
        <f t="shared" si="3"/>
        <v>FORTUNATO FRANK</v>
      </c>
    </row>
    <row r="225" spans="1:7" x14ac:dyDescent="0.25">
      <c r="A225" s="8">
        <v>42887.860324074078</v>
      </c>
      <c r="B225" t="s">
        <v>444</v>
      </c>
      <c r="C225" t="s">
        <v>538</v>
      </c>
      <c r="D225" s="141">
        <v>3120000</v>
      </c>
      <c r="E225" t="s">
        <v>545</v>
      </c>
      <c r="F225" s="20" t="s">
        <v>546</v>
      </c>
      <c r="G225" s="8" t="str">
        <f t="shared" si="3"/>
        <v>THOMPSON LESTER</v>
      </c>
    </row>
    <row r="226" spans="1:7" x14ac:dyDescent="0.25">
      <c r="A226" s="8">
        <v>42887.869363425925</v>
      </c>
      <c r="B226" t="s">
        <v>503</v>
      </c>
      <c r="C226" t="s">
        <v>557</v>
      </c>
      <c r="D226" s="141">
        <v>2440000</v>
      </c>
      <c r="E226" t="s">
        <v>550</v>
      </c>
      <c r="F226" s="20" t="s">
        <v>551</v>
      </c>
      <c r="G226" s="8" t="str">
        <f t="shared" si="3"/>
        <v>LOPES KIMBERLY</v>
      </c>
    </row>
    <row r="227" spans="1:7" x14ac:dyDescent="0.25">
      <c r="A227" s="8">
        <v>42887.869490740741</v>
      </c>
      <c r="B227" t="s">
        <v>474</v>
      </c>
      <c r="C227" t="s">
        <v>539</v>
      </c>
      <c r="D227" s="141">
        <v>2140000</v>
      </c>
      <c r="E227" t="s">
        <v>423</v>
      </c>
      <c r="F227" s="20" t="s">
        <v>424</v>
      </c>
      <c r="G227" s="8" t="str">
        <f t="shared" si="3"/>
        <v>ROBINSON KADDIBA</v>
      </c>
    </row>
    <row r="228" spans="1:7" x14ac:dyDescent="0.25">
      <c r="A228" s="8">
        <v>42887.874097222222</v>
      </c>
      <c r="B228" t="s">
        <v>369</v>
      </c>
      <c r="C228" t="s">
        <v>553</v>
      </c>
      <c r="D228" s="141">
        <v>2630000</v>
      </c>
      <c r="E228" t="s">
        <v>488</v>
      </c>
      <c r="F228" s="20" t="s">
        <v>489</v>
      </c>
      <c r="G228" s="8" t="str">
        <f t="shared" si="3"/>
        <v>SAFIEF AEIMEN</v>
      </c>
    </row>
    <row r="229" spans="1:7" x14ac:dyDescent="0.25">
      <c r="A229" s="8">
        <v>42887.8825462963</v>
      </c>
      <c r="B229" t="s">
        <v>542</v>
      </c>
      <c r="C229" t="s">
        <v>558</v>
      </c>
      <c r="D229" s="141">
        <v>3000000</v>
      </c>
      <c r="E229" t="s">
        <v>448</v>
      </c>
      <c r="F229" s="20" t="s">
        <v>449</v>
      </c>
      <c r="G229" s="8" t="str">
        <f t="shared" si="3"/>
        <v>FORTUNATO FRANK</v>
      </c>
    </row>
    <row r="230" spans="1:7" x14ac:dyDescent="0.25">
      <c r="A230" s="8">
        <v>42887.883946759262</v>
      </c>
      <c r="B230" t="s">
        <v>425</v>
      </c>
      <c r="C230" t="s">
        <v>559</v>
      </c>
      <c r="D230" s="141">
        <v>2230000</v>
      </c>
      <c r="E230" t="s">
        <v>344</v>
      </c>
      <c r="F230" s="20" t="s">
        <v>194</v>
      </c>
      <c r="G230" s="8" t="str">
        <f t="shared" si="3"/>
        <v>SMITH MICHAEL</v>
      </c>
    </row>
    <row r="231" spans="1:7" x14ac:dyDescent="0.25">
      <c r="A231" s="8">
        <v>42887.886574074073</v>
      </c>
      <c r="B231" t="s">
        <v>446</v>
      </c>
      <c r="C231" t="s">
        <v>560</v>
      </c>
      <c r="D231" s="141">
        <v>2040000</v>
      </c>
      <c r="E231" t="s">
        <v>508</v>
      </c>
      <c r="F231" s="20" t="s">
        <v>509</v>
      </c>
      <c r="G231" s="8" t="str">
        <f t="shared" si="3"/>
        <v>MOSES BRADLEY</v>
      </c>
    </row>
    <row r="232" spans="1:7" x14ac:dyDescent="0.25">
      <c r="A232" s="8">
        <v>42887.901192129626</v>
      </c>
      <c r="B232" t="s">
        <v>444</v>
      </c>
      <c r="C232" t="s">
        <v>561</v>
      </c>
      <c r="D232" s="141">
        <v>2040000</v>
      </c>
      <c r="E232" t="s">
        <v>508</v>
      </c>
      <c r="F232" s="20" t="s">
        <v>509</v>
      </c>
      <c r="G232" s="8" t="str">
        <f t="shared" si="3"/>
        <v>MOSES BRADLEY</v>
      </c>
    </row>
    <row r="233" spans="1:7" x14ac:dyDescent="0.25">
      <c r="A233" s="8">
        <v>42887.902291666665</v>
      </c>
      <c r="B233" t="s">
        <v>465</v>
      </c>
      <c r="C233" t="s">
        <v>562</v>
      </c>
      <c r="D233" s="141">
        <v>2140000</v>
      </c>
      <c r="E233" t="s">
        <v>423</v>
      </c>
      <c r="F233" s="20" t="s">
        <v>424</v>
      </c>
      <c r="G233" s="8" t="str">
        <f t="shared" si="3"/>
        <v>ROBINSON KADDIBA</v>
      </c>
    </row>
    <row r="234" spans="1:7" x14ac:dyDescent="0.25">
      <c r="A234" s="8">
        <v>42887.907349537039</v>
      </c>
      <c r="B234" t="s">
        <v>501</v>
      </c>
      <c r="C234" t="s">
        <v>563</v>
      </c>
      <c r="D234" s="141">
        <v>2440000</v>
      </c>
      <c r="E234" t="s">
        <v>550</v>
      </c>
      <c r="F234" s="20" t="s">
        <v>551</v>
      </c>
      <c r="G234" s="8" t="str">
        <f t="shared" si="3"/>
        <v>LOPES KIMBERLY</v>
      </c>
    </row>
    <row r="235" spans="1:7" x14ac:dyDescent="0.25">
      <c r="A235" s="8">
        <v>42887.919178240743</v>
      </c>
      <c r="B235" t="s">
        <v>370</v>
      </c>
      <c r="C235" t="s">
        <v>552</v>
      </c>
      <c r="D235" s="141">
        <v>2630000</v>
      </c>
      <c r="E235" t="s">
        <v>488</v>
      </c>
      <c r="F235" s="20" t="s">
        <v>489</v>
      </c>
      <c r="G235" s="8" t="str">
        <f t="shared" si="3"/>
        <v>SAFIEF AEIMEN</v>
      </c>
    </row>
    <row r="236" spans="1:7" x14ac:dyDescent="0.25">
      <c r="A236" s="8">
        <v>42887.923032407409</v>
      </c>
      <c r="B236" t="s">
        <v>409</v>
      </c>
      <c r="C236" t="s">
        <v>564</v>
      </c>
      <c r="D236" s="141">
        <v>3000000</v>
      </c>
      <c r="E236" t="s">
        <v>448</v>
      </c>
      <c r="F236" s="20" t="s">
        <v>449</v>
      </c>
      <c r="G236" s="8" t="str">
        <f t="shared" si="3"/>
        <v>FORTUNATO FRANK</v>
      </c>
    </row>
    <row r="237" spans="1:7" x14ac:dyDescent="0.25">
      <c r="A237" s="8">
        <v>42887.926469907405</v>
      </c>
      <c r="B237" t="s">
        <v>446</v>
      </c>
      <c r="C237" t="s">
        <v>565</v>
      </c>
      <c r="D237" s="141">
        <v>2040000</v>
      </c>
      <c r="E237" t="s">
        <v>508</v>
      </c>
      <c r="F237" s="20" t="s">
        <v>509</v>
      </c>
      <c r="G237" s="8" t="str">
        <f t="shared" si="3"/>
        <v>MOSES BRADLEY</v>
      </c>
    </row>
    <row r="238" spans="1:7" x14ac:dyDescent="0.25">
      <c r="A238" s="8">
        <v>42887.930451388886</v>
      </c>
      <c r="B238" t="s">
        <v>438</v>
      </c>
      <c r="C238" t="s">
        <v>566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42887.942812499998</v>
      </c>
      <c r="B239" t="s">
        <v>444</v>
      </c>
      <c r="C239" t="s">
        <v>567</v>
      </c>
      <c r="D239" s="141">
        <v>2040000</v>
      </c>
      <c r="E239" t="s">
        <v>508</v>
      </c>
      <c r="F239" s="20" t="s">
        <v>509</v>
      </c>
      <c r="G239" s="8" t="str">
        <f t="shared" si="3"/>
        <v>MOSES BRADLEY</v>
      </c>
    </row>
    <row r="240" spans="1:7" x14ac:dyDescent="0.25">
      <c r="A240" s="8">
        <v>42887.95071759259</v>
      </c>
      <c r="B240" t="s">
        <v>474</v>
      </c>
      <c r="C240" t="s">
        <v>540</v>
      </c>
      <c r="D240" s="141">
        <v>2140000</v>
      </c>
      <c r="E240" t="s">
        <v>423</v>
      </c>
      <c r="F240" s="20" t="s">
        <v>424</v>
      </c>
      <c r="G240" s="8" t="str">
        <f t="shared" si="3"/>
        <v>ROBINSON KADDIBA</v>
      </c>
    </row>
    <row r="241" spans="1:7" x14ac:dyDescent="0.25">
      <c r="A241" s="8">
        <v>42887.953657407408</v>
      </c>
      <c r="B241" t="s">
        <v>503</v>
      </c>
      <c r="C241" t="s">
        <v>568</v>
      </c>
      <c r="D241" s="141">
        <v>2440000</v>
      </c>
      <c r="E241" t="s">
        <v>550</v>
      </c>
      <c r="F241" s="20" t="s">
        <v>551</v>
      </c>
      <c r="G241" s="8" t="str">
        <f t="shared" si="3"/>
        <v>LOPES KIMBERLY</v>
      </c>
    </row>
    <row r="242" spans="1:7" x14ac:dyDescent="0.25">
      <c r="A242" s="8">
        <v>42887.960127314815</v>
      </c>
      <c r="B242" t="s">
        <v>369</v>
      </c>
      <c r="C242" t="s">
        <v>553</v>
      </c>
      <c r="D242" s="141">
        <v>2630000</v>
      </c>
      <c r="E242" t="s">
        <v>488</v>
      </c>
      <c r="F242" s="20" t="s">
        <v>489</v>
      </c>
      <c r="G242" s="8" t="str">
        <f t="shared" si="3"/>
        <v>SAFIEF AEIMEN</v>
      </c>
    </row>
    <row r="243" spans="1:7" x14ac:dyDescent="0.25">
      <c r="A243" s="8">
        <v>42887.970821759256</v>
      </c>
      <c r="B243" t="s">
        <v>542</v>
      </c>
      <c r="C243" t="s">
        <v>569</v>
      </c>
      <c r="D243" s="141">
        <v>3000000</v>
      </c>
      <c r="E243" t="s">
        <v>448</v>
      </c>
      <c r="F243" s="20" t="s">
        <v>449</v>
      </c>
      <c r="G243" s="8" t="str">
        <f t="shared" si="3"/>
        <v>FORTUNATO FRANK</v>
      </c>
    </row>
    <row r="244" spans="1:7" x14ac:dyDescent="0.25">
      <c r="A244" s="8">
        <v>42887.971215277779</v>
      </c>
      <c r="B244" t="s">
        <v>425</v>
      </c>
      <c r="C244" t="s">
        <v>570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42887.988576388889</v>
      </c>
      <c r="B245" t="s">
        <v>465</v>
      </c>
      <c r="C245" t="s">
        <v>571</v>
      </c>
      <c r="D245" s="141">
        <v>2140000</v>
      </c>
      <c r="E245" t="s">
        <v>423</v>
      </c>
      <c r="F245" s="20" t="s">
        <v>424</v>
      </c>
      <c r="G245" s="8" t="str">
        <f t="shared" si="3"/>
        <v>ROBINSON KADDIBA</v>
      </c>
    </row>
    <row r="246" spans="1:7" x14ac:dyDescent="0.25">
      <c r="A246" s="8">
        <v>42887.993425925924</v>
      </c>
      <c r="B246" t="s">
        <v>501</v>
      </c>
      <c r="C246" t="s">
        <v>572</v>
      </c>
      <c r="D246" s="141">
        <v>2440000</v>
      </c>
      <c r="E246" t="s">
        <v>550</v>
      </c>
      <c r="F246" s="20" t="s">
        <v>551</v>
      </c>
      <c r="G246" s="8" t="str">
        <f t="shared" si="3"/>
        <v>LOPES KIMBERLY</v>
      </c>
    </row>
    <row r="247" spans="1:7" x14ac:dyDescent="0.25">
      <c r="A247" s="8">
        <v>42888.002986111111</v>
      </c>
      <c r="B247" t="s">
        <v>370</v>
      </c>
      <c r="C247" t="s">
        <v>552</v>
      </c>
      <c r="D247" s="141">
        <v>2630000</v>
      </c>
      <c r="E247" t="s">
        <v>488</v>
      </c>
      <c r="F247" s="20" t="s">
        <v>489</v>
      </c>
      <c r="G247" s="8" t="str">
        <f t="shared" si="3"/>
        <v>SAFIEF AEIMEN</v>
      </c>
    </row>
    <row r="248" spans="1:7" x14ac:dyDescent="0.25">
      <c r="A248" s="8">
        <v>42888.006828703707</v>
      </c>
      <c r="B248" t="s">
        <v>409</v>
      </c>
      <c r="C248" t="s">
        <v>573</v>
      </c>
      <c r="D248" s="141">
        <v>3000000</v>
      </c>
      <c r="E248" t="s">
        <v>448</v>
      </c>
      <c r="F248" s="20" t="s">
        <v>449</v>
      </c>
      <c r="G248" s="8" t="str">
        <f t="shared" si="3"/>
        <v>FORTUNATO FRANK</v>
      </c>
    </row>
    <row r="249" spans="1:7" x14ac:dyDescent="0.25">
      <c r="A249" s="8">
        <v>42888.011319444442</v>
      </c>
      <c r="B249" t="s">
        <v>438</v>
      </c>
      <c r="C249" t="s">
        <v>541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42888.024872685186</v>
      </c>
      <c r="B250" t="s">
        <v>409</v>
      </c>
      <c r="C250" t="s">
        <v>573</v>
      </c>
      <c r="D250" s="141">
        <v>3000000</v>
      </c>
      <c r="E250" t="s">
        <v>448</v>
      </c>
      <c r="F250" s="20" t="s">
        <v>449</v>
      </c>
      <c r="G250" s="8" t="str">
        <f t="shared" si="3"/>
        <v>FORTUNATO FRANK</v>
      </c>
    </row>
    <row r="251" spans="1:7" x14ac:dyDescent="0.25">
      <c r="A251" s="8">
        <v>42888.026782407411</v>
      </c>
      <c r="B251" t="s">
        <v>503</v>
      </c>
      <c r="C251" t="s">
        <v>574</v>
      </c>
      <c r="D251" s="141">
        <v>2440000</v>
      </c>
      <c r="E251" t="s">
        <v>550</v>
      </c>
      <c r="F251" s="20" t="s">
        <v>551</v>
      </c>
      <c r="G251" s="8" t="str">
        <f t="shared" si="3"/>
        <v>LOPES KIMBERLY</v>
      </c>
    </row>
    <row r="252" spans="1:7" x14ac:dyDescent="0.25">
      <c r="A252" s="8">
        <v>42888.032638888886</v>
      </c>
      <c r="B252" t="s">
        <v>474</v>
      </c>
      <c r="C252" t="s">
        <v>575</v>
      </c>
      <c r="D252" s="141">
        <v>2140000</v>
      </c>
      <c r="E252" t="s">
        <v>423</v>
      </c>
      <c r="F252" s="20" t="s">
        <v>424</v>
      </c>
      <c r="G252" s="8" t="str">
        <f t="shared" si="3"/>
        <v>ROBINSON KADDIBA</v>
      </c>
    </row>
    <row r="253" spans="1:7" x14ac:dyDescent="0.25">
      <c r="A253" s="8">
        <v>42888.038900462961</v>
      </c>
      <c r="B253" t="s">
        <v>369</v>
      </c>
      <c r="C253" t="s">
        <v>553</v>
      </c>
      <c r="D253" s="141">
        <v>2630000</v>
      </c>
      <c r="E253" t="s">
        <v>488</v>
      </c>
      <c r="F253" s="20" t="s">
        <v>489</v>
      </c>
      <c r="G253" s="8" t="str">
        <f t="shared" si="3"/>
        <v>SAFIEF AEIMEN</v>
      </c>
    </row>
    <row r="254" spans="1:7" x14ac:dyDescent="0.25">
      <c r="A254" s="8">
        <v>42888.047164351854</v>
      </c>
      <c r="B254" t="s">
        <v>425</v>
      </c>
      <c r="C254" t="s">
        <v>576</v>
      </c>
      <c r="D254" s="141">
        <v>2230000</v>
      </c>
      <c r="E254" t="s">
        <v>344</v>
      </c>
      <c r="F254" s="20" t="s">
        <v>194</v>
      </c>
      <c r="G254" s="8" t="str">
        <f t="shared" si="3"/>
        <v>SMITH MICHAEL</v>
      </c>
    </row>
    <row r="255" spans="1:7" x14ac:dyDescent="0.25">
      <c r="A255" s="8">
        <v>42888.047743055555</v>
      </c>
      <c r="B255" t="s">
        <v>425</v>
      </c>
      <c r="C255" t="s">
        <v>576</v>
      </c>
      <c r="D255" s="141">
        <v>2230000</v>
      </c>
      <c r="E255" t="s">
        <v>344</v>
      </c>
      <c r="F255" s="20" t="s">
        <v>194</v>
      </c>
      <c r="G255" s="8" t="str">
        <f t="shared" si="3"/>
        <v>SMITH MICHAEL</v>
      </c>
    </row>
    <row r="256" spans="1:7" x14ac:dyDescent="0.25">
      <c r="A256" s="8">
        <v>42888.049247685187</v>
      </c>
      <c r="B256" t="s">
        <v>425</v>
      </c>
      <c r="C256" t="s">
        <v>576</v>
      </c>
      <c r="D256" s="141">
        <v>2230000</v>
      </c>
      <c r="E256" t="s">
        <v>344</v>
      </c>
      <c r="F256" s="20" t="s">
        <v>194</v>
      </c>
      <c r="G256" s="8" t="str">
        <f t="shared" si="3"/>
        <v>SMITH MICHAEL</v>
      </c>
    </row>
    <row r="257" spans="1:7" x14ac:dyDescent="0.25">
      <c r="A257" s="8">
        <v>42888.049837962964</v>
      </c>
      <c r="B257" t="s">
        <v>542</v>
      </c>
      <c r="C257" t="s">
        <v>577</v>
      </c>
      <c r="D257" s="141">
        <v>3000000</v>
      </c>
      <c r="E257" t="s">
        <v>448</v>
      </c>
      <c r="F257" s="20" t="s">
        <v>449</v>
      </c>
      <c r="G257" s="8" t="str">
        <f t="shared" si="3"/>
        <v>FORTUNATO FRANK</v>
      </c>
    </row>
    <row r="258" spans="1:7" x14ac:dyDescent="0.25">
      <c r="A258" s="8">
        <v>42888.050381944442</v>
      </c>
      <c r="B258" t="s">
        <v>425</v>
      </c>
      <c r="C258" t="s">
        <v>576</v>
      </c>
      <c r="D258" s="141">
        <v>2230000</v>
      </c>
      <c r="E258" t="s">
        <v>344</v>
      </c>
      <c r="F258" s="20" t="s">
        <v>194</v>
      </c>
      <c r="G258" s="8" t="str">
        <f t="shared" si="3"/>
        <v>SMITH MICHAEL</v>
      </c>
    </row>
    <row r="259" spans="1:7" x14ac:dyDescent="0.25">
      <c r="A259" s="8">
        <v>42888.069907407407</v>
      </c>
      <c r="B259" t="s">
        <v>465</v>
      </c>
      <c r="C259" t="s">
        <v>578</v>
      </c>
      <c r="D259" s="141">
        <v>2140000</v>
      </c>
      <c r="E259" t="s">
        <v>423</v>
      </c>
      <c r="F259" s="20" t="s">
        <v>424</v>
      </c>
      <c r="G259" s="8" t="str">
        <f t="shared" ref="G259:G322" si="4">E259&amp;" "&amp;F259</f>
        <v>ROBINSON KADDIBA</v>
      </c>
    </row>
    <row r="260" spans="1:7" x14ac:dyDescent="0.25">
      <c r="A260" s="8">
        <v>42888.081956018519</v>
      </c>
      <c r="B260" t="s">
        <v>370</v>
      </c>
      <c r="C260" t="s">
        <v>552</v>
      </c>
      <c r="D260" s="141">
        <v>2630000</v>
      </c>
      <c r="E260" t="s">
        <v>488</v>
      </c>
      <c r="F260" s="20" t="s">
        <v>489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483</v>
      </c>
      <c r="C261" t="s">
        <v>579</v>
      </c>
      <c r="D261" s="141">
        <v>910000</v>
      </c>
      <c r="E261" t="s">
        <v>580</v>
      </c>
      <c r="F261" s="20" t="s">
        <v>581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483</v>
      </c>
      <c r="C262" t="s">
        <v>579</v>
      </c>
      <c r="D262" s="141">
        <v>910000</v>
      </c>
      <c r="E262" t="s">
        <v>580</v>
      </c>
      <c r="F262" s="20" t="s">
        <v>581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409</v>
      </c>
      <c r="C263" t="s">
        <v>582</v>
      </c>
      <c r="D263" s="141">
        <v>3000000</v>
      </c>
      <c r="E263" t="s">
        <v>448</v>
      </c>
      <c r="F263" s="20" t="s">
        <v>449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484</v>
      </c>
      <c r="C264" t="s">
        <v>579</v>
      </c>
      <c r="D264" s="141">
        <v>910000</v>
      </c>
      <c r="E264" t="s">
        <v>580</v>
      </c>
      <c r="F264" s="20" t="s">
        <v>581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427</v>
      </c>
      <c r="C265" t="s">
        <v>452</v>
      </c>
      <c r="D265" s="141">
        <v>2140000</v>
      </c>
      <c r="E265" t="s">
        <v>423</v>
      </c>
      <c r="F265" s="20" t="s">
        <v>424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380</v>
      </c>
      <c r="C266" t="s">
        <v>451</v>
      </c>
      <c r="D266" s="141">
        <v>2000000</v>
      </c>
      <c r="E266" t="s">
        <v>428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446</v>
      </c>
      <c r="C267" t="s">
        <v>453</v>
      </c>
      <c r="D267" s="141">
        <v>3000000</v>
      </c>
      <c r="E267" t="s">
        <v>448</v>
      </c>
      <c r="F267" s="20" t="s">
        <v>449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407</v>
      </c>
      <c r="C268" t="s">
        <v>445</v>
      </c>
      <c r="D268" s="141">
        <v>2680000</v>
      </c>
      <c r="E268" t="s">
        <v>430</v>
      </c>
      <c r="F268" s="20" t="s">
        <v>431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454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447</v>
      </c>
      <c r="C270" t="s">
        <v>455</v>
      </c>
      <c r="D270" s="141">
        <v>2610000</v>
      </c>
      <c r="E270" t="s">
        <v>432</v>
      </c>
      <c r="F270" s="20" t="s">
        <v>433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456</v>
      </c>
      <c r="D271" s="141">
        <v>2140000</v>
      </c>
      <c r="E271" t="s">
        <v>423</v>
      </c>
      <c r="F271" s="20" t="s">
        <v>424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444</v>
      </c>
      <c r="C272" t="s">
        <v>457</v>
      </c>
      <c r="D272" s="141">
        <v>3000000</v>
      </c>
      <c r="E272" t="s">
        <v>448</v>
      </c>
      <c r="F272" s="20" t="s">
        <v>449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408</v>
      </c>
      <c r="C273" t="s">
        <v>450</v>
      </c>
      <c r="D273" s="141">
        <v>2680000</v>
      </c>
      <c r="E273" t="s">
        <v>430</v>
      </c>
      <c r="F273" s="20" t="s">
        <v>431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458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443</v>
      </c>
      <c r="C275" t="s">
        <v>459</v>
      </c>
      <c r="D275" s="141">
        <v>2610000</v>
      </c>
      <c r="E275" t="s">
        <v>432</v>
      </c>
      <c r="F275" s="20" t="s">
        <v>433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446</v>
      </c>
      <c r="C276" t="s">
        <v>460</v>
      </c>
      <c r="D276" s="141">
        <v>3000000</v>
      </c>
      <c r="E276" t="s">
        <v>448</v>
      </c>
      <c r="F276" s="20" t="s">
        <v>449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447</v>
      </c>
      <c r="C277" t="s">
        <v>461</v>
      </c>
      <c r="D277" s="141">
        <v>2610000</v>
      </c>
      <c r="E277" t="s">
        <v>432</v>
      </c>
      <c r="F277" s="20" t="s">
        <v>433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411</v>
      </c>
      <c r="C278" t="s">
        <v>412</v>
      </c>
      <c r="D278" s="141">
        <v>2970000</v>
      </c>
      <c r="E278" t="s">
        <v>387</v>
      </c>
      <c r="F278" s="20" t="s">
        <v>388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410</v>
      </c>
      <c r="C279" t="s">
        <v>416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417</v>
      </c>
      <c r="D280" s="141">
        <v>3090000</v>
      </c>
      <c r="E280" t="s">
        <v>383</v>
      </c>
      <c r="F280" s="20" t="s">
        <v>384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408</v>
      </c>
      <c r="C281" t="s">
        <v>413</v>
      </c>
      <c r="D281" s="141">
        <v>3010000</v>
      </c>
      <c r="E281" t="s">
        <v>401</v>
      </c>
      <c r="F281" s="20" t="s">
        <v>402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414</v>
      </c>
      <c r="C282" t="s">
        <v>415</v>
      </c>
      <c r="D282" s="141">
        <v>2970000</v>
      </c>
      <c r="E282" t="s">
        <v>387</v>
      </c>
      <c r="F282" s="20" t="s">
        <v>388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407</v>
      </c>
      <c r="C283" t="s">
        <v>413</v>
      </c>
      <c r="D283" s="141">
        <v>3010000</v>
      </c>
      <c r="E283" t="s">
        <v>401</v>
      </c>
      <c r="F283" s="20" t="s">
        <v>402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409</v>
      </c>
      <c r="C284" t="s">
        <v>418</v>
      </c>
      <c r="D284" s="141">
        <v>3030000</v>
      </c>
      <c r="E284" t="s">
        <v>389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407</v>
      </c>
      <c r="C285" t="s">
        <v>413</v>
      </c>
      <c r="D285" s="141">
        <v>3010000</v>
      </c>
      <c r="E285" t="s">
        <v>401</v>
      </c>
      <c r="F285" s="20" t="s">
        <v>402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411</v>
      </c>
      <c r="C286" t="s">
        <v>412</v>
      </c>
      <c r="D286" s="141">
        <v>2970000</v>
      </c>
      <c r="E286" t="s">
        <v>387</v>
      </c>
      <c r="F286" s="20" t="s">
        <v>388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414</v>
      </c>
      <c r="C287" t="s">
        <v>415</v>
      </c>
      <c r="D287" s="141">
        <v>2970000</v>
      </c>
      <c r="E287" t="s">
        <v>387</v>
      </c>
      <c r="F287" s="20" t="s">
        <v>388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419</v>
      </c>
      <c r="D288" s="141">
        <v>3090000</v>
      </c>
      <c r="E288" t="s">
        <v>383</v>
      </c>
      <c r="F288" s="20" t="s">
        <v>384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411</v>
      </c>
      <c r="C289" t="s">
        <v>412</v>
      </c>
      <c r="D289" s="141">
        <v>2970000</v>
      </c>
      <c r="E289" t="s">
        <v>387</v>
      </c>
      <c r="F289" s="20" t="s">
        <v>388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408</v>
      </c>
      <c r="C290" t="s">
        <v>413</v>
      </c>
      <c r="D290" s="141">
        <v>3010000</v>
      </c>
      <c r="E290" t="s">
        <v>401</v>
      </c>
      <c r="F290" s="20" t="s">
        <v>402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408</v>
      </c>
      <c r="C291" t="s">
        <v>413</v>
      </c>
      <c r="D291" s="141">
        <v>3010000</v>
      </c>
      <c r="E291" t="s">
        <v>401</v>
      </c>
      <c r="F291" s="20" t="s">
        <v>402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408</v>
      </c>
      <c r="C292" t="s">
        <v>413</v>
      </c>
      <c r="D292" s="141">
        <v>3010000</v>
      </c>
      <c r="E292" t="s">
        <v>401</v>
      </c>
      <c r="F292" s="20" t="s">
        <v>402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408</v>
      </c>
      <c r="C293" t="s">
        <v>413</v>
      </c>
      <c r="D293" s="141">
        <v>3010000</v>
      </c>
      <c r="E293" t="s">
        <v>401</v>
      </c>
      <c r="F293" s="20" t="s">
        <v>402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414</v>
      </c>
      <c r="C294" t="s">
        <v>415</v>
      </c>
      <c r="D294" s="141">
        <v>2970000</v>
      </c>
      <c r="E294" t="s">
        <v>387</v>
      </c>
      <c r="F294" s="20" t="s">
        <v>388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394</v>
      </c>
      <c r="D295" s="141">
        <v>1800000</v>
      </c>
      <c r="E295" t="s">
        <v>385</v>
      </c>
      <c r="F295" s="20" t="s">
        <v>386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395</v>
      </c>
      <c r="D296" s="141">
        <v>3030000</v>
      </c>
      <c r="E296" t="s">
        <v>389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382</v>
      </c>
      <c r="C297" t="s">
        <v>378</v>
      </c>
      <c r="D297" s="141">
        <v>2970000</v>
      </c>
      <c r="E297" t="s">
        <v>387</v>
      </c>
      <c r="F297" s="20" t="s">
        <v>388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396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376</v>
      </c>
      <c r="C299" t="s">
        <v>378</v>
      </c>
      <c r="D299" s="141">
        <v>2970000</v>
      </c>
      <c r="E299" t="s">
        <v>387</v>
      </c>
      <c r="F299" s="20" t="s">
        <v>388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377</v>
      </c>
      <c r="C300" t="s">
        <v>381</v>
      </c>
      <c r="D300" s="141">
        <v>3130000</v>
      </c>
      <c r="E300" t="s">
        <v>392</v>
      </c>
      <c r="F300" s="20" t="s">
        <v>393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376</v>
      </c>
      <c r="C301" t="s">
        <v>378</v>
      </c>
      <c r="D301" s="141">
        <v>2970000</v>
      </c>
      <c r="E301" t="s">
        <v>387</v>
      </c>
      <c r="F301" s="20" t="s">
        <v>388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379</v>
      </c>
      <c r="D302" s="141">
        <v>3040000</v>
      </c>
      <c r="E302" t="s">
        <v>390</v>
      </c>
      <c r="F302" s="20" t="s">
        <v>391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379</v>
      </c>
      <c r="D303" s="141">
        <v>3040000</v>
      </c>
      <c r="E303" t="s">
        <v>390</v>
      </c>
      <c r="F303" s="20" t="s">
        <v>391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397</v>
      </c>
      <c r="D304" s="141">
        <v>3030000</v>
      </c>
      <c r="E304" t="s">
        <v>389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382</v>
      </c>
      <c r="C305" t="s">
        <v>378</v>
      </c>
      <c r="D305" s="141">
        <v>2970000</v>
      </c>
      <c r="E305" t="s">
        <v>387</v>
      </c>
      <c r="F305" s="20" t="s">
        <v>388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376</v>
      </c>
      <c r="C306" t="s">
        <v>378</v>
      </c>
      <c r="D306" s="141">
        <v>2970000</v>
      </c>
      <c r="E306" t="s">
        <v>387</v>
      </c>
      <c r="F306" s="20" t="s">
        <v>388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379</v>
      </c>
      <c r="D307" s="141">
        <v>3040000</v>
      </c>
      <c r="E307" t="s">
        <v>390</v>
      </c>
      <c r="F307" s="20" t="s">
        <v>391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380</v>
      </c>
      <c r="C308" t="s">
        <v>398</v>
      </c>
      <c r="D308" s="141">
        <v>3130000</v>
      </c>
      <c r="E308" t="s">
        <v>392</v>
      </c>
      <c r="F308" s="20" t="s">
        <v>393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379</v>
      </c>
      <c r="D309" s="141">
        <v>3040000</v>
      </c>
      <c r="E309" t="s">
        <v>390</v>
      </c>
      <c r="F309" s="20" t="s">
        <v>391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382</v>
      </c>
      <c r="C310" t="s">
        <v>378</v>
      </c>
      <c r="D310" s="141">
        <v>2970000</v>
      </c>
      <c r="E310" t="s">
        <v>387</v>
      </c>
      <c r="F310" s="20" t="s">
        <v>388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376</v>
      </c>
      <c r="C311" t="s">
        <v>378</v>
      </c>
      <c r="D311" s="141">
        <v>2970000</v>
      </c>
      <c r="E311" t="s">
        <v>387</v>
      </c>
      <c r="F311" s="20" t="s">
        <v>388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374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58.96</v>
      </c>
      <c r="B2" s="179">
        <v>0.11</v>
      </c>
      <c r="C2" s="179">
        <v>49.73</v>
      </c>
      <c r="D2" s="8">
        <v>42889</v>
      </c>
      <c r="E2" s="179">
        <v>0.71</v>
      </c>
      <c r="F2" s="179" t="s">
        <v>475</v>
      </c>
      <c r="G2" s="179">
        <v>349.06</v>
      </c>
      <c r="H2" s="179">
        <v>0</v>
      </c>
      <c r="I2" s="179">
        <v>0</v>
      </c>
      <c r="J2" s="179"/>
      <c r="K2" s="179">
        <v>1016.48</v>
      </c>
      <c r="L2" s="179" t="s">
        <v>476</v>
      </c>
      <c r="M2" s="179">
        <v>58.96</v>
      </c>
      <c r="N2" s="179">
        <v>1496469600</v>
      </c>
      <c r="O2" s="179">
        <v>5.18</v>
      </c>
      <c r="P2" s="179">
        <v>234</v>
      </c>
      <c r="Q2" s="179">
        <v>1.7</v>
      </c>
      <c r="R2"/>
    </row>
    <row r="3" spans="1:18" x14ac:dyDescent="0.25">
      <c r="A3" s="179">
        <v>57.65</v>
      </c>
      <c r="B3" s="179">
        <v>0.05</v>
      </c>
      <c r="C3" s="179">
        <v>49.41</v>
      </c>
      <c r="D3" s="8">
        <v>42889.041666666664</v>
      </c>
      <c r="E3" s="179">
        <v>0.74</v>
      </c>
      <c r="F3" s="179" t="s">
        <v>475</v>
      </c>
      <c r="G3" s="179">
        <v>345.79</v>
      </c>
      <c r="H3" s="179">
        <v>0</v>
      </c>
      <c r="I3" s="179">
        <v>0</v>
      </c>
      <c r="J3" s="179"/>
      <c r="K3" s="179">
        <v>1016.81</v>
      </c>
      <c r="L3" s="179" t="s">
        <v>476</v>
      </c>
      <c r="M3" s="179">
        <v>57.65</v>
      </c>
      <c r="N3" s="179">
        <v>1496473200</v>
      </c>
      <c r="O3" s="179">
        <v>5.39</v>
      </c>
      <c r="P3" s="179">
        <v>238</v>
      </c>
      <c r="Q3" s="179">
        <v>1.46</v>
      </c>
      <c r="R3"/>
    </row>
    <row r="4" spans="1:18" x14ac:dyDescent="0.25">
      <c r="A4" s="179">
        <v>55.7</v>
      </c>
      <c r="B4" s="179">
        <v>0.06</v>
      </c>
      <c r="C4" s="179">
        <v>48.41</v>
      </c>
      <c r="D4" s="8">
        <v>42889.083333333336</v>
      </c>
      <c r="E4" s="179">
        <v>0.76</v>
      </c>
      <c r="F4" s="179" t="s">
        <v>475</v>
      </c>
      <c r="G4" s="179">
        <v>342.51</v>
      </c>
      <c r="H4" s="179">
        <v>0</v>
      </c>
      <c r="I4" s="179">
        <v>0</v>
      </c>
      <c r="J4" s="179"/>
      <c r="K4" s="179">
        <v>1017.12</v>
      </c>
      <c r="L4" s="179" t="s">
        <v>476</v>
      </c>
      <c r="M4" s="179">
        <v>55.7</v>
      </c>
      <c r="N4" s="179">
        <v>1496476800</v>
      </c>
      <c r="O4" s="179">
        <v>5.38</v>
      </c>
      <c r="P4" s="179">
        <v>199</v>
      </c>
      <c r="Q4" s="179">
        <v>0.84</v>
      </c>
      <c r="R4"/>
    </row>
    <row r="5" spans="1:18" x14ac:dyDescent="0.25">
      <c r="A5" s="179">
        <v>54.53</v>
      </c>
      <c r="B5" s="179">
        <v>7.0000000000000007E-2</v>
      </c>
      <c r="C5" s="179">
        <v>47.75</v>
      </c>
      <c r="D5" s="8">
        <v>42889.125</v>
      </c>
      <c r="E5" s="179">
        <v>0.78</v>
      </c>
      <c r="F5" s="179" t="s">
        <v>475</v>
      </c>
      <c r="G5" s="179">
        <v>339.24</v>
      </c>
      <c r="H5" s="179">
        <v>0</v>
      </c>
      <c r="I5" s="179">
        <v>0</v>
      </c>
      <c r="J5" s="179"/>
      <c r="K5" s="179">
        <v>1017.4</v>
      </c>
      <c r="L5" s="179" t="s">
        <v>476</v>
      </c>
      <c r="M5" s="179">
        <v>54.53</v>
      </c>
      <c r="N5" s="179">
        <v>1496480400</v>
      </c>
      <c r="O5" s="179">
        <v>5.58</v>
      </c>
      <c r="P5" s="179">
        <v>235</v>
      </c>
      <c r="Q5" s="179">
        <v>0.99</v>
      </c>
      <c r="R5"/>
    </row>
    <row r="6" spans="1:18" x14ac:dyDescent="0.25">
      <c r="A6" s="179">
        <v>52.86</v>
      </c>
      <c r="B6" s="179">
        <v>0.06</v>
      </c>
      <c r="C6" s="179">
        <v>46.55</v>
      </c>
      <c r="D6" s="8">
        <v>42889.166666666664</v>
      </c>
      <c r="E6" s="179">
        <v>0.79</v>
      </c>
      <c r="F6" s="179" t="s">
        <v>475</v>
      </c>
      <c r="G6" s="179">
        <v>336.33</v>
      </c>
      <c r="H6" s="179">
        <v>0</v>
      </c>
      <c r="I6" s="179">
        <v>0</v>
      </c>
      <c r="J6" s="179"/>
      <c r="K6" s="179">
        <v>1017.88</v>
      </c>
      <c r="L6" s="179" t="s">
        <v>476</v>
      </c>
      <c r="M6" s="179">
        <v>52.86</v>
      </c>
      <c r="N6" s="179">
        <v>1496484000</v>
      </c>
      <c r="O6" s="179">
        <v>10</v>
      </c>
      <c r="P6" s="179">
        <v>230</v>
      </c>
      <c r="Q6" s="179">
        <v>1.1499999999999999</v>
      </c>
      <c r="R6"/>
    </row>
    <row r="7" spans="1:18" x14ac:dyDescent="0.25">
      <c r="A7" s="179">
        <v>51.44</v>
      </c>
      <c r="B7" s="179">
        <v>0.09</v>
      </c>
      <c r="C7" s="179">
        <v>45.17</v>
      </c>
      <c r="D7" s="8">
        <v>42889.208333333336</v>
      </c>
      <c r="E7" s="179">
        <v>0.79</v>
      </c>
      <c r="F7" s="179" t="s">
        <v>475</v>
      </c>
      <c r="G7" s="179">
        <v>333.63</v>
      </c>
      <c r="H7" s="179">
        <v>0</v>
      </c>
      <c r="I7" s="179">
        <v>0</v>
      </c>
      <c r="J7" s="179"/>
      <c r="K7" s="179">
        <v>1018.42</v>
      </c>
      <c r="L7" s="179" t="s">
        <v>476</v>
      </c>
      <c r="M7" s="179">
        <v>51.44</v>
      </c>
      <c r="N7" s="179">
        <v>1496487600</v>
      </c>
      <c r="O7" s="179">
        <v>7.03</v>
      </c>
      <c r="P7" s="179">
        <v>242</v>
      </c>
      <c r="Q7" s="179">
        <v>1.97</v>
      </c>
      <c r="R7"/>
    </row>
    <row r="8" spans="1:18" x14ac:dyDescent="0.25">
      <c r="A8" s="179">
        <v>52.63</v>
      </c>
      <c r="B8" s="179">
        <v>0.08</v>
      </c>
      <c r="C8" s="179">
        <v>45.4</v>
      </c>
      <c r="D8" s="8">
        <v>42889.25</v>
      </c>
      <c r="E8" s="179">
        <v>0.76</v>
      </c>
      <c r="F8" s="179" t="s">
        <v>856</v>
      </c>
      <c r="G8" s="179">
        <v>331.34</v>
      </c>
      <c r="H8" s="179">
        <v>0</v>
      </c>
      <c r="I8" s="179">
        <v>0</v>
      </c>
      <c r="J8" s="179"/>
      <c r="K8" s="179">
        <v>1018.76</v>
      </c>
      <c r="L8" s="179" t="s">
        <v>476</v>
      </c>
      <c r="M8" s="179">
        <v>52.63</v>
      </c>
      <c r="N8" s="179">
        <v>1496491200</v>
      </c>
      <c r="O8" s="179">
        <v>5.78</v>
      </c>
      <c r="P8" s="179">
        <v>241</v>
      </c>
      <c r="Q8" s="179">
        <v>1.76</v>
      </c>
      <c r="R8"/>
    </row>
    <row r="9" spans="1:18" x14ac:dyDescent="0.25">
      <c r="A9" s="179">
        <v>55.78</v>
      </c>
      <c r="B9" s="179">
        <v>7.0000000000000007E-2</v>
      </c>
      <c r="C9" s="179">
        <v>46.08</v>
      </c>
      <c r="D9" s="8">
        <v>42889.291666666664</v>
      </c>
      <c r="E9" s="179">
        <v>0.7</v>
      </c>
      <c r="F9" s="179" t="s">
        <v>856</v>
      </c>
      <c r="G9" s="179">
        <v>329.57</v>
      </c>
      <c r="H9" s="179">
        <v>0</v>
      </c>
      <c r="I9" s="179">
        <v>0</v>
      </c>
      <c r="J9" s="179"/>
      <c r="K9" s="179">
        <v>1018.65</v>
      </c>
      <c r="L9" s="179" t="s">
        <v>476</v>
      </c>
      <c r="M9" s="179">
        <v>55.78</v>
      </c>
      <c r="N9" s="179">
        <v>1496494800</v>
      </c>
      <c r="O9" s="179">
        <v>5.08</v>
      </c>
      <c r="P9" s="179">
        <v>239</v>
      </c>
      <c r="Q9" s="179">
        <v>0.76</v>
      </c>
      <c r="R9"/>
    </row>
    <row r="10" spans="1:18" x14ac:dyDescent="0.25">
      <c r="A10" s="179">
        <v>62.01</v>
      </c>
      <c r="B10" s="179">
        <v>0.08</v>
      </c>
      <c r="C10" s="179">
        <v>47.64</v>
      </c>
      <c r="D10" s="8">
        <v>42889.333333333336</v>
      </c>
      <c r="E10" s="179">
        <v>0.59</v>
      </c>
      <c r="F10" s="179" t="s">
        <v>856</v>
      </c>
      <c r="G10" s="179">
        <v>328.22</v>
      </c>
      <c r="H10" s="179">
        <v>0</v>
      </c>
      <c r="I10" s="179">
        <v>0</v>
      </c>
      <c r="J10" s="179"/>
      <c r="K10" s="179">
        <v>1018.31</v>
      </c>
      <c r="L10" s="179" t="s">
        <v>476</v>
      </c>
      <c r="M10" s="179">
        <v>62.01</v>
      </c>
      <c r="N10" s="179">
        <v>1496498400</v>
      </c>
      <c r="O10" s="179">
        <v>4.8099999999999996</v>
      </c>
      <c r="P10" s="179">
        <v>8</v>
      </c>
      <c r="Q10" s="179">
        <v>1.49</v>
      </c>
      <c r="R10"/>
    </row>
    <row r="11" spans="1:18" x14ac:dyDescent="0.25">
      <c r="A11" s="179">
        <v>66.53</v>
      </c>
      <c r="B11" s="179">
        <v>0.08</v>
      </c>
      <c r="C11" s="179">
        <v>48.92</v>
      </c>
      <c r="D11" s="8">
        <v>42889.375</v>
      </c>
      <c r="E11" s="179">
        <v>0.53</v>
      </c>
      <c r="F11" s="179" t="s">
        <v>856</v>
      </c>
      <c r="G11" s="179">
        <v>327.19</v>
      </c>
      <c r="H11" s="179">
        <v>0</v>
      </c>
      <c r="I11" s="179">
        <v>0</v>
      </c>
      <c r="J11" s="179"/>
      <c r="K11" s="179">
        <v>1017.97</v>
      </c>
      <c r="L11" s="179" t="s">
        <v>476</v>
      </c>
      <c r="M11" s="179">
        <v>66.53</v>
      </c>
      <c r="N11" s="179">
        <v>1496502000</v>
      </c>
      <c r="O11" s="179">
        <v>4.67</v>
      </c>
      <c r="P11" s="179">
        <v>22</v>
      </c>
      <c r="Q11" s="179">
        <v>2.5499999999999998</v>
      </c>
      <c r="R11"/>
    </row>
    <row r="12" spans="1:18" x14ac:dyDescent="0.25">
      <c r="A12" s="179">
        <v>69.63</v>
      </c>
      <c r="B12" s="179">
        <v>0.09</v>
      </c>
      <c r="C12" s="179">
        <v>49.54</v>
      </c>
      <c r="D12" s="8">
        <v>42889.416666666664</v>
      </c>
      <c r="E12" s="179">
        <v>0.49</v>
      </c>
      <c r="F12" s="179" t="s">
        <v>856</v>
      </c>
      <c r="G12" s="179">
        <v>326.56</v>
      </c>
      <c r="H12" s="179">
        <v>0</v>
      </c>
      <c r="I12" s="179">
        <v>0</v>
      </c>
      <c r="J12" s="179"/>
      <c r="K12" s="179">
        <v>1017.8</v>
      </c>
      <c r="L12" s="179" t="s">
        <v>476</v>
      </c>
      <c r="M12" s="179">
        <v>69.63</v>
      </c>
      <c r="N12" s="179">
        <v>1496505600</v>
      </c>
      <c r="O12" s="179">
        <v>4.7300000000000004</v>
      </c>
      <c r="P12" s="179">
        <v>20</v>
      </c>
      <c r="Q12" s="179">
        <v>3.64</v>
      </c>
      <c r="R12"/>
    </row>
    <row r="13" spans="1:18" x14ac:dyDescent="0.25">
      <c r="A13" s="179">
        <v>71.63</v>
      </c>
      <c r="B13" s="179">
        <v>0.1</v>
      </c>
      <c r="C13" s="179">
        <v>49.76</v>
      </c>
      <c r="D13" s="8">
        <v>42889.458333333336</v>
      </c>
      <c r="E13" s="179">
        <v>0.46</v>
      </c>
      <c r="F13" s="179" t="s">
        <v>856</v>
      </c>
      <c r="G13" s="179">
        <v>326.25</v>
      </c>
      <c r="H13" s="179">
        <v>8.0000000000000004E-4</v>
      </c>
      <c r="I13" s="179">
        <v>0.01</v>
      </c>
      <c r="J13" s="179" t="s">
        <v>375</v>
      </c>
      <c r="K13" s="179">
        <v>1017.75</v>
      </c>
      <c r="L13" s="179" t="s">
        <v>476</v>
      </c>
      <c r="M13" s="179">
        <v>71.63</v>
      </c>
      <c r="N13" s="179">
        <v>1496509200</v>
      </c>
      <c r="O13" s="179">
        <v>4.8899999999999997</v>
      </c>
      <c r="P13" s="179">
        <v>38</v>
      </c>
      <c r="Q13" s="179">
        <v>4.5999999999999996</v>
      </c>
      <c r="R13"/>
    </row>
    <row r="14" spans="1:18" x14ac:dyDescent="0.25">
      <c r="A14" s="179">
        <v>73.400000000000006</v>
      </c>
      <c r="B14" s="179">
        <v>0.13</v>
      </c>
      <c r="C14" s="179">
        <v>49.26</v>
      </c>
      <c r="D14" s="8">
        <v>42889.5</v>
      </c>
      <c r="E14" s="179">
        <v>0.43</v>
      </c>
      <c r="F14" s="179" t="s">
        <v>856</v>
      </c>
      <c r="G14" s="179">
        <v>326.05</v>
      </c>
      <c r="H14" s="179">
        <v>8.9999999999999998E-4</v>
      </c>
      <c r="I14" s="179">
        <v>0.01</v>
      </c>
      <c r="J14" s="179" t="s">
        <v>375</v>
      </c>
      <c r="K14" s="179">
        <v>1017.53</v>
      </c>
      <c r="L14" s="179" t="s">
        <v>476</v>
      </c>
      <c r="M14" s="179">
        <v>73.400000000000006</v>
      </c>
      <c r="N14" s="179">
        <v>1496512800</v>
      </c>
      <c r="O14" s="179">
        <v>5.09</v>
      </c>
      <c r="P14" s="179">
        <v>41</v>
      </c>
      <c r="Q14" s="179">
        <v>4.78</v>
      </c>
      <c r="R14"/>
    </row>
    <row r="15" spans="1:18" x14ac:dyDescent="0.25">
      <c r="A15" s="179">
        <v>75.53</v>
      </c>
      <c r="B15" s="179">
        <v>0.14000000000000001</v>
      </c>
      <c r="C15" s="179">
        <v>48.69</v>
      </c>
      <c r="D15" s="8">
        <v>42889.541666666664</v>
      </c>
      <c r="E15" s="179">
        <v>0.39</v>
      </c>
      <c r="F15" s="179" t="s">
        <v>856</v>
      </c>
      <c r="G15" s="179">
        <v>325.94</v>
      </c>
      <c r="H15" s="179">
        <v>8.9999999999999998E-4</v>
      </c>
      <c r="I15" s="179">
        <v>0.01</v>
      </c>
      <c r="J15" s="179" t="s">
        <v>375</v>
      </c>
      <c r="K15" s="179">
        <v>1016.99</v>
      </c>
      <c r="L15" s="179" t="s">
        <v>476</v>
      </c>
      <c r="M15" s="179">
        <v>75.53</v>
      </c>
      <c r="N15" s="179">
        <v>1496516400</v>
      </c>
      <c r="O15" s="179">
        <v>4.59</v>
      </c>
      <c r="P15" s="179">
        <v>36</v>
      </c>
      <c r="Q15" s="179">
        <v>4.75</v>
      </c>
      <c r="R15"/>
    </row>
    <row r="16" spans="1:18" x14ac:dyDescent="0.25">
      <c r="A16" s="179">
        <v>76.260000000000005</v>
      </c>
      <c r="B16" s="179">
        <v>0.15</v>
      </c>
      <c r="C16" s="179">
        <v>46.72</v>
      </c>
      <c r="D16" s="8">
        <v>42889.583333333336</v>
      </c>
      <c r="E16" s="179">
        <v>0.35</v>
      </c>
      <c r="F16" s="179" t="s">
        <v>856</v>
      </c>
      <c r="G16" s="179">
        <v>325.93</v>
      </c>
      <c r="H16" s="179">
        <v>8.0000000000000004E-4</v>
      </c>
      <c r="I16" s="179">
        <v>0.01</v>
      </c>
      <c r="J16" s="179" t="s">
        <v>375</v>
      </c>
      <c r="K16" s="179">
        <v>1016.3</v>
      </c>
      <c r="L16" s="179" t="s">
        <v>476</v>
      </c>
      <c r="M16" s="179">
        <v>76.260000000000005</v>
      </c>
      <c r="N16" s="179">
        <v>1496520000</v>
      </c>
      <c r="O16" s="179">
        <v>10</v>
      </c>
      <c r="P16" s="179">
        <v>35</v>
      </c>
      <c r="Q16" s="179">
        <v>5.3</v>
      </c>
      <c r="R16"/>
    </row>
    <row r="17" spans="1:18" x14ac:dyDescent="0.25">
      <c r="A17" s="179">
        <v>77.62</v>
      </c>
      <c r="B17" s="179">
        <v>0.19</v>
      </c>
      <c r="C17" s="179">
        <v>46.28</v>
      </c>
      <c r="D17" s="8">
        <v>42889.625</v>
      </c>
      <c r="E17" s="179">
        <v>0.33</v>
      </c>
      <c r="F17" s="179" t="s">
        <v>856</v>
      </c>
      <c r="G17" s="179">
        <v>325.8</v>
      </c>
      <c r="H17" s="179">
        <v>0</v>
      </c>
      <c r="I17" s="179">
        <v>0</v>
      </c>
      <c r="J17" s="179"/>
      <c r="K17" s="179">
        <v>1015.71</v>
      </c>
      <c r="L17" s="179" t="s">
        <v>476</v>
      </c>
      <c r="M17" s="179">
        <v>77.62</v>
      </c>
      <c r="N17" s="179">
        <v>1496523600</v>
      </c>
      <c r="O17" s="179">
        <v>4.55</v>
      </c>
      <c r="P17" s="179">
        <v>38</v>
      </c>
      <c r="Q17" s="179">
        <v>5.32</v>
      </c>
      <c r="R17"/>
    </row>
    <row r="18" spans="1:18" x14ac:dyDescent="0.25">
      <c r="A18" s="179">
        <v>77.22</v>
      </c>
      <c r="B18" s="179">
        <v>0.19</v>
      </c>
      <c r="C18" s="179">
        <v>45.24</v>
      </c>
      <c r="D18" s="8">
        <v>42889.666666666664</v>
      </c>
      <c r="E18" s="179">
        <v>0.32</v>
      </c>
      <c r="F18" s="179" t="s">
        <v>856</v>
      </c>
      <c r="G18" s="179">
        <v>325.48</v>
      </c>
      <c r="H18" s="179">
        <v>0</v>
      </c>
      <c r="I18" s="179">
        <v>0</v>
      </c>
      <c r="J18" s="179"/>
      <c r="K18" s="179">
        <v>1015.2</v>
      </c>
      <c r="L18" s="179" t="s">
        <v>476</v>
      </c>
      <c r="M18" s="179">
        <v>77.22</v>
      </c>
      <c r="N18" s="179">
        <v>1496527200</v>
      </c>
      <c r="O18" s="179">
        <v>4.53</v>
      </c>
      <c r="P18" s="179">
        <v>37</v>
      </c>
      <c r="Q18" s="179">
        <v>5.16</v>
      </c>
      <c r="R18"/>
    </row>
    <row r="19" spans="1:18" x14ac:dyDescent="0.25">
      <c r="A19" s="179">
        <v>77.47</v>
      </c>
      <c r="B19" s="179">
        <v>0.22</v>
      </c>
      <c r="C19" s="179">
        <v>44.17</v>
      </c>
      <c r="D19" s="8">
        <v>42889.708333333336</v>
      </c>
      <c r="E19" s="179">
        <v>0.31</v>
      </c>
      <c r="F19" s="179" t="s">
        <v>856</v>
      </c>
      <c r="G19" s="179">
        <v>325.05</v>
      </c>
      <c r="H19" s="179">
        <v>0</v>
      </c>
      <c r="I19" s="179">
        <v>0</v>
      </c>
      <c r="J19" s="179"/>
      <c r="K19" s="179">
        <v>1014.79</v>
      </c>
      <c r="L19" s="179" t="s">
        <v>476</v>
      </c>
      <c r="M19" s="179">
        <v>77.47</v>
      </c>
      <c r="N19" s="179">
        <v>1496530800</v>
      </c>
      <c r="O19" s="179">
        <v>5.18</v>
      </c>
      <c r="P19" s="179">
        <v>39</v>
      </c>
      <c r="Q19" s="179">
        <v>5.38</v>
      </c>
      <c r="R19"/>
    </row>
    <row r="20" spans="1:18" x14ac:dyDescent="0.25">
      <c r="A20" s="179">
        <v>76.44</v>
      </c>
      <c r="B20" s="179">
        <v>0.16</v>
      </c>
      <c r="C20" s="179">
        <v>42.87</v>
      </c>
      <c r="D20" s="8">
        <v>42889.75</v>
      </c>
      <c r="E20" s="179">
        <v>0.3</v>
      </c>
      <c r="F20" s="179" t="s">
        <v>856</v>
      </c>
      <c r="G20" s="179">
        <v>324.5</v>
      </c>
      <c r="H20" s="179">
        <v>0</v>
      </c>
      <c r="I20" s="179">
        <v>0</v>
      </c>
      <c r="J20" s="179"/>
      <c r="K20" s="179">
        <v>1014.75</v>
      </c>
      <c r="L20" s="179" t="s">
        <v>476</v>
      </c>
      <c r="M20" s="179">
        <v>76.44</v>
      </c>
      <c r="N20" s="179">
        <v>1496534400</v>
      </c>
      <c r="O20" s="179">
        <v>5.36</v>
      </c>
      <c r="P20" s="179">
        <v>46</v>
      </c>
      <c r="Q20" s="179">
        <v>4.8499999999999996</v>
      </c>
      <c r="R20"/>
    </row>
    <row r="21" spans="1:18" x14ac:dyDescent="0.25">
      <c r="A21" s="179">
        <v>73.150000000000006</v>
      </c>
      <c r="B21" s="179">
        <v>0.2</v>
      </c>
      <c r="C21" s="179">
        <v>41.07</v>
      </c>
      <c r="D21" s="8">
        <v>42889.791666666664</v>
      </c>
      <c r="E21" s="179">
        <v>0.31</v>
      </c>
      <c r="F21" s="179" t="s">
        <v>856</v>
      </c>
      <c r="G21" s="179">
        <v>323.83</v>
      </c>
      <c r="H21" s="179">
        <v>0</v>
      </c>
      <c r="I21" s="179">
        <v>0</v>
      </c>
      <c r="J21" s="179"/>
      <c r="K21" s="179">
        <v>1015.27</v>
      </c>
      <c r="L21" s="179" t="s">
        <v>476</v>
      </c>
      <c r="M21" s="179">
        <v>73.150000000000006</v>
      </c>
      <c r="N21" s="179">
        <v>1496538000</v>
      </c>
      <c r="O21" s="179">
        <v>5.72</v>
      </c>
      <c r="P21" s="179">
        <v>51</v>
      </c>
      <c r="Q21" s="179">
        <v>4.12</v>
      </c>
      <c r="R21"/>
    </row>
    <row r="22" spans="1:18" x14ac:dyDescent="0.25">
      <c r="A22" s="179">
        <v>70.12</v>
      </c>
      <c r="B22" s="179">
        <v>0.15</v>
      </c>
      <c r="C22" s="179">
        <v>41.64</v>
      </c>
      <c r="D22" s="8">
        <v>42889.833333333336</v>
      </c>
      <c r="E22" s="179">
        <v>0.36</v>
      </c>
      <c r="F22" s="179" t="s">
        <v>856</v>
      </c>
      <c r="G22" s="179">
        <v>323.04000000000002</v>
      </c>
      <c r="H22" s="179">
        <v>0</v>
      </c>
      <c r="I22" s="179">
        <v>0</v>
      </c>
      <c r="J22" s="179"/>
      <c r="K22" s="179">
        <v>1016.2</v>
      </c>
      <c r="L22" s="179" t="s">
        <v>476</v>
      </c>
      <c r="M22" s="179">
        <v>70.12</v>
      </c>
      <c r="N22" s="179">
        <v>1496541600</v>
      </c>
      <c r="O22" s="179">
        <v>6.33</v>
      </c>
      <c r="P22" s="179">
        <v>54</v>
      </c>
      <c r="Q22" s="179">
        <v>2.81</v>
      </c>
      <c r="R22"/>
    </row>
    <row r="23" spans="1:18" x14ac:dyDescent="0.25">
      <c r="A23" s="179">
        <v>66.52</v>
      </c>
      <c r="B23" s="179">
        <v>0.13</v>
      </c>
      <c r="C23" s="179">
        <v>43.3</v>
      </c>
      <c r="D23" s="8">
        <v>42889.875</v>
      </c>
      <c r="E23" s="179">
        <v>0.43</v>
      </c>
      <c r="F23" s="179" t="s">
        <v>475</v>
      </c>
      <c r="G23" s="179">
        <v>322.08999999999997</v>
      </c>
      <c r="H23" s="179">
        <v>0</v>
      </c>
      <c r="I23" s="179">
        <v>0</v>
      </c>
      <c r="J23" s="179"/>
      <c r="K23" s="179">
        <v>1017.07</v>
      </c>
      <c r="L23" s="179" t="s">
        <v>476</v>
      </c>
      <c r="M23" s="179">
        <v>66.52</v>
      </c>
      <c r="N23" s="179">
        <v>1496545200</v>
      </c>
      <c r="O23" s="179">
        <v>7.22</v>
      </c>
      <c r="P23" s="179">
        <v>79</v>
      </c>
      <c r="Q23" s="179">
        <v>2.1800000000000002</v>
      </c>
      <c r="R23"/>
    </row>
    <row r="24" spans="1:18" x14ac:dyDescent="0.25">
      <c r="A24" s="179">
        <v>65.09</v>
      </c>
      <c r="B24" s="179">
        <v>0.12</v>
      </c>
      <c r="C24" s="179">
        <v>45.28</v>
      </c>
      <c r="D24" s="8">
        <v>42889.916666666664</v>
      </c>
      <c r="E24" s="179">
        <v>0.49</v>
      </c>
      <c r="F24" s="179" t="s">
        <v>475</v>
      </c>
      <c r="G24" s="179">
        <v>320.94</v>
      </c>
      <c r="H24" s="179">
        <v>0</v>
      </c>
      <c r="I24" s="179">
        <v>0</v>
      </c>
      <c r="J24" s="179"/>
      <c r="K24" s="179">
        <v>1017.78</v>
      </c>
      <c r="L24" s="179" t="s">
        <v>476</v>
      </c>
      <c r="M24" s="179">
        <v>65.09</v>
      </c>
      <c r="N24" s="179">
        <v>1496548800</v>
      </c>
      <c r="O24" s="179">
        <v>6.57</v>
      </c>
      <c r="P24" s="179">
        <v>113</v>
      </c>
      <c r="Q24" s="179">
        <v>1.95</v>
      </c>
      <c r="R24"/>
    </row>
    <row r="25" spans="1:18" x14ac:dyDescent="0.25">
      <c r="A25" s="179">
        <v>62.5</v>
      </c>
      <c r="B25" s="179">
        <v>0.16</v>
      </c>
      <c r="C25" s="179">
        <v>46.04</v>
      </c>
      <c r="D25" s="8">
        <v>42889.958333333336</v>
      </c>
      <c r="E25" s="179">
        <v>0.55000000000000004</v>
      </c>
      <c r="F25" s="179" t="s">
        <v>475</v>
      </c>
      <c r="G25" s="179">
        <v>319.63</v>
      </c>
      <c r="H25" s="179">
        <v>0</v>
      </c>
      <c r="I25" s="179">
        <v>0</v>
      </c>
      <c r="J25" s="179"/>
      <c r="K25" s="179">
        <v>1018.41</v>
      </c>
      <c r="L25" s="179" t="s">
        <v>476</v>
      </c>
      <c r="M25" s="179">
        <v>62.5</v>
      </c>
      <c r="N25" s="179">
        <v>1496552400</v>
      </c>
      <c r="O25" s="179">
        <v>5.27</v>
      </c>
      <c r="P25" s="179">
        <v>151</v>
      </c>
      <c r="Q25" s="179">
        <v>1.94</v>
      </c>
      <c r="R25"/>
    </row>
    <row r="26" spans="1:18" x14ac:dyDescent="0.25">
      <c r="A26" s="179">
        <v>59.58</v>
      </c>
      <c r="B26" s="179">
        <v>0.15</v>
      </c>
      <c r="C26" s="179">
        <v>44.98</v>
      </c>
      <c r="D26" s="8">
        <v>42890</v>
      </c>
      <c r="E26" s="179">
        <v>0.57999999999999996</v>
      </c>
      <c r="F26" s="179" t="s">
        <v>475</v>
      </c>
      <c r="G26" s="179">
        <v>318.27999999999997</v>
      </c>
      <c r="H26" s="179">
        <v>0</v>
      </c>
      <c r="I26" s="179">
        <v>0</v>
      </c>
      <c r="J26" s="179"/>
      <c r="K26" s="179">
        <v>1018.76</v>
      </c>
      <c r="L26" s="179" t="s">
        <v>476</v>
      </c>
      <c r="M26" s="179">
        <v>59.58</v>
      </c>
      <c r="N26" s="179">
        <v>1496556000</v>
      </c>
      <c r="O26" s="179">
        <v>4.7</v>
      </c>
      <c r="P26" s="179">
        <v>163</v>
      </c>
      <c r="Q26" s="179">
        <v>1.23</v>
      </c>
      <c r="R26"/>
    </row>
    <row r="27" spans="1:18" x14ac:dyDescent="0.25">
      <c r="A27" s="179">
        <v>58.15</v>
      </c>
      <c r="B27" s="179">
        <v>0.12</v>
      </c>
      <c r="C27" s="179">
        <v>45.47</v>
      </c>
      <c r="D27" s="8">
        <v>42890.041666666664</v>
      </c>
      <c r="E27" s="179">
        <v>0.63</v>
      </c>
      <c r="F27" s="179" t="s">
        <v>475</v>
      </c>
      <c r="G27" s="179">
        <v>316.88</v>
      </c>
      <c r="H27" s="179">
        <v>0</v>
      </c>
      <c r="I27" s="179">
        <v>0</v>
      </c>
      <c r="J27" s="179"/>
      <c r="K27" s="179">
        <v>1018.42</v>
      </c>
      <c r="L27" s="179" t="s">
        <v>476</v>
      </c>
      <c r="M27" s="179">
        <v>58.15</v>
      </c>
      <c r="N27" s="179">
        <v>1496559600</v>
      </c>
      <c r="O27" s="179">
        <v>4.53</v>
      </c>
      <c r="P27" s="179">
        <v>159</v>
      </c>
      <c r="Q27" s="179">
        <v>1.3</v>
      </c>
      <c r="R27"/>
    </row>
    <row r="28" spans="1:18" x14ac:dyDescent="0.25">
      <c r="A28" s="179">
        <v>56.22</v>
      </c>
      <c r="B28" s="179">
        <v>0.06</v>
      </c>
      <c r="C28" s="179">
        <v>44.88</v>
      </c>
      <c r="D28" s="8">
        <v>42890.083333333336</v>
      </c>
      <c r="E28" s="179">
        <v>0.66</v>
      </c>
      <c r="F28" s="179" t="s">
        <v>475</v>
      </c>
      <c r="G28" s="179">
        <v>315.48</v>
      </c>
      <c r="H28" s="179">
        <v>0</v>
      </c>
      <c r="I28" s="179">
        <v>0</v>
      </c>
      <c r="J28" s="179"/>
      <c r="K28" s="179">
        <v>1018.1</v>
      </c>
      <c r="L28" s="179" t="s">
        <v>476</v>
      </c>
      <c r="M28" s="179">
        <v>56.22</v>
      </c>
      <c r="N28" s="179">
        <v>1496563200</v>
      </c>
      <c r="O28" s="179">
        <v>4.45</v>
      </c>
      <c r="P28" s="179">
        <v>180</v>
      </c>
      <c r="Q28" s="179">
        <v>1.64</v>
      </c>
      <c r="R28"/>
    </row>
    <row r="29" spans="1:18" x14ac:dyDescent="0.25">
      <c r="A29" s="179">
        <v>54.42</v>
      </c>
      <c r="B29" s="179">
        <v>0</v>
      </c>
      <c r="C29" s="179">
        <v>44.37</v>
      </c>
      <c r="D29" s="8">
        <v>42890.125</v>
      </c>
      <c r="E29" s="179">
        <v>0.69</v>
      </c>
      <c r="F29" s="179" t="s">
        <v>475</v>
      </c>
      <c r="G29" s="179">
        <v>314.08</v>
      </c>
      <c r="H29" s="179">
        <v>0</v>
      </c>
      <c r="I29" s="179">
        <v>0</v>
      </c>
      <c r="J29" s="179"/>
      <c r="K29" s="179">
        <v>1017.78</v>
      </c>
      <c r="L29" s="179" t="s">
        <v>476</v>
      </c>
      <c r="M29" s="179">
        <v>54.42</v>
      </c>
      <c r="N29" s="179">
        <v>1496566800</v>
      </c>
      <c r="O29" s="179">
        <v>9.74</v>
      </c>
      <c r="P29" s="179">
        <v>137</v>
      </c>
      <c r="Q29" s="179">
        <v>1.05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G18" sqref="G18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42889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463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464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991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992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993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994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995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996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997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998</v>
      </c>
      <c r="J25" s="143" t="s">
        <v>148</v>
      </c>
      <c r="M25" s="157" t="b">
        <v>1</v>
      </c>
    </row>
    <row r="26" spans="3:24" x14ac:dyDescent="0.25">
      <c r="C26" t="s">
        <v>999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C:\Users\stu\Documents\GitHub\eaglep3-reporting\EC\2017-06-03-refined-times.txt</v>
      </c>
    </row>
    <row r="27" spans="3:24" x14ac:dyDescent="0.25">
      <c r="C27" t="s">
        <v>1000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C:\Users\stu\Documents\GitHub\eaglep3-reporting\EC\2017-06-03-Enforcements.txt</v>
      </c>
    </row>
    <row r="28" spans="3:24" x14ac:dyDescent="0.25">
      <c r="C28" t="s">
        <v>1001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C:\Users\stu\Documents\GitHub\eaglep3-reporting\EC\2017-06-03-Runs-refined.txt</v>
      </c>
    </row>
    <row r="29" spans="3:24" x14ac:dyDescent="0.25">
      <c r="C29" t="s">
        <v>1002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C:\Users\stu\Documents\GitHub\eaglep3-reporting\EC\2017-06-03-Trips.txt</v>
      </c>
    </row>
    <row r="30" spans="3:24" x14ac:dyDescent="0.25">
      <c r="C30" t="s">
        <v>1003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C:\Users\stu\Documents\GitHub\eaglep3-reporting\EC\2017-06-03-Weather.txt</v>
      </c>
    </row>
    <row r="31" spans="3:24" x14ac:dyDescent="0.25">
      <c r="C31" t="s">
        <v>1004</v>
      </c>
      <c r="J31" s="143" t="s">
        <v>198</v>
      </c>
      <c r="M31" s="157" t="s">
        <v>199</v>
      </c>
    </row>
    <row r="32" spans="3:24" x14ac:dyDescent="0.25">
      <c r="C32" t="s">
        <v>1005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2017-06-05T15:41:23Z</dcterms:modified>
</cp:coreProperties>
</file>