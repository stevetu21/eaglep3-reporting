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Enforcements!$A$6:$AC$41</definedName>
    <definedName name="_xlnm._FilterDatabase" localSheetId="2" hidden="1">'Missing Trips'!$A$2:$J$26</definedName>
    <definedName name="_xlnm._FilterDatabase" localSheetId="0" hidden="1">'Train Runs'!$A$12:$AG$389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7" i="1" l="1"/>
  <c r="X208" i="1"/>
  <c r="K207" i="1"/>
  <c r="L207" i="1"/>
  <c r="M207" i="1"/>
  <c r="N207" i="1"/>
  <c r="V207" i="1"/>
  <c r="Y207" i="1"/>
  <c r="Z207" i="1"/>
  <c r="AA207" i="1" s="1"/>
  <c r="AB207" i="1"/>
  <c r="AC207" i="1"/>
  <c r="AD207" i="1"/>
  <c r="T207" i="1" s="1"/>
  <c r="AE207" i="1"/>
  <c r="AF207" i="1"/>
  <c r="AH207" i="1"/>
  <c r="AM207" i="1"/>
  <c r="AN207" i="1"/>
  <c r="AO207" i="1"/>
  <c r="P167" i="1"/>
  <c r="K156" i="1"/>
  <c r="M156" i="1"/>
  <c r="N156" i="1" s="1"/>
  <c r="V156" i="1"/>
  <c r="AA156" i="1"/>
  <c r="AB156" i="1"/>
  <c r="AC156" i="1"/>
  <c r="AD156" i="1"/>
  <c r="T156" i="1" s="1"/>
  <c r="AE156" i="1"/>
  <c r="AF156" i="1"/>
  <c r="AH156" i="1"/>
  <c r="AM156" i="1"/>
  <c r="AN156" i="1"/>
  <c r="AO156" i="1"/>
  <c r="X157" i="1"/>
  <c r="X158" i="1"/>
  <c r="X152" i="1"/>
  <c r="X153" i="1"/>
  <c r="K152" i="1"/>
  <c r="L152" i="1"/>
  <c r="M152" i="1"/>
  <c r="N152" i="1" s="1"/>
  <c r="V152" i="1"/>
  <c r="AA152" i="1"/>
  <c r="AB152" i="1"/>
  <c r="AC152" i="1"/>
  <c r="AD152" i="1"/>
  <c r="T152" i="1" s="1"/>
  <c r="AE152" i="1"/>
  <c r="AF152" i="1"/>
  <c r="AH152" i="1"/>
  <c r="AM152" i="1"/>
  <c r="AN152" i="1"/>
  <c r="AO152" i="1"/>
  <c r="X148" i="1"/>
  <c r="X149" i="1"/>
  <c r="P148" i="1"/>
  <c r="K147" i="1"/>
  <c r="L147" i="1"/>
  <c r="M147" i="1"/>
  <c r="N147" i="1"/>
  <c r="V147" i="1"/>
  <c r="AA147" i="1"/>
  <c r="AB147" i="1"/>
  <c r="AC147" i="1"/>
  <c r="AD147" i="1"/>
  <c r="T147" i="1" s="1"/>
  <c r="AE147" i="1"/>
  <c r="AF147" i="1"/>
  <c r="AH147" i="1"/>
  <c r="AM147" i="1"/>
  <c r="AN147" i="1"/>
  <c r="AO147" i="1"/>
  <c r="X137" i="1"/>
  <c r="X138" i="1"/>
  <c r="X139" i="1"/>
  <c r="X140" i="1"/>
  <c r="K139" i="1"/>
  <c r="L139" i="1"/>
  <c r="M139" i="1"/>
  <c r="N139" i="1"/>
  <c r="V139" i="1"/>
  <c r="AA139" i="1"/>
  <c r="AB139" i="1"/>
  <c r="AC139" i="1"/>
  <c r="AD139" i="1"/>
  <c r="T139" i="1" s="1"/>
  <c r="AE139" i="1"/>
  <c r="AF139" i="1"/>
  <c r="AH139" i="1"/>
  <c r="AM139" i="1"/>
  <c r="AN139" i="1"/>
  <c r="AO139" i="1"/>
  <c r="K136" i="1"/>
  <c r="L136" i="1"/>
  <c r="M136" i="1"/>
  <c r="N136" i="1"/>
  <c r="V136" i="1"/>
  <c r="AA136" i="1"/>
  <c r="AB136" i="1"/>
  <c r="AC136" i="1"/>
  <c r="AD136" i="1"/>
  <c r="T136" i="1" s="1"/>
  <c r="AE136" i="1"/>
  <c r="AF136" i="1"/>
  <c r="AH136" i="1"/>
  <c r="AM136" i="1"/>
  <c r="AN136" i="1"/>
  <c r="AO136" i="1"/>
  <c r="X131" i="1"/>
  <c r="X112" i="1"/>
  <c r="K112" i="1"/>
  <c r="L112" i="1"/>
  <c r="M112" i="1"/>
  <c r="N112" i="1"/>
  <c r="V112" i="1"/>
  <c r="AA112" i="1"/>
  <c r="AB112" i="1"/>
  <c r="AC112" i="1"/>
  <c r="AD112" i="1"/>
  <c r="T112" i="1" s="1"/>
  <c r="AE112" i="1"/>
  <c r="AF112" i="1"/>
  <c r="AH112" i="1"/>
  <c r="AM112" i="1"/>
  <c r="AN112" i="1"/>
  <c r="AO112" i="1"/>
  <c r="K110" i="1"/>
  <c r="L110" i="1"/>
  <c r="M110" i="1"/>
  <c r="N110" i="1" s="1"/>
  <c r="V110" i="1"/>
  <c r="AA110" i="1"/>
  <c r="AB110" i="1"/>
  <c r="AC110" i="1"/>
  <c r="AD110" i="1"/>
  <c r="T110" i="1" s="1"/>
  <c r="AE110" i="1"/>
  <c r="R8" i="3" s="1"/>
  <c r="AF110" i="1"/>
  <c r="AH110" i="1"/>
  <c r="AM110" i="1"/>
  <c r="AN110" i="1"/>
  <c r="AO110" i="1"/>
  <c r="K44" i="1"/>
  <c r="L44" i="1"/>
  <c r="M44" i="1"/>
  <c r="N44" i="1"/>
  <c r="V44" i="1"/>
  <c r="AA44" i="1"/>
  <c r="AB44" i="1"/>
  <c r="AC44" i="1"/>
  <c r="AD44" i="1"/>
  <c r="T44" i="1" s="1"/>
  <c r="AE44" i="1"/>
  <c r="AF44" i="1"/>
  <c r="AH44" i="1"/>
  <c r="AM44" i="1"/>
  <c r="AN44" i="1"/>
  <c r="AO4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A21" i="1" s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S16" i="3" s="1"/>
  <c r="Y22" i="1"/>
  <c r="Z22" i="1"/>
  <c r="AB22" i="1"/>
  <c r="AC22" i="1"/>
  <c r="AD22" i="1"/>
  <c r="AE22" i="1"/>
  <c r="R16" i="3" s="1"/>
  <c r="AF22" i="1"/>
  <c r="AH22" i="1"/>
  <c r="AM22" i="1"/>
  <c r="AN22" i="1"/>
  <c r="AO22" i="1"/>
  <c r="K23" i="1"/>
  <c r="L23" i="1"/>
  <c r="M23" i="1"/>
  <c r="N23" i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S19" i="3" s="1"/>
  <c r="Y24" i="1"/>
  <c r="Z24" i="1"/>
  <c r="AB24" i="1"/>
  <c r="AC24" i="1"/>
  <c r="AD24" i="1"/>
  <c r="AE24" i="1"/>
  <c r="R19" i="3" s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S9" i="3" s="1"/>
  <c r="Y26" i="1"/>
  <c r="Z26" i="1"/>
  <c r="AB26" i="1"/>
  <c r="AC26" i="1"/>
  <c r="AD26" i="1"/>
  <c r="AE26" i="1"/>
  <c r="R9" i="3" s="1"/>
  <c r="AF26" i="1"/>
  <c r="AH26" i="1"/>
  <c r="AM26" i="1"/>
  <c r="AN26" i="1"/>
  <c r="AO26" i="1"/>
  <c r="K27" i="1"/>
  <c r="L27" i="1"/>
  <c r="M27" i="1"/>
  <c r="N27" i="1" s="1"/>
  <c r="V27" i="1"/>
  <c r="S26" i="3" s="1"/>
  <c r="Y27" i="1"/>
  <c r="Z27" i="1"/>
  <c r="AB27" i="1"/>
  <c r="AC27" i="1"/>
  <c r="AD27" i="1"/>
  <c r="AE27" i="1"/>
  <c r="R26" i="3" s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R13" i="3" s="1"/>
  <c r="AF28" i="1"/>
  <c r="AH28" i="1"/>
  <c r="AM28" i="1"/>
  <c r="AN28" i="1"/>
  <c r="AO28" i="1"/>
  <c r="K29" i="1"/>
  <c r="L29" i="1"/>
  <c r="M29" i="1"/>
  <c r="N29" i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S15" i="3" s="1"/>
  <c r="Y35" i="1"/>
  <c r="Z35" i="1"/>
  <c r="AB35" i="1"/>
  <c r="AC35" i="1"/>
  <c r="AD35" i="1"/>
  <c r="AE35" i="1"/>
  <c r="R15" i="3" s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N41" i="1" s="1"/>
  <c r="V41" i="1"/>
  <c r="S29" i="3" s="1"/>
  <c r="Y41" i="1"/>
  <c r="AA41" i="1" s="1"/>
  <c r="Z41" i="1"/>
  <c r="AB41" i="1"/>
  <c r="AC41" i="1"/>
  <c r="AD41" i="1"/>
  <c r="T41" i="1" s="1"/>
  <c r="AE41" i="1"/>
  <c r="R28" i="3" s="1"/>
  <c r="AF41" i="1"/>
  <c r="AH41" i="1"/>
  <c r="AM41" i="1"/>
  <c r="AN41" i="1"/>
  <c r="AO41" i="1"/>
  <c r="K42" i="1"/>
  <c r="L42" i="1"/>
  <c r="M42" i="1"/>
  <c r="N42" i="1" s="1"/>
  <c r="V42" i="1"/>
  <c r="X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Y43" i="1"/>
  <c r="AA43" i="1" s="1"/>
  <c r="Z43" i="1"/>
  <c r="AB43" i="1"/>
  <c r="AC43" i="1"/>
  <c r="AD43" i="1"/>
  <c r="T43" i="1" s="1"/>
  <c r="AE43" i="1"/>
  <c r="AF43" i="1"/>
  <c r="AH43" i="1"/>
  <c r="AM43" i="1"/>
  <c r="AN43" i="1"/>
  <c r="AO43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A49" i="1" s="1"/>
  <c r="AB49" i="1"/>
  <c r="AC49" i="1"/>
  <c r="AD49" i="1"/>
  <c r="T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AO52" i="1"/>
  <c r="K53" i="1"/>
  <c r="L53" i="1"/>
  <c r="M53" i="1"/>
  <c r="N53" i="1"/>
  <c r="V53" i="1"/>
  <c r="Y53" i="1"/>
  <c r="Z53" i="1"/>
  <c r="AA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/>
  <c r="V55" i="1"/>
  <c r="Y55" i="1"/>
  <c r="AA55" i="1" s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S21" i="3" s="1"/>
  <c r="Y58" i="1"/>
  <c r="Z58" i="1"/>
  <c r="AB58" i="1"/>
  <c r="AC58" i="1"/>
  <c r="AD58" i="1"/>
  <c r="AE58" i="1"/>
  <c r="R21" i="3" s="1"/>
  <c r="AF58" i="1"/>
  <c r="AH58" i="1"/>
  <c r="AM58" i="1"/>
  <c r="AN58" i="1"/>
  <c r="AO58" i="1"/>
  <c r="K59" i="1"/>
  <c r="L59" i="1"/>
  <c r="M59" i="1"/>
  <c r="N59" i="1" s="1"/>
  <c r="V59" i="1"/>
  <c r="Y59" i="1"/>
  <c r="AA59" i="1" s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T65" i="1"/>
  <c r="V65" i="1"/>
  <c r="Y65" i="1"/>
  <c r="AA65" i="1" s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/>
  <c r="V71" i="1"/>
  <c r="S11" i="3" s="1"/>
  <c r="Y71" i="1"/>
  <c r="Z71" i="1"/>
  <c r="AB71" i="1"/>
  <c r="AC71" i="1"/>
  <c r="AD71" i="1"/>
  <c r="X71" i="1" s="1"/>
  <c r="AE71" i="1"/>
  <c r="R11" i="3" s="1"/>
  <c r="AF71" i="1"/>
  <c r="AH71" i="1"/>
  <c r="AM71" i="1"/>
  <c r="AN71" i="1"/>
  <c r="AO71" i="1"/>
  <c r="K72" i="1"/>
  <c r="L72" i="1"/>
  <c r="M72" i="1"/>
  <c r="N72" i="1"/>
  <c r="V72" i="1"/>
  <c r="Y72" i="1"/>
  <c r="Z72" i="1"/>
  <c r="AA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AA73" i="1" s="1"/>
  <c r="Z73" i="1"/>
  <c r="AB73" i="1"/>
  <c r="AC73" i="1"/>
  <c r="AD73" i="1"/>
  <c r="X73" i="1" s="1"/>
  <c r="AE73" i="1"/>
  <c r="AF73" i="1"/>
  <c r="AH73" i="1"/>
  <c r="AM73" i="1"/>
  <c r="AN73" i="1"/>
  <c r="AO73" i="1"/>
  <c r="K74" i="1"/>
  <c r="L74" i="1"/>
  <c r="M74" i="1"/>
  <c r="N74" i="1" s="1"/>
  <c r="T74" i="1"/>
  <c r="V74" i="1"/>
  <c r="X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A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S22" i="3" s="1"/>
  <c r="X76" i="1"/>
  <c r="Y76" i="1"/>
  <c r="Z76" i="1"/>
  <c r="AB76" i="1"/>
  <c r="AC76" i="1"/>
  <c r="AD76" i="1"/>
  <c r="T76" i="1" s="1"/>
  <c r="AE76" i="1"/>
  <c r="R22" i="3" s="1"/>
  <c r="AF76" i="1"/>
  <c r="AH76" i="1"/>
  <c r="AM76" i="1"/>
  <c r="AN76" i="1"/>
  <c r="AO76" i="1"/>
  <c r="K77" i="1"/>
  <c r="L77" i="1"/>
  <c r="M77" i="1"/>
  <c r="N77" i="1" s="1"/>
  <c r="V77" i="1"/>
  <c r="Y77" i="1"/>
  <c r="AA77" i="1" s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AA81" i="1" s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S10" i="3" s="1"/>
  <c r="Y84" i="1"/>
  <c r="Z84" i="1"/>
  <c r="AB84" i="1"/>
  <c r="AC84" i="1"/>
  <c r="AD84" i="1"/>
  <c r="T84" i="1" s="1"/>
  <c r="AE84" i="1"/>
  <c r="R10" i="3" s="1"/>
  <c r="AF84" i="1"/>
  <c r="AH84" i="1"/>
  <c r="AM84" i="1"/>
  <c r="AN84" i="1"/>
  <c r="AO84" i="1"/>
  <c r="K85" i="1"/>
  <c r="L85" i="1"/>
  <c r="M85" i="1"/>
  <c r="N85" i="1" s="1"/>
  <c r="V85" i="1"/>
  <c r="Y85" i="1"/>
  <c r="AA85" i="1" s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AA89" i="1" s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 s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S17" i="3" s="1"/>
  <c r="Y93" i="1"/>
  <c r="Z93" i="1"/>
  <c r="AB93" i="1"/>
  <c r="AC93" i="1"/>
  <c r="AD93" i="1"/>
  <c r="AE93" i="1"/>
  <c r="R17" i="3" s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AO98" i="1"/>
  <c r="K99" i="1"/>
  <c r="L99" i="1"/>
  <c r="M99" i="1"/>
  <c r="N99" i="1" s="1"/>
  <c r="V99" i="1"/>
  <c r="S12" i="3" s="1"/>
  <c r="Y99" i="1"/>
  <c r="AA99" i="1" s="1"/>
  <c r="Z99" i="1"/>
  <c r="AB99" i="1"/>
  <c r="AC99" i="1"/>
  <c r="AD99" i="1"/>
  <c r="T99" i="1" s="1"/>
  <c r="AE99" i="1"/>
  <c r="R12" i="3" s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AA105" i="1" s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S7" i="3" s="1"/>
  <c r="Y109" i="1"/>
  <c r="AA109" i="1" s="1"/>
  <c r="Z109" i="1"/>
  <c r="AB109" i="1"/>
  <c r="AC109" i="1"/>
  <c r="AD109" i="1"/>
  <c r="AE109" i="1"/>
  <c r="R7" i="3" s="1"/>
  <c r="AF109" i="1"/>
  <c r="AH109" i="1"/>
  <c r="AM109" i="1"/>
  <c r="AN109" i="1"/>
  <c r="AO109" i="1"/>
  <c r="K111" i="1"/>
  <c r="L111" i="1"/>
  <c r="M111" i="1"/>
  <c r="N111" i="1" s="1"/>
  <c r="V111" i="1"/>
  <c r="Y111" i="1"/>
  <c r="Z111" i="1"/>
  <c r="AA111" i="1" s="1"/>
  <c r="AB111" i="1"/>
  <c r="AC111" i="1"/>
  <c r="AD111" i="1"/>
  <c r="X111" i="1" s="1"/>
  <c r="AE111" i="1"/>
  <c r="AF111" i="1"/>
  <c r="AH111" i="1"/>
  <c r="AM111" i="1"/>
  <c r="AN111" i="1"/>
  <c r="AO111" i="1"/>
  <c r="K113" i="1"/>
  <c r="L113" i="1"/>
  <c r="M113" i="1"/>
  <c r="N113" i="1" s="1"/>
  <c r="V113" i="1"/>
  <c r="Y113" i="1"/>
  <c r="Z113" i="1"/>
  <c r="AB113" i="1"/>
  <c r="AC113" i="1"/>
  <c r="AD113" i="1"/>
  <c r="X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A114" i="1" s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AA115" i="1" s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AA119" i="1" s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A122" i="1" s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S24" i="3" s="1"/>
  <c r="Y124" i="1"/>
  <c r="Z124" i="1"/>
  <c r="AB124" i="1"/>
  <c r="AC124" i="1"/>
  <c r="AD124" i="1"/>
  <c r="AE124" i="1"/>
  <c r="R24" i="3" s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S18" i="3" s="1"/>
  <c r="Y129" i="1"/>
  <c r="Z129" i="1"/>
  <c r="AB129" i="1"/>
  <c r="AC129" i="1"/>
  <c r="AD129" i="1"/>
  <c r="AE129" i="1"/>
  <c r="R18" i="3" s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A138" i="1" s="1"/>
  <c r="AB138" i="1"/>
  <c r="AC138" i="1"/>
  <c r="AD138" i="1"/>
  <c r="AE138" i="1"/>
  <c r="AF138" i="1"/>
  <c r="AH138" i="1"/>
  <c r="AM138" i="1"/>
  <c r="AN138" i="1"/>
  <c r="AO138" i="1"/>
  <c r="K140" i="1"/>
  <c r="L140" i="1"/>
  <c r="M140" i="1"/>
  <c r="N140" i="1" s="1"/>
  <c r="V140" i="1"/>
  <c r="Y140" i="1"/>
  <c r="AA140" i="1" s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A141" i="1" s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S14" i="3" s="1"/>
  <c r="Y142" i="1"/>
  <c r="Z142" i="1"/>
  <c r="AB142" i="1"/>
  <c r="AC142" i="1"/>
  <c r="AD142" i="1"/>
  <c r="AE142" i="1"/>
  <c r="R14" i="3" s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AA144" i="1" s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A145" i="1" s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8" i="1"/>
  <c r="L148" i="1"/>
  <c r="M148" i="1"/>
  <c r="V148" i="1"/>
  <c r="Y148" i="1"/>
  <c r="Z148" i="1"/>
  <c r="AA148" i="1" s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AA149" i="1" s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AA154" i="1" s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7" i="1"/>
  <c r="AM157" i="1"/>
  <c r="AN157" i="1"/>
  <c r="AO157" i="1"/>
  <c r="K209" i="1"/>
  <c r="L209" i="1"/>
  <c r="M209" i="1"/>
  <c r="N209" i="1" s="1"/>
  <c r="V209" i="1"/>
  <c r="Y209" i="1"/>
  <c r="Z209" i="1"/>
  <c r="AA209" i="1" s="1"/>
  <c r="AB209" i="1"/>
  <c r="AC209" i="1"/>
  <c r="AD209" i="1"/>
  <c r="AE209" i="1"/>
  <c r="AF209" i="1"/>
  <c r="AH158" i="1"/>
  <c r="AM158" i="1"/>
  <c r="AN158" i="1"/>
  <c r="AO158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59" i="1"/>
  <c r="AM159" i="1"/>
  <c r="AN159" i="1"/>
  <c r="AO159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0" i="1"/>
  <c r="AM160" i="1"/>
  <c r="AN160" i="1"/>
  <c r="AO160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1" i="1"/>
  <c r="AM161" i="1"/>
  <c r="AN161" i="1"/>
  <c r="AO161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2" i="1"/>
  <c r="AM162" i="1"/>
  <c r="AN162" i="1"/>
  <c r="AO162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3" i="1"/>
  <c r="AM163" i="1"/>
  <c r="AN163" i="1"/>
  <c r="AO163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4" i="1"/>
  <c r="AM164" i="1"/>
  <c r="AN164" i="1"/>
  <c r="AO164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5" i="1"/>
  <c r="AM165" i="1"/>
  <c r="AN165" i="1"/>
  <c r="AO165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6" i="1"/>
  <c r="AM166" i="1"/>
  <c r="AN166" i="1"/>
  <c r="AO166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7" i="1"/>
  <c r="AM167" i="1"/>
  <c r="AN167" i="1"/>
  <c r="AO167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8" i="1"/>
  <c r="AM168" i="1"/>
  <c r="AN168" i="1"/>
  <c r="AO168" i="1"/>
  <c r="K226" i="1"/>
  <c r="L226" i="1"/>
  <c r="M226" i="1"/>
  <c r="N226" i="1" s="1"/>
  <c r="V226" i="1"/>
  <c r="S51" i="3" s="1"/>
  <c r="Y226" i="1"/>
  <c r="Z226" i="1"/>
  <c r="AB226" i="1"/>
  <c r="AC226" i="1"/>
  <c r="AD226" i="1"/>
  <c r="AE226" i="1"/>
  <c r="R51" i="3" s="1"/>
  <c r="AF226" i="1"/>
  <c r="AH169" i="1"/>
  <c r="AM169" i="1"/>
  <c r="AN169" i="1"/>
  <c r="AO169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0" i="1"/>
  <c r="AM170" i="1"/>
  <c r="AN170" i="1"/>
  <c r="AO170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1" i="1"/>
  <c r="AM171" i="1"/>
  <c r="AN171" i="1"/>
  <c r="AO171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2" i="1"/>
  <c r="AM172" i="1"/>
  <c r="AN172" i="1"/>
  <c r="AO172" i="1"/>
  <c r="K230" i="1"/>
  <c r="L230" i="1"/>
  <c r="M230" i="1"/>
  <c r="N230" i="1"/>
  <c r="V230" i="1"/>
  <c r="S53" i="3" s="1"/>
  <c r="Y230" i="1"/>
  <c r="AA230" i="1" s="1"/>
  <c r="Z230" i="1"/>
  <c r="AB230" i="1"/>
  <c r="AC230" i="1"/>
  <c r="AD230" i="1"/>
  <c r="AE230" i="1"/>
  <c r="R53" i="3" s="1"/>
  <c r="AF230" i="1"/>
  <c r="AH173" i="1"/>
  <c r="AM173" i="1"/>
  <c r="AN173" i="1"/>
  <c r="AO173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4" i="1"/>
  <c r="AM174" i="1"/>
  <c r="AN174" i="1"/>
  <c r="AO174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5" i="1"/>
  <c r="AM175" i="1"/>
  <c r="AN175" i="1"/>
  <c r="AO175" i="1"/>
  <c r="K233" i="1"/>
  <c r="L233" i="1"/>
  <c r="M233" i="1"/>
  <c r="N233" i="1" s="1"/>
  <c r="V233" i="1"/>
  <c r="S57" i="3" s="1"/>
  <c r="Y233" i="1"/>
  <c r="Z233" i="1"/>
  <c r="AB233" i="1"/>
  <c r="AC233" i="1"/>
  <c r="AD233" i="1"/>
  <c r="AE233" i="1"/>
  <c r="R47" i="3" s="1"/>
  <c r="AF233" i="1"/>
  <c r="AH176" i="1"/>
  <c r="AM176" i="1"/>
  <c r="AN176" i="1"/>
  <c r="AO176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7" i="1"/>
  <c r="AM177" i="1"/>
  <c r="AN177" i="1"/>
  <c r="AO177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78" i="1"/>
  <c r="AM178" i="1"/>
  <c r="AN178" i="1"/>
  <c r="AO178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79" i="1"/>
  <c r="AM179" i="1"/>
  <c r="AN179" i="1"/>
  <c r="AO179" i="1"/>
  <c r="K237" i="1"/>
  <c r="L237" i="1"/>
  <c r="M237" i="1"/>
  <c r="N237" i="1" s="1"/>
  <c r="V237" i="1"/>
  <c r="S58" i="3" s="1"/>
  <c r="Y237" i="1"/>
  <c r="Z237" i="1"/>
  <c r="AB237" i="1"/>
  <c r="AC237" i="1"/>
  <c r="AD237" i="1"/>
  <c r="AE237" i="1"/>
  <c r="R58" i="3" s="1"/>
  <c r="AF237" i="1"/>
  <c r="AH180" i="1"/>
  <c r="AM180" i="1"/>
  <c r="AN180" i="1"/>
  <c r="AO180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1" i="1"/>
  <c r="AM181" i="1"/>
  <c r="AN181" i="1"/>
  <c r="AO181" i="1"/>
  <c r="K239" i="1"/>
  <c r="L239" i="1"/>
  <c r="M239" i="1"/>
  <c r="N239" i="1" s="1"/>
  <c r="V239" i="1"/>
  <c r="S50" i="3" s="1"/>
  <c r="Y239" i="1"/>
  <c r="Z239" i="1"/>
  <c r="AA239" i="1" s="1"/>
  <c r="AB239" i="1"/>
  <c r="AC239" i="1"/>
  <c r="AD239" i="1"/>
  <c r="AE239" i="1"/>
  <c r="R50" i="3" s="1"/>
  <c r="AF239" i="1"/>
  <c r="AH182" i="1"/>
  <c r="AM182" i="1"/>
  <c r="AN182" i="1"/>
  <c r="AO182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3" i="1"/>
  <c r="AM183" i="1"/>
  <c r="AN183" i="1"/>
  <c r="AO183" i="1"/>
  <c r="K241" i="1"/>
  <c r="L241" i="1"/>
  <c r="M241" i="1"/>
  <c r="N241" i="1" s="1"/>
  <c r="V241" i="1"/>
  <c r="S52" i="3" s="1"/>
  <c r="Y241" i="1"/>
  <c r="Z241" i="1"/>
  <c r="AB241" i="1"/>
  <c r="AC241" i="1"/>
  <c r="AD241" i="1"/>
  <c r="AE241" i="1"/>
  <c r="R52" i="3" s="1"/>
  <c r="AF241" i="1"/>
  <c r="AH184" i="1"/>
  <c r="AM184" i="1"/>
  <c r="AN184" i="1"/>
  <c r="AO184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5" i="1"/>
  <c r="AM185" i="1"/>
  <c r="AN185" i="1"/>
  <c r="AO185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6" i="1"/>
  <c r="AM186" i="1"/>
  <c r="AN186" i="1"/>
  <c r="AO186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87" i="1"/>
  <c r="AM187" i="1"/>
  <c r="AN187" i="1"/>
  <c r="AO187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88" i="1"/>
  <c r="AM188" i="1"/>
  <c r="AN188" i="1"/>
  <c r="AO188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189" i="1"/>
  <c r="AM189" i="1"/>
  <c r="AN189" i="1"/>
  <c r="AO189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0" i="1"/>
  <c r="AM190" i="1"/>
  <c r="AN190" i="1"/>
  <c r="AO190" i="1"/>
  <c r="K248" i="1"/>
  <c r="L248" i="1"/>
  <c r="M248" i="1"/>
  <c r="N248" i="1" s="1"/>
  <c r="V248" i="1"/>
  <c r="S55" i="3" s="1"/>
  <c r="Y248" i="1"/>
  <c r="Z248" i="1"/>
  <c r="AB248" i="1"/>
  <c r="AC248" i="1"/>
  <c r="AD248" i="1"/>
  <c r="AE248" i="1"/>
  <c r="R55" i="3" s="1"/>
  <c r="AF248" i="1"/>
  <c r="AH191" i="1"/>
  <c r="AM191" i="1"/>
  <c r="AN191" i="1"/>
  <c r="AO191" i="1"/>
  <c r="K249" i="1"/>
  <c r="L249" i="1"/>
  <c r="M249" i="1"/>
  <c r="N249" i="1" s="1"/>
  <c r="V249" i="1"/>
  <c r="Y249" i="1"/>
  <c r="Z249" i="1"/>
  <c r="AB249" i="1"/>
  <c r="AC249" i="1"/>
  <c r="AD249" i="1"/>
  <c r="AE249" i="1"/>
  <c r="AF249" i="1"/>
  <c r="AH192" i="1"/>
  <c r="AM192" i="1"/>
  <c r="AN192" i="1"/>
  <c r="AO192" i="1"/>
  <c r="K250" i="1"/>
  <c r="L250" i="1"/>
  <c r="M250" i="1"/>
  <c r="N250" i="1" s="1"/>
  <c r="V250" i="1"/>
  <c r="S48" i="3" s="1"/>
  <c r="Y250" i="1"/>
  <c r="Z250" i="1"/>
  <c r="AB250" i="1"/>
  <c r="AC250" i="1"/>
  <c r="AD250" i="1"/>
  <c r="AE250" i="1"/>
  <c r="R48" i="3" s="1"/>
  <c r="AF250" i="1"/>
  <c r="AH193" i="1"/>
  <c r="AM193" i="1"/>
  <c r="AN193" i="1"/>
  <c r="AO193" i="1"/>
  <c r="K251" i="1"/>
  <c r="L251" i="1"/>
  <c r="M251" i="1"/>
  <c r="N251" i="1" s="1"/>
  <c r="V251" i="1"/>
  <c r="Y251" i="1"/>
  <c r="Z251" i="1"/>
  <c r="AB251" i="1"/>
  <c r="AC251" i="1"/>
  <c r="AD251" i="1"/>
  <c r="AE251" i="1"/>
  <c r="AF251" i="1"/>
  <c r="AH194" i="1"/>
  <c r="AM194" i="1"/>
  <c r="AN194" i="1"/>
  <c r="AO194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195" i="1"/>
  <c r="AM195" i="1"/>
  <c r="AN195" i="1"/>
  <c r="AO195" i="1"/>
  <c r="K253" i="1"/>
  <c r="L253" i="1"/>
  <c r="M253" i="1"/>
  <c r="N253" i="1" s="1"/>
  <c r="V253" i="1"/>
  <c r="S46" i="3" s="1"/>
  <c r="Y253" i="1"/>
  <c r="Z253" i="1"/>
  <c r="AB253" i="1"/>
  <c r="AC253" i="1"/>
  <c r="AD253" i="1"/>
  <c r="AE253" i="1"/>
  <c r="R46" i="3" s="1"/>
  <c r="AF253" i="1"/>
  <c r="AH196" i="1"/>
  <c r="AM196" i="1"/>
  <c r="AN196" i="1"/>
  <c r="AO19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7" i="1"/>
  <c r="AM197" i="1"/>
  <c r="AN197" i="1"/>
  <c r="AO19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8" i="1"/>
  <c r="AM198" i="1"/>
  <c r="AN198" i="1"/>
  <c r="AO19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9" i="1"/>
  <c r="AM199" i="1"/>
  <c r="AN199" i="1"/>
  <c r="AO199" i="1"/>
  <c r="K160" i="1"/>
  <c r="L160" i="1"/>
  <c r="M160" i="1"/>
  <c r="N160" i="1" s="1"/>
  <c r="V160" i="1"/>
  <c r="S36" i="3" s="1"/>
  <c r="Y160" i="1"/>
  <c r="Z160" i="1"/>
  <c r="AB160" i="1"/>
  <c r="AC160" i="1"/>
  <c r="AD160" i="1"/>
  <c r="AE160" i="1"/>
  <c r="R36" i="3" s="1"/>
  <c r="AF160" i="1"/>
  <c r="AH200" i="1"/>
  <c r="AM200" i="1"/>
  <c r="AN200" i="1"/>
  <c r="AO20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201" i="1"/>
  <c r="AM201" i="1"/>
  <c r="AN201" i="1"/>
  <c r="AO201" i="1"/>
  <c r="K162" i="1"/>
  <c r="L162" i="1"/>
  <c r="M162" i="1"/>
  <c r="N162" i="1" s="1"/>
  <c r="V162" i="1"/>
  <c r="S37" i="3" s="1"/>
  <c r="Y162" i="1"/>
  <c r="Z162" i="1"/>
  <c r="AB162" i="1"/>
  <c r="AC162" i="1"/>
  <c r="AD162" i="1"/>
  <c r="AE162" i="1"/>
  <c r="R37" i="3" s="1"/>
  <c r="AF162" i="1"/>
  <c r="AH202" i="1"/>
  <c r="AM202" i="1"/>
  <c r="AN202" i="1"/>
  <c r="AO202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AH203" i="1"/>
  <c r="AM203" i="1"/>
  <c r="AN203" i="1"/>
  <c r="AO20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204" i="1"/>
  <c r="AM204" i="1"/>
  <c r="AN204" i="1"/>
  <c r="AO20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05" i="1"/>
  <c r="AM205" i="1"/>
  <c r="AN205" i="1"/>
  <c r="AO205" i="1"/>
  <c r="K166" i="1"/>
  <c r="L166" i="1"/>
  <c r="M166" i="1"/>
  <c r="V166" i="1"/>
  <c r="S32" i="3" s="1"/>
  <c r="Y166" i="1"/>
  <c r="Z166" i="1"/>
  <c r="AB166" i="1"/>
  <c r="AC166" i="1"/>
  <c r="AD166" i="1"/>
  <c r="AE166" i="1"/>
  <c r="R33" i="3" s="1"/>
  <c r="AF166" i="1"/>
  <c r="AH206" i="1"/>
  <c r="AM206" i="1"/>
  <c r="AN206" i="1"/>
  <c r="AO206" i="1"/>
  <c r="K167" i="1"/>
  <c r="L167" i="1"/>
  <c r="M167" i="1"/>
  <c r="V167" i="1"/>
  <c r="Y167" i="1"/>
  <c r="Z167" i="1"/>
  <c r="AB167" i="1"/>
  <c r="AC167" i="1"/>
  <c r="AD167" i="1"/>
  <c r="AE167" i="1"/>
  <c r="AF167" i="1"/>
  <c r="AH208" i="1"/>
  <c r="AM208" i="1"/>
  <c r="AN208" i="1"/>
  <c r="AO208" i="1"/>
  <c r="K254" i="1"/>
  <c r="L254" i="1"/>
  <c r="M254" i="1"/>
  <c r="N254" i="1" s="1"/>
  <c r="V254" i="1"/>
  <c r="Y254" i="1"/>
  <c r="Z254" i="1"/>
  <c r="AB254" i="1"/>
  <c r="AC254" i="1"/>
  <c r="AD254" i="1"/>
  <c r="AE254" i="1"/>
  <c r="AF254" i="1"/>
  <c r="AH209" i="1"/>
  <c r="AM209" i="1"/>
  <c r="AN209" i="1"/>
  <c r="AO209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10" i="1"/>
  <c r="AM210" i="1"/>
  <c r="AN210" i="1"/>
  <c r="AO210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11" i="1"/>
  <c r="AM211" i="1"/>
  <c r="AN211" i="1"/>
  <c r="AO21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12" i="1"/>
  <c r="AM212" i="1"/>
  <c r="AN212" i="1"/>
  <c r="AO212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13" i="1"/>
  <c r="AM213" i="1"/>
  <c r="AN213" i="1"/>
  <c r="AO213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14" i="1"/>
  <c r="AM214" i="1"/>
  <c r="AN214" i="1"/>
  <c r="AO214" i="1"/>
  <c r="K173" i="1"/>
  <c r="L173" i="1"/>
  <c r="M173" i="1"/>
  <c r="N173" i="1" s="1"/>
  <c r="V173" i="1"/>
  <c r="Y173" i="1"/>
  <c r="Z173" i="1"/>
  <c r="AA173" i="1" s="1"/>
  <c r="AB173" i="1"/>
  <c r="AC173" i="1"/>
  <c r="AD173" i="1"/>
  <c r="AE173" i="1"/>
  <c r="AF173" i="1"/>
  <c r="AH215" i="1"/>
  <c r="AM215" i="1"/>
  <c r="AN215" i="1"/>
  <c r="AO215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16" i="1"/>
  <c r="AM216" i="1"/>
  <c r="AN216" i="1"/>
  <c r="AO216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7" i="1"/>
  <c r="AM217" i="1"/>
  <c r="AN217" i="1"/>
  <c r="AO217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18" i="1"/>
  <c r="AM218" i="1"/>
  <c r="AN218" i="1"/>
  <c r="AO218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9" i="1"/>
  <c r="AM219" i="1"/>
  <c r="AN219" i="1"/>
  <c r="AO219" i="1"/>
  <c r="K255" i="1"/>
  <c r="L255" i="1"/>
  <c r="M255" i="1"/>
  <c r="N255" i="1" s="1"/>
  <c r="V255" i="1"/>
  <c r="Y255" i="1"/>
  <c r="Z255" i="1"/>
  <c r="AB255" i="1"/>
  <c r="AC255" i="1"/>
  <c r="AD255" i="1"/>
  <c r="AE255" i="1"/>
  <c r="AF255" i="1"/>
  <c r="AH220" i="1"/>
  <c r="AM220" i="1"/>
  <c r="AN220" i="1"/>
  <c r="AO220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21" i="1"/>
  <c r="AM221" i="1"/>
  <c r="AN221" i="1"/>
  <c r="AO221" i="1"/>
  <c r="K179" i="1"/>
  <c r="L179" i="1"/>
  <c r="M179" i="1"/>
  <c r="N179" i="1" s="1"/>
  <c r="V179" i="1"/>
  <c r="S30" i="3" s="1"/>
  <c r="Y179" i="1"/>
  <c r="AB179" i="1"/>
  <c r="AC179" i="1"/>
  <c r="AD179" i="1"/>
  <c r="AE179" i="1"/>
  <c r="R30" i="3" s="1"/>
  <c r="AF179" i="1"/>
  <c r="AH222" i="1"/>
  <c r="AM222" i="1"/>
  <c r="AN222" i="1"/>
  <c r="AO222" i="1"/>
  <c r="K180" i="1"/>
  <c r="L180" i="1"/>
  <c r="M180" i="1"/>
  <c r="V180" i="1"/>
  <c r="Y180" i="1"/>
  <c r="Z180" i="1"/>
  <c r="AB180" i="1"/>
  <c r="AC180" i="1"/>
  <c r="AD180" i="1"/>
  <c r="AE180" i="1"/>
  <c r="AF180" i="1"/>
  <c r="AH223" i="1"/>
  <c r="AM223" i="1"/>
  <c r="AN223" i="1"/>
  <c r="AO223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24" i="1"/>
  <c r="AM224" i="1"/>
  <c r="AN224" i="1"/>
  <c r="AO224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25" i="1"/>
  <c r="AM225" i="1"/>
  <c r="AN225" i="1"/>
  <c r="AO225" i="1"/>
  <c r="K183" i="1"/>
  <c r="L183" i="1"/>
  <c r="M183" i="1"/>
  <c r="N183" i="1" s="1"/>
  <c r="V183" i="1"/>
  <c r="S34" i="3" s="1"/>
  <c r="Y183" i="1"/>
  <c r="Z183" i="1"/>
  <c r="AB183" i="1"/>
  <c r="AC183" i="1"/>
  <c r="AD183" i="1"/>
  <c r="AE183" i="1"/>
  <c r="R34" i="3" s="1"/>
  <c r="AF183" i="1"/>
  <c r="AH226" i="1"/>
  <c r="AM226" i="1"/>
  <c r="AN226" i="1"/>
  <c r="AO226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27" i="1"/>
  <c r="AM227" i="1"/>
  <c r="AN227" i="1"/>
  <c r="AO227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28" i="1"/>
  <c r="AM228" i="1"/>
  <c r="AN228" i="1"/>
  <c r="AO228" i="1"/>
  <c r="K186" i="1"/>
  <c r="L186" i="1"/>
  <c r="M186" i="1"/>
  <c r="N186" i="1" s="1"/>
  <c r="V186" i="1"/>
  <c r="Y186" i="1"/>
  <c r="AA186" i="1" s="1"/>
  <c r="Z186" i="1"/>
  <c r="AB186" i="1"/>
  <c r="AC186" i="1"/>
  <c r="AD186" i="1"/>
  <c r="AE186" i="1"/>
  <c r="AF186" i="1"/>
  <c r="AH229" i="1"/>
  <c r="AM229" i="1"/>
  <c r="AN229" i="1"/>
  <c r="AO229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30" i="1"/>
  <c r="AM230" i="1"/>
  <c r="AN230" i="1"/>
  <c r="AO230" i="1"/>
  <c r="K188" i="1"/>
  <c r="L188" i="1"/>
  <c r="M188" i="1"/>
  <c r="N188" i="1" s="1"/>
  <c r="V188" i="1"/>
  <c r="Y188" i="1"/>
  <c r="Z188" i="1"/>
  <c r="AA188" i="1"/>
  <c r="AB188" i="1"/>
  <c r="AC188" i="1"/>
  <c r="AD188" i="1"/>
  <c r="AE188" i="1"/>
  <c r="AF188" i="1"/>
  <c r="AH231" i="1"/>
  <c r="AM231" i="1"/>
  <c r="AN231" i="1"/>
  <c r="AO231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32" i="1"/>
  <c r="AM232" i="1"/>
  <c r="AN232" i="1"/>
  <c r="AO232" i="1"/>
  <c r="K190" i="1"/>
  <c r="L190" i="1"/>
  <c r="M190" i="1"/>
  <c r="N190" i="1" s="1"/>
  <c r="V190" i="1"/>
  <c r="S38" i="3" s="1"/>
  <c r="Y190" i="1"/>
  <c r="Z190" i="1"/>
  <c r="AB190" i="1"/>
  <c r="AC190" i="1"/>
  <c r="AD190" i="1"/>
  <c r="AE190" i="1"/>
  <c r="R38" i="3" s="1"/>
  <c r="AF190" i="1"/>
  <c r="AH233" i="1"/>
  <c r="AM233" i="1"/>
  <c r="AN233" i="1"/>
  <c r="AO233" i="1"/>
  <c r="K191" i="1"/>
  <c r="L191" i="1"/>
  <c r="M191" i="1"/>
  <c r="N191" i="1" s="1"/>
  <c r="V191" i="1"/>
  <c r="S31" i="3" s="1"/>
  <c r="Y191" i="1"/>
  <c r="Z191" i="1"/>
  <c r="AB191" i="1"/>
  <c r="AC191" i="1"/>
  <c r="AD191" i="1"/>
  <c r="AE191" i="1"/>
  <c r="R31" i="3" s="1"/>
  <c r="AF191" i="1"/>
  <c r="AH234" i="1"/>
  <c r="AM234" i="1"/>
  <c r="AN234" i="1"/>
  <c r="AO234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35" i="1"/>
  <c r="AM235" i="1"/>
  <c r="AN235" i="1"/>
  <c r="AO235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36" i="1"/>
  <c r="AM236" i="1"/>
  <c r="AN236" i="1"/>
  <c r="AO236" i="1"/>
  <c r="K194" i="1"/>
  <c r="L194" i="1"/>
  <c r="M194" i="1"/>
  <c r="N194" i="1" s="1"/>
  <c r="V194" i="1"/>
  <c r="Y194" i="1"/>
  <c r="Z194" i="1"/>
  <c r="AA194" i="1" s="1"/>
  <c r="AB194" i="1"/>
  <c r="AC194" i="1"/>
  <c r="AD194" i="1"/>
  <c r="AE194" i="1"/>
  <c r="AF194" i="1"/>
  <c r="AH237" i="1"/>
  <c r="AM237" i="1"/>
  <c r="AN237" i="1"/>
  <c r="AO237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38" i="1"/>
  <c r="AM238" i="1"/>
  <c r="AN238" i="1"/>
  <c r="AO238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39" i="1"/>
  <c r="AM239" i="1"/>
  <c r="AN239" i="1"/>
  <c r="AO239" i="1"/>
  <c r="K197" i="1"/>
  <c r="L197" i="1"/>
  <c r="M197" i="1"/>
  <c r="N197" i="1"/>
  <c r="V197" i="1"/>
  <c r="Y197" i="1"/>
  <c r="Z197" i="1"/>
  <c r="AB197" i="1"/>
  <c r="AC197" i="1"/>
  <c r="AD197" i="1"/>
  <c r="AE197" i="1"/>
  <c r="AF197" i="1"/>
  <c r="AH240" i="1"/>
  <c r="AM240" i="1"/>
  <c r="AN240" i="1"/>
  <c r="AO240" i="1"/>
  <c r="K198" i="1"/>
  <c r="L198" i="1"/>
  <c r="M198" i="1"/>
  <c r="N198" i="1" s="1"/>
  <c r="V198" i="1"/>
  <c r="S39" i="3" s="1"/>
  <c r="Y198" i="1"/>
  <c r="Z198" i="1"/>
  <c r="AB198" i="1"/>
  <c r="AC198" i="1"/>
  <c r="AD198" i="1"/>
  <c r="AE198" i="1"/>
  <c r="R39" i="3" s="1"/>
  <c r="AF198" i="1"/>
  <c r="AH241" i="1"/>
  <c r="AM241" i="1"/>
  <c r="AN241" i="1"/>
  <c r="AO241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42" i="1"/>
  <c r="AM242" i="1"/>
  <c r="AN242" i="1"/>
  <c r="AO242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43" i="1"/>
  <c r="AM243" i="1"/>
  <c r="AN243" i="1"/>
  <c r="AO243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44" i="1"/>
  <c r="AM244" i="1"/>
  <c r="AN244" i="1"/>
  <c r="AO244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45" i="1"/>
  <c r="AM245" i="1"/>
  <c r="AN245" i="1"/>
  <c r="AO24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46" i="1"/>
  <c r="AM246" i="1"/>
  <c r="AN246" i="1"/>
  <c r="AO246" i="1"/>
  <c r="K204" i="1"/>
  <c r="L204" i="1"/>
  <c r="M204" i="1"/>
  <c r="N204" i="1" s="1"/>
  <c r="V204" i="1"/>
  <c r="S40" i="3" s="1"/>
  <c r="Y204" i="1"/>
  <c r="Z204" i="1"/>
  <c r="AB204" i="1"/>
  <c r="AC204" i="1"/>
  <c r="AD204" i="1"/>
  <c r="AE204" i="1"/>
  <c r="R40" i="3" s="1"/>
  <c r="AF204" i="1"/>
  <c r="AH247" i="1"/>
  <c r="AM247" i="1"/>
  <c r="AN247" i="1"/>
  <c r="AO24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48" i="1"/>
  <c r="AM248" i="1"/>
  <c r="AN248" i="1"/>
  <c r="AO24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49" i="1"/>
  <c r="AM249" i="1"/>
  <c r="AN249" i="1"/>
  <c r="AO24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50" i="1"/>
  <c r="AM250" i="1"/>
  <c r="AN250" i="1"/>
  <c r="AO25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51" i="1"/>
  <c r="AM251" i="1"/>
  <c r="AN251" i="1"/>
  <c r="AO25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52" i="1"/>
  <c r="AM252" i="1"/>
  <c r="AN252" i="1"/>
  <c r="AO252" i="1"/>
  <c r="K223" i="1"/>
  <c r="L223" i="1"/>
  <c r="M223" i="1"/>
  <c r="N223" i="1" s="1"/>
  <c r="V223" i="1"/>
  <c r="S44" i="3" s="1"/>
  <c r="Y223" i="1"/>
  <c r="Z223" i="1"/>
  <c r="AB223" i="1"/>
  <c r="AC223" i="1"/>
  <c r="AD223" i="1"/>
  <c r="AE223" i="1"/>
  <c r="AF223" i="1"/>
  <c r="AH253" i="1"/>
  <c r="AM253" i="1"/>
  <c r="AN253" i="1"/>
  <c r="AO253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54" i="1"/>
  <c r="AM254" i="1"/>
  <c r="AN254" i="1"/>
  <c r="AO254" i="1"/>
  <c r="K225" i="1"/>
  <c r="L225" i="1"/>
  <c r="M225" i="1"/>
  <c r="N225" i="1" s="1"/>
  <c r="V225" i="1"/>
  <c r="Y225" i="1"/>
  <c r="Z225" i="1"/>
  <c r="AA225" i="1" s="1"/>
  <c r="AB225" i="1"/>
  <c r="AC225" i="1"/>
  <c r="AD225" i="1"/>
  <c r="AE225" i="1"/>
  <c r="AF225" i="1"/>
  <c r="AH255" i="1"/>
  <c r="AM255" i="1"/>
  <c r="AN255" i="1"/>
  <c r="AO255" i="1"/>
  <c r="M53" i="3"/>
  <c r="U53" i="3"/>
  <c r="T53" i="3" s="1"/>
  <c r="V53" i="3"/>
  <c r="X53" i="3"/>
  <c r="M25" i="3"/>
  <c r="U25" i="3"/>
  <c r="AC25" i="3" s="1"/>
  <c r="V25" i="3"/>
  <c r="X25" i="3"/>
  <c r="M16" i="3"/>
  <c r="U16" i="3"/>
  <c r="AD16" i="3" s="1"/>
  <c r="V16" i="3"/>
  <c r="X16" i="3"/>
  <c r="M26" i="3"/>
  <c r="U26" i="3"/>
  <c r="AC26" i="3" s="1"/>
  <c r="V26" i="3"/>
  <c r="X26" i="3"/>
  <c r="M27" i="3"/>
  <c r="U27" i="3"/>
  <c r="T27" i="3" s="1"/>
  <c r="V27" i="3"/>
  <c r="X27" i="3"/>
  <c r="M36" i="3"/>
  <c r="U36" i="3"/>
  <c r="AD36" i="3" s="1"/>
  <c r="V36" i="3"/>
  <c r="X36" i="3"/>
  <c r="M19" i="3"/>
  <c r="U19" i="3"/>
  <c r="AD19" i="3" s="1"/>
  <c r="V19" i="3"/>
  <c r="X19" i="3"/>
  <c r="M9" i="3"/>
  <c r="U9" i="3"/>
  <c r="V9" i="3"/>
  <c r="X9" i="3"/>
  <c r="M37" i="3"/>
  <c r="U37" i="3"/>
  <c r="T37" i="3" s="1"/>
  <c r="V37" i="3"/>
  <c r="X37" i="3"/>
  <c r="M15" i="3"/>
  <c r="U15" i="3"/>
  <c r="AC15" i="3" s="1"/>
  <c r="V15" i="3"/>
  <c r="X15" i="3"/>
  <c r="M13" i="3"/>
  <c r="S13" i="3"/>
  <c r="U13" i="3"/>
  <c r="V13" i="3"/>
  <c r="X13" i="3"/>
  <c r="M20" i="3"/>
  <c r="S20" i="3"/>
  <c r="U20" i="3"/>
  <c r="AD20" i="3" s="1"/>
  <c r="V20" i="3"/>
  <c r="X20" i="3"/>
  <c r="M32" i="3"/>
  <c r="U32" i="3"/>
  <c r="T32" i="3" s="1"/>
  <c r="V32" i="3"/>
  <c r="X32" i="3"/>
  <c r="M33" i="3"/>
  <c r="U33" i="3"/>
  <c r="V33" i="3"/>
  <c r="X33" i="3"/>
  <c r="M28" i="3"/>
  <c r="S28" i="3"/>
  <c r="U28" i="3"/>
  <c r="AD28" i="3" s="1"/>
  <c r="V28" i="3"/>
  <c r="X28" i="3"/>
  <c r="M29" i="3"/>
  <c r="U29" i="3"/>
  <c r="V29" i="3"/>
  <c r="X29" i="3"/>
  <c r="M54" i="3"/>
  <c r="U54" i="3"/>
  <c r="T54" i="3" s="1"/>
  <c r="V54" i="3"/>
  <c r="X54" i="3"/>
  <c r="M51" i="3"/>
  <c r="U51" i="3"/>
  <c r="AC51" i="3" s="1"/>
  <c r="V51" i="3"/>
  <c r="X51" i="3"/>
  <c r="M21" i="3"/>
  <c r="U21" i="3"/>
  <c r="V21" i="3"/>
  <c r="X21" i="3"/>
  <c r="M50" i="3"/>
  <c r="U50" i="3"/>
  <c r="V50" i="3"/>
  <c r="X50" i="3"/>
  <c r="M11" i="3"/>
  <c r="U11" i="3"/>
  <c r="T11" i="3" s="1"/>
  <c r="V11" i="3"/>
  <c r="X11" i="3"/>
  <c r="M47" i="3"/>
  <c r="U47" i="3"/>
  <c r="AC47" i="3" s="1"/>
  <c r="V47" i="3"/>
  <c r="X47" i="3"/>
  <c r="M57" i="3"/>
  <c r="U57" i="3"/>
  <c r="T57" i="3" s="1"/>
  <c r="V57" i="3"/>
  <c r="AE57" i="3" s="1"/>
  <c r="X57" i="3"/>
  <c r="M52" i="3"/>
  <c r="U52" i="3"/>
  <c r="T52" i="3" s="1"/>
  <c r="V52" i="3"/>
  <c r="X52" i="3"/>
  <c r="M58" i="3"/>
  <c r="U58" i="3"/>
  <c r="T58" i="3" s="1"/>
  <c r="V58" i="3"/>
  <c r="X58" i="3"/>
  <c r="M22" i="3"/>
  <c r="U22" i="3"/>
  <c r="AC22" i="3" s="1"/>
  <c r="V22" i="3"/>
  <c r="X22" i="3"/>
  <c r="M30" i="3"/>
  <c r="U30" i="3"/>
  <c r="T30" i="3" s="1"/>
  <c r="V30" i="3"/>
  <c r="X30" i="3"/>
  <c r="M35" i="3"/>
  <c r="U35" i="3"/>
  <c r="V35" i="3"/>
  <c r="X35" i="3"/>
  <c r="M10" i="3"/>
  <c r="U10" i="3"/>
  <c r="T10" i="3" s="1"/>
  <c r="V10" i="3"/>
  <c r="X10" i="3"/>
  <c r="M48" i="3"/>
  <c r="U48" i="3"/>
  <c r="AC48" i="3" s="1"/>
  <c r="V48" i="3"/>
  <c r="X48" i="3"/>
  <c r="M49" i="3"/>
  <c r="U49" i="3"/>
  <c r="T49" i="3" s="1"/>
  <c r="V49" i="3"/>
  <c r="X49" i="3"/>
  <c r="M17" i="3"/>
  <c r="U17" i="3"/>
  <c r="T17" i="3" s="1"/>
  <c r="V17" i="3"/>
  <c r="X17" i="3"/>
  <c r="M12" i="3"/>
  <c r="U12" i="3"/>
  <c r="T12" i="3" s="1"/>
  <c r="V12" i="3"/>
  <c r="X12" i="3"/>
  <c r="M34" i="3"/>
  <c r="U34" i="3"/>
  <c r="AC34" i="3" s="1"/>
  <c r="V34" i="3"/>
  <c r="X34" i="3"/>
  <c r="M55" i="3"/>
  <c r="U55" i="3"/>
  <c r="AD55" i="3" s="1"/>
  <c r="V55" i="3"/>
  <c r="X55" i="3"/>
  <c r="M43" i="3"/>
  <c r="U43" i="3"/>
  <c r="T43" i="3" s="1"/>
  <c r="V43" i="3"/>
  <c r="X43" i="3"/>
  <c r="M44" i="3"/>
  <c r="U44" i="3"/>
  <c r="T44" i="3" s="1"/>
  <c r="V44" i="3"/>
  <c r="X44" i="3"/>
  <c r="M7" i="3"/>
  <c r="U7" i="3"/>
  <c r="AC7" i="3" s="1"/>
  <c r="V7" i="3"/>
  <c r="X7" i="3"/>
  <c r="M46" i="3"/>
  <c r="U46" i="3"/>
  <c r="T46" i="3" s="1"/>
  <c r="V46" i="3"/>
  <c r="X46" i="3"/>
  <c r="M56" i="3"/>
  <c r="U56" i="3"/>
  <c r="T56" i="3" s="1"/>
  <c r="V56" i="3"/>
  <c r="X56" i="3"/>
  <c r="M45" i="3"/>
  <c r="U45" i="3"/>
  <c r="T45" i="3" s="1"/>
  <c r="V45" i="3"/>
  <c r="X45" i="3"/>
  <c r="M38" i="3"/>
  <c r="U38" i="3"/>
  <c r="AC38" i="3" s="1"/>
  <c r="V38" i="3"/>
  <c r="X38" i="3"/>
  <c r="M8" i="3"/>
  <c r="S8" i="3"/>
  <c r="U8" i="3"/>
  <c r="AC8" i="3" s="1"/>
  <c r="V8" i="3"/>
  <c r="X8" i="3"/>
  <c r="M31" i="3"/>
  <c r="U31" i="3"/>
  <c r="AD31" i="3" s="1"/>
  <c r="V31" i="3"/>
  <c r="X31" i="3"/>
  <c r="M23" i="3"/>
  <c r="R23" i="3"/>
  <c r="S23" i="3"/>
  <c r="U23" i="3"/>
  <c r="AC23" i="3" s="1"/>
  <c r="V23" i="3"/>
  <c r="X23" i="3"/>
  <c r="M18" i="3"/>
  <c r="U18" i="3"/>
  <c r="V18" i="3"/>
  <c r="X18" i="3"/>
  <c r="M39" i="3"/>
  <c r="U39" i="3"/>
  <c r="AC39" i="3" s="1"/>
  <c r="V39" i="3"/>
  <c r="X39" i="3"/>
  <c r="M24" i="3"/>
  <c r="U24" i="3"/>
  <c r="T24" i="3" s="1"/>
  <c r="V24" i="3"/>
  <c r="X24" i="3"/>
  <c r="M40" i="3"/>
  <c r="U40" i="3"/>
  <c r="AC40" i="3" s="1"/>
  <c r="V40" i="3"/>
  <c r="X40" i="3"/>
  <c r="M14" i="3"/>
  <c r="U14" i="3"/>
  <c r="AD57" i="3" s="1"/>
  <c r="V14" i="3"/>
  <c r="X14" i="3"/>
  <c r="M41" i="3"/>
  <c r="N41" i="3"/>
  <c r="R41" i="3"/>
  <c r="S41" i="3"/>
  <c r="U41" i="3"/>
  <c r="AC41" i="3" s="1"/>
  <c r="V41" i="3"/>
  <c r="X41" i="3"/>
  <c r="AG207" i="1"/>
  <c r="AG156" i="1"/>
  <c r="AG152" i="1"/>
  <c r="AG147" i="1"/>
  <c r="AG139" i="1"/>
  <c r="AG136" i="1"/>
  <c r="AG112" i="1"/>
  <c r="AG110" i="1"/>
  <c r="AG44" i="1"/>
  <c r="AG100" i="1"/>
  <c r="AG217" i="1"/>
  <c r="AG159" i="1"/>
  <c r="AG105" i="1"/>
  <c r="AG140" i="1"/>
  <c r="AG231" i="1"/>
  <c r="AG247" i="1"/>
  <c r="AG166" i="1"/>
  <c r="AG180" i="1"/>
  <c r="AG188" i="1"/>
  <c r="AG204" i="1"/>
  <c r="AG121" i="1"/>
  <c r="AG208" i="1"/>
  <c r="AG189" i="1"/>
  <c r="AG222" i="1"/>
  <c r="AG79" i="1"/>
  <c r="AG135" i="1"/>
  <c r="AG155" i="1"/>
  <c r="AG101" i="1"/>
  <c r="AG234" i="1"/>
  <c r="AG250" i="1"/>
  <c r="AG168" i="1"/>
  <c r="AG109" i="1"/>
  <c r="AG214" i="1"/>
  <c r="AG233" i="1"/>
  <c r="AG249" i="1"/>
  <c r="AG175" i="1"/>
  <c r="AG190" i="1"/>
  <c r="AG107" i="1"/>
  <c r="AG142" i="1"/>
  <c r="AG199" i="1"/>
  <c r="AG95" i="1"/>
  <c r="AG209" i="1"/>
  <c r="AG236" i="1"/>
  <c r="AG163" i="1"/>
  <c r="AG255" i="1"/>
  <c r="AG149" i="1"/>
  <c r="AG227" i="1"/>
  <c r="AG162" i="1"/>
  <c r="AG184" i="1"/>
  <c r="AG113" i="1"/>
  <c r="AG205" i="1"/>
  <c r="AG14" i="1"/>
  <c r="AG21" i="1"/>
  <c r="AG29" i="1"/>
  <c r="AG38" i="1"/>
  <c r="AG42" i="1"/>
  <c r="AG47" i="1"/>
  <c r="AG51" i="1"/>
  <c r="AG55" i="1"/>
  <c r="AG59" i="1"/>
  <c r="AG63" i="1"/>
  <c r="AG67" i="1"/>
  <c r="AG71" i="1"/>
  <c r="AG20" i="1"/>
  <c r="AG28" i="1"/>
  <c r="AG35" i="1"/>
  <c r="AG85" i="1"/>
  <c r="AG82" i="1"/>
  <c r="AG92" i="1"/>
  <c r="AG91" i="1"/>
  <c r="AG102" i="1"/>
  <c r="AG111" i="1"/>
  <c r="AG120" i="1"/>
  <c r="AG128" i="1"/>
  <c r="AG145" i="1"/>
  <c r="AG93" i="1"/>
  <c r="AG226" i="1"/>
  <c r="AG242" i="1"/>
  <c r="AG161" i="1"/>
  <c r="AG176" i="1"/>
  <c r="AG127" i="1"/>
  <c r="AG144" i="1"/>
  <c r="AG219" i="1"/>
  <c r="AG241" i="1"/>
  <c r="AG254" i="1"/>
  <c r="AG182" i="1"/>
  <c r="AG198" i="1"/>
  <c r="AG206" i="1"/>
  <c r="AG125" i="1"/>
  <c r="AG197" i="1"/>
  <c r="AG187" i="1"/>
  <c r="AG103" i="1"/>
  <c r="AG235" i="1"/>
  <c r="AG169" i="1"/>
  <c r="AG200" i="1"/>
  <c r="AG216" i="1"/>
  <c r="AG203" i="1"/>
  <c r="AG244" i="1"/>
  <c r="AG251" i="1"/>
  <c r="AG192" i="1"/>
  <c r="AG129" i="1"/>
  <c r="AG195" i="1"/>
  <c r="AG15" i="1"/>
  <c r="AG25" i="1"/>
  <c r="AG33" i="1"/>
  <c r="AG40" i="1"/>
  <c r="AG45" i="1"/>
  <c r="AG49" i="1"/>
  <c r="AG53" i="1"/>
  <c r="AG57" i="1"/>
  <c r="AG61" i="1"/>
  <c r="AG65" i="1"/>
  <c r="AG69" i="1"/>
  <c r="AG37" i="1"/>
  <c r="AG24" i="1"/>
  <c r="AG32" i="1"/>
  <c r="AG77" i="1"/>
  <c r="AG76" i="1"/>
  <c r="AG88" i="1"/>
  <c r="AG96" i="1"/>
  <c r="AG74" i="1"/>
  <c r="AG99" i="1"/>
  <c r="AG106" i="1"/>
  <c r="AG116" i="1"/>
  <c r="AG124" i="1"/>
  <c r="AG131" i="1"/>
  <c r="AG141" i="1"/>
  <c r="AG150" i="1"/>
  <c r="AG84" i="1"/>
  <c r="AG80" i="1"/>
  <c r="AG211" i="1"/>
  <c r="AG230" i="1"/>
  <c r="AG238" i="1"/>
  <c r="AG246" i="1"/>
  <c r="AG157" i="1"/>
  <c r="AG165" i="1"/>
  <c r="AG172" i="1"/>
  <c r="AG179" i="1"/>
  <c r="AG119" i="1"/>
  <c r="AG134" i="1"/>
  <c r="AG154" i="1"/>
  <c r="AG213" i="1"/>
  <c r="AG229" i="1"/>
  <c r="AG237" i="1"/>
  <c r="AG245" i="1"/>
  <c r="AG253" i="1"/>
  <c r="AG164" i="1"/>
  <c r="AG171" i="1"/>
  <c r="AG178" i="1"/>
  <c r="AG186" i="1"/>
  <c r="AG194" i="1"/>
  <c r="AG202" i="1"/>
  <c r="AG223" i="1"/>
  <c r="AG117" i="1"/>
  <c r="AG132" i="1"/>
  <c r="AG151" i="1"/>
  <c r="AG181" i="1"/>
  <c r="AG183" i="1"/>
  <c r="AG201" i="1"/>
  <c r="AG185" i="1"/>
  <c r="AG19" i="1"/>
  <c r="AG27" i="1"/>
  <c r="AG36" i="1"/>
  <c r="AG41" i="1"/>
  <c r="AG46" i="1"/>
  <c r="AG50" i="1"/>
  <c r="AG54" i="1"/>
  <c r="AG58" i="1"/>
  <c r="AG62" i="1"/>
  <c r="AG66" i="1"/>
  <c r="AG70" i="1"/>
  <c r="AG17" i="1"/>
  <c r="AG26" i="1"/>
  <c r="AG34" i="1"/>
  <c r="AG81" i="1"/>
  <c r="AG78" i="1"/>
  <c r="AG90" i="1"/>
  <c r="AG75" i="1"/>
  <c r="AG87" i="1"/>
  <c r="AG108" i="1"/>
  <c r="AG118" i="1"/>
  <c r="AG126" i="1"/>
  <c r="AG133" i="1"/>
  <c r="AG143" i="1"/>
  <c r="AG153" i="1"/>
  <c r="AG89" i="1"/>
  <c r="AG98" i="1"/>
  <c r="AG232" i="1"/>
  <c r="AG240" i="1"/>
  <c r="AG248" i="1"/>
  <c r="AG167" i="1"/>
  <c r="AG174" i="1"/>
  <c r="AG123" i="1"/>
  <c r="AG210" i="1"/>
  <c r="AG215" i="1"/>
  <c r="AG239" i="1"/>
  <c r="AG158" i="1"/>
  <c r="AG173" i="1"/>
  <c r="AG196" i="1"/>
  <c r="AG225" i="1"/>
  <c r="AG137" i="1"/>
  <c r="AG191" i="1"/>
  <c r="AG193" i="1"/>
  <c r="AG160" i="1"/>
  <c r="AG212" i="1"/>
  <c r="AG224" i="1"/>
  <c r="AG18" i="1"/>
  <c r="AG23" i="1"/>
  <c r="AG31" i="1"/>
  <c r="AG39" i="1"/>
  <c r="AG43" i="1"/>
  <c r="AG48" i="1"/>
  <c r="AG52" i="1"/>
  <c r="AG56" i="1"/>
  <c r="AG60" i="1"/>
  <c r="AG64" i="1"/>
  <c r="AG68" i="1"/>
  <c r="AG16" i="1"/>
  <c r="AG22" i="1"/>
  <c r="AG30" i="1"/>
  <c r="AG73" i="1"/>
  <c r="AG72" i="1"/>
  <c r="AG86" i="1"/>
  <c r="AG94" i="1"/>
  <c r="AG83" i="1"/>
  <c r="AG104" i="1"/>
  <c r="AG114" i="1"/>
  <c r="AG122" i="1"/>
  <c r="AG130" i="1"/>
  <c r="AG138" i="1"/>
  <c r="AG148" i="1"/>
  <c r="AG97" i="1"/>
  <c r="AG228" i="1"/>
  <c r="AG252" i="1"/>
  <c r="AG170" i="1"/>
  <c r="AG115" i="1"/>
  <c r="AG218" i="1"/>
  <c r="AG243" i="1"/>
  <c r="AG177" i="1"/>
  <c r="AG221" i="1"/>
  <c r="AG146" i="1"/>
  <c r="AG220" i="1"/>
  <c r="W36" i="3"/>
  <c r="W47" i="3"/>
  <c r="W7" i="3"/>
  <c r="W30" i="3"/>
  <c r="W28" i="3"/>
  <c r="W55" i="3"/>
  <c r="W20" i="3"/>
  <c r="W10" i="3"/>
  <c r="W35" i="3"/>
  <c r="W45" i="3"/>
  <c r="W11" i="3"/>
  <c r="W37" i="3"/>
  <c r="W8" i="3"/>
  <c r="W15" i="3"/>
  <c r="W22" i="3"/>
  <c r="W38" i="3"/>
  <c r="W16" i="3"/>
  <c r="W21" i="3"/>
  <c r="W46" i="3"/>
  <c r="W29" i="3"/>
  <c r="W56" i="3"/>
  <c r="W12" i="3"/>
  <c r="W31" i="3"/>
  <c r="W17" i="3"/>
  <c r="W50" i="3"/>
  <c r="W41" i="3"/>
  <c r="W25" i="3"/>
  <c r="W51" i="3"/>
  <c r="W34" i="3"/>
  <c r="W14" i="3"/>
  <c r="W13" i="3"/>
  <c r="W49" i="3"/>
  <c r="W9" i="3"/>
  <c r="W52" i="3"/>
  <c r="W54" i="3"/>
  <c r="W24" i="3"/>
  <c r="W27" i="3"/>
  <c r="W23" i="3"/>
  <c r="W43" i="3"/>
  <c r="W33" i="3"/>
  <c r="W48" i="3"/>
  <c r="W18" i="3"/>
  <c r="W19" i="3"/>
  <c r="W57" i="3"/>
  <c r="W26" i="3"/>
  <c r="W32" i="3"/>
  <c r="W40" i="3"/>
  <c r="W39" i="3"/>
  <c r="W53" i="3"/>
  <c r="W44" i="3"/>
  <c r="W58" i="3"/>
  <c r="AI207" i="1" l="1"/>
  <c r="U207" i="1"/>
  <c r="S207" i="1" s="1"/>
  <c r="W207" i="1"/>
  <c r="AI156" i="1"/>
  <c r="U156" i="1"/>
  <c r="S156" i="1" s="1"/>
  <c r="W156" i="1"/>
  <c r="X156" i="1"/>
  <c r="AI152" i="1"/>
  <c r="U152" i="1"/>
  <c r="S152" i="1" s="1"/>
  <c r="W152" i="1"/>
  <c r="S56" i="3"/>
  <c r="R27" i="3"/>
  <c r="AI147" i="1"/>
  <c r="U147" i="1"/>
  <c r="S147" i="1" s="1"/>
  <c r="W147" i="1"/>
  <c r="X147" i="1"/>
  <c r="AD53" i="3"/>
  <c r="AI139" i="1"/>
  <c r="U139" i="1"/>
  <c r="S139" i="1" s="1"/>
  <c r="W139" i="1"/>
  <c r="R49" i="3"/>
  <c r="R57" i="3"/>
  <c r="AI136" i="1"/>
  <c r="U136" i="1"/>
  <c r="S136" i="1" s="1"/>
  <c r="W136" i="1"/>
  <c r="X136" i="1"/>
  <c r="AE43" i="3"/>
  <c r="AD27" i="3"/>
  <c r="X46" i="1"/>
  <c r="X114" i="1"/>
  <c r="AD40" i="3"/>
  <c r="AE19" i="3"/>
  <c r="AA244" i="1"/>
  <c r="AA226" i="1"/>
  <c r="AA213" i="1"/>
  <c r="AA212" i="1"/>
  <c r="AA127" i="1"/>
  <c r="AA123" i="1"/>
  <c r="AA118" i="1"/>
  <c r="AA108" i="1"/>
  <c r="AA96" i="1"/>
  <c r="AA69" i="1"/>
  <c r="AA68" i="1"/>
  <c r="AA64" i="1"/>
  <c r="X63" i="1"/>
  <c r="X62" i="1"/>
  <c r="X50" i="1"/>
  <c r="X48" i="1"/>
  <c r="X47" i="1"/>
  <c r="X45" i="1"/>
  <c r="AA196" i="1"/>
  <c r="AA255" i="1"/>
  <c r="AA158" i="1"/>
  <c r="AA210" i="1"/>
  <c r="AA153" i="1"/>
  <c r="AA143" i="1"/>
  <c r="AA133" i="1"/>
  <c r="AA130" i="1"/>
  <c r="X70" i="1"/>
  <c r="X66" i="1"/>
  <c r="AA61" i="1"/>
  <c r="AA57" i="1"/>
  <c r="AA50" i="1"/>
  <c r="AA36" i="1"/>
  <c r="AA14" i="1"/>
  <c r="AI112" i="1"/>
  <c r="U112" i="1"/>
  <c r="S112" i="1" s="1"/>
  <c r="W112" i="1"/>
  <c r="AD44" i="3"/>
  <c r="S47" i="3"/>
  <c r="S33" i="3"/>
  <c r="S45" i="3"/>
  <c r="R20" i="3"/>
  <c r="R35" i="3"/>
  <c r="S54" i="3"/>
  <c r="AC27" i="3"/>
  <c r="AD43" i="3"/>
  <c r="S49" i="3"/>
  <c r="AI110" i="1"/>
  <c r="U110" i="1"/>
  <c r="S110" i="1" s="1"/>
  <c r="W110" i="1"/>
  <c r="X110" i="1"/>
  <c r="AD47" i="3"/>
  <c r="AD32" i="3"/>
  <c r="AC53" i="3"/>
  <c r="AC17" i="3"/>
  <c r="AD51" i="3"/>
  <c r="R56" i="3"/>
  <c r="AC44" i="3"/>
  <c r="AD56" i="3"/>
  <c r="AD48" i="3"/>
  <c r="AI44" i="1"/>
  <c r="U44" i="1"/>
  <c r="S44" i="1" s="1"/>
  <c r="W44" i="1"/>
  <c r="X44" i="1"/>
  <c r="R29" i="3"/>
  <c r="S43" i="3"/>
  <c r="AE51" i="3"/>
  <c r="R54" i="3"/>
  <c r="AD21" i="3"/>
  <c r="AD13" i="3"/>
  <c r="S27" i="3"/>
  <c r="AC12" i="3"/>
  <c r="AE35" i="3"/>
  <c r="T26" i="3"/>
  <c r="AC52" i="3"/>
  <c r="R45" i="3"/>
  <c r="AC43" i="3"/>
  <c r="S35" i="3"/>
  <c r="AC58" i="3"/>
  <c r="AE27" i="3"/>
  <c r="AE26" i="3"/>
  <c r="AC32" i="3"/>
  <c r="R32" i="3"/>
  <c r="AC20" i="3"/>
  <c r="T20" i="3"/>
  <c r="AA220" i="1"/>
  <c r="AA180" i="1"/>
  <c r="AA170" i="1"/>
  <c r="AA166" i="1"/>
  <c r="AA252" i="1"/>
  <c r="AA247" i="1"/>
  <c r="AA236" i="1"/>
  <c r="AA231" i="1"/>
  <c r="AA219" i="1"/>
  <c r="AA215" i="1"/>
  <c r="AA128" i="1"/>
  <c r="AA124" i="1"/>
  <c r="AA90" i="1"/>
  <c r="AA86" i="1"/>
  <c r="AA82" i="1"/>
  <c r="AA78" i="1"/>
  <c r="X69" i="1"/>
  <c r="AA67" i="1"/>
  <c r="AA66" i="1"/>
  <c r="AA63" i="1"/>
  <c r="AA62" i="1"/>
  <c r="AA58" i="1"/>
  <c r="AA56" i="1"/>
  <c r="X40" i="1"/>
  <c r="AA29" i="1"/>
  <c r="AA223" i="1"/>
  <c r="AA221" i="1"/>
  <c r="AA204" i="1"/>
  <c r="AA181" i="1"/>
  <c r="AA177" i="1"/>
  <c r="AA167" i="1"/>
  <c r="AA162" i="1"/>
  <c r="AA248" i="1"/>
  <c r="AA243" i="1"/>
  <c r="AA232" i="1"/>
  <c r="AA227" i="1"/>
  <c r="AA155" i="1"/>
  <c r="AA150" i="1"/>
  <c r="AA120" i="1"/>
  <c r="AA116" i="1"/>
  <c r="AA100" i="1"/>
  <c r="AA83" i="1"/>
  <c r="AA79" i="1"/>
  <c r="AA60" i="1"/>
  <c r="AA38" i="1"/>
  <c r="AA202" i="1"/>
  <c r="AA197" i="1"/>
  <c r="AA189" i="1"/>
  <c r="AA184" i="1"/>
  <c r="AA174" i="1"/>
  <c r="AA169" i="1"/>
  <c r="AA159" i="1"/>
  <c r="AA251" i="1"/>
  <c r="AA240" i="1"/>
  <c r="AA235" i="1"/>
  <c r="AA218" i="1"/>
  <c r="AA217" i="1"/>
  <c r="AA214" i="1"/>
  <c r="AA135" i="1"/>
  <c r="AA134" i="1"/>
  <c r="AA131" i="1"/>
  <c r="AA126" i="1"/>
  <c r="AA102" i="1"/>
  <c r="AA101" i="1"/>
  <c r="AA97" i="1"/>
  <c r="AA94" i="1"/>
  <c r="AA93" i="1"/>
  <c r="AA88" i="1"/>
  <c r="AA76" i="1"/>
  <c r="AA71" i="1"/>
  <c r="AA70" i="1"/>
  <c r="T69" i="1"/>
  <c r="AA54" i="1"/>
  <c r="AA52" i="1"/>
  <c r="AA51" i="1"/>
  <c r="AA48" i="1"/>
  <c r="AA47" i="1"/>
  <c r="AA45" i="1"/>
  <c r="AA42" i="1"/>
  <c r="AA40" i="1"/>
  <c r="AA199" i="1"/>
  <c r="AA198" i="1"/>
  <c r="AA205" i="1"/>
  <c r="W205" i="1" s="1"/>
  <c r="AA200" i="1"/>
  <c r="AA192" i="1"/>
  <c r="AA206" i="1"/>
  <c r="AA191" i="1"/>
  <c r="AA190" i="1"/>
  <c r="AA179" i="1"/>
  <c r="W179" i="1" s="1"/>
  <c r="AA178" i="1"/>
  <c r="AA172" i="1"/>
  <c r="AA171" i="1"/>
  <c r="AA165" i="1"/>
  <c r="AA164" i="1"/>
  <c r="AA157" i="1"/>
  <c r="AA253" i="1"/>
  <c r="AA246" i="1"/>
  <c r="AA245" i="1"/>
  <c r="AA238" i="1"/>
  <c r="AA237" i="1"/>
  <c r="AA229" i="1"/>
  <c r="AA228" i="1"/>
  <c r="AA211" i="1"/>
  <c r="AA151" i="1"/>
  <c r="AA142" i="1"/>
  <c r="AA132" i="1"/>
  <c r="AA125" i="1"/>
  <c r="AA117" i="1"/>
  <c r="AA107" i="1"/>
  <c r="AA95" i="1"/>
  <c r="AA87" i="1"/>
  <c r="AA80" i="1"/>
  <c r="X77" i="1"/>
  <c r="X75" i="1"/>
  <c r="AA74" i="1"/>
  <c r="T73" i="1"/>
  <c r="X72" i="1"/>
  <c r="T71" i="1"/>
  <c r="X65" i="1"/>
  <c r="X64" i="1"/>
  <c r="T63" i="1"/>
  <c r="X49" i="1"/>
  <c r="X43" i="1"/>
  <c r="X41" i="1"/>
  <c r="X39" i="1"/>
  <c r="AA31" i="1"/>
  <c r="AA23" i="1"/>
  <c r="T66" i="1"/>
  <c r="T48" i="1"/>
  <c r="AA33" i="1"/>
  <c r="AA25" i="1"/>
  <c r="AA183" i="1"/>
  <c r="AA182" i="1"/>
  <c r="AA176" i="1"/>
  <c r="AA175" i="1"/>
  <c r="AA168" i="1"/>
  <c r="AA254" i="1"/>
  <c r="AA161" i="1"/>
  <c r="AA160" i="1"/>
  <c r="AA250" i="1"/>
  <c r="AA249" i="1"/>
  <c r="AA242" i="1"/>
  <c r="AA241" i="1"/>
  <c r="AA234" i="1"/>
  <c r="AA233" i="1"/>
  <c r="AA216" i="1"/>
  <c r="AA208" i="1"/>
  <c r="AA146" i="1"/>
  <c r="AA137" i="1"/>
  <c r="AA129" i="1"/>
  <c r="AA121" i="1"/>
  <c r="AA113" i="1"/>
  <c r="AA103" i="1"/>
  <c r="AA98" i="1"/>
  <c r="AA91" i="1"/>
  <c r="AA84" i="1"/>
  <c r="X68" i="1"/>
  <c r="X51" i="1"/>
  <c r="AA27" i="1"/>
  <c r="X67" i="1"/>
  <c r="AA20" i="1"/>
  <c r="AA19" i="1"/>
  <c r="AA15" i="1"/>
  <c r="AI246" i="1"/>
  <c r="AI230" i="1"/>
  <c r="AI236" i="1"/>
  <c r="AI228" i="1"/>
  <c r="AI238" i="1"/>
  <c r="AI254" i="1"/>
  <c r="AI252" i="1"/>
  <c r="AI244" i="1"/>
  <c r="AI250" i="1"/>
  <c r="AI242" i="1"/>
  <c r="AI234" i="1"/>
  <c r="AI226" i="1"/>
  <c r="AI248" i="1"/>
  <c r="AI240" i="1"/>
  <c r="W197" i="1"/>
  <c r="AI232" i="1"/>
  <c r="AI224" i="1"/>
  <c r="U216" i="1"/>
  <c r="S216" i="1" s="1"/>
  <c r="AI165" i="1"/>
  <c r="AI161" i="1"/>
  <c r="AI157" i="1"/>
  <c r="AI151" i="1"/>
  <c r="AI146" i="1"/>
  <c r="AI142" i="1"/>
  <c r="AI137" i="1"/>
  <c r="AI132" i="1"/>
  <c r="AI129" i="1"/>
  <c r="AI125" i="1"/>
  <c r="AI121" i="1"/>
  <c r="AI117" i="1"/>
  <c r="AI113" i="1"/>
  <c r="AI107" i="1"/>
  <c r="AI255" i="1"/>
  <c r="AI253" i="1"/>
  <c r="AI251" i="1"/>
  <c r="AI249" i="1"/>
  <c r="AI247" i="1"/>
  <c r="AI245" i="1"/>
  <c r="AI243" i="1"/>
  <c r="AI241" i="1"/>
  <c r="AI239" i="1"/>
  <c r="AI237" i="1"/>
  <c r="AI235" i="1"/>
  <c r="AI233" i="1"/>
  <c r="AI231" i="1"/>
  <c r="AI229" i="1"/>
  <c r="AI227" i="1"/>
  <c r="AI225" i="1"/>
  <c r="AI223" i="1"/>
  <c r="AI221" i="1"/>
  <c r="AI219" i="1"/>
  <c r="AI217" i="1"/>
  <c r="AI215" i="1"/>
  <c r="AI213" i="1"/>
  <c r="AI211" i="1"/>
  <c r="AI209" i="1"/>
  <c r="AI206" i="1"/>
  <c r="AI204" i="1"/>
  <c r="AI202" i="1"/>
  <c r="AI200" i="1"/>
  <c r="AI198" i="1"/>
  <c r="AI196" i="1"/>
  <c r="AI194" i="1"/>
  <c r="AI192" i="1"/>
  <c r="AI190" i="1"/>
  <c r="AI188" i="1"/>
  <c r="AI186" i="1"/>
  <c r="AI184" i="1"/>
  <c r="AI182" i="1"/>
  <c r="AI180" i="1"/>
  <c r="AI178" i="1"/>
  <c r="AI176" i="1"/>
  <c r="AI174" i="1"/>
  <c r="AI172" i="1"/>
  <c r="AI170" i="1"/>
  <c r="AI168" i="1"/>
  <c r="U219" i="1"/>
  <c r="S219" i="1" s="1"/>
  <c r="AI164" i="1"/>
  <c r="U215" i="1"/>
  <c r="S215" i="1" s="1"/>
  <c r="AI162" i="1"/>
  <c r="U218" i="1"/>
  <c r="S218" i="1" s="1"/>
  <c r="AI167" i="1"/>
  <c r="AI163" i="1"/>
  <c r="AI159" i="1"/>
  <c r="AI154" i="1"/>
  <c r="AI149" i="1"/>
  <c r="AI144" i="1"/>
  <c r="AI140" i="1"/>
  <c r="AI134" i="1"/>
  <c r="AI127" i="1"/>
  <c r="AI123" i="1"/>
  <c r="AI119" i="1"/>
  <c r="AI115" i="1"/>
  <c r="AI109" i="1"/>
  <c r="AI105" i="1"/>
  <c r="AI222" i="1"/>
  <c r="AI220" i="1"/>
  <c r="AI218" i="1"/>
  <c r="W176" i="1"/>
  <c r="AI216" i="1"/>
  <c r="AI214" i="1"/>
  <c r="AI212" i="1"/>
  <c r="AI210" i="1"/>
  <c r="W168" i="1"/>
  <c r="AI208" i="1"/>
  <c r="AI205" i="1"/>
  <c r="AI203" i="1"/>
  <c r="AI201" i="1"/>
  <c r="W161" i="1"/>
  <c r="AI199" i="1"/>
  <c r="AI197" i="1"/>
  <c r="AI195" i="1"/>
  <c r="AI193" i="1"/>
  <c r="AI191" i="1"/>
  <c r="AI189" i="1"/>
  <c r="AI187" i="1"/>
  <c r="AI185" i="1"/>
  <c r="AI183" i="1"/>
  <c r="AI181" i="1"/>
  <c r="AI179" i="1"/>
  <c r="AI177" i="1"/>
  <c r="AI175" i="1"/>
  <c r="AI173" i="1"/>
  <c r="AI171" i="1"/>
  <c r="AI169" i="1"/>
  <c r="U217" i="1"/>
  <c r="S217" i="1" s="1"/>
  <c r="AI166" i="1"/>
  <c r="AI160" i="1"/>
  <c r="AI103" i="1"/>
  <c r="AI101" i="1"/>
  <c r="AI98" i="1"/>
  <c r="U98" i="1"/>
  <c r="S98" i="1" s="1"/>
  <c r="U80" i="1"/>
  <c r="S80" i="1" s="1"/>
  <c r="AI80" i="1"/>
  <c r="AI97" i="1"/>
  <c r="AI93" i="1"/>
  <c r="AI89" i="1"/>
  <c r="U84" i="1"/>
  <c r="S84" i="1" s="1"/>
  <c r="AI84" i="1"/>
  <c r="AI158" i="1"/>
  <c r="AI155" i="1"/>
  <c r="AI153" i="1"/>
  <c r="AI150" i="1"/>
  <c r="AI148" i="1"/>
  <c r="AI145" i="1"/>
  <c r="AI143" i="1"/>
  <c r="AI141" i="1"/>
  <c r="AI138" i="1"/>
  <c r="AI135" i="1"/>
  <c r="AI133" i="1"/>
  <c r="AI131" i="1"/>
  <c r="AI130" i="1"/>
  <c r="AI128" i="1"/>
  <c r="AI126" i="1"/>
  <c r="AI124" i="1"/>
  <c r="AI122" i="1"/>
  <c r="AI120" i="1"/>
  <c r="AI118" i="1"/>
  <c r="AI116" i="1"/>
  <c r="AI114" i="1"/>
  <c r="AI111" i="1"/>
  <c r="AI108" i="1"/>
  <c r="AI106" i="1"/>
  <c r="AI104" i="1"/>
  <c r="AI102" i="1"/>
  <c r="AI100" i="1"/>
  <c r="AI99" i="1"/>
  <c r="U99" i="1"/>
  <c r="S99" i="1" s="1"/>
  <c r="AI95" i="1"/>
  <c r="AI91" i="1"/>
  <c r="AI87" i="1"/>
  <c r="AI74" i="1"/>
  <c r="U74" i="1"/>
  <c r="S74" i="1" s="1"/>
  <c r="AI83" i="1"/>
  <c r="U83" i="1"/>
  <c r="S83" i="1" s="1"/>
  <c r="AI79" i="1"/>
  <c r="U79" i="1"/>
  <c r="S79" i="1" s="1"/>
  <c r="AI75" i="1"/>
  <c r="U75" i="1"/>
  <c r="S75" i="1" s="1"/>
  <c r="AI96" i="1"/>
  <c r="AI94" i="1"/>
  <c r="AI92" i="1"/>
  <c r="AI90" i="1"/>
  <c r="AI88" i="1"/>
  <c r="U86" i="1"/>
  <c r="S86" i="1" s="1"/>
  <c r="AI86" i="1"/>
  <c r="U82" i="1"/>
  <c r="S82" i="1" s="1"/>
  <c r="AI82" i="1"/>
  <c r="U78" i="1"/>
  <c r="S78" i="1" s="1"/>
  <c r="AI78" i="1"/>
  <c r="U76" i="1"/>
  <c r="S76" i="1" s="1"/>
  <c r="AI76" i="1"/>
  <c r="U72" i="1"/>
  <c r="S72" i="1" s="1"/>
  <c r="AI72" i="1"/>
  <c r="U85" i="1"/>
  <c r="S85" i="1" s="1"/>
  <c r="AI85" i="1"/>
  <c r="W85" i="1"/>
  <c r="U81" i="1"/>
  <c r="S81" i="1" s="1"/>
  <c r="AI81" i="1"/>
  <c r="W81" i="1"/>
  <c r="U77" i="1"/>
  <c r="S77" i="1" s="1"/>
  <c r="AI77" i="1"/>
  <c r="U73" i="1"/>
  <c r="S73" i="1" s="1"/>
  <c r="AI73" i="1"/>
  <c r="AI35" i="1"/>
  <c r="AI34" i="1"/>
  <c r="AI32" i="1"/>
  <c r="AI30" i="1"/>
  <c r="AI28" i="1"/>
  <c r="AI26" i="1"/>
  <c r="AI24" i="1"/>
  <c r="AI22" i="1"/>
  <c r="AI20" i="1"/>
  <c r="AI17" i="1"/>
  <c r="U17" i="1"/>
  <c r="S17" i="1" s="1"/>
  <c r="AI37" i="1"/>
  <c r="AI16" i="1"/>
  <c r="U16" i="1"/>
  <c r="S16" i="1" s="1"/>
  <c r="U71" i="1"/>
  <c r="S71" i="1" s="1"/>
  <c r="AI71" i="1"/>
  <c r="U70" i="1"/>
  <c r="S70" i="1" s="1"/>
  <c r="AI70" i="1"/>
  <c r="U69" i="1"/>
  <c r="S69" i="1" s="1"/>
  <c r="AI69" i="1"/>
  <c r="W69" i="1"/>
  <c r="U68" i="1"/>
  <c r="S68" i="1" s="1"/>
  <c r="AI68" i="1"/>
  <c r="U67" i="1"/>
  <c r="S67" i="1" s="1"/>
  <c r="AI67" i="1"/>
  <c r="U66" i="1"/>
  <c r="S66" i="1" s="1"/>
  <c r="AI66" i="1"/>
  <c r="U65" i="1"/>
  <c r="S65" i="1" s="1"/>
  <c r="AI65" i="1"/>
  <c r="W65" i="1"/>
  <c r="U64" i="1"/>
  <c r="S64" i="1" s="1"/>
  <c r="AI64" i="1"/>
  <c r="U63" i="1"/>
  <c r="S63" i="1" s="1"/>
  <c r="AI63" i="1"/>
  <c r="U62" i="1"/>
  <c r="S62" i="1" s="1"/>
  <c r="AI62" i="1"/>
  <c r="AI61" i="1"/>
  <c r="AI60" i="1"/>
  <c r="AI59" i="1"/>
  <c r="AI58" i="1"/>
  <c r="AI57" i="1"/>
  <c r="U56" i="1"/>
  <c r="S56" i="1" s="1"/>
  <c r="AI56" i="1"/>
  <c r="U55" i="1"/>
  <c r="S55" i="1" s="1"/>
  <c r="AI55" i="1"/>
  <c r="U54" i="1"/>
  <c r="S54" i="1" s="1"/>
  <c r="AI54" i="1"/>
  <c r="U53" i="1"/>
  <c r="S53" i="1" s="1"/>
  <c r="AI53" i="1"/>
  <c r="U52" i="1"/>
  <c r="S52" i="1" s="1"/>
  <c r="AI52" i="1"/>
  <c r="U51" i="1"/>
  <c r="S51" i="1" s="1"/>
  <c r="AI51" i="1"/>
  <c r="U50" i="1"/>
  <c r="S50" i="1" s="1"/>
  <c r="AI50" i="1"/>
  <c r="U49" i="1"/>
  <c r="S49" i="1" s="1"/>
  <c r="AI49" i="1"/>
  <c r="U48" i="1"/>
  <c r="S48" i="1" s="1"/>
  <c r="AI48" i="1"/>
  <c r="U47" i="1"/>
  <c r="S47" i="1" s="1"/>
  <c r="AI47" i="1"/>
  <c r="U46" i="1"/>
  <c r="S46" i="1" s="1"/>
  <c r="AI46" i="1"/>
  <c r="U45" i="1"/>
  <c r="S45" i="1" s="1"/>
  <c r="AI45" i="1"/>
  <c r="U43" i="1"/>
  <c r="S43" i="1" s="1"/>
  <c r="AI43" i="1"/>
  <c r="U42" i="1"/>
  <c r="S42" i="1" s="1"/>
  <c r="AI42" i="1"/>
  <c r="U41" i="1"/>
  <c r="S41" i="1" s="1"/>
  <c r="AI41" i="1"/>
  <c r="U40" i="1"/>
  <c r="S40" i="1" s="1"/>
  <c r="AI40" i="1"/>
  <c r="U39" i="1"/>
  <c r="S39" i="1" s="1"/>
  <c r="AI39" i="1"/>
  <c r="AI38" i="1"/>
  <c r="AI36" i="1"/>
  <c r="AI33" i="1"/>
  <c r="AI31" i="1"/>
  <c r="AI29" i="1"/>
  <c r="AI27" i="1"/>
  <c r="AI25" i="1"/>
  <c r="AI23" i="1"/>
  <c r="AI21" i="1"/>
  <c r="AI19" i="1"/>
  <c r="AI15" i="1"/>
  <c r="U15" i="1"/>
  <c r="S15" i="1" s="1"/>
  <c r="AI18" i="1"/>
  <c r="U18" i="1"/>
  <c r="S18" i="1" s="1"/>
  <c r="AI14" i="1"/>
  <c r="U14" i="1"/>
  <c r="S14" i="1" s="1"/>
  <c r="W220" i="1"/>
  <c r="W206" i="1"/>
  <c r="W191" i="1"/>
  <c r="W190" i="1"/>
  <c r="W172" i="1"/>
  <c r="W165" i="1"/>
  <c r="W157" i="1"/>
  <c r="W225" i="1"/>
  <c r="W223" i="1"/>
  <c r="W221" i="1"/>
  <c r="W192" i="1"/>
  <c r="W181" i="1"/>
  <c r="W174" i="1"/>
  <c r="W167" i="1"/>
  <c r="W159" i="1"/>
  <c r="W198" i="1"/>
  <c r="W183" i="1"/>
  <c r="W182" i="1"/>
  <c r="W199" i="1"/>
  <c r="W200" i="1"/>
  <c r="W189" i="1"/>
  <c r="W184" i="1"/>
  <c r="W255" i="1"/>
  <c r="W170" i="1"/>
  <c r="W163" i="1"/>
  <c r="T224" i="1"/>
  <c r="U224" i="1" s="1"/>
  <c r="S224" i="1" s="1"/>
  <c r="X224" i="1"/>
  <c r="T223" i="1"/>
  <c r="U223" i="1" s="1"/>
  <c r="S223" i="1" s="1"/>
  <c r="X223" i="1"/>
  <c r="W204" i="1"/>
  <c r="W188" i="1"/>
  <c r="W180" i="1"/>
  <c r="T160" i="1"/>
  <c r="U160" i="1" s="1"/>
  <c r="S160" i="1" s="1"/>
  <c r="X160" i="1"/>
  <c r="W158" i="1"/>
  <c r="T204" i="1"/>
  <c r="U204" i="1" s="1"/>
  <c r="S204" i="1" s="1"/>
  <c r="X204" i="1"/>
  <c r="W194" i="1"/>
  <c r="T188" i="1"/>
  <c r="U188" i="1" s="1"/>
  <c r="S188" i="1" s="1"/>
  <c r="X188" i="1"/>
  <c r="W186" i="1"/>
  <c r="T180" i="1"/>
  <c r="U180" i="1" s="1"/>
  <c r="X180" i="1"/>
  <c r="W178" i="1"/>
  <c r="T173" i="1"/>
  <c r="U173" i="1" s="1"/>
  <c r="S173" i="1" s="1"/>
  <c r="X173" i="1"/>
  <c r="W171" i="1"/>
  <c r="T166" i="1"/>
  <c r="U166" i="1" s="1"/>
  <c r="X166" i="1"/>
  <c r="W164" i="1"/>
  <c r="T158" i="1"/>
  <c r="U158" i="1" s="1"/>
  <c r="S158" i="1" s="1"/>
  <c r="W253" i="1"/>
  <c r="W246" i="1"/>
  <c r="W245" i="1"/>
  <c r="W238" i="1"/>
  <c r="W237" i="1"/>
  <c r="W229" i="1"/>
  <c r="W228" i="1"/>
  <c r="W215" i="1"/>
  <c r="W211" i="1"/>
  <c r="T225" i="1"/>
  <c r="U225" i="1" s="1"/>
  <c r="S225" i="1" s="1"/>
  <c r="X225" i="1"/>
  <c r="T222" i="1"/>
  <c r="U222" i="1" s="1"/>
  <c r="S222" i="1" s="1"/>
  <c r="X222" i="1"/>
  <c r="T206" i="1"/>
  <c r="U206" i="1" s="1"/>
  <c r="S206" i="1" s="1"/>
  <c r="X206" i="1"/>
  <c r="T198" i="1"/>
  <c r="U198" i="1" s="1"/>
  <c r="S198" i="1" s="1"/>
  <c r="X198" i="1"/>
  <c r="W196" i="1"/>
  <c r="T190" i="1"/>
  <c r="U190" i="1" s="1"/>
  <c r="S190" i="1" s="1"/>
  <c r="X190" i="1"/>
  <c r="T182" i="1"/>
  <c r="U182" i="1" s="1"/>
  <c r="S182" i="1" s="1"/>
  <c r="X182" i="1"/>
  <c r="T175" i="1"/>
  <c r="U175" i="1" s="1"/>
  <c r="S175" i="1" s="1"/>
  <c r="X175" i="1"/>
  <c r="W173" i="1"/>
  <c r="T254" i="1"/>
  <c r="U254" i="1" s="1"/>
  <c r="S254" i="1" s="1"/>
  <c r="X254" i="1"/>
  <c r="W166" i="1"/>
  <c r="W252" i="1"/>
  <c r="W251" i="1"/>
  <c r="W244" i="1"/>
  <c r="W243" i="1"/>
  <c r="W236" i="1"/>
  <c r="W235" i="1"/>
  <c r="W227" i="1"/>
  <c r="W226" i="1"/>
  <c r="W217" i="1"/>
  <c r="W202" i="1"/>
  <c r="T196" i="1"/>
  <c r="U196" i="1" s="1"/>
  <c r="S196" i="1" s="1"/>
  <c r="X196" i="1"/>
  <c r="AA203" i="1"/>
  <c r="W203" i="1" s="1"/>
  <c r="T202" i="1"/>
  <c r="U202" i="1" s="1"/>
  <c r="S202" i="1" s="1"/>
  <c r="X202" i="1"/>
  <c r="AA195" i="1"/>
  <c r="W195" i="1" s="1"/>
  <c r="T194" i="1"/>
  <c r="U194" i="1" s="1"/>
  <c r="S194" i="1" s="1"/>
  <c r="X194" i="1"/>
  <c r="AA187" i="1"/>
  <c r="W187" i="1" s="1"/>
  <c r="T186" i="1"/>
  <c r="U186" i="1" s="1"/>
  <c r="S186" i="1" s="1"/>
  <c r="X186" i="1"/>
  <c r="T178" i="1"/>
  <c r="U178" i="1" s="1"/>
  <c r="S178" i="1" s="1"/>
  <c r="X178" i="1"/>
  <c r="W177" i="1"/>
  <c r="T171" i="1"/>
  <c r="U171" i="1" s="1"/>
  <c r="S171" i="1" s="1"/>
  <c r="X171" i="1"/>
  <c r="W169" i="1"/>
  <c r="T164" i="1"/>
  <c r="U164" i="1" s="1"/>
  <c r="S164" i="1" s="1"/>
  <c r="X164" i="1"/>
  <c r="W162" i="1"/>
  <c r="W248" i="1"/>
  <c r="W247" i="1"/>
  <c r="W240" i="1"/>
  <c r="W239" i="1"/>
  <c r="W232" i="1"/>
  <c r="W231" i="1"/>
  <c r="W230" i="1"/>
  <c r="W212" i="1"/>
  <c r="AA224" i="1"/>
  <c r="W224" i="1" s="1"/>
  <c r="R43" i="3"/>
  <c r="R44" i="3"/>
  <c r="AA222" i="1"/>
  <c r="W222" i="1" s="1"/>
  <c r="T221" i="1"/>
  <c r="U221" i="1" s="1"/>
  <c r="S221" i="1" s="1"/>
  <c r="X221" i="1"/>
  <c r="AA201" i="1"/>
  <c r="W201" i="1" s="1"/>
  <c r="T200" i="1"/>
  <c r="U200" i="1" s="1"/>
  <c r="S200" i="1" s="1"/>
  <c r="X200" i="1"/>
  <c r="AA193" i="1"/>
  <c r="W193" i="1" s="1"/>
  <c r="T192" i="1"/>
  <c r="U192" i="1" s="1"/>
  <c r="S192" i="1" s="1"/>
  <c r="X192" i="1"/>
  <c r="AA185" i="1"/>
  <c r="W185" i="1" s="1"/>
  <c r="T184" i="1"/>
  <c r="U184" i="1" s="1"/>
  <c r="S184" i="1" s="1"/>
  <c r="X184" i="1"/>
  <c r="T177" i="1"/>
  <c r="U177" i="1" s="1"/>
  <c r="S177" i="1" s="1"/>
  <c r="X177" i="1"/>
  <c r="W175" i="1"/>
  <c r="T169" i="1"/>
  <c r="U169" i="1" s="1"/>
  <c r="S169" i="1" s="1"/>
  <c r="X169" i="1"/>
  <c r="W254" i="1"/>
  <c r="T162" i="1"/>
  <c r="U162" i="1" s="1"/>
  <c r="S162" i="1" s="1"/>
  <c r="X162" i="1"/>
  <c r="W160" i="1"/>
  <c r="W250" i="1"/>
  <c r="W249" i="1"/>
  <c r="W242" i="1"/>
  <c r="W241" i="1"/>
  <c r="W234" i="1"/>
  <c r="W233" i="1"/>
  <c r="W219" i="1"/>
  <c r="W218" i="1"/>
  <c r="W216" i="1"/>
  <c r="T253" i="1"/>
  <c r="U253" i="1" s="1"/>
  <c r="S253" i="1" s="1"/>
  <c r="X253" i="1"/>
  <c r="T251" i="1"/>
  <c r="U251" i="1" s="1"/>
  <c r="S251" i="1" s="1"/>
  <c r="X251" i="1"/>
  <c r="T249" i="1"/>
  <c r="U249" i="1" s="1"/>
  <c r="S249" i="1" s="1"/>
  <c r="X249" i="1"/>
  <c r="T247" i="1"/>
  <c r="U247" i="1" s="1"/>
  <c r="S247" i="1" s="1"/>
  <c r="X247" i="1"/>
  <c r="T245" i="1"/>
  <c r="U245" i="1" s="1"/>
  <c r="S245" i="1" s="1"/>
  <c r="X245" i="1"/>
  <c r="T243" i="1"/>
  <c r="U243" i="1" s="1"/>
  <c r="S243" i="1" s="1"/>
  <c r="X243" i="1"/>
  <c r="T241" i="1"/>
  <c r="U241" i="1" s="1"/>
  <c r="S241" i="1" s="1"/>
  <c r="X241" i="1"/>
  <c r="T239" i="1"/>
  <c r="U239" i="1" s="1"/>
  <c r="S239" i="1" s="1"/>
  <c r="X239" i="1"/>
  <c r="T237" i="1"/>
  <c r="U237" i="1" s="1"/>
  <c r="S237" i="1" s="1"/>
  <c r="X237" i="1"/>
  <c r="T235" i="1"/>
  <c r="U235" i="1" s="1"/>
  <c r="S235" i="1" s="1"/>
  <c r="X235" i="1"/>
  <c r="T233" i="1"/>
  <c r="U233" i="1" s="1"/>
  <c r="S233" i="1" s="1"/>
  <c r="X233" i="1"/>
  <c r="T231" i="1"/>
  <c r="U231" i="1" s="1"/>
  <c r="S231" i="1" s="1"/>
  <c r="X231" i="1"/>
  <c r="T229" i="1"/>
  <c r="U229" i="1" s="1"/>
  <c r="S229" i="1" s="1"/>
  <c r="X229" i="1"/>
  <c r="T227" i="1"/>
  <c r="U227" i="1" s="1"/>
  <c r="S227" i="1" s="1"/>
  <c r="X227" i="1"/>
  <c r="W214" i="1"/>
  <c r="W102" i="1"/>
  <c r="W210" i="1"/>
  <c r="W209" i="1"/>
  <c r="W154" i="1"/>
  <c r="W153" i="1"/>
  <c r="W149" i="1"/>
  <c r="W148" i="1"/>
  <c r="W144" i="1"/>
  <c r="W143" i="1"/>
  <c r="W140" i="1"/>
  <c r="W138" i="1"/>
  <c r="W134" i="1"/>
  <c r="W133" i="1"/>
  <c r="W130" i="1"/>
  <c r="W127" i="1"/>
  <c r="W126" i="1"/>
  <c r="W123" i="1"/>
  <c r="W122" i="1"/>
  <c r="W119" i="1"/>
  <c r="W118" i="1"/>
  <c r="W115" i="1"/>
  <c r="W114" i="1"/>
  <c r="W109" i="1"/>
  <c r="W108" i="1"/>
  <c r="W105" i="1"/>
  <c r="W104" i="1"/>
  <c r="W101" i="1"/>
  <c r="W72" i="1"/>
  <c r="W64" i="1"/>
  <c r="W49" i="1"/>
  <c r="T220" i="1"/>
  <c r="U220" i="1" s="1"/>
  <c r="S220" i="1" s="1"/>
  <c r="X220" i="1"/>
  <c r="T205" i="1"/>
  <c r="U205" i="1" s="1"/>
  <c r="S205" i="1" s="1"/>
  <c r="X205" i="1"/>
  <c r="T203" i="1"/>
  <c r="U203" i="1" s="1"/>
  <c r="S203" i="1" s="1"/>
  <c r="X203" i="1"/>
  <c r="T201" i="1"/>
  <c r="U201" i="1" s="1"/>
  <c r="S201" i="1" s="1"/>
  <c r="X201" i="1"/>
  <c r="T199" i="1"/>
  <c r="U199" i="1" s="1"/>
  <c r="S199" i="1" s="1"/>
  <c r="X199" i="1"/>
  <c r="T197" i="1"/>
  <c r="U197" i="1" s="1"/>
  <c r="S197" i="1" s="1"/>
  <c r="X197" i="1"/>
  <c r="T195" i="1"/>
  <c r="U195" i="1" s="1"/>
  <c r="S195" i="1" s="1"/>
  <c r="X195" i="1"/>
  <c r="T193" i="1"/>
  <c r="U193" i="1" s="1"/>
  <c r="S193" i="1" s="1"/>
  <c r="X193" i="1"/>
  <c r="T191" i="1"/>
  <c r="U191" i="1" s="1"/>
  <c r="S191" i="1" s="1"/>
  <c r="X191" i="1"/>
  <c r="T189" i="1"/>
  <c r="U189" i="1" s="1"/>
  <c r="S189" i="1" s="1"/>
  <c r="X189" i="1"/>
  <c r="T187" i="1"/>
  <c r="U187" i="1" s="1"/>
  <c r="S187" i="1" s="1"/>
  <c r="X187" i="1"/>
  <c r="T185" i="1"/>
  <c r="U185" i="1" s="1"/>
  <c r="S185" i="1" s="1"/>
  <c r="X185" i="1"/>
  <c r="T183" i="1"/>
  <c r="U183" i="1" s="1"/>
  <c r="S183" i="1" s="1"/>
  <c r="X183" i="1"/>
  <c r="T181" i="1"/>
  <c r="U181" i="1" s="1"/>
  <c r="S181" i="1" s="1"/>
  <c r="X181" i="1"/>
  <c r="T179" i="1"/>
  <c r="U179" i="1" s="1"/>
  <c r="S179" i="1" s="1"/>
  <c r="X179" i="1"/>
  <c r="T255" i="1"/>
  <c r="U255" i="1" s="1"/>
  <c r="S255" i="1" s="1"/>
  <c r="X255" i="1"/>
  <c r="T176" i="1"/>
  <c r="U176" i="1" s="1"/>
  <c r="S176" i="1" s="1"/>
  <c r="X176" i="1"/>
  <c r="T174" i="1"/>
  <c r="U174" i="1" s="1"/>
  <c r="S174" i="1" s="1"/>
  <c r="X174" i="1"/>
  <c r="T172" i="1"/>
  <c r="U172" i="1" s="1"/>
  <c r="S172" i="1" s="1"/>
  <c r="X172" i="1"/>
  <c r="T170" i="1"/>
  <c r="U170" i="1" s="1"/>
  <c r="S170" i="1" s="1"/>
  <c r="X170" i="1"/>
  <c r="T168" i="1"/>
  <c r="U168" i="1" s="1"/>
  <c r="S168" i="1" s="1"/>
  <c r="X168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X161" i="1"/>
  <c r="T159" i="1"/>
  <c r="U159" i="1" s="1"/>
  <c r="S159" i="1" s="1"/>
  <c r="X159" i="1"/>
  <c r="T157" i="1"/>
  <c r="U157" i="1" s="1"/>
  <c r="S157" i="1" s="1"/>
  <c r="T252" i="1"/>
  <c r="U252" i="1" s="1"/>
  <c r="S252" i="1" s="1"/>
  <c r="X252" i="1"/>
  <c r="T250" i="1"/>
  <c r="U250" i="1" s="1"/>
  <c r="S250" i="1" s="1"/>
  <c r="X250" i="1"/>
  <c r="T248" i="1"/>
  <c r="U248" i="1" s="1"/>
  <c r="S248" i="1" s="1"/>
  <c r="X248" i="1"/>
  <c r="T246" i="1"/>
  <c r="U246" i="1" s="1"/>
  <c r="S246" i="1" s="1"/>
  <c r="X246" i="1"/>
  <c r="T244" i="1"/>
  <c r="U244" i="1" s="1"/>
  <c r="S244" i="1" s="1"/>
  <c r="X244" i="1"/>
  <c r="T242" i="1"/>
  <c r="U242" i="1" s="1"/>
  <c r="S242" i="1" s="1"/>
  <c r="X242" i="1"/>
  <c r="T240" i="1"/>
  <c r="U240" i="1" s="1"/>
  <c r="S240" i="1" s="1"/>
  <c r="X240" i="1"/>
  <c r="T238" i="1"/>
  <c r="U238" i="1" s="1"/>
  <c r="S238" i="1" s="1"/>
  <c r="X238" i="1"/>
  <c r="T236" i="1"/>
  <c r="U236" i="1" s="1"/>
  <c r="S236" i="1" s="1"/>
  <c r="X236" i="1"/>
  <c r="T234" i="1"/>
  <c r="U234" i="1" s="1"/>
  <c r="S234" i="1" s="1"/>
  <c r="X234" i="1"/>
  <c r="T232" i="1"/>
  <c r="U232" i="1" s="1"/>
  <c r="S232" i="1" s="1"/>
  <c r="X232" i="1"/>
  <c r="T230" i="1"/>
  <c r="U230" i="1" s="1"/>
  <c r="S230" i="1" s="1"/>
  <c r="X230" i="1"/>
  <c r="T228" i="1"/>
  <c r="U228" i="1" s="1"/>
  <c r="S228" i="1" s="1"/>
  <c r="X228" i="1"/>
  <c r="T226" i="1"/>
  <c r="U226" i="1" s="1"/>
  <c r="S226" i="1" s="1"/>
  <c r="X226" i="1"/>
  <c r="W103" i="1"/>
  <c r="W213" i="1"/>
  <c r="W208" i="1"/>
  <c r="W155" i="1"/>
  <c r="W151" i="1"/>
  <c r="W150" i="1"/>
  <c r="W146" i="1"/>
  <c r="W145" i="1"/>
  <c r="W142" i="1"/>
  <c r="W141" i="1"/>
  <c r="W137" i="1"/>
  <c r="W135" i="1"/>
  <c r="W132" i="1"/>
  <c r="W131" i="1"/>
  <c r="W129" i="1"/>
  <c r="W128" i="1"/>
  <c r="W125" i="1"/>
  <c r="W124" i="1"/>
  <c r="W121" i="1"/>
  <c r="W120" i="1"/>
  <c r="W117" i="1"/>
  <c r="W116" i="1"/>
  <c r="W113" i="1"/>
  <c r="W111" i="1"/>
  <c r="W107" i="1"/>
  <c r="W106" i="1"/>
  <c r="W76" i="1"/>
  <c r="W100" i="1"/>
  <c r="W97" i="1"/>
  <c r="W96" i="1"/>
  <c r="W93" i="1"/>
  <c r="W92" i="1"/>
  <c r="W89" i="1"/>
  <c r="W88" i="1"/>
  <c r="W84" i="1"/>
  <c r="W78" i="1"/>
  <c r="W73" i="1"/>
  <c r="W68" i="1"/>
  <c r="W48" i="1"/>
  <c r="W42" i="1"/>
  <c r="W40" i="1"/>
  <c r="X219" i="1"/>
  <c r="X218" i="1"/>
  <c r="X217" i="1"/>
  <c r="X216" i="1"/>
  <c r="X215" i="1"/>
  <c r="T213" i="1"/>
  <c r="U213" i="1" s="1"/>
  <c r="S213" i="1" s="1"/>
  <c r="X213" i="1"/>
  <c r="T211" i="1"/>
  <c r="U211" i="1" s="1"/>
  <c r="S211" i="1" s="1"/>
  <c r="X211" i="1"/>
  <c r="T209" i="1"/>
  <c r="U209" i="1" s="1"/>
  <c r="S209" i="1" s="1"/>
  <c r="X209" i="1"/>
  <c r="T155" i="1"/>
  <c r="U155" i="1" s="1"/>
  <c r="S155" i="1" s="1"/>
  <c r="X155" i="1"/>
  <c r="T153" i="1"/>
  <c r="U153" i="1" s="1"/>
  <c r="S153" i="1" s="1"/>
  <c r="T150" i="1"/>
  <c r="U150" i="1" s="1"/>
  <c r="S150" i="1" s="1"/>
  <c r="X150" i="1"/>
  <c r="T148" i="1"/>
  <c r="U148" i="1" s="1"/>
  <c r="S148" i="1" s="1"/>
  <c r="T145" i="1"/>
  <c r="U145" i="1" s="1"/>
  <c r="S145" i="1" s="1"/>
  <c r="X145" i="1"/>
  <c r="T143" i="1"/>
  <c r="U143" i="1" s="1"/>
  <c r="S143" i="1" s="1"/>
  <c r="X143" i="1"/>
  <c r="T141" i="1"/>
  <c r="U141" i="1" s="1"/>
  <c r="S141" i="1" s="1"/>
  <c r="X141" i="1"/>
  <c r="T138" i="1"/>
  <c r="U138" i="1" s="1"/>
  <c r="S138" i="1" s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T111" i="1"/>
  <c r="U111" i="1" s="1"/>
  <c r="S111" i="1" s="1"/>
  <c r="T108" i="1"/>
  <c r="U108" i="1" s="1"/>
  <c r="S108" i="1" s="1"/>
  <c r="X108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W82" i="1"/>
  <c r="W77" i="1"/>
  <c r="W71" i="1"/>
  <c r="W66" i="1"/>
  <c r="W62" i="1"/>
  <c r="W60" i="1"/>
  <c r="W56" i="1"/>
  <c r="W52" i="1"/>
  <c r="W99" i="1"/>
  <c r="W95" i="1"/>
  <c r="W94" i="1"/>
  <c r="W91" i="1"/>
  <c r="W90" i="1"/>
  <c r="W87" i="1"/>
  <c r="W86" i="1"/>
  <c r="W79" i="1"/>
  <c r="W75" i="1"/>
  <c r="W74" i="1"/>
  <c r="W51" i="1"/>
  <c r="W43" i="1"/>
  <c r="T214" i="1"/>
  <c r="U214" i="1" s="1"/>
  <c r="S214" i="1" s="1"/>
  <c r="X214" i="1"/>
  <c r="T212" i="1"/>
  <c r="U212" i="1" s="1"/>
  <c r="S212" i="1" s="1"/>
  <c r="X212" i="1"/>
  <c r="T210" i="1"/>
  <c r="U210" i="1" s="1"/>
  <c r="S210" i="1" s="1"/>
  <c r="X210" i="1"/>
  <c r="T208" i="1"/>
  <c r="U208" i="1" s="1"/>
  <c r="S208" i="1" s="1"/>
  <c r="T154" i="1"/>
  <c r="U154" i="1" s="1"/>
  <c r="S154" i="1" s="1"/>
  <c r="X154" i="1"/>
  <c r="T151" i="1"/>
  <c r="U151" i="1" s="1"/>
  <c r="S151" i="1" s="1"/>
  <c r="X151" i="1"/>
  <c r="T149" i="1"/>
  <c r="U149" i="1" s="1"/>
  <c r="S149" i="1" s="1"/>
  <c r="T146" i="1"/>
  <c r="U146" i="1" s="1"/>
  <c r="S146" i="1" s="1"/>
  <c r="X146" i="1"/>
  <c r="T144" i="1"/>
  <c r="U144" i="1" s="1"/>
  <c r="S144" i="1" s="1"/>
  <c r="X144" i="1"/>
  <c r="T142" i="1"/>
  <c r="U142" i="1" s="1"/>
  <c r="S142" i="1" s="1"/>
  <c r="X142" i="1"/>
  <c r="T140" i="1"/>
  <c r="U140" i="1" s="1"/>
  <c r="S140" i="1" s="1"/>
  <c r="T137" i="1"/>
  <c r="U137" i="1" s="1"/>
  <c r="S137" i="1" s="1"/>
  <c r="T134" i="1"/>
  <c r="U134" i="1" s="1"/>
  <c r="S134" i="1" s="1"/>
  <c r="X134" i="1"/>
  <c r="T132" i="1"/>
  <c r="U132" i="1" s="1"/>
  <c r="S132" i="1" s="1"/>
  <c r="X132" i="1"/>
  <c r="T129" i="1"/>
  <c r="U129" i="1" s="1"/>
  <c r="S129" i="1" s="1"/>
  <c r="X129" i="1"/>
  <c r="T127" i="1"/>
  <c r="U127" i="1" s="1"/>
  <c r="S127" i="1" s="1"/>
  <c r="X127" i="1"/>
  <c r="T125" i="1"/>
  <c r="U125" i="1" s="1"/>
  <c r="S125" i="1" s="1"/>
  <c r="X125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T115" i="1"/>
  <c r="U115" i="1" s="1"/>
  <c r="S115" i="1" s="1"/>
  <c r="X115" i="1"/>
  <c r="T113" i="1"/>
  <c r="U113" i="1" s="1"/>
  <c r="S113" i="1" s="1"/>
  <c r="T109" i="1"/>
  <c r="U109" i="1" s="1"/>
  <c r="S109" i="1" s="1"/>
  <c r="X109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W98" i="1"/>
  <c r="W83" i="1"/>
  <c r="W80" i="1"/>
  <c r="W70" i="1"/>
  <c r="W67" i="1"/>
  <c r="W63" i="1"/>
  <c r="W47" i="1"/>
  <c r="X99" i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W59" i="1"/>
  <c r="W55" i="1"/>
  <c r="W50" i="1"/>
  <c r="W45" i="1"/>
  <c r="W41" i="1"/>
  <c r="W38" i="1"/>
  <c r="W58" i="1"/>
  <c r="W54" i="1"/>
  <c r="W46" i="1"/>
  <c r="W1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W61" i="1"/>
  <c r="W57" i="1"/>
  <c r="W53" i="1"/>
  <c r="W39" i="1"/>
  <c r="X86" i="1"/>
  <c r="X85" i="1"/>
  <c r="X84" i="1"/>
  <c r="X83" i="1"/>
  <c r="X82" i="1"/>
  <c r="X81" i="1"/>
  <c r="X80" i="1"/>
  <c r="X79" i="1"/>
  <c r="X78" i="1"/>
  <c r="T61" i="1"/>
  <c r="U61" i="1" s="1"/>
  <c r="S61" i="1" s="1"/>
  <c r="X61" i="1"/>
  <c r="T60" i="1"/>
  <c r="U60" i="1" s="1"/>
  <c r="S60" i="1" s="1"/>
  <c r="X60" i="1"/>
  <c r="T59" i="1"/>
  <c r="U59" i="1" s="1"/>
  <c r="S59" i="1" s="1"/>
  <c r="X59" i="1"/>
  <c r="T58" i="1"/>
  <c r="U58" i="1" s="1"/>
  <c r="S58" i="1" s="1"/>
  <c r="X58" i="1"/>
  <c r="T57" i="1"/>
  <c r="U57" i="1" s="1"/>
  <c r="S57" i="1" s="1"/>
  <c r="X57" i="1"/>
  <c r="AA37" i="1"/>
  <c r="W37" i="1" s="1"/>
  <c r="W36" i="1"/>
  <c r="W15" i="1"/>
  <c r="AA35" i="1"/>
  <c r="W35" i="1" s="1"/>
  <c r="W33" i="1"/>
  <c r="W31" i="1"/>
  <c r="W29" i="1"/>
  <c r="W27" i="1"/>
  <c r="W25" i="1"/>
  <c r="W23" i="1"/>
  <c r="W21" i="1"/>
  <c r="T38" i="1"/>
  <c r="U38" i="1" s="1"/>
  <c r="S38" i="1" s="1"/>
  <c r="X38" i="1"/>
  <c r="T36" i="1"/>
  <c r="U36" i="1" s="1"/>
  <c r="S36" i="1" s="1"/>
  <c r="X36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T19" i="1"/>
  <c r="U19" i="1" s="1"/>
  <c r="S19" i="1" s="1"/>
  <c r="X19" i="1"/>
  <c r="AA18" i="1"/>
  <c r="W18" i="1" s="1"/>
  <c r="W14" i="1"/>
  <c r="AA34" i="1"/>
  <c r="W34" i="1" s="1"/>
  <c r="AA32" i="1"/>
  <c r="W32" i="1" s="1"/>
  <c r="AA30" i="1"/>
  <c r="W30" i="1" s="1"/>
  <c r="AA28" i="1"/>
  <c r="W28" i="1" s="1"/>
  <c r="AA26" i="1"/>
  <c r="W26" i="1" s="1"/>
  <c r="AA24" i="1"/>
  <c r="W24" i="1" s="1"/>
  <c r="AA22" i="1"/>
  <c r="W22" i="1" s="1"/>
  <c r="W20" i="1"/>
  <c r="AA17" i="1"/>
  <c r="W17" i="1" s="1"/>
  <c r="X56" i="1"/>
  <c r="X55" i="1"/>
  <c r="X54" i="1"/>
  <c r="X53" i="1"/>
  <c r="X52" i="1"/>
  <c r="T37" i="1"/>
  <c r="U37" i="1" s="1"/>
  <c r="S37" i="1" s="1"/>
  <c r="X37" i="1"/>
  <c r="T35" i="1"/>
  <c r="U35" i="1" s="1"/>
  <c r="S35" i="1" s="1"/>
  <c r="X35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X20" i="1"/>
  <c r="AA16" i="1"/>
  <c r="W16" i="1" s="1"/>
  <c r="X18" i="1"/>
  <c r="X17" i="1"/>
  <c r="X16" i="1"/>
  <c r="X15" i="1"/>
  <c r="AC10" i="3"/>
  <c r="AD35" i="3"/>
  <c r="AC50" i="3"/>
  <c r="T50" i="3"/>
  <c r="AD17" i="3"/>
  <c r="AD12" i="3"/>
  <c r="AC18" i="3"/>
  <c r="T18" i="3"/>
  <c r="AE31" i="3"/>
  <c r="AD24" i="3"/>
  <c r="AD23" i="3"/>
  <c r="AE23" i="3"/>
  <c r="AE15" i="3"/>
  <c r="AE11" i="3"/>
  <c r="AD9" i="3"/>
  <c r="AC24" i="3"/>
  <c r="AE39" i="3"/>
  <c r="AE34" i="3"/>
  <c r="AE55" i="3"/>
  <c r="AC31" i="3"/>
  <c r="T31" i="3"/>
  <c r="AE46" i="3"/>
  <c r="AD39" i="3"/>
  <c r="AC29" i="3"/>
  <c r="T29" i="3"/>
  <c r="AC33" i="3"/>
  <c r="AC37" i="3"/>
  <c r="AD15" i="3"/>
  <c r="AD11" i="3"/>
  <c r="AD8" i="3"/>
  <c r="AC14" i="3"/>
  <c r="T14" i="3"/>
  <c r="AC45" i="3"/>
  <c r="AE47" i="3"/>
  <c r="AE38" i="3"/>
  <c r="AC35" i="3"/>
  <c r="T35" i="3"/>
  <c r="AC11" i="3"/>
  <c r="AC54" i="3"/>
  <c r="AC9" i="3"/>
  <c r="T9" i="3"/>
  <c r="AC36" i="3"/>
  <c r="AE58" i="3"/>
  <c r="T41" i="3"/>
  <c r="AE50" i="3"/>
  <c r="T8" i="3"/>
  <c r="AC56" i="3"/>
  <c r="AE30" i="3"/>
  <c r="Y41" i="3"/>
  <c r="Y8" i="3"/>
  <c r="Y43" i="3"/>
  <c r="Y58" i="3"/>
  <c r="Y50" i="3"/>
  <c r="Y37" i="3"/>
  <c r="Y23" i="3"/>
  <c r="Y44" i="3"/>
  <c r="Y17" i="3"/>
  <c r="Y11" i="3"/>
  <c r="Y27" i="3"/>
  <c r="Y53" i="3"/>
  <c r="Y31" i="3"/>
  <c r="Y45" i="3"/>
  <c r="Y24" i="3"/>
  <c r="Y39" i="3"/>
  <c r="Y12" i="3"/>
  <c r="Y35" i="3"/>
  <c r="Y54" i="3"/>
  <c r="Y40" i="3"/>
  <c r="Y56" i="3"/>
  <c r="Y10" i="3"/>
  <c r="Y52" i="3"/>
  <c r="Y32" i="3"/>
  <c r="Y29" i="3"/>
  <c r="Y20" i="3"/>
  <c r="Y9" i="3"/>
  <c r="Y26" i="3"/>
  <c r="Y46" i="3"/>
  <c r="Y55" i="3"/>
  <c r="Y49" i="3"/>
  <c r="Y57" i="3"/>
  <c r="Y21" i="3"/>
  <c r="Y28" i="3"/>
  <c r="Y13" i="3"/>
  <c r="Y19" i="3"/>
  <c r="Y16" i="3"/>
  <c r="Y30" i="3"/>
  <c r="Y14" i="3"/>
  <c r="Y18" i="3"/>
  <c r="Y38" i="3"/>
  <c r="Y7" i="3"/>
  <c r="Y34" i="3"/>
  <c r="Y48" i="3"/>
  <c r="Y22" i="3"/>
  <c r="Y47" i="3"/>
  <c r="Y51" i="3"/>
  <c r="Y33" i="3"/>
  <c r="Y15" i="3"/>
  <c r="Y36" i="3"/>
  <c r="Y25" i="3"/>
  <c r="AC55" i="3"/>
  <c r="AD33" i="3"/>
  <c r="T22" i="3"/>
  <c r="AE33" i="3"/>
  <c r="AC21" i="3"/>
  <c r="AD26" i="3"/>
  <c r="AC13" i="3"/>
  <c r="AD18" i="3"/>
  <c r="T13" i="3"/>
  <c r="AE18" i="3"/>
  <c r="AD58" i="3"/>
  <c r="T40" i="3"/>
  <c r="AE56" i="3"/>
  <c r="T39" i="3"/>
  <c r="AD52" i="3"/>
  <c r="AD50" i="3"/>
  <c r="AD45" i="3"/>
  <c r="T7" i="3"/>
  <c r="AE45" i="3"/>
  <c r="T55" i="3"/>
  <c r="AC49" i="3"/>
  <c r="AD38" i="3"/>
  <c r="AD29" i="3"/>
  <c r="T47" i="3"/>
  <c r="AE29" i="3"/>
  <c r="T21" i="3"/>
  <c r="AC19" i="3"/>
  <c r="AD14" i="3"/>
  <c r="T19" i="3"/>
  <c r="AE14" i="3"/>
  <c r="AC16" i="3"/>
  <c r="AD10" i="3"/>
  <c r="T16" i="3"/>
  <c r="AE10" i="3"/>
  <c r="AD49" i="3"/>
  <c r="T38" i="3"/>
  <c r="AE49" i="3"/>
  <c r="AE54" i="3"/>
  <c r="AE53" i="3"/>
  <c r="AD41" i="3"/>
  <c r="T34" i="3"/>
  <c r="AE41" i="3"/>
  <c r="AC30" i="3"/>
  <c r="AD34" i="3"/>
  <c r="AD25" i="3"/>
  <c r="T51" i="3"/>
  <c r="AE25" i="3"/>
  <c r="AD54" i="3"/>
  <c r="T23" i="3"/>
  <c r="AE52" i="3"/>
  <c r="AC46" i="3"/>
  <c r="AD46" i="3"/>
  <c r="AD37" i="3"/>
  <c r="AE37" i="3"/>
  <c r="T48" i="3"/>
  <c r="AC57" i="3"/>
  <c r="AD30" i="3"/>
  <c r="AC28" i="3"/>
  <c r="AD22" i="3"/>
  <c r="T28" i="3"/>
  <c r="AE22" i="3"/>
  <c r="AE21" i="3"/>
  <c r="T33" i="3"/>
  <c r="AE17" i="3"/>
  <c r="T15" i="3"/>
  <c r="AE13" i="3"/>
  <c r="T36" i="3"/>
  <c r="AE9" i="3"/>
  <c r="T25" i="3"/>
  <c r="AE48" i="3"/>
  <c r="AE44" i="3"/>
  <c r="AE40" i="3"/>
  <c r="AE36" i="3"/>
  <c r="AE32" i="3"/>
  <c r="AE28" i="3"/>
  <c r="AE24" i="3"/>
  <c r="AE20" i="3"/>
  <c r="AE16" i="3"/>
  <c r="AE12" i="3"/>
  <c r="AE8" i="3"/>
  <c r="R42" i="3"/>
  <c r="M42" i="3"/>
  <c r="S42" i="3"/>
  <c r="U42" i="3"/>
  <c r="T42" i="3" s="1"/>
  <c r="V42" i="3"/>
  <c r="X42" i="3"/>
  <c r="W42" i="3"/>
  <c r="AD42" i="3" l="1"/>
  <c r="AE42" i="3"/>
  <c r="AC42" i="3"/>
  <c r="Y42" i="3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N14" i="3" s="1"/>
  <c r="G252" i="4"/>
  <c r="G253" i="4"/>
  <c r="G254" i="4"/>
  <c r="G255" i="4"/>
  <c r="G256" i="4"/>
  <c r="G257" i="4"/>
  <c r="G258" i="4"/>
  <c r="G259" i="4"/>
  <c r="G260" i="4"/>
  <c r="G224" i="4" l="1"/>
  <c r="N39" i="3" s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N40" i="3" s="1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R25" i="3" s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S25" i="3" s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N53" i="3" s="1"/>
  <c r="G10" i="4"/>
  <c r="N25" i="3" s="1"/>
  <c r="G11" i="4"/>
  <c r="G12" i="4"/>
  <c r="G13" i="4"/>
  <c r="G14" i="4"/>
  <c r="G15" i="4"/>
  <c r="G16" i="4"/>
  <c r="G17" i="4"/>
  <c r="G18" i="4"/>
  <c r="G19" i="4"/>
  <c r="G20" i="4"/>
  <c r="G21" i="4"/>
  <c r="G22" i="4"/>
  <c r="N42" i="3" s="1"/>
  <c r="G23" i="4"/>
  <c r="G24" i="4"/>
  <c r="G25" i="4"/>
  <c r="G26" i="4"/>
  <c r="G27" i="4"/>
  <c r="G28" i="4"/>
  <c r="G29" i="4"/>
  <c r="G30" i="4"/>
  <c r="G31" i="4"/>
  <c r="N16" i="3" s="1"/>
  <c r="G32" i="4"/>
  <c r="G33" i="4"/>
  <c r="G34" i="4"/>
  <c r="G35" i="4"/>
  <c r="G36" i="4"/>
  <c r="G37" i="4"/>
  <c r="N19" i="3" s="1"/>
  <c r="G38" i="4"/>
  <c r="N9" i="3" s="1"/>
  <c r="G39" i="4"/>
  <c r="G40" i="4"/>
  <c r="N36" i="3" s="1"/>
  <c r="G41" i="4"/>
  <c r="G42" i="4"/>
  <c r="G43" i="4"/>
  <c r="N15" i="3" s="1"/>
  <c r="G44" i="4"/>
  <c r="G45" i="4"/>
  <c r="G46" i="4"/>
  <c r="N37" i="3" s="1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N51" i="3" s="1"/>
  <c r="G86" i="4"/>
  <c r="N21" i="3" s="1"/>
  <c r="G87" i="4"/>
  <c r="G88" i="4"/>
  <c r="G89" i="4"/>
  <c r="G90" i="4"/>
  <c r="G91" i="4"/>
  <c r="G92" i="4"/>
  <c r="G93" i="4"/>
  <c r="G94" i="4"/>
  <c r="G95" i="4"/>
  <c r="N58" i="3" s="1"/>
  <c r="G96" i="4"/>
  <c r="G97" i="4"/>
  <c r="G98" i="4"/>
  <c r="G99" i="4"/>
  <c r="G100" i="4"/>
  <c r="G101" i="4"/>
  <c r="G102" i="4"/>
  <c r="G103" i="4"/>
  <c r="G104" i="4"/>
  <c r="G105" i="4"/>
  <c r="N11" i="3" s="1"/>
  <c r="G106" i="4"/>
  <c r="G107" i="4"/>
  <c r="G108" i="4"/>
  <c r="N50" i="3" s="1"/>
  <c r="G109" i="4"/>
  <c r="G110" i="4"/>
  <c r="G111" i="4"/>
  <c r="G112" i="4"/>
  <c r="G113" i="4"/>
  <c r="G114" i="4"/>
  <c r="G115" i="4"/>
  <c r="G116" i="4"/>
  <c r="G117" i="4"/>
  <c r="G118" i="4"/>
  <c r="G119" i="4"/>
  <c r="N52" i="3" s="1"/>
  <c r="G120" i="4"/>
  <c r="G121" i="4"/>
  <c r="G122" i="4"/>
  <c r="G123" i="4"/>
  <c r="G124" i="4"/>
  <c r="G125" i="4"/>
  <c r="G126" i="4"/>
  <c r="G127" i="4"/>
  <c r="G128" i="4"/>
  <c r="G129" i="4"/>
  <c r="G130" i="4"/>
  <c r="N22" i="3" s="1"/>
  <c r="G131" i="4"/>
  <c r="G132" i="4"/>
  <c r="G133" i="4"/>
  <c r="G134" i="4"/>
  <c r="G135" i="4"/>
  <c r="G136" i="4"/>
  <c r="G137" i="4"/>
  <c r="G138" i="4"/>
  <c r="G139" i="4"/>
  <c r="G140" i="4"/>
  <c r="G141" i="4"/>
  <c r="G142" i="4"/>
  <c r="N10" i="3" s="1"/>
  <c r="G143" i="4"/>
  <c r="G144" i="4"/>
  <c r="G145" i="4"/>
  <c r="G146" i="4"/>
  <c r="G147" i="4"/>
  <c r="G148" i="4"/>
  <c r="G149" i="4"/>
  <c r="G150" i="4"/>
  <c r="G151" i="4"/>
  <c r="N17" i="3" s="1"/>
  <c r="G152" i="4"/>
  <c r="G153" i="4"/>
  <c r="G154" i="4"/>
  <c r="G155" i="4"/>
  <c r="G156" i="4"/>
  <c r="G157" i="4"/>
  <c r="G158" i="4"/>
  <c r="G159" i="4"/>
  <c r="G160" i="4"/>
  <c r="G161" i="4"/>
  <c r="G162" i="4"/>
  <c r="G163" i="4"/>
  <c r="N12" i="3" s="1"/>
  <c r="G164" i="4"/>
  <c r="N34" i="3" s="1"/>
  <c r="G165" i="4"/>
  <c r="G166" i="4"/>
  <c r="G167" i="4"/>
  <c r="N55" i="3" s="1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7" i="3" s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N38" i="3" s="1"/>
  <c r="G195" i="4"/>
  <c r="G196" i="4"/>
  <c r="G197" i="4"/>
  <c r="G198" i="4"/>
  <c r="G199" i="4"/>
  <c r="G200" i="4"/>
  <c r="N31" i="3" s="1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N18" i="3" s="1"/>
  <c r="G220" i="4"/>
  <c r="G221" i="4"/>
  <c r="N24" i="3" s="1"/>
  <c r="G222" i="4"/>
  <c r="G223" i="4"/>
  <c r="G2" i="4"/>
  <c r="N23" i="3" l="1"/>
  <c r="N8" i="3"/>
  <c r="N45" i="3"/>
  <c r="N48" i="3"/>
  <c r="N49" i="3"/>
  <c r="N32" i="3"/>
  <c r="N33" i="3"/>
  <c r="N29" i="3"/>
  <c r="N28" i="3"/>
  <c r="N44" i="3"/>
  <c r="N43" i="3"/>
  <c r="N35" i="3"/>
  <c r="N30" i="3"/>
  <c r="N54" i="3"/>
  <c r="N47" i="3"/>
  <c r="N57" i="3"/>
  <c r="N20" i="3"/>
  <c r="N13" i="3"/>
  <c r="N26" i="3"/>
  <c r="N27" i="3"/>
  <c r="N46" i="3"/>
  <c r="N56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<sst xmlns="http://schemas.openxmlformats.org/spreadsheetml/2006/main" count="2928" uniqueCount="1027">
  <si>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</si>
  <si>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</si>
  <si>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</si>
  <si>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</si>
  <si>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</si>
  <si>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</si>
  <si>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</si>
  <si>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</si>
  <si>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</si>
  <si>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</si>
  <si>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</si>
  <si>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</si>
  <si>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</si>
  <si>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</si>
  <si>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</si>
  <si>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</si>
  <si>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</si>
  <si>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</si>
  <si>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</si>
  <si>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</si>
  <si>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</si>
  <si>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</si>
  <si>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</si>
  <si>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</si>
  <si>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</si>
  <si>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</si>
  <si>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</si>
  <si>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</si>
  <si>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</si>
  <si>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</si>
  <si>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</si>
  <si>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</si>
  <si>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</si>
  <si>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</si>
  <si>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</si>
  <si>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</si>
  <si>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</si>
  <si>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</si>
  <si>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</si>
  <si>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</si>
  <si>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</si>
  <si>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</si>
  <si>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</si>
  <si>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</si>
  <si>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</si>
  <si>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</si>
  <si>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</si>
  <si>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</si>
  <si>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</si>
  <si>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</si>
  <si>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</si>
  <si>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</si>
  <si>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</si>
  <si>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</si>
  <si>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</si>
  <si>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</si>
  <si>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</si>
  <si>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</si>
  <si>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</si>
  <si>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</si>
  <si>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</si>
  <si>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</si>
  <si>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</si>
  <si>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</si>
  <si>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</si>
  <si>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</si>
  <si>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</si>
  <si>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</si>
  <si>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</si>
  <si>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</si>
  <si>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</si>
  <si>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</si>
  <si>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</si>
  <si>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</si>
  <si>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</si>
  <si>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</si>
  <si>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</si>
  <si>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</si>
  <si>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</si>
  <si>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</si>
  <si>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</si>
  <si>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</si>
  <si>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</si>
  <si>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</si>
  <si>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</si>
  <si>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</si>
  <si>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</si>
  <si>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</si>
  <si>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</si>
  <si>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</si>
  <si>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</si>
  <si>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</si>
  <si>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</si>
  <si>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</si>
  <si>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</si>
  <si>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</si>
  <si>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</si>
  <si>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</si>
  <si>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</si>
  <si>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</si>
  <si>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</si>
  <si>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</si>
  <si>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</si>
  <si>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</si>
  <si>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</si>
  <si>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</si>
  <si>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</si>
  <si>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</si>
  <si>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</si>
  <si>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</si>
  <si>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</si>
  <si>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</si>
  <si>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</si>
  <si>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</si>
  <si>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</si>
  <si>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</si>
  <si>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</si>
  <si>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</si>
  <si>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</si>
  <si>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</si>
  <si>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</si>
  <si>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</si>
  <si>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</si>
  <si>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</si>
  <si>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</si>
  <si>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</si>
  <si>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</si>
  <si>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</si>
  <si>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</si>
  <si>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</si>
  <si>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</si>
  <si>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</si>
  <si>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</si>
  <si>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</si>
  <si>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</si>
  <si>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</si>
  <si>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</si>
  <si>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</si>
  <si>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</si>
  <si>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</si>
  <si>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</si>
  <si>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</si>
  <si>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</si>
  <si>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</si>
  <si>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</si>
  <si>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</si>
  <si>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</si>
  <si>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</si>
  <si>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</si>
  <si>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</si>
  <si>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</si>
  <si>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</si>
  <si>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</si>
  <si>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</si>
  <si>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</si>
  <si>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</si>
  <si>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</si>
  <si>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</si>
  <si>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</si>
  <si>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</si>
  <si>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</si>
  <si>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</si>
  <si>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</si>
  <si>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</si>
  <si>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</si>
  <si>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</si>
  <si>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</si>
  <si>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</si>
  <si>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</si>
  <si>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</si>
  <si>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</si>
  <si>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</si>
  <si>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</si>
  <si>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</si>
  <si>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</si>
  <si>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</si>
  <si>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</si>
  <si>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</si>
  <si>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</si>
  <si>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</si>
  <si>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</si>
  <si>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</si>
  <si>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</si>
  <si>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</si>
  <si>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</si>
  <si>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</si>
  <si>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</si>
  <si>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</si>
  <si>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</si>
  <si>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</si>
  <si>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</si>
  <si>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</si>
  <si>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</si>
  <si>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</si>
  <si>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</si>
  <si>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</si>
  <si>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</si>
  <si>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</si>
  <si>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</si>
  <si>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</si>
  <si>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</si>
  <si>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</si>
  <si>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</si>
  <si>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</si>
  <si>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</si>
  <si>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</si>
  <si>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</si>
  <si>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</si>
  <si>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</si>
  <si>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</si>
  <si>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</si>
  <si>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</si>
  <si>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</si>
  <si>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</si>
  <si>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</si>
  <si>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</si>
  <si>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</si>
  <si>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</si>
  <si>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</si>
  <si>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</si>
  <si>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</si>
  <si>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</si>
  <si>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</si>
  <si>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</si>
  <si>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</si>
  <si>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</si>
  <si>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</si>
  <si>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</si>
  <si>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</si>
  <si>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</si>
  <si>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</si>
  <si>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</si>
  <si>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</si>
  <si>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</si>
  <si>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</si>
  <si>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</si>
  <si>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</si>
  <si>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</si>
  <si>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</si>
  <si>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</si>
  <si>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</si>
  <si>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</si>
  <si>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</si>
  <si>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</si>
  <si>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</si>
  <si>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</si>
  <si>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</si>
  <si>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</si>
  <si>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</si>
  <si>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</si>
  <si>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</si>
  <si>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</si>
  <si>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</si>
  <si>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</si>
  <si>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</si>
  <si>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</si>
  <si>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</si>
  <si>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</si>
  <si>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</si>
  <si>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</si>
  <si>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</si>
  <si>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</si>
  <si>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</si>
  <si>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</si>
  <si>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</si>
  <si>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</si>
  <si>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</si>
  <si>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</si>
  <si>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</si>
  <si>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</si>
  <si>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</si>
  <si>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</si>
  <si>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</si>
  <si>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</si>
  <si>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</si>
  <si>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</si>
  <si>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</si>
  <si>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</si>
  <si>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</si>
  <si>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</si>
  <si>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</si>
  <si>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</si>
  <si>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</si>
  <si>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</si>
  <si>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</si>
  <si>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</si>
  <si>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</si>
  <si>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</si>
  <si>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</si>
  <si>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</si>
  <si>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</si>
  <si>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</si>
  <si>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</si>
  <si>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</si>
  <si>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</si>
  <si>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</si>
  <si>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</si>
  <si>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</si>
  <si>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</si>
  <si>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</si>
  <si>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</si>
  <si>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</si>
  <si>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</si>
  <si>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</si>
  <si>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</si>
  <si>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</si>
  <si>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</si>
  <si>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</si>
  <si>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</si>
  <si>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</si>
  <si>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</si>
  <si>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</si>
  <si>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</si>
  <si>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</si>
  <si>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</si>
  <si>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</si>
  <si>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</si>
  <si>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</si>
  <si>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</si>
  <si>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</si>
  <si>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</si>
  <si>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</si>
  <si>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</si>
  <si>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</si>
  <si>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</si>
  <si>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</si>
  <si>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</si>
  <si>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</si>
  <si>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</si>
  <si>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</si>
  <si>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</si>
  <si>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</si>
  <si>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</si>
  <si>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</si>
  <si>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</si>
  <si>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</si>
  <si>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</si>
  <si>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</si>
  <si>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</si>
  <si>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</si>
  <si>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</si>
  <si>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</si>
  <si>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</si>
  <si>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</si>
  <si>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</si>
  <si>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</si>
  <si>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</si>
  <si>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</si>
  <si>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</si>
  <si>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</si>
  <si>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</si>
  <si>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</si>
  <si>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</si>
  <si>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</si>
  <si>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</si>
  <si>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</si>
  <si>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</si>
  <si>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</si>
  <si>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</si>
  <si>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</si>
  <si>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</si>
  <si>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</si>
  <si>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</si>
  <si>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</si>
  <si>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</si>
  <si>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</si>
  <si>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204:139</t>
  </si>
  <si>
    <t>204:451</t>
  </si>
  <si>
    <t>204:233312</t>
  </si>
  <si>
    <t>204:471</t>
  </si>
  <si>
    <t>STAMBAUGH</t>
  </si>
  <si>
    <t>204:154</t>
  </si>
  <si>
    <t>204:447</t>
  </si>
  <si>
    <t>YORK</t>
  </si>
  <si>
    <t>EDGAR</t>
  </si>
  <si>
    <t>Y</t>
  </si>
  <si>
    <t>204:457</t>
  </si>
  <si>
    <t>Sat - Sun = 36 Trips</t>
  </si>
  <si>
    <t>"Summary View"</t>
  </si>
  <si>
    <t>rtdc.l.rtdc.4040:itc</t>
  </si>
  <si>
    <t>rtdc.l.rtdc.4063:itc</t>
  </si>
  <si>
    <t>rtdc.l.rtdc.4064:itc</t>
  </si>
  <si>
    <t>ROCHA</t>
  </si>
  <si>
    <t>YAOTL</t>
  </si>
  <si>
    <t>ANDERS</t>
  </si>
  <si>
    <t>STEVEN</t>
  </si>
  <si>
    <t>204:233291</t>
  </si>
  <si>
    <t>204:467</t>
  </si>
  <si>
    <t>204:473</t>
  </si>
  <si>
    <t>rtdc.l.rtdc.4061:itc</t>
  </si>
  <si>
    <t>rtdc.l.rtdc.4055:itc</t>
  </si>
  <si>
    <t>MICHAEL</t>
  </si>
  <si>
    <t>204:233302</t>
  </si>
  <si>
    <t>204:160</t>
  </si>
  <si>
    <t>clear-night</t>
  </si>
  <si>
    <t>Clear</t>
  </si>
  <si>
    <t>rtdc.l.rtdc.4066:itc</t>
  </si>
  <si>
    <t>rtdc.l.rtdc.4065:itc</t>
  </si>
  <si>
    <t>MCREYNOLDS</t>
  </si>
  <si>
    <t>KYLE</t>
  </si>
  <si>
    <t>204:233306</t>
  </si>
  <si>
    <t>204:233314</t>
  </si>
  <si>
    <t>%REDMINEAPIKEY%</t>
  </si>
  <si>
    <t>rtdc.l.rtdc.4036:itc</t>
  </si>
  <si>
    <t>204:232977</t>
  </si>
  <si>
    <t>204:464</t>
  </si>
  <si>
    <t>204:232991</t>
  </si>
  <si>
    <t>rtdc.l.rtdc.4052:itc</t>
  </si>
  <si>
    <t>rtdc.l.rtdc.4051:itc</t>
  </si>
  <si>
    <t>STEWART</t>
  </si>
  <si>
    <t>204:232985</t>
  </si>
  <si>
    <t>204:232994</t>
  </si>
  <si>
    <t>rtdc.l.rtdc.4035:itc</t>
  </si>
  <si>
    <t>clear-day</t>
  </si>
  <si>
    <t>204:442</t>
  </si>
  <si>
    <t>204:232965</t>
  </si>
  <si>
    <t>204:462</t>
  </si>
  <si>
    <t>204:232989</t>
  </si>
  <si>
    <t>204:233289</t>
  </si>
  <si>
    <t>204:232987</t>
  </si>
  <si>
    <t>300:23346</t>
  </si>
  <si>
    <t>SIGNAL</t>
  </si>
  <si>
    <t>Signal based authority (5)</t>
  </si>
  <si>
    <t>rtdc.l.rtdc.4001:itc</t>
  </si>
  <si>
    <t>rtdc.l.rtdc.4002:itc</t>
  </si>
  <si>
    <t>204:438</t>
  </si>
  <si>
    <t>204:138</t>
  </si>
  <si>
    <t>204:440</t>
  </si>
  <si>
    <t>204:169</t>
  </si>
  <si>
    <t>204:444</t>
  </si>
  <si>
    <t>rtdc.l.rtdc.4030:itc</t>
  </si>
  <si>
    <t>rtdc.l.rtdc.4025:itc</t>
  </si>
  <si>
    <t>rtdc.l.rtdc.4026:itc</t>
  </si>
  <si>
    <t>204:233023</t>
  </si>
  <si>
    <t>204:233299</t>
  </si>
  <si>
    <t>204:136</t>
  </si>
  <si>
    <t>204:233332</t>
  </si>
  <si>
    <t>204:141</t>
  </si>
  <si>
    <t>204:974</t>
  </si>
  <si>
    <t>Wi-MAX data drop</t>
  </si>
  <si>
    <t>BARRON</t>
  </si>
  <si>
    <t>PERLA</t>
  </si>
  <si>
    <t>LAMAR</t>
  </si>
  <si>
    <t>NEKESHA</t>
  </si>
  <si>
    <t>RESPASS</t>
  </si>
  <si>
    <t>AARON</t>
  </si>
  <si>
    <t>GUZMAN</t>
  </si>
  <si>
    <t>DANNY</t>
  </si>
  <si>
    <t>rtdc.l.rtdc.4008:itc</t>
  </si>
  <si>
    <t>204:233021</t>
  </si>
  <si>
    <t>204:233274</t>
  </si>
  <si>
    <t>204:233295</t>
  </si>
  <si>
    <t>204:233297</t>
  </si>
  <si>
    <t>204:232983</t>
  </si>
  <si>
    <t>204:731</t>
  </si>
  <si>
    <t>300:58937</t>
  </si>
  <si>
    <t>300:23301</t>
  </si>
  <si>
    <t>rtdc.l.rtdc.4029:itc</t>
  </si>
  <si>
    <t>rtdc.l.rtdc.4060:itc</t>
  </si>
  <si>
    <t>rtdc.l.rtdc.4050:itc</t>
  </si>
  <si>
    <t>rtdc.l.rtdc.4020:itc</t>
  </si>
  <si>
    <t>rtdc.l.rtdc.4019:itc</t>
  </si>
  <si>
    <t>rtdc.l.rtdc.4059:itc</t>
  </si>
  <si>
    <t>rtdc.l.rtdc.4009:itc</t>
  </si>
  <si>
    <t>YANG</t>
  </si>
  <si>
    <t>JAN</t>
  </si>
  <si>
    <t>rtdc.l.rtdc.4010:itc</t>
  </si>
  <si>
    <t>YANAI</t>
  </si>
  <si>
    <t>IAN</t>
  </si>
  <si>
    <t>STARKS</t>
  </si>
  <si>
    <t>ANGELINA</t>
  </si>
  <si>
    <t>LEVERE</t>
  </si>
  <si>
    <t>CRAIG</t>
  </si>
  <si>
    <t>LEVIN</t>
  </si>
  <si>
    <t>SCOTT</t>
  </si>
  <si>
    <t>204:233011</t>
  </si>
  <si>
    <t>204:232996</t>
  </si>
  <si>
    <t>204:469</t>
  </si>
  <si>
    <t>204:233298</t>
  </si>
  <si>
    <t>204:233288</t>
  </si>
  <si>
    <t>204:233293</t>
  </si>
  <si>
    <t>204:233311</t>
  </si>
  <si>
    <t>204:232998</t>
  </si>
  <si>
    <t>204:232992</t>
  </si>
  <si>
    <t>204:232990</t>
  </si>
  <si>
    <t>204:437</t>
  </si>
  <si>
    <t>204:233327</t>
  </si>
  <si>
    <t>204:232976</t>
  </si>
  <si>
    <t>204:232980</t>
  </si>
  <si>
    <t>204:232964</t>
  </si>
  <si>
    <t>204:176</t>
  </si>
  <si>
    <t>204:233010</t>
  </si>
  <si>
    <t>300:58931</t>
  </si>
  <si>
    <t>204:692</t>
  </si>
  <si>
    <t>204:671</t>
  </si>
  <si>
    <t>300:58954</t>
  </si>
  <si>
    <t>300:58638</t>
  </si>
  <si>
    <t>204:953</t>
  </si>
  <si>
    <t>300:58952</t>
  </si>
  <si>
    <t>204:680</t>
  </si>
  <si>
    <t>Poor GPS at DUS</t>
  </si>
  <si>
    <t>244-17</t>
  </si>
  <si>
    <t>BONDS</t>
  </si>
  <si>
    <t>REYNALDO</t>
  </si>
  <si>
    <t>ROMERO</t>
  </si>
  <si>
    <t>CHAD</t>
  </si>
  <si>
    <t>DE LA ROSA</t>
  </si>
  <si>
    <t>ALEX</t>
  </si>
  <si>
    <t>NEWELL</t>
  </si>
  <si>
    <t>NELSON</t>
  </si>
  <si>
    <t>ARIANE</t>
  </si>
  <si>
    <t>BRUDER</t>
  </si>
  <si>
    <t>RICHARD</t>
  </si>
  <si>
    <t>ROBINSON</t>
  </si>
  <si>
    <t>KADDIBA</t>
  </si>
  <si>
    <t>MOSES</t>
  </si>
  <si>
    <t>BRADLEY</t>
  </si>
  <si>
    <t>BIRKHOLZ</t>
  </si>
  <si>
    <t>NADINE</t>
  </si>
  <si>
    <t>89-17</t>
  </si>
  <si>
    <t>307-17</t>
  </si>
  <si>
    <t>309-17</t>
  </si>
  <si>
    <t>311-17</t>
  </si>
  <si>
    <t>204:233002</t>
  </si>
  <si>
    <t>204:233286</t>
  </si>
  <si>
    <t>204:232993</t>
  </si>
  <si>
    <t>204:232974</t>
  </si>
  <si>
    <t>204:232957</t>
  </si>
  <si>
    <t>204:233331</t>
  </si>
  <si>
    <t>204:232988</t>
  </si>
  <si>
    <t>204:132</t>
  </si>
  <si>
    <t>204:475</t>
  </si>
  <si>
    <t>204:233325</t>
  </si>
  <si>
    <t>300:23302</t>
  </si>
  <si>
    <t>204:962</t>
  </si>
  <si>
    <t>204:694</t>
  </si>
  <si>
    <t>204:981</t>
  </si>
  <si>
    <t>204:685</t>
  </si>
  <si>
    <t>300:58647</t>
  </si>
  <si>
    <t>300:58984</t>
  </si>
  <si>
    <t>300:58960</t>
  </si>
  <si>
    <t>300:58958</t>
  </si>
  <si>
    <t>204:1152</t>
  </si>
  <si>
    <t>204:668</t>
  </si>
  <si>
    <t>300-18</t>
  </si>
  <si>
    <t>60-18</t>
  </si>
  <si>
    <t>101-18</t>
  </si>
  <si>
    <t>110-18</t>
  </si>
  <si>
    <t>115-18</t>
  </si>
  <si>
    <t>rtdc.l.rtdc.4018:itc</t>
  </si>
  <si>
    <t>803-18</t>
  </si>
  <si>
    <t>112-18</t>
  </si>
  <si>
    <t>114-18</t>
  </si>
  <si>
    <t>805-18</t>
  </si>
  <si>
    <t>123-18</t>
  </si>
  <si>
    <t>116-18</t>
  </si>
  <si>
    <t>809-18</t>
  </si>
  <si>
    <t>129-18</t>
  </si>
  <si>
    <t>61-18</t>
  </si>
  <si>
    <t>rtdc.l.rtdc.4005:itc</t>
  </si>
  <si>
    <t>54-18</t>
  </si>
  <si>
    <t>146-18</t>
  </si>
  <si>
    <t>66-18</t>
  </si>
  <si>
    <t>rtdc.l.rtdc.4062:itc</t>
  </si>
  <si>
    <t>159-18</t>
  </si>
  <si>
    <t>rtdc.l.rtdc.4007:itc</t>
  </si>
  <si>
    <t>70-18</t>
  </si>
  <si>
    <t>63-18</t>
  </si>
  <si>
    <t>164-18</t>
  </si>
  <si>
    <t>821-18</t>
  </si>
  <si>
    <t>172-18</t>
  </si>
  <si>
    <t>76-18</t>
  </si>
  <si>
    <t>SWITCH ALIGNMENT</t>
  </si>
  <si>
    <t>Track device (7)</t>
  </si>
  <si>
    <t>181-18</t>
  </si>
  <si>
    <t>187-18</t>
  </si>
  <si>
    <t>rtdc.l.rtdc.4017:itc</t>
  </si>
  <si>
    <t>824-18</t>
  </si>
  <si>
    <t>74-18</t>
  </si>
  <si>
    <t>904-18</t>
  </si>
  <si>
    <t>rtdc.l.rtdc.4056:itc</t>
  </si>
  <si>
    <t>197-18</t>
  </si>
  <si>
    <t>77-18</t>
  </si>
  <si>
    <t>831-18</t>
  </si>
  <si>
    <t>198-18</t>
  </si>
  <si>
    <t>832-18</t>
  </si>
  <si>
    <t>217-18</t>
  </si>
  <si>
    <t>SWITCH UNKNOWN</t>
  </si>
  <si>
    <t>839-18</t>
  </si>
  <si>
    <t>212-18</t>
  </si>
  <si>
    <t>845-18</t>
  </si>
  <si>
    <t>230-18</t>
  </si>
  <si>
    <t>311-18</t>
  </si>
  <si>
    <t>51-18</t>
  </si>
  <si>
    <t>302-18</t>
  </si>
  <si>
    <t>THOMPSON</t>
  </si>
  <si>
    <t>LESTER</t>
  </si>
  <si>
    <t>52-18</t>
  </si>
  <si>
    <t>103-18</t>
  </si>
  <si>
    <t>rtdc.l.rtdc.4039:itc</t>
  </si>
  <si>
    <t>304-18</t>
  </si>
  <si>
    <t>rtdc.l.rtdc.4043:itc</t>
  </si>
  <si>
    <t>306-18</t>
  </si>
  <si>
    <t>105-18</t>
  </si>
  <si>
    <t>102-18</t>
  </si>
  <si>
    <t>rtdc.l.rtdc.4044:itc</t>
  </si>
  <si>
    <t>107-18</t>
  </si>
  <si>
    <t>308-18</t>
  </si>
  <si>
    <t>DAVIS</t>
  </si>
  <si>
    <t>WENDY</t>
  </si>
  <si>
    <t>104-18</t>
  </si>
  <si>
    <t>109-18</t>
  </si>
  <si>
    <t>310-18</t>
  </si>
  <si>
    <t>901-18</t>
  </si>
  <si>
    <t>106-18</t>
  </si>
  <si>
    <t>111-18</t>
  </si>
  <si>
    <t>113-18</t>
  </si>
  <si>
    <t>800-18</t>
  </si>
  <si>
    <t>312-18</t>
  </si>
  <si>
    <t>FORTUNATO</t>
  </si>
  <si>
    <t>FRANK</t>
  </si>
  <si>
    <t>108-18</t>
  </si>
  <si>
    <t>117-18</t>
  </si>
  <si>
    <t>801-18</t>
  </si>
  <si>
    <t>902-18</t>
  </si>
  <si>
    <t>GEBRETEKLE</t>
  </si>
  <si>
    <t>DAGNEW</t>
  </si>
  <si>
    <t>119-18</t>
  </si>
  <si>
    <t>802-18</t>
  </si>
  <si>
    <t>121-18</t>
  </si>
  <si>
    <t>118-18</t>
  </si>
  <si>
    <t>804-18</t>
  </si>
  <si>
    <t>125-18</t>
  </si>
  <si>
    <t>127-18</t>
  </si>
  <si>
    <t>PAGE</t>
  </si>
  <si>
    <t>MARCUS</t>
  </si>
  <si>
    <t>120-18</t>
  </si>
  <si>
    <t>806-18</t>
  </si>
  <si>
    <t>807-18</t>
  </si>
  <si>
    <t>122-18</t>
  </si>
  <si>
    <t>124-18</t>
  </si>
  <si>
    <t>131-18</t>
  </si>
  <si>
    <t>ACKERMAN</t>
  </si>
  <si>
    <t>JARED</t>
  </si>
  <si>
    <t>808-18</t>
  </si>
  <si>
    <t>133-18</t>
  </si>
  <si>
    <t>126-18</t>
  </si>
  <si>
    <t>128-18</t>
  </si>
  <si>
    <t>135-18</t>
  </si>
  <si>
    <t>810-18</t>
  </si>
  <si>
    <t>811-18</t>
  </si>
  <si>
    <t>130-18</t>
  </si>
  <si>
    <t>137-18</t>
  </si>
  <si>
    <t>132-18</t>
  </si>
  <si>
    <t>134-18</t>
  </si>
  <si>
    <t>812-18</t>
  </si>
  <si>
    <t>139-18</t>
  </si>
  <si>
    <t>903-18</t>
  </si>
  <si>
    <t>141-18</t>
  </si>
  <si>
    <t>136-18</t>
  </si>
  <si>
    <t>813-18</t>
  </si>
  <si>
    <t>143-18</t>
  </si>
  <si>
    <t>138-18</t>
  </si>
  <si>
    <t>145-18</t>
  </si>
  <si>
    <t>140-18</t>
  </si>
  <si>
    <t>147-18</t>
  </si>
  <si>
    <t>142-18</t>
  </si>
  <si>
    <t>814-18</t>
  </si>
  <si>
    <t>149-18</t>
  </si>
  <si>
    <t>151-18</t>
  </si>
  <si>
    <t>144-18</t>
  </si>
  <si>
    <t>815-18</t>
  </si>
  <si>
    <t>rtdc.l.rtdc.4006:itc</t>
  </si>
  <si>
    <t>55-18</t>
  </si>
  <si>
    <t>148-18</t>
  </si>
  <si>
    <t>153-18</t>
  </si>
  <si>
    <t>BROWN</t>
  </si>
  <si>
    <t>JACOB</t>
  </si>
  <si>
    <t>155-18</t>
  </si>
  <si>
    <t>816-18</t>
  </si>
  <si>
    <t>150-18</t>
  </si>
  <si>
    <t>157-18</t>
  </si>
  <si>
    <t>152-18</t>
  </si>
  <si>
    <t>58-18</t>
  </si>
  <si>
    <t>62-18</t>
  </si>
  <si>
    <t>817-18</t>
  </si>
  <si>
    <t>156-18</t>
  </si>
  <si>
    <t>154-18</t>
  </si>
  <si>
    <t>161-18</t>
  </si>
  <si>
    <t>163-18</t>
  </si>
  <si>
    <t>818-18</t>
  </si>
  <si>
    <t>59-18</t>
  </si>
  <si>
    <t>158-18</t>
  </si>
  <si>
    <t>165-18</t>
  </si>
  <si>
    <t>167-18</t>
  </si>
  <si>
    <t>160-18</t>
  </si>
  <si>
    <t>819-18</t>
  </si>
  <si>
    <t>71-18</t>
  </si>
  <si>
    <t>169-18</t>
  </si>
  <si>
    <t>BERLING</t>
  </si>
  <si>
    <t>GARY</t>
  </si>
  <si>
    <t>162-18</t>
  </si>
  <si>
    <t>171-18</t>
  </si>
  <si>
    <t>820-18</t>
  </si>
  <si>
    <t>166-18</t>
  </si>
  <si>
    <t>173-18</t>
  </si>
  <si>
    <t>HOLCOMB</t>
  </si>
  <si>
    <t>KAMDEN</t>
  </si>
  <si>
    <t>81-18</t>
  </si>
  <si>
    <t>168-18</t>
  </si>
  <si>
    <t>175-18</t>
  </si>
  <si>
    <t>170-18</t>
  </si>
  <si>
    <t>177-18</t>
  </si>
  <si>
    <t>82-18</t>
  </si>
  <si>
    <t>179-18</t>
  </si>
  <si>
    <t>822-18</t>
  </si>
  <si>
    <t>174-18</t>
  </si>
  <si>
    <t>176-18</t>
  </si>
  <si>
    <t>183-18</t>
  </si>
  <si>
    <t>823-18</t>
  </si>
  <si>
    <t>185-18</t>
  </si>
  <si>
    <t>DELGADO</t>
  </si>
  <si>
    <t>DIANAH</t>
  </si>
  <si>
    <t>178-18</t>
  </si>
  <si>
    <t>180-18</t>
  </si>
  <si>
    <t>189-18</t>
  </si>
  <si>
    <t>182-18</t>
  </si>
  <si>
    <t>MAGEE</t>
  </si>
  <si>
    <t>KENYA</t>
  </si>
  <si>
    <t>184-18</t>
  </si>
  <si>
    <t>186-18</t>
  </si>
  <si>
    <t>191-18</t>
  </si>
  <si>
    <t>825-18</t>
  </si>
  <si>
    <t>193-18</t>
  </si>
  <si>
    <t>188-18</t>
  </si>
  <si>
    <t>195-18</t>
  </si>
  <si>
    <t>826-18</t>
  </si>
  <si>
    <t>75-18</t>
  </si>
  <si>
    <t>827-18</t>
  </si>
  <si>
    <t>190-18</t>
  </si>
  <si>
    <t>192-18</t>
  </si>
  <si>
    <t>199-18</t>
  </si>
  <si>
    <t>194-18</t>
  </si>
  <si>
    <t>828-18</t>
  </si>
  <si>
    <t>829-18</t>
  </si>
  <si>
    <t>201-18</t>
  </si>
  <si>
    <t>196-18</t>
  </si>
  <si>
    <t>203-18</t>
  </si>
  <si>
    <t>830-18</t>
  </si>
  <si>
    <t>205-18</t>
  </si>
  <si>
    <t>200-18</t>
  </si>
  <si>
    <t>73-18</t>
  </si>
  <si>
    <t>207-18</t>
  </si>
  <si>
    <t>833-18</t>
  </si>
  <si>
    <t>202-18</t>
  </si>
  <si>
    <t>209-18</t>
  </si>
  <si>
    <t>211-18</t>
  </si>
  <si>
    <t>204-18</t>
  </si>
  <si>
    <t>ZEWDU</t>
  </si>
  <si>
    <t>DEREJE</t>
  </si>
  <si>
    <t>834-18</t>
  </si>
  <si>
    <t>835-18</t>
  </si>
  <si>
    <t>206-18</t>
  </si>
  <si>
    <t>208-18</t>
  </si>
  <si>
    <t>213-18</t>
  </si>
  <si>
    <t>CUSHING</t>
  </si>
  <si>
    <t>HARRY</t>
  </si>
  <si>
    <t>836-18</t>
  </si>
  <si>
    <t>215-18</t>
  </si>
  <si>
    <t>210-18</t>
  </si>
  <si>
    <t>837-18</t>
  </si>
  <si>
    <t>838-18</t>
  </si>
  <si>
    <t>219-18</t>
  </si>
  <si>
    <t>214-18</t>
  </si>
  <si>
    <t>301-18</t>
  </si>
  <si>
    <t>216-18</t>
  </si>
  <si>
    <t>221-18</t>
  </si>
  <si>
    <t>906-18</t>
  </si>
  <si>
    <t>841-18</t>
  </si>
  <si>
    <t>218-18</t>
  </si>
  <si>
    <t>220-18</t>
  </si>
  <si>
    <t>223-18</t>
  </si>
  <si>
    <t>840-18</t>
  </si>
  <si>
    <t>305-18</t>
  </si>
  <si>
    <t>222-18</t>
  </si>
  <si>
    <t>225-18</t>
  </si>
  <si>
    <t>843-18</t>
  </si>
  <si>
    <t>224-18</t>
  </si>
  <si>
    <t>842-18</t>
  </si>
  <si>
    <t>227-18</t>
  </si>
  <si>
    <t>229-18</t>
  </si>
  <si>
    <t>226-18</t>
  </si>
  <si>
    <t>228-18</t>
  </si>
  <si>
    <t>231-18</t>
  </si>
  <si>
    <t>844-18</t>
  </si>
  <si>
    <t>233-18</t>
  </si>
  <si>
    <t>847-18</t>
  </si>
  <si>
    <t>232-18</t>
  </si>
  <si>
    <t>846-18</t>
  </si>
  <si>
    <t>235-18</t>
  </si>
  <si>
    <t>237-18</t>
  </si>
  <si>
    <t>234-18</t>
  </si>
  <si>
    <t>849-18</t>
  </si>
  <si>
    <t>239-18</t>
  </si>
  <si>
    <t>908-18</t>
  </si>
  <si>
    <t>236-18</t>
  </si>
  <si>
    <t>238-18</t>
  </si>
  <si>
    <t>241-18</t>
  </si>
  <si>
    <t>240-18</t>
  </si>
  <si>
    <t>243-18</t>
  </si>
  <si>
    <t>89-18</t>
  </si>
  <si>
    <t>313-18</t>
  </si>
  <si>
    <t>242-18</t>
  </si>
  <si>
    <t>307-18</t>
  </si>
  <si>
    <t>244-18</t>
  </si>
  <si>
    <t>309-18</t>
  </si>
  <si>
    <t>58-19</t>
  </si>
  <si>
    <t>300-19</t>
  </si>
  <si>
    <t>204:772</t>
  </si>
  <si>
    <t>204:114</t>
  </si>
  <si>
    <t>204:233315</t>
  </si>
  <si>
    <t>204:233249</t>
  </si>
  <si>
    <t>204:233272</t>
  </si>
  <si>
    <t>204:232952</t>
  </si>
  <si>
    <t>204:232975</t>
  </si>
  <si>
    <t>204:134</t>
  </si>
  <si>
    <t>204:500</t>
  </si>
  <si>
    <t>204:233309</t>
  </si>
  <si>
    <t>204:232966</t>
  </si>
  <si>
    <t>204:232982</t>
  </si>
  <si>
    <t>204:233320</t>
  </si>
  <si>
    <t>204:233013</t>
  </si>
  <si>
    <t>204:233324</t>
  </si>
  <si>
    <t>204:232986</t>
  </si>
  <si>
    <t>204:233334</t>
  </si>
  <si>
    <t>204:144</t>
  </si>
  <si>
    <t>204:233318</t>
  </si>
  <si>
    <t>204:232984</t>
  </si>
  <si>
    <t>204:232963</t>
  </si>
  <si>
    <t>204:163</t>
  </si>
  <si>
    <t>204:233307</t>
  </si>
  <si>
    <t>204:233308</t>
  </si>
  <si>
    <t>204:478</t>
  </si>
  <si>
    <t>204:233345</t>
  </si>
  <si>
    <t>204:233030</t>
  </si>
  <si>
    <t>204:233321</t>
  </si>
  <si>
    <t>204:232981</t>
  </si>
  <si>
    <t>204:233278</t>
  </si>
  <si>
    <t>204:233330</t>
  </si>
  <si>
    <t>204:233000</t>
  </si>
  <si>
    <t>204:233301</t>
  </si>
  <si>
    <t>204:233366</t>
  </si>
  <si>
    <t>204:233026</t>
  </si>
  <si>
    <t>204:233303</t>
  </si>
  <si>
    <t>204:125</t>
  </si>
  <si>
    <t>204:232961</t>
  </si>
  <si>
    <t>204:170</t>
  </si>
  <si>
    <t>204:233323</t>
  </si>
  <si>
    <t>204:1403</t>
  </si>
  <si>
    <t>204:233408</t>
  </si>
  <si>
    <t>204:466</t>
  </si>
  <si>
    <t>204:233372</t>
  </si>
  <si>
    <t>204:233338</t>
  </si>
  <si>
    <t>204:233317</t>
  </si>
  <si>
    <t>204:233353</t>
  </si>
  <si>
    <t>204:154012</t>
  </si>
  <si>
    <t>204:232960</t>
  </si>
  <si>
    <t>204:189</t>
  </si>
  <si>
    <t>204:233389</t>
  </si>
  <si>
    <t>204:233015</t>
  </si>
  <si>
    <t>204:142</t>
  </si>
  <si>
    <t>300:22940</t>
  </si>
  <si>
    <t>204:484</t>
  </si>
  <si>
    <t>300:23525</t>
  </si>
  <si>
    <t>300:23252</t>
  </si>
  <si>
    <t>300:23582</t>
  </si>
  <si>
    <t>300:22550</t>
  </si>
  <si>
    <t>300:23312</t>
  </si>
  <si>
    <t>300:23705</t>
  </si>
  <si>
    <t>300:23836</t>
  </si>
  <si>
    <t>300:19244</t>
  </si>
  <si>
    <t>204:506</t>
  </si>
  <si>
    <t>300:23287</t>
  </si>
  <si>
    <t>300:23144</t>
  </si>
  <si>
    <t>204:867</t>
  </si>
  <si>
    <t>204:1160</t>
  </si>
  <si>
    <t>300:24250</t>
  </si>
  <si>
    <t>300:22206</t>
  </si>
  <si>
    <t>204:952</t>
  </si>
  <si>
    <t>204:1257</t>
  </si>
  <si>
    <t>300:24269</t>
  </si>
  <si>
    <t>300:23497</t>
  </si>
  <si>
    <t>204:879</t>
  </si>
  <si>
    <t>300:112195</t>
  </si>
  <si>
    <t>300:112252</t>
  </si>
  <si>
    <t>300:38899</t>
  </si>
  <si>
    <t>300:22106</t>
  </si>
  <si>
    <t>300:112379</t>
  </si>
  <si>
    <t>300:39204</t>
  </si>
  <si>
    <t>300:112580</t>
  </si>
  <si>
    <t>300:112193</t>
  </si>
  <si>
    <t>300:38868</t>
  </si>
  <si>
    <t>300:112271</t>
  </si>
  <si>
    <t>300:28776</t>
  </si>
  <si>
    <t>300:112513</t>
  </si>
  <si>
    <t>300:39220</t>
  </si>
  <si>
    <t>300:112578</t>
  </si>
  <si>
    <t>204:1467</t>
  </si>
  <si>
    <t>204:3324</t>
  </si>
  <si>
    <t>204:2989</t>
  </si>
  <si>
    <t>300:23544</t>
  </si>
  <si>
    <t>204:858</t>
  </si>
  <si>
    <t>204:1177</t>
  </si>
  <si>
    <t>300:24239</t>
  </si>
  <si>
    <t>204:1142</t>
  </si>
  <si>
    <t>204:3052</t>
  </si>
  <si>
    <t>204:1473</t>
  </si>
  <si>
    <t>204:3411</t>
  </si>
  <si>
    <t>204:1148</t>
  </si>
  <si>
    <t>300:23299</t>
  </si>
  <si>
    <t>300:22295</t>
  </si>
  <si>
    <t>204:146</t>
  </si>
  <si>
    <t>204:374</t>
  </si>
  <si>
    <t>300:112515</t>
  </si>
  <si>
    <t>300:112197</t>
  </si>
  <si>
    <t>300:39199</t>
  </si>
  <si>
    <t>300:112251</t>
  </si>
  <si>
    <t>300:112093</t>
  </si>
  <si>
    <t>300:109925</t>
  </si>
  <si>
    <t>204:72</t>
  </si>
  <si>
    <t>300:112170</t>
  </si>
  <si>
    <t>300:28767</t>
  </si>
  <si>
    <t>300:30067</t>
  </si>
  <si>
    <t>300:112504</t>
  </si>
  <si>
    <t>300:58672</t>
  </si>
  <si>
    <t>204:701</t>
  </si>
  <si>
    <t>204:950</t>
  </si>
  <si>
    <t>300:58973</t>
  </si>
  <si>
    <t>300:58666</t>
  </si>
  <si>
    <t>204:988</t>
  </si>
  <si>
    <t>300:58658</t>
  </si>
  <si>
    <t>204:712</t>
  </si>
  <si>
    <t>204:978</t>
  </si>
  <si>
    <t>300:58662</t>
  </si>
  <si>
    <t>204:699</t>
  </si>
  <si>
    <t>204:993</t>
  </si>
  <si>
    <t>300:58643</t>
  </si>
  <si>
    <t>204:696</t>
  </si>
  <si>
    <t>204:2123</t>
  </si>
  <si>
    <t>204:2550</t>
  </si>
  <si>
    <t>204:2117</t>
  </si>
  <si>
    <t>300:24231</t>
  </si>
  <si>
    <t>300:58640</t>
  </si>
  <si>
    <t>204:706</t>
  </si>
  <si>
    <t>300:58967</t>
  </si>
  <si>
    <t>300:58651</t>
  </si>
  <si>
    <t>204:703</t>
  </si>
  <si>
    <t>204:997</t>
  </si>
  <si>
    <t>300:58969</t>
  </si>
  <si>
    <t>300:58656</t>
  </si>
  <si>
    <t>204:713</t>
  </si>
  <si>
    <t>204:985</t>
  </si>
  <si>
    <t>300:58950</t>
  </si>
  <si>
    <t>300:58645</t>
  </si>
  <si>
    <t>204:708</t>
  </si>
  <si>
    <t>300:58971</t>
  </si>
  <si>
    <t>204:976</t>
  </si>
  <si>
    <t>300:22174</t>
  </si>
  <si>
    <t>204:1018</t>
  </si>
  <si>
    <t>300:23205</t>
  </si>
  <si>
    <t>300:23201</t>
  </si>
  <si>
    <t>300:58965</t>
  </si>
  <si>
    <t>204:983</t>
  </si>
  <si>
    <t>300:58649</t>
  </si>
  <si>
    <t>204:4602</t>
  </si>
  <si>
    <t>204:965</t>
  </si>
  <si>
    <t>204:710</t>
  </si>
  <si>
    <t>300:58939</t>
  </si>
  <si>
    <t>300:58615</t>
  </si>
  <si>
    <t>300:58948</t>
  </si>
  <si>
    <t>300:58626</t>
  </si>
  <si>
    <t>204:951</t>
  </si>
  <si>
    <t>204:677</t>
  </si>
  <si>
    <t>204:971</t>
  </si>
  <si>
    <t>204:689</t>
  </si>
  <si>
    <t>300:58888</t>
  </si>
  <si>
    <t>300:58608</t>
  </si>
  <si>
    <t>204:1506</t>
  </si>
  <si>
    <t>300:29773</t>
  </si>
  <si>
    <t>300:58986</t>
  </si>
  <si>
    <t>300:23652</t>
  </si>
  <si>
    <t>204:995</t>
  </si>
  <si>
    <t>300:24265</t>
  </si>
  <si>
    <t>300:23709</t>
  </si>
  <si>
    <t>300:58564</t>
  </si>
  <si>
    <t>300:28778</t>
  </si>
  <si>
    <t>300:28788</t>
  </si>
  <si>
    <t>start /low /b %USERPROFILE%\Documents\GitHub\eaglep3\Utilities\DownloadLogsFromS3.py --loco 4001 --day 2017-10-18</t>
  </si>
  <si>
    <t>start /low /b %USERPROFILE%\Documents\GitHub\eaglep3\Utilities\DownloadLogsFromS3.py --loco 4036 --day 2017-10-18</t>
  </si>
  <si>
    <t>start /low /b %USERPROFILE%\Documents\GitHub\eaglep3\Utilities\DownloadLogsFromS3.py --loco 4018 --day 2017-10-18</t>
  </si>
  <si>
    <t>start /low /b %USERPROFILE%\Documents\GitHub\eaglep3\Utilities\DownloadLogsFromS3.py --loco 4017 --day 2017-10-18</t>
  </si>
  <si>
    <t>start /low /b %USERPROFILE%\Documents\GitHub\eaglep3\Utilities\DownloadLogsFromS3.py --loco 4056 --day 2017-10-18</t>
  </si>
  <si>
    <t>start /low /b %USERPROFILE%\Documents\GitHub\eaglep3\Utilities\DownloadLogsFromS3.py --loco 4055 --day 2017-10-18</t>
  </si>
  <si>
    <t>start /low /b %USERPROFILE%\Documents\GitHub\eaglep3\Utilities\DownloadLogsFromS3.py --loco 4019 --day 2017-10-18</t>
  </si>
  <si>
    <t>start /low /b %USERPROFILE%\Documents\GitHub\eaglep3\Utilities\DownloadLogsFromS3.py --loco 4062 --day 2017-10-18</t>
  </si>
  <si>
    <t>start /low /b %USERPROFILE%\Documents\GitHub\eaglep3\Utilities\DownloadLogsFromS3.py --loco 4025 --day 2017-10-19</t>
  </si>
  <si>
    <t>start /low /b %USERPROFILE%\Documents\GitHub\eaglep3\Utilities\DownloadLogsFromS3.py --loco 4064 --day 2017-10-18</t>
  </si>
  <si>
    <t>start /low /b %USERPROFILE%\Documents\GitHub\eaglep3\Utilities\DownloadLogsFromS3.py --loco 4063 --day 2017-10-18</t>
  </si>
  <si>
    <t>start /low /b %USERPROFILE%\Documents\GitHub\eaglep3\Utilities\DownloadLogsFromS3.py --loco 4026 --day 2017-10-18</t>
  </si>
  <si>
    <t>start /low /b %USERPROFILE%\Documents\GitHub\eaglep3\Utilities\DownloadLogsFromS3.py --loco 4040 --day 2017-10-19</t>
  </si>
  <si>
    <t>start /low /b %USERPROFILE%\Documents\GitHub\eaglep3\Utilities\DownloadLogsFromS3.py --loco 4025 --day 2017-10-18</t>
  </si>
  <si>
    <t>start /low /b %USERPROFILE%\Documents\GitHub\eaglep3\Utilities\DownloadLogsFromS3.py --loco 4061 --day 2017-10-18</t>
  </si>
  <si>
    <t>start /low /b %USERPROFILE%\Documents\GitHub\eaglep3\Utilities\DownloadLogsFromS3.py --loco 4059 --day 2017-10-19</t>
  </si>
  <si>
    <t>start /low /b %USERPROFILE%\Documents\GitHub\eaglep3\Utilities\DownloadLogsFromS3.py --loco 4020 --day 2017-10-18</t>
  </si>
  <si>
    <t>start /low /b %USERPROFILE%\Documents\GitHub\eaglep3\Utilities\DownloadLogsFromS3.py --loco 4035 --day 2017-10-18</t>
  </si>
  <si>
    <t>start /low /b %USERPROFILE%\Documents\GitHub\eaglep3\Utilities\DownloadLogsFromS3.py --loco 4036 --day 2017-10-19</t>
  </si>
  <si>
    <t>start /low /b %USERPROFILE%\Documents\GitHub\eaglep3\Utilities\DownloadLogsFromS3.py --loco 4018 --day 2017-10-19</t>
  </si>
  <si>
    <t>Operator selected incorrect Trip ID</t>
  </si>
  <si>
    <t>ANDERS STEVEN</t>
  </si>
  <si>
    <t>Minor onboard en route failure</t>
  </si>
  <si>
    <t>Poor GPS under Wewatta St. overpass</t>
  </si>
  <si>
    <t>Restricted signal aspect</t>
  </si>
  <si>
    <t>Premature downgrade at EC1497RH 143-1T 1N</t>
  </si>
  <si>
    <t>Premature downgrade at EC1497RH 143-1T 1N at 14:10:34 on 10/18/17, went from MAS 270 to 0.  Do the logs indicate anything unusual at this time?</t>
  </si>
  <si>
    <t>Observed unhealthy crossing at Sable, no enforcement</t>
  </si>
  <si>
    <t>Delayed by CROC/Crew/Equipment mismatch</t>
  </si>
  <si>
    <t>Observed banner without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</si>
</sst>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5" xfId="0" applyNumberFormat="1" applyBorder="1" applyAlignment="1">
      <alignment horizontal="left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94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43026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43026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COUNTIFS($N$13:$N$9437,"&gt;0",$AG$13:$AG$9437,I1)</f>
        <v>143</v>
      </c>
      <c r="K5" s="39"/>
      <c r="L5" s="172"/>
      <c r="M5" s="40">
        <f>AVERAGEIFS($N$13:$N$9437,$AG$13:$AG$9437,I1)</f>
        <v>37.246386946473677</v>
      </c>
      <c r="N5" s="38">
        <f t="array" ref="N5">MIN(IF($AG$13:$AG$9437=I1,IF(ISNUMBER($N$13:$N$9437),IF($N$13:$N$9437&gt;0,$N$13:$N$9437))))</f>
        <v>33.816666671773419</v>
      </c>
      <c r="O5" s="3">
        <f t="array" ref="O5">MAX(IF($AG$13:$AG$9437=I1,IF(ISNUMBER($N$13:$N$9437),IF($N$13:$N$9437&gt;0,$N$13:$N$9437))))</f>
        <v>45.399999999208376</v>
      </c>
      <c r="P5" s="2"/>
      <c r="R5" s="163" t="s">
        <v>17</v>
      </c>
      <c r="S5" s="207">
        <f>COUNTIFS($N$13:$N$9437,"&gt;0",$AG$13:$AG$9437,R1)</f>
        <v>48</v>
      </c>
      <c r="T5" s="172"/>
      <c r="U5" s="195"/>
      <c r="V5" s="211">
        <f>AVERAGEIFS($N$13:$N$9437,$AG$13:$AG$9437,R1)</f>
        <v>14.001388888791553</v>
      </c>
      <c r="W5" s="212">
        <f t="array" ref="W5">MIN(IF($AG$13:$AG$9437=R1,IF(ISNUMBER($N$13:$N$9437),IF($N$13:$N$9437&gt;0,$N$13:$N$9437))))</f>
        <v>10.783333329018205</v>
      </c>
      <c r="X5" s="200">
        <f t="array" ref="X5">MAX(IF($AG$13:$AG$9437=R1,IF(ISNUMBER($N$13:$N$9437),IF($N$13:$N$9437&gt;0,$N$13:$N$9437))))</f>
        <v>24.883333335164934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COUNT($O$13:$O$197)</f>
        <v>0</v>
      </c>
      <c r="K6" s="39"/>
      <c r="L6" s="172"/>
      <c r="M6" s="40">
        <f>IFERROR(AVERAGE($O$13:$O$197),0)</f>
        <v>0</v>
      </c>
      <c r="N6" s="38">
        <f>MIN($O$13:$O$197)</f>
        <v>0</v>
      </c>
      <c r="O6" s="3">
        <f>MAX($O$13:$O$197)</f>
        <v>0</v>
      </c>
      <c r="P6" s="2"/>
      <c r="R6" s="164" t="s">
        <v>43</v>
      </c>
      <c r="S6" s="207">
        <f>COUNT($O$13:$O$197)</f>
        <v>0</v>
      </c>
      <c r="T6" s="172"/>
      <c r="U6" s="195"/>
      <c r="V6" s="211">
        <f>IFERROR(AVERAGE($O$13:$O$197),0)</f>
        <v>0</v>
      </c>
      <c r="W6" s="212">
        <f>MIN($O$13:$O$197)</f>
        <v>0</v>
      </c>
      <c r="X6" s="200">
        <f>MAX($O$13:$O$197)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COUNTIFS($P$13:$P$9437,"&gt;0",$AG$13:$AG$9437,I1)</f>
        <v>1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COUNTIFS($P$13:$P$9437,"&gt;0",$AG$13:$AG$9437,R1)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2"/>
      <c r="M8" s="40">
        <f>M5</f>
        <v>37.246386946473677</v>
      </c>
      <c r="N8" s="38">
        <f>N5</f>
        <v>33.816666671773419</v>
      </c>
      <c r="O8" s="3">
        <f>O5</f>
        <v>45.399999999208376</v>
      </c>
      <c r="P8" s="2"/>
      <c r="R8" s="163" t="s">
        <v>16</v>
      </c>
      <c r="S8" s="207">
        <f>S5</f>
        <v>48</v>
      </c>
      <c r="T8" s="172"/>
      <c r="U8" s="195"/>
      <c r="V8" s="211">
        <f>V5</f>
        <v>14.001388888791553</v>
      </c>
      <c r="W8" s="212">
        <f>W5</f>
        <v>10.783333329018205</v>
      </c>
      <c r="X8" s="200">
        <f>X5</f>
        <v>24.883333335164934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0.97959183673469385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5" t="str">
        <f>"Eagle P3 System Performance - "&amp;TEXT(Variables!A2,"yyyy-mm-dd")</f>
        <v>Eagle P3 System Performance - 2017-10-18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AVERAGE(S13:S115)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378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546</v>
      </c>
      <c r="B13" s="7">
        <v>4026</v>
      </c>
      <c r="C13" s="21" t="s">
        <v>194</v>
      </c>
      <c r="D13" s="21" t="s">
        <v>818</v>
      </c>
      <c r="E13" s="13">
        <v>43026.132592592592</v>
      </c>
      <c r="F13" s="13">
        <v>43026.13559027778</v>
      </c>
      <c r="G13" s="7">
        <v>76</v>
      </c>
      <c r="H13" s="21" t="s">
        <v>436</v>
      </c>
      <c r="I13" s="13">
        <v>43026.160497685189</v>
      </c>
      <c r="J13" s="7">
        <v>0</v>
      </c>
      <c r="K13" s="89" t="str">
        <f>IF(ISEVEN(B13),(B13-1)&amp;"/"&amp;B13,B13&amp;"/"&amp;(B13+1))</f>
        <v>4025/4026</v>
      </c>
      <c r="L13" s="185" t="str">
        <f>VLOOKUP(A13,'Trips&amp;Operators'!$C$1:$G$99911,5,FALSE)</f>
        <v>BONDS REYNALDO</v>
      </c>
      <c r="M13" s="6">
        <f>I13-F13</f>
        <v>2.4907407409045845E-2</v>
      </c>
      <c r="N13" s="7">
        <f>24*60*SUM($M13:$M13)</f>
        <v>35.866666669026017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-18T02:10:56-0600',mode:absolute,to:'2017-10-18T04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7.7200000000000005E-2</v>
      </c>
      <c r="Z13" s="204">
        <f>RIGHT(H13,LEN(H13)-4)/10000</f>
        <v>23.333200000000001</v>
      </c>
      <c r="AA13" s="204">
        <f>ABS(Z13-Y13)</f>
        <v>23.256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s3://rtdc.mdm.uploadarchive.raw/RTDC4026/ "%USERPROFILE%\AppData\Local\Temp\OnboardLogs"\RTDC4026\2017-10-18 --exclude "*" --recursive --include "*20171018*" &amp; "%USERPROFILE%\Documents\GitHub\mrs-test-scripts\Headless Mode &amp; Sideloading\WalkAndUnGZ.bat" "%USERPROFILE%\AppData\Local\Temp\OnboardLogs"\RTDC4026\2017-10-18 &amp; aws s3 cp s3://rtdc.mdm.uploadarchive.raw/RTDC4026/ "%USERPROFILE%\AppData\Local\Temp\OnboardLogs"\RTDC4026\2017-10-19 --exclude "*" --recursive --include "*20171019*" &amp; "%USERPROFILE%\Documents\GitHub\mrs-test-scripts\Headless Mode &amp; Sideloading\WalkAndUnGZ.bat" "%USERPROFILE%\AppData\Local\Temp\OnboardLogs"\RTDC4026\2017-10-19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/stypes="app*4026*20171018*"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4026 --swversion DE.1.0.9.0 --startMP 204:772 --initTime 2017-10-18T03:10:56 --startdatetime 2017-10-18T03:15:15 --delay 76 --endMP 204:233332 --enddatetime 2017-10-18T03:51:07 --enforcementcount 0 &gt;&gt;%USERPROFILE%\Documents\GitHub\eaglep3-reporting\EC\2017-10-18-refined-times.txt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{"issue":{"subject":"","project_id":79,"tracker_id":40,"status_id":1,"priority_id":2,"assigned_to_id":338,"start_date":"2017-10-18","description":"","custom_fields":[{"id":1,"name":"Subdivision","value":"EC"},{"id":4,"name":"Milepost","value":"23.3332"},{"id":17,"name":"Train ID","value":"101-18"},{"id":16,"name":"Locomotive ID","value":"4026"},{"id":130,"name":"Impact","value":""},{"id":150,"name":"Time of Event (Mountain Time)","value":"03:51:07"},{"id":151,"name":"Denver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4026 --day 2017-10-18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09:51:07"},{"id":29,"name":"Sharepoint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-18T02:10:56-0600',mode:absolute,to:'2017-10-18T04:51:07-0600'))&amp;_a=(columns:!('Message%20ID',Summary),filters:!(),index:'emp_*',interval:auto,query:(query_string:(analyze_wildcard:!t,query:'%22rtdc.l.rtdc.4026%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604</v>
      </c>
      <c r="B14" s="7">
        <v>4025</v>
      </c>
      <c r="C14" s="21" t="s">
        <v>194</v>
      </c>
      <c r="D14" s="21" t="s">
        <v>475</v>
      </c>
      <c r="E14" s="13">
        <v>43026.173298611109</v>
      </c>
      <c r="F14" s="13">
        <v>43026.175208333334</v>
      </c>
      <c r="G14" s="7">
        <v>67</v>
      </c>
      <c r="H14" s="21" t="s">
        <v>357</v>
      </c>
      <c r="I14" s="13">
        <v>43026.201157407406</v>
      </c>
      <c r="J14" s="7">
        <v>0</v>
      </c>
      <c r="K14" s="89" t="str">
        <f>IF(ISEVEN(B14),(B14-1)&amp;"/"&amp;B14,B14&amp;"/"&amp;(B14+1))</f>
        <v>4025/4026</v>
      </c>
      <c r="L14" s="185" t="str">
        <f>VLOOKUP(A14,'Trips&amp;Operators'!$C$1:$G$99911,5,FALSE)</f>
        <v>BONDS REYNALDO</v>
      </c>
      <c r="M14" s="6">
        <f>I14-F14</f>
        <v>2.5949074071832001E-2</v>
      </c>
      <c r="N14" s="7">
        <f>24*60*SUM($M14:$M14)</f>
        <v>37.366666663438082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-18T03:09:33-0600',mode:absolute,to:'2017-10-18T05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23.301100000000002</v>
      </c>
      <c r="Z14" s="204">
        <f>RIGHT(H14,LEN(H14)-4)/10000</f>
        <v>1.5599999999999999E-2</v>
      </c>
      <c r="AA14" s="204">
        <f>ABS(Z14-Y14)</f>
        <v>23.285500000000003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s3://rtdc.mdm.uploadarchive.raw/RTDC4025/ "%USERPROFILE%\AppData\Local\Temp\OnboardLogs"\RTDC4025\2017-10-18 --exclude "*" --recursive --include "*20171018*" &amp; "%USERPROFILE%\Documents\GitHub\mrs-test-scripts\Headless Mode &amp; Sideloading\WalkAndUnGZ.bat" "%USERPROFILE%\AppData\Local\Temp\OnboardLogs"\RTDC4025\2017-10-18 &amp; aws s3 cp s3://rtdc.mdm.uploadarchive.raw/RTDC4025/ "%USERPROFILE%\AppData\Local\Temp\OnboardLogs"\RTDC4025\2017-10-19 --exclude "*" --recursive --include "*20171019*" &amp; "%USERPROFILE%\Documents\GitHub\mrs-test-scripts\Headless Mode &amp; Sideloading\WalkAndUnGZ.bat" "%USERPROFILE%\AppData\Local\Temp\OnboardLogs"\RTDC4025\2017-10-19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/stypes="app*4025*20171018*"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8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4025 --swversion DE.1.0.9.0 --startMP 204:233011 --initTime 2017-10-18T04:09:33 --startdatetime 2017-10-18T04:12:18 --delay 67 --endMP 204:156 --enddatetime 2017-10-18T04:49:40 --enforcementcount 0 &gt;&gt;%USERPROFILE%\Documents\GitHub\eaglep3-reporting\EC\2017-10-18-refined-times.txt</v>
      </c>
      <c r="AI14" s="96" t="str">
        <f t="shared" ref="AI14:AI78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{"issue":{"subject":"","project_id":79,"tracker_id":40,"status_id":1,"priority_id":2,"assigned_to_id":338,"start_date":"2017-10-18","description":"","custom_fields":[{"id":1,"name":"Subdivision","value":"EC"},{"id":4,"name":"Milepost","value":"0.0156"},{"id":17,"name":"Train ID","value":"102-18"},{"id":16,"name":"Locomotive ID","value":"4025"},{"id":130,"name":"Impact","value":""},{"id":150,"name":"Time of Event (Mountain Time)","value":"04:49:40"},{"id":151,"name":"Denver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8" si="7">"start /low /b "&amp;dls3logs&amp;" --loco "&amp;B14&amp;" --day "&amp;TEXT(F14,"YYYY-MM-DD")</f>
        <v>start /low /b %USERPROFILE%\Documents\GitHub\eaglep3\Utilities\DownloadLogsFromS3.py --loco 4025 --day 2017-10-18</v>
      </c>
      <c r="AN14" s="151" t="str">
        <f t="shared" ref="AN14:AN78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10:49:40"},{"id":29,"name":"Sharepoint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8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-18T03:09:33-0600',mode:absolute,to:'2017-10-18T05:49:40-0600'))&amp;_a=(columns:!('Message%20ID',Summary),filters:!(),index:'emp_*',interval:auto,query:(query_string:(analyze_wildcard:!t,query:'%22rtdc.l.rtdc.4025%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598</v>
      </c>
      <c r="B15" s="7">
        <v>4020</v>
      </c>
      <c r="C15" s="21" t="s">
        <v>194</v>
      </c>
      <c r="D15" s="21" t="s">
        <v>416</v>
      </c>
      <c r="E15" s="13">
        <v>43026.150636574072</v>
      </c>
      <c r="F15" s="13">
        <v>43026.156550925924</v>
      </c>
      <c r="G15" s="7">
        <v>79</v>
      </c>
      <c r="H15" s="21" t="s">
        <v>452</v>
      </c>
      <c r="I15" s="13">
        <v>43026.182743055557</v>
      </c>
      <c r="J15" s="7">
        <v>0</v>
      </c>
      <c r="K15" s="89" t="str">
        <f>IF(ISEVEN(B15),(B15-1)&amp;"/"&amp;B15,B15&amp;"/"&amp;(B15+1))</f>
        <v>4019/4020</v>
      </c>
      <c r="L15" s="185" t="str">
        <f>VLOOKUP(A15,'Trips&amp;Operators'!$C$1:$G$99911,5,FALSE)</f>
        <v>THOMPSON LESTER</v>
      </c>
      <c r="M15" s="6">
        <f>I15-F15</f>
        <v>2.6192129633272998E-2</v>
      </c>
      <c r="N15" s="7">
        <f>24*60*SUM($M15:$M15)</f>
        <v>37.716666671913117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-10-18T02:36:55-0600',mode:absolute,to:'2017-10-18T05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4.6199999999999998E-2</v>
      </c>
      <c r="Z15" s="204">
        <f>RIGHT(H15,LEN(H15)-4)/10000</f>
        <v>23.329699999999999</v>
      </c>
      <c r="AA15" s="204">
        <f>ABS(Z15-Y15)</f>
        <v>23.2835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 &amp; aws s3 cp s3://rtdc.mdm.uploadarchive.raw/RTDC4020/ "%USERPROFILE%\AppData\Local\Temp\OnboardLogs"\RTDC4020\2017-10-19 --exclude "*" --recursive --include "*20171019*" &amp; "%USERPROFILE%\Documents\GitHub\mrs-test-scripts\Headless Mode &amp; Sideloading\WalkAndUnGZ.bat" "%USERPROFILE%\AppData\Local\Temp\OnboardLogs"\RTDC4020\2017-10-19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/stypes="app*4020*20171018*"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103-18 --locoid 4020 --swversion DE.1.0.9.0 --startMP 204:462 --initTime 2017-10-18T03:36:55 --startdatetime 2017-10-18T03:45:26 --delay 79 --endMP 204:233297 --enddatetime 2017-10-18T04:23:09 --enforcementcount 0 &gt;&gt;%USERPROFILE%\Documents\GitHub\eaglep3-reporting\EC\2017-10-18-refined-times.txt</v>
      </c>
      <c r="AI15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{"issue":{"subject":"","project_id":79,"tracker_id":40,"status_id":1,"priority_id":2,"assigned_to_id":338,"start_date":"2017-10-18","description":"","custom_fields":[{"id":1,"name":"Subdivision","value":"EC"},{"id":4,"name":"Milepost","value":"23.3297"},{"id":17,"name":"Train ID","value":"103-18"},{"id":16,"name":"Locomotive ID","value":"4020"},{"id":130,"name":"Impact","value":""},{"id":150,"name":"Time of Event (Mountain Time)","value":"04:23:09"},{"id":151,"name":"Denver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4020 --day 2017-10-18</v>
      </c>
      <c r="AN15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10:23:09"},{"id":29,"name":"Sharepoint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-10-18T02:36:55-0600',mode:absolute,to:'2017-10-18T05:23:09-0600'))&amp;_a=(columns:!('Message%20ID',Summary),filters:!(),index:'emp_*',interval:auto,query:(query_string:(analyze_wildcard:!t,query:'%22rtdc.l.rtdc.4020%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610</v>
      </c>
      <c r="B16" s="7">
        <v>4019</v>
      </c>
      <c r="C16" s="21" t="s">
        <v>194</v>
      </c>
      <c r="D16" s="21" t="s">
        <v>410</v>
      </c>
      <c r="E16" s="13">
        <v>43026.19326388889</v>
      </c>
      <c r="F16" s="13">
        <v>43026.196215277778</v>
      </c>
      <c r="G16" s="7">
        <v>60</v>
      </c>
      <c r="H16" s="21" t="s">
        <v>819</v>
      </c>
      <c r="I16" s="13">
        <v>43026.225428240738</v>
      </c>
      <c r="J16" s="7">
        <v>0</v>
      </c>
      <c r="K16" s="89" t="str">
        <f>IF(ISEVEN(B16),(B16-1)&amp;"/"&amp;B16,B16&amp;"/"&amp;(B16+1))</f>
        <v>4019/4020</v>
      </c>
      <c r="L16" s="185" t="str">
        <f>VLOOKUP(A16,'Trips&amp;Operators'!$C$1:$G$99911,5,FALSE)</f>
        <v>THOMPSON LESTER</v>
      </c>
      <c r="M16" s="6">
        <f>I16-F16</f>
        <v>2.9212962959718425E-2</v>
      </c>
      <c r="N16" s="7">
        <f>24*60*SUM($M16:$M16)</f>
        <v>42.066666661994532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-10-18T03:38:18-0600',mode:absolute,to:'2017-10-18T06:24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23.298500000000001</v>
      </c>
      <c r="Z16" s="204">
        <f>RIGHT(H16,LEN(H16)-4)/10000</f>
        <v>1.14E-2</v>
      </c>
      <c r="AA16" s="204">
        <f>ABS(Z16-Y16)</f>
        <v>23.287100000000002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s3://rtdc.mdm.uploadarchive.raw/RTDC4019/ "%USERPROFILE%\AppData\Local\Temp\OnboardLogs"\RTDC4019\2017-10-18 --exclude "*" --recursive --include "*20171018*" &amp; "%USERPROFILE%\Documents\GitHub\mrs-test-scripts\Headless Mode &amp; Sideloading\WalkAndUnGZ.bat" "%USERPROFILE%\AppData\Local\Temp\OnboardLogs"\RTDC4019\2017-10-18 &amp; aws s3 cp s3://rtdc.mdm.uploadarchive.raw/RTDC4019/ "%USERPROFILE%\AppData\Local\Temp\OnboardLogs"\RTDC4019\2017-10-19 --exclude "*" --recursive --include "*20171019*" &amp; "%USERPROFILE%\Documents\GitHub\mrs-test-scripts\Headless Mode &amp; Sideloading\WalkAndUnGZ.bat" "%USERPROFILE%\AppData\Local\Temp\OnboardLogs"\RTDC4019\2017-10-19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/stypes="app*4019*20171018*"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104-18 --locoid 4019 --swversion DE.1.0.9.0 --startMP 204:232985 --initTime 2017-10-18T04:38:18 --startdatetime 2017-10-18T04:42:33 --delay 60 --endMP 204:114 --enddatetime 2017-10-18T05:24:37 --enforcementcount 0 &gt;&gt;%USERPROFILE%\Documents\GitHub\eaglep3-reporting\EC\2017-10-18-refined-times.txt</v>
      </c>
      <c r="AI16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{"issue":{"subject":"","project_id":79,"tracker_id":40,"status_id":1,"priority_id":2,"assigned_to_id":338,"start_date":"2017-10-18","description":"","custom_fields":[{"id":1,"name":"Subdivision","value":"EC"},{"id":4,"name":"Milepost","value":"0.0114"},{"id":17,"name":"Train ID","value":"104-18"},{"id":16,"name":"Locomotive ID","value":"4019"},{"id":130,"name":"Impact","value":""},{"id":150,"name":"Time of Event (Mountain Time)","value":"05:24:37"},{"id":151,"name":"Denver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4019 --day 2017-10-18</v>
      </c>
      <c r="AN16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11:24:37"},{"id":29,"name":"Sharepoint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-10-18T03:38:18-0600',mode:absolute,to:'2017-10-18T06:24:37-0600'))&amp;_a=(columns:!('Message%20ID',Summary),filters:!(),index:'emp_*',interval:auto,query:(query_string:(analyze_wildcard:!t,query:'%22rtdc.l.rtdc.4019%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603</v>
      </c>
      <c r="B17" s="7">
        <v>4040</v>
      </c>
      <c r="C17" s="21" t="s">
        <v>194</v>
      </c>
      <c r="D17" s="21" t="s">
        <v>414</v>
      </c>
      <c r="E17" s="13">
        <v>43026.169421296298</v>
      </c>
      <c r="F17" s="13">
        <v>43026.17732638889</v>
      </c>
      <c r="G17" s="7">
        <v>93</v>
      </c>
      <c r="H17" s="21" t="s">
        <v>820</v>
      </c>
      <c r="I17" s="13">
        <v>43026.201307870368</v>
      </c>
      <c r="J17" s="7">
        <v>0</v>
      </c>
      <c r="K17" s="89" t="str">
        <f>IF(ISEVEN(B17),(B17-1)&amp;"/"&amp;B17,B17&amp;"/"&amp;(B17+1))</f>
        <v>4039/4040</v>
      </c>
      <c r="L17" s="185" t="str">
        <f>VLOOKUP(A17,'Trips&amp;Operators'!$C$1:$G$99911,5,FALSE)</f>
        <v>YORK EDGAR</v>
      </c>
      <c r="M17" s="6">
        <f>I17-F17</f>
        <v>2.3981481477676425E-2</v>
      </c>
      <c r="N17" s="7">
        <f>24*60*SUM($M17:$M17)</f>
        <v>34.533333327854052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-10-18T03:03:58-0600',mode:absolute,to:'2017-10-18T05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4.4200000000000003E-2</v>
      </c>
      <c r="Z17" s="204">
        <f>RIGHT(H17,LEN(H17)-4)/10000</f>
        <v>23.331499999999998</v>
      </c>
      <c r="AA17" s="204">
        <f>ABS(Z17-Y17)</f>
        <v>23.287299999999998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s3://rtdc.mdm.uploadarchive.raw/RTDC4040/ "%USERPROFILE%\AppData\Local\Temp\OnboardLogs"\RTDC4040\2017-10-18 --exclude "*" --recursive --include "*20171018*" &amp; "%USERPROFILE%\Documents\GitHub\mrs-test-scripts\Headless Mode &amp; Sideloading\WalkAndUnGZ.bat" "%USERPROFILE%\AppData\Local\Temp\OnboardLogs"\RTDC4040\2017-10-18 &amp; aws s3 cp s3://rtdc.mdm.uploadarchive.raw/RTDC4040/ "%USERPROFILE%\AppData\Local\Temp\OnboardLogs"\RTDC4040\2017-10-19 --exclude "*" --recursive --include "*20171019*" &amp; "%USERPROFILE%\Documents\GitHub\mrs-test-scripts\Headless Mode &amp; Sideloading\WalkAndUnGZ.bat" "%USERPROFILE%\AppData\Local\Temp\OnboardLogs"\RTDC4040\2017-10-19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/stypes="app*4040*20171018*"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105-18 --locoid 4040 --swversion DE.1.0.9.0 --startMP 204:442 --initTime 2017-10-18T04:03:58 --startdatetime 2017-10-18T04:15:21 --delay 93 --endMP 204:233315 --enddatetime 2017-10-18T04:49:53 --enforcementcount 0 &gt;&gt;%USERPROFILE%\Documents\GitHub\eaglep3-reporting\EC\2017-10-18-refined-times.txt</v>
      </c>
      <c r="AI17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{"issue":{"subject":"","project_id":79,"tracker_id":40,"status_id":1,"priority_id":2,"assigned_to_id":338,"start_date":"2017-10-18","description":"","custom_fields":[{"id":1,"name":"Subdivision","value":"EC"},{"id":4,"name":"Milepost","value":"23.3315"},{"id":17,"name":"Train ID","value":"105-18"},{"id":16,"name":"Locomotive ID","value":"4040"},{"id":130,"name":"Impact","value":""},{"id":150,"name":"Time of Event (Mountain Time)","value":"04:49:53"},{"id":151,"name":"Denver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4040 --day 2017-10-18</v>
      </c>
      <c r="AN17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10:49:53"},{"id":29,"name":"Sharepoint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-10-18T03:03:58-0600',mode:absolute,to:'2017-10-18T05:49:53-0600'))&amp;_a=(columns:!('Message%20ID',Summary),filters:!(),index:'emp_*',interval:auto,query:(query_string:(analyze_wildcard:!t,query:'%22rtdc.l.rtdc.4040%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614</v>
      </c>
      <c r="B18" s="7">
        <v>4039</v>
      </c>
      <c r="C18" s="21" t="s">
        <v>194</v>
      </c>
      <c r="D18" s="21" t="s">
        <v>523</v>
      </c>
      <c r="E18" s="13">
        <v>43026.202210648145</v>
      </c>
      <c r="F18" s="13">
        <v>43026.216874999998</v>
      </c>
      <c r="G18" s="7">
        <v>46</v>
      </c>
      <c r="H18" s="21" t="s">
        <v>360</v>
      </c>
      <c r="I18" s="13">
        <v>43026.242731481485</v>
      </c>
      <c r="J18" s="7">
        <v>0</v>
      </c>
      <c r="K18" s="89" t="str">
        <f>IF(ISEVEN(B18),(B18-1)&amp;"/"&amp;B18,B18&amp;"/"&amp;(B18+1))</f>
        <v>4039/4040</v>
      </c>
      <c r="L18" s="185" t="str">
        <f>VLOOKUP(A18,'Trips&amp;Operators'!$C$1:$G$99911,5,FALSE)</f>
        <v>YORK EDGAR</v>
      </c>
      <c r="M18" s="6">
        <f>I18-F18</f>
        <v>2.5856481486698613E-2</v>
      </c>
      <c r="N18" s="7">
        <f>24*60*SUM($M18:$M18)</f>
        <v>37.233333340846002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-10-18T03:51:11-0600',mode:absolute,to:'2017-10-18T06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23.3002</v>
      </c>
      <c r="Z18" s="204">
        <f>RIGHT(H18,LEN(H18)-4)/10000</f>
        <v>1.61E-2</v>
      </c>
      <c r="AA18" s="204">
        <f>ABS(Z18-Y18)</f>
        <v>23.284099999999999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s3://rtdc.mdm.uploadarchive.raw/RTDC4039/ "%USERPROFILE%\AppData\Local\Temp\OnboardLogs"\RTDC4039\2017-10-18 --exclude "*" --recursive --include "*20171018*" &amp; "%USERPROFILE%\Documents\GitHub\mrs-test-scripts\Headless Mode &amp; Sideloading\WalkAndUnGZ.bat" "%USERPROFILE%\AppData\Local\Temp\OnboardLogs"\RTDC4039\2017-10-18 &amp; aws s3 cp s3://rtdc.mdm.uploadarchive.raw/RTDC4039/ "%USERPROFILE%\AppData\Local\Temp\OnboardLogs"\RTDC4039\2017-10-19 --exclude "*" --recursive --include "*20171019*" &amp; "%USERPROFILE%\Documents\GitHub\mrs-test-scripts\Headless Mode &amp; Sideloading\WalkAndUnGZ.bat" "%USERPROFILE%\AppData\Local\Temp\OnboardLogs"\RTDC4039\2017-10-19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/stypes="app*4039*20171018*"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106-18 --locoid 4039 --swversion DE.1.0.9.0 --startMP 204:233002 --initTime 2017-10-18T04:51:11 --startdatetime 2017-10-18T05:12:18 --delay 46 --endMP 204:161 --enddatetime 2017-10-18T05:49:32 --enforcementcount 0 &gt;&gt;%USERPROFILE%\Documents\GitHub\eaglep3-reporting\EC\2017-10-18-refined-times.txt</v>
      </c>
      <c r="AI18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{"issue":{"subject":"","project_id":79,"tracker_id":40,"status_id":1,"priority_id":2,"assigned_to_id":338,"start_date":"2017-10-18","description":"","custom_fields":[{"id":1,"name":"Subdivision","value":"EC"},{"id":4,"name":"Milepost","value":"0.0161"},{"id":17,"name":"Train ID","value":"106-18"},{"id":16,"name":"Locomotive ID","value":"4039"},{"id":130,"name":"Impact","value":""},{"id":150,"name":"Time of Event (Mountain Time)","value":"05:49:32"},{"id":151,"name":"Denver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4039 --day 2017-10-18</v>
      </c>
      <c r="AN18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11:49:32"},{"id":29,"name":"Sharepoint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-10-18T03:51:11-0600',mode:absolute,to:'2017-10-18T06:49:32-0600'))&amp;_a=(columns:!('Message%20ID',Summary),filters:!(),index:'emp_*',interval:auto,query:(query_string:(analyze_wildcard:!t,query:'%22rtdc.l.rtdc.4039%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606</v>
      </c>
      <c r="B19" s="7">
        <v>4044</v>
      </c>
      <c r="C19" s="21" t="s">
        <v>194</v>
      </c>
      <c r="D19" s="21" t="s">
        <v>362</v>
      </c>
      <c r="E19" s="13">
        <v>43026.181909722225</v>
      </c>
      <c r="F19" s="13">
        <v>43026.187696759262</v>
      </c>
      <c r="G19" s="7">
        <v>78</v>
      </c>
      <c r="H19" s="21" t="s">
        <v>434</v>
      </c>
      <c r="I19" s="13">
        <v>43026.21230324074</v>
      </c>
      <c r="J19" s="7">
        <v>0</v>
      </c>
      <c r="K19" s="89" t="str">
        <f>IF(ISEVEN(B19),(B19-1)&amp;"/"&amp;B19,B19&amp;"/"&amp;(B19+1))</f>
        <v>4043/4044</v>
      </c>
      <c r="L19" s="185" t="str">
        <f>VLOOKUP(A19,'Trips&amp;Operators'!$C$1:$G$99911,5,FALSE)</f>
        <v>YANG JAN</v>
      </c>
      <c r="M19" s="6">
        <f>I19-F19</f>
        <v>2.4606481478258502E-2</v>
      </c>
      <c r="N19" s="7">
        <f>24*60*SUM($M19:$M19)</f>
        <v>35.433333328692243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-10-18T03:21:57-0600',mode:absolute,to:'2017-10-18T06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4.5999999999999999E-2</v>
      </c>
      <c r="Z19" s="204">
        <f>RIGHT(H19,LEN(H19)-4)/10000</f>
        <v>23.329899999999999</v>
      </c>
      <c r="AA19" s="204">
        <f>ABS(Z19-Y19)</f>
        <v>23.283899999999999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s3://rtdc.mdm.uploadarchive.raw/RTDC4044/ "%USERPROFILE%\AppData\Local\Temp\OnboardLogs"\RTDC4044\2017-10-18 --exclude "*" --recursive --include "*20171018*" &amp; "%USERPROFILE%\Documents\GitHub\mrs-test-scripts\Headless Mode &amp; Sideloading\WalkAndUnGZ.bat" "%USERPROFILE%\AppData\Local\Temp\OnboardLogs"\RTDC4044\2017-10-18 &amp; 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/stypes="app*4044*20171018*"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107-18 --locoid 4044 --swversion DE.1.0.9.0 --startMP 204:460 --initTime 2017-10-18T04:21:57 --startdatetime 2017-10-18T04:30:17 --delay 78 --endMP 204:233299 --enddatetime 2017-10-18T05:05:43 --enforcementcount 0 &gt;&gt;%USERPROFILE%\Documents\GitHub\eaglep3-reporting\EC\2017-10-18-refined-times.txt</v>
      </c>
      <c r="AI19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{"issue":{"subject":"","project_id":79,"tracker_id":40,"status_id":1,"priority_id":2,"assigned_to_id":338,"start_date":"2017-10-18","description":"","custom_fields":[{"id":1,"name":"Subdivision","value":"EC"},{"id":4,"name":"Milepost","value":"23.3299"},{"id":17,"name":"Train ID","value":"107-18"},{"id":16,"name":"Locomotive ID","value":"4044"},{"id":130,"name":"Impact","value":""},{"id":150,"name":"Time of Event (Mountain Time)","value":"05:05:43"},{"id":151,"name":"Denver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4044 --day 2017-10-18</v>
      </c>
      <c r="AN19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11:05:43"},{"id":29,"name":"Sharepoint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-10-18T03:21:57-0600',mode:absolute,to:'2017-10-18T06:05:43-0600'))&amp;_a=(columns:!('Message%20ID',Summary),filters:!(),index:'emp_*',interval:auto,query:(query_string:(analyze_wildcard:!t,query:'%22rtdc.l.rtdc.4044%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621</v>
      </c>
      <c r="B20" s="7">
        <v>4043</v>
      </c>
      <c r="C20" s="21" t="s">
        <v>194</v>
      </c>
      <c r="D20" s="21" t="s">
        <v>529</v>
      </c>
      <c r="E20" s="13">
        <v>43026.221435185187</v>
      </c>
      <c r="F20" s="13">
        <v>43026.227256944447</v>
      </c>
      <c r="G20" s="7">
        <v>51</v>
      </c>
      <c r="H20" s="21" t="s">
        <v>335</v>
      </c>
      <c r="I20" s="13">
        <v>43026.253055555557</v>
      </c>
      <c r="J20" s="7">
        <v>0</v>
      </c>
      <c r="K20" s="89" t="str">
        <f>IF(ISEVEN(B20),(B20-1)&amp;"/"&amp;B20,B20&amp;"/"&amp;(B20+1))</f>
        <v>4043/4044</v>
      </c>
      <c r="L20" s="185" t="str">
        <f>VLOOKUP(A20,'Trips&amp;Operators'!$C$1:$G$99911,5,FALSE)</f>
        <v>YANG JAN</v>
      </c>
      <c r="M20" s="6">
        <f>I20-F20</f>
        <v>2.5798611110076308E-2</v>
      </c>
      <c r="N20" s="7">
        <f>24*60*SUM($M20:$M20)</f>
        <v>37.149999998509884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-10-18T04:18:52-0600',mode:absolute,to:'2017-10-18T07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23.2988</v>
      </c>
      <c r="Z20" s="204">
        <f>RIGHT(H20,LEN(H20)-4)/10000</f>
        <v>1.4999999999999999E-2</v>
      </c>
      <c r="AA20" s="204">
        <f>ABS(Z20-Y20)</f>
        <v>23.283799999999999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s3://rtdc.mdm.uploadarchive.raw/RTDC4043/ "%USERPROFILE%\AppData\Local\Temp\OnboardLogs"\RTDC4043\2017-10-18 --exclude "*" --recursive --include "*20171018*" &amp; "%USERPROFILE%\Documents\GitHub\mrs-test-scripts\Headless Mode &amp; Sideloading\WalkAndUnGZ.bat" "%USERPROFILE%\AppData\Local\Temp\OnboardLogs"\RTDC4043\2017-10-18 &amp; 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/stypes="app*4043*20171018*"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108-18 --locoid 4043 --swversion DE.1.0.9.0 --startMP 204:232988 --initTime 2017-10-18T05:18:52 --startdatetime 2017-10-18T05:27:15 --delay 51 --endMP 204:150 --enddatetime 2017-10-18T06:04:24 --enforcementcount 0 &gt;&gt;%USERPROFILE%\Documents\GitHub\eaglep3-reporting\EC\2017-10-18-refined-times.txt</v>
      </c>
      <c r="AI20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{"issue":{"subject":"","project_id":79,"tracker_id":40,"status_id":1,"priority_id":2,"assigned_to_id":338,"start_date":"2017-10-18","description":"","custom_fields":[{"id":1,"name":"Subdivision","value":"EC"},{"id":4,"name":"Milepost","value":"0.015"},{"id":17,"name":"Train ID","value":"108-18"},{"id":16,"name":"Locomotive ID","value":"4043"},{"id":130,"name":"Impact","value":""},{"id":150,"name":"Time of Event (Mountain Time)","value":"06:04:24"},{"id":151,"name":"Denver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4043 --day 2017-10-18</v>
      </c>
      <c r="AN20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12:04:24"},{"id":29,"name":"Sharepoint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-10-18T04:18:52-0600',mode:absolute,to:'2017-10-18T07:04:24-0600'))&amp;_a=(columns:!('Message%20ID',Summary),filters:!(),index:'emp_*',interval:auto,query:(query_string:(analyze_wildcard:!t,query:'%22rtdc.l.rtdc.4043%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611</v>
      </c>
      <c r="B21" s="7">
        <v>4064</v>
      </c>
      <c r="C21" s="21" t="s">
        <v>194</v>
      </c>
      <c r="D21" s="21" t="s">
        <v>362</v>
      </c>
      <c r="E21" s="13">
        <v>43026.194502314815</v>
      </c>
      <c r="F21" s="13">
        <v>43026.198125000003</v>
      </c>
      <c r="G21" s="7">
        <v>61</v>
      </c>
      <c r="H21" s="21" t="s">
        <v>478</v>
      </c>
      <c r="I21" s="13">
        <v>43026.224178240744</v>
      </c>
      <c r="J21" s="7">
        <v>0</v>
      </c>
      <c r="K21" s="89" t="str">
        <f>IF(ISEVEN(B21),(B21-1)&amp;"/"&amp;B21,B21&amp;"/"&amp;(B21+1))</f>
        <v>4063/4064</v>
      </c>
      <c r="L21" s="185" t="str">
        <f>VLOOKUP(A21,'Trips&amp;Operators'!$C$1:$G$99911,5,FALSE)</f>
        <v>DAVIS WENDY</v>
      </c>
      <c r="M21" s="6">
        <f>I21-F21</f>
        <v>2.6053240741021E-2</v>
      </c>
      <c r="N21" s="7">
        <f>24*60*SUM($M21:$M21)</f>
        <v>37.51666666707024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-10-18T03:40:05-0600',mode:absolute,to:'2017-10-18T06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4.5999999999999999E-2</v>
      </c>
      <c r="Z21" s="204">
        <f>RIGHT(H21,LEN(H21)-4)/10000</f>
        <v>23.329799999999999</v>
      </c>
      <c r="AA21" s="204">
        <f>ABS(Z21-Y21)</f>
        <v>23.283799999999999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s3://rtdc.mdm.uploadarchive.raw/RTDC4064/ "%USERPROFILE%\AppData\Local\Temp\OnboardLogs"\RTDC4064\2017-10-18 --exclude "*" --recursive --include "*20171018*" &amp; "%USERPROFILE%\Documents\GitHub\mrs-test-scripts\Headless Mode &amp; Sideloading\WalkAndUnGZ.bat" "%USERPROFILE%\AppData\Local\Temp\OnboardLogs"\RTDC4064\2017-10-18 &amp; aws s3 cp s3://rtdc.mdm.uploadarchive.raw/RTDC4064/ "%USERPROFILE%\AppData\Local\Temp\OnboardLogs"\RTDC4064\2017-10-19 --exclude "*" --recursive --include "*20171019*" &amp; "%USERPROFILE%\Documents\GitHub\mrs-test-scripts\Headless Mode &amp; Sideloading\WalkAndUnGZ.bat" "%USERPROFILE%\AppData\Local\Temp\OnboardLogs"\RTDC4064\2017-10-19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/stypes="app*4064*20171018*"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109-18 --locoid 4064 --swversion DE.1.0.9.0 --startMP 204:460 --initTime 2017-10-18T04:40:05 --startdatetime 2017-10-18T04:45:18 --delay 61 --endMP 204:233298 --enddatetime 2017-10-18T05:22:49 --enforcementcount 0 &gt;&gt;%USERPROFILE%\Documents\GitHub\eaglep3-reporting\EC\2017-10-18-refined-times.txt</v>
      </c>
      <c r="AI21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{"issue":{"subject":"","project_id":79,"tracker_id":40,"status_id":1,"priority_id":2,"assigned_to_id":338,"start_date":"2017-10-18","description":"","custom_fields":[{"id":1,"name":"Subdivision","value":"EC"},{"id":4,"name":"Milepost","value":"23.3298"},{"id":17,"name":"Train ID","value":"109-18"},{"id":16,"name":"Locomotive ID","value":"4064"},{"id":130,"name":"Impact","value":""},{"id":150,"name":"Time of Event (Mountain Time)","value":"05:22:49"},{"id":151,"name":"Denver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4064 --day 2017-10-18</v>
      </c>
      <c r="AN21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11:22:49"},{"id":29,"name":"Sharepoint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-10-18T03:40:05-0600',mode:absolute,to:'2017-10-18T06:22:49-0600'))&amp;_a=(columns:!('Message%20ID',Summary),filters:!(),index:'emp_*',interval:auto,query:(query_string:(analyze_wildcard:!t,query:'%22rtdc.l.rtdc.4064%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547</v>
      </c>
      <c r="B22" s="7">
        <v>4063</v>
      </c>
      <c r="C22" s="21" t="s">
        <v>194</v>
      </c>
      <c r="D22" s="21" t="s">
        <v>419</v>
      </c>
      <c r="E22" s="13">
        <v>43026.22693287037</v>
      </c>
      <c r="F22" s="13">
        <v>43026.237685185188</v>
      </c>
      <c r="G22" s="7">
        <v>56</v>
      </c>
      <c r="H22" s="21" t="s">
        <v>393</v>
      </c>
      <c r="I22" s="13">
        <v>43026.265115740738</v>
      </c>
      <c r="J22" s="7">
        <v>0</v>
      </c>
      <c r="K22" s="89" t="str">
        <f>IF(ISEVEN(B22),(B22-1)&amp;"/"&amp;B22,B22&amp;"/"&amp;(B22+1))</f>
        <v>4063/4064</v>
      </c>
      <c r="L22" s="185" t="str">
        <f>VLOOKUP(A22,'Trips&amp;Operators'!$C$1:$G$99911,5,FALSE)</f>
        <v>DAVIS WENDY</v>
      </c>
      <c r="M22" s="6">
        <f>I22-F22</f>
        <v>2.7430555550381541E-2</v>
      </c>
      <c r="N22" s="7">
        <f>24*60*SUM($M22:$M22)</f>
        <v>39.499999992549419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-10-18T04:26:47-0600',mode:absolute,to:'2017-10-18T07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23.2987</v>
      </c>
      <c r="Z22" s="204">
        <f>RIGHT(H22,LEN(H22)-4)/10000</f>
        <v>1.6E-2</v>
      </c>
      <c r="AA22" s="204">
        <f>ABS(Z22-Y22)</f>
        <v>23.282700000000002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s3://rtdc.mdm.uploadarchive.raw/RTDC4063/ "%USERPROFILE%\AppData\Local\Temp\OnboardLogs"\RTDC4063\2017-10-18 --exclude "*" --recursive --include "*20171018*" &amp; "%USERPROFILE%\Documents\GitHub\mrs-test-scripts\Headless Mode &amp; Sideloading\WalkAndUnGZ.bat" "%USERPROFILE%\AppData\Local\Temp\OnboardLogs"\RTDC4063\2017-10-18 &amp; aws s3 cp s3://rtdc.mdm.uploadarchive.raw/RTDC4063/ "%USERPROFILE%\AppData\Local\Temp\OnboardLogs"\RTDC4063\2017-10-19 --exclude "*" --recursive --include "*20171019*" &amp; "%USERPROFILE%\Documents\GitHub\mrs-test-scripts\Headless Mode &amp; Sideloading\WalkAndUnGZ.bat" "%USERPROFILE%\AppData\Local\Temp\OnboardLogs"\RTDC4063\2017-10-19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/stypes="app*4063*20171018*"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110-18 --locoid 4063 --swversion DE.1.0.9.0 --startMP 204:232987 --initTime 2017-10-18T05:26:47 --startdatetime 2017-10-18T05:42:16 --delay 56 --endMP 204:160 --enddatetime 2017-10-18T06:21:46 --enforcementcount 0 &gt;&gt;%USERPROFILE%\Documents\GitHub\eaglep3-reporting\EC\2017-10-18-refined-times.txt</v>
      </c>
      <c r="AI22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{"issue":{"subject":"","project_id":79,"tracker_id":40,"status_id":1,"priority_id":2,"assigned_to_id":338,"start_date":"2017-10-18","description":"","custom_fields":[{"id":1,"name":"Subdivision","value":"EC"},{"id":4,"name":"Milepost","value":"0.016"},{"id":17,"name":"Train ID","value":"110-18"},{"id":16,"name":"Locomotive ID","value":"4063"},{"id":130,"name":"Impact","value":""},{"id":150,"name":"Time of Event (Mountain Time)","value":"06:21:46"},{"id":151,"name":"Denver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4063 --day 2017-10-18</v>
      </c>
      <c r="AN22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12:21:46"},{"id":29,"name":"Sharepoint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-10-18T04:26:47-0600',mode:absolute,to:'2017-10-18T07:21:46-0600'))&amp;_a=(columns:!('Message%20ID',Summary),filters:!(),index:'emp_*',interval:auto,query:(query_string:(analyze_wildcard:!t,query:'%22rtdc.l.rtdc.4063%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615</v>
      </c>
      <c r="B23" s="7">
        <v>4026</v>
      </c>
      <c r="C23" s="21" t="s">
        <v>194</v>
      </c>
      <c r="D23" s="21" t="s">
        <v>416</v>
      </c>
      <c r="E23" s="13">
        <v>43026.202696759261</v>
      </c>
      <c r="F23" s="13">
        <v>43026.208518518521</v>
      </c>
      <c r="G23" s="7">
        <v>48</v>
      </c>
      <c r="H23" s="21" t="s">
        <v>821</v>
      </c>
      <c r="I23" s="13">
        <v>43026.234490740739</v>
      </c>
      <c r="J23" s="7">
        <v>0</v>
      </c>
      <c r="K23" s="89" t="str">
        <f>IF(ISEVEN(B23),(B23-1)&amp;"/"&amp;B23,B23&amp;"/"&amp;(B23+1))</f>
        <v>4025/4026</v>
      </c>
      <c r="L23" s="185" t="str">
        <f>VLOOKUP(A23,'Trips&amp;Operators'!$C$1:$G$99911,5,FALSE)</f>
        <v>BONDS REYNALDO</v>
      </c>
      <c r="M23" s="6">
        <f>I23-F23</f>
        <v>2.5972222218115348E-2</v>
      </c>
      <c r="N23" s="7">
        <f>24*60*SUM($M23:$M23)</f>
        <v>37.399999994086102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-10-18T03:51:53-0600',mode:absolute,to:'2017-10-18T06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4.6199999999999998E-2</v>
      </c>
      <c r="Z23" s="204">
        <f>RIGHT(H23,LEN(H23)-4)/10000</f>
        <v>23.3249</v>
      </c>
      <c r="AA23" s="204">
        <f>ABS(Z23-Y23)</f>
        <v>23.278700000000001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s3://rtdc.mdm.uploadarchive.raw/RTDC4026/ "%USERPROFILE%\AppData\Local\Temp\OnboardLogs"\RTDC4026\2017-10-18 --exclude "*" --recursive --include "*20171018*" &amp; "%USERPROFILE%\Documents\GitHub\mrs-test-scripts\Headless Mode &amp; Sideloading\WalkAndUnGZ.bat" "%USERPROFILE%\AppData\Local\Temp\OnboardLogs"\RTDC4026\2017-10-18 &amp; aws s3 cp s3://rtdc.mdm.uploadarchive.raw/RTDC4026/ "%USERPROFILE%\AppData\Local\Temp\OnboardLogs"\RTDC4026\2017-10-19 --exclude "*" --recursive --include "*20171019*" &amp; "%USERPROFILE%\Documents\GitHub\mrs-test-scripts\Headless Mode &amp; Sideloading\WalkAndUnGZ.bat" "%USERPROFILE%\AppData\Local\Temp\OnboardLogs"\RTDC4026\2017-10-19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/stypes="app*4026*20171018*"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111-18 --locoid 4026 --swversion DE.1.0.9.0 --startMP 204:462 --initTime 2017-10-18T04:51:53 --startdatetime 2017-10-18T05:00:16 --delay 48 --endMP 204:233249 --enddatetime 2017-10-18T05:37:40 --enforcementcount 0 &gt;&gt;%USERPROFILE%\Documents\GitHub\eaglep3-reporting\EC\2017-10-18-refined-times.txt</v>
      </c>
      <c r="AI23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{"issue":{"subject":"","project_id":79,"tracker_id":40,"status_id":1,"priority_id":2,"assigned_to_id":338,"start_date":"2017-10-18","description":"","custom_fields":[{"id":1,"name":"Subdivision","value":"EC"},{"id":4,"name":"Milepost","value":"23.3249"},{"id":17,"name":"Train ID","value":"111-18"},{"id":16,"name":"Locomotive ID","value":"4026"},{"id":130,"name":"Impact","value":""},{"id":150,"name":"Time of Event (Mountain Time)","value":"05:37:40"},{"id":151,"name":"Denver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4026 --day 2017-10-18</v>
      </c>
      <c r="AN23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11:37:40"},{"id":29,"name":"Sharepoint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-10-18T03:51:53-0600',mode:absolute,to:'2017-10-18T06:37:40-0600'))&amp;_a=(columns:!('Message%20ID',Summary),filters:!(),index:'emp_*',interval:auto,query:(query_string:(analyze_wildcard:!t,query:'%22rtdc.l.rtdc.4026%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551</v>
      </c>
      <c r="B24" s="7">
        <v>4025</v>
      </c>
      <c r="C24" s="21" t="s">
        <v>194</v>
      </c>
      <c r="D24" s="21" t="s">
        <v>488</v>
      </c>
      <c r="E24" s="13">
        <v>43026.245613425926</v>
      </c>
      <c r="F24" s="13">
        <v>43026.248090277775</v>
      </c>
      <c r="G24" s="7">
        <v>52</v>
      </c>
      <c r="H24" s="21" t="s">
        <v>357</v>
      </c>
      <c r="I24" s="13">
        <v>43026.274699074071</v>
      </c>
      <c r="J24" s="7">
        <v>0</v>
      </c>
      <c r="K24" s="89" t="str">
        <f>IF(ISEVEN(B24),(B24-1)&amp;"/"&amp;B24,B24&amp;"/"&amp;(B24+1))</f>
        <v>4025/4026</v>
      </c>
      <c r="L24" s="185" t="str">
        <f>VLOOKUP(A24,'Trips&amp;Operators'!$C$1:$G$99911,5,FALSE)</f>
        <v>BONDS REYNALDO</v>
      </c>
      <c r="M24" s="6">
        <f>I24-F24</f>
        <v>2.6608796295477077E-2</v>
      </c>
      <c r="N24" s="7">
        <f>24*60*SUM($M24:$M24)</f>
        <v>38.316666665486991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-10-18T04:53:41-0600',mode:absolute,to:'2017-10-18T07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23.297999999999998</v>
      </c>
      <c r="Z24" s="204">
        <f>RIGHT(H24,LEN(H24)-4)/10000</f>
        <v>1.5599999999999999E-2</v>
      </c>
      <c r="AA24" s="204">
        <f>ABS(Z24-Y24)</f>
        <v>23.282399999999999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s3://rtdc.mdm.uploadarchive.raw/RTDC4025/ "%USERPROFILE%\AppData\Local\Temp\OnboardLogs"\RTDC4025\2017-10-18 --exclude "*" --recursive --include "*20171018*" &amp; "%USERPROFILE%\Documents\GitHub\mrs-test-scripts\Headless Mode &amp; Sideloading\WalkAndUnGZ.bat" "%USERPROFILE%\AppData\Local\Temp\OnboardLogs"\RTDC4025\2017-10-18 &amp; aws s3 cp s3://rtdc.mdm.uploadarchive.raw/RTDC4025/ "%USERPROFILE%\AppData\Local\Temp\OnboardLogs"\RTDC4025\2017-10-19 --exclude "*" --recursive --include "*20171019*" &amp; "%USERPROFILE%\Documents\GitHub\mrs-test-scripts\Headless Mode &amp; Sideloading\WalkAndUnGZ.bat" "%USERPROFILE%\AppData\Local\Temp\OnboardLogs"\RTDC4025\2017-10-19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/stypes="app*4025*20171018*"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112-18 --locoid 4025 --swversion DE.1.0.9.0 --startMP 204:232980 --initTime 2017-10-18T05:53:41 --startdatetime 2017-10-18T05:57:15 --delay 52 --endMP 204:156 --enddatetime 2017-10-18T06:35:34 --enforcementcount 0 &gt;&gt;%USERPROFILE%\Documents\GitHub\eaglep3-reporting\EC\2017-10-18-refined-times.txt</v>
      </c>
      <c r="AI24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{"issue":{"subject":"","project_id":79,"tracker_id":40,"status_id":1,"priority_id":2,"assigned_to_id":338,"start_date":"2017-10-18","description":"","custom_fields":[{"id":1,"name":"Subdivision","value":"EC"},{"id":4,"name":"Milepost","value":"0.0156"},{"id":17,"name":"Train ID","value":"112-18"},{"id":16,"name":"Locomotive ID","value":"4025"},{"id":130,"name":"Impact","value":""},{"id":150,"name":"Time of Event (Mountain Time)","value":"06:35:34"},{"id":151,"name":"Denver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4025 --day 2017-10-18</v>
      </c>
      <c r="AN24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12:35:34"},{"id":29,"name":"Sharepoint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-10-18T04:53:41-0600',mode:absolute,to:'2017-10-18T07:35:34-0600'))&amp;_a=(columns:!('Message%20ID',Summary),filters:!(),index:'emp_*',interval:auto,query:(query_string:(analyze_wildcard:!t,query:'%22rtdc.l.rtdc.4025%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616</v>
      </c>
      <c r="B25" s="7">
        <v>4056</v>
      </c>
      <c r="C25" s="21" t="s">
        <v>194</v>
      </c>
      <c r="D25" s="21" t="s">
        <v>416</v>
      </c>
      <c r="E25" s="13">
        <v>43026.209918981483</v>
      </c>
      <c r="F25" s="13">
        <v>43026.218900462962</v>
      </c>
      <c r="G25" s="7">
        <v>66</v>
      </c>
      <c r="H25" s="21" t="s">
        <v>480</v>
      </c>
      <c r="I25" s="13">
        <v>43026.244201388887</v>
      </c>
      <c r="J25" s="7">
        <v>0</v>
      </c>
      <c r="K25" s="89" t="str">
        <f>IF(ISEVEN(B25),(B25-1)&amp;"/"&amp;B25,B25&amp;"/"&amp;(B25+1))</f>
        <v>4055/4056</v>
      </c>
      <c r="L25" s="185" t="str">
        <f>VLOOKUP(A25,'Trips&amp;Operators'!$C$1:$G$99911,5,FALSE)</f>
        <v>YANAI IAN</v>
      </c>
      <c r="M25" s="6">
        <f>I25-F25</f>
        <v>2.5300925924966577E-2</v>
      </c>
      <c r="N25" s="7">
        <f>24*60*SUM($M25:$M25)</f>
        <v>36.433333331951872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-10-18T04:02:17-0600',mode:absolute,to:'2017-10-18T06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4.6199999999999998E-2</v>
      </c>
      <c r="Z25" s="204">
        <f>RIGHT(H25,LEN(H25)-4)/10000</f>
        <v>23.3293</v>
      </c>
      <c r="AA25" s="204">
        <f>ABS(Z25-Y25)</f>
        <v>23.283100000000001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s3://rtdc.mdm.uploadarchive.raw/RTDC4056/ "%USERPROFILE%\AppData\Local\Temp\OnboardLogs"\RTDC4056\2017-10-18 --exclude "*" --recursive --include "*20171018*" &amp; "%USERPROFILE%\Documents\GitHub\mrs-test-scripts\Headless Mode &amp; Sideloading\WalkAndUnGZ.bat" "%USERPROFILE%\AppData\Local\Temp\OnboardLogs"\RTDC4056\2017-10-18 &amp; aws s3 cp s3://rtdc.mdm.uploadarchive.raw/RTDC4056/ "%USERPROFILE%\AppData\Local\Temp\OnboardLogs"\RTDC4056\2017-10-19 --exclude "*" --recursive --include "*20171019*" &amp; "%USERPROFILE%\Documents\GitHub\mrs-test-scripts\Headless Mode &amp; Sideloading\WalkAndUnGZ.bat" "%USERPROFILE%\AppData\Local\Temp\OnboardLogs"\RTDC4056\2017-10-19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/stypes="app*4056*20171018*"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113-18 --locoid 4056 --swversion DE.1.0.9.0 --startMP 204:462 --initTime 2017-10-18T05:02:17 --startdatetime 2017-10-18T05:15:13 --delay 66 --endMP 204:233293 --enddatetime 2017-10-18T05:51:39 --enforcementcount 0 &gt;&gt;%USERPROFILE%\Documents\GitHub\eaglep3-reporting\EC\2017-10-18-refined-times.txt</v>
      </c>
      <c r="AI25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{"issue":{"subject":"","project_id":79,"tracker_id":40,"status_id":1,"priority_id":2,"assigned_to_id":338,"start_date":"2017-10-18","description":"","custom_fields":[{"id":1,"name":"Subdivision","value":"EC"},{"id":4,"name":"Milepost","value":"23.3293"},{"id":17,"name":"Train ID","value":"113-18"},{"id":16,"name":"Locomotive ID","value":"4056"},{"id":130,"name":"Impact","value":""},{"id":150,"name":"Time of Event (Mountain Time)","value":"05:51:39"},{"id":151,"name":"Denver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4056 --day 2017-10-18</v>
      </c>
      <c r="AN25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11:51:39"},{"id":29,"name":"Sharepoint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-10-18T04:02:17-0600',mode:absolute,to:'2017-10-18T06:51:39-0600'))&amp;_a=(columns:!('Message%20ID',Summary),filters:!(),index:'emp_*',interval:auto,query:(query_string:(analyze_wildcard:!t,query:'%22rtdc.l.rtdc.4056%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552</v>
      </c>
      <c r="B26" s="7">
        <v>4055</v>
      </c>
      <c r="C26" s="21" t="s">
        <v>194</v>
      </c>
      <c r="D26" s="21" t="s">
        <v>476</v>
      </c>
      <c r="E26" s="13">
        <v>43026.245636574073</v>
      </c>
      <c r="F26" s="13">
        <v>43026.25849537037</v>
      </c>
      <c r="G26" s="7">
        <v>52</v>
      </c>
      <c r="H26" s="21" t="s">
        <v>363</v>
      </c>
      <c r="I26" s="13">
        <v>43026.284409722219</v>
      </c>
      <c r="J26" s="7">
        <v>0</v>
      </c>
      <c r="K26" s="89" t="str">
        <f>IF(ISEVEN(B26),(B26-1)&amp;"/"&amp;B26,B26&amp;"/"&amp;(B26+1))</f>
        <v>4055/4056</v>
      </c>
      <c r="L26" s="185" t="str">
        <f>VLOOKUP(A26,'Trips&amp;Operators'!$C$1:$G$99911,5,FALSE)</f>
        <v>YANAI IAN</v>
      </c>
      <c r="M26" s="6">
        <f>I26-F26</f>
        <v>2.5914351848769002E-2</v>
      </c>
      <c r="N26" s="7">
        <f>24*60*SUM($M26:$M26)</f>
        <v>37.316666662227362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-10-18T04:53:43-0600',mode:absolute,to:'2017-10-18T07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23.299600000000002</v>
      </c>
      <c r="Z26" s="204">
        <f>RIGHT(H26,LEN(H26)-4)/10000</f>
        <v>1.5800000000000002E-2</v>
      </c>
      <c r="AA26" s="204">
        <f>ABS(Z26-Y26)</f>
        <v>23.283800000000003</v>
      </c>
      <c r="AB26" s="54" t="str">
        <f>VLOOKUP(A26,Enforcements!$C$7:$K$11,8,0)</f>
        <v>Bulletin (2)</v>
      </c>
      <c r="AC26" s="51" t="str">
        <f>VLOOKUP(A26,Enforcements!$C$7:$E$11,3,0)</f>
        <v>GRADE CROSSING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s3://rtdc.mdm.uploadarchive.raw/RTDC4055/ "%USERPROFILE%\AppData\Local\Temp\OnboardLogs"\RTDC4055\2017-10-18 --exclude "*" --recursive --include "*20171018*" &amp; "%USERPROFILE%\Documents\GitHub\mrs-test-scripts\Headless Mode &amp; Sideloading\WalkAndUnGZ.bat" "%USERPROFILE%\AppData\Local\Temp\OnboardLogs"\RTDC4055\2017-10-18 &amp; aws s3 cp s3://rtdc.mdm.uploadarchive.raw/RTDC4055/ "%USERPROFILE%\AppData\Local\Temp\OnboardLogs"\RTDC4055\2017-10-19 --exclude "*" --recursive --include "*20171019*" &amp; "%USERPROFILE%\Documents\GitHub\mrs-test-scripts\Headless Mode &amp; Sideloading\WalkAndUnGZ.bat" "%USERPROFILE%\AppData\Local\Temp\OnboardLogs"\RTDC4055\2017-10-19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/stypes="app*4055*20171018*"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114-18 --locoid 4055 --swversion DE.1.0.9.0 --startMP 204:232996 --initTime 2017-10-18T05:53:43 --startdatetime 2017-10-18T06:12:14 --delay 52 --endMP 204:158 --enddatetime 2017-10-18T06:49:33 --enforcementcount 0 &gt;&gt;%USERPROFILE%\Documents\GitHub\eaglep3-reporting\EC\2017-10-18-refined-times.txt</v>
      </c>
      <c r="AI26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{"issue":{"subject":"","project_id":79,"tracker_id":40,"status_id":1,"priority_id":2,"assigned_to_id":338,"start_date":"2017-10-18","description":"","custom_fields":[{"id":1,"name":"Subdivision","value":"EC"},{"id":4,"name":"Milepost","value":"0.0158"},{"id":17,"name":"Train ID","value":"114-18"},{"id":16,"name":"Locomotive ID","value":"4055"},{"id":130,"name":"Impact","value":""},{"id":150,"name":"Time of Event (Mountain Time)","value":"06:49:33"},{"id":151,"name":"Denver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4055 --day 2017-10-18</v>
      </c>
      <c r="AN26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12:49:33"},{"id":29,"name":"Sharepoint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-10-18T04:53:43-0600',mode:absolute,to:'2017-10-18T07:49:33-0600'))&amp;_a=(columns:!('Message%20ID',Summary),filters:!(),index:'emp_*',interval:auto,query:(query_string:(analyze_wildcard:!t,query:'%22rtdc.l.rtdc.4055%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548</v>
      </c>
      <c r="B27" s="7">
        <v>4020</v>
      </c>
      <c r="C27" s="21" t="s">
        <v>194</v>
      </c>
      <c r="D27" s="21" t="s">
        <v>362</v>
      </c>
      <c r="E27" s="13">
        <v>43026.227881944447</v>
      </c>
      <c r="F27" s="13">
        <v>43026.229490740741</v>
      </c>
      <c r="G27" s="7">
        <v>74</v>
      </c>
      <c r="H27" s="21" t="s">
        <v>822</v>
      </c>
      <c r="I27" s="13">
        <v>43026.255613425928</v>
      </c>
      <c r="J27" s="7">
        <v>0</v>
      </c>
      <c r="K27" s="89" t="str">
        <f>IF(ISEVEN(B27),(B27-1)&amp;"/"&amp;B27,B27&amp;"/"&amp;(B27+1))</f>
        <v>4019/4020</v>
      </c>
      <c r="L27" s="185" t="str">
        <f>VLOOKUP(A27,'Trips&amp;Operators'!$C$1:$G$99911,5,FALSE)</f>
        <v>THOMPSON LESTER</v>
      </c>
      <c r="M27" s="6">
        <f>I27-F27</f>
        <v>2.6122685187146999E-2</v>
      </c>
      <c r="N27" s="7">
        <f>24*60*SUM($M27:$M27)</f>
        <v>37.616666669491678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-10-18T04:28:09-0600',mode:absolute,to:'2017-10-18T07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4.5999999999999999E-2</v>
      </c>
      <c r="Z27" s="204">
        <f>RIGHT(H27,LEN(H27)-4)/10000</f>
        <v>23.327200000000001</v>
      </c>
      <c r="AA27" s="204">
        <f>ABS(Z27-Y27)</f>
        <v>23.281200000000002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 &amp; aws s3 cp s3://rtdc.mdm.uploadarchive.raw/RTDC4020/ "%USERPROFILE%\AppData\Local\Temp\OnboardLogs"\RTDC4020\2017-10-19 --exclude "*" --recursive --include "*20171019*" &amp; "%USERPROFILE%\Documents\GitHub\mrs-test-scripts\Headless Mode &amp; Sideloading\WalkAndUnGZ.bat" "%USERPROFILE%\AppData\Local\Temp\OnboardLogs"\RTDC4020\2017-10-19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/stypes="app*4020*20171018*"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115-18 --locoid 4020 --swversion DE.1.0.9.0 --startMP 204:460 --initTime 2017-10-18T05:28:09 --startdatetime 2017-10-18T05:30:28 --delay 74 --endMP 204:233272 --enddatetime 2017-10-18T06:08:05 --enforcementcount 0 &gt;&gt;%USERPROFILE%\Documents\GitHub\eaglep3-reporting\EC\2017-10-18-refined-times.txt</v>
      </c>
      <c r="AI27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{"issue":{"subject":"","project_id":79,"tracker_id":40,"status_id":1,"priority_id":2,"assigned_to_id":338,"start_date":"2017-10-18","description":"","custom_fields":[{"id":1,"name":"Subdivision","value":"EC"},{"id":4,"name":"Milepost","value":"23.3272"},{"id":17,"name":"Train ID","value":"115-18"},{"id":16,"name":"Locomotive ID","value":"4020"},{"id":130,"name":"Impact","value":""},{"id":150,"name":"Time of Event (Mountain Time)","value":"06:08:05"},{"id":151,"name":"Denver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4020 --day 2017-10-18</v>
      </c>
      <c r="AN27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12:08:05"},{"id":29,"name":"Sharepoint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-10-18T04:28:09-0600',mode:absolute,to:'2017-10-18T07:08:05-0600'))&amp;_a=(columns:!('Message%20ID',Summary),filters:!(),index:'emp_*',interval:auto,query:(query_string:(analyze_wildcard:!t,query:'%22rtdc.l.rtdc.4020%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555</v>
      </c>
      <c r="B28" s="7">
        <v>4019</v>
      </c>
      <c r="C28" s="21" t="s">
        <v>194</v>
      </c>
      <c r="D28" s="21" t="s">
        <v>823</v>
      </c>
      <c r="E28" s="13">
        <v>43026.268136574072</v>
      </c>
      <c r="F28" s="13">
        <v>43026.269444444442</v>
      </c>
      <c r="G28" s="7">
        <v>55</v>
      </c>
      <c r="H28" s="21" t="s">
        <v>490</v>
      </c>
      <c r="I28" s="13">
        <v>43026.297754629632</v>
      </c>
      <c r="J28" s="7">
        <v>0</v>
      </c>
      <c r="K28" s="89" t="str">
        <f>IF(ISEVEN(B28),(B28-1)&amp;"/"&amp;B28,B28&amp;"/"&amp;(B28+1))</f>
        <v>4019/4020</v>
      </c>
      <c r="L28" s="185" t="str">
        <f>VLOOKUP(A28,'Trips&amp;Operators'!$C$1:$G$99911,5,FALSE)</f>
        <v>THOMPSON LESTER</v>
      </c>
      <c r="M28" s="6">
        <f>I28-F28</f>
        <v>2.8310185189184267E-2</v>
      </c>
      <c r="N28" s="7">
        <f>24*60*SUM($M28:$M28)</f>
        <v>40.766666672425345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-10-18T05:26:07-0600',mode:absolute,to:'2017-10-18T08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23.295200000000001</v>
      </c>
      <c r="Z28" s="204">
        <f>RIGHT(H28,LEN(H28)-4)/10000</f>
        <v>1.7600000000000001E-2</v>
      </c>
      <c r="AA28" s="204">
        <f>ABS(Z28-Y28)</f>
        <v>23.2776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s3://rtdc.mdm.uploadarchive.raw/RTDC4019/ "%USERPROFILE%\AppData\Local\Temp\OnboardLogs"\RTDC4019\2017-10-18 --exclude "*" --recursive --include "*20171018*" &amp; "%USERPROFILE%\Documents\GitHub\mrs-test-scripts\Headless Mode &amp; Sideloading\WalkAndUnGZ.bat" "%USERPROFILE%\AppData\Local\Temp\OnboardLogs"\RTDC4019\2017-10-18 &amp; aws s3 cp s3://rtdc.mdm.uploadarchive.raw/RTDC4019/ "%USERPROFILE%\AppData\Local\Temp\OnboardLogs"\RTDC4019\2017-10-19 --exclude "*" --recursive --include "*20171019*" &amp; "%USERPROFILE%\Documents\GitHub\mrs-test-scripts\Headless Mode &amp; Sideloading\WalkAndUnGZ.bat" "%USERPROFILE%\AppData\Local\Temp\OnboardLogs"\RTDC4019\2017-10-19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/stypes="app*4019*20171018*"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116-18 --locoid 4019 --swversion DE.1.0.9.0 --startMP 204:232952 --initTime 2017-10-18T06:26:07 --startdatetime 2017-10-18T06:28:00 --delay 55 --endMP 204:176 --enddatetime 2017-10-18T07:08:46 --enforcementcount 0 &gt;&gt;%USERPROFILE%\Documents\GitHub\eaglep3-reporting\EC\2017-10-18-refined-times.txt</v>
      </c>
      <c r="AI28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{"issue":{"subject":"","project_id":79,"tracker_id":40,"status_id":1,"priority_id":2,"assigned_to_id":338,"start_date":"2017-10-18","description":"","custom_fields":[{"id":1,"name":"Subdivision","value":"EC"},{"id":4,"name":"Milepost","value":"0.0176"},{"id":17,"name":"Train ID","value":"116-18"},{"id":16,"name":"Locomotive ID","value":"4019"},{"id":130,"name":"Impact","value":""},{"id":150,"name":"Time of Event (Mountain Time)","value":"07:08:46"},{"id":151,"name":"Denver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4019 --day 2017-10-18</v>
      </c>
      <c r="AN28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13:08:46"},{"id":29,"name":"Sharepoint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-10-18T05:26:07-0600',mode:absolute,to:'2017-10-18T08:08:46-0600'))&amp;_a=(columns:!('Message%20ID',Summary),filters:!(),index:'emp_*',interval:auto,query:(query_string:(analyze_wildcard:!t,query:'%22rtdc.l.rtdc.4019%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622</v>
      </c>
      <c r="B29" s="7">
        <v>4062</v>
      </c>
      <c r="C29" s="21" t="s">
        <v>194</v>
      </c>
      <c r="D29" s="21" t="s">
        <v>427</v>
      </c>
      <c r="E29" s="13">
        <v>43026.231608796297</v>
      </c>
      <c r="F29" s="13">
        <v>43026.239745370367</v>
      </c>
      <c r="G29" s="7">
        <v>61</v>
      </c>
      <c r="H29" s="21" t="s">
        <v>528</v>
      </c>
      <c r="I29" s="13">
        <v>43026.264768518522</v>
      </c>
      <c r="J29" s="7">
        <v>0</v>
      </c>
      <c r="K29" s="89" t="str">
        <f>IF(ISEVEN(B29),(B29-1)&amp;"/"&amp;B29,B29&amp;"/"&amp;(B29+1))</f>
        <v>4061/4062</v>
      </c>
      <c r="L29" s="185" t="str">
        <f>VLOOKUP(A29,'Trips&amp;Operators'!$C$1:$G$99911,5,FALSE)</f>
        <v>FORTUNATO FRANK</v>
      </c>
      <c r="M29" s="6">
        <f>I29-F29</f>
        <v>2.5023148155014496E-2</v>
      </c>
      <c r="N29" s="7">
        <f>24*60*SUM($M29:$M29)</f>
        <v>36.033333343220875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-10-18T04:33:31-0600',mode:absolute,to:'2017-10-18T07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4.3999999999999997E-2</v>
      </c>
      <c r="Z29" s="204">
        <f>RIGHT(H29,LEN(H29)-4)/10000</f>
        <v>23.333100000000002</v>
      </c>
      <c r="AA29" s="204">
        <f>ABS(Z29-Y29)</f>
        <v>23.289100000000001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s3://rtdc.mdm.uploadarchive.raw/RTDC4062/ "%USERPROFILE%\AppData\Local\Temp\OnboardLogs"\RTDC4062\2017-10-18 --exclude "*" --recursive --include "*20171018*" &amp; "%USERPROFILE%\Documents\GitHub\mrs-test-scripts\Headless Mode &amp; Sideloading\WalkAndUnGZ.bat" "%USERPROFILE%\AppData\Local\Temp\OnboardLogs"\RTDC4062\2017-10-18 &amp; aws s3 cp s3://rtdc.mdm.uploadarchive.raw/RTDC4062/ "%USERPROFILE%\AppData\Local\Temp\OnboardLogs"\RTDC4062\2017-10-19 --exclude "*" --recursive --include "*20171019*" &amp; "%USERPROFILE%\Documents\GitHub\mrs-test-scripts\Headless Mode &amp; Sideloading\WalkAndUnGZ.bat" "%USERPROFILE%\AppData\Local\Temp\OnboardLogs"\RTDC4062\2017-10-19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/stypes="app*4062*20171018*"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117-18 --locoid 4062 --swversion DE.1.0.9.0 --startMP 204:440 --initTime 2017-10-18T05:33:31 --startdatetime 2017-10-18T05:45:14 --delay 61 --endMP 204:233331 --enddatetime 2017-10-18T06:21:16 --enforcementcount 0 &gt;&gt;%USERPROFILE%\Documents\GitHub\eaglep3-reporting\EC\2017-10-18-refined-times.txt</v>
      </c>
      <c r="AI29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{"issue":{"subject":"","project_id":79,"tracker_id":40,"status_id":1,"priority_id":2,"assigned_to_id":338,"start_date":"2017-10-18","description":"","custom_fields":[{"id":1,"name":"Subdivision","value":"EC"},{"id":4,"name":"Milepost","value":"23.3331"},{"id":17,"name":"Train ID","value":"117-18"},{"id":16,"name":"Locomotive ID","value":"4062"},{"id":130,"name":"Impact","value":""},{"id":150,"name":"Time of Event (Mountain Time)","value":"06:21:16"},{"id":151,"name":"Denver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4062 --day 2017-10-18</v>
      </c>
      <c r="AN29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12:21:16"},{"id":29,"name":"Sharepoint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-10-18T04:33:31-0600',mode:absolute,to:'2017-10-18T07:21:16-0600'))&amp;_a=(columns:!('Message%20ID',Summary),filters:!(),index:'emp_*',interval:auto,query:(query_string:(analyze_wildcard:!t,query:'%22rtdc.l.rtdc.4062%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630</v>
      </c>
      <c r="B30" s="7">
        <v>4061</v>
      </c>
      <c r="C30" s="21" t="s">
        <v>194</v>
      </c>
      <c r="D30" s="21" t="s">
        <v>482</v>
      </c>
      <c r="E30" s="13">
        <v>43026.265983796293</v>
      </c>
      <c r="F30" s="13">
        <v>43026.279317129629</v>
      </c>
      <c r="G30" s="7">
        <v>63</v>
      </c>
      <c r="H30" s="21" t="s">
        <v>437</v>
      </c>
      <c r="I30" s="13">
        <v>43026.305474537039</v>
      </c>
      <c r="J30" s="7">
        <v>0</v>
      </c>
      <c r="K30" s="89" t="str">
        <f>IF(ISEVEN(B30),(B30-1)&amp;"/"&amp;B30,B30&amp;"/"&amp;(B30+1))</f>
        <v>4061/4062</v>
      </c>
      <c r="L30" s="185" t="str">
        <f>VLOOKUP(A30,'Trips&amp;Operators'!$C$1:$G$99911,5,FALSE)</f>
        <v>FORTUNATO FRANK</v>
      </c>
      <c r="M30" s="6">
        <f>I30-F30</f>
        <v>2.6157407410209998E-2</v>
      </c>
      <c r="N30" s="7">
        <f>24*60*SUM($M30:$M30)</f>
        <v>37.666666670702398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-10-18T05:23:01-0600',mode:absolute,to:'2017-10-18T08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23.299800000000001</v>
      </c>
      <c r="Z30" s="204">
        <f>RIGHT(H30,LEN(H30)-4)/10000</f>
        <v>1.41E-2</v>
      </c>
      <c r="AA30" s="204">
        <f>ABS(Z30-Y30)</f>
        <v>23.285700000000002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s3://rtdc.mdm.uploadarchive.raw/RTDC4061/ "%USERPROFILE%\AppData\Local\Temp\OnboardLogs"\RTDC4061\2017-10-18 --exclude "*" --recursive --include "*20171018*" &amp; "%USERPROFILE%\Documents\GitHub\mrs-test-scripts\Headless Mode &amp; Sideloading\WalkAndUnGZ.bat" "%USERPROFILE%\AppData\Local\Temp\OnboardLogs"\RTDC4061\2017-10-18 &amp; aws s3 cp s3://rtdc.mdm.uploadarchive.raw/RTDC4061/ "%USERPROFILE%\AppData\Local\Temp\OnboardLogs"\RTDC4061\2017-10-19 --exclude "*" --recursive --include "*20171019*" &amp; "%USERPROFILE%\Documents\GitHub\mrs-test-scripts\Headless Mode &amp; Sideloading\WalkAndUnGZ.bat" "%USERPROFILE%\AppData\Local\Temp\OnboardLogs"\RTDC4061\2017-10-19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/stypes="app*4061*20171018*"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118-18 --locoid 4061 --swversion DE.1.0.9.0 --startMP 204:232998 --initTime 2017-10-18T06:23:01 --startdatetime 2017-10-18T06:42:13 --delay 63 --endMP 204:141 --enddatetime 2017-10-18T07:19:53 --enforcementcount 0 &gt;&gt;%USERPROFILE%\Documents\GitHub\eaglep3-reporting\EC\2017-10-18-refined-times.txt</v>
      </c>
      <c r="AI30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{"issue":{"subject":"","project_id":79,"tracker_id":40,"status_id":1,"priority_id":2,"assigned_to_id":338,"start_date":"2017-10-18","description":"","custom_fields":[{"id":1,"name":"Subdivision","value":"EC"},{"id":4,"name":"Milepost","value":"0.0141"},{"id":17,"name":"Train ID","value":"118-18"},{"id":16,"name":"Locomotive ID","value":"4061"},{"id":130,"name":"Impact","value":""},{"id":150,"name":"Time of Event (Mountain Time)","value":"07:19:53"},{"id":151,"name":"Denver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4061 --day 2017-10-18</v>
      </c>
      <c r="AN30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13:19:53"},{"id":29,"name":"Sharepoint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-10-18T05:23:01-0600',mode:absolute,to:'2017-10-18T08:19:53-0600'))&amp;_a=(columns:!('Message%20ID',Summary),filters:!(),index:'emp_*',interval:auto,query:(query_string:(analyze_wildcard:!t,query:'%22rtdc.l.rtdc.4061%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627</v>
      </c>
      <c r="B31" s="7">
        <v>4040</v>
      </c>
      <c r="C31" s="21" t="s">
        <v>194</v>
      </c>
      <c r="D31" s="21" t="s">
        <v>376</v>
      </c>
      <c r="E31" s="13">
        <v>43026.243750000001</v>
      </c>
      <c r="F31" s="13">
        <v>43026.250358796293</v>
      </c>
      <c r="G31" s="7">
        <v>43</v>
      </c>
      <c r="H31" s="21" t="s">
        <v>451</v>
      </c>
      <c r="I31" s="13">
        <v>43026.273842592593</v>
      </c>
      <c r="J31" s="7">
        <v>0</v>
      </c>
      <c r="K31" s="89" t="str">
        <f>IF(ISEVEN(B31),(B31-1)&amp;"/"&amp;B31,B31&amp;"/"&amp;(B31+1))</f>
        <v>4039/4040</v>
      </c>
      <c r="L31" s="185" t="str">
        <f>VLOOKUP(A31,'Trips&amp;Operators'!$C$1:$G$99911,5,FALSE)</f>
        <v>YORK EDGAR</v>
      </c>
      <c r="M31" s="6">
        <f>I31-F31</f>
        <v>2.3483796299842652E-2</v>
      </c>
      <c r="N31" s="7">
        <f>24*60*SUM($M31:$M31)</f>
        <v>33.816666671773419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-10-18T04:51:00-0600',mode:absolute,to:'2017-10-18T07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4.5699999999999998E-2</v>
      </c>
      <c r="Z31" s="204">
        <f>RIGHT(H31,LEN(H31)-4)/10000</f>
        <v>23.329499999999999</v>
      </c>
      <c r="AA31" s="204">
        <f>ABS(Z31-Y31)</f>
        <v>23.283799999999999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s3://rtdc.mdm.uploadarchive.raw/RTDC4040/ "%USERPROFILE%\AppData\Local\Temp\OnboardLogs"\RTDC4040\2017-10-18 --exclude "*" --recursive --include "*20171018*" &amp; "%USERPROFILE%\Documents\GitHub\mrs-test-scripts\Headless Mode &amp; Sideloading\WalkAndUnGZ.bat" "%USERPROFILE%\AppData\Local\Temp\OnboardLogs"\RTDC4040\2017-10-18 &amp; aws s3 cp s3://rtdc.mdm.uploadarchive.raw/RTDC4040/ "%USERPROFILE%\AppData\Local\Temp\OnboardLogs"\RTDC4040\2017-10-19 --exclude "*" --recursive --include "*20171019*" &amp; "%USERPROFILE%\Documents\GitHub\mrs-test-scripts\Headless Mode &amp; Sideloading\WalkAndUnGZ.bat" "%USERPROFILE%\AppData\Local\Temp\OnboardLogs"\RTDC4040\2017-10-19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/stypes="app*4040*20171018*"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119-18 --locoid 4040 --swversion DE.1.0.9.0 --startMP 204:457 --initTime 2017-10-18T05:51:00 --startdatetime 2017-10-18T06:00:31 --delay 43 --endMP 204:233295 --enddatetime 2017-10-18T06:34:20 --enforcementcount 0 &gt;&gt;%USERPROFILE%\Documents\GitHub\eaglep3-reporting\EC\2017-10-18-refined-times.txt</v>
      </c>
      <c r="AI31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{"issue":{"subject":"","project_id":79,"tracker_id":40,"status_id":1,"priority_id":2,"assigned_to_id":338,"start_date":"2017-10-18","description":"","custom_fields":[{"id":1,"name":"Subdivision","value":"EC"},{"id":4,"name":"Milepost","value":"23.3295"},{"id":17,"name":"Train ID","value":"119-18"},{"id":16,"name":"Locomotive ID","value":"4040"},{"id":130,"name":"Impact","value":""},{"id":150,"name":"Time of Event (Mountain Time)","value":"06:34:20"},{"id":151,"name":"Denver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4040 --day 2017-10-18</v>
      </c>
      <c r="AN31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12:34:20"},{"id":29,"name":"Sharepoint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-10-18T04:51:00-0600',mode:absolute,to:'2017-10-18T07:34:20-0600'))&amp;_a=(columns:!('Message%20ID',Summary),filters:!(),index:'emp_*',interval:auto,query:(query_string:(analyze_wildcard:!t,query:'%22rtdc.l.rtdc.4040%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636</v>
      </c>
      <c r="B32" s="7">
        <v>4039</v>
      </c>
      <c r="C32" s="21" t="s">
        <v>194</v>
      </c>
      <c r="D32" s="21" t="s">
        <v>415</v>
      </c>
      <c r="E32" s="13">
        <v>43026.288124999999</v>
      </c>
      <c r="F32" s="13">
        <v>43026.289837962962</v>
      </c>
      <c r="G32" s="7">
        <v>56</v>
      </c>
      <c r="H32" s="21" t="s">
        <v>336</v>
      </c>
      <c r="I32" s="13">
        <v>43026.315717592595</v>
      </c>
      <c r="J32" s="7">
        <v>0</v>
      </c>
      <c r="K32" s="89" t="str">
        <f>IF(ISEVEN(B32),(B32-1)&amp;"/"&amp;B32,B32&amp;"/"&amp;(B32+1))</f>
        <v>4039/4040</v>
      </c>
      <c r="L32" s="185" t="str">
        <f>VLOOKUP(A32,'Trips&amp;Operators'!$C$1:$G$99911,5,FALSE)</f>
        <v>YORK EDGAR</v>
      </c>
      <c r="M32" s="6">
        <f>I32-F32</f>
        <v>2.587962963298196E-2</v>
      </c>
      <c r="N32" s="7">
        <f>24*60*SUM($M32:$M32)</f>
        <v>37.266666671494022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-10-18T05:54:54-0600',mode:absolute,to:'2017-10-18T08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23.296500000000002</v>
      </c>
      <c r="Z32" s="204">
        <f>RIGHT(H32,LEN(H32)-4)/10000</f>
        <v>1.49E-2</v>
      </c>
      <c r="AA32" s="204">
        <f>ABS(Z32-Y32)</f>
        <v>23.281600000000001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s3://rtdc.mdm.uploadarchive.raw/RTDC4039/ "%USERPROFILE%\AppData\Local\Temp\OnboardLogs"\RTDC4039\2017-10-18 --exclude "*" --recursive --include "*20171018*" &amp; "%USERPROFILE%\Documents\GitHub\mrs-test-scripts\Headless Mode &amp; Sideloading\WalkAndUnGZ.bat" "%USERPROFILE%\AppData\Local\Temp\OnboardLogs"\RTDC4039\2017-10-18 &amp; aws s3 cp s3://rtdc.mdm.uploadarchive.raw/RTDC4039/ "%USERPROFILE%\AppData\Local\Temp\OnboardLogs"\RTDC4039\2017-10-19 --exclude "*" --recursive --include "*20171019*" &amp; "%USERPROFILE%\Documents\GitHub\mrs-test-scripts\Headless Mode &amp; Sideloading\WalkAndUnGZ.bat" "%USERPROFILE%\AppData\Local\Temp\OnboardLogs"\RTDC4039\2017-10-19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/stypes="app*4039*20171018*"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120-18 --locoid 4039 --swversion DE.1.0.9.0 --startMP 204:232965 --initTime 2017-10-18T06:54:54 --startdatetime 2017-10-18T06:57:22 --delay 56 --endMP 204:149 --enddatetime 2017-10-18T07:34:38 --enforcementcount 0 &gt;&gt;%USERPROFILE%\Documents\GitHub\eaglep3-reporting\EC\2017-10-18-refined-times.txt</v>
      </c>
      <c r="AI32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{"issue":{"subject":"","project_id":79,"tracker_id":40,"status_id":1,"priority_id":2,"assigned_to_id":338,"start_date":"2017-10-18","description":"","custom_fields":[{"id":1,"name":"Subdivision","value":"EC"},{"id":4,"name":"Milepost","value":"0.0149"},{"id":17,"name":"Train ID","value":"120-18"},{"id":16,"name":"Locomotive ID","value":"4039"},{"id":130,"name":"Impact","value":""},{"id":150,"name":"Time of Event (Mountain Time)","value":"07:34:38"},{"id":151,"name":"Denver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4039 --day 2017-10-18</v>
      </c>
      <c r="AN32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13:34:38"},{"id":29,"name":"Sharepoint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-10-18T05:54:54-0600',mode:absolute,to:'2017-10-18T08:34:38-0600'))&amp;_a=(columns:!('Message%20ID',Summary),filters:!(),index:'emp_*',interval:auto,query:(query_string:(analyze_wildcard:!t,query:'%22rtdc.l.rtdc.4039%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629</v>
      </c>
      <c r="B33" s="7">
        <v>4044</v>
      </c>
      <c r="C33" s="21" t="s">
        <v>194</v>
      </c>
      <c r="D33" s="21" t="s">
        <v>414</v>
      </c>
      <c r="E33" s="13">
        <v>43026.255914351852</v>
      </c>
      <c r="F33" s="13">
        <v>43026.260613425926</v>
      </c>
      <c r="G33" s="7">
        <v>49</v>
      </c>
      <c r="H33" s="21" t="s">
        <v>392</v>
      </c>
      <c r="I33" s="13">
        <v>43026.285567129627</v>
      </c>
      <c r="J33" s="7">
        <v>0</v>
      </c>
      <c r="K33" s="89" t="str">
        <f>IF(ISEVEN(B33),(B33-1)&amp;"/"&amp;B33,B33&amp;"/"&amp;(B33+1))</f>
        <v>4043/4044</v>
      </c>
      <c r="L33" s="185" t="str">
        <f>VLOOKUP(A33,'Trips&amp;Operators'!$C$1:$G$99911,5,FALSE)</f>
        <v>YANG JAN</v>
      </c>
      <c r="M33" s="6">
        <f>I33-F33</f>
        <v>2.495370370161254E-2</v>
      </c>
      <c r="N33" s="7">
        <f>24*60*SUM($M33:$M33)</f>
        <v>35.933333330322057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-10-18T05:08:31-0600',mode:absolute,to:'2017-10-18T07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4.4200000000000003E-2</v>
      </c>
      <c r="Z33" s="204">
        <f>RIGHT(H33,LEN(H33)-4)/10000</f>
        <v>23.330200000000001</v>
      </c>
      <c r="AA33" s="204">
        <f>ABS(Z33-Y33)</f>
        <v>23.286000000000001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s3://rtdc.mdm.uploadarchive.raw/RTDC4044/ "%USERPROFILE%\AppData\Local\Temp\OnboardLogs"\RTDC4044\2017-10-18 --exclude "*" --recursive --include "*20171018*" &amp; "%USERPROFILE%\Documents\GitHub\mrs-test-scripts\Headless Mode &amp; Sideloading\WalkAndUnGZ.bat" "%USERPROFILE%\AppData\Local\Temp\OnboardLogs"\RTDC4044\2017-10-18 &amp; 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/stypes="app*4044*20171018*" /stext=" 12:.+((SYSTEM_STATE.+slice.+state.+changed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121-18 --locoid 4044 --swversion DE.1.0.9.0 --startMP 204:442 --initTime 2017-10-18T06:08:31 --startdatetime 2017-10-18T06:15:17 --delay 49 --endMP 204:233302 --enddatetime 2017-10-18T06:51:13 --enforcementcount 0 &gt;&gt;%USERPROFILE%\Documents\GitHub\eaglep3-reporting\EC\2017-10-18-refined-times.txt</v>
      </c>
      <c r="AI33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{"issue":{"subject":"","project_id":79,"tracker_id":40,"status_id":1,"priority_id":2,"assigned_to_id":338,"start_date":"2017-10-18","description":"","custom_fields":[{"id":1,"name":"Subdivision","value":"EC"},{"id":4,"name":"Milepost","value":"23.3302"},{"id":17,"name":"Train ID","value":"121-18"},{"id":16,"name":"Locomotive ID","value":"4044"},{"id":130,"name":"Impact","value":""},{"id":150,"name":"Time of Event (Mountain Time)","value":"06:51:13"},{"id":151,"name":"Denver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4044 --day 2017-10-18</v>
      </c>
      <c r="AN33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12:51:13"},{"id":29,"name":"Sharepoint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-10-18T05:08:31-0600',mode:absolute,to:'2017-10-18T07:51:13-0600'))&amp;_a=(columns:!('Message%20ID',Summary),filters:!(),index:'emp_*',interval:auto,query:(query_string:(analyze_wildcard:!t,query:'%22rtdc.l.rtdc.4044%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639</v>
      </c>
      <c r="B34" s="7">
        <v>4043</v>
      </c>
      <c r="C34" s="21" t="s">
        <v>194</v>
      </c>
      <c r="D34" s="21" t="s">
        <v>410</v>
      </c>
      <c r="E34" s="13">
        <v>43026.293726851851</v>
      </c>
      <c r="F34" s="13">
        <v>43026.300173611111</v>
      </c>
      <c r="G34" s="7">
        <v>60</v>
      </c>
      <c r="H34" s="21" t="s">
        <v>357</v>
      </c>
      <c r="I34" s="13">
        <v>43026.326238425929</v>
      </c>
      <c r="J34" s="7">
        <v>0</v>
      </c>
      <c r="K34" s="89" t="str">
        <f>IF(ISEVEN(B34),(B34-1)&amp;"/"&amp;B34,B34&amp;"/"&amp;(B34+1))</f>
        <v>4043/4044</v>
      </c>
      <c r="L34" s="185" t="str">
        <f>VLOOKUP(A34,'Trips&amp;Operators'!$C$1:$G$99911,5,FALSE)</f>
        <v>YANG JAN</v>
      </c>
      <c r="M34" s="6">
        <f>I34-F34</f>
        <v>2.6064814817800652E-2</v>
      </c>
      <c r="N34" s="7">
        <f>24*60*SUM($M34:$M34)</f>
        <v>37.533333337632939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-10-18T06:02:58-0600',mode:absolute,to:'2017-10-18T08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23.298500000000001</v>
      </c>
      <c r="Z34" s="204">
        <f>RIGHT(H34,LEN(H34)-4)/10000</f>
        <v>1.5599999999999999E-2</v>
      </c>
      <c r="AA34" s="204">
        <f>ABS(Z34-Y34)</f>
        <v>23.282900000000001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s3://rtdc.mdm.uploadarchive.raw/RTDC4043/ "%USERPROFILE%\AppData\Local\Temp\OnboardLogs"\RTDC4043\2017-10-18 --exclude "*" --recursive --include "*20171018*" &amp; "%USERPROFILE%\Documents\GitHub\mrs-test-scripts\Headless Mode &amp; Sideloading\WalkAndUnGZ.bat" "%USERPROFILE%\AppData\Local\Temp\OnboardLogs"\RTDC4043\2017-10-18 &amp; 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/stypes="app*4043*20171018*"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122-18 --locoid 4043 --swversion DE.1.0.9.0 --startMP 204:232985 --initTime 2017-10-18T07:02:58 --startdatetime 2017-10-18T07:12:15 --delay 60 --endMP 204:156 --enddatetime 2017-10-18T07:49:47 --enforcementcount 0 &gt;&gt;%USERPROFILE%\Documents\GitHub\eaglep3-reporting\EC\2017-10-18-refined-times.txt</v>
      </c>
      <c r="AI34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{"issue":{"subject":"","project_id":79,"tracker_id":40,"status_id":1,"priority_id":2,"assigned_to_id":338,"start_date":"2017-10-18","description":"","custom_fields":[{"id":1,"name":"Subdivision","value":"EC"},{"id":4,"name":"Milepost","value":"0.0156"},{"id":17,"name":"Train ID","value":"122-18"},{"id":16,"name":"Locomotive ID","value":"4043"},{"id":130,"name":"Impact","value":""},{"id":150,"name":"Time of Event (Mountain Time)","value":"07:49:47"},{"id":151,"name":"Denver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4043 --day 2017-10-18</v>
      </c>
      <c r="AN34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13:49:47"},{"id":29,"name":"Sharepoint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-10-18T06:02:58-0600',mode:absolute,to:'2017-10-18T08:49:47-0600'))&amp;_a=(columns:!('Message%20ID',Summary),filters:!(),index:'emp_*',interval:auto,query:(query_string:(analyze_wildcard:!t,query:'%22rtdc.l.rtdc.4043%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554</v>
      </c>
      <c r="B35" s="7">
        <v>4064</v>
      </c>
      <c r="C35" s="21" t="s">
        <v>194</v>
      </c>
      <c r="D35" s="21" t="s">
        <v>531</v>
      </c>
      <c r="E35" s="13">
        <v>43026.267187500001</v>
      </c>
      <c r="F35" s="13">
        <v>43026.271157407406</v>
      </c>
      <c r="G35" s="7">
        <v>51</v>
      </c>
      <c r="H35" s="21" t="s">
        <v>386</v>
      </c>
      <c r="I35" s="13">
        <v>43026.296736111108</v>
      </c>
      <c r="J35" s="7">
        <v>0</v>
      </c>
      <c r="K35" s="89" t="str">
        <f>IF(ISEVEN(B35),(B35-1)&amp;"/"&amp;B35,B35&amp;"/"&amp;(B35+1))</f>
        <v>4063/4064</v>
      </c>
      <c r="L35" s="185" t="str">
        <f>VLOOKUP(A35,'Trips&amp;Operators'!$C$1:$G$99911,5,FALSE)</f>
        <v>DAVIS WENDY</v>
      </c>
      <c r="M35" s="6">
        <f>I35-F35</f>
        <v>2.5578703702194616E-2</v>
      </c>
      <c r="N35" s="7">
        <f>24*60*SUM($M35:$M35)</f>
        <v>36.833333331160247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-10-18T05:24:45-0600',mode:absolute,to:'2017-10-18T08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4.7500000000000001E-2</v>
      </c>
      <c r="Z35" s="204">
        <f>RIGHT(H35,LEN(H35)-4)/10000</f>
        <v>23.3291</v>
      </c>
      <c r="AA35" s="204">
        <f>ABS(Z35-Y35)</f>
        <v>23.281600000000001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s3://rtdc.mdm.uploadarchive.raw/RTDC4064/ "%USERPROFILE%\AppData\Local\Temp\OnboardLogs"\RTDC4064\2017-10-18 --exclude "*" --recursive --include "*20171018*" &amp; "%USERPROFILE%\Documents\GitHub\mrs-test-scripts\Headless Mode &amp; Sideloading\WalkAndUnGZ.bat" "%USERPROFILE%\AppData\Local\Temp\OnboardLogs"\RTDC4064\2017-10-18 &amp; aws s3 cp s3://rtdc.mdm.uploadarchive.raw/RTDC4064/ "%USERPROFILE%\AppData\Local\Temp\OnboardLogs"\RTDC4064\2017-10-19 --exclude "*" --recursive --include "*20171019*" &amp; "%USERPROFILE%\Documents\GitHub\mrs-test-scripts\Headless Mode &amp; Sideloading\WalkAndUnGZ.bat" "%USERPROFILE%\AppData\Local\Temp\OnboardLogs"\RTDC4064\2017-10-19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/stypes="app*4064*20171018*"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123-18 --locoid 4064 --swversion DE.1.0.9.0 --startMP 204:475 --initTime 2017-10-18T06:24:45 --startdatetime 2017-10-18T06:30:28 --delay 51 --endMP 204:233291 --enddatetime 2017-10-18T07:07:18 --enforcementcount 0 &gt;&gt;%USERPROFILE%\Documents\GitHub\eaglep3-reporting\EC\2017-10-18-refined-times.txt</v>
      </c>
      <c r="AI35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{"issue":{"subject":"","project_id":79,"tracker_id":40,"status_id":1,"priority_id":2,"assigned_to_id":338,"start_date":"2017-10-18","description":"","custom_fields":[{"id":1,"name":"Subdivision","value":"EC"},{"id":4,"name":"Milepost","value":"23.3291"},{"id":17,"name":"Train ID","value":"123-18"},{"id":16,"name":"Locomotive ID","value":"4064"},{"id":130,"name":"Impact","value":""},{"id":150,"name":"Time of Event (Mountain Time)","value":"07:07:18"},{"id":151,"name":"Denver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4064 --day 2017-10-18</v>
      </c>
      <c r="AN35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13:07:18"},{"id":29,"name":"Sharepoint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-10-18T05:24:45-0600',mode:absolute,to:'2017-10-18T08:07:18-0600'))&amp;_a=(columns:!('Message%20ID',Summary),filters:!(),index:'emp_*',interval:auto,query:(query_string:(analyze_wildcard:!t,query:'%22rtdc.l.rtdc.4064%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640</v>
      </c>
      <c r="B36" s="7">
        <v>4063</v>
      </c>
      <c r="C36" s="21" t="s">
        <v>194</v>
      </c>
      <c r="D36" s="21" t="s">
        <v>404</v>
      </c>
      <c r="E36" s="13">
        <v>43026.303888888891</v>
      </c>
      <c r="F36" s="13">
        <v>43026.310578703706</v>
      </c>
      <c r="G36" s="7">
        <v>153</v>
      </c>
      <c r="H36" s="21" t="s">
        <v>426</v>
      </c>
      <c r="I36" s="13">
        <v>43026.337754629632</v>
      </c>
      <c r="J36" s="7">
        <v>0</v>
      </c>
      <c r="K36" s="89" t="str">
        <f>IF(ISEVEN(B36),(B36-1)&amp;"/"&amp;B36,B36&amp;"/"&amp;(B36+1))</f>
        <v>4063/4064</v>
      </c>
      <c r="L36" s="185" t="str">
        <f>VLOOKUP(A36,'Trips&amp;Operators'!$C$1:$G$99911,5,FALSE)</f>
        <v>DAVIS WENDY</v>
      </c>
      <c r="M36" s="6">
        <f>I36-F36</f>
        <v>2.7175925926712807E-2</v>
      </c>
      <c r="N36" s="7">
        <f>24*60*SUM($M36:$M36)</f>
        <v>39.133333334466442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-10-18T06:17:36-0600',mode:absolute,to:'2017-10-18T09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23.297699999999999</v>
      </c>
      <c r="Z36" s="204">
        <f>RIGHT(H36,LEN(H36)-4)/10000</f>
        <v>1.38E-2</v>
      </c>
      <c r="AA36" s="204">
        <f>ABS(Z36-Y36)</f>
        <v>23.283899999999999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s3://rtdc.mdm.uploadarchive.raw/RTDC4063/ "%USERPROFILE%\AppData\Local\Temp\OnboardLogs"\RTDC4063\2017-10-18 --exclude "*" --recursive --include "*20171018*" &amp; "%USERPROFILE%\Documents\GitHub\mrs-test-scripts\Headless Mode &amp; Sideloading\WalkAndUnGZ.bat" "%USERPROFILE%\AppData\Local\Temp\OnboardLogs"\RTDC4063\2017-10-18 &amp; aws s3 cp s3://rtdc.mdm.uploadarchive.raw/RTDC4063/ "%USERPROFILE%\AppData\Local\Temp\OnboardLogs"\RTDC4063\2017-10-19 --exclude "*" --recursive --include "*20171019*" &amp; "%USERPROFILE%\Documents\GitHub\mrs-test-scripts\Headless Mode &amp; Sideloading\WalkAndUnGZ.bat" "%USERPROFILE%\AppData\Local\Temp\OnboardLogs"\RTDC4063\2017-10-19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/stypes="app*4063*20171018*"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124-18 --locoid 4063 --swversion DE.1.0.9.0 --startMP 204:232977 --initTime 2017-10-18T07:17:36 --startdatetime 2017-10-18T07:27:14 --delay 153 --endMP 204:138 --enddatetime 2017-10-18T08:06:22 --enforcementcount 0 &gt;&gt;%USERPROFILE%\Documents\GitHub\eaglep3-reporting\EC\2017-10-18-refined-times.txt</v>
      </c>
      <c r="AI36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{"issue":{"subject":"","project_id":79,"tracker_id":40,"status_id":1,"priority_id":2,"assigned_to_id":338,"start_date":"2017-10-18","description":"","custom_fields":[{"id":1,"name":"Subdivision","value":"EC"},{"id":4,"name":"Milepost","value":"0.0138"},{"id":17,"name":"Train ID","value":"124-18"},{"id":16,"name":"Locomotive ID","value":"4063"},{"id":130,"name":"Impact","value":""},{"id":150,"name":"Time of Event (Mountain Time)","value":"08:06:22"},{"id":151,"name":"Denver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4063 --day 2017-10-18</v>
      </c>
      <c r="AN36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14:06:22"},{"id":29,"name":"Sharepoint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-10-18T06:17:36-0600',mode:absolute,to:'2017-10-18T09:06:22-0600'))&amp;_a=(columns:!('Message%20ID',Summary),filters:!(),index:'emp_*',interval:auto,query:(query_string:(analyze_wildcard:!t,query:'%22rtdc.l.rtdc.4063%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632</v>
      </c>
      <c r="B37" s="7">
        <v>4026</v>
      </c>
      <c r="C37" s="21" t="s">
        <v>194</v>
      </c>
      <c r="D37" s="21" t="s">
        <v>369</v>
      </c>
      <c r="E37" s="13">
        <v>43026.276331018518</v>
      </c>
      <c r="F37" s="13">
        <v>43026.281423611108</v>
      </c>
      <c r="G37" s="7">
        <v>53</v>
      </c>
      <c r="H37" s="21" t="s">
        <v>400</v>
      </c>
      <c r="I37" s="13">
        <v>43026.306319444448</v>
      </c>
      <c r="J37" s="7">
        <v>0</v>
      </c>
      <c r="K37" s="89" t="str">
        <f>IF(ISEVEN(B37),(B37-1)&amp;"/"&amp;B37,B37&amp;"/"&amp;(B37+1))</f>
        <v>4025/4026</v>
      </c>
      <c r="L37" s="185" t="str">
        <f>VLOOKUP(A37,'Trips&amp;Operators'!$C$1:$G$99911,5,FALSE)</f>
        <v>BONDS REYNALDO</v>
      </c>
      <c r="M37" s="6">
        <f>I37-F37</f>
        <v>2.489583333954215E-2</v>
      </c>
      <c r="N37" s="7">
        <f>24*60*SUM($M37:$M37)</f>
        <v>35.850000008940697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-10-18T05:37:55-0600',mode:absolute,to:'2017-10-18T08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4.7100000000000003E-2</v>
      </c>
      <c r="Z37" s="204">
        <f>RIGHT(H37,LEN(H37)-4)/10000</f>
        <v>23.3306</v>
      </c>
      <c r="AA37" s="204">
        <f>ABS(Z37-Y37)</f>
        <v>23.2835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s3://rtdc.mdm.uploadarchive.raw/RTDC4026/ "%USERPROFILE%\AppData\Local\Temp\OnboardLogs"\RTDC4026\2017-10-18 --exclude "*" --recursive --include "*20171018*" &amp; "%USERPROFILE%\Documents\GitHub\mrs-test-scripts\Headless Mode &amp; Sideloading\WalkAndUnGZ.bat" "%USERPROFILE%\AppData\Local\Temp\OnboardLogs"\RTDC4026\2017-10-18 &amp; aws s3 cp s3://rtdc.mdm.uploadarchive.raw/RTDC4026/ "%USERPROFILE%\AppData\Local\Temp\OnboardLogs"\RTDC4026\2017-10-19 --exclude "*" --recursive --include "*20171019*" &amp; "%USERPROFILE%\Documents\GitHub\mrs-test-scripts\Headless Mode &amp; Sideloading\WalkAndUnGZ.bat" "%USERPROFILE%\AppData\Local\Temp\OnboardLogs"\RTDC4026\2017-10-19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/stypes="app*4026*20171018*" /stext=" 13:.+((SYSTEM_STATE.+slice.+state.+changed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125-18 --locoid 4026 --swversion DE.1.0.9.0 --startMP 204:471 --initTime 2017-10-18T06:37:55 --startdatetime 2017-10-18T06:45:15 --delay 53 --endMP 204:233306 --enddatetime 2017-10-18T07:21:06 --enforcementcount 0 &gt;&gt;%USERPROFILE%\Documents\GitHub\eaglep3-reporting\EC\2017-10-18-refined-times.txt</v>
      </c>
      <c r="AI37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{"issue":{"subject":"","project_id":79,"tracker_id":40,"status_id":1,"priority_id":2,"assigned_to_id":338,"start_date":"2017-10-18","description":"","custom_fields":[{"id":1,"name":"Subdivision","value":"EC"},{"id":4,"name":"Milepost","value":"23.3306"},{"id":17,"name":"Train ID","value":"125-18"},{"id":16,"name":"Locomotive ID","value":"4026"},{"id":130,"name":"Impact","value":""},{"id":150,"name":"Time of Event (Mountain Time)","value":"07:21:06"},{"id":151,"name":"Denver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4026 --day 2017-10-18</v>
      </c>
      <c r="AN37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13:21:06"},{"id":29,"name":"Sharepoint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-10-18T05:37:55-0600',mode:absolute,to:'2017-10-18T08:21:06-0600'))&amp;_a=(columns:!('Message%20ID',Summary),filters:!(),index:'emp_*',interval:auto,query:(query_string:(analyze_wildcard:!t,query:'%22rtdc.l.rtdc.4026%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646</v>
      </c>
      <c r="B38" s="7">
        <v>4025</v>
      </c>
      <c r="C38" s="21" t="s">
        <v>194</v>
      </c>
      <c r="D38" s="21" t="s">
        <v>411</v>
      </c>
      <c r="E38" s="13">
        <v>43026.318506944444</v>
      </c>
      <c r="F38" s="13">
        <v>43026.321122685185</v>
      </c>
      <c r="G38" s="7">
        <v>49</v>
      </c>
      <c r="H38" s="21" t="s">
        <v>336</v>
      </c>
      <c r="I38" s="13">
        <v>43026.348067129627</v>
      </c>
      <c r="J38" s="7">
        <v>0</v>
      </c>
      <c r="K38" s="89" t="str">
        <f>IF(ISEVEN(B38),(B38-1)&amp;"/"&amp;B38,B38&amp;"/"&amp;(B38+1))</f>
        <v>4025/4026</v>
      </c>
      <c r="L38" s="185" t="str">
        <f>VLOOKUP(A38,'Trips&amp;Operators'!$C$1:$G$99911,5,FALSE)</f>
        <v>BONDS REYNALDO</v>
      </c>
      <c r="M38" s="6">
        <f>I38-F38</f>
        <v>2.6944444442051463E-2</v>
      </c>
      <c r="N38" s="7">
        <f>24*60*SUM($M38:$M38)</f>
        <v>38.799999996554106</v>
      </c>
      <c r="O38" s="7"/>
      <c r="P38" s="7"/>
      <c r="Q38" s="22"/>
      <c r="R38" s="174"/>
      <c r="S38" s="221">
        <f>1/IF(AG38="EC",12,1)*SUM(U38:U38)</f>
        <v>1</v>
      </c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-10-18T06:38:39-0600',mode:absolute,to:'2017-10-18T09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23.299399999999999</v>
      </c>
      <c r="Z38" s="204">
        <f>RIGHT(H38,LEN(H38)-4)/10000</f>
        <v>1.49E-2</v>
      </c>
      <c r="AA38" s="204">
        <f>ABS(Z38-Y38)</f>
        <v>23.284499999999998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s3://rtdc.mdm.uploadarchive.raw/RTDC4025/ "%USERPROFILE%\AppData\Local\Temp\OnboardLogs"\RTDC4025\2017-10-18 --exclude "*" --recursive --include "*20171018*" &amp; "%USERPROFILE%\Documents\GitHub\mrs-test-scripts\Headless Mode &amp; Sideloading\WalkAndUnGZ.bat" "%USERPROFILE%\AppData\Local\Temp\OnboardLogs"\RTDC4025\2017-10-18 &amp; aws s3 cp s3://rtdc.mdm.uploadarchive.raw/RTDC4025/ "%USERPROFILE%\AppData\Local\Temp\OnboardLogs"\RTDC4025\2017-10-19 --exclude "*" --recursive --include "*20171019*" &amp; "%USERPROFILE%\Documents\GitHub\mrs-test-scripts\Headless Mode &amp; Sideloading\WalkAndUnGZ.bat" "%USERPROFILE%\AppData\Local\Temp\OnboardLogs"\RTDC4025\2017-10-19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/stypes="app*4025*20171018*" /stext=" 14:.+((SYSTEM_STATE.+slice.+state.+changed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126-18 --locoid 4025 --swversion DE.1.0.9.0 --startMP 204:232994 --initTime 2017-10-18T07:38:39 --startdatetime 2017-10-18T07:42:25 --delay 49 --endMP 204:149 --enddatetime 2017-10-18T08:21:13 --enforcementcount 0 &gt;&gt;%USERPROFILE%\Documents\GitHub\eaglep3-reporting\EC\2017-10-18-refined-times.txt</v>
      </c>
      <c r="AI38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{"issue":{"subject":"","project_id":79,"tracker_id":40,"status_id":1,"priority_id":2,"assigned_to_id":338,"start_date":"2017-10-18","description":"","custom_fields":[{"id":1,"name":"Subdivision","value":"EC"},{"id":4,"name":"Milepost","value":"0.0149"},{"id":17,"name":"Train ID","value":"126-18"},{"id":16,"name":"Locomotive ID","value":"4025"},{"id":130,"name":"Impact","value":""},{"id":150,"name":"Time of Event (Mountain Time)","value":"08:21:13"},{"id":151,"name":"Denver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4025 --day 2017-10-18</v>
      </c>
      <c r="AN38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14:21:13"},{"id":29,"name":"Sharepoint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-10-18T06:38:39-0600',mode:absolute,to:'2017-10-18T09:21:13-0600'))&amp;_a=(columns:!('Message%20ID',Summary),filters:!(),index:'emp_*',interval:auto,query:(query_string:(analyze_wildcard:!t,query:'%22rtdc.l.rtdc.4025%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633</v>
      </c>
      <c r="B39" s="7">
        <v>4056</v>
      </c>
      <c r="C39" s="21" t="s">
        <v>194</v>
      </c>
      <c r="D39" s="21" t="s">
        <v>372</v>
      </c>
      <c r="E39" s="13">
        <v>43026.286597222221</v>
      </c>
      <c r="F39" s="13">
        <v>43026.291944444441</v>
      </c>
      <c r="G39" s="7">
        <v>143</v>
      </c>
      <c r="H39" s="21" t="s">
        <v>401</v>
      </c>
      <c r="I39" s="13">
        <v>43026.31659722222</v>
      </c>
      <c r="J39" s="7">
        <v>0</v>
      </c>
      <c r="K39" s="89" t="str">
        <f>IF(ISEVEN(B39),(B39-1)&amp;"/"&amp;B39,B39&amp;"/"&amp;(B39+1))</f>
        <v>4055/4056</v>
      </c>
      <c r="L39" s="185" t="str">
        <f>VLOOKUP(A39,'Trips&amp;Operators'!$C$1:$G$99911,5,FALSE)</f>
        <v>PAGE MARCUS</v>
      </c>
      <c r="M39" s="6">
        <f>I39-F39</f>
        <v>2.4652777778101154E-2</v>
      </c>
      <c r="N39" s="7">
        <f>24*60*SUM($M39:$M39)</f>
        <v>35.500000000465661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-10-18T05:52:42-0600',mode:absolute,to:'2017-10-18T08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4.4699999999999997E-2</v>
      </c>
      <c r="Z39" s="204">
        <f>RIGHT(H39,LEN(H39)-4)/10000</f>
        <v>23.331399999999999</v>
      </c>
      <c r="AA39" s="204">
        <f>ABS(Z39-Y39)</f>
        <v>23.2867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s3://rtdc.mdm.uploadarchive.raw/RTDC4056/ "%USERPROFILE%\AppData\Local\Temp\OnboardLogs"\RTDC4056\2017-10-18 --exclude "*" --recursive --include "*20171018*" &amp; "%USERPROFILE%\Documents\GitHub\mrs-test-scripts\Headless Mode &amp; Sideloading\WalkAndUnGZ.bat" "%USERPROFILE%\AppData\Local\Temp\OnboardLogs"\RTDC4056\2017-10-18 &amp; aws s3 cp s3://rtdc.mdm.uploadarchive.raw/RTDC4056/ "%USERPROFILE%\AppData\Local\Temp\OnboardLogs"\RTDC4056\2017-10-19 --exclude "*" --recursive --include "*20171019*" &amp; "%USERPROFILE%\Documents\GitHub\mrs-test-scripts\Headless Mode &amp; Sideloading\WalkAndUnGZ.bat" "%USERPROFILE%\AppData\Local\Temp\OnboardLogs"\RTDC4056\2017-10-19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/stypes="app*4056*20171018*" /stext=" 13:.+((SYSTEM_STATE.+slice.+state.+changed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127-18 --locoid 4056 --swversion DE.1.0.9.0 --startMP 204:447 --initTime 2017-10-18T06:52:42 --startdatetime 2017-10-18T07:00:24 --delay 143 --endMP 204:233314 --enddatetime 2017-10-18T07:35:54 --enforcementcount 0 &gt;&gt;%USERPROFILE%\Documents\GitHub\eaglep3-reporting\EC\2017-10-18-refined-times.txt</v>
      </c>
      <c r="AI39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{"issue":{"subject":"","project_id":79,"tracker_id":40,"status_id":1,"priority_id":2,"assigned_to_id":338,"start_date":"2017-10-18","description":"","custom_fields":[{"id":1,"name":"Subdivision","value":"EC"},{"id":4,"name":"Milepost","value":"23.3314"},{"id":17,"name":"Train ID","value":"127-18"},{"id":16,"name":"Locomotive ID","value":"4056"},{"id":130,"name":"Impact","value":""},{"id":150,"name":"Time of Event (Mountain Time)","value":"07:35:54"},{"id":151,"name":"Denver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4056 --day 2017-10-18</v>
      </c>
      <c r="AN39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13:35:54"},{"id":29,"name":"Sharepoint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-10-18T05:52:42-0600',mode:absolute,to:'2017-10-18T08:35:54-0600'))&amp;_a=(columns:!('Message%20ID',Summary),filters:!(),index:'emp_*',interval:auto,query:(query_string:(analyze_wildcard:!t,query:'%22rtdc.l.rtdc.4056%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647</v>
      </c>
      <c r="B40" s="7">
        <v>4055</v>
      </c>
      <c r="C40" s="21" t="s">
        <v>194</v>
      </c>
      <c r="D40" s="21" t="s">
        <v>824</v>
      </c>
      <c r="E40" s="13">
        <v>43026.328067129631</v>
      </c>
      <c r="F40" s="13">
        <v>43026.331435185188</v>
      </c>
      <c r="G40" s="7">
        <v>69</v>
      </c>
      <c r="H40" s="21" t="s">
        <v>825</v>
      </c>
      <c r="I40" s="13">
        <v>43026.357870370368</v>
      </c>
      <c r="J40" s="7">
        <v>0</v>
      </c>
      <c r="K40" s="89" t="str">
        <f>IF(ISEVEN(B40),(B40-1)&amp;"/"&amp;B40,B40&amp;"/"&amp;(B40+1))</f>
        <v>4055/4056</v>
      </c>
      <c r="L40" s="185" t="str">
        <f>VLOOKUP(A40,'Trips&amp;Operators'!$C$1:$G$99911,5,FALSE)</f>
        <v>PAGE MARCUS</v>
      </c>
      <c r="M40" s="6">
        <f>I40-F40</f>
        <v>2.643518518016208E-2</v>
      </c>
      <c r="N40" s="7">
        <f>24*60*SUM($M40:$M40)</f>
        <v>38.066666659433395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-10-18T06:52:25-0600',mode:absolute,to:'2017-10-18T09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23.297499999999999</v>
      </c>
      <c r="Z40" s="204">
        <f>RIGHT(H40,LEN(H40)-4)/10000</f>
        <v>1.34E-2</v>
      </c>
      <c r="AA40" s="204">
        <f>ABS(Z40-Y40)</f>
        <v>23.284099999999999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s3://rtdc.mdm.uploadarchive.raw/RTDC4055/ "%USERPROFILE%\AppData\Local\Temp\OnboardLogs"\RTDC4055\2017-10-18 --exclude "*" --recursive --include "*20171018*" &amp; "%USERPROFILE%\Documents\GitHub\mrs-test-scripts\Headless Mode &amp; Sideloading\WalkAndUnGZ.bat" "%USERPROFILE%\AppData\Local\Temp\OnboardLogs"\RTDC4055\2017-10-18 &amp; aws s3 cp s3://rtdc.mdm.uploadarchive.raw/RTDC4055/ "%USERPROFILE%\AppData\Local\Temp\OnboardLogs"\RTDC4055\2017-10-19 --exclude "*" --recursive --include "*20171019*" &amp; "%USERPROFILE%\Documents\GitHub\mrs-test-scripts\Headless Mode &amp; Sideloading\WalkAndUnGZ.bat" "%USERPROFILE%\AppData\Local\Temp\OnboardLogs"\RTDC4055\2017-10-19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/stypes="app*4055*20171018*" /stext=" 14:.+((SYSTEM_STATE.+slice.+state.+changed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128-18 --locoid 4055 --swversion DE.1.0.9.0 --startMP 204:232975 --initTime 2017-10-18T07:52:25 --startdatetime 2017-10-18T07:57:16 --delay 69 --endMP 204:134 --enddatetime 2017-10-18T08:35:20 --enforcementcount 0 &gt;&gt;%USERPROFILE%\Documents\GitHub\eaglep3-reporting\EC\2017-10-18-refined-times.txt</v>
      </c>
      <c r="AI40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{"issue":{"subject":"","project_id":79,"tracker_id":40,"status_id":1,"priority_id":2,"assigned_to_id":338,"start_date":"2017-10-18","description":"","custom_fields":[{"id":1,"name":"Subdivision","value":"EC"},{"id":4,"name":"Milepost","value":"0.0134"},{"id":17,"name":"Train ID","value":"128-18"},{"id":16,"name":"Locomotive ID","value":"4055"},{"id":130,"name":"Impact","value":""},{"id":150,"name":"Time of Event (Mountain Time)","value":"08:35:20"},{"id":151,"name":"Denver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4055 --day 2017-10-18</v>
      </c>
      <c r="AN40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14:35:20"},{"id":29,"name":"Sharepoint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-10-18T06:52:25-0600',mode:absolute,to:'2017-10-18T09:35:20-0600'))&amp;_a=(columns:!('Message%20ID',Summary),filters:!(),index:'emp_*',interval:auto,query:(query_string:(analyze_wildcard:!t,query:'%22rtdc.l.rtdc.4055%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557</v>
      </c>
      <c r="B41" s="7">
        <v>4020</v>
      </c>
      <c r="C41" s="21" t="s">
        <v>194</v>
      </c>
      <c r="D41" s="21" t="s">
        <v>826</v>
      </c>
      <c r="E41" s="13">
        <v>43026.299826388888</v>
      </c>
      <c r="F41" s="13">
        <v>43026.302476851852</v>
      </c>
      <c r="G41" s="7">
        <v>53</v>
      </c>
      <c r="H41" s="21" t="s">
        <v>450</v>
      </c>
      <c r="I41" s="13">
        <v>43026.329444444447</v>
      </c>
      <c r="J41" s="7">
        <v>0</v>
      </c>
      <c r="K41" s="89" t="str">
        <f>IF(ISEVEN(B41),(B41-1)&amp;"/"&amp;B41,B41&amp;"/"&amp;(B41+1))</f>
        <v>4019/4020</v>
      </c>
      <c r="L41" s="185" t="str">
        <f>VLOOKUP(A41,'Trips&amp;Operators'!$C$1:$G$99911,5,FALSE)</f>
        <v>THOMPSON LESTER</v>
      </c>
      <c r="M41" s="6">
        <f>I41-F41</f>
        <v>2.6967592595610768E-2</v>
      </c>
      <c r="N41" s="7">
        <f>24*60*SUM($M41:$M41)</f>
        <v>38.833333337679505</v>
      </c>
      <c r="O41" s="7"/>
      <c r="P41" s="7"/>
      <c r="Q41" s="22"/>
      <c r="R41" s="174" t="s">
        <v>1024</v>
      </c>
      <c r="S41" s="221">
        <f>1/IF(AG41="EC",12,1)*SUM(U41:U41)</f>
        <v>1</v>
      </c>
      <c r="T41" s="174" t="str">
        <f>IF(ISEVEN(LEFT(AD41,4)),"Southbound","NorthBound")</f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-10-18T06:11:45-0600',mode:absolute,to:'2017-10-18T08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0.05</v>
      </c>
      <c r="Z41" s="204">
        <f>RIGHT(H41,LEN(H41)-4)/10000</f>
        <v>23.327400000000001</v>
      </c>
      <c r="AA41" s="204">
        <f>ABS(Z41-Y41)</f>
        <v>23.2774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 &amp; aws s3 cp s3://rtdc.mdm.uploadarchive.raw/RTDC4020/ "%USERPROFILE%\AppData\Local\Temp\OnboardLogs"\RTDC4020\2017-10-19 --exclude "*" --recursive --include "*20171019*" &amp; "%USERPROFILE%\Documents\GitHub\mrs-test-scripts\Headless Mode &amp; Sideloading\WalkAndUnGZ.bat" "%USERPROFILE%\AppData\Local\Temp\OnboardLogs"\RTDC4020\2017-10-19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/stypes="app*4020*20171018*" /stext=" 13:.+((SYSTEM_STATE.+slice.+state.+changed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129-18 --locoid 4020 --swversion DE.1.0.9.0 --startMP 204:500 --initTime 2017-10-18T07:11:45 --startdatetime 2017-10-18T07:15:34 --delay 53 --endMP 204:233274 --enddatetime 2017-10-18T07:54:24 --enforcementcount 0 &gt;&gt;%USERPROFILE%\Documents\GitHub\eaglep3-reporting\EC\2017-10-18-refined-times.txt</v>
      </c>
      <c r="AI41" s="96" t="str">
        <f t="shared" si="6"/>
        <v>echo {"issue":{"subject":"Observed unhealthy crossing at Sable, no enforcement","project_id":79,"tracker_id":40,"status_id":1,"priority_id":2,"assigned_to_id":338,"start_date":"2017-10-18","description":"","custom_fields":[{"id":1,"name":"Subdivision","value":"EC"},{"id":4,"name":"Milepost","value":"23.3274"},{"id":17,"name":"Train ID","value":"129-18"},{"id":16,"name":"Locomotive ID","value":"4020"},{"id":130,"name":"Impact","value":""},{"id":150,"name":"Time of Event (Mountain Time)","value":"07:54:24"},{"id":151,"name":"Denver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4020 --day 2017-10-18</v>
      </c>
      <c r="AN41" s="151" t="str">
        <f t="shared" si="8"/>
        <v>echo {"issue":{"subject":"Observed unhealthy crossing at Sable, no enforcement","project_id":30,"tracker_id":4,"status_id":1,"priority_id":1,"assigned_to_id":10,"start_date":"2017-10-18","description":"","custom_fields":[{"id":30,"name":"Category","value":"Issue"},{"id":3,"name":"Functional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13:54:24"},{"id":29,"name":"Sharepoint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-10-18T06:11:45-0600',mode:absolute,to:'2017-10-18T08:54:24-0600'))&amp;_a=(columns:!('Message%20ID',Summary),filters:!(),index:'emp_*',interval:auto,query:(query_string:(analyze_wildcard:!t,query:'%22rtdc.l.rtdc.4020%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651</v>
      </c>
      <c r="B42" s="7">
        <v>4019</v>
      </c>
      <c r="C42" s="21" t="s">
        <v>194</v>
      </c>
      <c r="D42" s="21" t="s">
        <v>489</v>
      </c>
      <c r="E42" s="13">
        <v>43026.339409722219</v>
      </c>
      <c r="F42" s="13">
        <v>43026.342060185183</v>
      </c>
      <c r="G42" s="7">
        <v>52</v>
      </c>
      <c r="H42" s="21" t="s">
        <v>337</v>
      </c>
      <c r="I42" s="13">
        <v>43026.369421296295</v>
      </c>
      <c r="J42" s="7">
        <v>0</v>
      </c>
      <c r="K42" s="89" t="str">
        <f>IF(ISEVEN(B42),(B42-1)&amp;"/"&amp;B42,B42&amp;"/"&amp;(B42+1))</f>
        <v>4019/4020</v>
      </c>
      <c r="L42" s="185" t="str">
        <f>VLOOKUP(A42,'Trips&amp;Operators'!$C$1:$G$99911,5,FALSE)</f>
        <v>THOMPSON LESTER</v>
      </c>
      <c r="M42" s="6">
        <f>I42-F42</f>
        <v>2.73611111115315E-2</v>
      </c>
      <c r="N42" s="7">
        <f>24*60*SUM($M42:$M42)</f>
        <v>39.40000000060536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-10-18T07:08:45-0600',mode:absolute,to:'2017-10-18T09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23.296399999999998</v>
      </c>
      <c r="Z42" s="204">
        <f>RIGHT(H42,LEN(H42)-4)/10000</f>
        <v>1.43E-2</v>
      </c>
      <c r="AA42" s="204">
        <f>ABS(Z42-Y42)</f>
        <v>23.2821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s3://rtdc.mdm.uploadarchive.raw/RTDC4019/ "%USERPROFILE%\AppData\Local\Temp\OnboardLogs"\RTDC4019\2017-10-18 --exclude "*" --recursive --include "*20171018*" &amp; "%USERPROFILE%\Documents\GitHub\mrs-test-scripts\Headless Mode &amp; Sideloading\WalkAndUnGZ.bat" "%USERPROFILE%\AppData\Local\Temp\OnboardLogs"\RTDC4019\2017-10-18 &amp; aws s3 cp s3://rtdc.mdm.uploadarchive.raw/RTDC4019/ "%USERPROFILE%\AppData\Local\Temp\OnboardLogs"\RTDC4019\2017-10-19 --exclude "*" --recursive --include "*20171019*" &amp; "%USERPROFILE%\Documents\GitHub\mrs-test-scripts\Headless Mode &amp; Sideloading\WalkAndUnGZ.bat" "%USERPROFILE%\AppData\Local\Temp\OnboardLogs"\RTDC4019\2017-10-19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/stypes="app*4019*20171018*" /stext=" 14:.+((SYSTEM_STATE.+slice.+state.+changed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130-18 --locoid 4019 --swversion DE.1.0.9.0 --startMP 204:232964 --initTime 2017-10-18T08:08:45 --startdatetime 2017-10-18T08:12:34 --delay 52 --endMP 204:143 --enddatetime 2017-10-18T08:51:58 --enforcementcount 0 &gt;&gt;%USERPROFILE%\Documents\GitHub\eaglep3-reporting\EC\2017-10-18-refined-times.txt</v>
      </c>
      <c r="AI42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{"issue":{"subject":"","project_id":79,"tracker_id":40,"status_id":1,"priority_id":2,"assigned_to_id":338,"start_date":"2017-10-18","description":"","custom_fields":[{"id":1,"name":"Subdivision","value":"EC"},{"id":4,"name":"Milepost","value":"0.0143"},{"id":17,"name":"Train ID","value":"130-18"},{"id":16,"name":"Locomotive ID","value":"4019"},{"id":130,"name":"Impact","value":""},{"id":150,"name":"Time of Event (Mountain Time)","value":"08:51:58"},{"id":151,"name":"Denver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4019 --day 2017-10-18</v>
      </c>
      <c r="AN42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14:51:58"},{"id":29,"name":"Sharepoint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-10-18T07:08:45-0600',mode:absolute,to:'2017-10-18T09:51:58-0600'))&amp;_a=(columns:!('Message%20ID',Summary),filters:!(),index:'emp_*',interval:auto,query:(query_string:(analyze_wildcard:!t,query:'%22rtdc.l.rtdc.4019%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641</v>
      </c>
      <c r="B43" s="7">
        <v>4062</v>
      </c>
      <c r="C43" s="21" t="s">
        <v>194</v>
      </c>
      <c r="D43" s="21" t="s">
        <v>405</v>
      </c>
      <c r="E43" s="13">
        <v>43026.307546296295</v>
      </c>
      <c r="F43" s="13">
        <v>43026.312696759262</v>
      </c>
      <c r="G43" s="7">
        <v>95</v>
      </c>
      <c r="H43" s="21" t="s">
        <v>827</v>
      </c>
      <c r="I43" s="13">
        <v>43026.337847222225</v>
      </c>
      <c r="J43" s="7">
        <v>0</v>
      </c>
      <c r="K43" s="89" t="str">
        <f>IF(ISEVEN(B43),(B43-1)&amp;"/"&amp;B43,B43&amp;"/"&amp;(B43+1))</f>
        <v>4061/4062</v>
      </c>
      <c r="L43" s="185" t="str">
        <f>VLOOKUP(A43,'Trips&amp;Operators'!$C$1:$G$99911,5,FALSE)</f>
        <v>ACKERMAN JARED</v>
      </c>
      <c r="M43" s="6">
        <f>I43-F43</f>
        <v>2.5150462963210884E-2</v>
      </c>
      <c r="N43" s="7">
        <f>24*60*SUM($M43:$M43)</f>
        <v>36.216666667023674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-10-18T06:22:52-0600',mode:absolute,to:'2017-10-18T09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4.6399999999999997E-2</v>
      </c>
      <c r="Z43" s="204">
        <f>RIGHT(H43,LEN(H43)-4)/10000</f>
        <v>23.3309</v>
      </c>
      <c r="AA43" s="204">
        <f>ABS(Z43-Y43)</f>
        <v>23.284500000000001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s3://rtdc.mdm.uploadarchive.raw/RTDC4062/ "%USERPROFILE%\AppData\Local\Temp\OnboardLogs"\RTDC4062\2017-10-18 --exclude "*" --recursive --include "*20171018*" &amp; "%USERPROFILE%\Documents\GitHub\mrs-test-scripts\Headless Mode &amp; Sideloading\WalkAndUnGZ.bat" "%USERPROFILE%\AppData\Local\Temp\OnboardLogs"\RTDC4062\2017-10-18 &amp; aws s3 cp s3://rtdc.mdm.uploadarchive.raw/RTDC4062/ "%USERPROFILE%\AppData\Local\Temp\OnboardLogs"\RTDC4062\2017-10-19 --exclude "*" --recursive --include "*20171019*" &amp; "%USERPROFILE%\Documents\GitHub\mrs-test-scripts\Headless Mode &amp; Sideloading\WalkAndUnGZ.bat" "%USERPROFILE%\AppData\Local\Temp\OnboardLogs"\RTDC4062\2017-10-19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/stypes="app*4062*20171018*"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131-18 --locoid 4062 --swversion DE.1.0.9.0 --startMP 204:464 --initTime 2017-10-18T07:22:52 --startdatetime 2017-10-18T07:30:17 --delay 95 --endMP 204:233309 --enddatetime 2017-10-18T08:06:30 --enforcementcount 0 &gt;&gt;%USERPROFILE%\Documents\GitHub\eaglep3-reporting\EC\2017-10-18-refined-times.txt</v>
      </c>
      <c r="AI43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{"issue":{"subject":"","project_id":79,"tracker_id":40,"status_id":1,"priority_id":2,"assigned_to_id":338,"start_date":"2017-10-18","description":"","custom_fields":[{"id":1,"name":"Subdivision","value":"EC"},{"id":4,"name":"Milepost","value":"23.3309"},{"id":17,"name":"Train ID","value":"131-18"},{"id":16,"name":"Locomotive ID","value":"4062"},{"id":130,"name":"Impact","value":""},{"id":150,"name":"Time of Event (Mountain Time)","value":"08:06:30"},{"id":151,"name":"Denver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4062 --day 2017-10-18</v>
      </c>
      <c r="AN43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14:06:30"},{"id":29,"name":"Sharepoint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-10-18T06:22:52-0600',mode:absolute,to:'2017-10-18T09:06:30-0600'))&amp;_a=(columns:!('Message%20ID',Summary),filters:!(),index:'emp_*',interval:auto,query:(query_string:(analyze_wildcard:!t,query:'%22rtdc.l.rtdc.4062%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653</v>
      </c>
      <c r="B44" s="7">
        <v>4061</v>
      </c>
      <c r="C44" s="21" t="s">
        <v>194</v>
      </c>
      <c r="D44" s="21" t="s">
        <v>405</v>
      </c>
      <c r="E44" s="13">
        <v>43026.307546296295</v>
      </c>
      <c r="F44" s="13">
        <v>43026.352361111109</v>
      </c>
      <c r="G44" s="7">
        <v>95</v>
      </c>
      <c r="H44" s="21" t="s">
        <v>827</v>
      </c>
      <c r="I44" s="13">
        <v>43026.379780092589</v>
      </c>
      <c r="J44" s="7">
        <v>0</v>
      </c>
      <c r="K44" s="89" t="str">
        <f>IF(ISEVEN(B44),(B44-1)&amp;"/"&amp;B44,B44&amp;"/"&amp;(B44+1))</f>
        <v>4061/4062</v>
      </c>
      <c r="L44" s="185" t="str">
        <f>VLOOKUP(A44,'Trips&amp;Operators'!$C$1:$G$99911,5,FALSE)</f>
        <v>ACKERMAN JARED</v>
      </c>
      <c r="M44" s="6">
        <f>I44-F44</f>
        <v>2.7418981480877846E-2</v>
      </c>
      <c r="N44" s="7">
        <f>24*60*SUM($M44:$M44)</f>
        <v>39.483333332464099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-10-18T06:22:52-0600',mode:absolute,to:'2017-10-18T10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v>23.296399999999998</v>
      </c>
      <c r="Z44" s="204">
        <v>1.43E-2</v>
      </c>
      <c r="AA44" s="204">
        <f>ABS(Z44-Y44)</f>
        <v>23.2821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s3://rtdc.mdm.uploadarchive.raw/RTDC4061/ "%USERPROFILE%\AppData\Local\Temp\OnboardLogs"\RTDC4061\2017-10-18 --exclude "*" --recursive --include "*20171018*" &amp; "%USERPROFILE%\Documents\GitHub\mrs-test-scripts\Headless Mode &amp; Sideloading\WalkAndUnGZ.bat" "%USERPROFILE%\AppData\Local\Temp\OnboardLogs"\RTDC4061\2017-10-18 &amp; aws s3 cp s3://rtdc.mdm.uploadarchive.raw/RTDC4061/ "%USERPROFILE%\AppData\Local\Temp\OnboardLogs"\RTDC4061\2017-10-19 --exclude "*" --recursive --include "*20171019*" &amp; "%USERPROFILE%\Documents\GitHub\mrs-test-scripts\Headless Mode &amp; Sideloading\WalkAndUnGZ.bat" "%USERPROFILE%\AppData\Local\Temp\OnboardLogs"\RTDC4061\2017-10-19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/stypes="app*4061*20171018*" /stext=" 15:.+((SYSTEM_STATE.+slice.+state.+changed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ref="AH44" si="10">refinertdcruntimes&amp;" --tripid "&amp;A44&amp;" --locoid "&amp;B44&amp;" --swversion "&amp;C44&amp;" --startMP "&amp;D44&amp;" --initTime "&amp;TEXT(E44,"yyyy-mm-ddTHH:MM:SS")&amp;" --startdatetime "&amp;TEXT(F44,"yyyy-mm-ddTHH:MM:SS")&amp;" --delay "&amp;G44&amp;" --endMP "&amp;H44&amp;" --enddatetime "&amp;TEXT(I44,"yyyy-mm-ddTHH:MM:SS")&amp;" --enforcementcount "&amp;J44&amp;IF(outputrefinedruntimes," &gt;&gt;"&amp;RefinedRTDCRunTimesOutputFile,"")</f>
        <v>"%USERPROFILE%\Documents\GitHub\eaglep3\Utilities\RefineRTDCRunTimes.py" --tripid 132-18 --locoid 4061 --swversion DE.1.0.9.0 --startMP 204:464 --initTime 2017-10-18T07:22:52 --startdatetime 2017-10-18T08:27:24 --delay 95 --endMP 204:233309 --enddatetime 2017-10-18T09:06:53 --enforcementcount 0 &gt;&gt;%USERPROFILE%\Documents\GitHub\eaglep3-reporting\EC\2017-10-18-refined-times.txt</v>
      </c>
      <c r="AI44" s="96" t="str">
        <f t="shared" ref="AI44" si="11">"echo {""issue"":{""subject"":"""&amp;R44&amp;""",""project_id"":79,""tracker_id"":40,""status_id"":"&amp;redmine_status&amp;",""priority_id"":"&amp;redmine_priority&amp;",""assigned_to_id"":"&amp;redmine_assignee&amp;",""start_date"":"""&amp;TEXT(I44,"YYYY-mm-dd")&amp;""",""description"":"""&amp;AJ44&amp;""",""custom_fields"":[{""id"":1,""name"":""Subdivision"",""value"":"""&amp;AG44&amp;"""},{""id"":4,""name"":""Milepost"",""value"":"""&amp;Z44&amp;"""},{""id"":17,""name"":""Train ID"",""value"":"""&amp;A44&amp;"""},{""id"":16,""name"":""Locomotive ID"",""value"":"""&amp;B44&amp;"""},{""id"":130,""name"":""Impact"",""value"":"""&amp;AK44&amp;"""},{""id"":150,""name"":""Time of Event (Mountain Time)"",""value"":"""&amp;TEXT(I44,"hh:mm:ss")&amp;"""},{""id"":151,""name"":""Denver Issue ID"",""value"":"""&amp;"""},{""id"":178,""name"":""Operational Impact"",""value"":"""&amp;redmine_op_impact&amp;"""},{""id"":179,""name"":""Denver Segment Assigned"",""value"":"""&amp;AL44&amp;"""}]}}"&amp;"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{"issue":{"subject":"","project_id":79,"tracker_id":40,"status_id":1,"priority_id":2,"assigned_to_id":338,"start_date":"2017-10-18","description":"","custom_fields":[{"id":1,"name":"Subdivision","value":"EC"},{"id":4,"name":"Milepost","value":"0.0143"},{"id":17,"name":"Train ID","value":"132-18"},{"id":16,"name":"Locomotive ID","value":"4061"},{"id":130,"name":"Impact","value":""},{"id":150,"name":"Time of Event (Mountain Time)","value":"09:06:53"},{"id":151,"name":"Denver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ref="AM44" si="12">"start /low /b "&amp;dls3logs&amp;" --loco "&amp;B44&amp;" --day "&amp;TEXT(F44,"YYYY-MM-DD")</f>
        <v>start /low /b %USERPROFILE%\Documents\GitHub\eaglep3\Utilities\DownloadLogsFromS3.py --loco 4061 --day 2017-10-18</v>
      </c>
      <c r="AN44" s="151" t="str">
        <f t="shared" ref="AN44" si="13">"echo {""issue"":{""subject"":"""&amp;R44&amp;""",""project_id"":30,""tracker_id"":4,""status_id"":"&amp;redmine_status_wcr&amp;",""priority_id"":"&amp;redmine_priority_wcr&amp;",""assigned_to_id"":"&amp;redmine_assignee_wcr&amp;",""start_date"":"""&amp;TEXT(I44-utc_offset/24,"YYYY-mm-dd")&amp;""",""description"":"""&amp;AJ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15:06:53"},{"id":29,"name":"Sharepoint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ref="AO44" si="14"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Message%20ID',Summary),filters:!(),index:'emp_*',interval:auto,query:"&amp;"(query_string:(analyze_wildcard:!t,query:'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-10-18T06:22:52-0600',mode:absolute,to:'2017-10-18T10:06:53-0600'))&amp;_a=(columns:!('Message%20ID',Summary),filters:!(),index:'emp_*',interval:auto,query:(query_string:(analyze_wildcard:!t,query:'%22rtdc.l.rtdc.4061%22')),sort:!(Time.ISO8601,asc))</v>
      </c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</row>
    <row r="45" spans="1:91" s="1" customFormat="1" x14ac:dyDescent="0.3">
      <c r="A45" s="32" t="s">
        <v>645</v>
      </c>
      <c r="B45" s="7">
        <v>4040</v>
      </c>
      <c r="C45" s="21" t="s">
        <v>194</v>
      </c>
      <c r="D45" s="21" t="s">
        <v>353</v>
      </c>
      <c r="E45" s="13">
        <v>43026.316979166666</v>
      </c>
      <c r="F45" s="13">
        <v>43026.323240740741</v>
      </c>
      <c r="G45" s="7">
        <v>45</v>
      </c>
      <c r="H45" s="21" t="s">
        <v>418</v>
      </c>
      <c r="I45" s="13">
        <v>43026.349039351851</v>
      </c>
      <c r="J45" s="7">
        <v>0</v>
      </c>
      <c r="K45" s="89" t="str">
        <f>IF(ISEVEN(B45),(B45-1)&amp;"/"&amp;B45,B45&amp;"/"&amp;(B45+1))</f>
        <v>4039/4040</v>
      </c>
      <c r="L45" s="185" t="str">
        <f>VLOOKUP(A45,'Trips&amp;Operators'!$C$1:$G$99911,5,FALSE)</f>
        <v>YORK EDGAR</v>
      </c>
      <c r="M45" s="6">
        <f>I45-F45</f>
        <v>2.5798611110076308E-2</v>
      </c>
      <c r="N45" s="7">
        <f>24*60*SUM($M45:$M45)</f>
        <v>37.149999998509884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-10-18T06:36:27-0600',mode:absolute,to:'2017-10-18T09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5" s="204" t="str">
        <f>IF(AA45&lt;VLOOKUP(AG45,Variables!$AC$3:$AD$8,2,FALSE),"Y","N")</f>
        <v>N</v>
      </c>
      <c r="X45" s="204">
        <f t="shared" ref="X45:X46" si="15">VALUE(LEFT(AD45,4))-VALUE(LEFT(AD44,4))</f>
        <v>1</v>
      </c>
      <c r="Y45" s="204">
        <f>RIGHT(D45,LEN(D45)-4)/10000</f>
        <v>4.58E-2</v>
      </c>
      <c r="Z45" s="204">
        <f>RIGHT(H45,LEN(H45)-4)/10000</f>
        <v>23.328900000000001</v>
      </c>
      <c r="AA45" s="204">
        <f>ABS(Z45-Y45)</f>
        <v>23.283100000000001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s3://rtdc.mdm.uploadarchive.raw/RTDC4040/ "%USERPROFILE%\AppData\Local\Temp\OnboardLogs"\RTDC4040\2017-10-18 --exclude "*" --recursive --include "*20171018*" &amp; "%USERPROFILE%\Documents\GitHub\mrs-test-scripts\Headless Mode &amp; Sideloading\WalkAndUnGZ.bat" "%USERPROFILE%\AppData\Local\Temp\OnboardLogs"\RTDC4040\2017-10-18 &amp; aws s3 cp s3://rtdc.mdm.uploadarchive.raw/RTDC4040/ "%USERPROFILE%\AppData\Local\Temp\OnboardLogs"\RTDC4040\2017-10-19 --exclude "*" --recursive --include "*20171019*" &amp; "%USERPROFILE%\Documents\GitHub\mrs-test-scripts\Headless Mode &amp; Sideloading\WalkAndUnGZ.bat" "%USERPROFILE%\AppData\Local\Temp\OnboardLogs"\RTDC4040\2017-10-19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/stypes="app*4040*20171018*" /stext=" 14:.+((SYSTEM_STATE.+slice.+state.+changed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133-18 --locoid 4040 --swversion DE.1.0.9.0 --startMP 204:458 --initTime 2017-10-18T07:36:27 --startdatetime 2017-10-18T07:45:28 --delay 45 --endMP 204:233289 --enddatetime 2017-10-18T08:22:37 --enforcementcount 0 &gt;&gt;%USERPROFILE%\Documents\GitHub\eaglep3-reporting\EC\2017-10-18-refined-times.txt</v>
      </c>
      <c r="AI45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{"issue":{"subject":"","project_id":79,"tracker_id":40,"status_id":1,"priority_id":2,"assigned_to_id":338,"start_date":"2017-10-18","description":"","custom_fields":[{"id":1,"name":"Subdivision","value":"EC"},{"id":4,"name":"Milepost","value":"23.3289"},{"id":17,"name":"Train ID","value":"133-18"},{"id":16,"name":"Locomotive ID","value":"4040"},{"id":130,"name":"Impact","value":""},{"id":150,"name":"Time of Event (Mountain Time)","value":"08:22:37"},{"id":151,"name":"Denver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4040 --day 2017-10-18</v>
      </c>
      <c r="AN45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14:22:37"},{"id":29,"name":"Sharepoint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-10-18T06:36:27-0600',mode:absolute,to:'2017-10-18T09:22:37-0600'))&amp;_a=(columns:!('Message%20ID',Summary),filters:!(),index:'emp_*',interval:auto,query:(query_string:(analyze_wildcard:!t,query:'%22rtdc.l.rtdc.4040%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654</v>
      </c>
      <c r="B46" s="7">
        <v>4039</v>
      </c>
      <c r="C46" s="21" t="s">
        <v>194</v>
      </c>
      <c r="D46" s="21" t="s">
        <v>828</v>
      </c>
      <c r="E46" s="13">
        <v>43026.349826388891</v>
      </c>
      <c r="F46" s="13">
        <v>43026.362766203703</v>
      </c>
      <c r="G46" s="7">
        <v>47</v>
      </c>
      <c r="H46" s="21" t="s">
        <v>357</v>
      </c>
      <c r="I46" s="13">
        <v>43026.388657407406</v>
      </c>
      <c r="J46" s="7">
        <v>0</v>
      </c>
      <c r="K46" s="89" t="str">
        <f>IF(ISEVEN(B46),(B46-1)&amp;"/"&amp;B46,B46&amp;"/"&amp;(B46+1))</f>
        <v>4039/4040</v>
      </c>
      <c r="L46" s="185" t="str">
        <f>VLOOKUP(A46,'Trips&amp;Operators'!$C$1:$G$99911,5,FALSE)</f>
        <v>YORK EDGAR</v>
      </c>
      <c r="M46" s="6">
        <f>I46-F46</f>
        <v>2.5891203702485655E-2</v>
      </c>
      <c r="N46" s="7">
        <f>24*60*SUM($M46:$M46)</f>
        <v>37.283333331579342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-10-18T07:23:45-0600',mode:absolute,to:'2017-10-18T10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6" s="204" t="str">
        <f>IF(AA46&lt;VLOOKUP(AG46,Variables!$AC$3:$AD$8,2,FALSE),"Y","N")</f>
        <v>N</v>
      </c>
      <c r="X46" s="204">
        <f t="shared" si="15"/>
        <v>1</v>
      </c>
      <c r="Y46" s="204">
        <f>RIGHT(D46,LEN(D46)-4)/10000</f>
        <v>23.296600000000002</v>
      </c>
      <c r="Z46" s="204">
        <f>RIGHT(H46,LEN(H46)-4)/10000</f>
        <v>1.5599999999999999E-2</v>
      </c>
      <c r="AA46" s="204">
        <f>ABS(Z46-Y46)</f>
        <v>23.281000000000002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s3://rtdc.mdm.uploadarchive.raw/RTDC4039/ "%USERPROFILE%\AppData\Local\Temp\OnboardLogs"\RTDC4039\2017-10-18 --exclude "*" --recursive --include "*20171018*" &amp; "%USERPROFILE%\Documents\GitHub\mrs-test-scripts\Headless Mode &amp; Sideloading\WalkAndUnGZ.bat" "%USERPROFILE%\AppData\Local\Temp\OnboardLogs"\RTDC4039\2017-10-18 &amp; aws s3 cp s3://rtdc.mdm.uploadarchive.raw/RTDC4039/ "%USERPROFILE%\AppData\Local\Temp\OnboardLogs"\RTDC4039\2017-10-19 --exclude "*" --recursive --include "*20171019*" &amp; "%USERPROFILE%\Documents\GitHub\mrs-test-scripts\Headless Mode &amp; Sideloading\WalkAndUnGZ.bat" "%USERPROFILE%\AppData\Local\Temp\OnboardLogs"\RTDC4039\2017-10-19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/stypes="app*4039*20171018*" /stext=" 15:.+((SYSTEM_STATE.+slice.+state.+changed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134-18 --locoid 4039 --swversion DE.1.0.9.0 --startMP 204:232966 --initTime 2017-10-18T08:23:45 --startdatetime 2017-10-18T08:42:23 --delay 47 --endMP 204:156 --enddatetime 2017-10-18T09:19:40 --enforcementcount 0 &gt;&gt;%USERPROFILE%\Documents\GitHub\eaglep3-reporting\EC\2017-10-18-refined-times.txt</v>
      </c>
      <c r="AI46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{"issue":{"subject":"","project_id":79,"tracker_id":40,"status_id":1,"priority_id":2,"assigned_to_id":338,"start_date":"2017-10-18","description":"","custom_fields":[{"id":1,"name":"Subdivision","value":"EC"},{"id":4,"name":"Milepost","value":"0.0156"},{"id":17,"name":"Train ID","value":"134-18"},{"id":16,"name":"Locomotive ID","value":"4039"},{"id":130,"name":"Impact","value":""},{"id":150,"name":"Time of Event (Mountain Time)","value":"09:19:40"},{"id":151,"name":"Denver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4039 --day 2017-10-18</v>
      </c>
      <c r="AN46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15:19:40"},{"id":29,"name":"Sharepoint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-10-18T07:23:45-0600',mode:absolute,to:'2017-10-18T10:19:40-0600'))&amp;_a=(columns:!('Message%20ID',Summary),filters:!(),index:'emp_*',interval:auto,query:(query_string:(analyze_wildcard:!t,query:'%22rtdc.l.rtdc.4039%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648</v>
      </c>
      <c r="B47" s="7">
        <v>4044</v>
      </c>
      <c r="C47" s="21" t="s">
        <v>194</v>
      </c>
      <c r="D47" s="21" t="s">
        <v>338</v>
      </c>
      <c r="E47" s="13">
        <v>43026.328738425924</v>
      </c>
      <c r="F47" s="13">
        <v>43026.333553240744</v>
      </c>
      <c r="G47" s="7">
        <v>58</v>
      </c>
      <c r="H47" s="21" t="s">
        <v>524</v>
      </c>
      <c r="I47" s="13">
        <v>43026.358043981483</v>
      </c>
      <c r="J47" s="7">
        <v>0</v>
      </c>
      <c r="K47" s="89" t="str">
        <f>IF(ISEVEN(B47),(B47-1)&amp;"/"&amp;B47,B47&amp;"/"&amp;(B47+1))</f>
        <v>4043/4044</v>
      </c>
      <c r="L47" s="185" t="str">
        <f>VLOOKUP(A47,'Trips&amp;Operators'!$C$1:$G$99911,5,FALSE)</f>
        <v>YANG JAN</v>
      </c>
      <c r="M47" s="6">
        <f>I47-F47</f>
        <v>2.4490740739565808E-2</v>
      </c>
      <c r="N47" s="7">
        <f>24*60*SUM($M47:$M47)</f>
        <v>35.266666664974764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-10-18T06:53:23-0600',mode:absolute,to:'2017-10-18T09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4.53E-2</v>
      </c>
      <c r="Z47" s="204">
        <f>RIGHT(H47,LEN(H47)-4)/10000</f>
        <v>23.328600000000002</v>
      </c>
      <c r="AA47" s="204">
        <f>ABS(Z47-Y47)</f>
        <v>23.283300000000001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s3://rtdc.mdm.uploadarchive.raw/RTDC4044/ "%USERPROFILE%\AppData\Local\Temp\OnboardLogs"\RTDC4044\2017-10-18 --exclude "*" --recursive --include "*20171018*" &amp; "%USERPROFILE%\Documents\GitHub\mrs-test-scripts\Headless Mode &amp; Sideloading\WalkAndUnGZ.bat" "%USERPROFILE%\AppData\Local\Temp\OnboardLogs"\RTDC4044\2017-10-18 &amp; 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/stypes="app*4044*20171018*" /stext=" 14:.+((SYSTEM_STATE.+slice.+state.+changed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135-18 --locoid 4044 --swversion DE.1.0.9.0 --startMP 204:453 --initTime 2017-10-18T07:53:23 --startdatetime 2017-10-18T08:00:19 --delay 58 --endMP 204:233286 --enddatetime 2017-10-18T08:35:35 --enforcementcount 0 &gt;&gt;%USERPROFILE%\Documents\GitHub\eaglep3-reporting\EC\2017-10-18-refined-times.txt</v>
      </c>
      <c r="AI47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{"issue":{"subject":"","project_id":79,"tracker_id":40,"status_id":1,"priority_id":2,"assigned_to_id":338,"start_date":"2017-10-18","description":"","custom_fields":[{"id":1,"name":"Subdivision","value":"EC"},{"id":4,"name":"Milepost","value":"23.3286"},{"id":17,"name":"Train ID","value":"135-18"},{"id":16,"name":"Locomotive ID","value":"4044"},{"id":130,"name":"Impact","value":""},{"id":150,"name":"Time of Event (Mountain Time)","value":"08:35:35"},{"id":151,"name":"Denver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4044 --day 2017-10-18</v>
      </c>
      <c r="AN47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14:35:35"},{"id":29,"name":"Sharepoint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-10-18T06:53:23-0600',mode:absolute,to:'2017-10-18T09:35:35-0600'))&amp;_a=(columns:!('Message%20ID',Summary),filters:!(),index:'emp_*',interval:auto,query:(query_string:(analyze_wildcard:!t,query:'%22rtdc.l.rtdc.4044%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659</v>
      </c>
      <c r="B48" s="7">
        <v>4043</v>
      </c>
      <c r="C48" s="21" t="s">
        <v>194</v>
      </c>
      <c r="D48" s="21" t="s">
        <v>829</v>
      </c>
      <c r="E48" s="13">
        <v>43026.367696759262</v>
      </c>
      <c r="F48" s="13">
        <v>43026.373090277775</v>
      </c>
      <c r="G48" s="7">
        <v>51</v>
      </c>
      <c r="H48" s="21" t="s">
        <v>437</v>
      </c>
      <c r="I48" s="13">
        <v>43026.399375000001</v>
      </c>
      <c r="J48" s="7">
        <v>0</v>
      </c>
      <c r="K48" s="89" t="str">
        <f>IF(ISEVEN(B48),(B48-1)&amp;"/"&amp;B48,B48&amp;"/"&amp;(B48+1))</f>
        <v>4043/4044</v>
      </c>
      <c r="L48" s="185" t="str">
        <f>VLOOKUP(A48,'Trips&amp;Operators'!$C$1:$G$99911,5,FALSE)</f>
        <v>YANG JAN</v>
      </c>
      <c r="M48" s="6">
        <f>I48-F48</f>
        <v>2.6284722225682344E-2</v>
      </c>
      <c r="N48" s="7">
        <f>24*60*SUM($M48:$M48)</f>
        <v>37.850000004982576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-10-18T07:49:29-0600',mode:absolute,to:'2017-10-18T10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23.298200000000001</v>
      </c>
      <c r="Z48" s="204">
        <f>RIGHT(H48,LEN(H48)-4)/10000</f>
        <v>1.41E-2</v>
      </c>
      <c r="AA48" s="204">
        <f>ABS(Z48-Y48)</f>
        <v>23.284100000000002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s3://rtdc.mdm.uploadarchive.raw/RTDC4043/ "%USERPROFILE%\AppData\Local\Temp\OnboardLogs"\RTDC4043\2017-10-18 --exclude "*" --recursive --include "*20171018*" &amp; "%USERPROFILE%\Documents\GitHub\mrs-test-scripts\Headless Mode &amp; Sideloading\WalkAndUnGZ.bat" "%USERPROFILE%\AppData\Local\Temp\OnboardLogs"\RTDC4043\2017-10-18 &amp; 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/stypes="app*4043*20171018*" /stext=" 15:.+((SYSTEM_STATE.+slice.+state.+changed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136-18 --locoid 4043 --swversion DE.1.0.9.0 --startMP 204:232982 --initTime 2017-10-18T08:49:29 --startdatetime 2017-10-18T08:57:15 --delay 51 --endMP 204:141 --enddatetime 2017-10-18T09:35:06 --enforcementcount 0 &gt;&gt;%USERPROFILE%\Documents\GitHub\eaglep3-reporting\EC\2017-10-18-refined-times.txt</v>
      </c>
      <c r="AI48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{"issue":{"subject":"","project_id":79,"tracker_id":40,"status_id":1,"priority_id":2,"assigned_to_id":338,"start_date":"2017-10-18","description":"","custom_fields":[{"id":1,"name":"Subdivision","value":"EC"},{"id":4,"name":"Milepost","value":"0.0141"},{"id":17,"name":"Train ID","value":"136-18"},{"id":16,"name":"Locomotive ID","value":"4043"},{"id":130,"name":"Impact","value":""},{"id":150,"name":"Time of Event (Mountain Time)","value":"09:35:06"},{"id":151,"name":"Denver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4043 --day 2017-10-18</v>
      </c>
      <c r="AN48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15:35:06"},{"id":29,"name":"Sharepoint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-10-18T07:49:29-0600',mode:absolute,to:'2017-10-18T10:35:06-0600'))&amp;_a=(columns:!('Message%20ID',Summary),filters:!(),index:'emp_*',interval:auto,query:(query_string:(analyze_wildcard:!t,query:'%22rtdc.l.rtdc.4043%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652</v>
      </c>
      <c r="B49" s="7">
        <v>4064</v>
      </c>
      <c r="C49" s="21" t="s">
        <v>194</v>
      </c>
      <c r="D49" s="21" t="s">
        <v>353</v>
      </c>
      <c r="E49" s="13">
        <v>43026.339699074073</v>
      </c>
      <c r="F49" s="13">
        <v>43026.343969907408</v>
      </c>
      <c r="G49" s="7">
        <v>191</v>
      </c>
      <c r="H49" s="21" t="s">
        <v>400</v>
      </c>
      <c r="I49" s="13">
        <v>43026.368981481479</v>
      </c>
      <c r="J49" s="7">
        <v>0</v>
      </c>
      <c r="K49" s="89" t="str">
        <f>IF(ISEVEN(B49),(B49-1)&amp;"/"&amp;B49,B49&amp;"/"&amp;(B49+1))</f>
        <v>4063/4064</v>
      </c>
      <c r="L49" s="185" t="str">
        <f>VLOOKUP(A49,'Trips&amp;Operators'!$C$1:$G$99911,5,FALSE)</f>
        <v>ROCHA YAOTL</v>
      </c>
      <c r="M49" s="6">
        <f>I49-F49</f>
        <v>2.5011574070958886E-2</v>
      </c>
      <c r="N49" s="7">
        <f>24*60*SUM($M49:$M49)</f>
        <v>36.016666662180796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-10-18T07:09:10-0600',mode:absolute,to:'2017-10-18T09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4.58E-2</v>
      </c>
      <c r="Z49" s="204">
        <f>RIGHT(H49,LEN(H49)-4)/10000</f>
        <v>23.3306</v>
      </c>
      <c r="AA49" s="204">
        <f>ABS(Z49-Y49)</f>
        <v>23.284800000000001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s3://rtdc.mdm.uploadarchive.raw/RTDC4064/ "%USERPROFILE%\AppData\Local\Temp\OnboardLogs"\RTDC4064\2017-10-18 --exclude "*" --recursive --include "*20171018*" &amp; "%USERPROFILE%\Documents\GitHub\mrs-test-scripts\Headless Mode &amp; Sideloading\WalkAndUnGZ.bat" "%USERPROFILE%\AppData\Local\Temp\OnboardLogs"\RTDC4064\2017-10-18 &amp; aws s3 cp s3://rtdc.mdm.uploadarchive.raw/RTDC4064/ "%USERPROFILE%\AppData\Local\Temp\OnboardLogs"\RTDC4064\2017-10-19 --exclude "*" --recursive --include "*20171019*" &amp; "%USERPROFILE%\Documents\GitHub\mrs-test-scripts\Headless Mode &amp; Sideloading\WalkAndUnGZ.bat" "%USERPROFILE%\AppData\Local\Temp\OnboardLogs"\RTDC4064\2017-10-19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/stypes="app*4064*20171018*" /stext=" 14:.+((SYSTEM_STATE.+slice.+state.+changed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137-18 --locoid 4064 --swversion DE.1.0.9.0 --startMP 204:458 --initTime 2017-10-18T08:09:10 --startdatetime 2017-10-18T08:15:19 --delay 191 --endMP 204:233306 --enddatetime 2017-10-18T08:51:20 --enforcementcount 0 &gt;&gt;%USERPROFILE%\Documents\GitHub\eaglep3-reporting\EC\2017-10-18-refined-times.txt</v>
      </c>
      <c r="AI49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{"issue":{"subject":"","project_id":79,"tracker_id":40,"status_id":1,"priority_id":2,"assigned_to_id":338,"start_date":"2017-10-18","description":"","custom_fields":[{"id":1,"name":"Subdivision","value":"EC"},{"id":4,"name":"Milepost","value":"23.3306"},{"id":17,"name":"Train ID","value":"137-18"},{"id":16,"name":"Locomotive ID","value":"4064"},{"id":130,"name":"Impact","value":""},{"id":150,"name":"Time of Event (Mountain Time)","value":"08:51:20"},{"id":151,"name":"Denver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4064 --day 2017-10-18</v>
      </c>
      <c r="AN49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14:51:20"},{"id":29,"name":"Sharepoint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-10-18T07:09:10-0600',mode:absolute,to:'2017-10-18T09:51:20-0600'))&amp;_a=(columns:!('Message%20ID',Summary),filters:!(),index:'emp_*',interval:auto,query:(query_string:(analyze_wildcard:!t,query:'%22rtdc.l.rtdc.4064%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662</v>
      </c>
      <c r="B50" s="7">
        <v>4063</v>
      </c>
      <c r="C50" s="21" t="s">
        <v>194</v>
      </c>
      <c r="D50" s="21" t="s">
        <v>406</v>
      </c>
      <c r="E50" s="13">
        <v>43026.380983796298</v>
      </c>
      <c r="F50" s="13">
        <v>43026.383611111109</v>
      </c>
      <c r="G50" s="7">
        <v>69</v>
      </c>
      <c r="H50" s="21" t="s">
        <v>354</v>
      </c>
      <c r="I50" s="13">
        <v>43026.409837962965</v>
      </c>
      <c r="J50" s="7">
        <v>0</v>
      </c>
      <c r="K50" s="89" t="str">
        <f>IF(ISEVEN(B50),(B50-1)&amp;"/"&amp;B50,B50&amp;"/"&amp;(B50+1))</f>
        <v>4063/4064</v>
      </c>
      <c r="L50" s="185" t="str">
        <f>VLOOKUP(A50,'Trips&amp;Operators'!$C$1:$G$99911,5,FALSE)</f>
        <v>ROCHA YAOTL</v>
      </c>
      <c r="M50" s="6">
        <f>I50-F50</f>
        <v>2.6226851856335998E-2</v>
      </c>
      <c r="N50" s="7">
        <f>24*60*SUM($M50:$M50)</f>
        <v>37.766666673123837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-10-18T08:08:37-0600',mode:absolute,to:'2017-10-18T10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23.299099999999999</v>
      </c>
      <c r="Z50" s="204">
        <f>RIGHT(H50,LEN(H50)-4)/10000</f>
        <v>1.52E-2</v>
      </c>
      <c r="AA50" s="204">
        <f>ABS(Z50-Y50)</f>
        <v>23.283899999999999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s3://rtdc.mdm.uploadarchive.raw/RTDC4063/ "%USERPROFILE%\AppData\Local\Temp\OnboardLogs"\RTDC4063\2017-10-18 --exclude "*" --recursive --include "*20171018*" &amp; "%USERPROFILE%\Documents\GitHub\mrs-test-scripts\Headless Mode &amp; Sideloading\WalkAndUnGZ.bat" "%USERPROFILE%\AppData\Local\Temp\OnboardLogs"\RTDC4063\2017-10-18 &amp; aws s3 cp s3://rtdc.mdm.uploadarchive.raw/RTDC4063/ "%USERPROFILE%\AppData\Local\Temp\OnboardLogs"\RTDC4063\2017-10-19 --exclude "*" --recursive --include "*20171019*" &amp; "%USERPROFILE%\Documents\GitHub\mrs-test-scripts\Headless Mode &amp; Sideloading\WalkAndUnGZ.bat" "%USERPROFILE%\AppData\Local\Temp\OnboardLogs"\RTDC4063\2017-10-19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/stypes="app*4063*20171018*" /stext=" 15:.+((SYSTEM_STATE.+slice.+state.+changed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138-18 --locoid 4063 --swversion DE.1.0.9.0 --startMP 204:232991 --initTime 2017-10-18T09:08:37 --startdatetime 2017-10-18T09:12:24 --delay 69 --endMP 204:152 --enddatetime 2017-10-18T09:50:10 --enforcementcount 0 &gt;&gt;%USERPROFILE%\Documents\GitHub\eaglep3-reporting\EC\2017-10-18-refined-times.txt</v>
      </c>
      <c r="AI50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{"issue":{"subject":"","project_id":79,"tracker_id":40,"status_id":1,"priority_id":2,"assigned_to_id":338,"start_date":"2017-10-18","description":"","custom_fields":[{"id":1,"name":"Subdivision","value":"EC"},{"id":4,"name":"Milepost","value":"0.0152"},{"id":17,"name":"Train ID","value":"138-18"},{"id":16,"name":"Locomotive ID","value":"4063"},{"id":130,"name":"Impact","value":""},{"id":150,"name":"Time of Event (Mountain Time)","value":"09:50:10"},{"id":151,"name":"Denver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4063 --day 2017-10-18</v>
      </c>
      <c r="AN50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15:50:10"},{"id":29,"name":"Sharepoint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-10-18T08:08:37-0600',mode:absolute,to:'2017-10-18T10:50:10-0600'))&amp;_a=(columns:!('Message%20ID',Summary),filters:!(),index:'emp_*',interval:auto,query:(query_string:(analyze_wildcard:!t,query:'%22rtdc.l.rtdc.4063%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656</v>
      </c>
      <c r="B51" s="7">
        <v>4026</v>
      </c>
      <c r="C51" s="21" t="s">
        <v>194</v>
      </c>
      <c r="D51" s="21" t="s">
        <v>405</v>
      </c>
      <c r="E51" s="13">
        <v>43026.351041666669</v>
      </c>
      <c r="F51" s="13">
        <v>43026.354525462964</v>
      </c>
      <c r="G51" s="7">
        <v>55</v>
      </c>
      <c r="H51" s="21" t="s">
        <v>830</v>
      </c>
      <c r="I51" s="13">
        <v>43026.379212962966</v>
      </c>
      <c r="J51" s="7">
        <v>0</v>
      </c>
      <c r="K51" s="89" t="str">
        <f>IF(ISEVEN(B51),(B51-1)&amp;"/"&amp;B51,B51&amp;"/"&amp;(B51+1))</f>
        <v>4025/4026</v>
      </c>
      <c r="L51" s="185" t="str">
        <f>VLOOKUP(A51,'Trips&amp;Operators'!$C$1:$G$99911,5,FALSE)</f>
        <v>BONDS REYNALDO</v>
      </c>
      <c r="M51" s="6">
        <f>I51-F51</f>
        <v>2.4687500001164153E-2</v>
      </c>
      <c r="N51" s="7">
        <f>24*60*SUM($M51:$M51)</f>
        <v>35.550000001676381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-10-18T07:25:30-0600',mode:absolute,to:'2017-10-18T10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4.6399999999999997E-2</v>
      </c>
      <c r="Z51" s="204">
        <f>RIGHT(H51,LEN(H51)-4)/10000</f>
        <v>23.332000000000001</v>
      </c>
      <c r="AA51" s="204">
        <f>ABS(Z51-Y51)</f>
        <v>23.285600000000002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s3://rtdc.mdm.uploadarchive.raw/RTDC4026/ "%USERPROFILE%\AppData\Local\Temp\OnboardLogs"\RTDC4026\2017-10-18 --exclude "*" --recursive --include "*20171018*" &amp; "%USERPROFILE%\Documents\GitHub\mrs-test-scripts\Headless Mode &amp; Sideloading\WalkAndUnGZ.bat" "%USERPROFILE%\AppData\Local\Temp\OnboardLogs"\RTDC4026\2017-10-18 &amp; aws s3 cp s3://rtdc.mdm.uploadarchive.raw/RTDC4026/ "%USERPROFILE%\AppData\Local\Temp\OnboardLogs"\RTDC4026\2017-10-19 --exclude "*" --recursive --include "*20171019*" &amp; "%USERPROFILE%\Documents\GitHub\mrs-test-scripts\Headless Mode &amp; Sideloading\WalkAndUnGZ.bat" "%USERPROFILE%\AppData\Local\Temp\OnboardLogs"\RTDC4026\2017-10-19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/stypes="app*4026*20171018*"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139-18 --locoid 4026 --swversion DE.1.0.9.0 --startMP 204:464 --initTime 2017-10-18T08:25:30 --startdatetime 2017-10-18T08:30:31 --delay 55 --endMP 204:233320 --enddatetime 2017-10-18T09:06:04 --enforcementcount 0 &gt;&gt;%USERPROFILE%\Documents\GitHub\eaglep3-reporting\EC\2017-10-18-refined-times.txt</v>
      </c>
      <c r="AI51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{"issue":{"subject":"","project_id":79,"tracker_id":40,"status_id":1,"priority_id":2,"assigned_to_id":338,"start_date":"2017-10-18","description":"","custom_fields":[{"id":1,"name":"Subdivision","value":"EC"},{"id":4,"name":"Milepost","value":"23.332"},{"id":17,"name":"Train ID","value":"139-18"},{"id":16,"name":"Locomotive ID","value":"4026"},{"id":130,"name":"Impact","value":""},{"id":150,"name":"Time of Event (Mountain Time)","value":"09:06:04"},{"id":151,"name":"Denver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4026 --day 2017-10-18</v>
      </c>
      <c r="AN51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15:06:04"},{"id":29,"name":"Sharepoint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-10-18T07:25:30-0600',mode:absolute,to:'2017-10-18T10:06:04-0600'))&amp;_a=(columns:!('Message%20ID',Summary),filters:!(),index:'emp_*',interval:auto,query:(query_string:(analyze_wildcard:!t,query:'%22rtdc.l.rtdc.4026%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664</v>
      </c>
      <c r="B52" s="7">
        <v>4025</v>
      </c>
      <c r="C52" s="21" t="s">
        <v>194</v>
      </c>
      <c r="D52" s="21" t="s">
        <v>831</v>
      </c>
      <c r="E52" s="13">
        <v>43026.390023148146</v>
      </c>
      <c r="F52" s="13">
        <v>43026.393923611111</v>
      </c>
      <c r="G52" s="7">
        <v>50</v>
      </c>
      <c r="H52" s="21" t="s">
        <v>435</v>
      </c>
      <c r="I52" s="13">
        <v>43026.420300925929</v>
      </c>
      <c r="J52" s="7">
        <v>0</v>
      </c>
      <c r="K52" s="89" t="str">
        <f>IF(ISEVEN(B52),(B52-1)&amp;"/"&amp;B52,B52&amp;"/"&amp;(B52+1))</f>
        <v>4025/4026</v>
      </c>
      <c r="L52" s="185" t="str">
        <f>VLOOKUP(A52,'Trips&amp;Operators'!$C$1:$G$99911,5,FALSE)</f>
        <v>BONDS REYNALDO</v>
      </c>
      <c r="M52" s="6">
        <f>I52-F52</f>
        <v>2.6377314818091691E-2</v>
      </c>
      <c r="N52" s="7">
        <f>24*60*SUM($M52:$M52)</f>
        <v>37.983333338052034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-10-18T08:21:38-0600',mode:absolute,to:'2017-10-18T11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23.301300000000001</v>
      </c>
      <c r="Z52" s="204">
        <f>RIGHT(H52,LEN(H52)-4)/10000</f>
        <v>1.3599999999999999E-2</v>
      </c>
      <c r="AA52" s="204">
        <f>ABS(Z52-Y52)</f>
        <v>23.287700000000001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s3://rtdc.mdm.uploadarchive.raw/RTDC4025/ "%USERPROFILE%\AppData\Local\Temp\OnboardLogs"\RTDC4025\2017-10-18 --exclude "*" --recursive --include "*20171018*" &amp; "%USERPROFILE%\Documents\GitHub\mrs-test-scripts\Headless Mode &amp; Sideloading\WalkAndUnGZ.bat" "%USERPROFILE%\AppData\Local\Temp\OnboardLogs"\RTDC4025\2017-10-18 &amp; aws s3 cp s3://rtdc.mdm.uploadarchive.raw/RTDC4025/ "%USERPROFILE%\AppData\Local\Temp\OnboardLogs"\RTDC4025\2017-10-19 --exclude "*" --recursive --include "*20171019*" &amp; "%USERPROFILE%\Documents\GitHub\mrs-test-scripts\Headless Mode &amp; Sideloading\WalkAndUnGZ.bat" "%USERPROFILE%\AppData\Local\Temp\OnboardLogs"\RTDC4025\2017-10-19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/stypes="app*4025*20171018*" /stext=" 16:.+((SYSTEM_STATE.+slice.+state.+changed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140-18 --locoid 4025 --swversion DE.1.0.9.0 --startMP 204:233013 --initTime 2017-10-18T09:21:38 --startdatetime 2017-10-18T09:27:15 --delay 50 --endMP 204:136 --enddatetime 2017-10-18T10:05:14 --enforcementcount 0 &gt;&gt;%USERPROFILE%\Documents\GitHub\eaglep3-reporting\EC\2017-10-18-refined-times.txt</v>
      </c>
      <c r="AI52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{"issue":{"subject":"","project_id":79,"tracker_id":40,"status_id":1,"priority_id":2,"assigned_to_id":338,"start_date":"2017-10-18","description":"","custom_fields":[{"id":1,"name":"Subdivision","value":"EC"},{"id":4,"name":"Milepost","value":"0.0136"},{"id":17,"name":"Train ID","value":"140-18"},{"id":16,"name":"Locomotive ID","value":"4025"},{"id":130,"name":"Impact","value":""},{"id":150,"name":"Time of Event (Mountain Time)","value":"10:05:14"},{"id":151,"name":"Denver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4025 --day 2017-10-18</v>
      </c>
      <c r="AN52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16:05:14"},{"id":29,"name":"Sharepoint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-10-18T08:21:38-0600',mode:absolute,to:'2017-10-18T11:05:14-0600'))&amp;_a=(columns:!('Message%20ID',Summary),filters:!(),index:'emp_*',interval:auto,query:(query_string:(analyze_wildcard:!t,query:'%22rtdc.l.rtdc.4025%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658</v>
      </c>
      <c r="B53" s="7">
        <v>4056</v>
      </c>
      <c r="C53" s="21" t="s">
        <v>194</v>
      </c>
      <c r="D53" s="21" t="s">
        <v>429</v>
      </c>
      <c r="E53" s="13">
        <v>43026.359652777777</v>
      </c>
      <c r="F53" s="13">
        <v>43026.364849537036</v>
      </c>
      <c r="G53" s="7">
        <v>77</v>
      </c>
      <c r="H53" s="21" t="s">
        <v>401</v>
      </c>
      <c r="I53" s="13">
        <v>43026.38957175926</v>
      </c>
      <c r="J53" s="7">
        <v>0</v>
      </c>
      <c r="K53" s="89" t="str">
        <f>IF(ISEVEN(B53),(B53-1)&amp;"/"&amp;B53,B53&amp;"/"&amp;(B53+1))</f>
        <v>4055/4056</v>
      </c>
      <c r="L53" s="185" t="str">
        <f>VLOOKUP(A53,'Trips&amp;Operators'!$C$1:$G$99911,5,FALSE)</f>
        <v>YANAI IAN</v>
      </c>
      <c r="M53" s="6">
        <f>I53-F53</f>
        <v>2.4722222224227153E-2</v>
      </c>
      <c r="N53" s="7">
        <f>24*60*SUM($M53:$M53)</f>
        <v>35.6000000028871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-10-18T07:37:54-0600',mode:absolute,to:'2017-10-18T10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4.4400000000000002E-2</v>
      </c>
      <c r="Z53" s="204">
        <f>RIGHT(H53,LEN(H53)-4)/10000</f>
        <v>23.331399999999999</v>
      </c>
      <c r="AA53" s="204">
        <f>ABS(Z53-Y53)</f>
        <v>23.286999999999999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s3://rtdc.mdm.uploadarchive.raw/RTDC4056/ "%USERPROFILE%\AppData\Local\Temp\OnboardLogs"\RTDC4056\2017-10-18 --exclude "*" --recursive --include "*20171018*" &amp; "%USERPROFILE%\Documents\GitHub\mrs-test-scripts\Headless Mode &amp; Sideloading\WalkAndUnGZ.bat" "%USERPROFILE%\AppData\Local\Temp\OnboardLogs"\RTDC4056\2017-10-18 &amp; aws s3 cp s3://rtdc.mdm.uploadarchive.raw/RTDC4056/ "%USERPROFILE%\AppData\Local\Temp\OnboardLogs"\RTDC4056\2017-10-19 --exclude "*" --recursive --include "*20171019*" &amp; "%USERPROFILE%\Documents\GitHub\mrs-test-scripts\Headless Mode &amp; Sideloading\WalkAndUnGZ.bat" "%USERPROFILE%\AppData\Local\Temp\OnboardLogs"\RTDC4056\2017-10-19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/stypes="app*4056*20171018*" /stext=" 15:.+((SYSTEM_STATE.+slice.+state.+changed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141-18 --locoid 4056 --swversion DE.1.0.9.0 --startMP 204:444 --initTime 2017-10-18T08:37:54 --startdatetime 2017-10-18T08:45:23 --delay 77 --endMP 204:233314 --enddatetime 2017-10-18T09:20:59 --enforcementcount 0 &gt;&gt;%USERPROFILE%\Documents\GitHub\eaglep3-reporting\EC\2017-10-18-refined-times.txt</v>
      </c>
      <c r="AI53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{"issue":{"subject":"","project_id":79,"tracker_id":40,"status_id":1,"priority_id":2,"assigned_to_id":338,"start_date":"2017-10-18","description":"","custom_fields":[{"id":1,"name":"Subdivision","value":"EC"},{"id":4,"name":"Milepost","value":"23.3314"},{"id":17,"name":"Train ID","value":"141-18"},{"id":16,"name":"Locomotive ID","value":"4056"},{"id":130,"name":"Impact","value":""},{"id":150,"name":"Time of Event (Mountain Time)","value":"09:20:59"},{"id":151,"name":"Denver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4056 --day 2017-10-18</v>
      </c>
      <c r="AN53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15:20:59"},{"id":29,"name":"Sharepoint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-10-18T07:37:54-0600',mode:absolute,to:'2017-10-18T10:20:59-0600'))&amp;_a=(columns:!('Message%20ID',Summary),filters:!(),index:'emp_*',interval:auto,query:(query_string:(analyze_wildcard:!t,query:'%22rtdc.l.rtdc.4056%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666</v>
      </c>
      <c r="B54" s="7">
        <v>4055</v>
      </c>
      <c r="C54" s="21" t="s">
        <v>194</v>
      </c>
      <c r="D54" s="21" t="s">
        <v>411</v>
      </c>
      <c r="E54" s="13">
        <v>43026.391238425924</v>
      </c>
      <c r="F54" s="13">
        <v>43026.404386574075</v>
      </c>
      <c r="G54" s="7">
        <v>84</v>
      </c>
      <c r="H54" s="21" t="s">
        <v>363</v>
      </c>
      <c r="I54" s="13">
        <v>43026.429942129631</v>
      </c>
      <c r="J54" s="7">
        <v>0</v>
      </c>
      <c r="K54" s="89" t="str">
        <f>IF(ISEVEN(B54),(B54-1)&amp;"/"&amp;B54,B54&amp;"/"&amp;(B54+1))</f>
        <v>4055/4056</v>
      </c>
      <c r="L54" s="185" t="str">
        <f>VLOOKUP(A54,'Trips&amp;Operators'!$C$1:$G$99911,5,FALSE)</f>
        <v>YANAI IAN</v>
      </c>
      <c r="M54" s="6">
        <f>I54-F54</f>
        <v>2.5555555555911269E-2</v>
      </c>
      <c r="N54" s="7">
        <f>24*60*SUM($M54:$M54)</f>
        <v>36.800000000512227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-10-18T08:23:23-0600',mode:absolute,to:'2017-10-18T11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23.299399999999999</v>
      </c>
      <c r="Z54" s="204">
        <f>RIGHT(H54,LEN(H54)-4)/10000</f>
        <v>1.5800000000000002E-2</v>
      </c>
      <c r="AA54" s="204">
        <f>ABS(Z54-Y54)</f>
        <v>23.2836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s3://rtdc.mdm.uploadarchive.raw/RTDC4055/ "%USERPROFILE%\AppData\Local\Temp\OnboardLogs"\RTDC4055\2017-10-18 --exclude "*" --recursive --include "*20171018*" &amp; "%USERPROFILE%\Documents\GitHub\mrs-test-scripts\Headless Mode &amp; Sideloading\WalkAndUnGZ.bat" "%USERPROFILE%\AppData\Local\Temp\OnboardLogs"\RTDC4055\2017-10-18 &amp; aws s3 cp s3://rtdc.mdm.uploadarchive.raw/RTDC4055/ "%USERPROFILE%\AppData\Local\Temp\OnboardLogs"\RTDC4055\2017-10-19 --exclude "*" --recursive --include "*20171019*" &amp; "%USERPROFILE%\Documents\GitHub\mrs-test-scripts\Headless Mode &amp; Sideloading\WalkAndUnGZ.bat" "%USERPROFILE%\AppData\Local\Temp\OnboardLogs"\RTDC4055\2017-10-19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/stypes="app*4055*20171018*" /stext=" 16:.+((SYSTEM_STATE.+slice.+state.+changed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142-18 --locoid 4055 --swversion DE.1.0.9.0 --startMP 204:232994 --initTime 2017-10-18T09:23:23 --startdatetime 2017-10-18T09:42:19 --delay 84 --endMP 204:158 --enddatetime 2017-10-18T10:19:07 --enforcementcount 0 &gt;&gt;%USERPROFILE%\Documents\GitHub\eaglep3-reporting\EC\2017-10-18-refined-times.txt</v>
      </c>
      <c r="AI54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{"issue":{"subject":"","project_id":79,"tracker_id":40,"status_id":1,"priority_id":2,"assigned_to_id":338,"start_date":"2017-10-18","description":"","custom_fields":[{"id":1,"name":"Subdivision","value":"EC"},{"id":4,"name":"Milepost","value":"0.0158"},{"id":17,"name":"Train ID","value":"142-18"},{"id":16,"name":"Locomotive ID","value":"4055"},{"id":130,"name":"Impact","value":""},{"id":150,"name":"Time of Event (Mountain Time)","value":"10:19:07"},{"id":151,"name":"Denver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4055 --day 2017-10-18</v>
      </c>
      <c r="AN54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16:19:07"},{"id":29,"name":"Sharepoint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-10-18T08:23:23-0600',mode:absolute,to:'2017-10-18T11:19:07-0600'))&amp;_a=(columns:!('Message%20ID',Summary),filters:!(),index:'emp_*',interval:auto,query:(query_string:(analyze_wildcard:!t,query:'%22rtdc.l.rtdc.4055%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661</v>
      </c>
      <c r="B55" s="7">
        <v>4020</v>
      </c>
      <c r="C55" s="21" t="s">
        <v>194</v>
      </c>
      <c r="D55" s="21" t="s">
        <v>338</v>
      </c>
      <c r="E55" s="13">
        <v>43026.373541666668</v>
      </c>
      <c r="F55" s="13">
        <v>43026.375277777777</v>
      </c>
      <c r="G55" s="7">
        <v>58</v>
      </c>
      <c r="H55" s="21" t="s">
        <v>832</v>
      </c>
      <c r="I55" s="13">
        <v>43026.400104166663</v>
      </c>
      <c r="J55" s="7">
        <v>0</v>
      </c>
      <c r="K55" s="89" t="str">
        <f>IF(ISEVEN(B55),(B55-1)&amp;"/"&amp;B55,B55&amp;"/"&amp;(B55+1))</f>
        <v>4019/4020</v>
      </c>
      <c r="L55" s="185" t="str">
        <f>VLOOKUP(A55,'Trips&amp;Operators'!$C$1:$G$99911,5,FALSE)</f>
        <v>THOMPSON LESTER</v>
      </c>
      <c r="M55" s="6">
        <f>I55-F55</f>
        <v>2.4826388886140194E-2</v>
      </c>
      <c r="N55" s="7">
        <f>24*60*SUM($M55:$M55)</f>
        <v>35.749999996041879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-10-18T07:57:54-0600',mode:absolute,to:'2017-10-18T10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4.53E-2</v>
      </c>
      <c r="Z55" s="204">
        <f>RIGHT(H55,LEN(H55)-4)/10000</f>
        <v>23.3324</v>
      </c>
      <c r="AA55" s="204">
        <f>ABS(Z55-Y55)</f>
        <v>23.287099999999999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 &amp; aws s3 cp s3://rtdc.mdm.uploadarchive.raw/RTDC4020/ "%USERPROFILE%\AppData\Local\Temp\OnboardLogs"\RTDC4020\2017-10-19 --exclude "*" --recursive --include "*20171019*" &amp; "%USERPROFILE%\Documents\GitHub\mrs-test-scripts\Headless Mode &amp; Sideloading\WalkAndUnGZ.bat" "%USERPROFILE%\AppData\Local\Temp\OnboardLogs"\RTDC4020\2017-10-19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/stypes="app*4020*20171018*" /stext=" 15:.+((SYSTEM_STATE.+slice.+state.+changed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143-18 --locoid 4020 --swversion DE.1.0.9.0 --startMP 204:453 --initTime 2017-10-18T08:57:54 --startdatetime 2017-10-18T09:00:24 --delay 58 --endMP 204:233324 --enddatetime 2017-10-18T09:36:09 --enforcementcount 0 &gt;&gt;%USERPROFILE%\Documents\GitHub\eaglep3-reporting\EC\2017-10-18-refined-times.txt</v>
      </c>
      <c r="AI55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{"issue":{"subject":"","project_id":79,"tracker_id":40,"status_id":1,"priority_id":2,"assigned_to_id":338,"start_date":"2017-10-18","description":"","custom_fields":[{"id":1,"name":"Subdivision","value":"EC"},{"id":4,"name":"Milepost","value":"23.3324"},{"id":17,"name":"Train ID","value":"143-18"},{"id":16,"name":"Locomotive ID","value":"4020"},{"id":130,"name":"Impact","value":""},{"id":150,"name":"Time of Event (Mountain Time)","value":"09:36:09"},{"id":151,"name":"Denver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4020 --day 2017-10-18</v>
      </c>
      <c r="AN55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15:36:09"},{"id":29,"name":"Sharepoint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-10-18T07:57:54-0600',mode:absolute,to:'2017-10-18T10:36:09-0600'))&amp;_a=(columns:!('Message%20ID',Summary),filters:!(),index:'emp_*',interval:auto,query:(query_string:(analyze_wildcard:!t,query:'%22rtdc.l.rtdc.4020%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670</v>
      </c>
      <c r="B56" s="7">
        <v>4019</v>
      </c>
      <c r="C56" s="21" t="s">
        <v>194</v>
      </c>
      <c r="D56" s="21" t="s">
        <v>833</v>
      </c>
      <c r="E56" s="13">
        <v>43026.413206018522</v>
      </c>
      <c r="F56" s="13">
        <v>43026.414872685185</v>
      </c>
      <c r="G56" s="7">
        <v>61</v>
      </c>
      <c r="H56" s="21" t="s">
        <v>339</v>
      </c>
      <c r="I56" s="13">
        <v>43026.442395833335</v>
      </c>
      <c r="J56" s="7">
        <v>0</v>
      </c>
      <c r="K56" s="89" t="str">
        <f>IF(ISEVEN(B56),(B56-1)&amp;"/"&amp;B56,B56&amp;"/"&amp;(B56+1))</f>
        <v>4019/4020</v>
      </c>
      <c r="L56" s="185" t="str">
        <f>VLOOKUP(A56,'Trips&amp;Operators'!$C$1:$G$99911,5,FALSE)</f>
        <v>THOMPSON LESTER</v>
      </c>
      <c r="M56" s="6">
        <f>I56-F56</f>
        <v>2.7523148150066845E-2</v>
      </c>
      <c r="N56" s="7">
        <f>24*60*SUM($M56:$M56)</f>
        <v>39.633333336096257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-10-18T08:55:01-0600',mode:absolute,to:'2017-10-18T11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23.2986</v>
      </c>
      <c r="Z56" s="204">
        <f>RIGHT(H56,LEN(H56)-4)/10000</f>
        <v>1.47E-2</v>
      </c>
      <c r="AA56" s="204">
        <f>ABS(Z56-Y56)</f>
        <v>23.283899999999999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s3://rtdc.mdm.uploadarchive.raw/RTDC4019/ "%USERPROFILE%\AppData\Local\Temp\OnboardLogs"\RTDC4019\2017-10-18 --exclude "*" --recursive --include "*20171018*" &amp; "%USERPROFILE%\Documents\GitHub\mrs-test-scripts\Headless Mode &amp; Sideloading\WalkAndUnGZ.bat" "%USERPROFILE%\AppData\Local\Temp\OnboardLogs"\RTDC4019\2017-10-18 &amp; aws s3 cp s3://rtdc.mdm.uploadarchive.raw/RTDC4019/ "%USERPROFILE%\AppData\Local\Temp\OnboardLogs"\RTDC4019\2017-10-19 --exclude "*" --recursive --include "*20171019*" &amp; "%USERPROFILE%\Documents\GitHub\mrs-test-scripts\Headless Mode &amp; Sideloading\WalkAndUnGZ.bat" "%USERPROFILE%\AppData\Local\Temp\OnboardLogs"\RTDC4019\2017-10-19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/stypes="app*4019*20171018*" /stext=" 16:.+((SYSTEM_STATE.+slice.+state.+changed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144-18 --locoid 4019 --swversion DE.1.0.9.0 --startMP 204:232986 --initTime 2017-10-18T09:55:01 --startdatetime 2017-10-18T09:57:25 --delay 61 --endMP 204:147 --enddatetime 2017-10-18T10:37:03 --enforcementcount 0 &gt;&gt;%USERPROFILE%\Documents\GitHub\eaglep3-reporting\EC\2017-10-18-refined-times.txt</v>
      </c>
      <c r="AI56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{"issue":{"subject":"","project_id":79,"tracker_id":40,"status_id":1,"priority_id":2,"assigned_to_id":338,"start_date":"2017-10-18","description":"","custom_fields":[{"id":1,"name":"Subdivision","value":"EC"},{"id":4,"name":"Milepost","value":"0.0147"},{"id":17,"name":"Train ID","value":"144-18"},{"id":16,"name":"Locomotive ID","value":"4019"},{"id":130,"name":"Impact","value":""},{"id":150,"name":"Time of Event (Mountain Time)","value":"10:37:03"},{"id":151,"name":"Denver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4019 --day 2017-10-18</v>
      </c>
      <c r="AN56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16:37:03"},{"id":29,"name":"Sharepoint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-10-18T08:55:01-0600',mode:absolute,to:'2017-10-18T11:37:03-0600'))&amp;_a=(columns:!('Message%20ID',Summary),filters:!(),index:'emp_*',interval:auto,query:(query_string:(analyze_wildcard:!t,query:'%22rtdc.l.rtdc.4019%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663</v>
      </c>
      <c r="B57" s="7">
        <v>4062</v>
      </c>
      <c r="C57" s="21" t="s">
        <v>194</v>
      </c>
      <c r="D57" s="21" t="s">
        <v>362</v>
      </c>
      <c r="E57" s="13">
        <v>43026.381423611114</v>
      </c>
      <c r="F57" s="13">
        <v>43026.386550925927</v>
      </c>
      <c r="G57" s="7">
        <v>154</v>
      </c>
      <c r="H57" s="21" t="s">
        <v>834</v>
      </c>
      <c r="I57" s="13">
        <v>43026.41065972222</v>
      </c>
      <c r="J57" s="7">
        <v>0</v>
      </c>
      <c r="K57" s="89" t="str">
        <f>IF(ISEVEN(B57),(B57-1)&amp;"/"&amp;B57,B57&amp;"/"&amp;(B57+1))</f>
        <v>4061/4062</v>
      </c>
      <c r="L57" s="185" t="str">
        <f>VLOOKUP(A57,'Trips&amp;Operators'!$C$1:$G$99911,5,FALSE)</f>
        <v>FORTUNATO FRANK</v>
      </c>
      <c r="M57" s="6">
        <f>I57-F57</f>
        <v>2.4108796293148771E-2</v>
      </c>
      <c r="N57" s="7">
        <f>24*60*SUM($M57:$M57)</f>
        <v>34.71666666213423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-10-18T08:09:15-0600',mode:absolute,to:'2017-10-18T10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4.5999999999999999E-2</v>
      </c>
      <c r="Z57" s="204">
        <f>RIGHT(H57,LEN(H57)-4)/10000</f>
        <v>23.333400000000001</v>
      </c>
      <c r="AA57" s="204">
        <f>ABS(Z57-Y57)</f>
        <v>23.287400000000002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s3://rtdc.mdm.uploadarchive.raw/RTDC4062/ "%USERPROFILE%\AppData\Local\Temp\OnboardLogs"\RTDC4062\2017-10-18 --exclude "*" --recursive --include "*20171018*" &amp; "%USERPROFILE%\Documents\GitHub\mrs-test-scripts\Headless Mode &amp; Sideloading\WalkAndUnGZ.bat" "%USERPROFILE%\AppData\Local\Temp\OnboardLogs"\RTDC4062\2017-10-18 &amp; aws s3 cp s3://rtdc.mdm.uploadarchive.raw/RTDC4062/ "%USERPROFILE%\AppData\Local\Temp\OnboardLogs"\RTDC4062\2017-10-19 --exclude "*" --recursive --include "*20171019*" &amp; "%USERPROFILE%\Documents\GitHub\mrs-test-scripts\Headless Mode &amp; Sideloading\WalkAndUnGZ.bat" "%USERPROFILE%\AppData\Local\Temp\OnboardLogs"\RTDC4062\2017-10-19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/stypes="app*4062*20171018*" /stext=" 15:.+((SYSTEM_STATE.+slice.+state.+changed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145-18 --locoid 4062 --swversion DE.1.0.9.0 --startMP 204:460 --initTime 2017-10-18T09:09:15 --startdatetime 2017-10-18T09:16:38 --delay 154 --endMP 204:233334 --enddatetime 2017-10-18T09:51:21 --enforcementcount 0 &gt;&gt;%USERPROFILE%\Documents\GitHub\eaglep3-reporting\EC\2017-10-18-refined-times.txt</v>
      </c>
      <c r="AI57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{"issue":{"subject":"","project_id":79,"tracker_id":40,"status_id":1,"priority_id":2,"assigned_to_id":338,"start_date":"2017-10-18","description":"","custom_fields":[{"id":1,"name":"Subdivision","value":"EC"},{"id":4,"name":"Milepost","value":"23.3334"},{"id":17,"name":"Train ID","value":"145-18"},{"id":16,"name":"Locomotive ID","value":"4062"},{"id":130,"name":"Impact","value":""},{"id":150,"name":"Time of Event (Mountain Time)","value":"09:51:21"},{"id":151,"name":"Denver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4062 --day 2017-10-18</v>
      </c>
      <c r="AN57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15:51:21"},{"id":29,"name":"Sharepoint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-10-18T08:09:15-0600',mode:absolute,to:'2017-10-18T10:51:21-0600'))&amp;_a=(columns:!('Message%20ID',Summary),filters:!(),index:'emp_*',interval:auto,query:(query_string:(analyze_wildcard:!t,query:'%22rtdc.l.rtdc.4062%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561</v>
      </c>
      <c r="B58" s="7">
        <v>4061</v>
      </c>
      <c r="C58" s="21" t="s">
        <v>194</v>
      </c>
      <c r="D58" s="21" t="s">
        <v>411</v>
      </c>
      <c r="E58" s="13">
        <v>43026.411759259259</v>
      </c>
      <c r="F58" s="13">
        <v>43026.425312500003</v>
      </c>
      <c r="G58" s="7">
        <v>67</v>
      </c>
      <c r="H58" s="21" t="s">
        <v>428</v>
      </c>
      <c r="I58" s="13">
        <v>43026.451226851852</v>
      </c>
      <c r="J58" s="7">
        <v>0</v>
      </c>
      <c r="K58" s="89" t="str">
        <f>IF(ISEVEN(B58),(B58-1)&amp;"/"&amp;B58,B58&amp;"/"&amp;(B58+1))</f>
        <v>4061/4062</v>
      </c>
      <c r="L58" s="185" t="str">
        <f>VLOOKUP(A58,'Trips&amp;Operators'!$C$1:$G$99911,5,FALSE)</f>
        <v>FORTUNATO FRANK</v>
      </c>
      <c r="M58" s="6">
        <f>I58-F58</f>
        <v>2.5914351848769002E-2</v>
      </c>
      <c r="N58" s="7">
        <f>24*60*SUM($M58:$M58)</f>
        <v>37.316666662227362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-10-18T08:52:56-0600',mode:absolute,to:'2017-10-18T11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23.299399999999999</v>
      </c>
      <c r="Z58" s="204">
        <f>RIGHT(H58,LEN(H58)-4)/10000</f>
        <v>1.6899999999999998E-2</v>
      </c>
      <c r="AA58" s="204">
        <f>ABS(Z58-Y58)</f>
        <v>23.282499999999999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s3://rtdc.mdm.uploadarchive.raw/RTDC4061/ "%USERPROFILE%\AppData\Local\Temp\OnboardLogs"\RTDC4061\2017-10-18 --exclude "*" --recursive --include "*20171018*" &amp; "%USERPROFILE%\Documents\GitHub\mrs-test-scripts\Headless Mode &amp; Sideloading\WalkAndUnGZ.bat" "%USERPROFILE%\AppData\Local\Temp\OnboardLogs"\RTDC4061\2017-10-18 &amp; aws s3 cp s3://rtdc.mdm.uploadarchive.raw/RTDC4061/ "%USERPROFILE%\AppData\Local\Temp\OnboardLogs"\RTDC4061\2017-10-19 --exclude "*" --recursive --include "*20171019*" &amp; "%USERPROFILE%\Documents\GitHub\mrs-test-scripts\Headless Mode &amp; Sideloading\WalkAndUnGZ.bat" "%USERPROFILE%\AppData\Local\Temp\OnboardLogs"\RTDC4061\2017-10-19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/stypes="app*4061*20171018*" /stext=" 16:.+((SYSTEM_STATE.+slice.+state.+changed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146-18 --locoid 4061 --swversion DE.1.0.9.0 --startMP 204:232994 --initTime 2017-10-18T09:52:56 --startdatetime 2017-10-18T10:12:27 --delay 67 --endMP 204:169 --enddatetime 2017-10-18T10:49:46 --enforcementcount 0 &gt;&gt;%USERPROFILE%\Documents\GitHub\eaglep3-reporting\EC\2017-10-18-refined-times.txt</v>
      </c>
      <c r="AI58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{"issue":{"subject":"","project_id":79,"tracker_id":40,"status_id":1,"priority_id":2,"assigned_to_id":338,"start_date":"2017-10-18","description":"","custom_fields":[{"id":1,"name":"Subdivision","value":"EC"},{"id":4,"name":"Milepost","value":"0.0169"},{"id":17,"name":"Train ID","value":"146-18"},{"id":16,"name":"Locomotive ID","value":"4061"},{"id":130,"name":"Impact","value":""},{"id":150,"name":"Time of Event (Mountain Time)","value":"10:49:46"},{"id":151,"name":"Denver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4061 --day 2017-10-18</v>
      </c>
      <c r="AN58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16:49:46"},{"id":29,"name":"Sharepoint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-10-18T08:52:56-0600',mode:absolute,to:'2017-10-18T11:49:46-0600'))&amp;_a=(columns:!('Message%20ID',Summary),filters:!(),index:'emp_*',interval:auto,query:(query_string:(analyze_wildcard:!t,query:'%22rtdc.l.rtdc.4061%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665</v>
      </c>
      <c r="B59" s="7">
        <v>4040</v>
      </c>
      <c r="C59" s="21" t="s">
        <v>194</v>
      </c>
      <c r="D59" s="21" t="s">
        <v>427</v>
      </c>
      <c r="E59" s="13">
        <v>43026.391053240739</v>
      </c>
      <c r="F59" s="13">
        <v>43026.39634259259</v>
      </c>
      <c r="G59" s="7">
        <v>49</v>
      </c>
      <c r="H59" s="21" t="s">
        <v>451</v>
      </c>
      <c r="I59" s="13">
        <v>43026.421944444446</v>
      </c>
      <c r="J59" s="7">
        <v>0</v>
      </c>
      <c r="K59" s="89" t="str">
        <f>IF(ISEVEN(B59),(B59-1)&amp;"/"&amp;B59,B59&amp;"/"&amp;(B59+1))</f>
        <v>4039/4040</v>
      </c>
      <c r="L59" s="185" t="str">
        <f>VLOOKUP(A59,'Trips&amp;Operators'!$C$1:$G$99911,5,FALSE)</f>
        <v>YORK EDGAR</v>
      </c>
      <c r="M59" s="6">
        <f>I59-F59</f>
        <v>2.5601851855753921E-2</v>
      </c>
      <c r="N59" s="7">
        <f>24*60*SUM($M59:$M59)</f>
        <v>36.866666672285646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-10-18T08:23:07-0600',mode:absolute,to:'2017-10-18T11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4.3999999999999997E-2</v>
      </c>
      <c r="Z59" s="204">
        <f>RIGHT(H59,LEN(H59)-4)/10000</f>
        <v>23.329499999999999</v>
      </c>
      <c r="AA59" s="204">
        <f>ABS(Z59-Y59)</f>
        <v>23.285499999999999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s3://rtdc.mdm.uploadarchive.raw/RTDC4040/ "%USERPROFILE%\AppData\Local\Temp\OnboardLogs"\RTDC4040\2017-10-18 --exclude "*" --recursive --include "*20171018*" &amp; "%USERPROFILE%\Documents\GitHub\mrs-test-scripts\Headless Mode &amp; Sideloading\WalkAndUnGZ.bat" "%USERPROFILE%\AppData\Local\Temp\OnboardLogs"\RTDC4040\2017-10-18 &amp; aws s3 cp s3://rtdc.mdm.uploadarchive.raw/RTDC4040/ "%USERPROFILE%\AppData\Local\Temp\OnboardLogs"\RTDC4040\2017-10-19 --exclude "*" --recursive --include "*20171019*" &amp; "%USERPROFILE%\Documents\GitHub\mrs-test-scripts\Headless Mode &amp; Sideloading\WalkAndUnGZ.bat" "%USERPROFILE%\AppData\Local\Temp\OnboardLogs"\RTDC4040\2017-10-19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/stypes="app*4040*20171018*"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147-18 --locoid 4040 --swversion DE.1.0.9.0 --startMP 204:440 --initTime 2017-10-18T09:23:07 --startdatetime 2017-10-18T09:30:44 --delay 49 --endMP 204:233295 --enddatetime 2017-10-18T10:07:36 --enforcementcount 0 &gt;&gt;%USERPROFILE%\Documents\GitHub\eaglep3-reporting\EC\2017-10-18-refined-times.txt</v>
      </c>
      <c r="AI59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{"issue":{"subject":"","project_id":79,"tracker_id":40,"status_id":1,"priority_id":2,"assigned_to_id":338,"start_date":"2017-10-18","description":"","custom_fields":[{"id":1,"name":"Subdivision","value":"EC"},{"id":4,"name":"Milepost","value":"23.3295"},{"id":17,"name":"Train ID","value":"147-18"},{"id":16,"name":"Locomotive ID","value":"4040"},{"id":130,"name":"Impact","value":""},{"id":150,"name":"Time of Event (Mountain Time)","value":"10:07:36"},{"id":151,"name":"Denver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4040 --day 2017-10-18</v>
      </c>
      <c r="AN59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16:07:36"},{"id":29,"name":"Sharepoint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-10-18T08:23:07-0600',mode:absolute,to:'2017-10-18T11:07:36-0600'))&amp;_a=(columns:!('Message%20ID',Summary),filters:!(),index:'emp_*',interval:auto,query:(query_string:(analyze_wildcard:!t,query:'%22rtdc.l.rtdc.4040%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674</v>
      </c>
      <c r="B60" s="7">
        <v>4039</v>
      </c>
      <c r="C60" s="21" t="s">
        <v>194</v>
      </c>
      <c r="D60" s="21" t="s">
        <v>484</v>
      </c>
      <c r="E60" s="13">
        <v>43026.422893518517</v>
      </c>
      <c r="F60" s="13">
        <v>43026.435879629629</v>
      </c>
      <c r="G60" s="7">
        <v>48</v>
      </c>
      <c r="H60" s="21" t="s">
        <v>357</v>
      </c>
      <c r="I60" s="13">
        <v>43026.461736111109</v>
      </c>
      <c r="J60" s="7">
        <v>0</v>
      </c>
      <c r="K60" s="89" t="str">
        <f>IF(ISEVEN(B60),(B60-1)&amp;"/"&amp;B60,B60&amp;"/"&amp;(B60+1))</f>
        <v>4039/4040</v>
      </c>
      <c r="L60" s="185" t="str">
        <f>VLOOKUP(A60,'Trips&amp;Operators'!$C$1:$G$99911,5,FALSE)</f>
        <v>YORK EDGAR</v>
      </c>
      <c r="M60" s="6">
        <f>I60-F60</f>
        <v>2.5856481479422655E-2</v>
      </c>
      <c r="N60" s="7">
        <f>24*60*SUM($M60:$M60)</f>
        <v>37.233333330368623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-10-18T09:08:58-0600',mode:absolute,to:'2017-10-18T12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23.298999999999999</v>
      </c>
      <c r="Z60" s="204">
        <f>RIGHT(H60,LEN(H60)-4)/10000</f>
        <v>1.5599999999999999E-2</v>
      </c>
      <c r="AA60" s="204">
        <f>ABS(Z60-Y60)</f>
        <v>23.2834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s3://rtdc.mdm.uploadarchive.raw/RTDC4039/ "%USERPROFILE%\AppData\Local\Temp\OnboardLogs"\RTDC4039\2017-10-18 --exclude "*" --recursive --include "*20171018*" &amp; "%USERPROFILE%\Documents\GitHub\mrs-test-scripts\Headless Mode &amp; Sideloading\WalkAndUnGZ.bat" "%USERPROFILE%\AppData\Local\Temp\OnboardLogs"\RTDC4039\2017-10-18 &amp; aws s3 cp s3://rtdc.mdm.uploadarchive.raw/RTDC4039/ "%USERPROFILE%\AppData\Local\Temp\OnboardLogs"\RTDC4039\2017-10-19 --exclude "*" --recursive --include "*20171019*" &amp; "%USERPROFILE%\Documents\GitHub\mrs-test-scripts\Headless Mode &amp; Sideloading\WalkAndUnGZ.bat" "%USERPROFILE%\AppData\Local\Temp\OnboardLogs"\RTDC4039\2017-10-19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/stypes="app*4039*20171018*" /stext=" 17:.+((SYSTEM_STATE.+slice.+state.+changed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148-18 --locoid 4039 --swversion DE.1.0.9.0 --startMP 204:232990 --initTime 2017-10-18T10:08:58 --startdatetime 2017-10-18T10:27:40 --delay 48 --endMP 204:156 --enddatetime 2017-10-18T11:04:54 --enforcementcount 0 &gt;&gt;%USERPROFILE%\Documents\GitHub\eaglep3-reporting\EC\2017-10-18-refined-times.txt</v>
      </c>
      <c r="AI60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{"issue":{"subject":"","project_id":79,"tracker_id":40,"status_id":1,"priority_id":2,"assigned_to_id":338,"start_date":"2017-10-18","description":"","custom_fields":[{"id":1,"name":"Subdivision","value":"EC"},{"id":4,"name":"Milepost","value":"0.0156"},{"id":17,"name":"Train ID","value":"148-18"},{"id":16,"name":"Locomotive ID","value":"4039"},{"id":130,"name":"Impact","value":""},{"id":150,"name":"Time of Event (Mountain Time)","value":"11:04:54"},{"id":151,"name":"Denver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4039 --day 2017-10-18</v>
      </c>
      <c r="AN60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17:04:54"},{"id":29,"name":"Sharepoint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-10-18T09:08:58-0600',mode:absolute,to:'2017-10-18T12:04:54-0600'))&amp;_a=(columns:!('Message%20ID',Summary),filters:!(),index:'emp_*',interval:auto,query:(query_string:(analyze_wildcard:!t,query:'%22rtdc.l.rtdc.4039%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668</v>
      </c>
      <c r="B61" s="7">
        <v>4044</v>
      </c>
      <c r="C61" s="21" t="s">
        <v>194</v>
      </c>
      <c r="D61" s="21" t="s">
        <v>338</v>
      </c>
      <c r="E61" s="13">
        <v>43026.401712962965</v>
      </c>
      <c r="F61" s="13">
        <v>43026.406423611108</v>
      </c>
      <c r="G61" s="7">
        <v>52</v>
      </c>
      <c r="H61" s="21" t="s">
        <v>368</v>
      </c>
      <c r="I61" s="13">
        <v>43026.431157407409</v>
      </c>
      <c r="J61" s="7">
        <v>0</v>
      </c>
      <c r="K61" s="89" t="str">
        <f>IF(ISEVEN(B61),(B61-1)&amp;"/"&amp;B61,B61&amp;"/"&amp;(B61+1))</f>
        <v>4043/4044</v>
      </c>
      <c r="L61" s="185" t="str">
        <f>VLOOKUP(A61,'Trips&amp;Operators'!$C$1:$G$99911,5,FALSE)</f>
        <v>YANG JAN</v>
      </c>
      <c r="M61" s="6">
        <f>I61-F61</f>
        <v>2.4733796301006805E-2</v>
      </c>
      <c r="N61" s="7">
        <f>24*60*SUM($M61:$M61)</f>
        <v>35.616666673449799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-10-18T08:38:28-0600',mode:absolute,to:'2017-10-18T11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4.53E-2</v>
      </c>
      <c r="Z61" s="204">
        <f>RIGHT(H61,LEN(H61)-4)/10000</f>
        <v>23.331199999999999</v>
      </c>
      <c r="AA61" s="204">
        <f>ABS(Z61-Y61)</f>
        <v>23.285899999999998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s3://rtdc.mdm.uploadarchive.raw/RTDC4044/ "%USERPROFILE%\AppData\Local\Temp\OnboardLogs"\RTDC4044\2017-10-18 --exclude "*" --recursive --include "*20171018*" &amp; "%USERPROFILE%\Documents\GitHub\mrs-test-scripts\Headless Mode &amp; Sideloading\WalkAndUnGZ.bat" "%USERPROFILE%\AppData\Local\Temp\OnboardLogs"\RTDC4044\2017-10-18 &amp; 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/stypes="app*4044*20171018*" /stext=" 16:.+((SYSTEM_STATE.+slice.+state.+changed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149-18 --locoid 4044 --swversion DE.1.0.9.0 --startMP 204:453 --initTime 2017-10-18T09:38:28 --startdatetime 2017-10-18T09:45:15 --delay 52 --endMP 204:233312 --enddatetime 2017-10-18T10:20:52 --enforcementcount 0 &gt;&gt;%USERPROFILE%\Documents\GitHub\eaglep3-reporting\EC\2017-10-18-refined-times.txt</v>
      </c>
      <c r="AI61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{"issue":{"subject":"","project_id":79,"tracker_id":40,"status_id":1,"priority_id":2,"assigned_to_id":338,"start_date":"2017-10-18","description":"","custom_fields":[{"id":1,"name":"Subdivision","value":"EC"},{"id":4,"name":"Milepost","value":"23.3312"},{"id":17,"name":"Train ID","value":"149-18"},{"id":16,"name":"Locomotive ID","value":"4044"},{"id":130,"name":"Impact","value":""},{"id":150,"name":"Time of Event (Mountain Time)","value":"10:20:52"},{"id":151,"name":"Denver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4044 --day 2017-10-18</v>
      </c>
      <c r="AN61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16:20:52"},{"id":29,"name":"Sharepoint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-10-18T08:38:28-0600',mode:absolute,to:'2017-10-18T11:20:52-0600'))&amp;_a=(columns:!('Message%20ID',Summary),filters:!(),index:'emp_*',interval:auto,query:(query_string:(analyze_wildcard:!t,query:'%22rtdc.l.rtdc.4044%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680</v>
      </c>
      <c r="B62" s="7">
        <v>4043</v>
      </c>
      <c r="C62" s="21" t="s">
        <v>194</v>
      </c>
      <c r="D62" s="21" t="s">
        <v>406</v>
      </c>
      <c r="E62" s="13">
        <v>43026.44059027778</v>
      </c>
      <c r="F62" s="13">
        <v>43026.446099537039</v>
      </c>
      <c r="G62" s="7">
        <v>47</v>
      </c>
      <c r="H62" s="21" t="s">
        <v>835</v>
      </c>
      <c r="I62" s="13">
        <v>43026.472592592596</v>
      </c>
      <c r="J62" s="7">
        <v>0</v>
      </c>
      <c r="K62" s="89" t="str">
        <f>IF(ISEVEN(B62),(B62-1)&amp;"/"&amp;B62,B62&amp;"/"&amp;(B62+1))</f>
        <v>4043/4044</v>
      </c>
      <c r="L62" s="185" t="str">
        <f>VLOOKUP(A62,'Trips&amp;Operators'!$C$1:$G$99911,5,FALSE)</f>
        <v>YANG JAN</v>
      </c>
      <c r="M62" s="6">
        <f>I62-F62</f>
        <v>2.6493055556784384E-2</v>
      </c>
      <c r="N62" s="7">
        <f>24*60*SUM($M62:$M62)</f>
        <v>38.150000001769513</v>
      </c>
      <c r="O62" s="7"/>
      <c r="P62" s="7"/>
      <c r="Q62" s="22"/>
      <c r="R62" s="174" t="s">
        <v>1026</v>
      </c>
      <c r="S62" s="221">
        <f>1/IF(AG62="EC",12,1)*SUM(U62:U62)</f>
        <v>1</v>
      </c>
      <c r="T62" s="174" t="str">
        <f>IF(ISEVEN(LEFT(AD62,4)),"Southbound","NorthBound")</f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-10-18T09:34:27-0600',mode:absolute,to:'2017-10-18T12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23.299099999999999</v>
      </c>
      <c r="Z62" s="204">
        <f>RIGHT(H62,LEN(H62)-4)/10000</f>
        <v>1.44E-2</v>
      </c>
      <c r="AA62" s="204">
        <f>ABS(Z62-Y62)</f>
        <v>23.284700000000001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s3://rtdc.mdm.uploadarchive.raw/RTDC4043/ "%USERPROFILE%\AppData\Local\Temp\OnboardLogs"\RTDC4043\2017-10-18 --exclude "*" --recursive --include "*20171018*" &amp; "%USERPROFILE%\Documents\GitHub\mrs-test-scripts\Headless Mode &amp; Sideloading\WalkAndUnGZ.bat" "%USERPROFILE%\AppData\Local\Temp\OnboardLogs"\RTDC4043\2017-10-18 &amp; 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/stypes="app*4043*20171018*" /stext=" 17:.+((SYSTEM_STATE.+slice.+state.+changed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150-18 --locoid 4043 --swversion DE.1.0.9.0 --startMP 204:232991 --initTime 2017-10-18T10:34:27 --startdatetime 2017-10-18T10:42:23 --delay 47 --endMP 204:144 --enddatetime 2017-10-18T11:20:32 --enforcementcount 0 &gt;&gt;%USERPROFILE%\Documents\GitHub\eaglep3-reporting\EC\2017-10-18-refined-times.txt</v>
      </c>
      <c r="AI62" s="96" t="str">
        <f t="shared" si="6"/>
        <v>echo {"issue":{"subject":"Observed banner without braking","project_id":79,"tracker_id":40,"status_id":1,"priority_id":2,"assigned_to_id":338,"start_date":"2017-10-18","description":"","custom_fields":[{"id":1,"name":"Subdivision","value":"EC"},{"id":4,"name":"Milepost","value":"0.0144"},{"id":17,"name":"Train ID","value":"150-18"},{"id":16,"name":"Locomotive ID","value":"4043"},{"id":130,"name":"Impact","value":""},{"id":150,"name":"Time of Event (Mountain Time)","value":"11:20:32"},{"id":151,"name":"Denver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4043 --day 2017-10-18</v>
      </c>
      <c r="AN62" s="151" t="str">
        <f t="shared" si="8"/>
        <v>echo {"issue":{"subject":"Observed banner without braking","project_id":30,"tracker_id":4,"status_id":1,"priority_id":1,"assigned_to_id":10,"start_date":"2017-10-18","description":"","custom_fields":[{"id":30,"name":"Category","value":"Issue"},{"id":3,"name":"Functional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17:20:32"},{"id":29,"name":"Sharepoint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-10-18T09:34:27-0600',mode:absolute,to:'2017-10-18T12:20:32-0600'))&amp;_a=(columns:!('Message%20ID',Summary),filters:!(),index:'emp_*',interval:auto,query:(query_string:(analyze_wildcard:!t,query:'%22rtdc.l.rtdc.4043%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669</v>
      </c>
      <c r="B63" s="7">
        <v>4064</v>
      </c>
      <c r="C63" s="21" t="s">
        <v>194</v>
      </c>
      <c r="D63" s="21" t="s">
        <v>388</v>
      </c>
      <c r="E63" s="13">
        <v>43026.411944444444</v>
      </c>
      <c r="F63" s="13">
        <v>43026.416817129626</v>
      </c>
      <c r="G63" s="7">
        <v>71</v>
      </c>
      <c r="H63" s="21" t="s">
        <v>836</v>
      </c>
      <c r="I63" s="13">
        <v>43026.441342592596</v>
      </c>
      <c r="J63" s="7">
        <v>0</v>
      </c>
      <c r="K63" s="89" t="str">
        <f>IF(ISEVEN(B63),(B63-1)&amp;"/"&amp;B63,B63&amp;"/"&amp;(B63+1))</f>
        <v>4063/4064</v>
      </c>
      <c r="L63" s="185" t="str">
        <f>VLOOKUP(A63,'Trips&amp;Operators'!$C$1:$G$99911,5,FALSE)</f>
        <v>DAVIS WENDY</v>
      </c>
      <c r="M63" s="6">
        <f>I63-F63</f>
        <v>2.4525462969904765E-2</v>
      </c>
      <c r="N63" s="7">
        <f>24*60*SUM($M63:$M63)</f>
        <v>35.316666676662862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-10-18T08:53:12-0600',mode:absolute,to:'2017-10-18T11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4.7300000000000002E-2</v>
      </c>
      <c r="Z63" s="204">
        <f>RIGHT(H63,LEN(H63)-4)/10000</f>
        <v>23.331800000000001</v>
      </c>
      <c r="AA63" s="204">
        <f>ABS(Z63-Y63)</f>
        <v>23.284500000000001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s3://rtdc.mdm.uploadarchive.raw/RTDC4064/ "%USERPROFILE%\AppData\Local\Temp\OnboardLogs"\RTDC4064\2017-10-18 --exclude "*" --recursive --include "*20171018*" &amp; "%USERPROFILE%\Documents\GitHub\mrs-test-scripts\Headless Mode &amp; Sideloading\WalkAndUnGZ.bat" "%USERPROFILE%\AppData\Local\Temp\OnboardLogs"\RTDC4064\2017-10-18 &amp; aws s3 cp s3://rtdc.mdm.uploadarchive.raw/RTDC4064/ "%USERPROFILE%\AppData\Local\Temp\OnboardLogs"\RTDC4064\2017-10-19 --exclude "*" --recursive --include "*20171019*" &amp; "%USERPROFILE%\Documents\GitHub\mrs-test-scripts\Headless Mode &amp; Sideloading\WalkAndUnGZ.bat" "%USERPROFILE%\AppData\Local\Temp\OnboardLogs"\RTDC4064\2017-10-19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/stypes="app*4064*20171018*" /stext=" 16:.+((SYSTEM_STATE.+slice.+state.+changed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151-18 --locoid 4064 --swversion DE.1.0.9.0 --startMP 204:473 --initTime 2017-10-18T09:53:12 --startdatetime 2017-10-18T10:00:13 --delay 71 --endMP 204:233318 --enddatetime 2017-10-18T10:35:32 --enforcementcount 0 &gt;&gt;%USERPROFILE%\Documents\GitHub\eaglep3-reporting\EC\2017-10-18-refined-times.txt</v>
      </c>
      <c r="AI63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{"issue":{"subject":"","project_id":79,"tracker_id":40,"status_id":1,"priority_id":2,"assigned_to_id":338,"start_date":"2017-10-18","description":"","custom_fields":[{"id":1,"name":"Subdivision","value":"EC"},{"id":4,"name":"Milepost","value":"23.3318"},{"id":17,"name":"Train ID","value":"151-18"},{"id":16,"name":"Locomotive ID","value":"4064"},{"id":130,"name":"Impact","value":""},{"id":150,"name":"Time of Event (Mountain Time)","value":"10:35:32"},{"id":151,"name":"Denver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4064 --day 2017-10-18</v>
      </c>
      <c r="AN63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16:35:32"},{"id":29,"name":"Sharepoint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-10-18T08:53:12-0600',mode:absolute,to:'2017-10-18T11:35:32-0600'))&amp;_a=(columns:!('Message%20ID',Summary),filters:!(),index:'emp_*',interval:auto,query:(query_string:(analyze_wildcard:!t,query:'%22rtdc.l.rtdc.4064%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682</v>
      </c>
      <c r="B64" s="7">
        <v>4063</v>
      </c>
      <c r="C64" s="21" t="s">
        <v>194</v>
      </c>
      <c r="D64" s="21" t="s">
        <v>837</v>
      </c>
      <c r="E64" s="13">
        <v>43026.444074074076</v>
      </c>
      <c r="F64" s="13">
        <v>43026.456400462965</v>
      </c>
      <c r="G64" s="7">
        <v>96</v>
      </c>
      <c r="H64" s="21" t="s">
        <v>437</v>
      </c>
      <c r="I64" s="13">
        <v>43026.483182870368</v>
      </c>
      <c r="J64" s="7">
        <v>0</v>
      </c>
      <c r="K64" s="89" t="str">
        <f>IF(ISEVEN(B64),(B64-1)&amp;"/"&amp;B64,B64&amp;"/"&amp;(B64+1))</f>
        <v>4063/4064</v>
      </c>
      <c r="L64" s="185" t="str">
        <f>VLOOKUP(A64,'Trips&amp;Operators'!$C$1:$G$99911,5,FALSE)</f>
        <v>DAVIS WENDY</v>
      </c>
      <c r="M64" s="6">
        <f>I64-F64</f>
        <v>2.6782407403516117E-2</v>
      </c>
      <c r="N64" s="7">
        <f>24*60*SUM($M64:$M64)</f>
        <v>38.566666661063209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-10-18T09:39:28-0600',mode:absolute,to:'2017-10-18T12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23.298400000000001</v>
      </c>
      <c r="Z64" s="204">
        <f>RIGHT(H64,LEN(H64)-4)/10000</f>
        <v>1.41E-2</v>
      </c>
      <c r="AA64" s="204">
        <f>ABS(Z64-Y64)</f>
        <v>23.284300000000002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s3://rtdc.mdm.uploadarchive.raw/RTDC4063/ "%USERPROFILE%\AppData\Local\Temp\OnboardLogs"\RTDC4063\2017-10-18 --exclude "*" --recursive --include "*20171018*" &amp; "%USERPROFILE%\Documents\GitHub\mrs-test-scripts\Headless Mode &amp; Sideloading\WalkAndUnGZ.bat" "%USERPROFILE%\AppData\Local\Temp\OnboardLogs"\RTDC4063\2017-10-18 &amp; aws s3 cp s3://rtdc.mdm.uploadarchive.raw/RTDC4063/ "%USERPROFILE%\AppData\Local\Temp\OnboardLogs"\RTDC4063\2017-10-19 --exclude "*" --recursive --include "*20171019*" &amp; "%USERPROFILE%\Documents\GitHub\mrs-test-scripts\Headless Mode &amp; Sideloading\WalkAndUnGZ.bat" "%USERPROFILE%\AppData\Local\Temp\OnboardLogs"\RTDC4063\2017-10-19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/stypes="app*4063*20171018*" /stext=" 17:.+((SYSTEM_STATE.+slice.+state.+changed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152-18 --locoid 4063 --swversion DE.1.0.9.0 --startMP 204:232984 --initTime 2017-10-18T10:39:28 --startdatetime 2017-10-18T10:57:13 --delay 96 --endMP 204:141 --enddatetime 2017-10-18T11:35:47 --enforcementcount 0 &gt;&gt;%USERPROFILE%\Documents\GitHub\eaglep3-reporting\EC\2017-10-18-refined-times.txt</v>
      </c>
      <c r="AI64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{"issue":{"subject":"","project_id":79,"tracker_id":40,"status_id":1,"priority_id":2,"assigned_to_id":338,"start_date":"2017-10-18","description":"","custom_fields":[{"id":1,"name":"Subdivision","value":"EC"},{"id":4,"name":"Milepost","value":"0.0141"},{"id":17,"name":"Train ID","value":"152-18"},{"id":16,"name":"Locomotive ID","value":"4063"},{"id":130,"name":"Impact","value":""},{"id":150,"name":"Time of Event (Mountain Time)","value":"11:35:47"},{"id":151,"name":"Denver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4063 --day 2017-10-18</v>
      </c>
      <c r="AN64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17:35:47"},{"id":29,"name":"Sharepoint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-10-18T09:39:28-0600',mode:absolute,to:'2017-10-18T12:35:47-0600'))&amp;_a=(columns:!('Message%20ID',Summary),filters:!(),index:'emp_*',interval:auto,query:(query_string:(analyze_wildcard:!t,query:'%22rtdc.l.rtdc.4063%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675</v>
      </c>
      <c r="B65" s="7">
        <v>4026</v>
      </c>
      <c r="C65" s="21" t="s">
        <v>194</v>
      </c>
      <c r="D65" s="21" t="s">
        <v>372</v>
      </c>
      <c r="E65" s="13">
        <v>43026.423495370371</v>
      </c>
      <c r="F65" s="13">
        <v>43026.427256944444</v>
      </c>
      <c r="G65" s="7">
        <v>176</v>
      </c>
      <c r="H65" s="21" t="s">
        <v>451</v>
      </c>
      <c r="I65" s="13">
        <v>43026.452152777776</v>
      </c>
      <c r="J65" s="7">
        <v>0</v>
      </c>
      <c r="K65" s="89" t="str">
        <f>IF(ISEVEN(B65),(B65-1)&amp;"/"&amp;B65,B65&amp;"/"&amp;(B65+1))</f>
        <v>4025/4026</v>
      </c>
      <c r="L65" s="185" t="str">
        <f>VLOOKUP(A65,'Trips&amp;Operators'!$C$1:$G$99911,5,FALSE)</f>
        <v>LAMAR NEKESHA</v>
      </c>
      <c r="M65" s="6">
        <f>I65-F65</f>
        <v>2.4895833332266193E-2</v>
      </c>
      <c r="N65" s="7">
        <f>24*60*SUM($M65:$M65)</f>
        <v>35.849999998463318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-10-18T09:09:50-0600',mode:absolute,to:'2017-10-18T11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4.4699999999999997E-2</v>
      </c>
      <c r="Z65" s="204">
        <f>RIGHT(H65,LEN(H65)-4)/10000</f>
        <v>23.329499999999999</v>
      </c>
      <c r="AA65" s="204">
        <f>ABS(Z65-Y65)</f>
        <v>23.284800000000001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s3://rtdc.mdm.uploadarchive.raw/RTDC4026/ "%USERPROFILE%\AppData\Local\Temp\OnboardLogs"\RTDC4026\2017-10-18 --exclude "*" --recursive --include "*20171018*" &amp; "%USERPROFILE%\Documents\GitHub\mrs-test-scripts\Headless Mode &amp; Sideloading\WalkAndUnGZ.bat" "%USERPROFILE%\AppData\Local\Temp\OnboardLogs"\RTDC4026\2017-10-18 &amp; aws s3 cp s3://rtdc.mdm.uploadarchive.raw/RTDC4026/ "%USERPROFILE%\AppData\Local\Temp\OnboardLogs"\RTDC4026\2017-10-19 --exclude "*" --recursive --include "*20171019*" &amp; "%USERPROFILE%\Documents\GitHub\mrs-test-scripts\Headless Mode &amp; Sideloading\WalkAndUnGZ.bat" "%USERPROFILE%\AppData\Local\Temp\OnboardLogs"\RTDC4026\2017-10-19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/stypes="app*4026*20171018*" /stext=" 16:.+((SYSTEM_STATE.+slice.+state.+changed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153-18 --locoid 4026 --swversion DE.1.0.9.0 --startMP 204:447 --initTime 2017-10-18T10:09:50 --startdatetime 2017-10-18T10:15:15 --delay 176 --endMP 204:233295 --enddatetime 2017-10-18T10:51:06 --enforcementcount 0 &gt;&gt;%USERPROFILE%\Documents\GitHub\eaglep3-reporting\EC\2017-10-18-refined-times.txt</v>
      </c>
      <c r="AI65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{"issue":{"subject":"","project_id":79,"tracker_id":40,"status_id":1,"priority_id":2,"assigned_to_id":338,"start_date":"2017-10-18","description":"","custom_fields":[{"id":1,"name":"Subdivision","value":"EC"},{"id":4,"name":"Milepost","value":"23.3295"},{"id":17,"name":"Train ID","value":"153-18"},{"id":16,"name":"Locomotive ID","value":"4026"},{"id":130,"name":"Impact","value":""},{"id":150,"name":"Time of Event (Mountain Time)","value":"10:51:06"},{"id":151,"name":"Denver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4026 --day 2017-10-18</v>
      </c>
      <c r="AN65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16:51:06"},{"id":29,"name":"Sharepoint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-10-18T09:09:50-0600',mode:absolute,to:'2017-10-18T11:51:06-0600'))&amp;_a=(columns:!('Message%20ID',Summary),filters:!(),index:'emp_*',interval:auto,query:(query_string:(analyze_wildcard:!t,query:'%22rtdc.l.rtdc.4026%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687</v>
      </c>
      <c r="B66" s="7">
        <v>4025</v>
      </c>
      <c r="C66" s="21" t="s">
        <v>194</v>
      </c>
      <c r="D66" s="21" t="s">
        <v>526</v>
      </c>
      <c r="E66" s="13">
        <v>43026.463807870372</v>
      </c>
      <c r="F66" s="13">
        <v>43026.466828703706</v>
      </c>
      <c r="G66" s="7">
        <v>67</v>
      </c>
      <c r="H66" s="21" t="s">
        <v>490</v>
      </c>
      <c r="I66" s="13">
        <v>43026.492928240739</v>
      </c>
      <c r="J66" s="7">
        <v>0</v>
      </c>
      <c r="K66" s="89" t="str">
        <f>IF(ISEVEN(B66),(B66-1)&amp;"/"&amp;B66,B66&amp;"/"&amp;(B66+1))</f>
        <v>4025/4026</v>
      </c>
      <c r="L66" s="185" t="str">
        <f>VLOOKUP(A66,'Trips&amp;Operators'!$C$1:$G$99911,5,FALSE)</f>
        <v>LAMAR NEKESHA</v>
      </c>
      <c r="M66" s="6">
        <f>I66-F66</f>
        <v>2.6099537033587694E-2</v>
      </c>
      <c r="N66" s="7">
        <f>24*60*SUM($M66:$M66)</f>
        <v>37.58333332836628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-10-18T10:07:53-0600',mode:absolute,to:'2017-10-18T12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23.2974</v>
      </c>
      <c r="Z66" s="204">
        <f>RIGHT(H66,LEN(H66)-4)/10000</f>
        <v>1.7600000000000001E-2</v>
      </c>
      <c r="AA66" s="204">
        <f>ABS(Z66-Y66)</f>
        <v>23.279799999999998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s3://rtdc.mdm.uploadarchive.raw/RTDC4025/ "%USERPROFILE%\AppData\Local\Temp\OnboardLogs"\RTDC4025\2017-10-18 --exclude "*" --recursive --include "*20171018*" &amp; "%USERPROFILE%\Documents\GitHub\mrs-test-scripts\Headless Mode &amp; Sideloading\WalkAndUnGZ.bat" "%USERPROFILE%\AppData\Local\Temp\OnboardLogs"\RTDC4025\2017-10-18 &amp; aws s3 cp s3://rtdc.mdm.uploadarchive.raw/RTDC4025/ "%USERPROFILE%\AppData\Local\Temp\OnboardLogs"\RTDC4025\2017-10-19 --exclude "*" --recursive --include "*20171019*" &amp; "%USERPROFILE%\Documents\GitHub\mrs-test-scripts\Headless Mode &amp; Sideloading\WalkAndUnGZ.bat" "%USERPROFILE%\AppData\Local\Temp\OnboardLogs"\RTDC4025\2017-10-19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/stypes="app*4025*20171018*" /stext=" 17:.+((SYSTEM_STATE.+slice.+state.+changed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154-18 --locoid 4025 --swversion DE.1.0.9.0 --startMP 204:232974 --initTime 2017-10-18T11:07:53 --startdatetime 2017-10-18T11:12:14 --delay 67 --endMP 204:176 --enddatetime 2017-10-18T11:49:49 --enforcementcount 0 &gt;&gt;%USERPROFILE%\Documents\GitHub\eaglep3-reporting\EC\2017-10-18-refined-times.txt</v>
      </c>
      <c r="AI66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{"issue":{"subject":"","project_id":79,"tracker_id":40,"status_id":1,"priority_id":2,"assigned_to_id":338,"start_date":"2017-10-18","description":"","custom_fields":[{"id":1,"name":"Subdivision","value":"EC"},{"id":4,"name":"Milepost","value":"0.0176"},{"id":17,"name":"Train ID","value":"154-18"},{"id":16,"name":"Locomotive ID","value":"4025"},{"id":130,"name":"Impact","value":""},{"id":150,"name":"Time of Event (Mountain Time)","value":"11:49:49"},{"id":151,"name":"Denver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4025 --day 2017-10-18</v>
      </c>
      <c r="AN66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17:49:49"},{"id":29,"name":"Sharepoint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-10-18T10:07:53-0600',mode:absolute,to:'2017-10-18T12:49:49-0600'))&amp;_a=(columns:!('Message%20ID',Summary),filters:!(),index:'emp_*',interval:auto,query:(query_string:(analyze_wildcard:!t,query:'%22rtdc.l.rtdc.4025%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678</v>
      </c>
      <c r="B67" s="7">
        <v>4056</v>
      </c>
      <c r="C67" s="21" t="s">
        <v>194</v>
      </c>
      <c r="D67" s="21" t="s">
        <v>353</v>
      </c>
      <c r="E67" s="13">
        <v>43026.434050925927</v>
      </c>
      <c r="F67" s="13">
        <v>43026.437650462962</v>
      </c>
      <c r="G67" s="7">
        <v>45</v>
      </c>
      <c r="H67" s="21" t="s">
        <v>479</v>
      </c>
      <c r="I67" s="13">
        <v>43026.461458333331</v>
      </c>
      <c r="J67" s="7">
        <v>0</v>
      </c>
      <c r="K67" s="89" t="str">
        <f>IF(ISEVEN(B67),(B67-1)&amp;"/"&amp;B67,B67&amp;"/"&amp;(B67+1))</f>
        <v>4055/4056</v>
      </c>
      <c r="L67" s="185" t="str">
        <f>VLOOKUP(A67,'Trips&amp;Operators'!$C$1:$G$99911,5,FALSE)</f>
        <v>YANAI IAN</v>
      </c>
      <c r="M67" s="6">
        <f>I67-F67</f>
        <v>2.3807870369637385E-2</v>
      </c>
      <c r="N67" s="7">
        <f>24*60*SUM($M67:$M67)</f>
        <v>34.283333332277834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-10-18T09:25:02-0600',mode:absolute,to:'2017-10-18T12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4.58E-2</v>
      </c>
      <c r="Z67" s="204">
        <f>RIGHT(H67,LEN(H67)-4)/10000</f>
        <v>23.328800000000001</v>
      </c>
      <c r="AA67" s="204">
        <f>ABS(Z67-Y67)</f>
        <v>23.283000000000001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s3://rtdc.mdm.uploadarchive.raw/RTDC4056/ "%USERPROFILE%\AppData\Local\Temp\OnboardLogs"\RTDC4056\2017-10-18 --exclude "*" --recursive --include "*20171018*" &amp; "%USERPROFILE%\Documents\GitHub\mrs-test-scripts\Headless Mode &amp; Sideloading\WalkAndUnGZ.bat" "%USERPROFILE%\AppData\Local\Temp\OnboardLogs"\RTDC4056\2017-10-18 &amp; aws s3 cp s3://rtdc.mdm.uploadarchive.raw/RTDC4056/ "%USERPROFILE%\AppData\Local\Temp\OnboardLogs"\RTDC4056\2017-10-19 --exclude "*" --recursive --include "*20171019*" &amp; "%USERPROFILE%\Documents\GitHub\mrs-test-scripts\Headless Mode &amp; Sideloading\WalkAndUnGZ.bat" "%USERPROFILE%\AppData\Local\Temp\OnboardLogs"\RTDC4056\2017-10-19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/stypes="app*4056*20171018*"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155-18 --locoid 4056 --swversion DE.1.0.9.0 --startMP 204:458 --initTime 2017-10-18T10:25:02 --startdatetime 2017-10-18T10:30:13 --delay 45 --endMP 204:233288 --enddatetime 2017-10-18T11:04:30 --enforcementcount 0 &gt;&gt;%USERPROFILE%\Documents\GitHub\eaglep3-reporting\EC\2017-10-18-refined-times.txt</v>
      </c>
      <c r="AI67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{"issue":{"subject":"","project_id":79,"tracker_id":40,"status_id":1,"priority_id":2,"assigned_to_id":338,"start_date":"2017-10-18","description":"","custom_fields":[{"id":1,"name":"Subdivision","value":"EC"},{"id":4,"name":"Milepost","value":"23.3288"},{"id":17,"name":"Train ID","value":"155-18"},{"id":16,"name":"Locomotive ID","value":"4056"},{"id":130,"name":"Impact","value":""},{"id":150,"name":"Time of Event (Mountain Time)","value":"11:04:30"},{"id":151,"name":"Denver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4056 --day 2017-10-18</v>
      </c>
      <c r="AN67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17:04:30"},{"id":29,"name":"Sharepoint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-10-18T09:25:02-0600',mode:absolute,to:'2017-10-18T12:04:30-0600'))&amp;_a=(columns:!('Message%20ID',Summary),filters:!(),index:'emp_*',interval:auto,query:(query_string:(analyze_wildcard:!t,query:'%22rtdc.l.rtdc.4056%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686</v>
      </c>
      <c r="B68" s="7">
        <v>4055</v>
      </c>
      <c r="C68" s="21" t="s">
        <v>194</v>
      </c>
      <c r="D68" s="21" t="s">
        <v>838</v>
      </c>
      <c r="E68" s="13">
        <v>43026.462453703702</v>
      </c>
      <c r="F68" s="13">
        <v>43026.477256944447</v>
      </c>
      <c r="G68" s="7">
        <v>76</v>
      </c>
      <c r="H68" s="21" t="s">
        <v>366</v>
      </c>
      <c r="I68" s="13">
        <v>43026.502835648149</v>
      </c>
      <c r="J68" s="7">
        <v>0</v>
      </c>
      <c r="K68" s="89" t="str">
        <f>IF(ISEVEN(B68),(B68-1)&amp;"/"&amp;B68,B68&amp;"/"&amp;(B68+1))</f>
        <v>4055/4056</v>
      </c>
      <c r="L68" s="185" t="str">
        <f>VLOOKUP(A68,'Trips&amp;Operators'!$C$1:$G$99911,5,FALSE)</f>
        <v>YANAI IAN</v>
      </c>
      <c r="M68" s="6">
        <f>I68-F68</f>
        <v>2.5578703702194616E-2</v>
      </c>
      <c r="N68" s="7">
        <f>24*60*SUM($M68:$M68)</f>
        <v>36.833333331160247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-10-18T10:05:56-0600',mode:absolute,to:'2017-10-18T13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23.296299999999999</v>
      </c>
      <c r="Z68" s="204">
        <f>RIGHT(H68,LEN(H68)-4)/10000</f>
        <v>1.3899999999999999E-2</v>
      </c>
      <c r="AA68" s="204">
        <f>ABS(Z68-Y68)</f>
        <v>23.282399999999999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s3://rtdc.mdm.uploadarchive.raw/RTDC4055/ "%USERPROFILE%\AppData\Local\Temp\OnboardLogs"\RTDC4055\2017-10-18 --exclude "*" --recursive --include "*20171018*" &amp; "%USERPROFILE%\Documents\GitHub\mrs-test-scripts\Headless Mode &amp; Sideloading\WalkAndUnGZ.bat" "%USERPROFILE%\AppData\Local\Temp\OnboardLogs"\RTDC4055\2017-10-18 &amp; aws s3 cp s3://rtdc.mdm.uploadarchive.raw/RTDC4055/ "%USERPROFILE%\AppData\Local\Temp\OnboardLogs"\RTDC4055\2017-10-19 --exclude "*" --recursive --include "*20171019*" &amp; "%USERPROFILE%\Documents\GitHub\mrs-test-scripts\Headless Mode &amp; Sideloading\WalkAndUnGZ.bat" "%USERPROFILE%\AppData\Local\Temp\OnboardLogs"\RTDC4055\2017-10-19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/stypes="app*4055*20171018*" /stext=" 18:.+((SYSTEM_STATE.+slice.+state.+changed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156-18 --locoid 4055 --swversion DE.1.0.9.0 --startMP 204:232963 --initTime 2017-10-18T11:05:56 --startdatetime 2017-10-18T11:27:15 --delay 76 --endMP 204:139 --enddatetime 2017-10-18T12:04:05 --enforcementcount 0 &gt;&gt;%USERPROFILE%\Documents\GitHub\eaglep3-reporting\EC\2017-10-18-refined-times.txt</v>
      </c>
      <c r="AI68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{"issue":{"subject":"","project_id":79,"tracker_id":40,"status_id":1,"priority_id":2,"assigned_to_id":338,"start_date":"2017-10-18","description":"","custom_fields":[{"id":1,"name":"Subdivision","value":"EC"},{"id":4,"name":"Milepost","value":"0.0139"},{"id":17,"name":"Train ID","value":"156-18"},{"id":16,"name":"Locomotive ID","value":"4055"},{"id":130,"name":"Impact","value":""},{"id":150,"name":"Time of Event (Mountain Time)","value":"12:04:05"},{"id":151,"name":"Denver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4055 --day 2017-10-18</v>
      </c>
      <c r="AN68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18:04:05"},{"id":29,"name":"Sharepoint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-10-18T10:05:56-0600',mode:absolute,to:'2017-10-18T13:04:05-0600'))&amp;_a=(columns:!('Message%20ID',Summary),filters:!(),index:'emp_*',interval:auto,query:(query_string:(analyze_wildcard:!t,query:'%22rtdc.l.rtdc.4055%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681</v>
      </c>
      <c r="B69" s="7">
        <v>4020</v>
      </c>
      <c r="C69" s="21" t="s">
        <v>194</v>
      </c>
      <c r="D69" s="21" t="s">
        <v>416</v>
      </c>
      <c r="E69" s="13">
        <v>43026.443171296298</v>
      </c>
      <c r="F69" s="13">
        <v>43026.448067129626</v>
      </c>
      <c r="G69" s="7">
        <v>95</v>
      </c>
      <c r="H69" s="21" t="s">
        <v>452</v>
      </c>
      <c r="I69" s="13">
        <v>43026.472800925927</v>
      </c>
      <c r="J69" s="7">
        <v>0</v>
      </c>
      <c r="K69" s="89" t="str">
        <f>IF(ISEVEN(B69),(B69-1)&amp;"/"&amp;B69,B69&amp;"/"&amp;(B69+1))</f>
        <v>4019/4020</v>
      </c>
      <c r="L69" s="185" t="str">
        <f>VLOOKUP(A69,'Trips&amp;Operators'!$C$1:$G$99911,5,FALSE)</f>
        <v>DE LA ROSA ALEX</v>
      </c>
      <c r="M69" s="6">
        <f>I69-F69</f>
        <v>2.4733796301006805E-2</v>
      </c>
      <c r="N69" s="7">
        <f>24*60*SUM($M69:$M69)</f>
        <v>35.616666673449799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-10-18T09:38:10-0600',mode:absolute,to:'2017-10-18T12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4.6199999999999998E-2</v>
      </c>
      <c r="Z69" s="204">
        <f>RIGHT(H69,LEN(H69)-4)/10000</f>
        <v>23.329699999999999</v>
      </c>
      <c r="AA69" s="204">
        <f>ABS(Z69-Y69)</f>
        <v>23.2835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 &amp; aws s3 cp s3://rtdc.mdm.uploadarchive.raw/RTDC4020/ "%USERPROFILE%\AppData\Local\Temp\OnboardLogs"\RTDC4020\2017-10-19 --exclude "*" --recursive --include "*20171019*" &amp; "%USERPROFILE%\Documents\GitHub\mrs-test-scripts\Headless Mode &amp; Sideloading\WalkAndUnGZ.bat" "%USERPROFILE%\AppData\Local\Temp\OnboardLogs"\RTDC4020\2017-10-19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/stypes="app*4020*20171018*" /stext=" 17:.+((SYSTEM_STATE.+slice.+state.+changed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157-18 --locoid 4020 --swversion DE.1.0.9.0 --startMP 204:462 --initTime 2017-10-18T10:38:10 --startdatetime 2017-10-18T10:45:13 --delay 95 --endMP 204:233297 --enddatetime 2017-10-18T11:20:50 --enforcementcount 0 &gt;&gt;%USERPROFILE%\Documents\GitHub\eaglep3-reporting\EC\2017-10-18-refined-times.txt</v>
      </c>
      <c r="AI69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{"issue":{"subject":"","project_id":79,"tracker_id":40,"status_id":1,"priority_id":2,"assigned_to_id":338,"start_date":"2017-10-18","description":"","custom_fields":[{"id":1,"name":"Subdivision","value":"EC"},{"id":4,"name":"Milepost","value":"23.3297"},{"id":17,"name":"Train ID","value":"157-18"},{"id":16,"name":"Locomotive ID","value":"4020"},{"id":130,"name":"Impact","value":""},{"id":150,"name":"Time of Event (Mountain Time)","value":"11:20:50"},{"id":151,"name":"Denver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4020 --day 2017-10-18</v>
      </c>
      <c r="AN69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17:20:50"},{"id":29,"name":"Sharepoint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-10-18T09:38:10-0600',mode:absolute,to:'2017-10-18T12:20:50-0600'))&amp;_a=(columns:!('Message%20ID',Summary),filters:!(),index:'emp_*',interval:auto,query:(query_string:(analyze_wildcard:!t,query:'%22rtdc.l.rtdc.4020%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692</v>
      </c>
      <c r="B70" s="7">
        <v>4019</v>
      </c>
      <c r="C70" s="21" t="s">
        <v>194</v>
      </c>
      <c r="D70" s="21" t="s">
        <v>453</v>
      </c>
      <c r="E70" s="13">
        <v>43026.483611111114</v>
      </c>
      <c r="F70" s="13">
        <v>43026.487743055557</v>
      </c>
      <c r="G70" s="7">
        <v>68</v>
      </c>
      <c r="H70" s="21" t="s">
        <v>839</v>
      </c>
      <c r="I70" s="13">
        <v>43026.513159722221</v>
      </c>
      <c r="J70" s="7">
        <v>0</v>
      </c>
      <c r="K70" s="89" t="str">
        <f>IF(ISEVEN(B70),(B70-1)&amp;"/"&amp;B70,B70&amp;"/"&amp;(B70+1))</f>
        <v>4019/4020</v>
      </c>
      <c r="L70" s="185" t="str">
        <f>VLOOKUP(A70,'Trips&amp;Operators'!$C$1:$G$99911,5,FALSE)</f>
        <v>DE LA ROSA ALEX</v>
      </c>
      <c r="M70" s="6">
        <f>I70-F70</f>
        <v>2.5416666663659271E-2</v>
      </c>
      <c r="N70" s="7">
        <f>24*60*SUM($M70:$M70)</f>
        <v>36.59999999566935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-10-18T10:36:24-0600',mode:absolute,to:'2017-10-18T13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23.298300000000001</v>
      </c>
      <c r="Z70" s="204">
        <f>RIGHT(H70,LEN(H70)-4)/10000</f>
        <v>1.6299999999999999E-2</v>
      </c>
      <c r="AA70" s="204">
        <f>ABS(Z70-Y70)</f>
        <v>23.282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s3://rtdc.mdm.uploadarchive.raw/RTDC4019/ "%USERPROFILE%\AppData\Local\Temp\OnboardLogs"\RTDC4019\2017-10-18 --exclude "*" --recursive --include "*20171018*" &amp; "%USERPROFILE%\Documents\GitHub\mrs-test-scripts\Headless Mode &amp; Sideloading\WalkAndUnGZ.bat" "%USERPROFILE%\AppData\Local\Temp\OnboardLogs"\RTDC4019\2017-10-18 &amp; aws s3 cp s3://rtdc.mdm.uploadarchive.raw/RTDC4019/ "%USERPROFILE%\AppData\Local\Temp\OnboardLogs"\RTDC4019\2017-10-19 --exclude "*" --recursive --include "*20171019*" &amp; "%USERPROFILE%\Documents\GitHub\mrs-test-scripts\Headless Mode &amp; Sideloading\WalkAndUnGZ.bat" "%USERPROFILE%\AppData\Local\Temp\OnboardLogs"\RTDC4019\2017-10-19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/stypes="app*4019*20171018*" /stext=" 18:.+((SYSTEM_STATE.+slice.+state.+changed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158-18 --locoid 4019 --swversion DE.1.0.9.0 --startMP 204:232983 --initTime 2017-10-18T11:36:24 --startdatetime 2017-10-18T11:42:21 --delay 68 --endMP 204:163 --enddatetime 2017-10-18T12:18:57 --enforcementcount 0 &gt;&gt;%USERPROFILE%\Documents\GitHub\eaglep3-reporting\EC\2017-10-18-refined-times.txt</v>
      </c>
      <c r="AI70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{"issue":{"subject":"","project_id":79,"tracker_id":40,"status_id":1,"priority_id":2,"assigned_to_id":338,"start_date":"2017-10-18","description":"","custom_fields":[{"id":1,"name":"Subdivision","value":"EC"},{"id":4,"name":"Milepost","value":"0.0163"},{"id":17,"name":"Train ID","value":"158-18"},{"id":16,"name":"Locomotive ID","value":"4019"},{"id":130,"name":"Impact","value":""},{"id":150,"name":"Time of Event (Mountain Time)","value":"12:18:57"},{"id":151,"name":"Denver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4019 --day 2017-10-18</v>
      </c>
      <c r="AN70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18:18:57"},{"id":29,"name":"Sharepoint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-10-18T10:36:24-0600',mode:absolute,to:'2017-10-18T13:18:57-0600'))&amp;_a=(columns:!('Message%20ID',Summary),filters:!(),index:'emp_*',interval:auto,query:(query_string:(analyze_wildcard:!t,query:'%22rtdc.l.rtdc.4019%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564</v>
      </c>
      <c r="B71" s="7">
        <v>4062</v>
      </c>
      <c r="C71" s="21" t="s">
        <v>194</v>
      </c>
      <c r="D71" s="21" t="s">
        <v>376</v>
      </c>
      <c r="E71" s="13">
        <v>43026.453472222223</v>
      </c>
      <c r="F71" s="13">
        <v>43026.458483796298</v>
      </c>
      <c r="G71" s="7">
        <v>50</v>
      </c>
      <c r="H71" s="21" t="s">
        <v>840</v>
      </c>
      <c r="I71" s="13">
        <v>43026.483101851853</v>
      </c>
      <c r="J71" s="7">
        <v>0</v>
      </c>
      <c r="K71" s="89" t="str">
        <f>IF(ISEVEN(B71),(B71-1)&amp;"/"&amp;B71,B71&amp;"/"&amp;(B71+1))</f>
        <v>4061/4062</v>
      </c>
      <c r="L71" s="185" t="str">
        <f>VLOOKUP(A71,'Trips&amp;Operators'!$C$1:$G$99911,5,FALSE)</f>
        <v>FORTUNATO FRANK</v>
      </c>
      <c r="M71" s="6">
        <f>I71-F71</f>
        <v>2.4618055555038154E-2</v>
      </c>
      <c r="N71" s="7">
        <f>24*60*SUM($M71:$M71)</f>
        <v>35.449999999254942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-10-18T09:53:00-0600',mode:absolute,to:'2017-10-18T12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4.5699999999999998E-2</v>
      </c>
      <c r="Z71" s="204">
        <f>RIGHT(H71,LEN(H71)-4)/10000</f>
        <v>23.3307</v>
      </c>
      <c r="AA71" s="204">
        <f>ABS(Z71-Y71)</f>
        <v>23.285</v>
      </c>
      <c r="AB71" s="54" t="str">
        <f>VLOOKUP(A71,Enforcements!$C$7:$K$11,8,0)</f>
        <v>Bulletin (2)</v>
      </c>
      <c r="AC71" s="51" t="str">
        <f>VLOOKUP(A71,Enforcements!$C$7:$E$11,3,0)</f>
        <v>GRADE CROSSING</v>
      </c>
      <c r="AD71" s="179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s3://rtdc.mdm.uploadarchive.raw/RTDC4062/ "%USERPROFILE%\AppData\Local\Temp\OnboardLogs"\RTDC4062\2017-10-18 --exclude "*" --recursive --include "*20171018*" &amp; "%USERPROFILE%\Documents\GitHub\mrs-test-scripts\Headless Mode &amp; Sideloading\WalkAndUnGZ.bat" "%USERPROFILE%\AppData\Local\Temp\OnboardLogs"\RTDC4062\2017-10-18 &amp; aws s3 cp s3://rtdc.mdm.uploadarchive.raw/RTDC4062/ "%USERPROFILE%\AppData\Local\Temp\OnboardLogs"\RTDC4062\2017-10-19 --exclude "*" --recursive --include "*20171019*" &amp; "%USERPROFILE%\Documents\GitHub\mrs-test-scripts\Headless Mode &amp; Sideloading\WalkAndUnGZ.bat" "%USERPROFILE%\AppData\Local\Temp\OnboardLogs"\RTDC4062\2017-10-19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/stypes="app*4062*20171018*" /stext=" 17:.+((SYSTEM_STATE.+slice.+state.+changed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159-18 --locoid 4062 --swversion DE.1.0.9.0 --startMP 204:457 --initTime 2017-10-18T10:53:00 --startdatetime 2017-10-18T11:00:13 --delay 50 --endMP 204:233307 --enddatetime 2017-10-18T11:35:40 --enforcementcount 0 &gt;&gt;%USERPROFILE%\Documents\GitHub\eaglep3-reporting\EC\2017-10-18-refined-times.txt</v>
      </c>
      <c r="AI71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{"issue":{"subject":"","project_id":79,"tracker_id":40,"status_id":1,"priority_id":2,"assigned_to_id":338,"start_date":"2017-10-18","description":"","custom_fields":[{"id":1,"name":"Subdivision","value":"EC"},{"id":4,"name":"Milepost","value":"23.3307"},{"id":17,"name":"Train ID","value":"159-18"},{"id":16,"name":"Locomotive ID","value":"4062"},{"id":130,"name":"Impact","value":""},{"id":150,"name":"Time of Event (Mountain Time)","value":"11:35:40"},{"id":151,"name":"Denver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4062 --day 2017-10-18</v>
      </c>
      <c r="AN71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17:35:40"},{"id":29,"name":"Sharepoint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-10-18T09:53:00-0600',mode:absolute,to:'2017-10-18T12:35:40-0600'))&amp;_a=(columns:!('Message%20ID',Summary),filters:!(),index:'emp_*',interval:auto,query:(query_string:(analyze_wildcard:!t,query:'%22rtdc.l.rtdc.4062%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695</v>
      </c>
      <c r="B72" s="7">
        <v>4061</v>
      </c>
      <c r="C72" s="21" t="s">
        <v>194</v>
      </c>
      <c r="D72" s="21" t="s">
        <v>833</v>
      </c>
      <c r="E72" s="13">
        <v>43026.497025462966</v>
      </c>
      <c r="F72" s="13">
        <v>43026.498217592591</v>
      </c>
      <c r="G72" s="7">
        <v>55</v>
      </c>
      <c r="H72" s="21" t="s">
        <v>437</v>
      </c>
      <c r="I72" s="13">
        <v>43026.524652777778</v>
      </c>
      <c r="J72" s="7">
        <v>0</v>
      </c>
      <c r="K72" s="89" t="str">
        <f>IF(ISEVEN(B72),(B72-1)&amp;"/"&amp;B72,B72&amp;"/"&amp;(B72+1))</f>
        <v>4061/4062</v>
      </c>
      <c r="L72" s="185" t="str">
        <f>VLOOKUP(A72,'Trips&amp;Operators'!$C$1:$G$99911,5,FALSE)</f>
        <v>FORTUNATO FRANK</v>
      </c>
      <c r="M72" s="6">
        <f>I72-F72</f>
        <v>2.6435185187438037E-2</v>
      </c>
      <c r="N72" s="7">
        <f>24*60*SUM($M72:$M72)</f>
        <v>38.066666669910774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-10-18T10:55:43-0600',mode:absolute,to:'2017-10-18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23.2986</v>
      </c>
      <c r="Z72" s="204">
        <f>RIGHT(H72,LEN(H72)-4)/10000</f>
        <v>1.41E-2</v>
      </c>
      <c r="AA72" s="204">
        <f>ABS(Z72-Y72)</f>
        <v>23.284500000000001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s3://rtdc.mdm.uploadarchive.raw/RTDC4061/ "%USERPROFILE%\AppData\Local\Temp\OnboardLogs"\RTDC4061\2017-10-18 --exclude "*" --recursive --include "*20171018*" &amp; "%USERPROFILE%\Documents\GitHub\mrs-test-scripts\Headless Mode &amp; Sideloading\WalkAndUnGZ.bat" "%USERPROFILE%\AppData\Local\Temp\OnboardLogs"\RTDC4061\2017-10-18 &amp; aws s3 cp s3://rtdc.mdm.uploadarchive.raw/RTDC4061/ "%USERPROFILE%\AppData\Local\Temp\OnboardLogs"\RTDC4061\2017-10-19 --exclude "*" --recursive --include "*20171019*" &amp; "%USERPROFILE%\Documents\GitHub\mrs-test-scripts\Headless Mode &amp; Sideloading\WalkAndUnGZ.bat" "%USERPROFILE%\AppData\Local\Temp\OnboardLogs"\RTDC4061\2017-10-19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/stypes="app*4061*20171018*" /stext=" 18:.+((SYSTEM_STATE.+slice.+state.+changed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160-18 --locoid 4061 --swversion DE.1.0.9.0 --startMP 204:232986 --initTime 2017-10-18T11:55:43 --startdatetime 2017-10-18T11:57:26 --delay 55 --endMP 204:141 --enddatetime 2017-10-18T12:35:30 --enforcementcount 0 &gt;&gt;%USERPROFILE%\Documents\GitHub\eaglep3-reporting\EC\2017-10-18-refined-times.txt</v>
      </c>
      <c r="AI72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{"issue":{"subject":"","project_id":79,"tracker_id":40,"status_id":1,"priority_id":2,"assigned_to_id":338,"start_date":"2017-10-18","description":"","custom_fields":[{"id":1,"name":"Subdivision","value":"EC"},{"id":4,"name":"Milepost","value":"0.0141"},{"id":17,"name":"Train ID","value":"160-18"},{"id":16,"name":"Locomotive ID","value":"4061"},{"id":130,"name":"Impact","value":""},{"id":150,"name":"Time of Event (Mountain Time)","value":"12:35:30"},{"id":151,"name":"Denver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4061 --day 2017-10-18</v>
      </c>
      <c r="AN72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-10-18T10:55:43-0600',mode:absolute,to:'2017-10-18T13:35:30-0600'))&amp;_a=(columns:!('Message%20ID',Summary),filters:!(),index:'emp_*',interval:auto,query:(query_string:(analyze_wildcard:!t,query:'%22rtdc.l.rtdc.4061%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688</v>
      </c>
      <c r="B73" s="7">
        <v>4040</v>
      </c>
      <c r="C73" s="21" t="s">
        <v>194</v>
      </c>
      <c r="D73" s="21" t="s">
        <v>388</v>
      </c>
      <c r="E73" s="13">
        <v>43026.46533564815</v>
      </c>
      <c r="F73" s="13">
        <v>43026.468935185185</v>
      </c>
      <c r="G73" s="7">
        <v>128</v>
      </c>
      <c r="H73" s="21" t="s">
        <v>841</v>
      </c>
      <c r="I73" s="13">
        <v>43026.493414351855</v>
      </c>
      <c r="J73" s="7">
        <v>0</v>
      </c>
      <c r="K73" s="89" t="str">
        <f>IF(ISEVEN(B73),(B73-1)&amp;"/"&amp;B73,B73&amp;"/"&amp;(B73+1))</f>
        <v>4039/4040</v>
      </c>
      <c r="L73" s="185" t="str">
        <f>VLOOKUP(A73,'Trips&amp;Operators'!$C$1:$G$99911,5,FALSE)</f>
        <v>BRUDER RICHARD</v>
      </c>
      <c r="M73" s="6">
        <f>I73-F73</f>
        <v>2.4479166670062114E-2</v>
      </c>
      <c r="N73" s="7">
        <f>24*60*SUM($M73:$M73)</f>
        <v>35.250000004889444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-10-18T10:10:05-0600',mode:absolute,to:'2017-10-18T12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4.7300000000000002E-2</v>
      </c>
      <c r="Z73" s="204">
        <f>RIGHT(H73,LEN(H73)-4)/10000</f>
        <v>23.3308</v>
      </c>
      <c r="AA73" s="204">
        <f>ABS(Z73-Y73)</f>
        <v>23.2835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s3://rtdc.mdm.uploadarchive.raw/RTDC4040/ "%USERPROFILE%\AppData\Local\Temp\OnboardLogs"\RTDC4040\2017-10-18 --exclude "*" --recursive --include "*20171018*" &amp; "%USERPROFILE%\Documents\GitHub\mrs-test-scripts\Headless Mode &amp; Sideloading\WalkAndUnGZ.bat" "%USERPROFILE%\AppData\Local\Temp\OnboardLogs"\RTDC4040\2017-10-18 &amp; aws s3 cp s3://rtdc.mdm.uploadarchive.raw/RTDC4040/ "%USERPROFILE%\AppData\Local\Temp\OnboardLogs"\RTDC4040\2017-10-19 --exclude "*" --recursive --include "*20171019*" &amp; "%USERPROFILE%\Documents\GitHub\mrs-test-scripts\Headless Mode &amp; Sideloading\WalkAndUnGZ.bat" "%USERPROFILE%\AppData\Local\Temp\OnboardLogs"\RTDC4040\2017-10-19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/stypes="app*4040*20171018*" /stext=" 17:.+((SYSTEM_STATE.+slice.+state.+changed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161-18 --locoid 4040 --swversion DE.1.0.9.0 --startMP 204:473 --initTime 2017-10-18T11:10:05 --startdatetime 2017-10-18T11:15:16 --delay 128 --endMP 204:233308 --enddatetime 2017-10-18T11:50:31 --enforcementcount 0 &gt;&gt;%USERPROFILE%\Documents\GitHub\eaglep3-reporting\EC\2017-10-18-refined-times.txt</v>
      </c>
      <c r="AI73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{"issue":{"subject":"","project_id":79,"tracker_id":40,"status_id":1,"priority_id":2,"assigned_to_id":338,"start_date":"2017-10-18","description":"","custom_fields":[{"id":1,"name":"Subdivision","value":"EC"},{"id":4,"name":"Milepost","value":"23.3308"},{"id":17,"name":"Train ID","value":"161-18"},{"id":16,"name":"Locomotive ID","value":"4040"},{"id":130,"name":"Impact","value":""},{"id":150,"name":"Time of Event (Mountain Time)","value":"11:50:31"},{"id":151,"name":"Denver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4040 --day 2017-10-18</v>
      </c>
      <c r="AN73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17:50:31"},{"id":29,"name":"Sharepoint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-10-18T10:10:05-0600',mode:absolute,to:'2017-10-18T12:50:31-0600'))&amp;_a=(columns:!('Message%20ID',Summary),filters:!(),index:'emp_*',interval:auto,query:(query_string:(analyze_wildcard:!t,query:'%22rtdc.l.rtdc.4040%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701</v>
      </c>
      <c r="B74" s="7">
        <v>4039</v>
      </c>
      <c r="C74" s="21" t="s">
        <v>194</v>
      </c>
      <c r="D74" s="21" t="s">
        <v>476</v>
      </c>
      <c r="E74" s="13">
        <v>43026.504525462966</v>
      </c>
      <c r="F74" s="13">
        <v>43026.50854166667</v>
      </c>
      <c r="G74" s="7">
        <v>104</v>
      </c>
      <c r="H74" s="21" t="s">
        <v>360</v>
      </c>
      <c r="I74" s="13">
        <v>43026.534317129626</v>
      </c>
      <c r="J74" s="7">
        <v>0</v>
      </c>
      <c r="K74" s="89" t="str">
        <f>IF(ISEVEN(B74),(B74-1)&amp;"/"&amp;B74,B74&amp;"/"&amp;(B74+1))</f>
        <v>4039/4040</v>
      </c>
      <c r="L74" s="185" t="str">
        <f>VLOOKUP(A74,'Trips&amp;Operators'!$C$1:$G$99911,5,FALSE)</f>
        <v>BRUDER RICHARD</v>
      </c>
      <c r="M74" s="6">
        <f>I74-F74</f>
        <v>2.5775462956517003E-2</v>
      </c>
      <c r="N74" s="7">
        <f>24*60*SUM($M74:$M74)</f>
        <v>37.116666657384485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-10-18T11:06:31-0600',mode:absolute,to:'2017-10-18T13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23.299600000000002</v>
      </c>
      <c r="Z74" s="204">
        <f>RIGHT(H74,LEN(H74)-4)/10000</f>
        <v>1.61E-2</v>
      </c>
      <c r="AA74" s="204">
        <f>ABS(Z74-Y74)</f>
        <v>23.2835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s3://rtdc.mdm.uploadarchive.raw/RTDC4039/ "%USERPROFILE%\AppData\Local\Temp\OnboardLogs"\RTDC4039\2017-10-18 --exclude "*" --recursive --include "*20171018*" &amp; "%USERPROFILE%\Documents\GitHub\mrs-test-scripts\Headless Mode &amp; Sideloading\WalkAndUnGZ.bat" "%USERPROFILE%\AppData\Local\Temp\OnboardLogs"\RTDC4039\2017-10-18 &amp; aws s3 cp s3://rtdc.mdm.uploadarchive.raw/RTDC4039/ "%USERPROFILE%\AppData\Local\Temp\OnboardLogs"\RTDC4039\2017-10-19 --exclude "*" --recursive --include "*20171019*" &amp; "%USERPROFILE%\Documents\GitHub\mrs-test-scripts\Headless Mode &amp; Sideloading\WalkAndUnGZ.bat" "%USERPROFILE%\AppData\Local\Temp\OnboardLogs"\RTDC4039\2017-10-19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/stypes="app*4039*20171018*" /stext=" 18:.+((SYSTEM_STATE.+slice.+state.+changed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162-18 --locoid 4039 --swversion DE.1.0.9.0 --startMP 204:232996 --initTime 2017-10-18T12:06:31 --startdatetime 2017-10-18T12:12:18 --delay 104 --endMP 204:161 --enddatetime 2017-10-18T12:49:25 --enforcementcount 0 &gt;&gt;%USERPROFILE%\Documents\GitHub\eaglep3-reporting\EC\2017-10-18-refined-times.txt</v>
      </c>
      <c r="AI74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{"issue":{"subject":"","project_id":79,"tracker_id":40,"status_id":1,"priority_id":2,"assigned_to_id":338,"start_date":"2017-10-18","description":"","custom_fields":[{"id":1,"name":"Subdivision","value":"EC"},{"id":4,"name":"Milepost","value":"0.0161"},{"id":17,"name":"Train ID","value":"162-18"},{"id":16,"name":"Locomotive ID","value":"4039"},{"id":130,"name":"Impact","value":""},{"id":150,"name":"Time of Event (Mountain Time)","value":"12:49:25"},{"id":151,"name":"Denver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4039 --day 2017-10-18</v>
      </c>
      <c r="AN74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18:49:25"},{"id":29,"name":"Sharepoint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-10-18T11:06:31-0600',mode:absolute,to:'2017-10-18T13:49:25-0600'))&amp;_a=(columns:!('Message%20ID',Summary),filters:!(),index:'emp_*',interval:auto,query:(query_string:(analyze_wildcard:!t,query:'%22rtdc.l.rtdc.4039%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689</v>
      </c>
      <c r="B75" s="7">
        <v>4002</v>
      </c>
      <c r="C75" s="21" t="s">
        <v>194</v>
      </c>
      <c r="D75" s="21" t="s">
        <v>376</v>
      </c>
      <c r="E75" s="13">
        <v>43026.471620370372</v>
      </c>
      <c r="F75" s="13">
        <v>43026.479490740741</v>
      </c>
      <c r="G75" s="7">
        <v>94</v>
      </c>
      <c r="H75" s="21" t="s">
        <v>386</v>
      </c>
      <c r="I75" s="13">
        <v>43026.503912037035</v>
      </c>
      <c r="J75" s="7">
        <v>0</v>
      </c>
      <c r="K75" s="89" t="str">
        <f>IF(ISEVEN(B75),(B75-1)&amp;"/"&amp;B75,B75&amp;"/"&amp;(B75+1))</f>
        <v>4001/4002</v>
      </c>
      <c r="L75" s="185" t="str">
        <f>VLOOKUP(A75,'Trips&amp;Operators'!$C$1:$G$99911,5,FALSE)</f>
        <v>STEWART MICHAEL</v>
      </c>
      <c r="M75" s="6">
        <f>I75-F75</f>
        <v>2.4421296293439809E-2</v>
      </c>
      <c r="N75" s="7">
        <f>24*60*SUM($M75:$M75)</f>
        <v>35.166666662553325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-10-18T10:19:08-0600',mode:absolute,to:'2017-10-18T13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4.5699999999999998E-2</v>
      </c>
      <c r="Z75" s="204">
        <f>RIGHT(H75,LEN(H75)-4)/10000</f>
        <v>23.3291</v>
      </c>
      <c r="AA75" s="204">
        <f>ABS(Z75-Y75)</f>
        <v>23.2834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s3://rtdc.mdm.uploadarchive.raw/RTDC4002/ "%USERPROFILE%\AppData\Local\Temp\OnboardLogs"\RTDC4002\2017-10-18 --exclude "*" --recursive --include "*20171018*" &amp; "%USERPROFILE%\Documents\GitHub\mrs-test-scripts\Headless Mode &amp; Sideloading\WalkAndUnGZ.bat" "%USERPROFILE%\AppData\Local\Temp\OnboardLogs"\RTDC4002\2017-10-18 &amp; aws s3 cp s3://rtdc.mdm.uploadarchive.raw/RTDC4002/ "%USERPROFILE%\AppData\Local\Temp\OnboardLogs"\RTDC4002\2017-10-19 --exclude "*" --recursive --include "*20171019*" &amp; "%USERPROFILE%\Documents\GitHub\mrs-test-scripts\Headless Mode &amp; Sideloading\WalkAndUnGZ.bat" "%USERPROFILE%\AppData\Local\Temp\OnboardLogs"\RTDC4002\2017-10-19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/stypes="app*4002*20171018*"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163-18 --locoid 4002 --swversion DE.1.0.9.0 --startMP 204:457 --initTime 2017-10-18T11:19:08 --startdatetime 2017-10-18T11:30:28 --delay 94 --endMP 204:233291 --enddatetime 2017-10-18T12:05:38 --enforcementcount 0 &gt;&gt;%USERPROFILE%\Documents\GitHub\eaglep3-reporting\EC\2017-10-18-refined-times.txt</v>
      </c>
      <c r="AI75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{"issue":{"subject":"","project_id":79,"tracker_id":40,"status_id":1,"priority_id":2,"assigned_to_id":338,"start_date":"2017-10-18","description":"","custom_fields":[{"id":1,"name":"Subdivision","value":"EC"},{"id":4,"name":"Milepost","value":"23.3291"},{"id":17,"name":"Train ID","value":"163-18"},{"id":16,"name":"Locomotive ID","value":"4002"},{"id":130,"name":"Impact","value":""},{"id":150,"name":"Time of Event (Mountain Time)","value":"12:05:38"},{"id":151,"name":"Denver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4002 --day 2017-10-18</v>
      </c>
      <c r="AN75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18:05:38"},{"id":29,"name":"Sharepoint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-10-18T10:19:08-0600',mode:absolute,to:'2017-10-18T13:05:38-0600'))&amp;_a=(columns:!('Message%20ID',Summary),filters:!(),index:'emp_*',interval:auto,query:(query_string:(analyze_wildcard:!t,query:'%22rtdc.l.rtdc.4002%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568</v>
      </c>
      <c r="B76" s="7">
        <v>4001</v>
      </c>
      <c r="C76" s="21" t="s">
        <v>194</v>
      </c>
      <c r="D76" s="21" t="s">
        <v>488</v>
      </c>
      <c r="E76" s="13">
        <v>43026.513657407406</v>
      </c>
      <c r="F76" s="13">
        <v>43026.518958333334</v>
      </c>
      <c r="G76" s="7">
        <v>87</v>
      </c>
      <c r="H76" s="21" t="s">
        <v>363</v>
      </c>
      <c r="I76" s="13">
        <v>43026.546388888892</v>
      </c>
      <c r="J76" s="7">
        <v>0</v>
      </c>
      <c r="K76" s="89" t="str">
        <f>IF(ISEVEN(B76),(B76-1)&amp;"/"&amp;B76,B76&amp;"/"&amp;(B76+1))</f>
        <v>4001/4002</v>
      </c>
      <c r="L76" s="185" t="str">
        <f>VLOOKUP(A76,'Trips&amp;Operators'!$C$1:$G$99911,5,FALSE)</f>
        <v>STEWART MICHAEL</v>
      </c>
      <c r="M76" s="6">
        <f>I76-F76</f>
        <v>2.7430555557657499E-2</v>
      </c>
      <c r="N76" s="7">
        <f>24*60*SUM($M76:$M76)</f>
        <v>39.500000003026798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-10-18T11:19:40-0600',mode:absolute,to:'2017-10-18T14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23.297999999999998</v>
      </c>
      <c r="Z76" s="204">
        <f>RIGHT(H76,LEN(H76)-4)/10000</f>
        <v>1.5800000000000002E-2</v>
      </c>
      <c r="AA76" s="204">
        <f>ABS(Z76-Y76)</f>
        <v>23.2822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s3://rtdc.mdm.uploadarchive.raw/RTDC4001/ "%USERPROFILE%\AppData\Local\Temp\OnboardLogs"\RTDC4001\2017-10-18 --exclude "*" --recursive --include "*20171018*" &amp; "%USERPROFILE%\Documents\GitHub\mrs-test-scripts\Headless Mode &amp; Sideloading\WalkAndUnGZ.bat" "%USERPROFILE%\AppData\Local\Temp\OnboardLogs"\RTDC4001\2017-10-18 &amp; aws s3 cp s3://rtdc.mdm.uploadarchive.raw/RTDC4001/ "%USERPROFILE%\AppData\Local\Temp\OnboardLogs"\RTDC4001\2017-10-19 --exclude "*" --recursive --include "*20171019*" &amp; "%USERPROFILE%\Documents\GitHub\mrs-test-scripts\Headless Mode &amp; Sideloading\WalkAndUnGZ.bat" "%USERPROFILE%\AppData\Local\Temp\OnboardLogs"\RTDC4001\2017-10-19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/stypes="app*4001*20171018*" /stext=" 19:.+((SYSTEM_STATE.+slice.+state.+changed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5"/>
        <v>"%USERPROFILE%\Documents\GitHub\eaglep3\Utilities\RefineRTDCRunTimes.py" --tripid 164-18 --locoid 4001 --swversion DE.1.0.9.0 --startMP 204:232980 --initTime 2017-10-18T12:19:40 --startdatetime 2017-10-18T12:27:18 --delay 87 --endMP 204:158 --enddatetime 2017-10-18T13:06:48 --enforcementcount 0 &gt;&gt;%USERPROFILE%\Documents\GitHub\eaglep3-reporting\EC\2017-10-18-refined-times.txt</v>
      </c>
      <c r="AI76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{"issue":{"subject":"","project_id":79,"tracker_id":40,"status_id":1,"priority_id":2,"assigned_to_id":338,"start_date":"2017-10-18","description":"","custom_fields":[{"id":1,"name":"Subdivision","value":"EC"},{"id":4,"name":"Milepost","value":"0.0158"},{"id":17,"name":"Train ID","value":"164-18"},{"id":16,"name":"Locomotive ID","value":"4001"},{"id":130,"name":"Impact","value":""},{"id":150,"name":"Time of Event (Mountain Time)","value":"13:06:48"},{"id":151,"name":"Denver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4001 --day 2017-10-18</v>
      </c>
      <c r="AN76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19:06:48"},{"id":29,"name":"Sharepoint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9"/>
        <v>https://d0f6bd738d7f1b3e5a7ca70fe4ff75f0.us-east-1.aws.found.io/app/kibana#/discover/Steve-Slow-Train-Analysis-(2080s-and-2083s)?_g=(refreshInterval:(display:Off,pause:!f,section:0,value:0),time:(from:'2017-10-18T11:19:40-0600',mode:absolute,to:'2017-10-18T14:06:48-0600'))&amp;_a=(columns:!('Message%20ID',Summary),filters:!(),index:'emp_*',interval:auto,query:(query_string:(analyze_wildcard:!t,query:'%22rtdc.l.rtdc.4001%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693</v>
      </c>
      <c r="B77" s="7">
        <v>4064</v>
      </c>
      <c r="C77" s="21" t="s">
        <v>194</v>
      </c>
      <c r="D77" s="21" t="s">
        <v>416</v>
      </c>
      <c r="E77" s="13">
        <v>43026.485405092593</v>
      </c>
      <c r="F77" s="13">
        <v>43026.489849537036</v>
      </c>
      <c r="G77" s="7">
        <v>91</v>
      </c>
      <c r="H77" s="21" t="s">
        <v>418</v>
      </c>
      <c r="I77" s="13">
        <v>43026.516238425924</v>
      </c>
      <c r="J77" s="7">
        <v>0</v>
      </c>
      <c r="K77" s="89" t="str">
        <f>IF(ISEVEN(B77),(B77-1)&amp;"/"&amp;B77,B77&amp;"/"&amp;(B77+1))</f>
        <v>4063/4064</v>
      </c>
      <c r="L77" s="185" t="str">
        <f>VLOOKUP(A77,'Trips&amp;Operators'!$C$1:$G$99911,5,FALSE)</f>
        <v>GUZMAN DANNY</v>
      </c>
      <c r="M77" s="6">
        <f>I77-F77</f>
        <v>2.6388888887595385E-2</v>
      </c>
      <c r="N77" s="7">
        <f>24*60*SUM($M77:$M77)</f>
        <v>37.999999998137355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-18T10:38:59-0600',mode:absolute,to:'2017-10-18T13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4.6199999999999998E-2</v>
      </c>
      <c r="Z77" s="204">
        <f>RIGHT(H77,LEN(H77)-4)/10000</f>
        <v>23.328900000000001</v>
      </c>
      <c r="AA77" s="204">
        <f>ABS(Z77-Y77)</f>
        <v>23.282700000000002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s3://rtdc.mdm.uploadarchive.raw/RTDC4064/ "%USERPROFILE%\AppData\Local\Temp\OnboardLogs"\RTDC4064\2017-10-18 --exclude "*" --recursive --include "*20171018*" &amp; "%USERPROFILE%\Documents\GitHub\mrs-test-scripts\Headless Mode &amp; Sideloading\WalkAndUnGZ.bat" "%USERPROFILE%\AppData\Local\Temp\OnboardLogs"\RTDC4064\2017-10-18 &amp; aws s3 cp s3://rtdc.mdm.uploadarchive.raw/RTDC4064/ "%USERPROFILE%\AppData\Local\Temp\OnboardLogs"\RTDC4064\2017-10-19 --exclude "*" --recursive --include "*20171019*" &amp; "%USERPROFILE%\Documents\GitHub\mrs-test-scripts\Headless Mode &amp; Sideloading\WalkAndUnGZ.bat" "%USERPROFILE%\AppData\Local\Temp\OnboardLogs"\RTDC4064\2017-10-19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/stypes="app*4064*20171018*" /stext=" 18:.+((SYSTEM_STATE.+slice.+state.+changed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5"/>
        <v>"%USERPROFILE%\Documents\GitHub\eaglep3\Utilities\RefineRTDCRunTimes.py" --tripid 165-18 --locoid 4064 --swversion DE.1.0.9.0 --startMP 204:462 --initTime 2017-10-18T11:38:59 --startdatetime 2017-10-18T11:45:23 --delay 91 --endMP 204:233289 --enddatetime 2017-10-18T12:23:23 --enforcementcount 0 &gt;&gt;%USERPROFILE%\Documents\GitHub\eaglep3-reporting\EC\2017-10-18-refined-times.txt</v>
      </c>
      <c r="AI77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{"issue":{"subject":"","project_id":79,"tracker_id":40,"status_id":1,"priority_id":2,"assigned_to_id":338,"start_date":"2017-10-18","description":"","custom_fields":[{"id":1,"name":"Subdivision","value":"EC"},{"id":4,"name":"Milepost","value":"23.3289"},{"id":17,"name":"Train ID","value":"165-18"},{"id":16,"name":"Locomotive ID","value":"4064"},{"id":130,"name":"Impact","value":""},{"id":150,"name":"Time of Event (Mountain Time)","value":"12:23:23"},{"id":151,"name":"Denver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7"/>
        <v>start /low /b %USERPROFILE%\Documents\GitHub\eaglep3\Utilities\DownloadLogsFromS3.py --loco 4064 --day 2017-10-18</v>
      </c>
      <c r="AN77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18:23:23"},{"id":29,"name":"Sharepoint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9"/>
        <v>https://d0f6bd738d7f1b3e5a7ca70fe4ff75f0.us-east-1.aws.found.io/app/kibana#/discover/Steve-Slow-Train-Analysis-(2080s-and-2083s)?_g=(refreshInterval:(display:Off,pause:!f,section:0,value:0),time:(from:'2017-10-18T10:38:59-0600',mode:absolute,to:'2017-10-18T13:23:23-0600'))&amp;_a=(columns:!('Message%20ID',Summary),filters:!(),index:'emp_*',interval:auto,query:(query_string:(analyze_wildcard:!t,query:'%22rtdc.l.rtdc.4064%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704</v>
      </c>
      <c r="B78" s="7">
        <v>4063</v>
      </c>
      <c r="C78" s="21" t="s">
        <v>194</v>
      </c>
      <c r="D78" s="21" t="s">
        <v>417</v>
      </c>
      <c r="E78" s="13">
        <v>43026.517256944448</v>
      </c>
      <c r="F78" s="13">
        <v>43026.529328703706</v>
      </c>
      <c r="G78" s="7">
        <v>64</v>
      </c>
      <c r="H78" s="21" t="s">
        <v>393</v>
      </c>
      <c r="I78" s="13">
        <v>43026.556388888886</v>
      </c>
      <c r="J78" s="7">
        <v>0</v>
      </c>
      <c r="K78" s="89" t="str">
        <f>IF(ISEVEN(B78),(B78-1)&amp;"/"&amp;B78,B78&amp;"/"&amp;(B78+1))</f>
        <v>4063/4064</v>
      </c>
      <c r="L78" s="185" t="str">
        <f>VLOOKUP(A78,'Trips&amp;Operators'!$C$1:$G$99911,5,FALSE)</f>
        <v>GUZMAN DANNY</v>
      </c>
      <c r="M78" s="6">
        <f>I78-F78</f>
        <v>2.7060185180744156E-2</v>
      </c>
      <c r="N78" s="7">
        <f>24*60*SUM($M78:$M78)</f>
        <v>38.966666660271585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-18T11:24:51-0600',mode:absolute,to:'2017-10-18T14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23.2989</v>
      </c>
      <c r="Z78" s="204">
        <f>RIGHT(H78,LEN(H78)-4)/10000</f>
        <v>1.6E-2</v>
      </c>
      <c r="AA78" s="204">
        <f>ABS(Z78-Y78)</f>
        <v>23.282900000000001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s3://rtdc.mdm.uploadarchive.raw/RTDC4063/ "%USERPROFILE%\AppData\Local\Temp\OnboardLogs"\RTDC4063\2017-10-18 --exclude "*" --recursive --include "*20171018*" &amp; "%USERPROFILE%\Documents\GitHub\mrs-test-scripts\Headless Mode &amp; Sideloading\WalkAndUnGZ.bat" "%USERPROFILE%\AppData\Local\Temp\OnboardLogs"\RTDC4063\2017-10-18 &amp; aws s3 cp s3://rtdc.mdm.uploadarchive.raw/RTDC4063/ "%USERPROFILE%\AppData\Local\Temp\OnboardLogs"\RTDC4063\2017-10-19 --exclude "*" --recursive --include "*20171019*" &amp; "%USERPROFILE%\Documents\GitHub\mrs-test-scripts\Headless Mode &amp; Sideloading\WalkAndUnGZ.bat" "%USERPROFILE%\AppData\Local\Temp\OnboardLogs"\RTDC4063\2017-10-19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/stypes="app*4063*20171018*" /stext=" 19:.+((SYSTEM_STATE.+slice.+state.+changed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si="5"/>
        <v>"%USERPROFILE%\Documents\GitHub\eaglep3\Utilities\RefineRTDCRunTimes.py" --tripid 166-18 --locoid 4063 --swversion DE.1.0.9.0 --startMP 204:232989 --initTime 2017-10-18T12:24:51 --startdatetime 2017-10-18T12:42:14 --delay 64 --endMP 204:160 --enddatetime 2017-10-18T13:21:12 --enforcementcount 0 &gt;&gt;%USERPROFILE%\Documents\GitHub\eaglep3-reporting\EC\2017-10-18-refined-times.txt</v>
      </c>
      <c r="AI78" s="96" t="str">
        <f t="shared" si="6"/>
        <v>echo {"issue":{"subject":"","project_id":79,"tracker_id":40,"status_id":1,"priority_id":2,"assigned_to_id":338,"start_date":"2017-10-18","description":"","custom_fields":[{"id":1,"name":"Subdivision","value":"EC"},{"id":4,"name":"Milepost","value":"0.016"},{"id":17,"name":"Train ID","value":"166-18"},{"id":16,"name":"Locomotive ID","value":"4063"},{"id":130,"name":"Impact","value":""},{"id":150,"name":"Time of Event (Mountain Time)","value":"13:21:12"},{"id":151,"name":"Denver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7"/>
        <v>start /low /b %USERPROFILE%\Documents\GitHub\eaglep3\Utilities\DownloadLogsFromS3.py --loco 4063 --day 2017-10-18</v>
      </c>
      <c r="AN78" s="151" t="str">
        <f t="shared" si="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19:21:12"},{"id":29,"name":"Sharepoint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9"/>
        <v>https://d0f6bd738d7f1b3e5a7ca70fe4ff75f0.us-east-1.aws.found.io/app/kibana#/discover/Steve-Slow-Train-Analysis-(2080s-and-2083s)?_g=(refreshInterval:(display:Off,pause:!f,section:0,value:0),time:(from:'2017-10-18T11:24:51-0600',mode:absolute,to:'2017-10-18T14:21:12-0600'))&amp;_a=(columns:!('Message%20ID',Summary),filters:!(),index:'emp_*',interval:auto,query:(query_string:(analyze_wildcard:!t,query:'%22rtdc.l.rtdc.4063%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694</v>
      </c>
      <c r="B79" s="7">
        <v>4026</v>
      </c>
      <c r="C79" s="21" t="s">
        <v>194</v>
      </c>
      <c r="D79" s="21" t="s">
        <v>842</v>
      </c>
      <c r="E79" s="13">
        <v>43026.495034722226</v>
      </c>
      <c r="F79" s="13">
        <v>43026.500162037039</v>
      </c>
      <c r="G79" s="7">
        <v>84</v>
      </c>
      <c r="H79" s="21" t="s">
        <v>843</v>
      </c>
      <c r="I79" s="13">
        <v>43026.524548611109</v>
      </c>
      <c r="J79" s="7">
        <v>0</v>
      </c>
      <c r="K79" s="89" t="str">
        <f>IF(ISEVEN(B79),(B79-1)&amp;"/"&amp;B79,B79&amp;"/"&amp;(B79+1))</f>
        <v>4025/4026</v>
      </c>
      <c r="L79" s="185" t="str">
        <f>VLOOKUP(A79,'Trips&amp;Operators'!$C$1:$G$99911,5,FALSE)</f>
        <v>LEVIN SCOTT</v>
      </c>
      <c r="M79" s="6">
        <f>I79-F79</f>
        <v>2.438657407037681E-2</v>
      </c>
      <c r="N79" s="7">
        <f>24*60*SUM($M79:$M79)</f>
        <v>35.116666661342606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-18T10:52:51-0600',mode:absolute,to:'2017-10-18T13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4.7800000000000002E-2</v>
      </c>
      <c r="Z79" s="204">
        <f>RIGHT(H79,LEN(H79)-4)/10000</f>
        <v>23.334499999999998</v>
      </c>
      <c r="AA79" s="204">
        <f>ABS(Z79-Y79)</f>
        <v>23.2867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s3://rtdc.mdm.uploadarchive.raw/RTDC4026/ "%USERPROFILE%\AppData\Local\Temp\OnboardLogs"\RTDC4026\2017-10-18 --exclude "*" --recursive --include "*20171018*" &amp; "%USERPROFILE%\Documents\GitHub\mrs-test-scripts\Headless Mode &amp; Sideloading\WalkAndUnGZ.bat" "%USERPROFILE%\AppData\Local\Temp\OnboardLogs"\RTDC4026\2017-10-18 &amp; aws s3 cp s3://rtdc.mdm.uploadarchive.raw/RTDC4026/ "%USERPROFILE%\AppData\Local\Temp\OnboardLogs"\RTDC4026\2017-10-19 --exclude "*" --recursive --include "*20171019*" &amp; "%USERPROFILE%\Documents\GitHub\mrs-test-scripts\Headless Mode &amp; Sideloading\WalkAndUnGZ.bat" "%USERPROFILE%\AppData\Local\Temp\OnboardLogs"\RTDC4026\2017-10-19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/stypes="app*4026*20171018*" /stext=" 18:.+((SYSTEM_STATE.+slice.+state.+changed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ref="AH79:AH145" si="16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167-18 --locoid 4026 --swversion DE.1.0.9.0 --startMP 204:478 --initTime 2017-10-18T11:52:51 --startdatetime 2017-10-18T12:00:14 --delay 84 --endMP 204:233345 --enddatetime 2017-10-18T12:35:21 --enforcementcount 0 &gt;&gt;%USERPROFILE%\Documents\GitHub\eaglep3-reporting\EC\2017-10-18-refined-times.txt</v>
      </c>
      <c r="AI79" s="96" t="str">
        <f t="shared" ref="AI79:AI145" si="17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{"issue":{"subject":"","project_id":79,"tracker_id":40,"status_id":1,"priority_id":2,"assigned_to_id":338,"start_date":"2017-10-18","description":"","custom_fields":[{"id":1,"name":"Subdivision","value":"EC"},{"id":4,"name":"Milepost","value":"23.3345"},{"id":17,"name":"Train ID","value":"167-18"},{"id":16,"name":"Locomotive ID","value":"4026"},{"id":130,"name":"Impact","value":""},{"id":150,"name":"Time of Event (Mountain Time)","value":"12:35:21"},{"id":151,"name":"Denver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ref="AM79:AM145" si="18">"start /low /b "&amp;dls3logs&amp;" --loco "&amp;B79&amp;" --day "&amp;TEXT(F79,"YYYY-MM-DD")</f>
        <v>start /low /b %USERPROFILE%\Documents\GitHub\eaglep3\Utilities\DownloadLogsFromS3.py --loco 4026 --day 2017-10-18</v>
      </c>
      <c r="AN79" s="151" t="str">
        <f t="shared" ref="AN79:AN145" si="19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18:35:21"},{"id":29,"name":"Sharepoint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ref="AO79:AO145" si="20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-18T10:52:51-0600',mode:absolute,to:'2017-10-18T13:35:21-0600'))&amp;_a=(columns:!('Message%20ID',Summary),filters:!(),index:'emp_*',interval:auto,query:(query_string:(analyze_wildcard:!t,query:'%22rtdc.l.rtdc.4026%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709</v>
      </c>
      <c r="B80" s="7">
        <v>4025</v>
      </c>
      <c r="C80" s="21" t="s">
        <v>194</v>
      </c>
      <c r="D80" s="21" t="s">
        <v>844</v>
      </c>
      <c r="E80" s="13">
        <v>43026.533668981479</v>
      </c>
      <c r="F80" s="13">
        <v>43026.53974537037</v>
      </c>
      <c r="G80" s="7">
        <v>82</v>
      </c>
      <c r="H80" s="21" t="s">
        <v>825</v>
      </c>
      <c r="I80" s="13">
        <v>43026.567060185182</v>
      </c>
      <c r="J80" s="7">
        <v>0</v>
      </c>
      <c r="K80" s="89" t="str">
        <f>IF(ISEVEN(B80),(B80-1)&amp;"/"&amp;B80,B80&amp;"/"&amp;(B80+1))</f>
        <v>4025/4026</v>
      </c>
      <c r="L80" s="185" t="str">
        <f>VLOOKUP(A80,'Trips&amp;Operators'!$C$1:$G$99911,5,FALSE)</f>
        <v>LEVIN SCOTT</v>
      </c>
      <c r="M80" s="6">
        <f>I80-F80</f>
        <v>2.7314814811688848E-2</v>
      </c>
      <c r="N80" s="7">
        <f>24*60*SUM($M80:$M80)</f>
        <v>39.333333328831941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-10-18T11:48:29-0600',mode:absolute,to:'2017-10-18T14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23.303000000000001</v>
      </c>
      <c r="Z80" s="204">
        <f>RIGHT(H80,LEN(H80)-4)/10000</f>
        <v>1.34E-2</v>
      </c>
      <c r="AA80" s="204">
        <f>ABS(Z80-Y80)</f>
        <v>23.2896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s3://rtdc.mdm.uploadarchive.raw/RTDC4025/ "%USERPROFILE%\AppData\Local\Temp\OnboardLogs"\RTDC4025\2017-10-18 --exclude "*" --recursive --include "*20171018*" &amp; "%USERPROFILE%\Documents\GitHub\mrs-test-scripts\Headless Mode &amp; Sideloading\WalkAndUnGZ.bat" "%USERPROFILE%\AppData\Local\Temp\OnboardLogs"\RTDC4025\2017-10-18 &amp; aws s3 cp s3://rtdc.mdm.uploadarchive.raw/RTDC4025/ "%USERPROFILE%\AppData\Local\Temp\OnboardLogs"\RTDC4025\2017-10-19 --exclude "*" --recursive --include "*20171019*" &amp; "%USERPROFILE%\Documents\GitHub\mrs-test-scripts\Headless Mode &amp; Sideloading\WalkAndUnGZ.bat" "%USERPROFILE%\AppData\Local\Temp\OnboardLogs"\RTDC4025\2017-10-19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/stypes="app*4025*20171018*" /stext=" 19:.+((SYSTEM_STATE.+slice.+state.+changed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6"/>
        <v>"%USERPROFILE%\Documents\GitHub\eaglep3\Utilities\RefineRTDCRunTimes.py" --tripid 168-18 --locoid 4025 --swversion DE.1.0.9.0 --startMP 204:233030 --initTime 2017-10-18T12:48:29 --startdatetime 2017-10-18T12:57:14 --delay 82 --endMP 204:134 --enddatetime 2017-10-18T13:36:34 --enforcementcount 0 &gt;&gt;%USERPROFILE%\Documents\GitHub\eaglep3-reporting\EC\2017-10-18-refined-times.txt</v>
      </c>
      <c r="AI80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{"issue":{"subject":"","project_id":79,"tracker_id":40,"status_id":1,"priority_id":2,"assigned_to_id":338,"start_date":"2017-10-18","description":"","custom_fields":[{"id":1,"name":"Subdivision","value":"EC"},{"id":4,"name":"Milepost","value":"0.0134"},{"id":17,"name":"Train ID","value":"168-18"},{"id":16,"name":"Locomotive ID","value":"4025"},{"id":130,"name":"Impact","value":""},{"id":150,"name":"Time of Event (Mountain Time)","value":"13:36:34"},{"id":151,"name":"Denver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8"/>
        <v>start /low /b %USERPROFILE%\Documents\GitHub\eaglep3\Utilities\DownloadLogsFromS3.py --loco 4025 --day 2017-10-18</v>
      </c>
      <c r="AN80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19:36:34"},{"id":29,"name":"Sharepoint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20"/>
        <v>https://d0f6bd738d7f1b3e5a7ca70fe4ff75f0.us-east-1.aws.found.io/app/kibana#/discover/Steve-Slow-Train-Analysis-(2080s-and-2083s)?_g=(refreshInterval:(display:Off,pause:!f,section:0,value:0),time:(from:'2017-10-18T11:48:29-0600',mode:absolute,to:'2017-10-18T14:36:34-0600'))&amp;_a=(columns:!('Message%20ID',Summary),filters:!(),index:'emp_*',interval:auto,query:(query_string:(analyze_wildcard:!t,query:'%22rtdc.l.rtdc.4025%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698</v>
      </c>
      <c r="B81" s="7">
        <v>4056</v>
      </c>
      <c r="C81" s="21" t="s">
        <v>194</v>
      </c>
      <c r="D81" s="21" t="s">
        <v>367</v>
      </c>
      <c r="E81" s="13">
        <v>43026.504537037035</v>
      </c>
      <c r="F81" s="13">
        <v>43026.511157407411</v>
      </c>
      <c r="G81" s="7">
        <v>93</v>
      </c>
      <c r="H81" s="21" t="s">
        <v>845</v>
      </c>
      <c r="I81" s="13">
        <v>43026.536909722221</v>
      </c>
      <c r="J81" s="7">
        <v>0</v>
      </c>
      <c r="K81" s="89" t="str">
        <f>IF(ISEVEN(B81),(B81-1)&amp;"/"&amp;B81,B81&amp;"/"&amp;(B81+1))</f>
        <v>4055/4056</v>
      </c>
      <c r="L81" s="185" t="str">
        <f>VLOOKUP(A81,'Trips&amp;Operators'!$C$1:$G$99911,5,FALSE)</f>
        <v>BERLING GARY</v>
      </c>
      <c r="M81" s="6">
        <f>I81-F81</f>
        <v>2.5752314810233656E-2</v>
      </c>
      <c r="N81" s="7">
        <f>24*60*SUM($M81:$M81)</f>
        <v>37.083333326736465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-10-18T11:06:32-0600',mode:absolute,to:'2017-10-18T13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4.5100000000000001E-2</v>
      </c>
      <c r="Z81" s="204">
        <f>RIGHT(H81,LEN(H81)-4)/10000</f>
        <v>23.332100000000001</v>
      </c>
      <c r="AA81" s="204">
        <f>ABS(Z81-Y81)</f>
        <v>23.286999999999999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s3://rtdc.mdm.uploadarchive.raw/RTDC4056/ "%USERPROFILE%\AppData\Local\Temp\OnboardLogs"\RTDC4056\2017-10-18 --exclude "*" --recursive --include "*20171018*" &amp; "%USERPROFILE%\Documents\GitHub\mrs-test-scripts\Headless Mode &amp; Sideloading\WalkAndUnGZ.bat" "%USERPROFILE%\AppData\Local\Temp\OnboardLogs"\RTDC4056\2017-10-18 &amp; aws s3 cp s3://rtdc.mdm.uploadarchive.raw/RTDC4056/ "%USERPROFILE%\AppData\Local\Temp\OnboardLogs"\RTDC4056\2017-10-19 --exclude "*" --recursive --include "*20171019*" &amp; "%USERPROFILE%\Documents\GitHub\mrs-test-scripts\Headless Mode &amp; Sideloading\WalkAndUnGZ.bat" "%USERPROFILE%\AppData\Local\Temp\OnboardLogs"\RTDC4056\2017-10-19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/stypes="app*4056*20171018*" /stext=" 18:.+((SYSTEM_STATE.+slice.+state.+changed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6"/>
        <v>"%USERPROFILE%\Documents\GitHub\eaglep3\Utilities\RefineRTDCRunTimes.py" --tripid 169-18 --locoid 4056 --swversion DE.1.0.9.0 --startMP 204:451 --initTime 2017-10-18T12:06:32 --startdatetime 2017-10-18T12:16:04 --delay 93 --endMP 204:233321 --enddatetime 2017-10-18T12:53:09 --enforcementcount 0 &gt;&gt;%USERPROFILE%\Documents\GitHub\eaglep3-reporting\EC\2017-10-18-refined-times.txt</v>
      </c>
      <c r="AI81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{"issue":{"subject":"","project_id":79,"tracker_id":40,"status_id":1,"priority_id":2,"assigned_to_id":338,"start_date":"2017-10-18","description":"","custom_fields":[{"id":1,"name":"Subdivision","value":"EC"},{"id":4,"name":"Milepost","value":"23.3321"},{"id":17,"name":"Train ID","value":"169-18"},{"id":16,"name":"Locomotive ID","value":"4056"},{"id":130,"name":"Impact","value":""},{"id":150,"name":"Time of Event (Mountain Time)","value":"12:53:09"},{"id":151,"name":"Denver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8"/>
        <v>start /low /b %USERPROFILE%\Documents\GitHub\eaglep3\Utilities\DownloadLogsFromS3.py --loco 4056 --day 2017-10-18</v>
      </c>
      <c r="AN81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18:53:09"},{"id":29,"name":"Sharepoint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20"/>
        <v>https://d0f6bd738d7f1b3e5a7ca70fe4ff75f0.us-east-1.aws.found.io/app/kibana#/discover/Steve-Slow-Train-Analysis-(2080s-and-2083s)?_g=(refreshInterval:(display:Off,pause:!f,section:0,value:0),time:(from:'2017-10-18T11:06:32-0600',mode:absolute,to:'2017-10-18T13:53:09-0600'))&amp;_a=(columns:!('Message%20ID',Summary),filters:!(),index:'emp_*',interval:auto,query:(query_string:(analyze_wildcard:!t,query:'%22rtdc.l.rtdc.4056%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711</v>
      </c>
      <c r="B82" s="7">
        <v>4055</v>
      </c>
      <c r="C82" s="21" t="s">
        <v>194</v>
      </c>
      <c r="D82" s="21" t="s">
        <v>846</v>
      </c>
      <c r="E82" s="13">
        <v>43026.545972222222</v>
      </c>
      <c r="F82" s="13">
        <v>43026.550173611111</v>
      </c>
      <c r="G82" s="7">
        <v>143</v>
      </c>
      <c r="H82" s="21" t="s">
        <v>426</v>
      </c>
      <c r="I82" s="13">
        <v>43026.578263888892</v>
      </c>
      <c r="J82" s="7">
        <v>0</v>
      </c>
      <c r="K82" s="89" t="str">
        <f>IF(ISEVEN(B82),(B82-1)&amp;"/"&amp;B82,B82&amp;"/"&amp;(B82+1))</f>
        <v>4055/4056</v>
      </c>
      <c r="L82" s="185" t="str">
        <f>VLOOKUP(A82,'Trips&amp;Operators'!$C$1:$G$99911,5,FALSE)</f>
        <v>BERLING GARY</v>
      </c>
      <c r="M82" s="6">
        <f>I82-F82</f>
        <v>2.8090277781302575E-2</v>
      </c>
      <c r="N82" s="7">
        <f>24*60*SUM($M82:$M82)</f>
        <v>40.450000005075708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-10-18T12:06:12-0600',mode:absolute,to:'2017-10-18T14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23.298100000000002</v>
      </c>
      <c r="Z82" s="204">
        <f>RIGHT(H82,LEN(H82)-4)/10000</f>
        <v>1.38E-2</v>
      </c>
      <c r="AA82" s="204">
        <f>ABS(Z82-Y82)</f>
        <v>23.284300000000002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s3://rtdc.mdm.uploadarchive.raw/RTDC4055/ "%USERPROFILE%\AppData\Local\Temp\OnboardLogs"\RTDC4055\2017-10-18 --exclude "*" --recursive --include "*20171018*" &amp; "%USERPROFILE%\Documents\GitHub\mrs-test-scripts\Headless Mode &amp; Sideloading\WalkAndUnGZ.bat" "%USERPROFILE%\AppData\Local\Temp\OnboardLogs"\RTDC4055\2017-10-18 &amp; aws s3 cp s3://rtdc.mdm.uploadarchive.raw/RTDC4055/ "%USERPROFILE%\AppData\Local\Temp\OnboardLogs"\RTDC4055\2017-10-19 --exclude "*" --recursive --include "*20171019*" &amp; "%USERPROFILE%\Documents\GitHub\mrs-test-scripts\Headless Mode &amp; Sideloading\WalkAndUnGZ.bat" "%USERPROFILE%\AppData\Local\Temp\OnboardLogs"\RTDC4055\2017-10-19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/stypes="app*4055*20171018*" /stext=" 19:.+((SYSTEM_STATE.+slice.+state.+changed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6"/>
        <v>"%USERPROFILE%\Documents\GitHub\eaglep3\Utilities\RefineRTDCRunTimes.py" --tripid 170-18 --locoid 4055 --swversion DE.1.0.9.0 --startMP 204:232981 --initTime 2017-10-18T13:06:12 --startdatetime 2017-10-18T13:12:15 --delay 143 --endMP 204:138 --enddatetime 2017-10-18T13:52:42 --enforcementcount 0 &gt;&gt;%USERPROFILE%\Documents\GitHub\eaglep3-reporting\EC\2017-10-18-refined-times.txt</v>
      </c>
      <c r="AI82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{"issue":{"subject":"","project_id":79,"tracker_id":40,"status_id":1,"priority_id":2,"assigned_to_id":338,"start_date":"2017-10-18","description":"","custom_fields":[{"id":1,"name":"Subdivision","value":"EC"},{"id":4,"name":"Milepost","value":"0.0138"},{"id":17,"name":"Train ID","value":"170-18"},{"id":16,"name":"Locomotive ID","value":"4055"},{"id":130,"name":"Impact","value":""},{"id":150,"name":"Time of Event (Mountain Time)","value":"13:52:42"},{"id":151,"name":"Denver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8"/>
        <v>start /low /b %USERPROFILE%\Documents\GitHub\eaglep3\Utilities\DownloadLogsFromS3.py --loco 4055 --day 2017-10-18</v>
      </c>
      <c r="AN82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19:52:42"},{"id":29,"name":"Sharepoint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20"/>
        <v>https://d0f6bd738d7f1b3e5a7ca70fe4ff75f0.us-east-1.aws.found.io/app/kibana#/discover/Steve-Slow-Train-Analysis-(2080s-and-2083s)?_g=(refreshInterval:(display:Off,pause:!f,section:0,value:0),time:(from:'2017-10-18T12:06:12-0600',mode:absolute,to:'2017-10-18T14:52:42-0600'))&amp;_a=(columns:!('Message%20ID',Summary),filters:!(),index:'emp_*',interval:auto,query:(query_string:(analyze_wildcard:!t,query:'%22rtdc.l.rtdc.4055%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702</v>
      </c>
      <c r="B83" s="7">
        <v>4020</v>
      </c>
      <c r="C83" s="21" t="s">
        <v>194</v>
      </c>
      <c r="D83" s="21" t="s">
        <v>372</v>
      </c>
      <c r="E83" s="13">
        <v>43026.514849537038</v>
      </c>
      <c r="F83" s="13">
        <v>43026.520972222221</v>
      </c>
      <c r="G83" s="7">
        <v>76</v>
      </c>
      <c r="H83" s="21" t="s">
        <v>847</v>
      </c>
      <c r="I83" s="13">
        <v>43026.544525462959</v>
      </c>
      <c r="J83" s="7">
        <v>0</v>
      </c>
      <c r="K83" s="89" t="str">
        <f>IF(ISEVEN(B83),(B83-1)&amp;"/"&amp;B83,B83&amp;"/"&amp;(B83+1))</f>
        <v>4019/4020</v>
      </c>
      <c r="L83" s="185" t="str">
        <f>VLOOKUP(A83,'Trips&amp;Operators'!$C$1:$G$99911,5,FALSE)</f>
        <v>NEWELL JAMES</v>
      </c>
      <c r="M83" s="6">
        <f>I83-F83</f>
        <v>2.3553240738692693E-2</v>
      </c>
      <c r="N83" s="7">
        <f>24*60*SUM($M83:$M83)</f>
        <v>33.916666663717479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-10-18T11:21:23-0600',mode:absolute,to:'2017-10-18T14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4.4699999999999997E-2</v>
      </c>
      <c r="Z83" s="204">
        <f>RIGHT(H83,LEN(H83)-4)/10000</f>
        <v>23.3278</v>
      </c>
      <c r="AA83" s="204">
        <f>ABS(Z83-Y83)</f>
        <v>23.283100000000001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 &amp; aws s3 cp s3://rtdc.mdm.uploadarchive.raw/RTDC4020/ "%USERPROFILE%\AppData\Local\Temp\OnboardLogs"\RTDC4020\2017-10-19 --exclude "*" --recursive --include "*20171019*" &amp; "%USERPROFILE%\Documents\GitHub\mrs-test-scripts\Headless Mode &amp; Sideloading\WalkAndUnGZ.bat" "%USERPROFILE%\AppData\Local\Temp\OnboardLogs"\RTDC4020\2017-10-19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/stypes="app*4020*20171018*"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6"/>
        <v>"%USERPROFILE%\Documents\GitHub\eaglep3\Utilities\RefineRTDCRunTimes.py" --tripid 171-18 --locoid 4020 --swversion DE.1.0.9.0 --startMP 204:447 --initTime 2017-10-18T12:21:23 --startdatetime 2017-10-18T12:30:12 --delay 76 --endMP 204:233278 --enddatetime 2017-10-18T13:04:07 --enforcementcount 0 &gt;&gt;%USERPROFILE%\Documents\GitHub\eaglep3-reporting\EC\2017-10-18-refined-times.txt</v>
      </c>
      <c r="AI83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{"issue":{"subject":"","project_id":79,"tracker_id":40,"status_id":1,"priority_id":2,"assigned_to_id":338,"start_date":"2017-10-18","description":"","custom_fields":[{"id":1,"name":"Subdivision","value":"EC"},{"id":4,"name":"Milepost","value":"23.3278"},{"id":17,"name":"Train ID","value":"171-18"},{"id":16,"name":"Locomotive ID","value":"4020"},{"id":130,"name":"Impact","value":""},{"id":150,"name":"Time of Event (Mountain Time)","value":"13:04:07"},{"id":151,"name":"Denver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8"/>
        <v>start /low /b %USERPROFILE%\Documents\GitHub\eaglep3\Utilities\DownloadLogsFromS3.py --loco 4020 --day 2017-10-18</v>
      </c>
      <c r="AN83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19:04:07"},{"id":29,"name":"Sharepoint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20"/>
        <v>https://d0f6bd738d7f1b3e5a7ca70fe4ff75f0.us-east-1.aws.found.io/app/kibana#/discover/Steve-Slow-Train-Analysis-(2080s-and-2083s)?_g=(refreshInterval:(display:Off,pause:!f,section:0,value:0),time:(from:'2017-10-18T11:21:23-0600',mode:absolute,to:'2017-10-18T14:04:07-0600'))&amp;_a=(columns:!('Message%20ID',Summary),filters:!(),index:'emp_*',interval:auto,query:(query_string:(analyze_wildcard:!t,query:'%22rtdc.l.rtdc.4020%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570</v>
      </c>
      <c r="B84" s="7">
        <v>4019</v>
      </c>
      <c r="C84" s="21" t="s">
        <v>194</v>
      </c>
      <c r="D84" s="21" t="s">
        <v>527</v>
      </c>
      <c r="E84" s="13">
        <v>43026.547083333331</v>
      </c>
      <c r="F84" s="13">
        <v>43026.560567129629</v>
      </c>
      <c r="G84" s="7">
        <v>64</v>
      </c>
      <c r="H84" s="21" t="s">
        <v>339</v>
      </c>
      <c r="I84" s="13">
        <v>43026.586782407408</v>
      </c>
      <c r="J84" s="7">
        <v>0</v>
      </c>
      <c r="K84" s="89" t="str">
        <f>IF(ISEVEN(B84),(B84-1)&amp;"/"&amp;B84,B84&amp;"/"&amp;(B84+1))</f>
        <v>4019/4020</v>
      </c>
      <c r="L84" s="185" t="str">
        <f>VLOOKUP(A84,'Trips&amp;Operators'!$C$1:$G$99911,5,FALSE)</f>
        <v>NEWELL JAMES</v>
      </c>
      <c r="M84" s="6">
        <f>I84-F84</f>
        <v>2.6215277779556345E-2</v>
      </c>
      <c r="N84" s="7">
        <f>24*60*SUM($M84:$M84)</f>
        <v>37.750000002561137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-10-18T12:07:48-0600',mode:absolute,to:'2017-10-18T15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23.2957</v>
      </c>
      <c r="Z84" s="204">
        <f>RIGHT(H84,LEN(H84)-4)/10000</f>
        <v>1.47E-2</v>
      </c>
      <c r="AA84" s="204">
        <f>ABS(Z84-Y84)</f>
        <v>23.280999999999999</v>
      </c>
      <c r="AB84" s="54" t="str">
        <f>VLOOKUP(A84,Enforcements!$C$7:$K$11,8,0)</f>
        <v>Bulletin (2)</v>
      </c>
      <c r="AC84" s="51" t="str">
        <f>VLOOKUP(A84,Enforcements!$C$7:$E$11,3,0)</f>
        <v>GRADE CROSSING</v>
      </c>
      <c r="AD84" s="179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s3://rtdc.mdm.uploadarchive.raw/RTDC4019/ "%USERPROFILE%\AppData\Local\Temp\OnboardLogs"\RTDC4019\2017-10-18 --exclude "*" --recursive --include "*20171018*" &amp; "%USERPROFILE%\Documents\GitHub\mrs-test-scripts\Headless Mode &amp; Sideloading\WalkAndUnGZ.bat" "%USERPROFILE%\AppData\Local\Temp\OnboardLogs"\RTDC4019\2017-10-18 &amp; aws s3 cp s3://rtdc.mdm.uploadarchive.raw/RTDC4019/ "%USERPROFILE%\AppData\Local\Temp\OnboardLogs"\RTDC4019\2017-10-19 --exclude "*" --recursive --include "*20171019*" &amp; "%USERPROFILE%\Documents\GitHub\mrs-test-scripts\Headless Mode &amp; Sideloading\WalkAndUnGZ.bat" "%USERPROFILE%\AppData\Local\Temp\OnboardLogs"\RTDC4019\2017-10-19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/stypes="app*4019*20171018*" /stext=" 20:.+((SYSTEM_STATE.+slice.+state.+changed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6"/>
        <v>"%USERPROFILE%\Documents\GitHub\eaglep3\Utilities\RefineRTDCRunTimes.py" --tripid 172-18 --locoid 4019 --swversion DE.1.0.9.0 --startMP 204:232957 --initTime 2017-10-18T13:07:48 --startdatetime 2017-10-18T13:27:13 --delay 64 --endMP 204:147 --enddatetime 2017-10-18T14:04:58 --enforcementcount 0 &gt;&gt;%USERPROFILE%\Documents\GitHub\eaglep3-reporting\EC\2017-10-18-refined-times.txt</v>
      </c>
      <c r="AI84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{"issue":{"subject":"","project_id":79,"tracker_id":40,"status_id":1,"priority_id":2,"assigned_to_id":338,"start_date":"2017-10-18","description":"","custom_fields":[{"id":1,"name":"Subdivision","value":"EC"},{"id":4,"name":"Milepost","value":"0.0147"},{"id":17,"name":"Train ID","value":"172-18"},{"id":16,"name":"Locomotive ID","value":"4019"},{"id":130,"name":"Impact","value":""},{"id":150,"name":"Time of Event (Mountain Time)","value":"14:04:58"},{"id":151,"name":"Denver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8"/>
        <v>start /low /b %USERPROFILE%\Documents\GitHub\eaglep3\Utilities\DownloadLogsFromS3.py --loco 4019 --day 2017-10-18</v>
      </c>
      <c r="AN84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20:04:58"},{"id":29,"name":"Sharepoint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20"/>
        <v>https://d0f6bd738d7f1b3e5a7ca70fe4ff75f0.us-east-1.aws.found.io/app/kibana#/discover/Steve-Slow-Train-Analysis-(2080s-and-2083s)?_g=(refreshInterval:(display:Off,pause:!f,section:0,value:0),time:(from:'2017-10-18T12:07:48-0600',mode:absolute,to:'2017-10-18T15:04:58-0600'))&amp;_a=(columns:!('Message%20ID',Summary),filters:!(),index:'emp_*',interval:auto,query:(query_string:(analyze_wildcard:!t,query:'%22rtdc.l.rtdc.4019%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705</v>
      </c>
      <c r="B85" s="7">
        <v>4062</v>
      </c>
      <c r="C85" s="21" t="s">
        <v>194</v>
      </c>
      <c r="D85" s="21" t="s">
        <v>372</v>
      </c>
      <c r="E85" s="13">
        <v>43026.527280092596</v>
      </c>
      <c r="F85" s="13">
        <v>43026.531724537039</v>
      </c>
      <c r="G85" s="7">
        <v>182</v>
      </c>
      <c r="H85" s="21" t="s">
        <v>368</v>
      </c>
      <c r="I85" s="13">
        <v>43026.556030092594</v>
      </c>
      <c r="J85" s="7">
        <v>0</v>
      </c>
      <c r="K85" s="89" t="str">
        <f>IF(ISEVEN(B85),(B85-1)&amp;"/"&amp;B85,B85&amp;"/"&amp;(B85+1))</f>
        <v>4061/4062</v>
      </c>
      <c r="L85" s="185" t="str">
        <f>VLOOKUP(A85,'Trips&amp;Operators'!$C$1:$G$99911,5,FALSE)</f>
        <v>HOLCOMB KAMDEN</v>
      </c>
      <c r="M85" s="6">
        <f>I85-F85</f>
        <v>2.4305555554747116E-2</v>
      </c>
      <c r="N85" s="7">
        <f>24*60*SUM($M85:$M85)</f>
        <v>34.999999998835847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-10-18T11:39:17-0600',mode:absolute,to:'2017-10-18T14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4.4699999999999997E-2</v>
      </c>
      <c r="Z85" s="204">
        <f>RIGHT(H85,LEN(H85)-4)/10000</f>
        <v>23.331199999999999</v>
      </c>
      <c r="AA85" s="204">
        <f>ABS(Z85-Y85)</f>
        <v>23.2865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s3://rtdc.mdm.uploadarchive.raw/RTDC4062/ "%USERPROFILE%\AppData\Local\Temp\OnboardLogs"\RTDC4062\2017-10-18 --exclude "*" --recursive --include "*20171018*" &amp; "%USERPROFILE%\Documents\GitHub\mrs-test-scripts\Headless Mode &amp; Sideloading\WalkAndUnGZ.bat" "%USERPROFILE%\AppData\Local\Temp\OnboardLogs"\RTDC4062\2017-10-18 &amp; aws s3 cp s3://rtdc.mdm.uploadarchive.raw/RTDC4062/ "%USERPROFILE%\AppData\Local\Temp\OnboardLogs"\RTDC4062\2017-10-19 --exclude "*" --recursive --include "*20171019*" &amp; "%USERPROFILE%\Documents\GitHub\mrs-test-scripts\Headless Mode &amp; Sideloading\WalkAndUnGZ.bat" "%USERPROFILE%\AppData\Local\Temp\OnboardLogs"\RTDC4062\2017-10-19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/stypes="app*4062*20171018*" /stext=" 19:.+((SYSTEM_STATE.+slice.+state.+changed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6"/>
        <v>"%USERPROFILE%\Documents\GitHub\eaglep3\Utilities\RefineRTDCRunTimes.py" --tripid 173-18 --locoid 4062 --swversion DE.1.0.9.0 --startMP 204:447 --initTime 2017-10-18T12:39:17 --startdatetime 2017-10-18T12:45:41 --delay 182 --endMP 204:233312 --enddatetime 2017-10-18T13:20:41 --enforcementcount 0 &gt;&gt;%USERPROFILE%\Documents\GitHub\eaglep3-reporting\EC\2017-10-18-refined-times.txt</v>
      </c>
      <c r="AI85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{"issue":{"subject":"","project_id":79,"tracker_id":40,"status_id":1,"priority_id":2,"assigned_to_id":338,"start_date":"2017-10-18","description":"","custom_fields":[{"id":1,"name":"Subdivision","value":"EC"},{"id":4,"name":"Milepost","value":"23.3312"},{"id":17,"name":"Train ID","value":"173-18"},{"id":16,"name":"Locomotive ID","value":"4062"},{"id":130,"name":"Impact","value":""},{"id":150,"name":"Time of Event (Mountain Time)","value":"13:20:41"},{"id":151,"name":"Denver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8"/>
        <v>start /low /b %USERPROFILE%\Documents\GitHub\eaglep3\Utilities\DownloadLogsFromS3.py --loco 4062 --day 2017-10-18</v>
      </c>
      <c r="AN85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19:20:41"},{"id":29,"name":"Sharepoint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20"/>
        <v>https://d0f6bd738d7f1b3e5a7ca70fe4ff75f0.us-east-1.aws.found.io/app/kibana#/discover/Steve-Slow-Train-Analysis-(2080s-and-2083s)?_g=(refreshInterval:(display:Off,pause:!f,section:0,value:0),time:(from:'2017-10-18T11:39:17-0600',mode:absolute,to:'2017-10-18T14:20:41-0600'))&amp;_a=(columns:!('Message%20ID',Summary),filters:!(),index:'emp_*',interval:auto,query:(query_string:(analyze_wildcard:!t,query:'%22rtdc.l.rtdc.4062%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716</v>
      </c>
      <c r="B86" s="7">
        <v>4061</v>
      </c>
      <c r="C86" s="21" t="s">
        <v>194</v>
      </c>
      <c r="D86" s="21" t="s">
        <v>525</v>
      </c>
      <c r="E86" s="13">
        <v>43026.570451388892</v>
      </c>
      <c r="F86" s="13">
        <v>43026.571770833332</v>
      </c>
      <c r="G86" s="7">
        <v>54</v>
      </c>
      <c r="H86" s="21" t="s">
        <v>437</v>
      </c>
      <c r="I86" s="13">
        <v>43026.597638888888</v>
      </c>
      <c r="J86" s="7">
        <v>0</v>
      </c>
      <c r="K86" s="89" t="str">
        <f>IF(ISEVEN(B86),(B86-1)&amp;"/"&amp;B86,B86&amp;"/"&amp;(B86+1))</f>
        <v>4061/4062</v>
      </c>
      <c r="L86" s="185" t="str">
        <f>VLOOKUP(A86,'Trips&amp;Operators'!$C$1:$G$99911,5,FALSE)</f>
        <v>HOLCOMB KAMDEN</v>
      </c>
      <c r="M86" s="6">
        <f>I86-F86</f>
        <v>2.5868055556202307E-2</v>
      </c>
      <c r="N86" s="7">
        <f>24*60*SUM($M86:$M86)</f>
        <v>37.250000000931323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-10-18T12:41:27-0600',mode:absolute,to:'2017-10-18T15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23.299299999999999</v>
      </c>
      <c r="Z86" s="204">
        <f>RIGHT(H86,LEN(H86)-4)/10000</f>
        <v>1.41E-2</v>
      </c>
      <c r="AA86" s="204">
        <f>ABS(Z86-Y86)</f>
        <v>23.2852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s3://rtdc.mdm.uploadarchive.raw/RTDC4061/ "%USERPROFILE%\AppData\Local\Temp\OnboardLogs"\RTDC4061\2017-10-18 --exclude "*" --recursive --include "*20171018*" &amp; "%USERPROFILE%\Documents\GitHub\mrs-test-scripts\Headless Mode &amp; Sideloading\WalkAndUnGZ.bat" "%USERPROFILE%\AppData\Local\Temp\OnboardLogs"\RTDC4061\2017-10-18 &amp; aws s3 cp s3://rtdc.mdm.uploadarchive.raw/RTDC4061/ "%USERPROFILE%\AppData\Local\Temp\OnboardLogs"\RTDC4061\2017-10-19 --exclude "*" --recursive --include "*20171019*" &amp; "%USERPROFILE%\Documents\GitHub\mrs-test-scripts\Headless Mode &amp; Sideloading\WalkAndUnGZ.bat" "%USERPROFILE%\AppData\Local\Temp\OnboardLogs"\RTDC4061\2017-10-19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/stypes="app*4061*20171018*" /stext=" 20:.+((SYSTEM_STATE.+slice.+state.+changed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6"/>
        <v>"%USERPROFILE%\Documents\GitHub\eaglep3\Utilities\RefineRTDCRunTimes.py" --tripid 174-18 --locoid 4061 --swversion DE.1.0.9.0 --startMP 204:232993 --initTime 2017-10-18T13:41:27 --startdatetime 2017-10-18T13:43:21 --delay 54 --endMP 204:141 --enddatetime 2017-10-18T14:20:36 --enforcementcount 0 &gt;&gt;%USERPROFILE%\Documents\GitHub\eaglep3-reporting\EC\2017-10-18-refined-times.txt</v>
      </c>
      <c r="AI86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{"issue":{"subject":"","project_id":79,"tracker_id":40,"status_id":1,"priority_id":2,"assigned_to_id":338,"start_date":"2017-10-18","description":"","custom_fields":[{"id":1,"name":"Subdivision","value":"EC"},{"id":4,"name":"Milepost","value":"0.0141"},{"id":17,"name":"Train ID","value":"174-18"},{"id":16,"name":"Locomotive ID","value":"4061"},{"id":130,"name":"Impact","value":""},{"id":150,"name":"Time of Event (Mountain Time)","value":"14:20:36"},{"id":151,"name":"Denver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8"/>
        <v>start /low /b %USERPROFILE%\Documents\GitHub\eaglep3\Utilities\DownloadLogsFromS3.py --loco 4061 --day 2017-10-18</v>
      </c>
      <c r="AN86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20:20:36"},{"id":29,"name":"Sharepoint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20"/>
        <v>https://d0f6bd738d7f1b3e5a7ca70fe4ff75f0.us-east-1.aws.found.io/app/kibana#/discover/Steve-Slow-Train-Analysis-(2080s-and-2083s)?_g=(refreshInterval:(display:Off,pause:!f,section:0,value:0),time:(from:'2017-10-18T12:41:27-0600',mode:absolute,to:'2017-10-18T15:20:36-0600'))&amp;_a=(columns:!('Message%20ID',Summary),filters:!(),index:'emp_*',interval:auto,query:(query_string:(analyze_wildcard:!t,query:'%22rtdc.l.rtdc.4061%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710</v>
      </c>
      <c r="B87" s="7">
        <v>4040</v>
      </c>
      <c r="C87" s="21" t="s">
        <v>194</v>
      </c>
      <c r="D87" s="21" t="s">
        <v>338</v>
      </c>
      <c r="E87" s="13">
        <v>43026.536574074074</v>
      </c>
      <c r="F87" s="13">
        <v>43026.54184027778</v>
      </c>
      <c r="G87" s="7">
        <v>69</v>
      </c>
      <c r="H87" s="21" t="s">
        <v>481</v>
      </c>
      <c r="I87" s="13">
        <v>43026.567094907405</v>
      </c>
      <c r="J87" s="7">
        <v>0</v>
      </c>
      <c r="K87" s="89" t="str">
        <f>IF(ISEVEN(B87),(B87-1)&amp;"/"&amp;B87,B87&amp;"/"&amp;(B87+1))</f>
        <v>4039/4040</v>
      </c>
      <c r="L87" s="185" t="str">
        <f>VLOOKUP(A87,'Trips&amp;Operators'!$C$1:$G$99911,5,FALSE)</f>
        <v>BRUDER RICHARD</v>
      </c>
      <c r="M87" s="6">
        <f>I87-F87</f>
        <v>2.5254629625123926E-2</v>
      </c>
      <c r="N87" s="7">
        <f>24*60*SUM($M87:$M87)</f>
        <v>36.366666660178453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-10-18T11:52:40-0600',mode:absolute,to:'2017-10-18T14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4.53E-2</v>
      </c>
      <c r="Z87" s="204">
        <f>RIGHT(H87,LEN(H87)-4)/10000</f>
        <v>23.331099999999999</v>
      </c>
      <c r="AA87" s="204">
        <f>ABS(Z87-Y87)</f>
        <v>23.285799999999998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s3://rtdc.mdm.uploadarchive.raw/RTDC4040/ "%USERPROFILE%\AppData\Local\Temp\OnboardLogs"\RTDC4040\2017-10-18 --exclude "*" --recursive --include "*20171018*" &amp; "%USERPROFILE%\Documents\GitHub\mrs-test-scripts\Headless Mode &amp; Sideloading\WalkAndUnGZ.bat" "%USERPROFILE%\AppData\Local\Temp\OnboardLogs"\RTDC4040\2017-10-18 &amp; aws s3 cp s3://rtdc.mdm.uploadarchive.raw/RTDC4040/ "%USERPROFILE%\AppData\Local\Temp\OnboardLogs"\RTDC4040\2017-10-19 --exclude "*" --recursive --include "*20171019*" &amp; "%USERPROFILE%\Documents\GitHub\mrs-test-scripts\Headless Mode &amp; Sideloading\WalkAndUnGZ.bat" "%USERPROFILE%\AppData\Local\Temp\OnboardLogs"\RTDC4040\2017-10-19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/stypes="app*4040*20171018*" /stext=" 19:.+((SYSTEM_STATE.+slice.+state.+changed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16"/>
        <v>"%USERPROFILE%\Documents\GitHub\eaglep3\Utilities\RefineRTDCRunTimes.py" --tripid 175-18 --locoid 4040 --swversion DE.1.0.9.0 --startMP 204:453 --initTime 2017-10-18T12:52:40 --startdatetime 2017-10-18T13:00:15 --delay 69 --endMP 204:233311 --enddatetime 2017-10-18T13:36:37 --enforcementcount 0 &gt;&gt;%USERPROFILE%\Documents\GitHub\eaglep3-reporting\EC\2017-10-18-refined-times.txt</v>
      </c>
      <c r="AI87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{"issue":{"subject":"","project_id":79,"tracker_id":40,"status_id":1,"priority_id":2,"assigned_to_id":338,"start_date":"2017-10-18","description":"","custom_fields":[{"id":1,"name":"Subdivision","value":"EC"},{"id":4,"name":"Milepost","value":"23.3311"},{"id":17,"name":"Train ID","value":"175-18"},{"id":16,"name":"Locomotive ID","value":"4040"},{"id":130,"name":"Impact","value":""},{"id":150,"name":"Time of Event (Mountain Time)","value":"13:36:37"},{"id":151,"name":"Denver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8"/>
        <v>start /low /b %USERPROFILE%\Documents\GitHub\eaglep3\Utilities\DownloadLogsFromS3.py --loco 4040 --day 2017-10-18</v>
      </c>
      <c r="AN87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19:36:37"},{"id":29,"name":"Sharepoint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20"/>
        <v>https://d0f6bd738d7f1b3e5a7ca70fe4ff75f0.us-east-1.aws.found.io/app/kibana#/discover/Steve-Slow-Train-Analysis-(2080s-and-2083s)?_g=(refreshInterval:(display:Off,pause:!f,section:0,value:0),time:(from:'2017-10-18T11:52:40-0600',mode:absolute,to:'2017-10-18T14:36:37-0600'))&amp;_a=(columns:!('Message%20ID',Summary),filters:!(),index:'emp_*',interval:auto,query:(query_string:(analyze_wildcard:!t,query:'%22rtdc.l.rtdc.4040%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717</v>
      </c>
      <c r="B88" s="7">
        <v>4039</v>
      </c>
      <c r="C88" s="21" t="s">
        <v>194</v>
      </c>
      <c r="D88" s="21" t="s">
        <v>488</v>
      </c>
      <c r="E88" s="13">
        <v>43026.578796296293</v>
      </c>
      <c r="F88" s="13">
        <v>43026.581435185188</v>
      </c>
      <c r="G88" s="7">
        <v>87</v>
      </c>
      <c r="H88" s="21" t="s">
        <v>336</v>
      </c>
      <c r="I88" s="13">
        <v>43026.607303240744</v>
      </c>
      <c r="J88" s="7">
        <v>0</v>
      </c>
      <c r="K88" s="89" t="str">
        <f>IF(ISEVEN(B88),(B88-1)&amp;"/"&amp;B88,B88&amp;"/"&amp;(B88+1))</f>
        <v>4039/4040</v>
      </c>
      <c r="L88" s="185" t="str">
        <f>VLOOKUP(A88,'Trips&amp;Operators'!$C$1:$G$99911,5,FALSE)</f>
        <v>BRUDER RICHARD</v>
      </c>
      <c r="M88" s="6">
        <f>I88-F88</f>
        <v>2.5868055556202307E-2</v>
      </c>
      <c r="N88" s="7">
        <f>24*60*SUM($M88:$M88)</f>
        <v>37.250000000931323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-10-18T12:53:28-0600',mode:absolute,to:'2017-10-18T15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23.297999999999998</v>
      </c>
      <c r="Z88" s="204">
        <f>RIGHT(H88,LEN(H88)-4)/10000</f>
        <v>1.49E-2</v>
      </c>
      <c r="AA88" s="204">
        <f>ABS(Z88-Y88)</f>
        <v>23.283099999999997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s3://rtdc.mdm.uploadarchive.raw/RTDC4039/ "%USERPROFILE%\AppData\Local\Temp\OnboardLogs"\RTDC4039\2017-10-18 --exclude "*" --recursive --include "*20171018*" &amp; "%USERPROFILE%\Documents\GitHub\mrs-test-scripts\Headless Mode &amp; Sideloading\WalkAndUnGZ.bat" "%USERPROFILE%\AppData\Local\Temp\OnboardLogs"\RTDC4039\2017-10-18 &amp; aws s3 cp s3://rtdc.mdm.uploadarchive.raw/RTDC4039/ "%USERPROFILE%\AppData\Local\Temp\OnboardLogs"\RTDC4039\2017-10-19 --exclude "*" --recursive --include "*20171019*" &amp; "%USERPROFILE%\Documents\GitHub\mrs-test-scripts\Headless Mode &amp; Sideloading\WalkAndUnGZ.bat" "%USERPROFILE%\AppData\Local\Temp\OnboardLogs"\RTDC4039\2017-10-19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/stypes="app*4039*20171018*" /stext=" 20:.+((SYSTEM_STATE.+slice.+state.+changed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16"/>
        <v>"%USERPROFILE%\Documents\GitHub\eaglep3\Utilities\RefineRTDCRunTimes.py" --tripid 176-18 --locoid 4039 --swversion DE.1.0.9.0 --startMP 204:232980 --initTime 2017-10-18T13:53:28 --startdatetime 2017-10-18T13:57:16 --delay 87 --endMP 204:149 --enddatetime 2017-10-18T14:34:31 --enforcementcount 0 &gt;&gt;%USERPROFILE%\Documents\GitHub\eaglep3-reporting\EC\2017-10-18-refined-times.txt</v>
      </c>
      <c r="AI88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{"issue":{"subject":"","project_id":79,"tracker_id":40,"status_id":1,"priority_id":2,"assigned_to_id":338,"start_date":"2017-10-18","description":"","custom_fields":[{"id":1,"name":"Subdivision","value":"EC"},{"id":4,"name":"Milepost","value":"0.0149"},{"id":17,"name":"Train ID","value":"176-18"},{"id":16,"name":"Locomotive ID","value":"4039"},{"id":130,"name":"Impact","value":""},{"id":150,"name":"Time of Event (Mountain Time)","value":"14:34:31"},{"id":151,"name":"Denver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8"/>
        <v>start /low /b %USERPROFILE%\Documents\GitHub\eaglep3\Utilities\DownloadLogsFromS3.py --loco 4039 --day 2017-10-18</v>
      </c>
      <c r="AN88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20:34:31"},{"id":29,"name":"Sharepoint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20"/>
        <v>https://d0f6bd738d7f1b3e5a7ca70fe4ff75f0.us-east-1.aws.found.io/app/kibana#/discover/Steve-Slow-Train-Analysis-(2080s-and-2083s)?_g=(refreshInterval:(display:Off,pause:!f,section:0,value:0),time:(from:'2017-10-18T12:53:28-0600',mode:absolute,to:'2017-10-18T15:34:31-0600'))&amp;_a=(columns:!('Message%20ID',Summary),filters:!(),index:'emp_*',interval:auto,query:(query_string:(analyze_wildcard:!t,query:'%22rtdc.l.rtdc.4039%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712</v>
      </c>
      <c r="B89" s="7">
        <v>4002</v>
      </c>
      <c r="C89" s="21" t="s">
        <v>194</v>
      </c>
      <c r="D89" s="21" t="s">
        <v>367</v>
      </c>
      <c r="E89" s="13">
        <v>43026.549733796295</v>
      </c>
      <c r="F89" s="13">
        <v>43026.552303240744</v>
      </c>
      <c r="G89" s="7">
        <v>52</v>
      </c>
      <c r="H89" s="21" t="s">
        <v>451</v>
      </c>
      <c r="I89" s="13">
        <v>43026.577928240738</v>
      </c>
      <c r="J89" s="7">
        <v>0</v>
      </c>
      <c r="K89" s="89" t="str">
        <f>IF(ISEVEN(B89),(B89-1)&amp;"/"&amp;B89,B89&amp;"/"&amp;(B89+1))</f>
        <v>4001/4002</v>
      </c>
      <c r="L89" s="185" t="str">
        <f>VLOOKUP(A89,'Trips&amp;Operators'!$C$1:$G$99911,5,FALSE)</f>
        <v>STEWART MICHAEL</v>
      </c>
      <c r="M89" s="6">
        <f>I89-F89</f>
        <v>2.5624999994761311E-2</v>
      </c>
      <c r="N89" s="7">
        <f>24*60*SUM($M89:$M89)</f>
        <v>36.899999992456287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-10-18T12:11:37-0600',mode:absolute,to:'2017-10-18T14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4.5100000000000001E-2</v>
      </c>
      <c r="Z89" s="204">
        <f>RIGHT(H89,LEN(H89)-4)/10000</f>
        <v>23.329499999999999</v>
      </c>
      <c r="AA89" s="204">
        <f>ABS(Z89-Y89)</f>
        <v>23.284399999999998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s3://rtdc.mdm.uploadarchive.raw/RTDC4002/ "%USERPROFILE%\AppData\Local\Temp\OnboardLogs"\RTDC4002\2017-10-18 --exclude "*" --recursive --include "*20171018*" &amp; "%USERPROFILE%\Documents\GitHub\mrs-test-scripts\Headless Mode &amp; Sideloading\WalkAndUnGZ.bat" "%USERPROFILE%\AppData\Local\Temp\OnboardLogs"\RTDC4002\2017-10-18 &amp; aws s3 cp s3://rtdc.mdm.uploadarchive.raw/RTDC4002/ "%USERPROFILE%\AppData\Local\Temp\OnboardLogs"\RTDC4002\2017-10-19 --exclude "*" --recursive --include "*20171019*" &amp; "%USERPROFILE%\Documents\GitHub\mrs-test-scripts\Headless Mode &amp; Sideloading\WalkAndUnGZ.bat" "%USERPROFILE%\AppData\Local\Temp\OnboardLogs"\RTDC4002\2017-10-19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/stypes="app*4002*20171018*" /stext=" 19:.+((SYSTEM_STATE.+slice.+state.+changed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6"/>
        <v>"%USERPROFILE%\Documents\GitHub\eaglep3\Utilities\RefineRTDCRunTimes.py" --tripid 177-18 --locoid 4002 --swversion DE.1.0.9.0 --startMP 204:451 --initTime 2017-10-18T13:11:37 --startdatetime 2017-10-18T13:15:19 --delay 52 --endMP 204:233295 --enddatetime 2017-10-18T13:52:13 --enforcementcount 0 &gt;&gt;%USERPROFILE%\Documents\GitHub\eaglep3-reporting\EC\2017-10-18-refined-times.txt</v>
      </c>
      <c r="AI89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{"issue":{"subject":"","project_id":79,"tracker_id":40,"status_id":1,"priority_id":2,"assigned_to_id":338,"start_date":"2017-10-18","description":"","custom_fields":[{"id":1,"name":"Subdivision","value":"EC"},{"id":4,"name":"Milepost","value":"23.3295"},{"id":17,"name":"Train ID","value":"177-18"},{"id":16,"name":"Locomotive ID","value":"4002"},{"id":130,"name":"Impact","value":""},{"id":150,"name":"Time of Event (Mountain Time)","value":"13:52:13"},{"id":151,"name":"Denver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8"/>
        <v>start /low /b %USERPROFILE%\Documents\GitHub\eaglep3\Utilities\DownloadLogsFromS3.py --loco 4002 --day 2017-10-18</v>
      </c>
      <c r="AN89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19:52:13"},{"id":29,"name":"Sharepoint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20"/>
        <v>https://d0f6bd738d7f1b3e5a7ca70fe4ff75f0.us-east-1.aws.found.io/app/kibana#/discover/Steve-Slow-Train-Analysis-(2080s-and-2083s)?_g=(refreshInterval:(display:Off,pause:!f,section:0,value:0),time:(from:'2017-10-18T12:11:37-0600',mode:absolute,to:'2017-10-18T14:52:13-0600'))&amp;_a=(columns:!('Message%20ID',Summary),filters:!(),index:'emp_*',interval:auto,query:(query_string:(analyze_wildcard:!t,query:'%22rtdc.l.rtdc.4002%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723</v>
      </c>
      <c r="B90" s="7">
        <v>4001</v>
      </c>
      <c r="C90" s="21" t="s">
        <v>194</v>
      </c>
      <c r="D90" s="21" t="s">
        <v>404</v>
      </c>
      <c r="E90" s="13">
        <v>43026.587939814817</v>
      </c>
      <c r="F90" s="13">
        <v>43026.591886574075</v>
      </c>
      <c r="G90" s="7">
        <v>80</v>
      </c>
      <c r="H90" s="21" t="s">
        <v>371</v>
      </c>
      <c r="I90" s="13">
        <v>43026.618726851855</v>
      </c>
      <c r="J90" s="7">
        <v>0</v>
      </c>
      <c r="K90" s="89" t="str">
        <f>IF(ISEVEN(B90),(B90-1)&amp;"/"&amp;B90,B90&amp;"/"&amp;(B90+1))</f>
        <v>4001/4002</v>
      </c>
      <c r="L90" s="185" t="str">
        <f>VLOOKUP(A90,'Trips&amp;Operators'!$C$1:$G$99911,5,FALSE)</f>
        <v>STEWART MICHAEL</v>
      </c>
      <c r="M90" s="6">
        <f>I90-F90</f>
        <v>2.6840277780138422E-2</v>
      </c>
      <c r="N90" s="7">
        <f>24*60*SUM($M90:$M90)</f>
        <v>38.650000003399327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-10-18T13:06:38-0600',mode:absolute,to:'2017-10-18T15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23.297699999999999</v>
      </c>
      <c r="Z90" s="204">
        <f>RIGHT(H90,LEN(H90)-4)/10000</f>
        <v>1.54E-2</v>
      </c>
      <c r="AA90" s="204">
        <f>ABS(Z90-Y90)</f>
        <v>23.282299999999999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s3://rtdc.mdm.uploadarchive.raw/RTDC4001/ "%USERPROFILE%\AppData\Local\Temp\OnboardLogs"\RTDC4001\2017-10-18 --exclude "*" --recursive --include "*20171018*" &amp; "%USERPROFILE%\Documents\GitHub\mrs-test-scripts\Headless Mode &amp; Sideloading\WalkAndUnGZ.bat" "%USERPROFILE%\AppData\Local\Temp\OnboardLogs"\RTDC4001\2017-10-18 &amp; aws s3 cp s3://rtdc.mdm.uploadarchive.raw/RTDC4001/ "%USERPROFILE%\AppData\Local\Temp\OnboardLogs"\RTDC4001\2017-10-19 --exclude "*" --recursive --include "*20171019*" &amp; "%USERPROFILE%\Documents\GitHub\mrs-test-scripts\Headless Mode &amp; Sideloading\WalkAndUnGZ.bat" "%USERPROFILE%\AppData\Local\Temp\OnboardLogs"\RTDC4001\2017-10-19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/stypes="app*4001*20171018*" /stext=" 20:.+((SYSTEM_STATE.+slice.+state.+changed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6"/>
        <v>"%USERPROFILE%\Documents\GitHub\eaglep3\Utilities\RefineRTDCRunTimes.py" --tripid 178-18 --locoid 4001 --swversion DE.1.0.9.0 --startMP 204:232977 --initTime 2017-10-18T14:06:38 --startdatetime 2017-10-18T14:12:19 --delay 80 --endMP 204:154 --enddatetime 2017-10-18T14:50:58 --enforcementcount 0 &gt;&gt;%USERPROFILE%\Documents\GitHub\eaglep3-reporting\EC\2017-10-18-refined-times.txt</v>
      </c>
      <c r="AI90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{"issue":{"subject":"","project_id":79,"tracker_id":40,"status_id":1,"priority_id":2,"assigned_to_id":338,"start_date":"2017-10-18","description":"","custom_fields":[{"id":1,"name":"Subdivision","value":"EC"},{"id":4,"name":"Milepost","value":"0.0154"},{"id":17,"name":"Train ID","value":"178-18"},{"id":16,"name":"Locomotive ID","value":"4001"},{"id":130,"name":"Impact","value":""},{"id":150,"name":"Time of Event (Mountain Time)","value":"14:50:58"},{"id":151,"name":"Denver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8"/>
        <v>start /low /b %USERPROFILE%\Documents\GitHub\eaglep3\Utilities\DownloadLogsFromS3.py --loco 4001 --day 2017-10-18</v>
      </c>
      <c r="AN90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20:50:58"},{"id":29,"name":"Sharepoint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20"/>
        <v>https://d0f6bd738d7f1b3e5a7ca70fe4ff75f0.us-east-1.aws.found.io/app/kibana#/discover/Steve-Slow-Train-Analysis-(2080s-and-2083s)?_g=(refreshInterval:(display:Off,pause:!f,section:0,value:0),time:(from:'2017-10-18T13:06:38-0600',mode:absolute,to:'2017-10-18T15:50:58-0600'))&amp;_a=(columns:!('Message%20ID',Summary),filters:!(),index:'emp_*',interval:auto,query:(query_string:(analyze_wildcard:!t,query:'%22rtdc.l.rtdc.4001%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714</v>
      </c>
      <c r="B91" s="7">
        <v>4064</v>
      </c>
      <c r="C91" s="21" t="s">
        <v>194</v>
      </c>
      <c r="D91" s="21" t="s">
        <v>353</v>
      </c>
      <c r="E91" s="13">
        <v>43026.558125000003</v>
      </c>
      <c r="F91" s="13">
        <v>43026.562743055554</v>
      </c>
      <c r="G91" s="7">
        <v>47</v>
      </c>
      <c r="H91" s="21" t="s">
        <v>848</v>
      </c>
      <c r="I91" s="13">
        <v>43026.586574074077</v>
      </c>
      <c r="J91" s="7">
        <v>0</v>
      </c>
      <c r="K91" s="89" t="str">
        <f>IF(ISEVEN(B91),(B91-1)&amp;"/"&amp;B91,B91&amp;"/"&amp;(B91+1))</f>
        <v>4063/4064</v>
      </c>
      <c r="L91" s="185" t="str">
        <f>VLOOKUP(A91,'Trips&amp;Operators'!$C$1:$G$99911,5,FALSE)</f>
        <v>GUZMAN DANNY</v>
      </c>
      <c r="M91" s="6">
        <f>I91-F91</f>
        <v>2.383101852319669E-2</v>
      </c>
      <c r="N91" s="7">
        <f>24*60*SUM($M91:$M91)</f>
        <v>34.316666673403233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-10-18T12:23:42-0600',mode:absolute,to:'2017-10-18T15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4.58E-2</v>
      </c>
      <c r="Z91" s="204">
        <f>RIGHT(H91,LEN(H91)-4)/10000</f>
        <v>23.332999999999998</v>
      </c>
      <c r="AA91" s="204">
        <f>ABS(Z91-Y91)</f>
        <v>23.287199999999999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s3://rtdc.mdm.uploadarchive.raw/RTDC4064/ "%USERPROFILE%\AppData\Local\Temp\OnboardLogs"\RTDC4064\2017-10-18 --exclude "*" --recursive --include "*20171018*" &amp; "%USERPROFILE%\Documents\GitHub\mrs-test-scripts\Headless Mode &amp; Sideloading\WalkAndUnGZ.bat" "%USERPROFILE%\AppData\Local\Temp\OnboardLogs"\RTDC4064\2017-10-18 &amp; aws s3 cp s3://rtdc.mdm.uploadarchive.raw/RTDC4064/ "%USERPROFILE%\AppData\Local\Temp\OnboardLogs"\RTDC4064\2017-10-19 --exclude "*" --recursive --include "*20171019*" &amp; "%USERPROFILE%\Documents\GitHub\mrs-test-scripts\Headless Mode &amp; Sideloading\WalkAndUnGZ.bat" "%USERPROFILE%\AppData\Local\Temp\OnboardLogs"\RTDC4064\2017-10-19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/stypes="app*4064*20171018*"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6"/>
        <v>"%USERPROFILE%\Documents\GitHub\eaglep3\Utilities\RefineRTDCRunTimes.py" --tripid 179-18 --locoid 4064 --swversion DE.1.0.9.0 --startMP 204:458 --initTime 2017-10-18T13:23:42 --startdatetime 2017-10-18T13:30:21 --delay 47 --endMP 204:233330 --enddatetime 2017-10-18T14:04:40 --enforcementcount 0 &gt;&gt;%USERPROFILE%\Documents\GitHub\eaglep3-reporting\EC\2017-10-18-refined-times.txt</v>
      </c>
      <c r="AI91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{"issue":{"subject":"","project_id":79,"tracker_id":40,"status_id":1,"priority_id":2,"assigned_to_id":338,"start_date":"2017-10-18","description":"","custom_fields":[{"id":1,"name":"Subdivision","value":"EC"},{"id":4,"name":"Milepost","value":"23.333"},{"id":17,"name":"Train ID","value":"179-18"},{"id":16,"name":"Locomotive ID","value":"4064"},{"id":130,"name":"Impact","value":""},{"id":150,"name":"Time of Event (Mountain Time)","value":"14:04:40"},{"id":151,"name":"Denver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8"/>
        <v>start /low /b %USERPROFILE%\Documents\GitHub\eaglep3\Utilities\DownloadLogsFromS3.py --loco 4064 --day 2017-10-18</v>
      </c>
      <c r="AN91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20:04:40"},{"id":29,"name":"Sharepoint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20"/>
        <v>https://d0f6bd738d7f1b3e5a7ca70fe4ff75f0.us-east-1.aws.found.io/app/kibana#/discover/Steve-Slow-Train-Analysis-(2080s-and-2083s)?_g=(refreshInterval:(display:Off,pause:!f,section:0,value:0),time:(from:'2017-10-18T12:23:42-0600',mode:absolute,to:'2017-10-18T15:04:40-0600'))&amp;_a=(columns:!('Message%20ID',Summary),filters:!(),index:'emp_*',interval:auto,query:(query_string:(analyze_wildcard:!t,query:'%22rtdc.l.rtdc.4064%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724</v>
      </c>
      <c r="B92" s="7">
        <v>4063</v>
      </c>
      <c r="C92" s="21" t="s">
        <v>194</v>
      </c>
      <c r="D92" s="21" t="s">
        <v>849</v>
      </c>
      <c r="E92" s="13">
        <v>43026.588159722225</v>
      </c>
      <c r="F92" s="13">
        <v>43026.60224537037</v>
      </c>
      <c r="G92" s="7">
        <v>51</v>
      </c>
      <c r="H92" s="21" t="s">
        <v>435</v>
      </c>
      <c r="I92" s="13">
        <v>43026.628182870372</v>
      </c>
      <c r="J92" s="7">
        <v>0</v>
      </c>
      <c r="K92" s="89" t="str">
        <f>IF(ISEVEN(B92),(B92-1)&amp;"/"&amp;B92,B92&amp;"/"&amp;(B92+1))</f>
        <v>4063/4064</v>
      </c>
      <c r="L92" s="185" t="str">
        <f>VLOOKUP(A92,'Trips&amp;Operators'!$C$1:$G$99911,5,FALSE)</f>
        <v>GUZMAN DANNY</v>
      </c>
      <c r="M92" s="6">
        <f>I92-F92</f>
        <v>2.5937500002328306E-2</v>
      </c>
      <c r="N92" s="7">
        <f>24*60*SUM($M92:$M92)</f>
        <v>37.350000003352761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-10-18T13:06:57-0600',mode:absolute,to:'2017-10-18T16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23.3</v>
      </c>
      <c r="Z92" s="204">
        <f>RIGHT(H92,LEN(H92)-4)/10000</f>
        <v>1.3599999999999999E-2</v>
      </c>
      <c r="AA92" s="204">
        <f>ABS(Z92-Y92)</f>
        <v>23.2864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s3://rtdc.mdm.uploadarchive.raw/RTDC4063/ "%USERPROFILE%\AppData\Local\Temp\OnboardLogs"\RTDC4063\2017-10-18 --exclude "*" --recursive --include "*20171018*" &amp; "%USERPROFILE%\Documents\GitHub\mrs-test-scripts\Headless Mode &amp; Sideloading\WalkAndUnGZ.bat" "%USERPROFILE%\AppData\Local\Temp\OnboardLogs"\RTDC4063\2017-10-18 &amp; aws s3 cp s3://rtdc.mdm.uploadarchive.raw/RTDC4063/ "%USERPROFILE%\AppData\Local\Temp\OnboardLogs"\RTDC4063\2017-10-19 --exclude "*" --recursive --include "*20171019*" &amp; "%USERPROFILE%\Documents\GitHub\mrs-test-scripts\Headless Mode &amp; Sideloading\WalkAndUnGZ.bat" "%USERPROFILE%\AppData\Local\Temp\OnboardLogs"\RTDC4063\2017-10-19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/stypes="app*4063*20171018*" /stext=" 21:.+((SYSTEM_STATE.+slice.+state.+changed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6"/>
        <v>"%USERPROFILE%\Documents\GitHub\eaglep3\Utilities\RefineRTDCRunTimes.py" --tripid 180-18 --locoid 4063 --swversion DE.1.0.9.0 --startMP 204:233000 --initTime 2017-10-18T14:06:57 --startdatetime 2017-10-18T14:27:14 --delay 51 --endMP 204:136 --enddatetime 2017-10-18T15:04:35 --enforcementcount 0 &gt;&gt;%USERPROFILE%\Documents\GitHub\eaglep3-reporting\EC\2017-10-18-refined-times.txt</v>
      </c>
      <c r="AI92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{"issue":{"subject":"","project_id":79,"tracker_id":40,"status_id":1,"priority_id":2,"assigned_to_id":338,"start_date":"2017-10-18","description":"","custom_fields":[{"id":1,"name":"Subdivision","value":"EC"},{"id":4,"name":"Milepost","value":"0.0136"},{"id":17,"name":"Train ID","value":"180-18"},{"id":16,"name":"Locomotive ID","value":"4063"},{"id":130,"name":"Impact","value":""},{"id":150,"name":"Time of Event (Mountain Time)","value":"15:04:35"},{"id":151,"name":"Denver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8"/>
        <v>start /low /b %USERPROFILE%\Documents\GitHub\eaglep3\Utilities\DownloadLogsFromS3.py --loco 4063 --day 2017-10-18</v>
      </c>
      <c r="AN92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21:04:35"},{"id":29,"name":"Sharepoint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20"/>
        <v>https://d0f6bd738d7f1b3e5a7ca70fe4ff75f0.us-east-1.aws.found.io/app/kibana#/discover/Steve-Slow-Train-Analysis-(2080s-and-2083s)?_g=(refreshInterval:(display:Off,pause:!f,section:0,value:0),time:(from:'2017-10-18T13:06:57-0600',mode:absolute,to:'2017-10-18T16:04:35-0600'))&amp;_a=(columns:!('Message%20ID',Summary),filters:!(),index:'emp_*',interval:auto,query:(query_string:(analyze_wildcard:!t,query:'%22rtdc.l.rtdc.4063%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574</v>
      </c>
      <c r="B93" s="7">
        <v>4026</v>
      </c>
      <c r="C93" s="21" t="s">
        <v>194</v>
      </c>
      <c r="D93" s="21" t="s">
        <v>425</v>
      </c>
      <c r="E93" s="13">
        <v>43026.570937500001</v>
      </c>
      <c r="F93" s="13">
        <v>43026.573217592595</v>
      </c>
      <c r="G93" s="7">
        <v>58</v>
      </c>
      <c r="H93" s="21" t="s">
        <v>401</v>
      </c>
      <c r="I93" s="13">
        <v>43026.599386574075</v>
      </c>
      <c r="J93" s="7">
        <v>0</v>
      </c>
      <c r="K93" s="89" t="str">
        <f>IF(ISEVEN(B93),(B93-1)&amp;"/"&amp;B93,B93&amp;"/"&amp;(B93+1))</f>
        <v>4025/4026</v>
      </c>
      <c r="L93" s="185" t="str">
        <f>VLOOKUP(A93,'Trips&amp;Operators'!$C$1:$G$99911,5,FALSE)</f>
        <v>MOSES BRADLEY</v>
      </c>
      <c r="M93" s="6">
        <f>I93-F93</f>
        <v>2.6168981479713693E-2</v>
      </c>
      <c r="N93" s="7">
        <f>24*60*SUM($M93:$M93)</f>
        <v>37.683333330787718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-10-18T12:42:09-0600',mode:absolute,to:'2017-10-18T15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4.3799999999999999E-2</v>
      </c>
      <c r="Z93" s="204">
        <f>RIGHT(H93,LEN(H93)-4)/10000</f>
        <v>23.331399999999999</v>
      </c>
      <c r="AA93" s="204">
        <f>ABS(Z93-Y93)</f>
        <v>23.287599999999998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s3://rtdc.mdm.uploadarchive.raw/RTDC4026/ "%USERPROFILE%\AppData\Local\Temp\OnboardLogs"\RTDC4026\2017-10-18 --exclude "*" --recursive --include "*20171018*" &amp; "%USERPROFILE%\Documents\GitHub\mrs-test-scripts\Headless Mode &amp; Sideloading\WalkAndUnGZ.bat" "%USERPROFILE%\AppData\Local\Temp\OnboardLogs"\RTDC4026\2017-10-18 &amp; aws s3 cp s3://rtdc.mdm.uploadarchive.raw/RTDC4026/ "%USERPROFILE%\AppData\Local\Temp\OnboardLogs"\RTDC4026\2017-10-19 --exclude "*" --recursive --include "*20171019*" &amp; "%USERPROFILE%\Documents\GitHub\mrs-test-scripts\Headless Mode &amp; Sideloading\WalkAndUnGZ.bat" "%USERPROFILE%\AppData\Local\Temp\OnboardLogs"\RTDC4026\2017-10-19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/stypes="app*4026*20171018*" /stext=" 20:.+((SYSTEM_STATE.+slice.+state.+changed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16"/>
        <v>"%USERPROFILE%\Documents\GitHub\eaglep3\Utilities\RefineRTDCRunTimes.py" --tripid 181-18 --locoid 4026 --swversion DE.1.0.9.0 --startMP 204:438 --initTime 2017-10-18T13:42:09 --startdatetime 2017-10-18T13:45:26 --delay 58 --endMP 204:233314 --enddatetime 2017-10-18T14:23:07 --enforcementcount 0 &gt;&gt;%USERPROFILE%\Documents\GitHub\eaglep3-reporting\EC\2017-10-18-refined-times.txt</v>
      </c>
      <c r="AI93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{"issue":{"subject":"","project_id":79,"tracker_id":40,"status_id":1,"priority_id":2,"assigned_to_id":338,"start_date":"2017-10-18","description":"","custom_fields":[{"id":1,"name":"Subdivision","value":"EC"},{"id":4,"name":"Milepost","value":"23.3314"},{"id":17,"name":"Train ID","value":"181-18"},{"id":16,"name":"Locomotive ID","value":"4026"},{"id":130,"name":"Impact","value":""},{"id":150,"name":"Time of Event (Mountain Time)","value":"14:23:07"},{"id":151,"name":"Denver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8"/>
        <v>start /low /b %USERPROFILE%\Documents\GitHub\eaglep3\Utilities\DownloadLogsFromS3.py --loco 4026 --day 2017-10-18</v>
      </c>
      <c r="AN93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20:23:07"},{"id":29,"name":"Sharepoint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20"/>
        <v>https://d0f6bd738d7f1b3e5a7ca70fe4ff75f0.us-east-1.aws.found.io/app/kibana#/discover/Steve-Slow-Train-Analysis-(2080s-and-2083s)?_g=(refreshInterval:(display:Off,pause:!f,section:0,value:0),time:(from:'2017-10-18T12:42:09-0600',mode:absolute,to:'2017-10-18T15:23:07-0600'))&amp;_a=(columns:!('Message%20ID',Summary),filters:!(),index:'emp_*',interval:auto,query:(query_string:(analyze_wildcard:!t,query:'%22rtdc.l.rtdc.4026%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726</v>
      </c>
      <c r="B94" s="7">
        <v>4025</v>
      </c>
      <c r="C94" s="21" t="s">
        <v>194</v>
      </c>
      <c r="D94" s="21" t="s">
        <v>849</v>
      </c>
      <c r="E94" s="13">
        <v>43026.610138888886</v>
      </c>
      <c r="F94" s="13">
        <v>43026.612754629627</v>
      </c>
      <c r="G94" s="7">
        <v>75</v>
      </c>
      <c r="H94" s="21" t="s">
        <v>437</v>
      </c>
      <c r="I94" s="13">
        <v>43026.63957175926</v>
      </c>
      <c r="J94" s="7">
        <v>0</v>
      </c>
      <c r="K94" s="89" t="str">
        <f>IF(ISEVEN(B94),(B94-1)&amp;"/"&amp;B94,B94&amp;"/"&amp;(B94+1))</f>
        <v>4025/4026</v>
      </c>
      <c r="L94" s="185" t="str">
        <f>VLOOKUP(A94,'Trips&amp;Operators'!$C$1:$G$99911,5,FALSE)</f>
        <v>MOSES BRADLEY</v>
      </c>
      <c r="M94" s="6">
        <f>I94-F94</f>
        <v>2.6817129633855075E-2</v>
      </c>
      <c r="N94" s="7">
        <f>24*60*SUM($M94:$M94)</f>
        <v>38.616666672751307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-10-18T13:38:36-0600',mode:absolute,to:'2017-10-18T16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23.3</v>
      </c>
      <c r="Z94" s="204">
        <f>RIGHT(H94,LEN(H94)-4)/10000</f>
        <v>1.41E-2</v>
      </c>
      <c r="AA94" s="204">
        <f>ABS(Z94-Y94)</f>
        <v>23.285900000000002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s3://rtdc.mdm.uploadarchive.raw/RTDC4025/ "%USERPROFILE%\AppData\Local\Temp\OnboardLogs"\RTDC4025\2017-10-18 --exclude "*" --recursive --include "*20171018*" &amp; "%USERPROFILE%\Documents\GitHub\mrs-test-scripts\Headless Mode &amp; Sideloading\WalkAndUnGZ.bat" "%USERPROFILE%\AppData\Local\Temp\OnboardLogs"\RTDC4025\2017-10-18 &amp; aws s3 cp s3://rtdc.mdm.uploadarchive.raw/RTDC4025/ "%USERPROFILE%\AppData\Local\Temp\OnboardLogs"\RTDC4025\2017-10-19 --exclude "*" --recursive --include "*20171019*" &amp; "%USERPROFILE%\Documents\GitHub\mrs-test-scripts\Headless Mode &amp; Sideloading\WalkAndUnGZ.bat" "%USERPROFILE%\AppData\Local\Temp\OnboardLogs"\RTDC4025\2017-10-19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/stypes="app*4025*20171018*" /stext=" 21:.+((SYSTEM_STATE.+slice.+state.+changed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6"/>
        <v>"%USERPROFILE%\Documents\GitHub\eaglep3\Utilities\RefineRTDCRunTimes.py" --tripid 182-18 --locoid 4025 --swversion DE.1.0.9.0 --startMP 204:233000 --initTime 2017-10-18T14:38:36 --startdatetime 2017-10-18T14:42:22 --delay 75 --endMP 204:141 --enddatetime 2017-10-18T15:20:59 --enforcementcount 0 &gt;&gt;%USERPROFILE%\Documents\GitHub\eaglep3-reporting\EC\2017-10-18-refined-times.txt</v>
      </c>
      <c r="AI94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{"issue":{"subject":"","project_id":79,"tracker_id":40,"status_id":1,"priority_id":2,"assigned_to_id":338,"start_date":"2017-10-18","description":"","custom_fields":[{"id":1,"name":"Subdivision","value":"EC"},{"id":4,"name":"Milepost","value":"0.0141"},{"id":17,"name":"Train ID","value":"182-18"},{"id":16,"name":"Locomotive ID","value":"4025"},{"id":130,"name":"Impact","value":""},{"id":150,"name":"Time of Event (Mountain Time)","value":"15:20:59"},{"id":151,"name":"Denver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8"/>
        <v>start /low /b %USERPROFILE%\Documents\GitHub\eaglep3\Utilities\DownloadLogsFromS3.py --loco 4025 --day 2017-10-18</v>
      </c>
      <c r="AN94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21:20:59"},{"id":29,"name":"Sharepoint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20"/>
        <v>https://d0f6bd738d7f1b3e5a7ca70fe4ff75f0.us-east-1.aws.found.io/app/kibana#/discover/Steve-Slow-Train-Analysis-(2080s-and-2083s)?_g=(refreshInterval:(display:Off,pause:!f,section:0,value:0),time:(from:'2017-10-18T13:38:36-0600',mode:absolute,to:'2017-10-18T16:20:59-0600'))&amp;_a=(columns:!('Message%20ID',Summary),filters:!(),index:'emp_*',interval:auto,query:(query_string:(analyze_wildcard:!t,query:'%22rtdc.l.rtdc.4025%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718</v>
      </c>
      <c r="B95" s="7">
        <v>4056</v>
      </c>
      <c r="C95" s="21" t="s">
        <v>194</v>
      </c>
      <c r="D95" s="21" t="s">
        <v>334</v>
      </c>
      <c r="E95" s="13">
        <v>43026.580266203702</v>
      </c>
      <c r="F95" s="13">
        <v>43026.583680555559</v>
      </c>
      <c r="G95" s="7">
        <v>80</v>
      </c>
      <c r="H95" s="21" t="s">
        <v>451</v>
      </c>
      <c r="I95" s="13">
        <v>43026.609178240738</v>
      </c>
      <c r="J95" s="7">
        <v>0</v>
      </c>
      <c r="K95" s="89" t="str">
        <f>IF(ISEVEN(B95),(B95-1)&amp;"/"&amp;B95,B95&amp;"/"&amp;(B95+1))</f>
        <v>4055/4056</v>
      </c>
      <c r="L95" s="185" t="str">
        <f>VLOOKUP(A95,'Trips&amp;Operators'!$C$1:$G$99911,5,FALSE)</f>
        <v>BERLING GARY</v>
      </c>
      <c r="M95" s="6">
        <f>I95-F95</f>
        <v>2.5497685179288965E-2</v>
      </c>
      <c r="N95" s="7">
        <f>24*60*SUM($M95:$M95)</f>
        <v>36.716666658176109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-10-18T12:55:35-0600',mode:absolute,to:'2017-10-18T15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4.4600000000000001E-2</v>
      </c>
      <c r="Z95" s="204">
        <f>RIGHT(H95,LEN(H95)-4)/10000</f>
        <v>23.329499999999999</v>
      </c>
      <c r="AA95" s="204">
        <f>ABS(Z95-Y95)</f>
        <v>23.2849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s3://rtdc.mdm.uploadarchive.raw/RTDC4056/ "%USERPROFILE%\AppData\Local\Temp\OnboardLogs"\RTDC4056\2017-10-18 --exclude "*" --recursive --include "*20171018*" &amp; "%USERPROFILE%\Documents\GitHub\mrs-test-scripts\Headless Mode &amp; Sideloading\WalkAndUnGZ.bat" "%USERPROFILE%\AppData\Local\Temp\OnboardLogs"\RTDC4056\2017-10-18 &amp; aws s3 cp s3://rtdc.mdm.uploadarchive.raw/RTDC4056/ "%USERPROFILE%\AppData\Local\Temp\OnboardLogs"\RTDC4056\2017-10-19 --exclude "*" --recursive --include "*20171019*" &amp; "%USERPROFILE%\Documents\GitHub\mrs-test-scripts\Headless Mode &amp; Sideloading\WalkAndUnGZ.bat" "%USERPROFILE%\AppData\Local\Temp\OnboardLogs"\RTDC4056\2017-10-19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/stypes="app*4056*20171018*" /stext=" 20:.+((SYSTEM_STATE.+slice.+state.+changed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6"/>
        <v>"%USERPROFILE%\Documents\GitHub\eaglep3\Utilities\RefineRTDCRunTimes.py" --tripid 183-18 --locoid 4056 --swversion DE.1.0.9.0 --startMP 204:446 --initTime 2017-10-18T13:55:35 --startdatetime 2017-10-18T14:00:30 --delay 80 --endMP 204:233295 --enddatetime 2017-10-18T14:37:13 --enforcementcount 0 &gt;&gt;%USERPROFILE%\Documents\GitHub\eaglep3-reporting\EC\2017-10-18-refined-times.txt</v>
      </c>
      <c r="AI95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{"issue":{"subject":"","project_id":79,"tracker_id":40,"status_id":1,"priority_id":2,"assigned_to_id":338,"start_date":"2017-10-18","description":"","custom_fields":[{"id":1,"name":"Subdivision","value":"EC"},{"id":4,"name":"Milepost","value":"23.3295"},{"id":17,"name":"Train ID","value":"183-18"},{"id":16,"name":"Locomotive ID","value":"4056"},{"id":130,"name":"Impact","value":""},{"id":150,"name":"Time of Event (Mountain Time)","value":"14:37:13"},{"id":151,"name":"Denver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8"/>
        <v>start /low /b %USERPROFILE%\Documents\GitHub\eaglep3\Utilities\DownloadLogsFromS3.py --loco 4056 --day 2017-10-18</v>
      </c>
      <c r="AN95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20:37:13"},{"id":29,"name":"Sharepoint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20"/>
        <v>https://d0f6bd738d7f1b3e5a7ca70fe4ff75f0.us-east-1.aws.found.io/app/kibana#/discover/Steve-Slow-Train-Analysis-(2080s-and-2083s)?_g=(refreshInterval:(display:Off,pause:!f,section:0,value:0),time:(from:'2017-10-18T12:55:35-0600',mode:absolute,to:'2017-10-18T15:37:13-0600'))&amp;_a=(columns:!('Message%20ID',Summary),filters:!(),index:'emp_*',interval:auto,query:(query_string:(analyze_wildcard:!t,query:'%22rtdc.l.rtdc.4056%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729</v>
      </c>
      <c r="B96" s="7">
        <v>4055</v>
      </c>
      <c r="C96" s="21" t="s">
        <v>194</v>
      </c>
      <c r="D96" s="21" t="s">
        <v>837</v>
      </c>
      <c r="E96" s="13">
        <v>43026.618692129632</v>
      </c>
      <c r="F96" s="13">
        <v>43026.623078703706</v>
      </c>
      <c r="G96" s="7">
        <v>74</v>
      </c>
      <c r="H96" s="21" t="s">
        <v>355</v>
      </c>
      <c r="I96" s="13">
        <v>43026.651342592595</v>
      </c>
      <c r="J96" s="7">
        <v>0</v>
      </c>
      <c r="K96" s="89" t="str">
        <f>IF(ISEVEN(B96),(B96-1)&amp;"/"&amp;B96,B96&amp;"/"&amp;(B96+1))</f>
        <v>4055/4056</v>
      </c>
      <c r="L96" s="185" t="str">
        <f>VLOOKUP(A96,'Trips&amp;Operators'!$C$1:$G$99911,5,FALSE)</f>
        <v>BERLING GARY</v>
      </c>
      <c r="M96" s="6">
        <f>I96-F96</f>
        <v>2.8263888889341615E-2</v>
      </c>
      <c r="N96" s="7">
        <f>24*60*SUM($M96:$M96)</f>
        <v>40.700000000651926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-10-18T13:50:55-0600',mode:absolute,to:'2017-10-18T16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23.298400000000001</v>
      </c>
      <c r="Z96" s="204">
        <f>RIGHT(H96,LEN(H96)-4)/10000</f>
        <v>1.4500000000000001E-2</v>
      </c>
      <c r="AA96" s="204">
        <f>ABS(Z96-Y96)</f>
        <v>23.283899999999999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s3://rtdc.mdm.uploadarchive.raw/RTDC4055/ "%USERPROFILE%\AppData\Local\Temp\OnboardLogs"\RTDC4055\2017-10-18 --exclude "*" --recursive --include "*20171018*" &amp; "%USERPROFILE%\Documents\GitHub\mrs-test-scripts\Headless Mode &amp; Sideloading\WalkAndUnGZ.bat" "%USERPROFILE%\AppData\Local\Temp\OnboardLogs"\RTDC4055\2017-10-18 &amp; aws s3 cp s3://rtdc.mdm.uploadarchive.raw/RTDC4055/ "%USERPROFILE%\AppData\Local\Temp\OnboardLogs"\RTDC4055\2017-10-19 --exclude "*" --recursive --include "*20171019*" &amp; "%USERPROFILE%\Documents\GitHub\mrs-test-scripts\Headless Mode &amp; Sideloading\WalkAndUnGZ.bat" "%USERPROFILE%\AppData\Local\Temp\OnboardLogs"\RTDC4055\2017-10-19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/stypes="app*4055*20171018*" /stext=" 21:.+((SYSTEM_STATE.+slice.+state.+changed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6"/>
        <v>"%USERPROFILE%\Documents\GitHub\eaglep3\Utilities\RefineRTDCRunTimes.py" --tripid 184-18 --locoid 4055 --swversion DE.1.0.9.0 --startMP 204:232984 --initTime 2017-10-18T14:50:55 --startdatetime 2017-10-18T14:57:14 --delay 74 --endMP 204:145 --enddatetime 2017-10-18T15:37:56 --enforcementcount 0 &gt;&gt;%USERPROFILE%\Documents\GitHub\eaglep3-reporting\EC\2017-10-18-refined-times.txt</v>
      </c>
      <c r="AI96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{"issue":{"subject":"","project_id":79,"tracker_id":40,"status_id":1,"priority_id":2,"assigned_to_id":338,"start_date":"2017-10-18","description":"","custom_fields":[{"id":1,"name":"Subdivision","value":"EC"},{"id":4,"name":"Milepost","value":"0.0145"},{"id":17,"name":"Train ID","value":"184-18"},{"id":16,"name":"Locomotive ID","value":"4055"},{"id":130,"name":"Impact","value":""},{"id":150,"name":"Time of Event (Mountain Time)","value":"15:37:56"},{"id":151,"name":"Denver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8"/>
        <v>start /low /b %USERPROFILE%\Documents\GitHub\eaglep3\Utilities\DownloadLogsFromS3.py --loco 4055 --day 2017-10-18</v>
      </c>
      <c r="AN96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21:37:56"},{"id":29,"name":"Sharepoint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20"/>
        <v>https://d0f6bd738d7f1b3e5a7ca70fe4ff75f0.us-east-1.aws.found.io/app/kibana#/discover/Steve-Slow-Train-Analysis-(2080s-and-2083s)?_g=(refreshInterval:(display:Off,pause:!f,section:0,value:0),time:(from:'2017-10-18T13:50:55-0600',mode:absolute,to:'2017-10-18T16:37:56-0600'))&amp;_a=(columns:!('Message%20ID',Summary),filters:!(),index:'emp_*',interval:auto,query:(query_string:(analyze_wildcard:!t,query:'%22rtdc.l.rtdc.4055%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720</v>
      </c>
      <c r="B97" s="7">
        <v>4020</v>
      </c>
      <c r="C97" s="21" t="s">
        <v>194</v>
      </c>
      <c r="D97" s="21" t="s">
        <v>405</v>
      </c>
      <c r="E97" s="13">
        <v>43026.587488425925</v>
      </c>
      <c r="F97" s="13">
        <v>43026.593923611108</v>
      </c>
      <c r="G97" s="7">
        <v>86</v>
      </c>
      <c r="H97" s="21" t="s">
        <v>841</v>
      </c>
      <c r="I97" s="13">
        <v>43026.618402777778</v>
      </c>
      <c r="J97" s="7">
        <v>0</v>
      </c>
      <c r="K97" s="89" t="str">
        <f>IF(ISEVEN(B97),(B97-1)&amp;"/"&amp;B97,B97&amp;"/"&amp;(B97+1))</f>
        <v>4019/4020</v>
      </c>
      <c r="L97" s="185" t="str">
        <f>VLOOKUP(A97,'Trips&amp;Operators'!$C$1:$G$99911,5,FALSE)</f>
        <v>DELGADO DIANAH</v>
      </c>
      <c r="M97" s="6">
        <f>I97-F97</f>
        <v>2.4479166670062114E-2</v>
      </c>
      <c r="N97" s="7">
        <f>24*60*SUM($M97:$M97)</f>
        <v>35.250000004889444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-10-18T13:05:59-0600',mode:absolute,to:'2017-10-18T15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4.6399999999999997E-2</v>
      </c>
      <c r="Z97" s="204">
        <f>RIGHT(H97,LEN(H97)-4)/10000</f>
        <v>23.3308</v>
      </c>
      <c r="AA97" s="204">
        <f>ABS(Z97-Y97)</f>
        <v>23.284400000000002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 &amp; aws s3 cp s3://rtdc.mdm.uploadarchive.raw/RTDC4020/ "%USERPROFILE%\AppData\Local\Temp\OnboardLogs"\RTDC4020\2017-10-19 --exclude "*" --recursive --include "*20171019*" &amp; "%USERPROFILE%\Documents\GitHub\mrs-test-scripts\Headless Mode &amp; Sideloading\WalkAndUnGZ.bat" "%USERPROFILE%\AppData\Local\Temp\OnboardLogs"\RTDC4020\2017-10-19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/stypes="app*4020*20171018*" /stext=" 20:.+((SYSTEM_STATE.+slice.+state.+changed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16"/>
        <v>"%USERPROFILE%\Documents\GitHub\eaglep3\Utilities\RefineRTDCRunTimes.py" --tripid 185-18 --locoid 4020 --swversion DE.1.0.9.0 --startMP 204:464 --initTime 2017-10-18T14:05:59 --startdatetime 2017-10-18T14:15:15 --delay 86 --endMP 204:233308 --enddatetime 2017-10-18T14:50:30 --enforcementcount 0 &gt;&gt;%USERPROFILE%\Documents\GitHub\eaglep3-reporting\EC\2017-10-18-refined-times.txt</v>
      </c>
      <c r="AI97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{"issue":{"subject":"","project_id":79,"tracker_id":40,"status_id":1,"priority_id":2,"assigned_to_id":338,"start_date":"2017-10-18","description":"","custom_fields":[{"id":1,"name":"Subdivision","value":"EC"},{"id":4,"name":"Milepost","value":"23.3308"},{"id":17,"name":"Train ID","value":"185-18"},{"id":16,"name":"Locomotive ID","value":"4020"},{"id":130,"name":"Impact","value":""},{"id":150,"name":"Time of Event (Mountain Time)","value":"14:50:30"},{"id":151,"name":"Denver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8"/>
        <v>start /low /b %USERPROFILE%\Documents\GitHub\eaglep3\Utilities\DownloadLogsFromS3.py --loco 4020 --day 2017-10-18</v>
      </c>
      <c r="AN97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20:50:30"},{"id":29,"name":"Sharepoint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20"/>
        <v>https://d0f6bd738d7f1b3e5a7ca70fe4ff75f0.us-east-1.aws.found.io/app/kibana#/discover/Steve-Slow-Train-Analysis-(2080s-and-2083s)?_g=(refreshInterval:(display:Off,pause:!f,section:0,value:0),time:(from:'2017-10-18T13:05:59-0600',mode:absolute,to:'2017-10-18T15:50:30-0600'))&amp;_a=(columns:!('Message%20ID',Summary),filters:!(),index:'emp_*',interval:auto,query:(query_string:(analyze_wildcard:!t,query:'%22rtdc.l.rtdc.4020%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730</v>
      </c>
      <c r="B98" s="7">
        <v>4019</v>
      </c>
      <c r="C98" s="21" t="s">
        <v>194</v>
      </c>
      <c r="D98" s="21" t="s">
        <v>475</v>
      </c>
      <c r="E98" s="13">
        <v>43026.619756944441</v>
      </c>
      <c r="F98" s="13">
        <v>43026.633506944447</v>
      </c>
      <c r="G98" s="7">
        <v>854</v>
      </c>
      <c r="H98" s="21" t="s">
        <v>366</v>
      </c>
      <c r="I98" s="13">
        <v>43026.658888888887</v>
      </c>
      <c r="J98" s="7">
        <v>0</v>
      </c>
      <c r="K98" s="89" t="str">
        <f>IF(ISEVEN(B98),(B98-1)&amp;"/"&amp;B98,B98&amp;"/"&amp;(B98+1))</f>
        <v>4019/4020</v>
      </c>
      <c r="L98" s="185" t="str">
        <f>VLOOKUP(A98,'Trips&amp;Operators'!$C$1:$G$99911,5,FALSE)</f>
        <v>DELGADO DIANAH</v>
      </c>
      <c r="M98" s="6">
        <f>I98-F98</f>
        <v>2.5381944440596271E-2</v>
      </c>
      <c r="N98" s="7">
        <f>24*60*SUM($M98:$M98)</f>
        <v>36.549999994458631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-10-18T13:52:27-0600',mode:absolute,to:'2017-10-18T16:48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23.301100000000002</v>
      </c>
      <c r="Z98" s="204">
        <f>RIGHT(H98,LEN(H98)-4)/10000</f>
        <v>1.3899999999999999E-2</v>
      </c>
      <c r="AA98" s="204">
        <f>ABS(Z98-Y98)</f>
        <v>23.287200000000002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s3://rtdc.mdm.uploadarchive.raw/RTDC4019/ "%USERPROFILE%\AppData\Local\Temp\OnboardLogs"\RTDC4019\2017-10-18 --exclude "*" --recursive --include "*20171018*" &amp; "%USERPROFILE%\Documents\GitHub\mrs-test-scripts\Headless Mode &amp; Sideloading\WalkAndUnGZ.bat" "%USERPROFILE%\AppData\Local\Temp\OnboardLogs"\RTDC4019\2017-10-18 &amp; aws s3 cp s3://rtdc.mdm.uploadarchive.raw/RTDC4019/ "%USERPROFILE%\AppData\Local\Temp\OnboardLogs"\RTDC4019\2017-10-19 --exclude "*" --recursive --include "*20171019*" &amp; "%USERPROFILE%\Documents\GitHub\mrs-test-scripts\Headless Mode &amp; Sideloading\WalkAndUnGZ.bat" "%USERPROFILE%\AppData\Local\Temp\OnboardLogs"\RTDC4019\2017-10-19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/stypes="app*4019*20171018*" /stext=" 21:.+((SYSTEM_STATE.+slice.+state.+changed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16"/>
        <v>"%USERPROFILE%\Documents\GitHub\eaglep3\Utilities\RefineRTDCRunTimes.py" --tripid 186-18 --locoid 4019 --swversion DE.1.0.9.0 --startMP 204:233011 --initTime 2017-10-18T14:52:27 --startdatetime 2017-10-18T15:12:15 --delay 854 --endMP 204:139 --enddatetime 2017-10-18T15:48:48 --enforcementcount 0 &gt;&gt;%USERPROFILE%\Documents\GitHub\eaglep3-reporting\EC\2017-10-18-refined-times.txt</v>
      </c>
      <c r="AI98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{"issue":{"subject":"","project_id":79,"tracker_id":40,"status_id":1,"priority_id":2,"assigned_to_id":338,"start_date":"2017-10-18","description":"","custom_fields":[{"id":1,"name":"Subdivision","value":"EC"},{"id":4,"name":"Milepost","value":"0.0139"},{"id":17,"name":"Train ID","value":"186-18"},{"id":16,"name":"Locomotive ID","value":"4019"},{"id":130,"name":"Impact","value":""},{"id":150,"name":"Time of Event (Mountain Time)","value":"15:48:48"},{"id":151,"name":"Denver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18"/>
        <v>start /low /b %USERPROFILE%\Documents\GitHub\eaglep3\Utilities\DownloadLogsFromS3.py --loco 4019 --day 2017-10-18</v>
      </c>
      <c r="AN98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21:48:48"},{"id":29,"name":"Sharepoint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20"/>
        <v>https://d0f6bd738d7f1b3e5a7ca70fe4ff75f0.us-east-1.aws.found.io/app/kibana#/discover/Steve-Slow-Train-Analysis-(2080s-and-2083s)?_g=(refreshInterval:(display:Off,pause:!f,section:0,value:0),time:(from:'2017-10-18T13:52:27-0600',mode:absolute,to:'2017-10-18T16:48:48-0600'))&amp;_a=(columns:!('Message%20ID',Summary),filters:!(),index:'emp_*',interval:auto,query:(query_string:(analyze_wildcard:!t,query:'%22rtdc.l.rtdc.4019%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575</v>
      </c>
      <c r="B99" s="7">
        <v>4062</v>
      </c>
      <c r="C99" s="21" t="s">
        <v>194</v>
      </c>
      <c r="D99" s="21" t="s">
        <v>372</v>
      </c>
      <c r="E99" s="13">
        <v>43026.599826388891</v>
      </c>
      <c r="F99" s="13">
        <v>43026.604467592595</v>
      </c>
      <c r="G99" s="7">
        <v>69</v>
      </c>
      <c r="H99" s="21" t="s">
        <v>840</v>
      </c>
      <c r="I99" s="13">
        <v>43026.630439814813</v>
      </c>
      <c r="J99" s="7">
        <v>0</v>
      </c>
      <c r="K99" s="89" t="str">
        <f>IF(ISEVEN(B99),(B99-1)&amp;"/"&amp;B99,B99&amp;"/"&amp;(B99+1))</f>
        <v>4061/4062</v>
      </c>
      <c r="L99" s="185" t="str">
        <f>VLOOKUP(A99,'Trips&amp;Operators'!$C$1:$G$99911,5,FALSE)</f>
        <v>HOLCOMB KAMDEN</v>
      </c>
      <c r="M99" s="6">
        <f>I99-F99</f>
        <v>2.5972222218115348E-2</v>
      </c>
      <c r="N99" s="7">
        <f>24*60*SUM($M99:$M99)</f>
        <v>37.399999994086102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-10-18T13:23:45-0600',mode:absolute,to:'2017-10-18T16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4.4699999999999997E-2</v>
      </c>
      <c r="Z99" s="204">
        <f>RIGHT(H99,LEN(H99)-4)/10000</f>
        <v>23.3307</v>
      </c>
      <c r="AA99" s="204">
        <f>ABS(Z99-Y99)</f>
        <v>23.286000000000001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s3://rtdc.mdm.uploadarchive.raw/RTDC4062/ "%USERPROFILE%\AppData\Local\Temp\OnboardLogs"\RTDC4062\2017-10-18 --exclude "*" --recursive --include "*20171018*" &amp; "%USERPROFILE%\Documents\GitHub\mrs-test-scripts\Headless Mode &amp; Sideloading\WalkAndUnGZ.bat" "%USERPROFILE%\AppData\Local\Temp\OnboardLogs"\RTDC4062\2017-10-18 &amp; aws s3 cp s3://rtdc.mdm.uploadarchive.raw/RTDC4062/ "%USERPROFILE%\AppData\Local\Temp\OnboardLogs"\RTDC4062\2017-10-19 --exclude "*" --recursive --include "*20171019*" &amp; "%USERPROFILE%\Documents\GitHub\mrs-test-scripts\Headless Mode &amp; Sideloading\WalkAndUnGZ.bat" "%USERPROFILE%\AppData\Local\Temp\OnboardLogs"\RTDC4062\2017-10-19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/stypes="app*4062*20171018*"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16"/>
        <v>"%USERPROFILE%\Documents\GitHub\eaglep3\Utilities\RefineRTDCRunTimes.py" --tripid 187-18 --locoid 4062 --swversion DE.1.0.9.0 --startMP 204:447 --initTime 2017-10-18T14:23:45 --startdatetime 2017-10-18T14:30:26 --delay 69 --endMP 204:233307 --enddatetime 2017-10-18T15:07:50 --enforcementcount 0 &gt;&gt;%USERPROFILE%\Documents\GitHub\eaglep3-reporting\EC\2017-10-18-refined-times.txt</v>
      </c>
      <c r="AI99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{"issue":{"subject":"","project_id":79,"tracker_id":40,"status_id":1,"priority_id":2,"assigned_to_id":338,"start_date":"2017-10-18","description":"","custom_fields":[{"id":1,"name":"Subdivision","value":"EC"},{"id":4,"name":"Milepost","value":"23.3307"},{"id":17,"name":"Train ID","value":"187-18"},{"id":16,"name":"Locomotive ID","value":"4062"},{"id":130,"name":"Impact","value":""},{"id":150,"name":"Time of Event (Mountain Time)","value":"15:07:50"},{"id":151,"name":"Denver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18"/>
        <v>start /low /b %USERPROFILE%\Documents\GitHub\eaglep3\Utilities\DownloadLogsFromS3.py --loco 4062 --day 2017-10-18</v>
      </c>
      <c r="AN99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21:07:50"},{"id":29,"name":"Sharepoint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20"/>
        <v>https://d0f6bd738d7f1b3e5a7ca70fe4ff75f0.us-east-1.aws.found.io/app/kibana#/discover/Steve-Slow-Train-Analysis-(2080s-and-2083s)?_g=(refreshInterval:(display:Off,pause:!f,section:0,value:0),time:(from:'2017-10-18T13:23:45-0600',mode:absolute,to:'2017-10-18T16:07:50-0600'))&amp;_a=(columns:!('Message%20ID',Summary),filters:!(),index:'emp_*',interval:auto,query:(query_string:(analyze_wildcard:!t,query:'%22rtdc.l.rtdc.4062%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32" t="s">
        <v>734</v>
      </c>
      <c r="B100" s="7">
        <v>4061</v>
      </c>
      <c r="C100" s="21" t="s">
        <v>194</v>
      </c>
      <c r="D100" s="21" t="s">
        <v>833</v>
      </c>
      <c r="E100" s="13">
        <v>43026.641122685185</v>
      </c>
      <c r="F100" s="13">
        <v>43026.64403935185</v>
      </c>
      <c r="G100" s="7">
        <v>50</v>
      </c>
      <c r="H100" s="21" t="s">
        <v>426</v>
      </c>
      <c r="I100" s="13">
        <v>43026.669583333336</v>
      </c>
      <c r="J100" s="7">
        <v>0</v>
      </c>
      <c r="K100" s="89" t="str">
        <f>IF(ISEVEN(B100),(B100-1)&amp;"/"&amp;B100,B100&amp;"/"&amp;(B100+1))</f>
        <v>4061/4062</v>
      </c>
      <c r="L100" s="185" t="str">
        <f>VLOOKUP(A100,'Trips&amp;Operators'!$C$1:$G$99911,5,FALSE)</f>
        <v>HOLCOMB KAMDEN</v>
      </c>
      <c r="M100" s="6">
        <f>I100-F100</f>
        <v>2.5543981486407574E-2</v>
      </c>
      <c r="N100" s="7">
        <f>24*60*SUM($M100:$M100)</f>
        <v>36.783333340426907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-10-18T14:23:13-0600',mode:absolute,to:'2017-10-18T17:04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23.2986</v>
      </c>
      <c r="Z100" s="204">
        <f>RIGHT(H100,LEN(H100)-4)/10000</f>
        <v>1.38E-2</v>
      </c>
      <c r="AA100" s="204">
        <f>ABS(Z100-Y100)</f>
        <v>23.284800000000001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s3://rtdc.mdm.uploadarchive.raw/RTDC4061/ "%USERPROFILE%\AppData\Local\Temp\OnboardLogs"\RTDC4061\2017-10-18 --exclude "*" --recursive --include "*20171018*" &amp; "%USERPROFILE%\Documents\GitHub\mrs-test-scripts\Headless Mode &amp; Sideloading\WalkAndUnGZ.bat" "%USERPROFILE%\AppData\Local\Temp\OnboardLogs"\RTDC4061\2017-10-18 &amp; aws s3 cp s3://rtdc.mdm.uploadarchive.raw/RTDC4061/ "%USERPROFILE%\AppData\Local\Temp\OnboardLogs"\RTDC4061\2017-10-19 --exclude "*" --recursive --include "*20171019*" &amp; "%USERPROFILE%\Documents\GitHub\mrs-test-scripts\Headless Mode &amp; Sideloading\WalkAndUnGZ.bat" "%USERPROFILE%\AppData\Local\Temp\OnboardLogs"\RTDC4061\2017-10-19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/stypes="app*4061*20171018*" /stext=" 22:.+((SYSTEM_STATE.+slice.+state.+changed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6"/>
        <v>"%USERPROFILE%\Documents\GitHub\eaglep3\Utilities\RefineRTDCRunTimes.py" --tripid 188-18 --locoid 4061 --swversion DE.1.0.9.0 --startMP 204:232986 --initTime 2017-10-18T15:23:13 --startdatetime 2017-10-18T15:27:25 --delay 50 --endMP 204:138 --enddatetime 2017-10-18T16:04:12 --enforcementcount 0 &gt;&gt;%USERPROFILE%\Documents\GitHub\eaglep3-reporting\EC\2017-10-18-refined-times.txt</v>
      </c>
      <c r="AI100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{"issue":{"subject":"","project_id":79,"tracker_id":40,"status_id":1,"priority_id":2,"assigned_to_id":338,"start_date":"2017-10-18","description":"","custom_fields":[{"id":1,"name":"Subdivision","value":"EC"},{"id":4,"name":"Milepost","value":"0.0138"},{"id":17,"name":"Train ID","value":"188-18"},{"id":16,"name":"Locomotive ID","value":"4061"},{"id":130,"name":"Impact","value":""},{"id":150,"name":"Time of Event (Mountain Time)","value":"16:04:12"},{"id":151,"name":"Denver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18"/>
        <v>start /low /b %USERPROFILE%\Documents\GitHub\eaglep3\Utilities\DownloadLogsFromS3.py --loco 4061 --day 2017-10-18</v>
      </c>
      <c r="AN100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22:04:12"},{"id":29,"name":"Sharepoint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20"/>
        <v>https://d0f6bd738d7f1b3e5a7ca70fe4ff75f0.us-east-1.aws.found.io/app/kibana#/discover/Steve-Slow-Train-Analysis-(2080s-and-2083s)?_g=(refreshInterval:(display:Off,pause:!f,section:0,value:0),time:(from:'2017-10-18T14:23:13-0600',mode:absolute,to:'2017-10-18T17:04:12-0600'))&amp;_a=(columns:!('Message%20ID',Summary),filters:!(),index:'emp_*',interval:auto,query:(query_string:(analyze_wildcard:!t,query:'%22rtdc.l.rtdc.4061%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3">
      <c r="A101" s="32" t="s">
        <v>725</v>
      </c>
      <c r="B101" s="7">
        <v>4040</v>
      </c>
      <c r="C101" s="21" t="s">
        <v>194</v>
      </c>
      <c r="D101" s="21" t="s">
        <v>427</v>
      </c>
      <c r="E101" s="13">
        <v>43026.609479166669</v>
      </c>
      <c r="F101" s="13">
        <v>43026.614756944444</v>
      </c>
      <c r="G101" s="7">
        <v>71</v>
      </c>
      <c r="H101" s="21" t="s">
        <v>400</v>
      </c>
      <c r="I101" s="13">
        <v>43026.639386574076</v>
      </c>
      <c r="J101" s="7">
        <v>0</v>
      </c>
      <c r="K101" s="89" t="str">
        <f>IF(ISEVEN(B101),(B101-1)&amp;"/"&amp;B101,B101&amp;"/"&amp;(B101+1))</f>
        <v>4039/4040</v>
      </c>
      <c r="L101" s="185" t="str">
        <f>VLOOKUP(A101,'Trips&amp;Operators'!$C$1:$G$99911,5,FALSE)</f>
        <v>BRUDER RICHARD</v>
      </c>
      <c r="M101" s="6">
        <f>I101-F101</f>
        <v>2.4629629631817807E-2</v>
      </c>
      <c r="N101" s="7">
        <f>24*60*SUM($M101:$M101)</f>
        <v>35.466666669817641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-10-18T13:37:39-0600',mode:absolute,to:'2017-10-18T16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4.3999999999999997E-2</v>
      </c>
      <c r="Z101" s="204">
        <f>RIGHT(H101,LEN(H101)-4)/10000</f>
        <v>23.3306</v>
      </c>
      <c r="AA101" s="204">
        <f>ABS(Z101-Y101)</f>
        <v>23.2866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s3://rtdc.mdm.uploadarchive.raw/RTDC4040/ "%USERPROFILE%\AppData\Local\Temp\OnboardLogs"\RTDC4040\2017-10-18 --exclude "*" --recursive --include "*20171018*" &amp; "%USERPROFILE%\Documents\GitHub\mrs-test-scripts\Headless Mode &amp; Sideloading\WalkAndUnGZ.bat" "%USERPROFILE%\AppData\Local\Temp\OnboardLogs"\RTDC4040\2017-10-18 &amp; aws s3 cp s3://rtdc.mdm.uploadarchive.raw/RTDC4040/ "%USERPROFILE%\AppData\Local\Temp\OnboardLogs"\RTDC4040\2017-10-19 --exclude "*" --recursive --include "*20171019*" &amp; "%USERPROFILE%\Documents\GitHub\mrs-test-scripts\Headless Mode &amp; Sideloading\WalkAndUnGZ.bat" "%USERPROFILE%\AppData\Local\Temp\OnboardLogs"\RTDC4040\2017-10-19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/stypes="app*4040*20171018*" /stext=" 21:.+((SYSTEM_STATE.+slice.+state.+changed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6"/>
        <v>"%USERPROFILE%\Documents\GitHub\eaglep3\Utilities\RefineRTDCRunTimes.py" --tripid 189-18 --locoid 4040 --swversion DE.1.0.9.0 --startMP 204:440 --initTime 2017-10-18T14:37:39 --startdatetime 2017-10-18T14:45:15 --delay 71 --endMP 204:233306 --enddatetime 2017-10-18T15:20:43 --enforcementcount 0 &gt;&gt;%USERPROFILE%\Documents\GitHub\eaglep3-reporting\EC\2017-10-18-refined-times.txt</v>
      </c>
      <c r="AI101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{"issue":{"subject":"","project_id":79,"tracker_id":40,"status_id":1,"priority_id":2,"assigned_to_id":338,"start_date":"2017-10-18","description":"","custom_fields":[{"id":1,"name":"Subdivision","value":"EC"},{"id":4,"name":"Milepost","value":"23.3306"},{"id":17,"name":"Train ID","value":"189-18"},{"id":16,"name":"Locomotive ID","value":"4040"},{"id":130,"name":"Impact","value":""},{"id":150,"name":"Time of Event (Mountain Time)","value":"15:20:43"},{"id":151,"name":"Denver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18"/>
        <v>start /low /b %USERPROFILE%\Documents\GitHub\eaglep3\Utilities\DownloadLogsFromS3.py --loco 4040 --day 2017-10-18</v>
      </c>
      <c r="AN101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21:20:43"},{"id":29,"name":"Sharepoint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20"/>
        <v>https://d0f6bd738d7f1b3e5a7ca70fe4ff75f0.us-east-1.aws.found.io/app/kibana#/discover/Steve-Slow-Train-Analysis-(2080s-and-2083s)?_g=(refreshInterval:(display:Off,pause:!f,section:0,value:0),time:(from:'2017-10-18T13:37:39-0600',mode:absolute,to:'2017-10-18T16:20:43-0600'))&amp;_a=(columns:!('Message%20ID',Summary),filters:!(),index:'emp_*',interval:auto,query:(query_string:(analyze_wildcard:!t,query:'%22rtdc.l.rtdc.4040%22')),sort:!(Time.ISO8601,asc))</v>
      </c>
    </row>
    <row r="102" spans="1:91" s="20" customFormat="1" x14ac:dyDescent="0.3">
      <c r="A102" s="32" t="s">
        <v>739</v>
      </c>
      <c r="B102" s="7">
        <v>4039</v>
      </c>
      <c r="C102" s="21" t="s">
        <v>194</v>
      </c>
      <c r="D102" s="21" t="s">
        <v>411</v>
      </c>
      <c r="E102" s="13">
        <v>43026.650613425925</v>
      </c>
      <c r="F102" s="13">
        <v>43026.654340277775</v>
      </c>
      <c r="G102" s="7">
        <v>68</v>
      </c>
      <c r="H102" s="21" t="s">
        <v>337</v>
      </c>
      <c r="I102" s="13">
        <v>43026.679803240739</v>
      </c>
      <c r="J102" s="7">
        <v>0</v>
      </c>
      <c r="K102" s="89" t="str">
        <f>IF(ISEVEN(B102),(B102-1)&amp;"/"&amp;B102,B102&amp;"/"&amp;(B102+1))</f>
        <v>4039/4040</v>
      </c>
      <c r="L102" s="185" t="str">
        <f>VLOOKUP(A102,'Trips&amp;Operators'!$C$1:$G$99911,5,FALSE)</f>
        <v>BRUDER RICHARD</v>
      </c>
      <c r="M102" s="6">
        <f>I102-F102</f>
        <v>2.5462962963501923E-2</v>
      </c>
      <c r="N102" s="7">
        <f>24*60*SUM($M102:$M102)</f>
        <v>36.666666667442769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-10-18T14:36:53-0600',mode:absolute,to:'2017-10-18T17:18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23.299399999999999</v>
      </c>
      <c r="Z102" s="204">
        <f>RIGHT(H102,LEN(H102)-4)/10000</f>
        <v>1.43E-2</v>
      </c>
      <c r="AA102" s="204">
        <f>ABS(Z102-Y102)</f>
        <v>23.2851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s3://rtdc.mdm.uploadarchive.raw/RTDC4039/ "%USERPROFILE%\AppData\Local\Temp\OnboardLogs"\RTDC4039\2017-10-18 --exclude "*" --recursive --include "*20171018*" &amp; "%USERPROFILE%\Documents\GitHub\mrs-test-scripts\Headless Mode &amp; Sideloading\WalkAndUnGZ.bat" "%USERPROFILE%\AppData\Local\Temp\OnboardLogs"\RTDC4039\2017-10-18 &amp; aws s3 cp s3://rtdc.mdm.uploadarchive.raw/RTDC4039/ "%USERPROFILE%\AppData\Local\Temp\OnboardLogs"\RTDC4039\2017-10-19 --exclude "*" --recursive --include "*20171019*" &amp; "%USERPROFILE%\Documents\GitHub\mrs-test-scripts\Headless Mode &amp; Sideloading\WalkAndUnGZ.bat" "%USERPROFILE%\AppData\Local\Temp\OnboardLogs"\RTDC4039\2017-10-19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/stypes="app*4039*20171018*" /stext=" 22:.+((SYSTEM_STATE.+slice.+state.+changed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6"/>
        <v>"%USERPROFILE%\Documents\GitHub\eaglep3\Utilities\RefineRTDCRunTimes.py" --tripid 190-18 --locoid 4039 --swversion DE.1.0.9.0 --startMP 204:232994 --initTime 2017-10-18T15:36:53 --startdatetime 2017-10-18T15:42:15 --delay 68 --endMP 204:143 --enddatetime 2017-10-18T16:18:55 --enforcementcount 0 &gt;&gt;%USERPROFILE%\Documents\GitHub\eaglep3-reporting\EC\2017-10-18-refined-times.txt</v>
      </c>
      <c r="AI102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{"issue":{"subject":"","project_id":79,"tracker_id":40,"status_id":1,"priority_id":2,"assigned_to_id":338,"start_date":"2017-10-18","description":"","custom_fields":[{"id":1,"name":"Subdivision","value":"EC"},{"id":4,"name":"Milepost","value":"0.0143"},{"id":17,"name":"Train ID","value":"190-18"},{"id":16,"name":"Locomotive ID","value":"4039"},{"id":130,"name":"Impact","value":""},{"id":150,"name":"Time of Event (Mountain Time)","value":"16:18:55"},{"id":151,"name":"Denver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18"/>
        <v>start /low /b %USERPROFILE%\Documents\GitHub\eaglep3\Utilities\DownloadLogsFromS3.py --loco 4039 --day 2017-10-18</v>
      </c>
      <c r="AN102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22:18:55"},{"id":29,"name":"Sharepoint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20"/>
        <v>https://d0f6bd738d7f1b3e5a7ca70fe4ff75f0.us-east-1.aws.found.io/app/kibana#/discover/Steve-Slow-Train-Analysis-(2080s-and-2083s)?_g=(refreshInterval:(display:Off,pause:!f,section:0,value:0),time:(from:'2017-10-18T14:36:53-0600',mode:absolute,to:'2017-10-18T17:18:55-0600'))&amp;_a=(columns:!('Message%20ID',Summary),filters:!(),index:'emp_*',interval:auto,query:(query_string:(analyze_wildcard:!t,query:'%22rtdc.l.rtdc.4039%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32" t="s">
        <v>731</v>
      </c>
      <c r="B103" s="7">
        <v>4002</v>
      </c>
      <c r="C103" s="21" t="s">
        <v>194</v>
      </c>
      <c r="D103" s="21" t="s">
        <v>429</v>
      </c>
      <c r="E103" s="13">
        <v>43026.620821759258</v>
      </c>
      <c r="F103" s="13">
        <v>43026.625208333331</v>
      </c>
      <c r="G103" s="7">
        <v>76</v>
      </c>
      <c r="H103" s="21" t="s">
        <v>850</v>
      </c>
      <c r="I103" s="13">
        <v>43026.650011574071</v>
      </c>
      <c r="J103" s="7">
        <v>0</v>
      </c>
      <c r="K103" s="89" t="str">
        <f>IF(ISEVEN(B103),(B103-1)&amp;"/"&amp;B103,B103&amp;"/"&amp;(B103+1))</f>
        <v>4001/4002</v>
      </c>
      <c r="L103" s="185" t="str">
        <f>VLOOKUP(A103,'Trips&amp;Operators'!$C$1:$G$99911,5,FALSE)</f>
        <v>STEWART MICHAEL</v>
      </c>
      <c r="M103" s="6">
        <f>I103-F103</f>
        <v>2.4803240739856847E-2</v>
      </c>
      <c r="N103" s="7">
        <f>24*60*SUM($M103:$M103)</f>
        <v>35.716666665393859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-10-18T13:53:59-0600',mode:absolute,to:'2017-10-18T16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4.4400000000000002E-2</v>
      </c>
      <c r="Z103" s="204">
        <f>RIGHT(H103,LEN(H103)-4)/10000</f>
        <v>23.330100000000002</v>
      </c>
      <c r="AA103" s="204">
        <f>ABS(Z103-Y103)</f>
        <v>23.285700000000002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s3://rtdc.mdm.uploadarchive.raw/RTDC4002/ "%USERPROFILE%\AppData\Local\Temp\OnboardLogs"\RTDC4002\2017-10-18 --exclude "*" --recursive --include "*20171018*" &amp; "%USERPROFILE%\Documents\GitHub\mrs-test-scripts\Headless Mode &amp; Sideloading\WalkAndUnGZ.bat" "%USERPROFILE%\AppData\Local\Temp\OnboardLogs"\RTDC4002\2017-10-18 &amp; aws s3 cp s3://rtdc.mdm.uploadarchive.raw/RTDC4002/ "%USERPROFILE%\AppData\Local\Temp\OnboardLogs"\RTDC4002\2017-10-19 --exclude "*" --recursive --include "*20171019*" &amp; "%USERPROFILE%\Documents\GitHub\mrs-test-scripts\Headless Mode &amp; Sideloading\WalkAndUnGZ.bat" "%USERPROFILE%\AppData\Local\Temp\OnboardLogs"\RTDC4002\2017-10-19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/stypes="app*4002*20171018*" /stext=" 21:.+((SYSTEM_STATE.+slice.+state.+changed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6"/>
        <v>"%USERPROFILE%\Documents\GitHub\eaglep3\Utilities\RefineRTDCRunTimes.py" --tripid 191-18 --locoid 4002 --swversion DE.1.0.9.0 --startMP 204:444 --initTime 2017-10-18T14:53:59 --startdatetime 2017-10-18T15:00:18 --delay 76 --endMP 204:233301 --enddatetime 2017-10-18T15:36:01 --enforcementcount 0 &gt;&gt;%USERPROFILE%\Documents\GitHub\eaglep3-reporting\EC\2017-10-18-refined-times.txt</v>
      </c>
      <c r="AI103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{"issue":{"subject":"","project_id":79,"tracker_id":40,"status_id":1,"priority_id":2,"assigned_to_id":338,"start_date":"2017-10-18","description":"","custom_fields":[{"id":1,"name":"Subdivision","value":"EC"},{"id":4,"name":"Milepost","value":"23.3301"},{"id":17,"name":"Train ID","value":"191-18"},{"id":16,"name":"Locomotive ID","value":"4002"},{"id":130,"name":"Impact","value":""},{"id":150,"name":"Time of Event (Mountain Time)","value":"15:36:01"},{"id":151,"name":"Denver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18"/>
        <v>start /low /b %USERPROFILE%\Documents\GitHub\eaglep3\Utilities\DownloadLogsFromS3.py --loco 4002 --day 2017-10-18</v>
      </c>
      <c r="AN103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21:36:01"},{"id":29,"name":"Sharepoint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20"/>
        <v>https://d0f6bd738d7f1b3e5a7ca70fe4ff75f0.us-east-1.aws.found.io/app/kibana#/discover/Steve-Slow-Train-Analysis-(2080s-and-2083s)?_g=(refreshInterval:(display:Off,pause:!f,section:0,value:0),time:(from:'2017-10-18T13:53:59-0600',mode:absolute,to:'2017-10-18T16:36:01-0600'))&amp;_a=(columns:!('Message%20ID',Summary),filters:!(),index:'emp_*',interval:auto,query:(query_string:(analyze_wildcard:!t,query:'%22rtdc.l.rtdc.4002%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740</v>
      </c>
      <c r="B104" s="7">
        <v>4001</v>
      </c>
      <c r="C104" s="21" t="s">
        <v>194</v>
      </c>
      <c r="D104" s="21" t="s">
        <v>833</v>
      </c>
      <c r="E104" s="13">
        <v>43026.660914351851</v>
      </c>
      <c r="F104" s="13">
        <v>43026.664768518516</v>
      </c>
      <c r="G104" s="7">
        <v>66</v>
      </c>
      <c r="H104" s="21" t="s">
        <v>336</v>
      </c>
      <c r="I104" s="13">
        <v>43026.691099537034</v>
      </c>
      <c r="J104" s="7">
        <v>0</v>
      </c>
      <c r="K104" s="89" t="str">
        <f>IF(ISEVEN(B104),(B104-1)&amp;"/"&amp;B104,B104&amp;"/"&amp;(B104+1))</f>
        <v>4001/4002</v>
      </c>
      <c r="L104" s="185" t="str">
        <f>VLOOKUP(A104,'Trips&amp;Operators'!$C$1:$G$99911,5,FALSE)</f>
        <v>STEWART MICHAEL</v>
      </c>
      <c r="M104" s="6">
        <f>I104-F104</f>
        <v>2.6331018518249039E-2</v>
      </c>
      <c r="N104" s="7">
        <f>24*60*SUM($M104:$M104)</f>
        <v>37.916666666278616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-10-18T14:51:43-0600',mode:absolute,to:'2017-10-18T17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23.2986</v>
      </c>
      <c r="Z104" s="204">
        <f>RIGHT(H104,LEN(H104)-4)/10000</f>
        <v>1.49E-2</v>
      </c>
      <c r="AA104" s="204">
        <f>ABS(Z104-Y104)</f>
        <v>23.2837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s3://rtdc.mdm.uploadarchive.raw/RTDC4001/ "%USERPROFILE%\AppData\Local\Temp\OnboardLogs"\RTDC4001\2017-10-18 --exclude "*" --recursive --include "*20171018*" &amp; "%USERPROFILE%\Documents\GitHub\mrs-test-scripts\Headless Mode &amp; Sideloading\WalkAndUnGZ.bat" "%USERPROFILE%\AppData\Local\Temp\OnboardLogs"\RTDC4001\2017-10-18 &amp; aws s3 cp s3://rtdc.mdm.uploadarchive.raw/RTDC4001/ "%USERPROFILE%\AppData\Local\Temp\OnboardLogs"\RTDC4001\2017-10-19 --exclude "*" --recursive --include "*20171019*" &amp; "%USERPROFILE%\Documents\GitHub\mrs-test-scripts\Headless Mode &amp; Sideloading\WalkAndUnGZ.bat" "%USERPROFILE%\AppData\Local\Temp\OnboardLogs"\RTDC4001\2017-10-19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/stypes="app*4001*20171018*" /stext=" 22:.+((SYSTEM_STATE.+slice.+state.+changed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6"/>
        <v>"%USERPROFILE%\Documents\GitHub\eaglep3\Utilities\RefineRTDCRunTimes.py" --tripid 192-18 --locoid 4001 --swversion DE.1.0.9.0 --startMP 204:232986 --initTime 2017-10-18T15:51:43 --startdatetime 2017-10-18T15:57:16 --delay 66 --endMP 204:149 --enddatetime 2017-10-18T16:35:11 --enforcementcount 0 &gt;&gt;%USERPROFILE%\Documents\GitHub\eaglep3-reporting\EC\2017-10-18-refined-times.txt</v>
      </c>
      <c r="AI104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{"issue":{"subject":"","project_id":79,"tracker_id":40,"status_id":1,"priority_id":2,"assigned_to_id":338,"start_date":"2017-10-18","description":"","custom_fields":[{"id":1,"name":"Subdivision","value":"EC"},{"id":4,"name":"Milepost","value":"0.0149"},{"id":17,"name":"Train ID","value":"192-18"},{"id":16,"name":"Locomotive ID","value":"4001"},{"id":130,"name":"Impact","value":""},{"id":150,"name":"Time of Event (Mountain Time)","value":"16:35:11"},{"id":151,"name":"Denver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18"/>
        <v>start /low /b %USERPROFILE%\Documents\GitHub\eaglep3\Utilities\DownloadLogsFromS3.py --loco 4001 --day 2017-10-18</v>
      </c>
      <c r="AN104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22:35:11"},{"id":29,"name":"Sharepoint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20"/>
        <v>https://d0f6bd738d7f1b3e5a7ca70fe4ff75f0.us-east-1.aws.found.io/app/kibana#/discover/Steve-Slow-Train-Analysis-(2080s-and-2083s)?_g=(refreshInterval:(display:Off,pause:!f,section:0,value:0),time:(from:'2017-10-18T14:51:43-0600',mode:absolute,to:'2017-10-18T17:35:11-0600'))&amp;_a=(columns:!('Message%20ID',Summary),filters:!(),index:'emp_*',interval:auto,query:(query_string:(analyze_wildcard:!t,query:'%22rtdc.l.rtdc.4001%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733</v>
      </c>
      <c r="B105" s="7">
        <v>4064</v>
      </c>
      <c r="C105" s="21" t="s">
        <v>194</v>
      </c>
      <c r="D105" s="21" t="s">
        <v>376</v>
      </c>
      <c r="E105" s="13">
        <v>43026.630601851852</v>
      </c>
      <c r="F105" s="13">
        <v>43026.635740740741</v>
      </c>
      <c r="G105" s="7">
        <v>59</v>
      </c>
      <c r="H105" s="21" t="s">
        <v>478</v>
      </c>
      <c r="I105" s="13">
        <v>43026.660393518519</v>
      </c>
      <c r="J105" s="7">
        <v>0</v>
      </c>
      <c r="K105" s="89" t="str">
        <f>IF(ISEVEN(B105),(B105-1)&amp;"/"&amp;B105,B105&amp;"/"&amp;(B105+1))</f>
        <v>4063/4064</v>
      </c>
      <c r="L105" s="185" t="str">
        <f>VLOOKUP(A105,'Trips&amp;Operators'!$C$1:$G$99911,5,FALSE)</f>
        <v>GUZMAN DANNY</v>
      </c>
      <c r="M105" s="6">
        <f>I105-F105</f>
        <v>2.4652777778101154E-2</v>
      </c>
      <c r="N105" s="7">
        <f>24*60*SUM($M105:$M105)</f>
        <v>35.500000000465661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-10-18T14:08:04-0600',mode:absolute,to:'2017-10-18T16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4.5699999999999998E-2</v>
      </c>
      <c r="Z105" s="204">
        <f>RIGHT(H105,LEN(H105)-4)/10000</f>
        <v>23.329799999999999</v>
      </c>
      <c r="AA105" s="204">
        <f>ABS(Z105-Y105)</f>
        <v>23.284099999999999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s3://rtdc.mdm.uploadarchive.raw/RTDC4064/ "%USERPROFILE%\AppData\Local\Temp\OnboardLogs"\RTDC4064\2017-10-18 --exclude "*" --recursive --include "*20171018*" &amp; "%USERPROFILE%\Documents\GitHub\mrs-test-scripts\Headless Mode &amp; Sideloading\WalkAndUnGZ.bat" "%USERPROFILE%\AppData\Local\Temp\OnboardLogs"\RTDC4064\2017-10-18 &amp; aws s3 cp s3://rtdc.mdm.uploadarchive.raw/RTDC4064/ "%USERPROFILE%\AppData\Local\Temp\OnboardLogs"\RTDC4064\2017-10-19 --exclude "*" --recursive --include "*20171019*" &amp; "%USERPROFILE%\Documents\GitHub\mrs-test-scripts\Headless Mode &amp; Sideloading\WalkAndUnGZ.bat" "%USERPROFILE%\AppData\Local\Temp\OnboardLogs"\RTDC4064\2017-10-19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/stypes="app*4064*20171018*" /stext=" 21:.+((SYSTEM_STATE.+slice.+state.+changed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16"/>
        <v>"%USERPROFILE%\Documents\GitHub\eaglep3\Utilities\RefineRTDCRunTimes.py" --tripid 193-18 --locoid 4064 --swversion DE.1.0.9.0 --startMP 204:457 --initTime 2017-10-18T15:08:04 --startdatetime 2017-10-18T15:15:28 --delay 59 --endMP 204:233298 --enddatetime 2017-10-18T15:50:58 --enforcementcount 0 &gt;&gt;%USERPROFILE%\Documents\GitHub\eaglep3-reporting\EC\2017-10-18-refined-times.txt</v>
      </c>
      <c r="AI105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{"issue":{"subject":"","project_id":79,"tracker_id":40,"status_id":1,"priority_id":2,"assigned_to_id":338,"start_date":"2017-10-18","description":"","custom_fields":[{"id":1,"name":"Subdivision","value":"EC"},{"id":4,"name":"Milepost","value":"23.3298"},{"id":17,"name":"Train ID","value":"193-18"},{"id":16,"name":"Locomotive ID","value":"4064"},{"id":130,"name":"Impact","value":""},{"id":150,"name":"Time of Event (Mountain Time)","value":"15:50:58"},{"id":151,"name":"Denver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8"/>
        <v>start /low /b %USERPROFILE%\Documents\GitHub\eaglep3\Utilities\DownloadLogsFromS3.py --loco 4064 --day 2017-10-18</v>
      </c>
      <c r="AN105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21:50:58"},{"id":29,"name":"Sharepoint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20"/>
        <v>https://d0f6bd738d7f1b3e5a7ca70fe4ff75f0.us-east-1.aws.found.io/app/kibana#/discover/Steve-Slow-Train-Analysis-(2080s-and-2083s)?_g=(refreshInterval:(display:Off,pause:!f,section:0,value:0),time:(from:'2017-10-18T14:08:04-0600',mode:absolute,to:'2017-10-18T16:50:58-0600'))&amp;_a=(columns:!('Message%20ID',Summary),filters:!(),index:'emp_*',interval:auto,query:(query_string:(analyze_wildcard:!t,query:'%22rtdc.l.rtdc.4064%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742</v>
      </c>
      <c r="B106" s="7">
        <v>4063</v>
      </c>
      <c r="C106" s="21" t="s">
        <v>194</v>
      </c>
      <c r="D106" s="21" t="s">
        <v>487</v>
      </c>
      <c r="E106" s="13">
        <v>43026.662175925929</v>
      </c>
      <c r="F106" s="13">
        <v>43026.675173611111</v>
      </c>
      <c r="G106" s="7">
        <v>83</v>
      </c>
      <c r="H106" s="21" t="s">
        <v>371</v>
      </c>
      <c r="I106" s="13">
        <v>43026.701655092591</v>
      </c>
      <c r="J106" s="7">
        <v>0</v>
      </c>
      <c r="K106" s="89" t="str">
        <f>IF(ISEVEN(B106),(B106-1)&amp;"/"&amp;B106,B106&amp;"/"&amp;(B106+1))</f>
        <v>4063/4064</v>
      </c>
      <c r="L106" s="185" t="str">
        <f>VLOOKUP(A106,'Trips&amp;Operators'!$C$1:$G$99911,5,FALSE)</f>
        <v>GUZMAN DANNY</v>
      </c>
      <c r="M106" s="6">
        <f>I106-F106</f>
        <v>2.6481481480004732E-2</v>
      </c>
      <c r="N106" s="7">
        <f>24*60*SUM($M106:$M106)</f>
        <v>38.133333331206813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-10-18T14:53:32-0600',mode:absolute,to:'2017-10-18T17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23.297599999999999</v>
      </c>
      <c r="Z106" s="204">
        <f>RIGHT(H106,LEN(H106)-4)/10000</f>
        <v>1.54E-2</v>
      </c>
      <c r="AA106" s="204">
        <f>ABS(Z106-Y106)</f>
        <v>23.2822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s3://rtdc.mdm.uploadarchive.raw/RTDC4063/ "%USERPROFILE%\AppData\Local\Temp\OnboardLogs"\RTDC4063\2017-10-18 --exclude "*" --recursive --include "*20171018*" &amp; "%USERPROFILE%\Documents\GitHub\mrs-test-scripts\Headless Mode &amp; Sideloading\WalkAndUnGZ.bat" "%USERPROFILE%\AppData\Local\Temp\OnboardLogs"\RTDC4063\2017-10-18 &amp; aws s3 cp s3://rtdc.mdm.uploadarchive.raw/RTDC4063/ "%USERPROFILE%\AppData\Local\Temp\OnboardLogs"\RTDC4063\2017-10-19 --exclude "*" --recursive --include "*20171019*" &amp; "%USERPROFILE%\Documents\GitHub\mrs-test-scripts\Headless Mode &amp; Sideloading\WalkAndUnGZ.bat" "%USERPROFILE%\AppData\Local\Temp\OnboardLogs"\RTDC4063\2017-10-19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/stypes="app*4063*20171018*" /stext=" 22:.+((SYSTEM_STATE.+slice.+state.+changed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6"/>
        <v>"%USERPROFILE%\Documents\GitHub\eaglep3\Utilities\RefineRTDCRunTimes.py" --tripid 194-18 --locoid 4063 --swversion DE.1.0.9.0 --startMP 204:232976 --initTime 2017-10-18T15:53:32 --startdatetime 2017-10-18T16:12:15 --delay 83 --endMP 204:154 --enddatetime 2017-10-18T16:50:23 --enforcementcount 0 &gt;&gt;%USERPROFILE%\Documents\GitHub\eaglep3-reporting\EC\2017-10-18-refined-times.txt</v>
      </c>
      <c r="AI106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{"issue":{"subject":"","project_id":79,"tracker_id":40,"status_id":1,"priority_id":2,"assigned_to_id":338,"start_date":"2017-10-18","description":"","custom_fields":[{"id":1,"name":"Subdivision","value":"EC"},{"id":4,"name":"Milepost","value":"0.0154"},{"id":17,"name":"Train ID","value":"194-18"},{"id":16,"name":"Locomotive ID","value":"4063"},{"id":130,"name":"Impact","value":""},{"id":150,"name":"Time of Event (Mountain Time)","value":"16:50:23"},{"id":151,"name":"Denver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8"/>
        <v>start /low /b %USERPROFILE%\Documents\GitHub\eaglep3\Utilities\DownloadLogsFromS3.py --loco 4063 --day 2017-10-18</v>
      </c>
      <c r="AN106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22:50:23"},{"id":29,"name":"Sharepoint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20"/>
        <v>https://d0f6bd738d7f1b3e5a7ca70fe4ff75f0.us-east-1.aws.found.io/app/kibana#/discover/Steve-Slow-Train-Analysis-(2080s-and-2083s)?_g=(refreshInterval:(display:Off,pause:!f,section:0,value:0),time:(from:'2017-10-18T14:53:32-0600',mode:absolute,to:'2017-10-18T17:50:23-0600'))&amp;_a=(columns:!('Message%20ID',Summary),filters:!(),index:'emp_*',interval:auto,query:(query_string:(analyze_wildcard:!t,query:'%22rtdc.l.rtdc.4063%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735</v>
      </c>
      <c r="B107" s="7">
        <v>4026</v>
      </c>
      <c r="C107" s="21" t="s">
        <v>194</v>
      </c>
      <c r="D107" s="21" t="s">
        <v>367</v>
      </c>
      <c r="E107" s="13">
        <v>43026.641412037039</v>
      </c>
      <c r="F107" s="13">
        <v>43026.646006944444</v>
      </c>
      <c r="G107" s="7">
        <v>75</v>
      </c>
      <c r="H107" s="21" t="s">
        <v>851</v>
      </c>
      <c r="I107" s="13">
        <v>43026.671168981484</v>
      </c>
      <c r="J107" s="7">
        <v>0</v>
      </c>
      <c r="K107" s="89" t="str">
        <f>IF(ISEVEN(B107),(B107-1)&amp;"/"&amp;B107,B107&amp;"/"&amp;(B107+1))</f>
        <v>4025/4026</v>
      </c>
      <c r="L107" s="185" t="str">
        <f>VLOOKUP(A107,'Trips&amp;Operators'!$C$1:$G$99911,5,FALSE)</f>
        <v>LEVIN SCOTT</v>
      </c>
      <c r="M107" s="6">
        <f>I107-F107</f>
        <v>2.5162037039990537E-2</v>
      </c>
      <c r="N107" s="7">
        <f>24*60*SUM($M107:$M107)</f>
        <v>36.233333337586373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-10-18T14:23:38-0600',mode:absolute,to:'2017-10-18T17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4.5100000000000001E-2</v>
      </c>
      <c r="Z107" s="204">
        <f>RIGHT(H107,LEN(H107)-4)/10000</f>
        <v>23.336600000000001</v>
      </c>
      <c r="AA107" s="204">
        <f>ABS(Z107-Y107)</f>
        <v>23.291499999999999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s3://rtdc.mdm.uploadarchive.raw/RTDC4026/ "%USERPROFILE%\AppData\Local\Temp\OnboardLogs"\RTDC4026\2017-10-18 --exclude "*" --recursive --include "*20171018*" &amp; "%USERPROFILE%\Documents\GitHub\mrs-test-scripts\Headless Mode &amp; Sideloading\WalkAndUnGZ.bat" "%USERPROFILE%\AppData\Local\Temp\OnboardLogs"\RTDC4026\2017-10-18 &amp; aws s3 cp s3://rtdc.mdm.uploadarchive.raw/RTDC4026/ "%USERPROFILE%\AppData\Local\Temp\OnboardLogs"\RTDC4026\2017-10-19 --exclude "*" --recursive --include "*20171019*" &amp; "%USERPROFILE%\Documents\GitHub\mrs-test-scripts\Headless Mode &amp; Sideloading\WalkAndUnGZ.bat" "%USERPROFILE%\AppData\Local\Temp\OnboardLogs"\RTDC4026\2017-10-19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/stypes="app*4026*20171018*"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16"/>
        <v>"%USERPROFILE%\Documents\GitHub\eaglep3\Utilities\RefineRTDCRunTimes.py" --tripid 195-18 --locoid 4026 --swversion DE.1.0.9.0 --startMP 204:451 --initTime 2017-10-18T15:23:38 --startdatetime 2017-10-18T15:30:15 --delay 75 --endMP 204:233366 --enddatetime 2017-10-18T16:06:29 --enforcementcount 0 &gt;&gt;%USERPROFILE%\Documents\GitHub\eaglep3-reporting\EC\2017-10-18-refined-times.txt</v>
      </c>
      <c r="AI107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{"issue":{"subject":"","project_id":79,"tracker_id":40,"status_id":1,"priority_id":2,"assigned_to_id":338,"start_date":"2017-10-18","description":"","custom_fields":[{"id":1,"name":"Subdivision","value":"EC"},{"id":4,"name":"Milepost","value":"23.3366"},{"id":17,"name":"Train ID","value":"195-18"},{"id":16,"name":"Locomotive ID","value":"4026"},{"id":130,"name":"Impact","value":""},{"id":150,"name":"Time of Event (Mountain Time)","value":"16:06:29"},{"id":151,"name":"Denver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8"/>
        <v>start /low /b %USERPROFILE%\Documents\GitHub\eaglep3\Utilities\DownloadLogsFromS3.py --loco 4026 --day 2017-10-18</v>
      </c>
      <c r="AN107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22:06:29"},{"id":29,"name":"Sharepoint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20"/>
        <v>https://d0f6bd738d7f1b3e5a7ca70fe4ff75f0.us-east-1.aws.found.io/app/kibana#/discover/Steve-Slow-Train-Analysis-(2080s-and-2083s)?_g=(refreshInterval:(display:Off,pause:!f,section:0,value:0),time:(from:'2017-10-18T14:23:38-0600',mode:absolute,to:'2017-10-18T17:06:29-0600'))&amp;_a=(columns:!('Message%20ID',Summary),filters:!(),index:'emp_*',interval:auto,query:(query_string:(analyze_wildcard:!t,query:'%22rtdc.l.rtdc.4026%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746</v>
      </c>
      <c r="B108" s="7">
        <v>4025</v>
      </c>
      <c r="C108" s="21" t="s">
        <v>194</v>
      </c>
      <c r="D108" s="21" t="s">
        <v>852</v>
      </c>
      <c r="E108" s="13">
        <v>43026.675659722219</v>
      </c>
      <c r="F108" s="13">
        <v>43026.685624999998</v>
      </c>
      <c r="G108" s="7">
        <v>74</v>
      </c>
      <c r="H108" s="21" t="s">
        <v>363</v>
      </c>
      <c r="I108" s="13">
        <v>43026.711516203701</v>
      </c>
      <c r="J108" s="7">
        <v>0</v>
      </c>
      <c r="K108" s="89" t="str">
        <f>IF(ISEVEN(B108),(B108-1)&amp;"/"&amp;B108,B108&amp;"/"&amp;(B108+1))</f>
        <v>4025/4026</v>
      </c>
      <c r="L108" s="185" t="str">
        <f>VLOOKUP(A108,'Trips&amp;Operators'!$C$1:$G$99911,5,FALSE)</f>
        <v>LEVIN SCOTT</v>
      </c>
      <c r="M108" s="6">
        <f>I108-F108</f>
        <v>2.5891203702485655E-2</v>
      </c>
      <c r="N108" s="7">
        <f>24*60*SUM($M108:$M108)</f>
        <v>37.283333331579342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-10-18T15:12:57-0600',mode:absolute,to:'2017-10-18T18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23.302600000000002</v>
      </c>
      <c r="Z108" s="204">
        <f>RIGHT(H108,LEN(H108)-4)/10000</f>
        <v>1.5800000000000002E-2</v>
      </c>
      <c r="AA108" s="204">
        <f>ABS(Z108-Y108)</f>
        <v>23.286800000000003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s3://rtdc.mdm.uploadarchive.raw/RTDC4025/ "%USERPROFILE%\AppData\Local\Temp\OnboardLogs"\RTDC4025\2017-10-18 --exclude "*" --recursive --include "*20171018*" &amp; "%USERPROFILE%\Documents\GitHub\mrs-test-scripts\Headless Mode &amp; Sideloading\WalkAndUnGZ.bat" "%USERPROFILE%\AppData\Local\Temp\OnboardLogs"\RTDC4025\2017-10-18 &amp; aws s3 cp s3://rtdc.mdm.uploadarchive.raw/RTDC4025/ "%USERPROFILE%\AppData\Local\Temp\OnboardLogs"\RTDC4025\2017-10-19 --exclude "*" --recursive --include "*20171019*" &amp; "%USERPROFILE%\Documents\GitHub\mrs-test-scripts\Headless Mode &amp; Sideloading\WalkAndUnGZ.bat" "%USERPROFILE%\AppData\Local\Temp\OnboardLogs"\RTDC4025\2017-10-19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/stypes="app*4025*20171018*" /stext=" 23:.+((SYSTEM_STATE.+slice.+state.+changed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6"/>
        <v>"%USERPROFILE%\Documents\GitHub\eaglep3\Utilities\RefineRTDCRunTimes.py" --tripid 196-18 --locoid 4025 --swversion DE.1.0.9.0 --startMP 204:233026 --initTime 2017-10-18T16:12:57 --startdatetime 2017-10-18T16:27:18 --delay 74 --endMP 204:158 --enddatetime 2017-10-18T17:04:35 --enforcementcount 0 &gt;&gt;%USERPROFILE%\Documents\GitHub\eaglep3-reporting\EC\2017-10-18-refined-times.txt</v>
      </c>
      <c r="AI108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{"issue":{"subject":"","project_id":79,"tracker_id":40,"status_id":1,"priority_id":2,"assigned_to_id":338,"start_date":"2017-10-18","description":"","custom_fields":[{"id":1,"name":"Subdivision","value":"EC"},{"id":4,"name":"Milepost","value":"0.0158"},{"id":17,"name":"Train ID","value":"196-18"},{"id":16,"name":"Locomotive ID","value":"4025"},{"id":130,"name":"Impact","value":""},{"id":150,"name":"Time of Event (Mountain Time)","value":"17:04:35"},{"id":151,"name":"Denver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8"/>
        <v>start /low /b %USERPROFILE%\Documents\GitHub\eaglep3\Utilities\DownloadLogsFromS3.py --loco 4025 --day 2017-10-18</v>
      </c>
      <c r="AN108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23:04:35"},{"id":29,"name":"Sharepoint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20"/>
        <v>https://d0f6bd738d7f1b3e5a7ca70fe4ff75f0.us-east-1.aws.found.io/app/kibana#/discover/Steve-Slow-Train-Analysis-(2080s-and-2083s)?_g=(refreshInterval:(display:Off,pause:!f,section:0,value:0),time:(from:'2017-10-18T15:12:57-0600',mode:absolute,to:'2017-10-18T18:04:35-0600'))&amp;_a=(columns:!('Message%20ID',Summary),filters:!(),index:'emp_*',interval:auto,query:(query_string:(analyze_wildcard:!t,query:'%22rtdc.l.rtdc.4025%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581</v>
      </c>
      <c r="B109" s="7">
        <v>4056</v>
      </c>
      <c r="C109" s="21" t="s">
        <v>194</v>
      </c>
      <c r="D109" s="21" t="s">
        <v>427</v>
      </c>
      <c r="E109" s="13">
        <v>43026.652581018519</v>
      </c>
      <c r="F109" s="13">
        <v>43026.656643518516</v>
      </c>
      <c r="G109" s="7">
        <v>78</v>
      </c>
      <c r="H109" s="21" t="s">
        <v>532</v>
      </c>
      <c r="I109" s="13">
        <v>43026.682118055556</v>
      </c>
      <c r="J109" s="7">
        <v>0</v>
      </c>
      <c r="K109" s="89" t="str">
        <f>IF(ISEVEN(B109),(B109-1)&amp;"/"&amp;B109,B109&amp;"/"&amp;(B109+1))</f>
        <v>4055/4056</v>
      </c>
      <c r="L109" s="185" t="str">
        <f>VLOOKUP(A109,'Trips&amp;Operators'!$C$1:$G$99911,5,FALSE)</f>
        <v>BERLING GARY</v>
      </c>
      <c r="M109" s="6">
        <f>I109-F109</f>
        <v>2.5474537040281575E-2</v>
      </c>
      <c r="N109" s="7">
        <f>24*60*SUM($M109:$M109)</f>
        <v>36.683333338005468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-10-18T14:39:43-0600',mode:absolute,to:'2017-10-18T17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4.3999999999999997E-2</v>
      </c>
      <c r="Z109" s="204">
        <f>RIGHT(H109,LEN(H109)-4)/10000</f>
        <v>23.3325</v>
      </c>
      <c r="AA109" s="204">
        <f>ABS(Z109-Y109)</f>
        <v>23.288499999999999</v>
      </c>
      <c r="AB109" s="54" t="str">
        <f>VLOOKUP(A109,Enforcements!$C$7:$K$11,8,0)</f>
        <v>Bulletin (2)</v>
      </c>
      <c r="AC109" s="51" t="str">
        <f>VLOOKUP(A109,Enforcements!$C$7:$E$11,3,0)</f>
        <v>GRADE CROSSING</v>
      </c>
      <c r="AD109" s="179">
        <f>VALUE(LEFT(A109,LEN(A109)-3))</f>
        <v>197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s3://rtdc.mdm.uploadarchive.raw/RTDC4056/ "%USERPROFILE%\AppData\Local\Temp\OnboardLogs"\RTDC4056\2017-10-18 --exclude "*" --recursive --include "*20171018*" &amp; "%USERPROFILE%\Documents\GitHub\mrs-test-scripts\Headless Mode &amp; Sideloading\WalkAndUnGZ.bat" "%USERPROFILE%\AppData\Local\Temp\OnboardLogs"\RTDC4056\2017-10-18 &amp; aws s3 cp s3://rtdc.mdm.uploadarchive.raw/RTDC4056/ "%USERPROFILE%\AppData\Local\Temp\OnboardLogs"\RTDC4056\2017-10-19 --exclude "*" --recursive --include "*20171019*" &amp; "%USERPROFILE%\Documents\GitHub\mrs-test-scripts\Headless Mode &amp; Sideloading\WalkAndUnGZ.bat" "%USERPROFILE%\AppData\Local\Temp\OnboardLogs"\RTDC4056\2017-10-19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/stypes="app*4056*20171018*" /stext=" 22:.+((SYSTEM_STATE.+slice.+state.+changed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6"/>
        <v>"%USERPROFILE%\Documents\GitHub\eaglep3\Utilities\RefineRTDCRunTimes.py" --tripid 197-18 --locoid 4056 --swversion DE.1.0.9.0 --startMP 204:440 --initTime 2017-10-18T15:39:43 --startdatetime 2017-10-18T15:45:34 --delay 78 --endMP 204:233325 --enddatetime 2017-10-18T16:22:15 --enforcementcount 0 &gt;&gt;%USERPROFILE%\Documents\GitHub\eaglep3-reporting\EC\2017-10-18-refined-times.txt</v>
      </c>
      <c r="AI109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{"issue":{"subject":"","project_id":79,"tracker_id":40,"status_id":1,"priority_id":2,"assigned_to_id":338,"start_date":"2017-10-18","description":"","custom_fields":[{"id":1,"name":"Subdivision","value":"EC"},{"id":4,"name":"Milepost","value":"23.3325"},{"id":17,"name":"Train ID","value":"197-18"},{"id":16,"name":"Locomotive ID","value":"4056"},{"id":130,"name":"Impact","value":""},{"id":150,"name":"Time of Event (Mountain Time)","value":"16:22:15"},{"id":151,"name":"Denver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8"/>
        <v>start /low /b %USERPROFILE%\Documents\GitHub\eaglep3\Utilities\DownloadLogsFromS3.py --loco 4056 --day 2017-10-18</v>
      </c>
      <c r="AN109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22:22:15"},{"id":29,"name":"Sharepoint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20"/>
        <v>https://d0f6bd738d7f1b3e5a7ca70fe4ff75f0.us-east-1.aws.found.io/app/kibana#/discover/Steve-Slow-Train-Analysis-(2080s-and-2083s)?_g=(refreshInterval:(display:Off,pause:!f,section:0,value:0),time:(from:'2017-10-18T14:39:43-0600',mode:absolute,to:'2017-10-18T17:22:15-0600'))&amp;_a=(columns:!('Message%20ID',Summary),filters:!(),index:'emp_*',interval:auto,query:(query_string:(analyze_wildcard:!t,query:'%22rtdc.l.rtdc.4056%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584</v>
      </c>
      <c r="B110" s="7">
        <v>4055</v>
      </c>
      <c r="C110" s="21" t="s">
        <v>194</v>
      </c>
      <c r="D110" s="21" t="s">
        <v>427</v>
      </c>
      <c r="E110" s="13">
        <v>43026.652581018519</v>
      </c>
      <c r="F110" s="13">
        <v>43026.69599537037</v>
      </c>
      <c r="G110" s="7">
        <v>78</v>
      </c>
      <c r="H110" s="21" t="s">
        <v>532</v>
      </c>
      <c r="I110" s="13">
        <v>43026.726354166669</v>
      </c>
      <c r="J110" s="7">
        <v>0</v>
      </c>
      <c r="K110" s="89" t="str">
        <f>IF(ISEVEN(B110),(B110-1)&amp;"/"&amp;B110,B110&amp;"/"&amp;(B110+1))</f>
        <v>4055/4056</v>
      </c>
      <c r="L110" s="185" t="str">
        <f>VLOOKUP(A110,'Trips&amp;Operators'!$C$1:$G$99911,5,FALSE)</f>
        <v>BERLING GARY</v>
      </c>
      <c r="M110" s="6">
        <f>I110-F110</f>
        <v>3.0358796298969537E-2</v>
      </c>
      <c r="N110" s="7">
        <f>24*60*SUM($M110:$M110)</f>
        <v>43.716666670516133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-10-18T14:39:43-0600',mode:absolute,to:'2017-10-18T18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v>23.302600000000002</v>
      </c>
      <c r="Z110" s="204">
        <v>1.5800000000000002E-2</v>
      </c>
      <c r="AA110" s="204">
        <f>ABS(Z110-Y110)</f>
        <v>23.286800000000003</v>
      </c>
      <c r="AB110" s="54" t="str">
        <f>VLOOKUP(A110,Enforcements!$C$7:$K$11,8,0)</f>
        <v>Bulletin (2)</v>
      </c>
      <c r="AC110" s="51" t="str">
        <f>VLOOKUP(A110,Enforcements!$C$7:$E$11,3,0)</f>
        <v>GRADE CROSSING</v>
      </c>
      <c r="AD110" s="179">
        <f>VALUE(LEFT(A110,LEN(A110)-3))</f>
        <v>198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s3://rtdc.mdm.uploadarchive.raw/RTDC4055/ "%USERPROFILE%\AppData\Local\Temp\OnboardLogs"\RTDC4055\2017-10-18 --exclude "*" --recursive --include "*20171018*" &amp; "%USERPROFILE%\Documents\GitHub\mrs-test-scripts\Headless Mode &amp; Sideloading\WalkAndUnGZ.bat" "%USERPROFILE%\AppData\Local\Temp\OnboardLogs"\RTDC4055\2017-10-18 &amp; aws s3 cp s3://rtdc.mdm.uploadarchive.raw/RTDC4055/ "%USERPROFILE%\AppData\Local\Temp\OnboardLogs"\RTDC4055\2017-10-19 --exclude "*" --recursive --include "*20171019*" &amp; "%USERPROFILE%\Documents\GitHub\mrs-test-scripts\Headless Mode &amp; Sideloading\WalkAndUnGZ.bat" "%USERPROFILE%\AppData\Local\Temp\OnboardLogs"\RTDC4055\2017-10-19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/stypes="app*4055*20171018*" /stext=" 23:.+((SYSTEM_STATE.+slice.+state.+changed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ref="AH110" si="21">refinertdcruntimes&amp;" --tripid "&amp;A110&amp;" --locoid "&amp;B110&amp;" --swversion "&amp;C110&amp;" --startMP "&amp;D110&amp;" --initTime "&amp;TEXT(E110,"yyyy-mm-ddTHH:MM:SS")&amp;" --startdatetime "&amp;TEXT(F110,"yyyy-mm-ddTHH:MM:SS")&amp;" --delay "&amp;G110&amp;" --endMP "&amp;H110&amp;" --enddatetime "&amp;TEXT(I110,"yyyy-mm-ddTHH:MM:SS")&amp;" --enforcementcount "&amp;J110&amp;IF(outputrefinedruntimes," &gt;&gt;"&amp;RefinedRTDCRunTimesOutputFile,"")</f>
        <v>"%USERPROFILE%\Documents\GitHub\eaglep3\Utilities\RefineRTDCRunTimes.py" --tripid 198-18 --locoid 4055 --swversion DE.1.0.9.0 --startMP 204:440 --initTime 2017-10-18T15:39:43 --startdatetime 2017-10-18T16:42:14 --delay 78 --endMP 204:233325 --enddatetime 2017-10-18T17:25:57 --enforcementcount 0 &gt;&gt;%USERPROFILE%\Documents\GitHub\eaglep3-reporting\EC\2017-10-18-refined-times.txt</v>
      </c>
      <c r="AI110" s="96" t="str">
        <f t="shared" ref="AI110" si="22">"echo {""issue"":{""subject"":"""&amp;R110&amp;""",""project_id"":79,""tracker_id"":40,""status_id"":"&amp;redmine_status&amp;",""priority_id"":"&amp;redmine_priority&amp;",""assigned_to_id"":"&amp;redmine_assignee&amp;",""start_date"":"""&amp;TEXT(I110,"YYYY-mm-dd")&amp;""",""description"":"""&amp;AJ110&amp;""",""custom_fields"":[{""id"":1,""name"":""Subdivision"",""value"":"""&amp;AG110&amp;"""},{""id"":4,""name"":""Milepost"",""value"":"""&amp;Z110&amp;"""},{""id"":17,""name"":""Train ID"",""value"":"""&amp;A110&amp;"""},{""id"":16,""name"":""Locomotive ID"",""value"":"""&amp;B110&amp;"""},{""id"":130,""name"":""Impact"",""value"":"""&amp;AK110&amp;"""},{""id"":150,""name"":""Time of Event (Mountain Time)"",""value"":"""&amp;TEXT(I110,"hh:mm:ss")&amp;"""},{""id"":151,""name"":""Denver Issue ID"",""value"":"""&amp;"""},{""id"":178,""name"":""Operational Impact"",""value"":"""&amp;redmine_op_impact&amp;"""},{""id"":179,""name"":""Denver Segment Assigned"",""value"":"""&amp;AL110&amp;"""}]}}"&amp;"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{"issue":{"subject":"","project_id":79,"tracker_id":40,"status_id":1,"priority_id":2,"assigned_to_id":338,"start_date":"2017-10-18","description":"","custom_fields":[{"id":1,"name":"Subdivision","value":"EC"},{"id":4,"name":"Milepost","value":"0.0158"},{"id":17,"name":"Train ID","value":"198-18"},{"id":16,"name":"Locomotive ID","value":"4055"},{"id":130,"name":"Impact","value":""},{"id":150,"name":"Time of Event (Mountain Time)","value":"17:25:57"},{"id":151,"name":"Denver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ref="AM110" si="23">"start /low /b "&amp;dls3logs&amp;" --loco "&amp;B110&amp;" --day "&amp;TEXT(F110,"YYYY-MM-DD")</f>
        <v>start /low /b %USERPROFILE%\Documents\GitHub\eaglep3\Utilities\DownloadLogsFromS3.py --loco 4055 --day 2017-10-18</v>
      </c>
      <c r="AN110" s="151" t="str">
        <f t="shared" ref="AN110" si="24">"echo {""issue"":{""subject"":"""&amp;R110&amp;""",""project_id"":30,""tracker_id"":4,""status_id"":"&amp;redmine_status_wcr&amp;",""priority_id"":"&amp;redmine_priority_wcr&amp;",""assigned_to_id"":"&amp;redmine_assignee_wcr&amp;",""start_date"":"""&amp;TEXT(I110-utc_offset/24,"YYYY-mm-dd")&amp;""",""description"":"""&amp;AJ110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23:25:57"},{"id":29,"name":"Sharepoint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ref="AO110" si="25"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Message%20ID',Summary),filters:!(),index:'emp_*',interval:auto,query:"&amp;"(query_string:(analyze_wildcard:!t,query:'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-10-18T14:39:43-0600',mode:absolute,to:'2017-10-18T18:25:57-0600'))&amp;_a=(columns:!('Message%20ID',Summary),filters:!(),index:'emp_*',interval:auto,query:(query_string:(analyze_wildcard:!t,query:'%22rtdc.l.rtdc.4055%22')),sort:!(Time.ISO8601,asc))</v>
      </c>
    </row>
    <row r="111" spans="1:91" s="20" customFormat="1" x14ac:dyDescent="0.3">
      <c r="A111" s="32" t="s">
        <v>741</v>
      </c>
      <c r="B111" s="7">
        <v>4020</v>
      </c>
      <c r="C111" s="21" t="s">
        <v>194</v>
      </c>
      <c r="D111" s="21" t="s">
        <v>429</v>
      </c>
      <c r="E111" s="13">
        <v>43026.660486111112</v>
      </c>
      <c r="F111" s="13">
        <v>43026.666828703703</v>
      </c>
      <c r="G111" s="7">
        <v>98</v>
      </c>
      <c r="H111" s="21" t="s">
        <v>853</v>
      </c>
      <c r="I111" s="13">
        <v>43026.692164351851</v>
      </c>
      <c r="J111" s="7">
        <v>0</v>
      </c>
      <c r="K111" s="89" t="str">
        <f>IF(ISEVEN(B111),(B111-1)&amp;"/"&amp;B111,B111&amp;"/"&amp;(B111+1))</f>
        <v>4019/4020</v>
      </c>
      <c r="L111" s="185" t="str">
        <f>VLOOKUP(A111,'Trips&amp;Operators'!$C$1:$G$99911,5,FALSE)</f>
        <v>DE LA ROSA ALEX</v>
      </c>
      <c r="M111" s="6">
        <f>I111-F111</f>
        <v>2.5335648148029577E-2</v>
      </c>
      <c r="N111" s="7">
        <f>24*60*SUM($M111:$M111)</f>
        <v>36.483333333162591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-10-18T14:51:06-0600',mode:absolute,to:'2017-10-18T17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1" s="204" t="str">
        <f>IF(AA111&lt;VLOOKUP(AG111,Variables!$AC$3:$AD$8,2,FALSE),"Y","N")</f>
        <v>N</v>
      </c>
      <c r="X111" s="204">
        <f t="shared" ref="X111:X114" si="26">VALUE(LEFT(AD111,4))-VALUE(LEFT(AD110,4))</f>
        <v>1</v>
      </c>
      <c r="Y111" s="204">
        <f>RIGHT(D111,LEN(D111)-4)/10000</f>
        <v>4.4400000000000002E-2</v>
      </c>
      <c r="Z111" s="204">
        <f>RIGHT(H111,LEN(H111)-4)/10000</f>
        <v>23.330300000000001</v>
      </c>
      <c r="AA111" s="204">
        <f>ABS(Z111-Y111)</f>
        <v>23.285900000000002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>VALUE(LEFT(A111,LEN(A111)-3))</f>
        <v>199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 &amp; aws s3 cp s3://rtdc.mdm.uploadarchive.raw/RTDC4020/ "%USERPROFILE%\AppData\Local\Temp\OnboardLogs"\RTDC4020\2017-10-19 --exclude "*" --recursive --include "*20171019*" &amp; "%USERPROFILE%\Documents\GitHub\mrs-test-scripts\Headless Mode &amp; Sideloading\WalkAndUnGZ.bat" "%USERPROFILE%\AppData\Local\Temp\OnboardLogs"\RTDC4020\2017-10-19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/stypes="app*4020*20171018*" /stext=" 22:.+((SYSTEM_STATE.+slice.+state.+changed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6"/>
        <v>"%USERPROFILE%\Documents\GitHub\eaglep3\Utilities\RefineRTDCRunTimes.py" --tripid 199-18 --locoid 4020 --swversion DE.1.0.9.0 --startMP 204:444 --initTime 2017-10-18T15:51:06 --startdatetime 2017-10-18T16:00:14 --delay 98 --endMP 204:233303 --enddatetime 2017-10-18T16:36:43 --enforcementcount 0 &gt;&gt;%USERPROFILE%\Documents\GitHub\eaglep3-reporting\EC\2017-10-18-refined-times.txt</v>
      </c>
      <c r="AI111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{"issue":{"subject":"","project_id":79,"tracker_id":40,"status_id":1,"priority_id":2,"assigned_to_id":338,"start_date":"2017-10-18","description":"","custom_fields":[{"id":1,"name":"Subdivision","value":"EC"},{"id":4,"name":"Milepost","value":"23.3303"},{"id":17,"name":"Train ID","value":"199-18"},{"id":16,"name":"Locomotive ID","value":"4020"},{"id":130,"name":"Impact","value":""},{"id":150,"name":"Time of Event (Mountain Time)","value":"16:36:43"},{"id":151,"name":"Denver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8"/>
        <v>start /low /b %USERPROFILE%\Documents\GitHub\eaglep3\Utilities\DownloadLogsFromS3.py --loco 4020 --day 2017-10-18</v>
      </c>
      <c r="AN111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22:36:43"},{"id":29,"name":"Sharepoint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20"/>
        <v>https://d0f6bd738d7f1b3e5a7ca70fe4ff75f0.us-east-1.aws.found.io/app/kibana#/discover/Steve-Slow-Train-Analysis-(2080s-and-2083s)?_g=(refreshInterval:(display:Off,pause:!f,section:0,value:0),time:(from:'2017-10-18T14:51:06-0600',mode:absolute,to:'2017-10-18T17:36:43-0600'))&amp;_a=(columns:!('Message%20ID',Summary),filters:!(),index:'emp_*',interval:auto,query:(query_string:(analyze_wildcard:!t,query:'%22rtdc.l.rtdc.4020%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750</v>
      </c>
      <c r="B112" s="7">
        <v>4019</v>
      </c>
      <c r="C112" s="21" t="s">
        <v>194</v>
      </c>
      <c r="D112" s="21" t="s">
        <v>429</v>
      </c>
      <c r="E112" s="13">
        <v>43026.660486111112</v>
      </c>
      <c r="F112" s="13">
        <v>43026.706469907411</v>
      </c>
      <c r="G112" s="7">
        <v>98</v>
      </c>
      <c r="H112" s="21" t="s">
        <v>853</v>
      </c>
      <c r="I112" s="13">
        <v>43026.732118055559</v>
      </c>
      <c r="J112" s="7">
        <v>0</v>
      </c>
      <c r="K112" s="89" t="str">
        <f>IF(ISEVEN(B112),(B112-1)&amp;"/"&amp;B112,B112&amp;"/"&amp;(B112+1))</f>
        <v>4019/4020</v>
      </c>
      <c r="L112" s="185" t="str">
        <f>VLOOKUP(A112,'Trips&amp;Operators'!$C$1:$G$99911,5,FALSE)</f>
        <v>DE LA ROSA ALEX</v>
      </c>
      <c r="M112" s="6">
        <f>I112-F112</f>
        <v>2.5648148148320615E-2</v>
      </c>
      <c r="N112" s="7">
        <f>24*60*SUM($M112:$M112)</f>
        <v>36.933333333581686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-10-18T14:51:06-0600',mode:absolute,to:'2017-10-18T18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2" s="204" t="str">
        <f>IF(AA112&lt;VLOOKUP(AG112,Variables!$AC$3:$AD$8,2,FALSE),"Y","N")</f>
        <v>N</v>
      </c>
      <c r="X112" s="204">
        <f t="shared" si="26"/>
        <v>1</v>
      </c>
      <c r="Y112" s="204">
        <v>23.302600000000002</v>
      </c>
      <c r="Z112" s="204">
        <v>1.5800000000000002E-2</v>
      </c>
      <c r="AA112" s="204">
        <f>ABS(Z112-Y112)</f>
        <v>23.286800000000003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>VALUE(LEFT(A112,LEN(A112)-3))</f>
        <v>200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s3://rtdc.mdm.uploadarchive.raw/RTDC4019/ "%USERPROFILE%\AppData\Local\Temp\OnboardLogs"\RTDC4019\2017-10-18 --exclude "*" --recursive --include "*20171018*" &amp; "%USERPROFILE%\Documents\GitHub\mrs-test-scripts\Headless Mode &amp; Sideloading\WalkAndUnGZ.bat" "%USERPROFILE%\AppData\Local\Temp\OnboardLogs"\RTDC4019\2017-10-18 &amp; aws s3 cp s3://rtdc.mdm.uploadarchive.raw/RTDC4019/ "%USERPROFILE%\AppData\Local\Temp\OnboardLogs"\RTDC4019\2017-10-19 --exclude "*" --recursive --include "*20171019*" &amp; "%USERPROFILE%\Documents\GitHub\mrs-test-scripts\Headless Mode &amp; Sideloading\WalkAndUnGZ.bat" "%USERPROFILE%\AppData\Local\Temp\OnboardLogs"\RTDC4019\2017-10-19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/stypes="app*4019*20171018*" /stext=" 23:.+((SYSTEM_STATE.+slice.+state.+changed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ref="AH112" si="27">refinertdcruntimes&amp;" --tripid "&amp;A112&amp;" --locoid "&amp;B112&amp;" --swversion "&amp;C112&amp;" --startMP "&amp;D112&amp;" --initTime "&amp;TEXT(E112,"yyyy-mm-ddTHH:MM:SS")&amp;" --startdatetime "&amp;TEXT(F112,"yyyy-mm-ddTHH:MM:SS")&amp;" --delay "&amp;G112&amp;" --endMP "&amp;H112&amp;" --enddatetime "&amp;TEXT(I112,"yyyy-mm-ddTHH:MM:SS")&amp;" --enforcementcount "&amp;J112&amp;IF(outputrefinedruntimes," &gt;&gt;"&amp;RefinedRTDCRunTimesOutputFile,"")</f>
        <v>"%USERPROFILE%\Documents\GitHub\eaglep3\Utilities\RefineRTDCRunTimes.py" --tripid 200-18 --locoid 4019 --swversion DE.1.0.9.0 --startMP 204:444 --initTime 2017-10-18T15:51:06 --startdatetime 2017-10-18T16:57:19 --delay 98 --endMP 204:233303 --enddatetime 2017-10-18T17:34:15 --enforcementcount 0 &gt;&gt;%USERPROFILE%\Documents\GitHub\eaglep3-reporting\EC\2017-10-18-refined-times.txt</v>
      </c>
      <c r="AI112" s="96" t="str">
        <f t="shared" ref="AI112" si="28">"echo {""issue"":{""subject"":"""&amp;R112&amp;""",""project_id"":79,""tracker_id"":40,""status_id"":"&amp;redmine_status&amp;",""priority_id"":"&amp;redmine_priority&amp;",""assigned_to_id"":"&amp;redmine_assignee&amp;",""start_date"":"""&amp;TEXT(I112,"YYYY-mm-dd")&amp;""",""description"":"""&amp;AJ112&amp;""",""custom_fields"":[{""id"":1,""name"":""Subdivision"",""value"":"""&amp;AG112&amp;"""},{""id"":4,""name"":""Milepost"",""value"":"""&amp;Z112&amp;"""},{""id"":17,""name"":""Train ID"",""value"":"""&amp;A112&amp;"""},{""id"":16,""name"":""Locomotive ID"",""value"":"""&amp;B112&amp;"""},{""id"":130,""name"":""Impact"",""value"":"""&amp;AK112&amp;"""},{""id"":150,""name"":""Time of Event (Mountain Time)"",""value"":"""&amp;TEXT(I112,"hh:mm:ss")&amp;"""},{""id"":151,""name"":""Denver Issue ID"",""value"":"""&amp;"""},{""id"":178,""name"":""Operational Impact"",""value"":"""&amp;redmine_op_impact&amp;"""},{""id"":179,""name"":""Denver Segment Assigned"",""value"":"""&amp;AL112&amp;"""}]}}"&amp;"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{"issue":{"subject":"","project_id":79,"tracker_id":40,"status_id":1,"priority_id":2,"assigned_to_id":338,"start_date":"2017-10-18","description":"","custom_fields":[{"id":1,"name":"Subdivision","value":"EC"},{"id":4,"name":"Milepost","value":"0.0158"},{"id":17,"name":"Train ID","value":"200-18"},{"id":16,"name":"Locomotive ID","value":"4019"},{"id":130,"name":"Impact","value":""},{"id":150,"name":"Time of Event (Mountain Time)","value":"17:34:15"},{"id":151,"name":"Denver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ref="AM112" si="29">"start /low /b "&amp;dls3logs&amp;" --loco "&amp;B112&amp;" --day "&amp;TEXT(F112,"YYYY-MM-DD")</f>
        <v>start /low /b %USERPROFILE%\Documents\GitHub\eaglep3\Utilities\DownloadLogsFromS3.py --loco 4019 --day 2017-10-18</v>
      </c>
      <c r="AN112" s="151" t="str">
        <f t="shared" ref="AN112" si="30">"echo {""issue"":{""subject"":"""&amp;R112&amp;""",""project_id"":30,""tracker_id"":4,""status_id"":"&amp;redmine_status_wcr&amp;",""priority_id"":"&amp;redmine_priority_wcr&amp;",""assigned_to_id"":"&amp;redmine_assignee_wcr&amp;",""start_date"":"""&amp;TEXT(I112-utc_offset/24,"YYYY-mm-dd")&amp;""",""description"":"""&amp;AJ112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23:34:15"},{"id":29,"name":"Sharepoint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ref="AO112" si="31"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Message%20ID',Summary),filters:!(),index:'emp_*',interval:auto,query:"&amp;"(query_string:(analyze_wildcard:!t,query:'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-10-18T14:51:06-0600',mode:absolute,to:'2017-10-18T18:34:15-0600'))&amp;_a=(columns:!('Message%20ID',Summary),filters:!(),index:'emp_*',interval:auto,query:(query_string:(analyze_wildcard:!t,query:'%22rtdc.l.rtdc.4019%22')),sort:!(Time.ISO8601,asc))</v>
      </c>
    </row>
    <row r="113" spans="1:91" s="20" customFormat="1" x14ac:dyDescent="0.3">
      <c r="A113" s="32" t="s">
        <v>745</v>
      </c>
      <c r="B113" s="7">
        <v>4062</v>
      </c>
      <c r="C113" s="21" t="s">
        <v>194</v>
      </c>
      <c r="D113" s="21" t="s">
        <v>372</v>
      </c>
      <c r="E113" s="13">
        <v>43026.674108796295</v>
      </c>
      <c r="F113" s="13">
        <v>43026.67732638889</v>
      </c>
      <c r="G113" s="7">
        <v>61</v>
      </c>
      <c r="H113" s="21" t="s">
        <v>451</v>
      </c>
      <c r="I113" s="13">
        <v>43026.701886574076</v>
      </c>
      <c r="J113" s="7">
        <v>0</v>
      </c>
      <c r="K113" s="89" t="str">
        <f>IF(ISEVEN(B113),(B113-1)&amp;"/"&amp;B113,B113&amp;"/"&amp;(B113+1))</f>
        <v>4061/4062</v>
      </c>
      <c r="L113" s="185" t="str">
        <f>VLOOKUP(A113,'Trips&amp;Operators'!$C$1:$G$99911,5,FALSE)</f>
        <v>HOLCOMB KAMDEN</v>
      </c>
      <c r="M113" s="6">
        <f>I113-F113</f>
        <v>2.4560185185691807E-2</v>
      </c>
      <c r="N113" s="7">
        <f>24*60*SUM($M113:$M113)</f>
        <v>35.366666667396203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-10-18T15:10:43-0600',mode:absolute,to:'2017-10-18T17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3" s="204" t="str">
        <f>IF(AA113&lt;VLOOKUP(AG113,Variables!$AC$3:$AD$8,2,FALSE),"Y","N")</f>
        <v>N</v>
      </c>
      <c r="X113" s="204">
        <f t="shared" si="26"/>
        <v>1</v>
      </c>
      <c r="Y113" s="204">
        <f>RIGHT(D113,LEN(D113)-4)/10000</f>
        <v>4.4699999999999997E-2</v>
      </c>
      <c r="Z113" s="204">
        <f>RIGHT(H113,LEN(H113)-4)/10000</f>
        <v>23.329499999999999</v>
      </c>
      <c r="AA113" s="204">
        <f>ABS(Z113-Y113)</f>
        <v>23.284800000000001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>VALUE(LEFT(A113,LEN(A113)-3))</f>
        <v>201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s3://rtdc.mdm.uploadarchive.raw/RTDC4062/ "%USERPROFILE%\AppData\Local\Temp\OnboardLogs"\RTDC4062\2017-10-18 --exclude "*" --recursive --include "*20171018*" &amp; "%USERPROFILE%\Documents\GitHub\mrs-test-scripts\Headless Mode &amp; Sideloading\WalkAndUnGZ.bat" "%USERPROFILE%\AppData\Local\Temp\OnboardLogs"\RTDC4062\2017-10-18 &amp; aws s3 cp s3://rtdc.mdm.uploadarchive.raw/RTDC4062/ "%USERPROFILE%\AppData\Local\Temp\OnboardLogs"\RTDC4062\2017-10-19 --exclude "*" --recursive --include "*20171019*" &amp; "%USERPROFILE%\Documents\GitHub\mrs-test-scripts\Headless Mode &amp; Sideloading\WalkAndUnGZ.bat" "%USERPROFILE%\AppData\Local\Temp\OnboardLogs"\RTDC4062\2017-10-19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/stypes="app*4062*20171018*" /stext=" 22:.+((SYSTEM_STATE.+slice.+state.+changed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16"/>
        <v>"%USERPROFILE%\Documents\GitHub\eaglep3\Utilities\RefineRTDCRunTimes.py" --tripid 201-18 --locoid 4062 --swversion DE.1.0.9.0 --startMP 204:447 --initTime 2017-10-18T16:10:43 --startdatetime 2017-10-18T16:15:21 --delay 61 --endMP 204:233295 --enddatetime 2017-10-18T16:50:43 --enforcementcount 0 &gt;&gt;%USERPROFILE%\Documents\GitHub\eaglep3-reporting\EC\2017-10-18-refined-times.txt</v>
      </c>
      <c r="AI113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{"issue":{"subject":"","project_id":79,"tracker_id":40,"status_id":1,"priority_id":2,"assigned_to_id":338,"start_date":"2017-10-18","description":"","custom_fields":[{"id":1,"name":"Subdivision","value":"EC"},{"id":4,"name":"Milepost","value":"23.3295"},{"id":17,"name":"Train ID","value":"201-18"},{"id":16,"name":"Locomotive ID","value":"4062"},{"id":130,"name":"Impact","value":""},{"id":150,"name":"Time of Event (Mountain Time)","value":"16:50:43"},{"id":151,"name":"Denver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8"/>
        <v>start /low /b %USERPROFILE%\Documents\GitHub\eaglep3\Utilities\DownloadLogsFromS3.py --loco 4062 --day 2017-10-18</v>
      </c>
      <c r="AN113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22:50:43"},{"id":29,"name":"Sharepoint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20"/>
        <v>https://d0f6bd738d7f1b3e5a7ca70fe4ff75f0.us-east-1.aws.found.io/app/kibana#/discover/Steve-Slow-Train-Analysis-(2080s-and-2083s)?_g=(refreshInterval:(display:Off,pause:!f,section:0,value:0),time:(from:'2017-10-18T15:10:43-0600',mode:absolute,to:'2017-10-18T17:50:43-0600'))&amp;_a=(columns:!('Message%20ID',Summary),filters:!(),index:'emp_*',interval:auto,query:(query_string:(analyze_wildcard:!t,query:'%22rtdc.l.rtdc.4062%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754</v>
      </c>
      <c r="B114" s="7">
        <v>4061</v>
      </c>
      <c r="C114" s="21" t="s">
        <v>194</v>
      </c>
      <c r="D114" s="21" t="s">
        <v>525</v>
      </c>
      <c r="E114" s="13">
        <v>43026.710312499999</v>
      </c>
      <c r="F114" s="13">
        <v>43026.716956018521</v>
      </c>
      <c r="G114" s="7">
        <v>63</v>
      </c>
      <c r="H114" s="21" t="s">
        <v>336</v>
      </c>
      <c r="I114" s="13">
        <v>43026.747291666667</v>
      </c>
      <c r="J114" s="7">
        <v>0</v>
      </c>
      <c r="K114" s="89" t="str">
        <f>IF(ISEVEN(B114),(B114-1)&amp;"/"&amp;B114,B114&amp;"/"&amp;(B114+1))</f>
        <v>4061/4062</v>
      </c>
      <c r="L114" s="185" t="str">
        <f>VLOOKUP(A114,'Trips&amp;Operators'!$C$1:$G$99911,5,FALSE)</f>
        <v>HOLCOMB KAMDEN</v>
      </c>
      <c r="M114" s="6">
        <f>I114-F114</f>
        <v>3.0335648145410232E-2</v>
      </c>
      <c r="N114" s="7">
        <f>24*60*SUM($M114:$M114)</f>
        <v>43.683333329390734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-18T16:02:51-0600',mode:absolute,to:'2017-10-18T18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4" s="204" t="str">
        <f>IF(AA114&lt;VLOOKUP(AG114,Variables!$AC$3:$AD$8,2,FALSE),"Y","N")</f>
        <v>N</v>
      </c>
      <c r="X114" s="204">
        <f t="shared" si="26"/>
        <v>1</v>
      </c>
      <c r="Y114" s="204">
        <f>RIGHT(D114,LEN(D114)-4)/10000</f>
        <v>23.299299999999999</v>
      </c>
      <c r="Z114" s="204">
        <f>RIGHT(H114,LEN(H114)-4)/10000</f>
        <v>1.49E-2</v>
      </c>
      <c r="AA114" s="204">
        <f>ABS(Z114-Y114)</f>
        <v>23.284399999999998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>VALUE(LEFT(A114,LEN(A114)-3))</f>
        <v>202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s3://rtdc.mdm.uploadarchive.raw/RTDC4061/ "%USERPROFILE%\AppData\Local\Temp\OnboardLogs"\RTDC4061\2017-10-18 --exclude "*" --recursive --include "*20171018*" &amp; "%USERPROFILE%\Documents\GitHub\mrs-test-scripts\Headless Mode &amp; Sideloading\WalkAndUnGZ.bat" "%USERPROFILE%\AppData\Local\Temp\OnboardLogs"\RTDC4061\2017-10-18 &amp; aws s3 cp s3://rtdc.mdm.uploadarchive.raw/RTDC4061/ "%USERPROFILE%\AppData\Local\Temp\OnboardLogs"\RTDC4061\2017-10-19 --exclude "*" --recursive --include "*20171019*" &amp; "%USERPROFILE%\Documents\GitHub\mrs-test-scripts\Headless Mode &amp; Sideloading\WalkAndUnGZ.bat" "%USERPROFILE%\AppData\Local\Temp\OnboardLogs"\RTDC4061\2017-10-19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/stypes="app*4061*20171018*" /stext=" 23:.+((SYSTEM_STATE.+slice.+state.+changed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16"/>
        <v>"%USERPROFILE%\Documents\GitHub\eaglep3\Utilities\RefineRTDCRunTimes.py" --tripid 202-18 --locoid 4061 --swversion DE.1.0.9.0 --startMP 204:232993 --initTime 2017-10-18T17:02:51 --startdatetime 2017-10-18T17:12:25 --delay 63 --endMP 204:149 --enddatetime 2017-10-18T17:56:06 --enforcementcount 0 &gt;&gt;%USERPROFILE%\Documents\GitHub\eaglep3-reporting\EC\2017-10-18-refined-times.txt</v>
      </c>
      <c r="AI114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{"issue":{"subject":"","project_id":79,"tracker_id":40,"status_id":1,"priority_id":2,"assigned_to_id":338,"start_date":"2017-10-18","description":"","custom_fields":[{"id":1,"name":"Subdivision","value":"EC"},{"id":4,"name":"Milepost","value":"0.0149"},{"id":17,"name":"Train ID","value":"202-18"},{"id":16,"name":"Locomotive ID","value":"4061"},{"id":130,"name":"Impact","value":""},{"id":150,"name":"Time of Event (Mountain Time)","value":"17:56:06"},{"id":151,"name":"Denver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18"/>
        <v>start /low /b %USERPROFILE%\Documents\GitHub\eaglep3\Utilities\DownloadLogsFromS3.py --loco 4061 --day 2017-10-18</v>
      </c>
      <c r="AN114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23:56:06"},{"id":29,"name":"Sharepoint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20"/>
        <v>https://d0f6bd738d7f1b3e5a7ca70fe4ff75f0.us-east-1.aws.found.io/app/kibana#/discover/Steve-Slow-Train-Analysis-(2080s-and-2083s)?_g=(refreshInterval:(display:Off,pause:!f,section:0,value:0),time:(from:'2017-10-18T16:02:51-0600',mode:absolute,to:'2017-10-18T18:56:06-0600'))&amp;_a=(columns:!('Message%20ID',Summary),filters:!(),index:'emp_*',interval:auto,query:(query_string:(analyze_wildcard:!t,query:'%22rtdc.l.rtdc.4061%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747</v>
      </c>
      <c r="B115" s="7">
        <v>4040</v>
      </c>
      <c r="C115" s="21" t="s">
        <v>194</v>
      </c>
      <c r="D115" s="21" t="s">
        <v>344</v>
      </c>
      <c r="E115" s="13">
        <v>43026.681562500002</v>
      </c>
      <c r="F115" s="13">
        <v>43026.687719907408</v>
      </c>
      <c r="G115" s="7">
        <v>96</v>
      </c>
      <c r="H115" s="21" t="s">
        <v>386</v>
      </c>
      <c r="I115" s="13">
        <v>43026.712430555555</v>
      </c>
      <c r="J115" s="7">
        <v>0</v>
      </c>
      <c r="K115" s="89" t="str">
        <f>IF(ISEVEN(B115),(B115-1)&amp;"/"&amp;B115,B115&amp;"/"&amp;(B115+1))</f>
        <v>4039/4040</v>
      </c>
      <c r="L115" s="185" t="str">
        <f>VLOOKUP(A115,'Trips&amp;Operators'!$C$1:$G$99911,5,FALSE)</f>
        <v>BRUDER RICHARD</v>
      </c>
      <c r="M115" s="6">
        <f>I115-F115</f>
        <v>2.47106481474475E-2</v>
      </c>
      <c r="N115" s="7">
        <f>24*60*SUM($M115:$M115)</f>
        <v>35.583333332324401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-10-18T15:21:27-0600',mode:absolute,to:'2017-10-18T18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4.5499999999999999E-2</v>
      </c>
      <c r="Z115" s="204">
        <f>RIGHT(H115,LEN(H115)-4)/10000</f>
        <v>23.3291</v>
      </c>
      <c r="AA115" s="204">
        <f>ABS(Z115-Y115)</f>
        <v>23.2836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>VALUE(LEFT(A115,LEN(A115)-3))</f>
        <v>203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s3://rtdc.mdm.uploadarchive.raw/RTDC4040/ "%USERPROFILE%\AppData\Local\Temp\OnboardLogs"\RTDC4040\2017-10-18 --exclude "*" --recursive --include "*20171018*" &amp; "%USERPROFILE%\Documents\GitHub\mrs-test-scripts\Headless Mode &amp; Sideloading\WalkAndUnGZ.bat" "%USERPROFILE%\AppData\Local\Temp\OnboardLogs"\RTDC4040\2017-10-18 &amp; aws s3 cp s3://rtdc.mdm.uploadarchive.raw/RTDC4040/ "%USERPROFILE%\AppData\Local\Temp\OnboardLogs"\RTDC4040\2017-10-19 --exclude "*" --recursive --include "*20171019*" &amp; "%USERPROFILE%\Documents\GitHub\mrs-test-scripts\Headless Mode &amp; Sideloading\WalkAndUnGZ.bat" "%USERPROFILE%\AppData\Local\Temp\OnboardLogs"\RTDC4040\2017-10-19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/stypes="app*4040*20171018*"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6"/>
        <v>"%USERPROFILE%\Documents\GitHub\eaglep3\Utilities\RefineRTDCRunTimes.py" --tripid 203-18 --locoid 4040 --swversion DE.1.0.9.0 --startMP 204:455 --initTime 2017-10-18T16:21:27 --startdatetime 2017-10-18T16:30:19 --delay 96 --endMP 204:233291 --enddatetime 2017-10-18T17:05:54 --enforcementcount 0 &gt;&gt;%USERPROFILE%\Documents\GitHub\eaglep3-reporting\EC\2017-10-18-refined-times.txt</v>
      </c>
      <c r="AI115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{"issue":{"subject":"","project_id":79,"tracker_id":40,"status_id":1,"priority_id":2,"assigned_to_id":338,"start_date":"2017-10-18","description":"","custom_fields":[{"id":1,"name":"Subdivision","value":"EC"},{"id":4,"name":"Milepost","value":"23.3291"},{"id":17,"name":"Train ID","value":"203-18"},{"id":16,"name":"Locomotive ID","value":"4040"},{"id":130,"name":"Impact","value":""},{"id":150,"name":"Time of Event (Mountain Time)","value":"17:05:54"},{"id":151,"name":"Denver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8"/>
        <v>start /low /b %USERPROFILE%\Documents\GitHub\eaglep3\Utilities\DownloadLogsFromS3.py --loco 4040 --day 2017-10-18</v>
      </c>
      <c r="AN115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23:05:54"},{"id":29,"name":"Sharepoint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20"/>
        <v>https://d0f6bd738d7f1b3e5a7ca70fe4ff75f0.us-east-1.aws.found.io/app/kibana#/discover/Steve-Slow-Train-Analysis-(2080s-and-2083s)?_g=(refreshInterval:(display:Off,pause:!f,section:0,value:0),time:(from:'2017-10-18T15:21:27-0600',mode:absolute,to:'2017-10-18T18:05:54-0600'))&amp;_a=(columns:!('Message%20ID',Summary),filters:!(),index:'emp_*',interval:auto,query:(query_string:(analyze_wildcard:!t,query:'%22rtdc.l.rtdc.4040%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757</v>
      </c>
      <c r="B116" s="7">
        <v>4039</v>
      </c>
      <c r="C116" s="21" t="s">
        <v>194</v>
      </c>
      <c r="D116" s="21" t="s">
        <v>837</v>
      </c>
      <c r="E116" s="13">
        <v>43026.72383101852</v>
      </c>
      <c r="F116" s="13">
        <v>43026.727256944447</v>
      </c>
      <c r="G116" s="7">
        <v>63</v>
      </c>
      <c r="H116" s="21" t="s">
        <v>393</v>
      </c>
      <c r="I116" s="13">
        <v>43026.755173611113</v>
      </c>
      <c r="J116" s="7">
        <v>0</v>
      </c>
      <c r="K116" s="89" t="str">
        <f>IF(ISEVEN(B116),(B116-1)&amp;"/"&amp;B116,B116&amp;"/"&amp;(B116+1))</f>
        <v>4039/4040</v>
      </c>
      <c r="L116" s="185" t="str">
        <f>VLOOKUP(A116,'Trips&amp;Operators'!$C$1:$G$99911,5,FALSE)</f>
        <v>BRUDER RICHARD</v>
      </c>
      <c r="M116" s="6">
        <f>I116-F116</f>
        <v>2.7916666665987577E-2</v>
      </c>
      <c r="N116" s="7">
        <f>24*60*SUM($M116:$M116)</f>
        <v>40.199999999022111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-10-18T16:22:19-0600',mode:absolute,to:'2017-10-18T19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23.298400000000001</v>
      </c>
      <c r="Z116" s="204">
        <f>RIGHT(H116,LEN(H116)-4)/10000</f>
        <v>1.6E-2</v>
      </c>
      <c r="AA116" s="204">
        <f>ABS(Z116-Y116)</f>
        <v>23.282400000000003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>VALUE(LEFT(A116,LEN(A116)-3))</f>
        <v>204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s3://rtdc.mdm.uploadarchive.raw/RTDC4039/ "%USERPROFILE%\AppData\Local\Temp\OnboardLogs"\RTDC4039\2017-10-18 --exclude "*" --recursive --include "*20171018*" &amp; "%USERPROFILE%\Documents\GitHub\mrs-test-scripts\Headless Mode &amp; Sideloading\WalkAndUnGZ.bat" "%USERPROFILE%\AppData\Local\Temp\OnboardLogs"\RTDC4039\2017-10-18 &amp; aws s3 cp s3://rtdc.mdm.uploadarchive.raw/RTDC4039/ "%USERPROFILE%\AppData\Local\Temp\OnboardLogs"\RTDC4039\2017-10-19 --exclude "*" --recursive --include "*20171019*" &amp; "%USERPROFILE%\Documents\GitHub\mrs-test-scripts\Headless Mode &amp; Sideloading\WalkAndUnGZ.bat" "%USERPROFILE%\AppData\Local\Temp\OnboardLogs"\RTDC4039\2017-10-19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/stypes="app*4039*20171019*" /stext=" 00:.+((SYSTEM_STATE.+slice.+state.+changed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6"/>
        <v>"%USERPROFILE%\Documents\GitHub\eaglep3\Utilities\RefineRTDCRunTimes.py" --tripid 204-18 --locoid 4039 --swversion DE.1.0.9.0 --startMP 204:232984 --initTime 2017-10-18T17:22:19 --startdatetime 2017-10-18T17:27:15 --delay 63 --endMP 204:160 --enddatetime 2017-10-18T18:07:27 --enforcementcount 0 &gt;&gt;%USERPROFILE%\Documents\GitHub\eaglep3-reporting\EC\2017-10-18-refined-times.txt</v>
      </c>
      <c r="AI116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{"issue":{"subject":"","project_id":79,"tracker_id":40,"status_id":1,"priority_id":2,"assigned_to_id":338,"start_date":"2017-10-18","description":"","custom_fields":[{"id":1,"name":"Subdivision","value":"EC"},{"id":4,"name":"Milepost","value":"0.016"},{"id":17,"name":"Train ID","value":"204-18"},{"id":16,"name":"Locomotive ID","value":"4039"},{"id":130,"name":"Impact","value":""},{"id":150,"name":"Time of Event (Mountain Time)","value":"18:07:27"},{"id":151,"name":"Denver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8"/>
        <v>start /low /b %USERPROFILE%\Documents\GitHub\eaglep3\Utilities\DownloadLogsFromS3.py --loco 4039 --day 2017-10-18</v>
      </c>
      <c r="AN116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00:07:27"},{"id":29,"name":"Sharepoint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20"/>
        <v>https://d0f6bd738d7f1b3e5a7ca70fe4ff75f0.us-east-1.aws.found.io/app/kibana#/discover/Steve-Slow-Train-Analysis-(2080s-and-2083s)?_g=(refreshInterval:(display:Off,pause:!f,section:0,value:0),time:(from:'2017-10-18T16:22:19-0600',mode:absolute,to:'2017-10-18T19:07:27-0600'))&amp;_a=(columns:!('Message%20ID',Summary),filters:!(),index:'emp_*',interval:auto,query:(query_string:(analyze_wildcard:!t,query:'%22rtdc.l.rtdc.4039%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749</v>
      </c>
      <c r="B117" s="7">
        <v>4002</v>
      </c>
      <c r="C117" s="21" t="s">
        <v>194</v>
      </c>
      <c r="D117" s="21" t="s">
        <v>362</v>
      </c>
      <c r="E117" s="13">
        <v>43026.693240740744</v>
      </c>
      <c r="F117" s="13">
        <v>43026.698194444441</v>
      </c>
      <c r="G117" s="7">
        <v>63</v>
      </c>
      <c r="H117" s="21" t="s">
        <v>841</v>
      </c>
      <c r="I117" s="13">
        <v>43026.723171296297</v>
      </c>
      <c r="J117" s="7">
        <v>0</v>
      </c>
      <c r="K117" s="89" t="str">
        <f>IF(ISEVEN(B117),(B117-1)&amp;"/"&amp;B117,B117&amp;"/"&amp;(B117+1))</f>
        <v>4001/4002</v>
      </c>
      <c r="L117" s="185" t="str">
        <f>VLOOKUP(A117,'Trips&amp;Operators'!$C$1:$G$99911,5,FALSE)</f>
        <v>STEWART MICHAEL</v>
      </c>
      <c r="M117" s="6">
        <f>I117-F117</f>
        <v>2.4976851855171844E-2</v>
      </c>
      <c r="N117" s="7">
        <f>24*60*SUM($M117:$M117)</f>
        <v>35.966666671447456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-10-18T15:38:16-0600',mode:absolute,to:'2017-10-18T18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4.5999999999999999E-2</v>
      </c>
      <c r="Z117" s="204">
        <f>RIGHT(H117,LEN(H117)-4)/10000</f>
        <v>23.3308</v>
      </c>
      <c r="AA117" s="204">
        <f>ABS(Z117-Y117)</f>
        <v>23.284800000000001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>VALUE(LEFT(A117,LEN(A117)-3))</f>
        <v>205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s3://rtdc.mdm.uploadarchive.raw/RTDC4002/ "%USERPROFILE%\AppData\Local\Temp\OnboardLogs"\RTDC4002\2017-10-18 --exclude "*" --recursive --include "*20171018*" &amp; "%USERPROFILE%\Documents\GitHub\mrs-test-scripts\Headless Mode &amp; Sideloading\WalkAndUnGZ.bat" "%USERPROFILE%\AppData\Local\Temp\OnboardLogs"\RTDC4002\2017-10-18 &amp; aws s3 cp s3://rtdc.mdm.uploadarchive.raw/RTDC4002/ "%USERPROFILE%\AppData\Local\Temp\OnboardLogs"\RTDC4002\2017-10-19 --exclude "*" --recursive --include "*20171019*" &amp; "%USERPROFILE%\Documents\GitHub\mrs-test-scripts\Headless Mode &amp; Sideloading\WalkAndUnGZ.bat" "%USERPROFILE%\AppData\Local\Temp\OnboardLogs"\RTDC4002\2017-10-19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/stypes="app*4002*20171018*" /stext=" 23:.+((SYSTEM_STATE.+slice.+state.+changed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16"/>
        <v>"%USERPROFILE%\Documents\GitHub\eaglep3\Utilities\RefineRTDCRunTimes.py" --tripid 205-18 --locoid 4002 --swversion DE.1.0.9.0 --startMP 204:460 --initTime 2017-10-18T16:38:16 --startdatetime 2017-10-18T16:45:24 --delay 63 --endMP 204:233308 --enddatetime 2017-10-18T17:21:22 --enforcementcount 0 &gt;&gt;%USERPROFILE%\Documents\GitHub\eaglep3-reporting\EC\2017-10-18-refined-times.txt</v>
      </c>
      <c r="AI117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{"issue":{"subject":"","project_id":79,"tracker_id":40,"status_id":1,"priority_id":2,"assigned_to_id":338,"start_date":"2017-10-18","description":"","custom_fields":[{"id":1,"name":"Subdivision","value":"EC"},{"id":4,"name":"Milepost","value":"23.3308"},{"id":17,"name":"Train ID","value":"205-18"},{"id":16,"name":"Locomotive ID","value":"4002"},{"id":130,"name":"Impact","value":""},{"id":150,"name":"Time of Event (Mountain Time)","value":"17:21:22"},{"id":151,"name":"Denver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8"/>
        <v>start /low /b %USERPROFILE%\Documents\GitHub\eaglep3\Utilities\DownloadLogsFromS3.py --loco 4002 --day 2017-10-18</v>
      </c>
      <c r="AN117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23:21:22"},{"id":29,"name":"Sharepoint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20"/>
        <v>https://d0f6bd738d7f1b3e5a7ca70fe4ff75f0.us-east-1.aws.found.io/app/kibana#/discover/Steve-Slow-Train-Analysis-(2080s-and-2083s)?_g=(refreshInterval:(display:Off,pause:!f,section:0,value:0),time:(from:'2017-10-18T15:38:16-0600',mode:absolute,to:'2017-10-18T18:21:22-0600'))&amp;_a=(columns:!('Message%20ID',Summary),filters:!(),index:'emp_*',interval:auto,query:(query_string:(analyze_wildcard:!t,query:'%22rtdc.l.rtdc.4002%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762</v>
      </c>
      <c r="B118" s="7">
        <v>4001</v>
      </c>
      <c r="C118" s="21" t="s">
        <v>194</v>
      </c>
      <c r="D118" s="21" t="s">
        <v>846</v>
      </c>
      <c r="E118" s="13">
        <v>43026.734571759262</v>
      </c>
      <c r="F118" s="13">
        <v>43026.73777777778</v>
      </c>
      <c r="G118" s="7">
        <v>113</v>
      </c>
      <c r="H118" s="21" t="s">
        <v>854</v>
      </c>
      <c r="I118" s="13">
        <v>43026.768148148149</v>
      </c>
      <c r="J118" s="7">
        <v>0</v>
      </c>
      <c r="K118" s="89" t="str">
        <f>IF(ISEVEN(B118),(B118-1)&amp;"/"&amp;B118,B118&amp;"/"&amp;(B118+1))</f>
        <v>4001/4002</v>
      </c>
      <c r="L118" s="185" t="str">
        <f>VLOOKUP(A118,'Trips&amp;Operators'!$C$1:$G$99911,5,FALSE)</f>
        <v>STEWART MICHAEL</v>
      </c>
      <c r="M118" s="6">
        <f>I118-F118</f>
        <v>3.0370370368473232E-2</v>
      </c>
      <c r="N118" s="7">
        <f>24*60*SUM($M118:$M118)</f>
        <v>43.733333330601454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-18T16:37:47-0600',mode:absolute,to:'2017-10-18T19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23.298100000000002</v>
      </c>
      <c r="Z118" s="204">
        <f>RIGHT(H118,LEN(H118)-4)/10000</f>
        <v>1.2500000000000001E-2</v>
      </c>
      <c r="AA118" s="204">
        <f>ABS(Z118-Y118)</f>
        <v>23.285600000000002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>VALUE(LEFT(A118,LEN(A118)-3))</f>
        <v>206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s3://rtdc.mdm.uploadarchive.raw/RTDC4001/ "%USERPROFILE%\AppData\Local\Temp\OnboardLogs"\RTDC4001\2017-10-18 --exclude "*" --recursive --include "*20171018*" &amp; "%USERPROFILE%\Documents\GitHub\mrs-test-scripts\Headless Mode &amp; Sideloading\WalkAndUnGZ.bat" "%USERPROFILE%\AppData\Local\Temp\OnboardLogs"\RTDC4001\2017-10-18 &amp; aws s3 cp s3://rtdc.mdm.uploadarchive.raw/RTDC4001/ "%USERPROFILE%\AppData\Local\Temp\OnboardLogs"\RTDC4001\2017-10-19 --exclude "*" --recursive --include "*20171019*" &amp; "%USERPROFILE%\Documents\GitHub\mrs-test-scripts\Headless Mode &amp; Sideloading\WalkAndUnGZ.bat" "%USERPROFILE%\AppData\Local\Temp\OnboardLogs"\RTDC4001\2017-10-19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/stypes="app*4001*20171019*" /stext=" 00:.+((SYSTEM_STATE.+slice.+state.+changed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16"/>
        <v>"%USERPROFILE%\Documents\GitHub\eaglep3\Utilities\RefineRTDCRunTimes.py" --tripid 206-18 --locoid 4001 --swversion DE.1.0.9.0 --startMP 204:232981 --initTime 2017-10-18T17:37:47 --startdatetime 2017-10-18T17:42:24 --delay 113 --endMP 204:125 --enddatetime 2017-10-18T18:26:08 --enforcementcount 0 &gt;&gt;%USERPROFILE%\Documents\GitHub\eaglep3-reporting\EC\2017-10-18-refined-times.txt</v>
      </c>
      <c r="AI118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{"issue":{"subject":"","project_id":79,"tracker_id":40,"status_id":1,"priority_id":2,"assigned_to_id":338,"start_date":"2017-10-18","description":"","custom_fields":[{"id":1,"name":"Subdivision","value":"EC"},{"id":4,"name":"Milepost","value":"0.0125"},{"id":17,"name":"Train ID","value":"206-18"},{"id":16,"name":"Locomotive ID","value":"4001"},{"id":130,"name":"Impact","value":""},{"id":150,"name":"Time of Event (Mountain Time)","value":"18:26:08"},{"id":151,"name":"Denver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18"/>
        <v>start /low /b %USERPROFILE%\Documents\GitHub\eaglep3\Utilities\DownloadLogsFromS3.py --loco 4001 --day 2017-10-18</v>
      </c>
      <c r="AN118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00:26:08"},{"id":29,"name":"Sharepoint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20"/>
        <v>https://d0f6bd738d7f1b3e5a7ca70fe4ff75f0.us-east-1.aws.found.io/app/kibana#/discover/Steve-Slow-Train-Analysis-(2080s-and-2083s)?_g=(refreshInterval:(display:Off,pause:!f,section:0,value:0),time:(from:'2017-10-18T16:37:47-0600',mode:absolute,to:'2017-10-18T19:26:08-0600'))&amp;_a=(columns:!('Message%20ID',Summary),filters:!(),index:'emp_*',interval:auto,query:(query_string:(analyze_wildcard:!t,query:'%22rtdc.l.rtdc.4001%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752</v>
      </c>
      <c r="B119" s="7">
        <v>4064</v>
      </c>
      <c r="C119" s="21" t="s">
        <v>194</v>
      </c>
      <c r="D119" s="21" t="s">
        <v>372</v>
      </c>
      <c r="E119" s="13">
        <v>43026.703275462962</v>
      </c>
      <c r="F119" s="13">
        <v>43026.708495370367</v>
      </c>
      <c r="G119" s="7">
        <v>61</v>
      </c>
      <c r="H119" s="21" t="s">
        <v>524</v>
      </c>
      <c r="I119" s="13">
        <v>43026.733854166669</v>
      </c>
      <c r="J119" s="7">
        <v>0</v>
      </c>
      <c r="K119" s="89" t="str">
        <f>IF(ISEVEN(B119),(B119-1)&amp;"/"&amp;B119,B119&amp;"/"&amp;(B119+1))</f>
        <v>4063/4064</v>
      </c>
      <c r="L119" s="185" t="str">
        <f>VLOOKUP(A119,'Trips&amp;Operators'!$C$1:$G$99911,5,FALSE)</f>
        <v>GUZMAN DANNY</v>
      </c>
      <c r="M119" s="6">
        <f>I119-F119</f>
        <v>2.5358796301588882E-2</v>
      </c>
      <c r="N119" s="7">
        <f>24*60*SUM($M119:$M119)</f>
        <v>36.51666667428799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-10-18T15:52:43-0600',mode:absolute,to:'2017-10-18T18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4.4699999999999997E-2</v>
      </c>
      <c r="Z119" s="204">
        <f>RIGHT(H119,LEN(H119)-4)/10000</f>
        <v>23.328600000000002</v>
      </c>
      <c r="AA119" s="204">
        <f>ABS(Z119-Y119)</f>
        <v>23.283900000000003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>VALUE(LEFT(A119,LEN(A119)-3))</f>
        <v>207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s3://rtdc.mdm.uploadarchive.raw/RTDC4064/ "%USERPROFILE%\AppData\Local\Temp\OnboardLogs"\RTDC4064\2017-10-18 --exclude "*" --recursive --include "*20171018*" &amp; "%USERPROFILE%\Documents\GitHub\mrs-test-scripts\Headless Mode &amp; Sideloading\WalkAndUnGZ.bat" "%USERPROFILE%\AppData\Local\Temp\OnboardLogs"\RTDC4064\2017-10-18 &amp; aws s3 cp s3://rtdc.mdm.uploadarchive.raw/RTDC4064/ "%USERPROFILE%\AppData\Local\Temp\OnboardLogs"\RTDC4064\2017-10-19 --exclude "*" --recursive --include "*20171019*" &amp; "%USERPROFILE%\Documents\GitHub\mrs-test-scripts\Headless Mode &amp; Sideloading\WalkAndUnGZ.bat" "%USERPROFILE%\AppData\Local\Temp\OnboardLogs"\RTDC4064\2017-10-19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/stypes="app*4064*20171018*" /stext=" 23:.+((SYSTEM_STATE.+slice.+state.+changed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6"/>
        <v>"%USERPROFILE%\Documents\GitHub\eaglep3\Utilities\RefineRTDCRunTimes.py" --tripid 207-18 --locoid 4064 --swversion DE.1.0.9.0 --startMP 204:447 --initTime 2017-10-18T16:52:43 --startdatetime 2017-10-18T17:00:14 --delay 61 --endMP 204:233286 --enddatetime 2017-10-18T17:36:45 --enforcementcount 0 &gt;&gt;%USERPROFILE%\Documents\GitHub\eaglep3-reporting\EC\2017-10-18-refined-times.txt</v>
      </c>
      <c r="AI119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{"issue":{"subject":"","project_id":79,"tracker_id":40,"status_id":1,"priority_id":2,"assigned_to_id":338,"start_date":"2017-10-18","description":"","custom_fields":[{"id":1,"name":"Subdivision","value":"EC"},{"id":4,"name":"Milepost","value":"23.3286"},{"id":17,"name":"Train ID","value":"207-18"},{"id":16,"name":"Locomotive ID","value":"4064"},{"id":130,"name":"Impact","value":""},{"id":150,"name":"Time of Event (Mountain Time)","value":"17:36:45"},{"id":151,"name":"Denver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8"/>
        <v>start /low /b %USERPROFILE%\Documents\GitHub\eaglep3\Utilities\DownloadLogsFromS3.py --loco 4064 --day 2017-10-18</v>
      </c>
      <c r="AN119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23:36:45"},{"id":29,"name":"Sharepoint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20"/>
        <v>https://d0f6bd738d7f1b3e5a7ca70fe4ff75f0.us-east-1.aws.found.io/app/kibana#/discover/Steve-Slow-Train-Analysis-(2080s-and-2083s)?_g=(refreshInterval:(display:Off,pause:!f,section:0,value:0),time:(from:'2017-10-18T15:52:43-0600',mode:absolute,to:'2017-10-18T18:36:45-0600'))&amp;_a=(columns:!('Message%20ID',Summary),filters:!(),index:'emp_*',interval:auto,query:(query_string:(analyze_wildcard:!t,query:'%22rtdc.l.rtdc.4064%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763</v>
      </c>
      <c r="B120" s="7">
        <v>4063</v>
      </c>
      <c r="C120" s="21" t="s">
        <v>194</v>
      </c>
      <c r="D120" s="21" t="s">
        <v>855</v>
      </c>
      <c r="E120" s="13">
        <v>43026.735648148147</v>
      </c>
      <c r="F120" s="13">
        <v>43026.748078703706</v>
      </c>
      <c r="G120" s="7">
        <v>85</v>
      </c>
      <c r="H120" s="21" t="s">
        <v>856</v>
      </c>
      <c r="I120" s="13">
        <v>43026.777037037034</v>
      </c>
      <c r="J120" s="7">
        <v>0</v>
      </c>
      <c r="K120" s="89" t="str">
        <f>IF(ISEVEN(B120),(B120-1)&amp;"/"&amp;B120,B120&amp;"/"&amp;(B120+1))</f>
        <v>4063/4064</v>
      </c>
      <c r="L120" s="185" t="str">
        <f>VLOOKUP(A120,'Trips&amp;Operators'!$C$1:$G$99911,5,FALSE)</f>
        <v>GUZMAN DANNY</v>
      </c>
      <c r="M120" s="6">
        <f>I120-F120</f>
        <v>2.8958333328773733E-2</v>
      </c>
      <c r="N120" s="7">
        <f>24*60*SUM($M120:$M120)</f>
        <v>41.699999993434176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-10-18T16:39:20-0600',mode:absolute,to:'2017-10-18T19:38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23.296099999999999</v>
      </c>
      <c r="Z120" s="204">
        <f>RIGHT(H120,LEN(H120)-4)/10000</f>
        <v>1.7000000000000001E-2</v>
      </c>
      <c r="AA120" s="204">
        <f>ABS(Z120-Y120)</f>
        <v>23.2791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>VALUE(LEFT(A120,LEN(A120)-3))</f>
        <v>208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s3://rtdc.mdm.uploadarchive.raw/RTDC4063/ "%USERPROFILE%\AppData\Local\Temp\OnboardLogs"\RTDC4063\2017-10-18 --exclude "*" --recursive --include "*20171018*" &amp; "%USERPROFILE%\Documents\GitHub\mrs-test-scripts\Headless Mode &amp; Sideloading\WalkAndUnGZ.bat" "%USERPROFILE%\AppData\Local\Temp\OnboardLogs"\RTDC4063\2017-10-18 &amp; aws s3 cp s3://rtdc.mdm.uploadarchive.raw/RTDC4063/ "%USERPROFILE%\AppData\Local\Temp\OnboardLogs"\RTDC4063\2017-10-19 --exclude "*" --recursive --include "*20171019*" &amp; "%USERPROFILE%\Documents\GitHub\mrs-test-scripts\Headless Mode &amp; Sideloading\WalkAndUnGZ.bat" "%USERPROFILE%\AppData\Local\Temp\OnboardLogs"\RTDC4063\2017-10-19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/stypes="app*4063*20171019*" /stext=" 00:.+((SYSTEM_STATE.+slice.+state.+changed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6"/>
        <v>"%USERPROFILE%\Documents\GitHub\eaglep3\Utilities\RefineRTDCRunTimes.py" --tripid 208-18 --locoid 4063 --swversion DE.1.0.9.0 --startMP 204:232961 --initTime 2017-10-18T17:39:20 --startdatetime 2017-10-18T17:57:14 --delay 85 --endMP 204:170 --enddatetime 2017-10-18T18:38:56 --enforcementcount 0 &gt;&gt;%USERPROFILE%\Documents\GitHub\eaglep3-reporting\EC\2017-10-18-refined-times.txt</v>
      </c>
      <c r="AI120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{"issue":{"subject":"","project_id":79,"tracker_id":40,"status_id":1,"priority_id":2,"assigned_to_id":338,"start_date":"2017-10-18","description":"","custom_fields":[{"id":1,"name":"Subdivision","value":"EC"},{"id":4,"name":"Milepost","value":"0.017"},{"id":17,"name":"Train ID","value":"208-18"},{"id":16,"name":"Locomotive ID","value":"4063"},{"id":130,"name":"Impact","value":""},{"id":150,"name":"Time of Event (Mountain Time)","value":"18:38:56"},{"id":151,"name":"Denver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8"/>
        <v>start /low /b %USERPROFILE%\Documents\GitHub\eaglep3\Utilities\DownloadLogsFromS3.py --loco 4063 --day 2017-10-18</v>
      </c>
      <c r="AN120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00:38:56"},{"id":29,"name":"Sharepoint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20"/>
        <v>https://d0f6bd738d7f1b3e5a7ca70fe4ff75f0.us-east-1.aws.found.io/app/kibana#/discover/Steve-Slow-Train-Analysis-(2080s-and-2083s)?_g=(refreshInterval:(display:Off,pause:!f,section:0,value:0),time:(from:'2017-10-18T16:39:20-0600',mode:absolute,to:'2017-10-18T19:38:56-0600'))&amp;_a=(columns:!('Message%20ID',Summary),filters:!(),index:'emp_*',interval:auto,query:(query_string:(analyze_wildcard:!t,query:'%22rtdc.l.rtdc.4063%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755</v>
      </c>
      <c r="B121" s="7">
        <v>4026</v>
      </c>
      <c r="C121" s="21" t="s">
        <v>194</v>
      </c>
      <c r="D121" s="21" t="s">
        <v>405</v>
      </c>
      <c r="E121" s="13">
        <v>43026.714849537035</v>
      </c>
      <c r="F121" s="13">
        <v>43026.719131944446</v>
      </c>
      <c r="G121" s="7">
        <v>49</v>
      </c>
      <c r="H121" s="21" t="s">
        <v>857</v>
      </c>
      <c r="I121" s="13">
        <v>43026.743807870371</v>
      </c>
      <c r="J121" s="7">
        <v>0</v>
      </c>
      <c r="K121" s="89" t="str">
        <f>IF(ISEVEN(B121),(B121-1)&amp;"/"&amp;B121,B121&amp;"/"&amp;(B121+1))</f>
        <v>4025/4026</v>
      </c>
      <c r="L121" s="185" t="str">
        <f>VLOOKUP(A121,'Trips&amp;Operators'!$C$1:$G$99911,5,FALSE)</f>
        <v>LEVIN SCOTT</v>
      </c>
      <c r="M121" s="6">
        <f>I121-F121</f>
        <v>2.4675925924384501E-2</v>
      </c>
      <c r="N121" s="7">
        <f>24*60*SUM($M121:$M121)</f>
        <v>35.533333331113681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-10-18T16:09:23-0600',mode:absolute,to:'2017-10-18T18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4.6399999999999997E-2</v>
      </c>
      <c r="Z121" s="204">
        <f>RIGHT(H121,LEN(H121)-4)/10000</f>
        <v>23.3323</v>
      </c>
      <c r="AA121" s="204">
        <f>ABS(Z121-Y121)</f>
        <v>23.285900000000002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>VALUE(LEFT(A121,LEN(A121)-3))</f>
        <v>209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s3://rtdc.mdm.uploadarchive.raw/RTDC4026/ "%USERPROFILE%\AppData\Local\Temp\OnboardLogs"\RTDC4026\2017-10-18 --exclude "*" --recursive --include "*20171018*" &amp; "%USERPROFILE%\Documents\GitHub\mrs-test-scripts\Headless Mode &amp; Sideloading\WalkAndUnGZ.bat" "%USERPROFILE%\AppData\Local\Temp\OnboardLogs"\RTDC4026\2017-10-18 &amp; aws s3 cp s3://rtdc.mdm.uploadarchive.raw/RTDC4026/ "%USERPROFILE%\AppData\Local\Temp\OnboardLogs"\RTDC4026\2017-10-19 --exclude "*" --recursive --include "*20171019*" &amp; "%USERPROFILE%\Documents\GitHub\mrs-test-scripts\Headless Mode &amp; Sideloading\WalkAndUnGZ.bat" "%USERPROFILE%\AppData\Local\Temp\OnboardLogs"\RTDC4026\2017-10-19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/stypes="app*4026*20171018*" /stext=" 23:.+((SYSTEM_STATE.+slice.+state.+changed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16"/>
        <v>"%USERPROFILE%\Documents\GitHub\eaglep3\Utilities\RefineRTDCRunTimes.py" --tripid 209-18 --locoid 4026 --swversion DE.1.0.9.0 --startMP 204:464 --initTime 2017-10-18T17:09:23 --startdatetime 2017-10-18T17:15:33 --delay 49 --endMP 204:233323 --enddatetime 2017-10-18T17:51:05 --enforcementcount 0 &gt;&gt;%USERPROFILE%\Documents\GitHub\eaglep3-reporting\EC\2017-10-18-refined-times.txt</v>
      </c>
      <c r="AI121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{"issue":{"subject":"","project_id":79,"tracker_id":40,"status_id":1,"priority_id":2,"assigned_to_id":338,"start_date":"2017-10-18","description":"","custom_fields":[{"id":1,"name":"Subdivision","value":"EC"},{"id":4,"name":"Milepost","value":"23.3323"},{"id":17,"name":"Train ID","value":"209-18"},{"id":16,"name":"Locomotive ID","value":"4026"},{"id":130,"name":"Impact","value":""},{"id":150,"name":"Time of Event (Mountain Time)","value":"17:51:05"},{"id":151,"name":"Denver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8"/>
        <v>start /low /b %USERPROFILE%\Documents\GitHub\eaglep3\Utilities\DownloadLogsFromS3.py --loco 4026 --day 2017-10-18</v>
      </c>
      <c r="AN121" s="151" t="str">
        <f t="shared" si="19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23:51:05"},{"id":29,"name":"Sharepoint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20"/>
        <v>https://d0f6bd738d7f1b3e5a7ca70fe4ff75f0.us-east-1.aws.found.io/app/kibana#/discover/Steve-Slow-Train-Analysis-(2080s-and-2083s)?_g=(refreshInterval:(display:Off,pause:!f,section:0,value:0),time:(from:'2017-10-18T16:09:23-0600',mode:absolute,to:'2017-10-18T18:51:05-0600'))&amp;_a=(columns:!('Message%20ID',Summary),filters:!(),index:'emp_*',interval:auto,query:(query_string:(analyze_wildcard:!t,query:'%22rtdc.l.rtdc.4026%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769</v>
      </c>
      <c r="B122" s="7">
        <v>4025</v>
      </c>
      <c r="C122" s="21" t="s">
        <v>194</v>
      </c>
      <c r="D122" s="21" t="s">
        <v>849</v>
      </c>
      <c r="E122" s="13">
        <v>43026.750937500001</v>
      </c>
      <c r="F122" s="13">
        <v>43026.758599537039</v>
      </c>
      <c r="G122" s="7">
        <v>79</v>
      </c>
      <c r="H122" s="21" t="s">
        <v>336</v>
      </c>
      <c r="I122" s="13">
        <v>43026.786504629628</v>
      </c>
      <c r="J122" s="7">
        <v>0</v>
      </c>
      <c r="K122" s="89" t="str">
        <f>IF(ISEVEN(B122),(B122-1)&amp;"/"&amp;B122,B122&amp;"/"&amp;(B122+1))</f>
        <v>4025/4026</v>
      </c>
      <c r="L122" s="185" t="str">
        <f>VLOOKUP(A122,'Trips&amp;Operators'!$C$1:$G$99911,5,FALSE)</f>
        <v>LEVIN SCOTT</v>
      </c>
      <c r="M122" s="6">
        <f>I122-F122</f>
        <v>2.7905092589207925E-2</v>
      </c>
      <c r="N122" s="7">
        <f>24*60*SUM($M122:$M122)</f>
        <v>40.183333328459412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-10-18T17:01:21-0600',mode:absolute,to:'2017-10-18T19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23.3</v>
      </c>
      <c r="Z122" s="204">
        <f>RIGHT(H122,LEN(H122)-4)/10000</f>
        <v>1.49E-2</v>
      </c>
      <c r="AA122" s="204">
        <f>ABS(Z122-Y122)</f>
        <v>23.2851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>VALUE(LEFT(A122,LEN(A122)-3))</f>
        <v>210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s3://rtdc.mdm.uploadarchive.raw/RTDC4025/ "%USERPROFILE%\AppData\Local\Temp\OnboardLogs"\RTDC4025\2017-10-18 --exclude "*" --recursive --include "*20171018*" &amp; "%USERPROFILE%\Documents\GitHub\mrs-test-scripts\Headless Mode &amp; Sideloading\WalkAndUnGZ.bat" "%USERPROFILE%\AppData\Local\Temp\OnboardLogs"\RTDC4025\2017-10-18 &amp; aws s3 cp s3://rtdc.mdm.uploadarchive.raw/RTDC4025/ "%USERPROFILE%\AppData\Local\Temp\OnboardLogs"\RTDC4025\2017-10-19 --exclude "*" --recursive --include "*20171019*" &amp; "%USERPROFILE%\Documents\GitHub\mrs-test-scripts\Headless Mode &amp; Sideloading\WalkAndUnGZ.bat" "%USERPROFILE%\AppData\Local\Temp\OnboardLogs"\RTDC4025\2017-10-19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/stypes="app*4025*20171019*" /stext=" 00:.+((SYSTEM_STATE.+slice.+state.+changed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6"/>
        <v>"%USERPROFILE%\Documents\GitHub\eaglep3\Utilities\RefineRTDCRunTimes.py" --tripid 210-18 --locoid 4025 --swversion DE.1.0.9.0 --startMP 204:233000 --initTime 2017-10-18T18:01:21 --startdatetime 2017-10-18T18:12:23 --delay 79 --endMP 204:149 --enddatetime 2017-10-18T18:52:34 --enforcementcount 0 &gt;&gt;%USERPROFILE%\Documents\GitHub\eaglep3-reporting\EC\2017-10-18-refined-times.txt</v>
      </c>
      <c r="AI122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{"issue":{"subject":"","project_id":79,"tracker_id":40,"status_id":1,"priority_id":2,"assigned_to_id":338,"start_date":"2017-10-18","description":"","custom_fields":[{"id":1,"name":"Subdivision","value":"EC"},{"id":4,"name":"Milepost","value":"0.0149"},{"id":17,"name":"Train ID","value":"210-18"},{"id":16,"name":"Locomotive ID","value":"4025"},{"id":130,"name":"Impact","value":""},{"id":150,"name":"Time of Event (Mountain Time)","value":"18:52:34"},{"id":151,"name":"Denver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8"/>
        <v>start /low /b %USERPROFILE%\Documents\GitHub\eaglep3\Utilities\DownloadLogsFromS3.py --loco 4025 --day 2017-10-18</v>
      </c>
      <c r="AN122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00:52:34"},{"id":29,"name":"Sharepoint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20"/>
        <v>https://d0f6bd738d7f1b3e5a7ca70fe4ff75f0.us-east-1.aws.found.io/app/kibana#/discover/Steve-Slow-Train-Analysis-(2080s-and-2083s)?_g=(refreshInterval:(display:Off,pause:!f,section:0,value:0),time:(from:'2017-10-18T17:01:21-0600',mode:absolute,to:'2017-10-18T19:52:34-0600'))&amp;_a=(columns:!('Message%20ID',Summary),filters:!(),index:'emp_*',interval:auto,query:(query_string:(analyze_wildcard:!t,query:'%22rtdc.l.rtdc.4025%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756</v>
      </c>
      <c r="B123" s="7">
        <v>4060</v>
      </c>
      <c r="C123" s="21" t="s">
        <v>194</v>
      </c>
      <c r="D123" s="21" t="s">
        <v>344</v>
      </c>
      <c r="E123" s="13">
        <v>43026.724050925928</v>
      </c>
      <c r="F123" s="13">
        <v>43026.729398148149</v>
      </c>
      <c r="G123" s="7">
        <v>93</v>
      </c>
      <c r="H123" s="21" t="s">
        <v>848</v>
      </c>
      <c r="I123" s="13">
        <v>43026.760925925926</v>
      </c>
      <c r="J123" s="7">
        <v>0</v>
      </c>
      <c r="K123" s="89" t="str">
        <f>IF(ISEVEN(B123),(B123-1)&amp;"/"&amp;B123,B123&amp;"/"&amp;(B123+1))</f>
        <v>4059/4060</v>
      </c>
      <c r="L123" s="185" t="str">
        <f>VLOOKUP(A123,'Trips&amp;Operators'!$C$1:$G$99911,5,FALSE)</f>
        <v>BERLING GARY</v>
      </c>
      <c r="M123" s="6">
        <f>I123-F123</f>
        <v>3.1527777777228039E-2</v>
      </c>
      <c r="N123" s="7">
        <f>24*60*SUM($M123:$M123)</f>
        <v>45.399999999208376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-10-18T16:22:38-0600',mode:absolute,to:'2017-10-18T19:15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4.5499999999999999E-2</v>
      </c>
      <c r="Z123" s="204">
        <f>RIGHT(H123,LEN(H123)-4)/10000</f>
        <v>23.332999999999998</v>
      </c>
      <c r="AA123" s="204">
        <f>ABS(Z123-Y123)</f>
        <v>23.287499999999998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>VALUE(LEFT(A123,LEN(A123)-3))</f>
        <v>211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s3://rtdc.mdm.uploadarchive.raw/RTDC4060/ "%USERPROFILE%\AppData\Local\Temp\OnboardLogs"\RTDC4060\2017-10-18 --exclude "*" --recursive --include "*20171018*" &amp; "%USERPROFILE%\Documents\GitHub\mrs-test-scripts\Headless Mode &amp; Sideloading\WalkAndUnGZ.bat" "%USERPROFILE%\AppData\Local\Temp\OnboardLogs"\RTDC4060\2017-10-18 &amp; aws s3 cp s3://rtdc.mdm.uploadarchive.raw/RTDC4060/ "%USERPROFILE%\AppData\Local\Temp\OnboardLogs"\RTDC4060\2017-10-19 --exclude "*" --recursive --include "*20171019*" &amp; "%USERPROFILE%\Documents\GitHub\mrs-test-scripts\Headless Mode &amp; Sideloading\WalkAndUnGZ.bat" "%USERPROFILE%\AppData\Local\Temp\OnboardLogs"\RTDC4060\2017-10-19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/stypes="app*4060*20171019*"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6"/>
        <v>"%USERPROFILE%\Documents\GitHub\eaglep3\Utilities\RefineRTDCRunTimes.py" --tripid 211-18 --locoid 4060 --swversion DE.1.0.9.0 --startMP 204:455 --initTime 2017-10-18T17:22:38 --startdatetime 2017-10-18T17:30:20 --delay 93 --endMP 204:233330 --enddatetime 2017-10-18T18:15:44 --enforcementcount 0 &gt;&gt;%USERPROFILE%\Documents\GitHub\eaglep3-reporting\EC\2017-10-18-refined-times.txt</v>
      </c>
      <c r="AI123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{"issue":{"subject":"","project_id":79,"tracker_id":40,"status_id":1,"priority_id":2,"assigned_to_id":338,"start_date":"2017-10-18","description":"","custom_fields":[{"id":1,"name":"Subdivision","value":"EC"},{"id":4,"name":"Milepost","value":"23.333"},{"id":17,"name":"Train ID","value":"211-18"},{"id":16,"name":"Locomotive ID","value":"4060"},{"id":130,"name":"Impact","value":""},{"id":150,"name":"Time of Event (Mountain Time)","value":"18:15:44"},{"id":151,"name":"Denver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8"/>
        <v>start /low /b %USERPROFILE%\Documents\GitHub\eaglep3\Utilities\DownloadLogsFromS3.py --loco 4060 --day 2017-10-18</v>
      </c>
      <c r="AN123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00:15:44"},{"id":29,"name":"Sharepoint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20"/>
        <v>https://d0f6bd738d7f1b3e5a7ca70fe4ff75f0.us-east-1.aws.found.io/app/kibana#/discover/Steve-Slow-Train-Analysis-(2080s-and-2083s)?_g=(refreshInterval:(display:Off,pause:!f,section:0,value:0),time:(from:'2017-10-18T16:22:38-0600',mode:absolute,to:'2017-10-18T19:15:44-0600'))&amp;_a=(columns:!('Message%20ID',Summary),filters:!(),index:'emp_*',interval:auto,query:(query_string:(analyze_wildcard:!t,query:'%22rtdc.l.rtdc.4060%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589</v>
      </c>
      <c r="B124" s="7">
        <v>4059</v>
      </c>
      <c r="C124" s="21" t="s">
        <v>194</v>
      </c>
      <c r="D124" s="21" t="s">
        <v>483</v>
      </c>
      <c r="E124" s="13">
        <v>43026.766655092593</v>
      </c>
      <c r="F124" s="13">
        <v>43026.768958333334</v>
      </c>
      <c r="G124" s="7">
        <v>106</v>
      </c>
      <c r="H124" s="21" t="s">
        <v>858</v>
      </c>
      <c r="I124" s="13">
        <v>43026.795590277776</v>
      </c>
      <c r="J124" s="7">
        <v>0</v>
      </c>
      <c r="K124" s="89" t="str">
        <f>IF(ISEVEN(B124),(B124-1)&amp;"/"&amp;B124,B124&amp;"/"&amp;(B124+1))</f>
        <v>4059/4060</v>
      </c>
      <c r="L124" s="185" t="str">
        <f>VLOOKUP(A124,'Trips&amp;Operators'!$C$1:$G$99911,5,FALSE)</f>
        <v>ZEWDU DEREJE</v>
      </c>
      <c r="M124" s="6">
        <f>I124-F124</f>
        <v>2.6631944441760425E-2</v>
      </c>
      <c r="N124" s="7">
        <f>24*60*SUM($M124:$M124)</f>
        <v>38.349999996135011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-10-18T17:23:59-0600',mode:absolute,to:'2017-10-18T20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23.299199999999999</v>
      </c>
      <c r="Z124" s="204">
        <f>RIGHT(H124,LEN(H124)-4)/10000</f>
        <v>0.14030000000000001</v>
      </c>
      <c r="AA124" s="204">
        <f>ABS(Z124-Y124)</f>
        <v>23.158899999999999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>VALUE(LEFT(A124,LEN(A124)-3))</f>
        <v>212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s3://rtdc.mdm.uploadarchive.raw/RTDC4059/ "%USERPROFILE%\AppData\Local\Temp\OnboardLogs"\RTDC4059\2017-10-18 --exclude "*" --recursive --include "*20171018*" &amp; "%USERPROFILE%\Documents\GitHub\mrs-test-scripts\Headless Mode &amp; Sideloading\WalkAndUnGZ.bat" "%USERPROFILE%\AppData\Local\Temp\OnboardLogs"\RTDC4059\2017-10-18 &amp; aws s3 cp s3://rtdc.mdm.uploadarchive.raw/RTDC4059/ "%USERPROFILE%\AppData\Local\Temp\OnboardLogs"\RTDC4059\2017-10-19 --exclude "*" --recursive --include "*20171019*" &amp; "%USERPROFILE%\Documents\GitHub\mrs-test-scripts\Headless Mode &amp; Sideloading\WalkAndUnGZ.bat" "%USERPROFILE%\AppData\Local\Temp\OnboardLogs"\RTDC4059\2017-10-19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/stypes="app*4059*20171019*" /stext=" 01:.+((SYSTEM_STATE.+slice.+state.+changed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16"/>
        <v>"%USERPROFILE%\Documents\GitHub\eaglep3\Utilities\RefineRTDCRunTimes.py" --tripid 212-18 --locoid 4059 --swversion DE.1.0.9.0 --startMP 204:232992 --initTime 2017-10-18T18:23:59 --startdatetime 2017-10-18T18:27:18 --delay 106 --endMP 204:1403 --enddatetime 2017-10-18T19:05:39 --enforcementcount 0 &gt;&gt;%USERPROFILE%\Documents\GitHub\eaglep3-reporting\EC\2017-10-18-refined-times.txt</v>
      </c>
      <c r="AI124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{"issue":{"subject":"","project_id":79,"tracker_id":40,"status_id":1,"priority_id":2,"assigned_to_id":338,"start_date":"2017-10-18","description":"","custom_fields":[{"id":1,"name":"Subdivision","value":"EC"},{"id":4,"name":"Milepost","value":"0.1403"},{"id":17,"name":"Train ID","value":"212-18"},{"id":16,"name":"Locomotive ID","value":"4059"},{"id":130,"name":"Impact","value":""},{"id":150,"name":"Time of Event (Mountain Time)","value":"19:05:39"},{"id":151,"name":"Denver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18"/>
        <v>start /low /b %USERPROFILE%\Documents\GitHub\eaglep3\Utilities\DownloadLogsFromS3.py --loco 4059 --day 2017-10-18</v>
      </c>
      <c r="AN124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01:05:39"},{"id":29,"name":"Sharepoint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20"/>
        <v>https://d0f6bd738d7f1b3e5a7ca70fe4ff75f0.us-east-1.aws.found.io/app/kibana#/discover/Steve-Slow-Train-Analysis-(2080s-and-2083s)?_g=(refreshInterval:(display:Off,pause:!f,section:0,value:0),time:(from:'2017-10-18T17:23:59-0600',mode:absolute,to:'2017-10-18T20:05:39-0600'))&amp;_a=(columns:!('Message%20ID',Summary),filters:!(),index:'emp_*',interval:auto,query:(query_string:(analyze_wildcard:!t,query:'%22rtdc.l.rtdc.4059%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764</v>
      </c>
      <c r="B125" s="7">
        <v>4020</v>
      </c>
      <c r="C125" s="21" t="s">
        <v>194</v>
      </c>
      <c r="D125" s="21" t="s">
        <v>376</v>
      </c>
      <c r="E125" s="13">
        <v>43026.736724537041</v>
      </c>
      <c r="F125" s="13">
        <v>43026.739884259259</v>
      </c>
      <c r="G125" s="7">
        <v>66</v>
      </c>
      <c r="H125" s="21" t="s">
        <v>841</v>
      </c>
      <c r="I125" s="13">
        <v>43026.768148148149</v>
      </c>
      <c r="J125" s="7">
        <v>0</v>
      </c>
      <c r="K125" s="89" t="str">
        <f>IF(ISEVEN(B125),(B125-1)&amp;"/"&amp;B125,B125&amp;"/"&amp;(B125+1))</f>
        <v>4019/4020</v>
      </c>
      <c r="L125" s="185" t="str">
        <f>VLOOKUP(A125,'Trips&amp;Operators'!$C$1:$G$99911,5,FALSE)</f>
        <v>CUSHING HARRY</v>
      </c>
      <c r="M125" s="6">
        <f>I125-F125</f>
        <v>2.8263888889341615E-2</v>
      </c>
      <c r="N125" s="7">
        <f>24*60*SUM($M125:$M125)</f>
        <v>40.700000000651926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-10-18T16:40:53-0600',mode:absolute,to:'2017-10-18T19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4.5699999999999998E-2</v>
      </c>
      <c r="Z125" s="204">
        <f>RIGHT(H125,LEN(H125)-4)/10000</f>
        <v>23.3308</v>
      </c>
      <c r="AA125" s="204">
        <f>ABS(Z125-Y125)</f>
        <v>23.2851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>VALUE(LEFT(A125,LEN(A125)-3))</f>
        <v>213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 &amp; aws s3 cp s3://rtdc.mdm.uploadarchive.raw/RTDC4020/ "%USERPROFILE%\AppData\Local\Temp\OnboardLogs"\RTDC4020\2017-10-19 --exclude "*" --recursive --include "*20171019*" &amp; "%USERPROFILE%\Documents\GitHub\mrs-test-scripts\Headless Mode &amp; Sideloading\WalkAndUnGZ.bat" "%USERPROFILE%\AppData\Local\Temp\OnboardLogs"\RTDC4020\2017-10-19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/stypes="app*4020*20171019*" /stext=" 00:.+((SYSTEM_STATE.+slice.+state.+changed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6"/>
        <v>"%USERPROFILE%\Documents\GitHub\eaglep3\Utilities\RefineRTDCRunTimes.py" --tripid 213-18 --locoid 4020 --swversion DE.1.0.9.0 --startMP 204:457 --initTime 2017-10-18T17:40:53 --startdatetime 2017-10-18T17:45:26 --delay 66 --endMP 204:233308 --enddatetime 2017-10-18T18:26:08 --enforcementcount 0 &gt;&gt;%USERPROFILE%\Documents\GitHub\eaglep3-reporting\EC\2017-10-18-refined-times.txt</v>
      </c>
      <c r="AI125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{"issue":{"subject":"","project_id":79,"tracker_id":40,"status_id":1,"priority_id":2,"assigned_to_id":338,"start_date":"2017-10-18","description":"","custom_fields":[{"id":1,"name":"Subdivision","value":"EC"},{"id":4,"name":"Milepost","value":"23.3308"},{"id":17,"name":"Train ID","value":"213-18"},{"id":16,"name":"Locomotive ID","value":"4020"},{"id":130,"name":"Impact","value":""},{"id":150,"name":"Time of Event (Mountain Time)","value":"18:26:08"},{"id":151,"name":"Denver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8"/>
        <v>start /low /b %USERPROFILE%\Documents\GitHub\eaglep3\Utilities\DownloadLogsFromS3.py --loco 4020 --day 2017-10-18</v>
      </c>
      <c r="AN125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00:26:08"},{"id":29,"name":"Sharepoint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20"/>
        <v>https://d0f6bd738d7f1b3e5a7ca70fe4ff75f0.us-east-1.aws.found.io/app/kibana#/discover/Steve-Slow-Train-Analysis-(2080s-and-2083s)?_g=(refreshInterval:(display:Off,pause:!f,section:0,value:0),time:(from:'2017-10-18T16:40:53-0600',mode:absolute,to:'2017-10-18T19:26:08-0600'))&amp;_a=(columns:!('Message%20ID',Summary),filters:!(),index:'emp_*',interval:auto,query:(query_string:(analyze_wildcard:!t,query:'%22rtdc.l.rtdc.4020%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773</v>
      </c>
      <c r="B126" s="7">
        <v>4019</v>
      </c>
      <c r="C126" s="21" t="s">
        <v>194</v>
      </c>
      <c r="D126" s="21" t="s">
        <v>453</v>
      </c>
      <c r="E126" s="13">
        <v>43026.776898148149</v>
      </c>
      <c r="F126" s="13">
        <v>43026.779444444444</v>
      </c>
      <c r="G126" s="7">
        <v>71</v>
      </c>
      <c r="H126" s="21" t="s">
        <v>357</v>
      </c>
      <c r="I126" s="13">
        <v>43026.808298611111</v>
      </c>
      <c r="J126" s="7">
        <v>0</v>
      </c>
      <c r="K126" s="89" t="str">
        <f>IF(ISEVEN(B126),(B126-1)&amp;"/"&amp;B126,B126&amp;"/"&amp;(B126+1))</f>
        <v>4019/4020</v>
      </c>
      <c r="L126" s="185" t="str">
        <f>VLOOKUP(A126,'Trips&amp;Operators'!$C$1:$G$99911,5,FALSE)</f>
        <v>CUSHING HARRY</v>
      </c>
      <c r="M126" s="6">
        <f>I126-F126</f>
        <v>2.8854166666860692E-2</v>
      </c>
      <c r="N126" s="7">
        <f>24*60*SUM($M126:$M126)</f>
        <v>41.550000000279397</v>
      </c>
      <c r="O126" s="7"/>
      <c r="P126" s="7"/>
      <c r="Q126" s="22"/>
      <c r="R126" s="174" t="s">
        <v>1025</v>
      </c>
      <c r="S126" s="221">
        <f>1/IF(AG126="EC",12,1)*SUM(U126:U126)</f>
        <v>1</v>
      </c>
      <c r="T126" s="174" t="str">
        <f>IF(ISEVEN(LEFT(AD126,4)),"Southbound","NorthBound")</f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-10-18T17:38:44-0600',mode:absolute,to:'2017-10-18T20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23.298300000000001</v>
      </c>
      <c r="Z126" s="204">
        <f>RIGHT(H126,LEN(H126)-4)/10000</f>
        <v>1.5599999999999999E-2</v>
      </c>
      <c r="AA126" s="204">
        <f>ABS(Z126-Y126)</f>
        <v>23.282700000000002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>VALUE(LEFT(A126,LEN(A126)-3))</f>
        <v>214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s3://rtdc.mdm.uploadarchive.raw/RTDC4019/ "%USERPROFILE%\AppData\Local\Temp\OnboardLogs"\RTDC4019\2017-10-18 --exclude "*" --recursive --include "*20171018*" &amp; "%USERPROFILE%\Documents\GitHub\mrs-test-scripts\Headless Mode &amp; Sideloading\WalkAndUnGZ.bat" "%USERPROFILE%\AppData\Local\Temp\OnboardLogs"\RTDC4019\2017-10-18 &amp; aws s3 cp s3://rtdc.mdm.uploadarchive.raw/RTDC4019/ "%USERPROFILE%\AppData\Local\Temp\OnboardLogs"\RTDC4019\2017-10-19 --exclude "*" --recursive --include "*20171019*" &amp; "%USERPROFILE%\Documents\GitHub\mrs-test-scripts\Headless Mode &amp; Sideloading\WalkAndUnGZ.bat" "%USERPROFILE%\AppData\Local\Temp\OnboardLogs"\RTDC4019\2017-10-19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/stypes="app*4019*20171019*" /stext=" 01:.+((SYSTEM_STATE.+slice.+state.+changed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16"/>
        <v>"%USERPROFILE%\Documents\GitHub\eaglep3\Utilities\RefineRTDCRunTimes.py" --tripid 214-18 --locoid 4019 --swversion DE.1.0.9.0 --startMP 204:232983 --initTime 2017-10-18T18:38:44 --startdatetime 2017-10-18T18:42:24 --delay 71 --endMP 204:156 --enddatetime 2017-10-18T19:23:57 --enforcementcount 0 &gt;&gt;%USERPROFILE%\Documents\GitHub\eaglep3-reporting\EC\2017-10-18-refined-times.txt</v>
      </c>
      <c r="AI126" s="96" t="str">
        <f t="shared" si="17"/>
        <v>echo {"issue":{"subject":"Delayed by CROC/Crew/Equipment mismatch","project_id":79,"tracker_id":40,"status_id":1,"priority_id":2,"assigned_to_id":338,"start_date":"2017-10-18","description":"","custom_fields":[{"id":1,"name":"Subdivision","value":"EC"},{"id":4,"name":"Milepost","value":"0.0156"},{"id":17,"name":"Train ID","value":"214-18"},{"id":16,"name":"Locomotive ID","value":"4019"},{"id":130,"name":"Impact","value":""},{"id":150,"name":"Time of Event (Mountain Time)","value":"19:23:57"},{"id":151,"name":"Denver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18"/>
        <v>start /low /b %USERPROFILE%\Documents\GitHub\eaglep3\Utilities\DownloadLogsFromS3.py --loco 4019 --day 2017-10-18</v>
      </c>
      <c r="AN126" s="151" t="str">
        <f t="shared" si="19"/>
        <v>echo {"issue":{"subject":"Delayed by CROC/Crew/Equipment mismatch","project_id":30,"tracker_id":4,"status_id":1,"priority_id":1,"assigned_to_id":10,"start_date":"2017-10-19","description":"","custom_fields":[{"id":30,"name":"Category","value":"Issue"},{"id":3,"name":"Functional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01:23:57"},{"id":29,"name":"Sharepoint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20"/>
        <v>https://d0f6bd738d7f1b3e5a7ca70fe4ff75f0.us-east-1.aws.found.io/app/kibana#/discover/Steve-Slow-Train-Analysis-(2080s-and-2083s)?_g=(refreshInterval:(display:Off,pause:!f,section:0,value:0),time:(from:'2017-10-18T17:38:44-0600',mode:absolute,to:'2017-10-18T20:23:57-0600'))&amp;_a=(columns:!('Message%20ID',Summary),filters:!(),index:'emp_*',interval:auto,query:(query_string:(analyze_wildcard:!t,query:'%22rtdc.l.rtdc.4019%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768</v>
      </c>
      <c r="B127" s="7">
        <v>4062</v>
      </c>
      <c r="C127" s="21" t="s">
        <v>194</v>
      </c>
      <c r="D127" s="21" t="s">
        <v>416</v>
      </c>
      <c r="E127" s="13">
        <v>43026.748217592591</v>
      </c>
      <c r="F127" s="13">
        <v>43026.750439814816</v>
      </c>
      <c r="G127" s="7">
        <v>72</v>
      </c>
      <c r="H127" s="21" t="s">
        <v>481</v>
      </c>
      <c r="I127" s="13">
        <v>43026.775601851848</v>
      </c>
      <c r="J127" s="7">
        <v>0</v>
      </c>
      <c r="K127" s="89" t="str">
        <f>IF(ISEVEN(B127),(B127-1)&amp;"/"&amp;B127,B127&amp;"/"&amp;(B127+1))</f>
        <v>4061/4062</v>
      </c>
      <c r="L127" s="185" t="str">
        <f>VLOOKUP(A127,'Trips&amp;Operators'!$C$1:$G$99911,5,FALSE)</f>
        <v>HOLCOMB KAMDEN</v>
      </c>
      <c r="M127" s="6">
        <f>I127-F127</f>
        <v>2.5162037032714579E-2</v>
      </c>
      <c r="N127" s="7">
        <f>24*60*SUM($M127:$M127)</f>
        <v>36.233333327108994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-10-18T16:57:26-0600',mode:absolute,to:'2017-10-18T19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4.6199999999999998E-2</v>
      </c>
      <c r="Z127" s="204">
        <f>RIGHT(H127,LEN(H127)-4)/10000</f>
        <v>23.331099999999999</v>
      </c>
      <c r="AA127" s="204">
        <f>ABS(Z127-Y127)</f>
        <v>23.2849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>VALUE(LEFT(A127,LEN(A127)-3))</f>
        <v>215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s3://rtdc.mdm.uploadarchive.raw/RTDC4062/ "%USERPROFILE%\AppData\Local\Temp\OnboardLogs"\RTDC4062\2017-10-18 --exclude "*" --recursive --include "*20171018*" &amp; "%USERPROFILE%\Documents\GitHub\mrs-test-scripts\Headless Mode &amp; Sideloading\WalkAndUnGZ.bat" "%USERPROFILE%\AppData\Local\Temp\OnboardLogs"\RTDC4062\2017-10-18 &amp; aws s3 cp s3://rtdc.mdm.uploadarchive.raw/RTDC4062/ "%USERPROFILE%\AppData\Local\Temp\OnboardLogs"\RTDC4062\2017-10-19 --exclude "*" --recursive --include "*20171019*" &amp; "%USERPROFILE%\Documents\GitHub\mrs-test-scripts\Headless Mode &amp; Sideloading\WalkAndUnGZ.bat" "%USERPROFILE%\AppData\Local\Temp\OnboardLogs"\RTDC4062\2017-10-19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/stypes="app*4062*20171019*" /stext=" 00:.+((SYSTEM_STATE.+slice.+state.+changed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16"/>
        <v>"%USERPROFILE%\Documents\GitHub\eaglep3\Utilities\RefineRTDCRunTimes.py" --tripid 215-18 --locoid 4062 --swversion DE.1.0.9.0 --startMP 204:462 --initTime 2017-10-18T17:57:26 --startdatetime 2017-10-18T18:00:38 --delay 72 --endMP 204:233311 --enddatetime 2017-10-18T18:36:52 --enforcementcount 0 &gt;&gt;%USERPROFILE%\Documents\GitHub\eaglep3-reporting\EC\2017-10-18-refined-times.txt</v>
      </c>
      <c r="AI127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{"issue":{"subject":"","project_id":79,"tracker_id":40,"status_id":1,"priority_id":2,"assigned_to_id":338,"start_date":"2017-10-18","description":"","custom_fields":[{"id":1,"name":"Subdivision","value":"EC"},{"id":4,"name":"Milepost","value":"23.3311"},{"id":17,"name":"Train ID","value":"215-18"},{"id":16,"name":"Locomotive ID","value":"4062"},{"id":130,"name":"Impact","value":""},{"id":150,"name":"Time of Event (Mountain Time)","value":"18:36:52"},{"id":151,"name":"Denver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18"/>
        <v>start /low /b %USERPROFILE%\Documents\GitHub\eaglep3\Utilities\DownloadLogsFromS3.py --loco 4062 --day 2017-10-18</v>
      </c>
      <c r="AN127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00:36:52"},{"id":29,"name":"Sharepoint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20"/>
        <v>https://d0f6bd738d7f1b3e5a7ca70fe4ff75f0.us-east-1.aws.found.io/app/kibana#/discover/Steve-Slow-Train-Analysis-(2080s-and-2083s)?_g=(refreshInterval:(display:Off,pause:!f,section:0,value:0),time:(from:'2017-10-18T16:57:26-0600',mode:absolute,to:'2017-10-18T19:36:52-0600'))&amp;_a=(columns:!('Message%20ID',Summary),filters:!(),index:'emp_*',interval:auto,query:(query_string:(analyze_wildcard:!t,query:'%22rtdc.l.rtdc.4062%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775</v>
      </c>
      <c r="B128" s="7">
        <v>4061</v>
      </c>
      <c r="C128" s="21" t="s">
        <v>194</v>
      </c>
      <c r="D128" s="21" t="s">
        <v>484</v>
      </c>
      <c r="E128" s="13">
        <v>43026.779652777775</v>
      </c>
      <c r="F128" s="13">
        <v>43026.789837962962</v>
      </c>
      <c r="G128" s="7">
        <v>67</v>
      </c>
      <c r="H128" s="21" t="s">
        <v>354</v>
      </c>
      <c r="I128" s="13">
        <v>43026.816238425927</v>
      </c>
      <c r="J128" s="7">
        <v>0</v>
      </c>
      <c r="K128" s="89" t="str">
        <f>IF(ISEVEN(B128),(B128-1)&amp;"/"&amp;B128,B128&amp;"/"&amp;(B128+1))</f>
        <v>4061/4062</v>
      </c>
      <c r="L128" s="185" t="str">
        <f>VLOOKUP(A128,'Trips&amp;Operators'!$C$1:$G$99911,5,FALSE)</f>
        <v>HOLCOMB KAMDEN</v>
      </c>
      <c r="M128" s="6">
        <f>I128-F128</f>
        <v>2.6400462964375038E-2</v>
      </c>
      <c r="N128" s="7">
        <f>24*60*SUM($M128:$M128)</f>
        <v>38.016666668700054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-10-18T17:42:42-0600',mode:absolute,to:'2017-10-18T20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23.298999999999999</v>
      </c>
      <c r="Z128" s="204">
        <f>RIGHT(H128,LEN(H128)-4)/10000</f>
        <v>1.52E-2</v>
      </c>
      <c r="AA128" s="204">
        <f>ABS(Z128-Y128)</f>
        <v>23.283799999999999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>VALUE(LEFT(A128,LEN(A128)-3))</f>
        <v>216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s3://rtdc.mdm.uploadarchive.raw/RTDC4061/ "%USERPROFILE%\AppData\Local\Temp\OnboardLogs"\RTDC4061\2017-10-18 --exclude "*" --recursive --include "*20171018*" &amp; "%USERPROFILE%\Documents\GitHub\mrs-test-scripts\Headless Mode &amp; Sideloading\WalkAndUnGZ.bat" "%USERPROFILE%\AppData\Local\Temp\OnboardLogs"\RTDC4061\2017-10-18 &amp; aws s3 cp s3://rtdc.mdm.uploadarchive.raw/RTDC4061/ "%USERPROFILE%\AppData\Local\Temp\OnboardLogs"\RTDC4061\2017-10-19 --exclude "*" --recursive --include "*20171019*" &amp; "%USERPROFILE%\Documents\GitHub\mrs-test-scripts\Headless Mode &amp; Sideloading\WalkAndUnGZ.bat" "%USERPROFILE%\AppData\Local\Temp\OnboardLogs"\RTDC4061\2017-10-19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/stypes="app*4061*20171019*" /stext=" 01:.+((SYSTEM_STATE.+slice.+state.+changed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6"/>
        <v>"%USERPROFILE%\Documents\GitHub\eaglep3\Utilities\RefineRTDCRunTimes.py" --tripid 216-18 --locoid 4061 --swversion DE.1.0.9.0 --startMP 204:232990 --initTime 2017-10-18T18:42:42 --startdatetime 2017-10-18T18:57:22 --delay 67 --endMP 204:152 --enddatetime 2017-10-18T19:35:23 --enforcementcount 0 &gt;&gt;%USERPROFILE%\Documents\GitHub\eaglep3-reporting\EC\2017-10-18-refined-times.txt</v>
      </c>
      <c r="AI128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{"issue":{"subject":"","project_id":79,"tracker_id":40,"status_id":1,"priority_id":2,"assigned_to_id":338,"start_date":"2017-10-18","description":"","custom_fields":[{"id":1,"name":"Subdivision","value":"EC"},{"id":4,"name":"Milepost","value":"0.0152"},{"id":17,"name":"Train ID","value":"216-18"},{"id":16,"name":"Locomotive ID","value":"4061"},{"id":130,"name":"Impact","value":""},{"id":150,"name":"Time of Event (Mountain Time)","value":"19:35:23"},{"id":151,"name":"Denver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8"/>
        <v>start /low /b %USERPROFILE%\Documents\GitHub\eaglep3\Utilities\DownloadLogsFromS3.py --loco 4061 --day 2017-10-18</v>
      </c>
      <c r="AN128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01:35:23"},{"id":29,"name":"Sharepoint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20"/>
        <v>https://d0f6bd738d7f1b3e5a7ca70fe4ff75f0.us-east-1.aws.found.io/app/kibana#/discover/Steve-Slow-Train-Analysis-(2080s-and-2083s)?_g=(refreshInterval:(display:Off,pause:!f,section:0,value:0),time:(from:'2017-10-18T17:42:42-0600',mode:absolute,to:'2017-10-18T20:35:23-0600'))&amp;_a=(columns:!('Message%20ID',Summary),filters:!(),index:'emp_*',interval:auto,query:(query_string:(analyze_wildcard:!t,query:'%22rtdc.l.rtdc.4061%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586</v>
      </c>
      <c r="B129" s="7">
        <v>4040</v>
      </c>
      <c r="C129" s="21" t="s">
        <v>194</v>
      </c>
      <c r="D129" s="21" t="s">
        <v>477</v>
      </c>
      <c r="E129" s="13">
        <v>43026.757233796299</v>
      </c>
      <c r="F129" s="13">
        <v>43026.760659722226</v>
      </c>
      <c r="G129" s="7">
        <v>97</v>
      </c>
      <c r="H129" s="21" t="s">
        <v>859</v>
      </c>
      <c r="I129" s="13">
        <v>43026.787164351852</v>
      </c>
      <c r="J129" s="7">
        <v>0</v>
      </c>
      <c r="K129" s="89" t="str">
        <f>IF(ISEVEN(B129),(B129-1)&amp;"/"&amp;B129,B129&amp;"/"&amp;(B129+1))</f>
        <v>4039/4040</v>
      </c>
      <c r="L129" s="185" t="str">
        <f>VLOOKUP(A129,'Trips&amp;Operators'!$C$1:$G$99911,5,FALSE)</f>
        <v>LOZA FIDEL</v>
      </c>
      <c r="M129" s="6">
        <f>I129-F129</f>
        <v>2.6504629626288079E-2</v>
      </c>
      <c r="N129" s="7">
        <f>24*60*SUM($M129:$M129)</f>
        <v>38.166666661854833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-18T17:10:25-0600',mode:absolute,to:'2017-10-18T19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4.6899999999999997E-2</v>
      </c>
      <c r="Z129" s="204">
        <f>RIGHT(H129,LEN(H129)-4)/10000</f>
        <v>23.340800000000002</v>
      </c>
      <c r="AA129" s="204">
        <f>ABS(Z129-Y129)</f>
        <v>23.293900000000001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>VALUE(LEFT(A129,LEN(A129)-3))</f>
        <v>217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s3://rtdc.mdm.uploadarchive.raw/RTDC4040/ "%USERPROFILE%\AppData\Local\Temp\OnboardLogs"\RTDC4040\2017-10-18 --exclude "*" --recursive --include "*20171018*" &amp; "%USERPROFILE%\Documents\GitHub\mrs-test-scripts\Headless Mode &amp; Sideloading\WalkAndUnGZ.bat" "%USERPROFILE%\AppData\Local\Temp\OnboardLogs"\RTDC4040\2017-10-18 &amp; aws s3 cp s3://rtdc.mdm.uploadarchive.raw/RTDC4040/ "%USERPROFILE%\AppData\Local\Temp\OnboardLogs"\RTDC4040\2017-10-19 --exclude "*" --recursive --include "*20171019*" &amp; "%USERPROFILE%\Documents\GitHub\mrs-test-scripts\Headless Mode &amp; Sideloading\WalkAndUnGZ.bat" "%USERPROFILE%\AppData\Local\Temp\OnboardLogs"\RTDC4040\2017-10-19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/stypes="app*4040*20171019*" /stext=" 00:.+((SYSTEM_STATE.+slice.+state.+changed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16"/>
        <v>"%USERPROFILE%\Documents\GitHub\eaglep3\Utilities\RefineRTDCRunTimes.py" --tripid 217-18 --locoid 4040 --swversion DE.1.0.9.0 --startMP 204:469 --initTime 2017-10-18T18:10:25 --startdatetime 2017-10-18T18:15:21 --delay 97 --endMP 204:233408 --enddatetime 2017-10-18T18:53:31 --enforcementcount 0 &gt;&gt;%USERPROFILE%\Documents\GitHub\eaglep3-reporting\EC\2017-10-18-refined-times.txt</v>
      </c>
      <c r="AI129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{"issue":{"subject":"","project_id":79,"tracker_id":40,"status_id":1,"priority_id":2,"assigned_to_id":338,"start_date":"2017-10-18","description":"","custom_fields":[{"id":1,"name":"Subdivision","value":"EC"},{"id":4,"name":"Milepost","value":"23.3408"},{"id":17,"name":"Train ID","value":"217-18"},{"id":16,"name":"Locomotive ID","value":"4040"},{"id":130,"name":"Impact","value":""},{"id":150,"name":"Time of Event (Mountain Time)","value":"18:53:31"},{"id":151,"name":"Denver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8"/>
        <v>start /low /b %USERPROFILE%\Documents\GitHub\eaglep3\Utilities\DownloadLogsFromS3.py --loco 4040 --day 2017-10-18</v>
      </c>
      <c r="AN129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00:53:31"},{"id":29,"name":"Sharepoint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20"/>
        <v>https://d0f6bd738d7f1b3e5a7ca70fe4ff75f0.us-east-1.aws.found.io/app/kibana#/discover/Steve-Slow-Train-Analysis-(2080s-and-2083s)?_g=(refreshInterval:(display:Off,pause:!f,section:0,value:0),time:(from:'2017-10-18T17:10:25-0600',mode:absolute,to:'2017-10-18T19:53:31-0600'))&amp;_a=(columns:!('Message%20ID',Summary),filters:!(),index:'emp_*',interval:auto,query:(query_string:(analyze_wildcard:!t,query:'%22rtdc.l.rtdc.4040%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779</v>
      </c>
      <c r="B130" s="7">
        <v>4039</v>
      </c>
      <c r="C130" s="21" t="s">
        <v>194</v>
      </c>
      <c r="D130" s="21" t="s">
        <v>525</v>
      </c>
      <c r="E130" s="13">
        <v>43026.797662037039</v>
      </c>
      <c r="F130" s="13">
        <v>43026.800370370373</v>
      </c>
      <c r="G130" s="7">
        <v>118</v>
      </c>
      <c r="H130" s="21" t="s">
        <v>437</v>
      </c>
      <c r="I130" s="13">
        <v>43026.825613425928</v>
      </c>
      <c r="J130" s="7">
        <v>0</v>
      </c>
      <c r="K130" s="89" t="str">
        <f>IF(ISEVEN(B130),(B130-1)&amp;"/"&amp;B130,B130&amp;"/"&amp;(B130+1))</f>
        <v>4039/4040</v>
      </c>
      <c r="L130" s="185" t="str">
        <f>VLOOKUP(A130,'Trips&amp;Operators'!$C$1:$G$99911,5,FALSE)</f>
        <v>LOZA FIDEL</v>
      </c>
      <c r="M130" s="6">
        <f>I130-F130</f>
        <v>2.5243055555620231E-2</v>
      </c>
      <c r="N130" s="7">
        <f>24*60*SUM($M130:$M130)</f>
        <v>36.350000000093132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-18T18:08:38-0600',mode:absolute,to:'2017-10-18T20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f>RIGHT(D130,LEN(D130)-4)/10000</f>
        <v>23.299299999999999</v>
      </c>
      <c r="Z130" s="204">
        <f>RIGHT(H130,LEN(H130)-4)/10000</f>
        <v>1.41E-2</v>
      </c>
      <c r="AA130" s="204">
        <f>ABS(Z130-Y130)</f>
        <v>23.2852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>VALUE(LEFT(A130,LEN(A130)-3))</f>
        <v>218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s3://rtdc.mdm.uploadarchive.raw/RTDC4039/ "%USERPROFILE%\AppData\Local\Temp\OnboardLogs"\RTDC4039\2017-10-18 --exclude "*" --recursive --include "*20171018*" &amp; "%USERPROFILE%\Documents\GitHub\mrs-test-scripts\Headless Mode &amp; Sideloading\WalkAndUnGZ.bat" "%USERPROFILE%\AppData\Local\Temp\OnboardLogs"\RTDC4039\2017-10-18 &amp; aws s3 cp s3://rtdc.mdm.uploadarchive.raw/RTDC4039/ "%USERPROFILE%\AppData\Local\Temp\OnboardLogs"\RTDC4039\2017-10-19 --exclude "*" --recursive --include "*20171019*" &amp; "%USERPROFILE%\Documents\GitHub\mrs-test-scripts\Headless Mode &amp; Sideloading\WalkAndUnGZ.bat" "%USERPROFILE%\AppData\Local\Temp\OnboardLogs"\RTDC4039\2017-10-19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/stypes="app*4039*20171019*" /stext=" 01:.+((SYSTEM_STATE.+slice.+state.+changed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16"/>
        <v>"%USERPROFILE%\Documents\GitHub\eaglep3\Utilities\RefineRTDCRunTimes.py" --tripid 218-18 --locoid 4039 --swversion DE.1.0.9.0 --startMP 204:232993 --initTime 2017-10-18T19:08:38 --startdatetime 2017-10-18T19:12:32 --delay 118 --endMP 204:141 --enddatetime 2017-10-18T19:48:53 --enforcementcount 0 &gt;&gt;%USERPROFILE%\Documents\GitHub\eaglep3-reporting\EC\2017-10-18-refined-times.txt</v>
      </c>
      <c r="AI130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{"issue":{"subject":"","project_id":79,"tracker_id":40,"status_id":1,"priority_id":2,"assigned_to_id":338,"start_date":"2017-10-18","description":"","custom_fields":[{"id":1,"name":"Subdivision","value":"EC"},{"id":4,"name":"Milepost","value":"0.0141"},{"id":17,"name":"Train ID","value":"218-18"},{"id":16,"name":"Locomotive ID","value":"4039"},{"id":130,"name":"Impact","value":""},{"id":150,"name":"Time of Event (Mountain Time)","value":"19:48:53"},{"id":151,"name":"Denver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8"/>
        <v>start /low /b %USERPROFILE%\Documents\GitHub\eaglep3\Utilities\DownloadLogsFromS3.py --loco 4039 --day 2017-10-18</v>
      </c>
      <c r="AN130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01:48:53"},{"id":29,"name":"Sharepoint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20"/>
        <v>https://d0f6bd738d7f1b3e5a7ca70fe4ff75f0.us-east-1.aws.found.io/app/kibana#/discover/Steve-Slow-Train-Analysis-(2080s-and-2083s)?_g=(refreshInterval:(display:Off,pause:!f,section:0,value:0),time:(from:'2017-10-18T18:08:38-0600',mode:absolute,to:'2017-10-18T20:48:53-0600'))&amp;_a=(columns:!('Message%20ID',Summary),filters:!(),index:'emp_*',interval:auto,query:(query_string:(analyze_wildcard:!t,query:'%22rtdc.l.rtdc.4039%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772</v>
      </c>
      <c r="B131" s="7">
        <v>4002</v>
      </c>
      <c r="C131" s="21" t="s">
        <v>194</v>
      </c>
      <c r="D131" s="21" t="s">
        <v>405</v>
      </c>
      <c r="E131" s="13">
        <v>43026.770902777775</v>
      </c>
      <c r="F131" s="13">
        <v>43026.854722222219</v>
      </c>
      <c r="G131" s="7">
        <v>67</v>
      </c>
      <c r="H131" s="21" t="s">
        <v>480</v>
      </c>
      <c r="I131" s="13">
        <v>43026.879999999997</v>
      </c>
      <c r="J131" s="7">
        <v>0</v>
      </c>
      <c r="K131" s="89" t="str">
        <f>IF(ISEVEN(B131),(B131-1)&amp;"/"&amp;B131,B131&amp;"/"&amp;(B131+1))</f>
        <v>4001/4002</v>
      </c>
      <c r="L131" s="185" t="str">
        <f>VLOOKUP(A131,'Trips&amp;Operators'!$C$1:$G$99911,5,FALSE)</f>
        <v>ANDERS STEVEN</v>
      </c>
      <c r="M131" s="6">
        <f>I131-F131</f>
        <v>2.527777777868323E-2</v>
      </c>
      <c r="N131" s="7">
        <f>24*60*SUM($M131:$M131)</f>
        <v>36.400000001303852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-18T17:30:06-0600',mode:absolute,to:'2017-10-18T22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4.6399999999999997E-2</v>
      </c>
      <c r="Z131" s="204">
        <f>RIGHT(H131,LEN(H131)-4)/10000</f>
        <v>23.3293</v>
      </c>
      <c r="AA131" s="204">
        <f>ABS(Z131-Y131)</f>
        <v>23.282900000000001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>VALUE(LEFT(A131,LEN(A131)-3))</f>
        <v>219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s3://rtdc.mdm.uploadarchive.raw/RTDC4002/ "%USERPROFILE%\AppData\Local\Temp\OnboardLogs"\RTDC4002\2017-10-18 --exclude "*" --recursive --include "*20171018*" &amp; "%USERPROFILE%\Documents\GitHub\mrs-test-scripts\Headless Mode &amp; Sideloading\WalkAndUnGZ.bat" "%USERPROFILE%\AppData\Local\Temp\OnboardLogs"\RTDC4002\2017-10-18 &amp; aws s3 cp s3://rtdc.mdm.uploadarchive.raw/RTDC4002/ "%USERPROFILE%\AppData\Local\Temp\OnboardLogs"\RTDC4002\2017-10-19 --exclude "*" --recursive --include "*20171019*" &amp; "%USERPROFILE%\Documents\GitHub\mrs-test-scripts\Headless Mode &amp; Sideloading\WalkAndUnGZ.bat" "%USERPROFILE%\AppData\Local\Temp\OnboardLogs"\RTDC4002\2017-10-19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/stypes="app*4002*20171019*" /stext=" 03:.+((SYSTEM_STATE.+slice.+state.+changed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16"/>
        <v>"%USERPROFILE%\Documents\GitHub\eaglep3\Utilities\RefineRTDCRunTimes.py" --tripid 219-18 --locoid 4002 --swversion DE.1.0.9.0 --startMP 204:464 --initTime 2017-10-18T18:30:06 --startdatetime 2017-10-18T20:30:48 --delay 67 --endMP 204:233293 --enddatetime 2017-10-18T21:07:12 --enforcementcount 0 &gt;&gt;%USERPROFILE%\Documents\GitHub\eaglep3-reporting\EC\2017-10-18-refined-times.txt</v>
      </c>
      <c r="AI131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{"issue":{"subject":"","project_id":79,"tracker_id":40,"status_id":1,"priority_id":2,"assigned_to_id":338,"start_date":"2017-10-18","description":"","custom_fields":[{"id":1,"name":"Subdivision","value":"EC"},{"id":4,"name":"Milepost","value":"23.3293"},{"id":17,"name":"Train ID","value":"219-18"},{"id":16,"name":"Locomotive ID","value":"4002"},{"id":130,"name":"Impact","value":""},{"id":150,"name":"Time of Event (Mountain Time)","value":"21:07:12"},{"id":151,"name":"Denver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8"/>
        <v>start /low /b %USERPROFILE%\Documents\GitHub\eaglep3\Utilities\DownloadLogsFromS3.py --loco 4002 --day 2017-10-18</v>
      </c>
      <c r="AN131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03:07:12"},{"id":29,"name":"Sharepoint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20"/>
        <v>https://d0f6bd738d7f1b3e5a7ca70fe4ff75f0.us-east-1.aws.found.io/app/kibana#/discover/Steve-Slow-Train-Analysis-(2080s-and-2083s)?_g=(refreshInterval:(display:Off,pause:!f,section:0,value:0),time:(from:'2017-10-18T17:30:06-0600',mode:absolute,to:'2017-10-18T22:07:12-0600'))&amp;_a=(columns:!('Message%20ID',Summary),filters:!(),index:'emp_*',interval:auto,query:(query_string:(analyze_wildcard:!t,query:'%22rtdc.l.rtdc.4002%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780</v>
      </c>
      <c r="B132" s="7">
        <v>4001</v>
      </c>
      <c r="C132" s="21" t="s">
        <v>194</v>
      </c>
      <c r="D132" s="21" t="s">
        <v>404</v>
      </c>
      <c r="E132" s="13">
        <v>43026.808599537035</v>
      </c>
      <c r="F132" s="13">
        <v>43026.810682870368</v>
      </c>
      <c r="G132" s="7">
        <v>80</v>
      </c>
      <c r="H132" s="21" t="s">
        <v>437</v>
      </c>
      <c r="I132" s="13">
        <v>43026.836168981485</v>
      </c>
      <c r="J132" s="7">
        <v>0</v>
      </c>
      <c r="K132" s="89" t="str">
        <f>IF(ISEVEN(B132),(B132-1)&amp;"/"&amp;B132,B132&amp;"/"&amp;(B132+1))</f>
        <v>4001/4002</v>
      </c>
      <c r="L132" s="185" t="str">
        <f>VLOOKUP(A132,'Trips&amp;Operators'!$C$1:$G$99911,5,FALSE)</f>
        <v>ANDERS STEVEN</v>
      </c>
      <c r="M132" s="6">
        <f>I132-F132</f>
        <v>2.5486111117061228E-2</v>
      </c>
      <c r="N132" s="7">
        <f>24*60*SUM($M132:$M132)</f>
        <v>36.700000008568168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-10-18T18:24:23-0600',mode:absolute,to:'2017-10-18T21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23.297699999999999</v>
      </c>
      <c r="Z132" s="204">
        <f>RIGHT(H132,LEN(H132)-4)/10000</f>
        <v>1.41E-2</v>
      </c>
      <c r="AA132" s="204">
        <f>ABS(Z132-Y132)</f>
        <v>23.2836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>VALUE(LEFT(A132,LEN(A132)-3))</f>
        <v>220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s3://rtdc.mdm.uploadarchive.raw/RTDC4001/ "%USERPROFILE%\AppData\Local\Temp\OnboardLogs"\RTDC4001\2017-10-18 --exclude "*" --recursive --include "*20171018*" &amp; "%USERPROFILE%\Documents\GitHub\mrs-test-scripts\Headless Mode &amp; Sideloading\WalkAndUnGZ.bat" "%USERPROFILE%\AppData\Local\Temp\OnboardLogs"\RTDC4001\2017-10-18 &amp; aws s3 cp s3://rtdc.mdm.uploadarchive.raw/RTDC4001/ "%USERPROFILE%\AppData\Local\Temp\OnboardLogs"\RTDC4001\2017-10-19 --exclude "*" --recursive --include "*20171019*" &amp; "%USERPROFILE%\Documents\GitHub\mrs-test-scripts\Headless Mode &amp; Sideloading\WalkAndUnGZ.bat" "%USERPROFILE%\AppData\Local\Temp\OnboardLogs"\RTDC4001\2017-10-19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/stypes="app*4001*20171019*" /stext=" 02:.+((SYSTEM_STATE.+slice.+state.+changed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6"/>
        <v>"%USERPROFILE%\Documents\GitHub\eaglep3\Utilities\RefineRTDCRunTimes.py" --tripid 220-18 --locoid 4001 --swversion DE.1.0.9.0 --startMP 204:232977 --initTime 2017-10-18T19:24:23 --startdatetime 2017-10-18T19:27:23 --delay 80 --endMP 204:141 --enddatetime 2017-10-18T20:04:05 --enforcementcount 0 &gt;&gt;%USERPROFILE%\Documents\GitHub\eaglep3-reporting\EC\2017-10-18-refined-times.txt</v>
      </c>
      <c r="AI132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{"issue":{"subject":"","project_id":79,"tracker_id":40,"status_id":1,"priority_id":2,"assigned_to_id":338,"start_date":"2017-10-18","description":"","custom_fields":[{"id":1,"name":"Subdivision","value":"EC"},{"id":4,"name":"Milepost","value":"0.0141"},{"id":17,"name":"Train ID","value":"220-18"},{"id":16,"name":"Locomotive ID","value":"4001"},{"id":130,"name":"Impact","value":""},{"id":150,"name":"Time of Event (Mountain Time)","value":"20:04:05"},{"id":151,"name":"Denver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8"/>
        <v>start /low /b %USERPROFILE%\Documents\GitHub\eaglep3\Utilities\DownloadLogsFromS3.py --loco 4001 --day 2017-10-18</v>
      </c>
      <c r="AN132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02:04:05"},{"id":29,"name":"Sharepoint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20"/>
        <v>https://d0f6bd738d7f1b3e5a7ca70fe4ff75f0.us-east-1.aws.found.io/app/kibana#/discover/Steve-Slow-Train-Analysis-(2080s-and-2083s)?_g=(refreshInterval:(display:Off,pause:!f,section:0,value:0),time:(from:'2017-10-18T18:24:23-0600',mode:absolute,to:'2017-10-18T21:04:05-0600'))&amp;_a=(columns:!('Message%20ID',Summary),filters:!(),index:'emp_*',interval:auto,query:(query_string:(analyze_wildcard:!t,query:'%22rtdc.l.rtdc.4001%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776</v>
      </c>
      <c r="B133" s="7">
        <v>4026</v>
      </c>
      <c r="C133" s="21" t="s">
        <v>194</v>
      </c>
      <c r="D133" s="21" t="s">
        <v>334</v>
      </c>
      <c r="E133" s="13">
        <v>43026.788124999999</v>
      </c>
      <c r="F133" s="13">
        <v>43026.791828703703</v>
      </c>
      <c r="G133" s="7">
        <v>99</v>
      </c>
      <c r="H133" s="21" t="s">
        <v>400</v>
      </c>
      <c r="I133" s="13">
        <v>43026.816238425927</v>
      </c>
      <c r="J133" s="7">
        <v>0</v>
      </c>
      <c r="K133" s="89" t="str">
        <f>IF(ISEVEN(B133),(B133-1)&amp;"/"&amp;B133,B133&amp;"/"&amp;(B133+1))</f>
        <v>4025/4026</v>
      </c>
      <c r="L133" s="185" t="str">
        <f>VLOOKUP(A133,'Trips&amp;Operators'!$C$1:$G$99911,5,FALSE)</f>
        <v>RESPASS AARON</v>
      </c>
      <c r="M133" s="6">
        <f>I133-F133</f>
        <v>2.4409722223936114E-2</v>
      </c>
      <c r="N133" s="7">
        <f>24*60*SUM($M133:$M133)</f>
        <v>35.150000002468005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-10-18T17:54:54-0600',mode:absolute,to:'2017-10-18T20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4.4600000000000001E-2</v>
      </c>
      <c r="Z133" s="204">
        <f>RIGHT(H133,LEN(H133)-4)/10000</f>
        <v>23.3306</v>
      </c>
      <c r="AA133" s="204">
        <f>ABS(Z133-Y133)</f>
        <v>23.286000000000001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>VALUE(LEFT(A133,LEN(A133)-3))</f>
        <v>221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s3://rtdc.mdm.uploadarchive.raw/RTDC4026/ "%USERPROFILE%\AppData\Local\Temp\OnboardLogs"\RTDC4026\2017-10-18 --exclude "*" --recursive --include "*20171018*" &amp; "%USERPROFILE%\Documents\GitHub\mrs-test-scripts\Headless Mode &amp; Sideloading\WalkAndUnGZ.bat" "%USERPROFILE%\AppData\Local\Temp\OnboardLogs"\RTDC4026\2017-10-18 &amp; aws s3 cp s3://rtdc.mdm.uploadarchive.raw/RTDC4026/ "%USERPROFILE%\AppData\Local\Temp\OnboardLogs"\RTDC4026\2017-10-19 --exclude "*" --recursive --include "*20171019*" &amp; "%USERPROFILE%\Documents\GitHub\mrs-test-scripts\Headless Mode &amp; Sideloading\WalkAndUnGZ.bat" "%USERPROFILE%\AppData\Local\Temp\OnboardLogs"\RTDC4026\2017-10-19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/stypes="app*4026*20171019*" /stext=" 01:.+((SYSTEM_STATE.+slice.+state.+changed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16"/>
        <v>"%USERPROFILE%\Documents\GitHub\eaglep3\Utilities\RefineRTDCRunTimes.py" --tripid 221-18 --locoid 4026 --swversion DE.1.0.9.0 --startMP 204:446 --initTime 2017-10-18T18:54:54 --startdatetime 2017-10-18T19:00:14 --delay 99 --endMP 204:233306 --enddatetime 2017-10-18T19:35:23 --enforcementcount 0 &gt;&gt;%USERPROFILE%\Documents\GitHub\eaglep3-reporting\EC\2017-10-18-refined-times.txt</v>
      </c>
      <c r="AI133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{"issue":{"subject":"","project_id":79,"tracker_id":40,"status_id":1,"priority_id":2,"assigned_to_id":338,"start_date":"2017-10-18","description":"","custom_fields":[{"id":1,"name":"Subdivision","value":"EC"},{"id":4,"name":"Milepost","value":"23.3306"},{"id":17,"name":"Train ID","value":"221-18"},{"id":16,"name":"Locomotive ID","value":"4026"},{"id":130,"name":"Impact","value":""},{"id":150,"name":"Time of Event (Mountain Time)","value":"19:35:23"},{"id":151,"name":"Denver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8"/>
        <v>start /low /b %USERPROFILE%\Documents\GitHub\eaglep3\Utilities\DownloadLogsFromS3.py --loco 4026 --day 2017-10-18</v>
      </c>
      <c r="AN133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01:35:23"},{"id":29,"name":"Sharepoint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20"/>
        <v>https://d0f6bd738d7f1b3e5a7ca70fe4ff75f0.us-east-1.aws.found.io/app/kibana#/discover/Steve-Slow-Train-Analysis-(2080s-and-2083s)?_g=(refreshInterval:(display:Off,pause:!f,section:0,value:0),time:(from:'2017-10-18T17:54:54-0600',mode:absolute,to:'2017-10-18T20:35:23-0600'))&amp;_a=(columns:!('Message%20ID',Summary),filters:!(),index:'emp_*',interval:auto,query:(query_string:(analyze_wildcard:!t,query:'%22rtdc.l.rtdc.4026%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784</v>
      </c>
      <c r="B134" s="7">
        <v>4025</v>
      </c>
      <c r="C134" s="21" t="s">
        <v>194</v>
      </c>
      <c r="D134" s="21" t="s">
        <v>417</v>
      </c>
      <c r="E134" s="13">
        <v>43026.828900462962</v>
      </c>
      <c r="F134" s="13">
        <v>43026.83152777778</v>
      </c>
      <c r="G134" s="7">
        <v>86</v>
      </c>
      <c r="H134" s="21" t="s">
        <v>335</v>
      </c>
      <c r="I134" s="13">
        <v>43026.857303240744</v>
      </c>
      <c r="J134" s="7">
        <v>0</v>
      </c>
      <c r="K134" s="89" t="str">
        <f>IF(ISEVEN(B134),(B134-1)&amp;"/"&amp;B134,B134&amp;"/"&amp;(B134+1))</f>
        <v>4025/4026</v>
      </c>
      <c r="L134" s="185" t="str">
        <f>VLOOKUP(A134,'Trips&amp;Operators'!$C$1:$G$99911,5,FALSE)</f>
        <v>RESPASS AARON</v>
      </c>
      <c r="M134" s="6">
        <f>I134-F134</f>
        <v>2.5775462963792961E-2</v>
      </c>
      <c r="N134" s="7">
        <f>24*60*SUM($M134:$M134)</f>
        <v>37.116666667861864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-10-18T18:53:37-0600',mode:absolute,to:'2017-10-18T21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23.2989</v>
      </c>
      <c r="Z134" s="204">
        <f>RIGHT(H134,LEN(H134)-4)/10000</f>
        <v>1.4999999999999999E-2</v>
      </c>
      <c r="AA134" s="204">
        <f>ABS(Z134-Y134)</f>
        <v>23.283899999999999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>VALUE(LEFT(A134,LEN(A134)-3))</f>
        <v>222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s3://rtdc.mdm.uploadarchive.raw/RTDC4025/ "%USERPROFILE%\AppData\Local\Temp\OnboardLogs"\RTDC4025\2017-10-18 --exclude "*" --recursive --include "*20171018*" &amp; "%USERPROFILE%\Documents\GitHub\mrs-test-scripts\Headless Mode &amp; Sideloading\WalkAndUnGZ.bat" "%USERPROFILE%\AppData\Local\Temp\OnboardLogs"\RTDC4025\2017-10-18 &amp; aws s3 cp s3://rtdc.mdm.uploadarchive.raw/RTDC4025/ "%USERPROFILE%\AppData\Local\Temp\OnboardLogs"\RTDC4025\2017-10-19 --exclude "*" --recursive --include "*20171019*" &amp; "%USERPROFILE%\Documents\GitHub\mrs-test-scripts\Headless Mode &amp; Sideloading\WalkAndUnGZ.bat" "%USERPROFILE%\AppData\Local\Temp\OnboardLogs"\RTDC4025\2017-10-19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/stypes="app*4025*20171019*" /stext=" 02:.+((SYSTEM_STATE.+slice.+state.+changed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16"/>
        <v>"%USERPROFILE%\Documents\GitHub\eaglep3\Utilities\RefineRTDCRunTimes.py" --tripid 222-18 --locoid 4025 --swversion DE.1.0.9.0 --startMP 204:232989 --initTime 2017-10-18T19:53:37 --startdatetime 2017-10-18T19:57:24 --delay 86 --endMP 204:150 --enddatetime 2017-10-18T20:34:31 --enforcementcount 0 &gt;&gt;%USERPROFILE%\Documents\GitHub\eaglep3-reporting\EC\2017-10-18-refined-times.txt</v>
      </c>
      <c r="AI134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{"issue":{"subject":"","project_id":79,"tracker_id":40,"status_id":1,"priority_id":2,"assigned_to_id":338,"start_date":"2017-10-18","description":"","custom_fields":[{"id":1,"name":"Subdivision","value":"EC"},{"id":4,"name":"Milepost","value":"0.015"},{"id":17,"name":"Train ID","value":"222-18"},{"id":16,"name":"Locomotive ID","value":"4025"},{"id":130,"name":"Impact","value":""},{"id":150,"name":"Time of Event (Mountain Time)","value":"20:34:31"},{"id":151,"name":"Denver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8"/>
        <v>start /low /b %USERPROFILE%\Documents\GitHub\eaglep3\Utilities\DownloadLogsFromS3.py --loco 4025 --day 2017-10-18</v>
      </c>
      <c r="AN134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02:34:31"},{"id":29,"name":"Sharepoint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20"/>
        <v>https://d0f6bd738d7f1b3e5a7ca70fe4ff75f0.us-east-1.aws.found.io/app/kibana#/discover/Steve-Slow-Train-Analysis-(2080s-and-2083s)?_g=(refreshInterval:(display:Off,pause:!f,section:0,value:0),time:(from:'2017-10-18T18:53:37-0600',mode:absolute,to:'2017-10-18T21:34:31-0600'))&amp;_a=(columns:!('Message%20ID',Summary),filters:!(),index:'emp_*',interval:auto,query:(query_string:(analyze_wildcard:!t,query:'%22rtdc.l.rtdc.4025%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781</v>
      </c>
      <c r="B135" s="7">
        <v>4020</v>
      </c>
      <c r="C135" s="21" t="s">
        <v>194</v>
      </c>
      <c r="D135" s="21" t="s">
        <v>860</v>
      </c>
      <c r="E135" s="13">
        <v>43026.810428240744</v>
      </c>
      <c r="F135" s="13">
        <v>43026.812685185185</v>
      </c>
      <c r="G135" s="7">
        <v>78</v>
      </c>
      <c r="H135" s="21" t="s">
        <v>861</v>
      </c>
      <c r="I135" s="13">
        <v>43026.837280092594</v>
      </c>
      <c r="J135" s="7">
        <v>0</v>
      </c>
      <c r="K135" s="89" t="str">
        <f>IF(ISEVEN(B135),(B135-1)&amp;"/"&amp;B135,B135&amp;"/"&amp;(B135+1))</f>
        <v>4019/4020</v>
      </c>
      <c r="L135" s="185" t="str">
        <f>VLOOKUP(A135,'Trips&amp;Operators'!$C$1:$G$99911,5,FALSE)</f>
        <v>DUNCAN SHEILA</v>
      </c>
      <c r="M135" s="6">
        <f>I135-F135</f>
        <v>2.4594907408754807E-2</v>
      </c>
      <c r="N135" s="7">
        <f>24*60*SUM($M135:$M135)</f>
        <v>35.416666668606922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-10-18T18:27:01-0600',mode:absolute,to:'2017-10-18T21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4.6600000000000003E-2</v>
      </c>
      <c r="Z135" s="204">
        <f>RIGHT(H135,LEN(H135)-4)/10000</f>
        <v>23.337199999999999</v>
      </c>
      <c r="AA135" s="204">
        <f>ABS(Z135-Y135)</f>
        <v>23.290599999999998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>VALUE(LEFT(A135,LEN(A135)-3))</f>
        <v>223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 &amp; aws s3 cp s3://rtdc.mdm.uploadarchive.raw/RTDC4020/ "%USERPROFILE%\AppData\Local\Temp\OnboardLogs"\RTDC4020\2017-10-19 --exclude "*" --recursive --include "*20171019*" &amp; "%USERPROFILE%\Documents\GitHub\mrs-test-scripts\Headless Mode &amp; Sideloading\WalkAndUnGZ.bat" "%USERPROFILE%\AppData\Local\Temp\OnboardLogs"\RTDC4020\2017-10-19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/stypes="app*4020*20171019*"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16"/>
        <v>"%USERPROFILE%\Documents\GitHub\eaglep3\Utilities\RefineRTDCRunTimes.py" --tripid 223-18 --locoid 4020 --swversion DE.1.0.9.0 --startMP 204:466 --initTime 2017-10-18T19:27:01 --startdatetime 2017-10-18T19:30:16 --delay 78 --endMP 204:233372 --enddatetime 2017-10-18T20:05:41 --enforcementcount 0 &gt;&gt;%USERPROFILE%\Documents\GitHub\eaglep3-reporting\EC\2017-10-18-refined-times.txt</v>
      </c>
      <c r="AI135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{"issue":{"subject":"","project_id":79,"tracker_id":40,"status_id":1,"priority_id":2,"assigned_to_id":338,"start_date":"2017-10-18","description":"","custom_fields":[{"id":1,"name":"Subdivision","value":"EC"},{"id":4,"name":"Milepost","value":"23.3372"},{"id":17,"name":"Train ID","value":"223-18"},{"id":16,"name":"Locomotive ID","value":"4020"},{"id":130,"name":"Impact","value":""},{"id":150,"name":"Time of Event (Mountain Time)","value":"20:05:41"},{"id":151,"name":"Denver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18"/>
        <v>start /low /b %USERPROFILE%\Documents\GitHub\eaglep3\Utilities\DownloadLogsFromS3.py --loco 4020 --day 2017-10-18</v>
      </c>
      <c r="AN135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02:05:41"},{"id":29,"name":"Sharepoint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20"/>
        <v>https://d0f6bd738d7f1b3e5a7ca70fe4ff75f0.us-east-1.aws.found.io/app/kibana#/discover/Steve-Slow-Train-Analysis-(2080s-and-2083s)?_g=(refreshInterval:(display:Off,pause:!f,section:0,value:0),time:(from:'2017-10-18T18:27:01-0600',mode:absolute,to:'2017-10-18T21:05:41-0600'))&amp;_a=(columns:!('Message%20ID',Summary),filters:!(),index:'emp_*',interval:auto,query:(query_string:(analyze_wildcard:!t,query:'%22rtdc.l.rtdc.4020%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787</v>
      </c>
      <c r="B136" s="7">
        <v>4019</v>
      </c>
      <c r="C136" s="21" t="s">
        <v>194</v>
      </c>
      <c r="D136" s="21" t="s">
        <v>860</v>
      </c>
      <c r="E136" s="13">
        <v>43026.810428240744</v>
      </c>
      <c r="F136" s="13">
        <v>43026.85229166667</v>
      </c>
      <c r="G136" s="7">
        <v>78</v>
      </c>
      <c r="H136" s="21" t="s">
        <v>861</v>
      </c>
      <c r="I136" s="13">
        <v>43026.878020833334</v>
      </c>
      <c r="J136" s="7">
        <v>0</v>
      </c>
      <c r="K136" s="89" t="str">
        <f>IF(ISEVEN(B136),(B136-1)&amp;"/"&amp;B136,B136&amp;"/"&amp;(B136+1))</f>
        <v>4019/4020</v>
      </c>
      <c r="L136" s="185" t="str">
        <f>VLOOKUP(A136,'Trips&amp;Operators'!$C$1:$G$99911,5,FALSE)</f>
        <v>DUNCAN SHEILA</v>
      </c>
      <c r="M136" s="6">
        <f>I136-F136</f>
        <v>2.5729166663950309E-2</v>
      </c>
      <c r="N136" s="7">
        <f>24*60*SUM($M136:$M136)</f>
        <v>37.049999996088445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-10-18T18:27:01-0600',mode:absolute,to:'2017-10-18T22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v>23.2989</v>
      </c>
      <c r="Z136" s="204">
        <v>1.4999999999999999E-2</v>
      </c>
      <c r="AA136" s="204">
        <f>ABS(Z136-Y136)</f>
        <v>23.283899999999999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>VALUE(LEFT(A136,LEN(A136)-3))</f>
        <v>224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s3://rtdc.mdm.uploadarchive.raw/RTDC4019/ "%USERPROFILE%\AppData\Local\Temp\OnboardLogs"\RTDC4019\2017-10-18 --exclude "*" --recursive --include "*20171018*" &amp; "%USERPROFILE%\Documents\GitHub\mrs-test-scripts\Headless Mode &amp; Sideloading\WalkAndUnGZ.bat" "%USERPROFILE%\AppData\Local\Temp\OnboardLogs"\RTDC4019\2017-10-18 &amp; aws s3 cp s3://rtdc.mdm.uploadarchive.raw/RTDC4019/ "%USERPROFILE%\AppData\Local\Temp\OnboardLogs"\RTDC4019\2017-10-19 --exclude "*" --recursive --include "*20171019*" &amp; "%USERPROFILE%\Documents\GitHub\mrs-test-scripts\Headless Mode &amp; Sideloading\WalkAndUnGZ.bat" "%USERPROFILE%\AppData\Local\Temp\OnboardLogs"\RTDC4019\2017-10-19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/stypes="app*4019*20171019*" /stext=" 03:.+((SYSTEM_STATE.+slice.+state.+changed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ref="AH136" si="32">refinertdcruntimes&amp;" --tripid "&amp;A136&amp;" --locoid "&amp;B136&amp;" --swversion "&amp;C136&amp;" --startMP "&amp;D136&amp;" --initTime "&amp;TEXT(E136,"yyyy-mm-ddTHH:MM:SS")&amp;" --startdatetime "&amp;TEXT(F136,"yyyy-mm-ddTHH:MM:SS")&amp;" --delay "&amp;G136&amp;" --endMP "&amp;H136&amp;" --enddatetime "&amp;TEXT(I136,"yyyy-mm-ddTHH:MM:SS")&amp;" --enforcementcount "&amp;J136&amp;IF(outputrefinedruntimes," &gt;&gt;"&amp;RefinedRTDCRunTimesOutputFile,"")</f>
        <v>"%USERPROFILE%\Documents\GitHub\eaglep3\Utilities\RefineRTDCRunTimes.py" --tripid 224-18 --locoid 4019 --swversion DE.1.0.9.0 --startMP 204:466 --initTime 2017-10-18T19:27:01 --startdatetime 2017-10-18T20:27:18 --delay 78 --endMP 204:233372 --enddatetime 2017-10-18T21:04:21 --enforcementcount 0 &gt;&gt;%USERPROFILE%\Documents\GitHub\eaglep3-reporting\EC\2017-10-18-refined-times.txt</v>
      </c>
      <c r="AI136" s="96" t="str">
        <f t="shared" ref="AI136" si="33">"echo {""issue"":{""subject"":"""&amp;R136&amp;""",""project_id"":79,""tracker_id"":40,""status_id"":"&amp;redmine_status&amp;",""priority_id"":"&amp;redmine_priority&amp;",""assigned_to_id"":"&amp;redmine_assignee&amp;",""start_date"":"""&amp;TEXT(I136,"YYYY-mm-dd")&amp;""",""description"":"""&amp;AJ136&amp;""",""custom_fields"":[{""id"":1,""name"":""Subdivision"",""value"":"""&amp;AG136&amp;"""},{""id"":4,""name"":""Milepost"",""value"":"""&amp;Z136&amp;"""},{""id"":17,""name"":""Train ID"",""value"":"""&amp;A136&amp;"""},{""id"":16,""name"":""Locomotive ID"",""value"":"""&amp;B136&amp;"""},{""id"":130,""name"":""Impact"",""value"":"""&amp;AK136&amp;"""},{""id"":150,""name"":""Time of Event (Mountain Time)"",""value"":"""&amp;TEXT(I136,"hh:mm:ss")&amp;"""},{""id"":151,""name"":""Denver Issue ID"",""value"":"""&amp;"""},{""id"":178,""name"":""Operational Impact"",""value"":"""&amp;redmine_op_impact&amp;"""},{""id"":179,""name"":""Denver Segment Assigned"",""value"":"""&amp;AL136&amp;"""}]}}"&amp;"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{"issue":{"subject":"","project_id":79,"tracker_id":40,"status_id":1,"priority_id":2,"assigned_to_id":338,"start_date":"2017-10-18","description":"","custom_fields":[{"id":1,"name":"Subdivision","value":"EC"},{"id":4,"name":"Milepost","value":"0.015"},{"id":17,"name":"Train ID","value":"224-18"},{"id":16,"name":"Locomotive ID","value":"4019"},{"id":130,"name":"Impact","value":""},{"id":150,"name":"Time of Event (Mountain Time)","value":"21:04:21"},{"id":151,"name":"Denver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ref="AM136" si="34">"start /low /b "&amp;dls3logs&amp;" --loco "&amp;B136&amp;" --day "&amp;TEXT(F136,"YYYY-MM-DD")</f>
        <v>start /low /b %USERPROFILE%\Documents\GitHub\eaglep3\Utilities\DownloadLogsFromS3.py --loco 4019 --day 2017-10-18</v>
      </c>
      <c r="AN136" s="151" t="str">
        <f t="shared" ref="AN136" si="35">"echo {""issue"":{""subject"":"""&amp;R136&amp;""",""project_id"":30,""tracker_id"":4,""status_id"":"&amp;redmine_status_wcr&amp;",""priority_id"":"&amp;redmine_priority_wcr&amp;",""assigned_to_id"":"&amp;redmine_assignee_wcr&amp;",""start_date"":"""&amp;TEXT(I136-utc_offset/24,"YYYY-mm-dd")&amp;""",""description"":"""&amp;AJ136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03:04:21"},{"id":29,"name":"Sharepoint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ref="AO136" si="36"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Message%20ID',Summary),filters:!(),index:'emp_*',interval:auto,query:"&amp;"(query_string:(analyze_wildcard:!t,query:'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-10-18T18:27:01-0600',mode:absolute,to:'2017-10-18T22:04:21-0600'))&amp;_a=(columns:!('Message%20ID',Summary),filters:!(),index:'emp_*',interval:auto,query:(query_string:(analyze_wildcard:!t,query:'%22rtdc.l.rtdc.4019%22')),sort:!(Time.ISO8601,asc))</v>
      </c>
    </row>
    <row r="137" spans="1:91" s="20" customFormat="1" x14ac:dyDescent="0.3">
      <c r="A137" s="32" t="s">
        <v>785</v>
      </c>
      <c r="B137" s="7">
        <v>4040</v>
      </c>
      <c r="C137" s="21" t="s">
        <v>194</v>
      </c>
      <c r="D137" s="21" t="s">
        <v>388</v>
      </c>
      <c r="E137" s="13">
        <v>43026.830706018518</v>
      </c>
      <c r="F137" s="13">
        <v>43026.83353009259</v>
      </c>
      <c r="G137" s="7">
        <v>128</v>
      </c>
      <c r="H137" s="21" t="s">
        <v>862</v>
      </c>
      <c r="I137" s="13">
        <v>43026.857719907406</v>
      </c>
      <c r="J137" s="7">
        <v>0</v>
      </c>
      <c r="K137" s="89" t="str">
        <f>IF(ISEVEN(B137),(B137-1)&amp;"/"&amp;B137,B137&amp;"/"&amp;(B137+1))</f>
        <v>4039/4040</v>
      </c>
      <c r="L137" s="185" t="str">
        <f>VLOOKUP(A137,'Trips&amp;Operators'!$C$1:$G$99911,5,FALSE)</f>
        <v>LOZA FIDEL</v>
      </c>
      <c r="M137" s="6">
        <f>I137-F137</f>
        <v>2.4189814816054422E-2</v>
      </c>
      <c r="N137" s="7">
        <f>24*60*SUM($M137:$M137)</f>
        <v>34.833333335118368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-10-18T18:56:13-0600',mode:absolute,to:'2017-10-18T21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7" s="204" t="str">
        <f>IF(AA137&lt;VLOOKUP(AG137,Variables!$AC$3:$AD$8,2,FALSE),"Y","N")</f>
        <v>N</v>
      </c>
      <c r="X137" s="204">
        <f t="shared" ref="X137:X140" si="37">VALUE(LEFT(AD137,4))-VALUE(LEFT(AD136,4))</f>
        <v>1</v>
      </c>
      <c r="Y137" s="204">
        <f>RIGHT(D137,LEN(D137)-4)/10000</f>
        <v>4.7300000000000002E-2</v>
      </c>
      <c r="Z137" s="204">
        <f>RIGHT(H137,LEN(H137)-4)/10000</f>
        <v>23.3338</v>
      </c>
      <c r="AA137" s="204">
        <f>ABS(Z137-Y137)</f>
        <v>23.2865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>VALUE(LEFT(A137,LEN(A137)-3))</f>
        <v>225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s3://rtdc.mdm.uploadarchive.raw/RTDC4040/ "%USERPROFILE%\AppData\Local\Temp\OnboardLogs"\RTDC4040\2017-10-18 --exclude "*" --recursive --include "*20171018*" &amp; "%USERPROFILE%\Documents\GitHub\mrs-test-scripts\Headless Mode &amp; Sideloading\WalkAndUnGZ.bat" "%USERPROFILE%\AppData\Local\Temp\OnboardLogs"\RTDC4040\2017-10-18 &amp; aws s3 cp s3://rtdc.mdm.uploadarchive.raw/RTDC4040/ "%USERPROFILE%\AppData\Local\Temp\OnboardLogs"\RTDC4040\2017-10-19 --exclude "*" --recursive --include "*20171019*" &amp; "%USERPROFILE%\Documents\GitHub\mrs-test-scripts\Headless Mode &amp; Sideloading\WalkAndUnGZ.bat" "%USERPROFILE%\AppData\Local\Temp\OnboardLogs"\RTDC4040\2017-10-19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/stypes="app*4040*20171019*" /stext=" 02:.+((SYSTEM_STATE.+slice.+state.+changed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16"/>
        <v>"%USERPROFILE%\Documents\GitHub\eaglep3\Utilities\RefineRTDCRunTimes.py" --tripid 225-18 --locoid 4040 --swversion DE.1.0.9.0 --startMP 204:473 --initTime 2017-10-18T19:56:13 --startdatetime 2017-10-18T20:00:17 --delay 128 --endMP 204:233338 --enddatetime 2017-10-18T20:35:07 --enforcementcount 0 &gt;&gt;%USERPROFILE%\Documents\GitHub\eaglep3-reporting\EC\2017-10-18-refined-times.txt</v>
      </c>
      <c r="AI137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{"issue":{"subject":"","project_id":79,"tracker_id":40,"status_id":1,"priority_id":2,"assigned_to_id":338,"start_date":"2017-10-18","description":"","custom_fields":[{"id":1,"name":"Subdivision","value":"EC"},{"id":4,"name":"Milepost","value":"23.3338"},{"id":17,"name":"Train ID","value":"225-18"},{"id":16,"name":"Locomotive ID","value":"4040"},{"id":130,"name":"Impact","value":""},{"id":150,"name":"Time of Event (Mountain Time)","value":"20:35:07"},{"id":151,"name":"Denver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8"/>
        <v>start /low /b %USERPROFILE%\Documents\GitHub\eaglep3\Utilities\DownloadLogsFromS3.py --loco 4040 --day 2017-10-18</v>
      </c>
      <c r="AN137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02:35:07"},{"id":29,"name":"Sharepoint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20"/>
        <v>https://d0f6bd738d7f1b3e5a7ca70fe4ff75f0.us-east-1.aws.found.io/app/kibana#/discover/Steve-Slow-Train-Analysis-(2080s-and-2083s)?_g=(refreshInterval:(display:Off,pause:!f,section:0,value:0),time:(from:'2017-10-18T18:56:13-0600',mode:absolute,to:'2017-10-18T21:35:07-0600'))&amp;_a=(columns:!('Message%20ID',Summary),filters:!(),index:'emp_*',interval:auto,query:(query_string:(analyze_wildcard:!t,query:'%22rtdc.l.rtdc.4040%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791</v>
      </c>
      <c r="B138" s="7">
        <v>4039</v>
      </c>
      <c r="C138" s="21" t="s">
        <v>194</v>
      </c>
      <c r="D138" s="21" t="s">
        <v>449</v>
      </c>
      <c r="E138" s="13">
        <v>43026.870972222219</v>
      </c>
      <c r="F138" s="13">
        <v>43026.875173611108</v>
      </c>
      <c r="G138" s="7">
        <v>75</v>
      </c>
      <c r="H138" s="21" t="s">
        <v>355</v>
      </c>
      <c r="I138" s="13">
        <v>43026.900937500002</v>
      </c>
      <c r="J138" s="7">
        <v>0</v>
      </c>
      <c r="K138" s="89" t="str">
        <f>IF(ISEVEN(B138),(B138-1)&amp;"/"&amp;B138,B138&amp;"/"&amp;(B138+1))</f>
        <v>4039/4040</v>
      </c>
      <c r="L138" s="185" t="str">
        <f>VLOOKUP(A138,'Trips&amp;Operators'!$C$1:$G$99911,5,FALSE)</f>
        <v>LOZA FIDEL</v>
      </c>
      <c r="M138" s="6">
        <f>I138-F138</f>
        <v>2.5763888894289266E-2</v>
      </c>
      <c r="N138" s="7">
        <f>24*60*SUM($M138:$M138)</f>
        <v>37.100000007776543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-10-18T19:54:12-0600',mode:absolute,to:'2017-10-18T22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8" s="204" t="str">
        <f>IF(AA138&lt;VLOOKUP(AG138,Variables!$AC$3:$AD$8,2,FALSE),"Y","N")</f>
        <v>N</v>
      </c>
      <c r="X138" s="204">
        <f t="shared" si="37"/>
        <v>1</v>
      </c>
      <c r="Y138" s="204">
        <f>RIGHT(D138,LEN(D138)-4)/10000</f>
        <v>23.302099999999999</v>
      </c>
      <c r="Z138" s="204">
        <f>RIGHT(H138,LEN(H138)-4)/10000</f>
        <v>1.4500000000000001E-2</v>
      </c>
      <c r="AA138" s="204">
        <f>ABS(Z138-Y138)</f>
        <v>23.287599999999998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>VALUE(LEFT(A138,LEN(A138)-3))</f>
        <v>226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s3://rtdc.mdm.uploadarchive.raw/RTDC4039/ "%USERPROFILE%\AppData\Local\Temp\OnboardLogs"\RTDC4039\2017-10-18 --exclude "*" --recursive --include "*20171018*" &amp; "%USERPROFILE%\Documents\GitHub\mrs-test-scripts\Headless Mode &amp; Sideloading\WalkAndUnGZ.bat" "%USERPROFILE%\AppData\Local\Temp\OnboardLogs"\RTDC4039\2017-10-18 &amp; aws s3 cp s3://rtdc.mdm.uploadarchive.raw/RTDC4039/ "%USERPROFILE%\AppData\Local\Temp\OnboardLogs"\RTDC4039\2017-10-19 --exclude "*" --recursive --include "*20171019*" &amp; "%USERPROFILE%\Documents\GitHub\mrs-test-scripts\Headless Mode &amp; Sideloading\WalkAndUnGZ.bat" "%USERPROFILE%\AppData\Local\Temp\OnboardLogs"\RTDC4039\2017-10-19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/stypes="app*4039*20171019*" /stext=" 03:.+((SYSTEM_STATE.+slice.+state.+changed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6"/>
        <v>"%USERPROFILE%\Documents\GitHub\eaglep3\Utilities\RefineRTDCRunTimes.py" --tripid 226-18 --locoid 4039 --swversion DE.1.0.9.0 --startMP 204:233021 --initTime 2017-10-18T20:54:12 --startdatetime 2017-10-18T21:00:15 --delay 75 --endMP 204:145 --enddatetime 2017-10-18T21:37:21 --enforcementcount 0 &gt;&gt;%USERPROFILE%\Documents\GitHub\eaglep3-reporting\EC\2017-10-18-refined-times.txt</v>
      </c>
      <c r="AI138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{"issue":{"subject":"","project_id":79,"tracker_id":40,"status_id":1,"priority_id":2,"assigned_to_id":338,"start_date":"2017-10-18","description":"","custom_fields":[{"id":1,"name":"Subdivision","value":"EC"},{"id":4,"name":"Milepost","value":"0.0145"},{"id":17,"name":"Train ID","value":"226-18"},{"id":16,"name":"Locomotive ID","value":"4039"},{"id":130,"name":"Impact","value":""},{"id":150,"name":"Time of Event (Mountain Time)","value":"21:37:21"},{"id":151,"name":"Denver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8"/>
        <v>start /low /b %USERPROFILE%\Documents\GitHub\eaglep3\Utilities\DownloadLogsFromS3.py --loco 4039 --day 2017-10-18</v>
      </c>
      <c r="AN138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03:37:21"},{"id":29,"name":"Sharepoint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20"/>
        <v>https://d0f6bd738d7f1b3e5a7ca70fe4ff75f0.us-east-1.aws.found.io/app/kibana#/discover/Steve-Slow-Train-Analysis-(2080s-and-2083s)?_g=(refreshInterval:(display:Off,pause:!f,section:0,value:0),time:(from:'2017-10-18T19:54:12-0600',mode:absolute,to:'2017-10-18T22:37:21-0600'))&amp;_a=(columns:!('Message%20ID',Summary),filters:!(),index:'emp_*',interval:auto,query:(query_string:(analyze_wildcard:!t,query:'%22rtdc.l.rtdc.4039%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789</v>
      </c>
      <c r="B139" s="7">
        <v>4002</v>
      </c>
      <c r="C139" s="21" t="s">
        <v>194</v>
      </c>
      <c r="D139" s="21" t="s">
        <v>449</v>
      </c>
      <c r="E139" s="13">
        <v>43026.870972222219</v>
      </c>
      <c r="F139" s="13">
        <v>43026.854722222219</v>
      </c>
      <c r="G139" s="7">
        <v>75</v>
      </c>
      <c r="H139" s="21" t="s">
        <v>355</v>
      </c>
      <c r="I139" s="13">
        <v>43026.879999999997</v>
      </c>
      <c r="J139" s="7">
        <v>0</v>
      </c>
      <c r="K139" s="89" t="str">
        <f>IF(ISEVEN(B139),(B139-1)&amp;"/"&amp;B139,B139&amp;"/"&amp;(B139+1))</f>
        <v>4001/4002</v>
      </c>
      <c r="L139" s="185" t="str">
        <f>VLOOKUP(A139,'Trips&amp;Operators'!$C$1:$G$99911,5,FALSE)</f>
        <v>ANDERS STEVEN</v>
      </c>
      <c r="M139" s="6">
        <f>I139-F139</f>
        <v>2.527777777868323E-2</v>
      </c>
      <c r="N139" s="7">
        <f>24*60*SUM($M139:$M139)</f>
        <v>36.400000001303852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-18T19:54:12-0600',mode:absolute,to:'2017-10-18T22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9" s="204" t="str">
        <f>IF(AA139&lt;VLOOKUP(AG139,Variables!$AC$3:$AD$8,2,FALSE),"Y","N")</f>
        <v>N</v>
      </c>
      <c r="X139" s="204">
        <f t="shared" si="37"/>
        <v>1</v>
      </c>
      <c r="Y139" s="204">
        <v>4.7300000000000002E-2</v>
      </c>
      <c r="Z139" s="204">
        <v>23.3338</v>
      </c>
      <c r="AA139" s="204">
        <f>ABS(Z139-Y139)</f>
        <v>23.2865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>VALUE(LEFT(A139,LEN(A139)-3))</f>
        <v>227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s3://rtdc.mdm.uploadarchive.raw/RTDC4002/ "%USERPROFILE%\AppData\Local\Temp\OnboardLogs"\RTDC4002\2017-10-18 --exclude "*" --recursive --include "*20171018*" &amp; "%USERPROFILE%\Documents\GitHub\mrs-test-scripts\Headless Mode &amp; Sideloading\WalkAndUnGZ.bat" "%USERPROFILE%\AppData\Local\Temp\OnboardLogs"\RTDC4002\2017-10-18 &amp; aws s3 cp s3://rtdc.mdm.uploadarchive.raw/RTDC4002/ "%USERPROFILE%\AppData\Local\Temp\OnboardLogs"\RTDC4002\2017-10-19 --exclude "*" --recursive --include "*20171019*" &amp; "%USERPROFILE%\Documents\GitHub\mrs-test-scripts\Headless Mode &amp; Sideloading\WalkAndUnGZ.bat" "%USERPROFILE%\AppData\Local\Temp\OnboardLogs"\RTDC4002\2017-10-19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/stypes="app*4002*20171019*"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ref="AH139" si="38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227-18 --locoid 4002 --swversion DE.1.0.9.0 --startMP 204:233021 --initTime 2017-10-18T20:54:12 --startdatetime 2017-10-18T20:30:48 --delay 75 --endMP 204:145 --enddatetime 2017-10-18T21:07:12 --enforcementcount 0 &gt;&gt;%USERPROFILE%\Documents\GitHub\eaglep3-reporting\EC\2017-10-18-refined-times.txt</v>
      </c>
      <c r="AI139" s="96" t="str">
        <f t="shared" ref="AI139" si="39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{"issue":{"subject":"","project_id":79,"tracker_id":40,"status_id":1,"priority_id":2,"assigned_to_id":338,"start_date":"2017-10-18","description":"","custom_fields":[{"id":1,"name":"Subdivision","value":"EC"},{"id":4,"name":"Milepost","value":"23.3338"},{"id":17,"name":"Train ID","value":"227-18"},{"id":16,"name":"Locomotive ID","value":"4002"},{"id":130,"name":"Impact","value":""},{"id":150,"name":"Time of Event (Mountain Time)","value":"21:07:12"},{"id":151,"name":"Denver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ref="AM139" si="40">"start /low /b "&amp;dls3logs&amp;" --loco "&amp;B139&amp;" --day "&amp;TEXT(F139,"YYYY-MM-DD")</f>
        <v>start /low /b %USERPROFILE%\Documents\GitHub\eaglep3\Utilities\DownloadLogsFromS3.py --loco 4002 --day 2017-10-18</v>
      </c>
      <c r="AN139" s="151" t="str">
        <f t="shared" ref="AN139" si="41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03:07:12"},{"id":29,"name":"Sharepoint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ref="AO139" si="42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-18T19:54:12-0600',mode:absolute,to:'2017-10-18T22:07:12-0600'))&amp;_a=(columns:!('Message%20ID',Summary),filters:!(),index:'emp_*',interval:auto,query:(query_string:(analyze_wildcard:!t,query:'%22rtdc.l.rtdc.4002%22')),sort:!(Time.ISO8601,asc))</v>
      </c>
    </row>
    <row r="140" spans="1:91" s="20" customFormat="1" x14ac:dyDescent="0.3">
      <c r="A140" s="32" t="s">
        <v>792</v>
      </c>
      <c r="B140" s="7">
        <v>4001</v>
      </c>
      <c r="C140" s="21" t="s">
        <v>194</v>
      </c>
      <c r="D140" s="21" t="s">
        <v>525</v>
      </c>
      <c r="E140" s="13">
        <v>43026.886701388888</v>
      </c>
      <c r="F140" s="13">
        <v>43026.89402777778</v>
      </c>
      <c r="G140" s="7">
        <v>73</v>
      </c>
      <c r="H140" s="21" t="s">
        <v>337</v>
      </c>
      <c r="I140" s="13">
        <v>43026.920729166668</v>
      </c>
      <c r="J140" s="7">
        <v>0</v>
      </c>
      <c r="K140" s="89" t="str">
        <f>IF(ISEVEN(B140),(B140-1)&amp;"/"&amp;B140,B140&amp;"/"&amp;(B140+1))</f>
        <v>4001/4002</v>
      </c>
      <c r="L140" s="185" t="str">
        <f>VLOOKUP(A140,'Trips&amp;Operators'!$C$1:$G$99911,5,FALSE)</f>
        <v>ANDERS STEVEN</v>
      </c>
      <c r="M140" s="6">
        <f>I140-F140</f>
        <v>2.6701388887886424E-2</v>
      </c>
      <c r="N140" s="7">
        <f>24*60*SUM($M140:$M140)</f>
        <v>38.44999999855645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-18T20:16:51-0600',mode:absolute,to:'2017-10-18T23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0" s="204" t="str">
        <f>IF(AA140&lt;VLOOKUP(AG140,Variables!$AC$3:$AD$8,2,FALSE),"Y","N")</f>
        <v>N</v>
      </c>
      <c r="X140" s="204">
        <f t="shared" si="37"/>
        <v>1</v>
      </c>
      <c r="Y140" s="204">
        <f>RIGHT(D140,LEN(D140)-4)/10000</f>
        <v>23.299299999999999</v>
      </c>
      <c r="Z140" s="204">
        <f>RIGHT(H140,LEN(H140)-4)/10000</f>
        <v>1.43E-2</v>
      </c>
      <c r="AA140" s="204">
        <f>ABS(Z140-Y140)</f>
        <v>23.285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>VALUE(LEFT(A140,LEN(A140)-3))</f>
        <v>228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s3://rtdc.mdm.uploadarchive.raw/RTDC4001/ "%USERPROFILE%\AppData\Local\Temp\OnboardLogs"\RTDC4001\2017-10-18 --exclude "*" --recursive --include "*20171018*" &amp; "%USERPROFILE%\Documents\GitHub\mrs-test-scripts\Headless Mode &amp; Sideloading\WalkAndUnGZ.bat" "%USERPROFILE%\AppData\Local\Temp\OnboardLogs"\RTDC4001\2017-10-18 &amp; aws s3 cp s3://rtdc.mdm.uploadarchive.raw/RTDC4001/ "%USERPROFILE%\AppData\Local\Temp\OnboardLogs"\RTDC4001\2017-10-19 --exclude "*" --recursive --include "*20171019*" &amp; "%USERPROFILE%\Documents\GitHub\mrs-test-scripts\Headless Mode &amp; Sideloading\WalkAndUnGZ.bat" "%USERPROFILE%\AppData\Local\Temp\OnboardLogs"\RTDC4001\2017-10-19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/stypes="app*4001*20171019*" /stext=" 04:.+((SYSTEM_STATE.+slice.+state.+changed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16"/>
        <v>"%USERPROFILE%\Documents\GitHub\eaglep3\Utilities\RefineRTDCRunTimes.py" --tripid 228-18 --locoid 4001 --swversion DE.1.0.9.0 --startMP 204:232993 --initTime 2017-10-18T21:16:51 --startdatetime 2017-10-18T21:27:24 --delay 73 --endMP 204:143 --enddatetime 2017-10-18T22:05:51 --enforcementcount 0 &gt;&gt;%USERPROFILE%\Documents\GitHub\eaglep3-reporting\EC\2017-10-18-refined-times.txt</v>
      </c>
      <c r="AI140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{"issue":{"subject":"","project_id":79,"tracker_id":40,"status_id":1,"priority_id":2,"assigned_to_id":338,"start_date":"2017-10-18","description":"","custom_fields":[{"id":1,"name":"Subdivision","value":"EC"},{"id":4,"name":"Milepost","value":"0.0143"},{"id":17,"name":"Train ID","value":"228-18"},{"id":16,"name":"Locomotive ID","value":"4001"},{"id":130,"name":"Impact","value":""},{"id":150,"name":"Time of Event (Mountain Time)","value":"22:05:51"},{"id":151,"name":"Denver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18"/>
        <v>start /low /b %USERPROFILE%\Documents\GitHub\eaglep3\Utilities\DownloadLogsFromS3.py --loco 4001 --day 2017-10-18</v>
      </c>
      <c r="AN140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04:05:51"},{"id":29,"name":"Sharepoint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20"/>
        <v>https://d0f6bd738d7f1b3e5a7ca70fe4ff75f0.us-east-1.aws.found.io/app/kibana#/discover/Steve-Slow-Train-Analysis-(2080s-and-2083s)?_g=(refreshInterval:(display:Off,pause:!f,section:0,value:0),time:(from:'2017-10-18T20:16:51-0600',mode:absolute,to:'2017-10-18T23:05:51-0600'))&amp;_a=(columns:!('Message%20ID',Summary),filters:!(),index:'emp_*',interval:auto,query:(query_string:(analyze_wildcard:!t,query:'%22rtdc.l.rtdc.4001%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790</v>
      </c>
      <c r="B141" s="7">
        <v>4026</v>
      </c>
      <c r="C141" s="21" t="s">
        <v>194</v>
      </c>
      <c r="D141" s="21" t="s">
        <v>367</v>
      </c>
      <c r="E141" s="13">
        <v>43026.869988425926</v>
      </c>
      <c r="F141" s="13">
        <v>43026.875162037039</v>
      </c>
      <c r="G141" s="7">
        <v>65</v>
      </c>
      <c r="H141" s="21" t="s">
        <v>863</v>
      </c>
      <c r="I141" s="13">
        <v>43026.899687500001</v>
      </c>
      <c r="J141" s="7">
        <v>0</v>
      </c>
      <c r="K141" s="89" t="str">
        <f>IF(ISEVEN(B141),(B141-1)&amp;"/"&amp;B141,B141&amp;"/"&amp;(B141+1))</f>
        <v>4025/4026</v>
      </c>
      <c r="L141" s="185" t="str">
        <f>VLOOKUP(A141,'Trips&amp;Operators'!$C$1:$G$99911,5,FALSE)</f>
        <v>RESPASS AARON</v>
      </c>
      <c r="M141" s="6">
        <f>I141-F141</f>
        <v>2.4525462962628808E-2</v>
      </c>
      <c r="N141" s="7">
        <f>24*60*SUM($M141:$M141)</f>
        <v>35.316666666185483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-18T19:52:47-0600',mode:absolute,to:'2017-10-18T22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4.5100000000000001E-2</v>
      </c>
      <c r="Z141" s="204">
        <f>RIGHT(H141,LEN(H141)-4)/10000</f>
        <v>23.331700000000001</v>
      </c>
      <c r="AA141" s="204">
        <f>ABS(Z141-Y141)</f>
        <v>23.2866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>VALUE(LEFT(A141,LEN(A141)-3))</f>
        <v>229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s3://rtdc.mdm.uploadarchive.raw/RTDC4026/ "%USERPROFILE%\AppData\Local\Temp\OnboardLogs"\RTDC4026\2017-10-18 --exclude "*" --recursive --include "*20171018*" &amp; "%USERPROFILE%\Documents\GitHub\mrs-test-scripts\Headless Mode &amp; Sideloading\WalkAndUnGZ.bat" "%USERPROFILE%\AppData\Local\Temp\OnboardLogs"\RTDC4026\2017-10-18 &amp; aws s3 cp s3://rtdc.mdm.uploadarchive.raw/RTDC4026/ "%USERPROFILE%\AppData\Local\Temp\OnboardLogs"\RTDC4026\2017-10-19 --exclude "*" --recursive --include "*20171019*" &amp; "%USERPROFILE%\Documents\GitHub\mrs-test-scripts\Headless Mode &amp; Sideloading\WalkAndUnGZ.bat" "%USERPROFILE%\AppData\Local\Temp\OnboardLogs"\RTDC4026\2017-10-19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/stypes="app*4026*20171019*" /stext=" 03:.+((SYSTEM_STATE.+slice.+state.+changed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16"/>
        <v>"%USERPROFILE%\Documents\GitHub\eaglep3\Utilities\RefineRTDCRunTimes.py" --tripid 229-18 --locoid 4026 --swversion DE.1.0.9.0 --startMP 204:451 --initTime 2017-10-18T20:52:47 --startdatetime 2017-10-18T21:00:14 --delay 65 --endMP 204:233317 --enddatetime 2017-10-18T21:35:33 --enforcementcount 0 &gt;&gt;%USERPROFILE%\Documents\GitHub\eaglep3-reporting\EC\2017-10-18-refined-times.txt</v>
      </c>
      <c r="AI141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{"issue":{"subject":"","project_id":79,"tracker_id":40,"status_id":1,"priority_id":2,"assigned_to_id":338,"start_date":"2017-10-18","description":"","custom_fields":[{"id":1,"name":"Subdivision","value":"EC"},{"id":4,"name":"Milepost","value":"23.3317"},{"id":17,"name":"Train ID","value":"229-18"},{"id":16,"name":"Locomotive ID","value":"4026"},{"id":130,"name":"Impact","value":""},{"id":150,"name":"Time of Event (Mountain Time)","value":"21:35:33"},{"id":151,"name":"Denver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18"/>
        <v>start /low /b %USERPROFILE%\Documents\GitHub\eaglep3\Utilities\DownloadLogsFromS3.py --loco 4026 --day 2017-10-18</v>
      </c>
      <c r="AN141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03:35:33"},{"id":29,"name":"Sharepoint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20"/>
        <v>https://d0f6bd738d7f1b3e5a7ca70fe4ff75f0.us-east-1.aws.found.io/app/kibana#/discover/Steve-Slow-Train-Analysis-(2080s-and-2083s)?_g=(refreshInterval:(display:Off,pause:!f,section:0,value:0),time:(from:'2017-10-18T19:52:47-0600',mode:absolute,to:'2017-10-18T22:35:33-0600'))&amp;_a=(columns:!('Message%20ID',Summary),filters:!(),index:'emp_*',interval:auto,query:(query_string:(analyze_wildcard:!t,query:'%22rtdc.l.rtdc.4026%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591</v>
      </c>
      <c r="B142" s="7">
        <v>4025</v>
      </c>
      <c r="C142" s="21" t="s">
        <v>194</v>
      </c>
      <c r="D142" s="21" t="s">
        <v>411</v>
      </c>
      <c r="E142" s="13">
        <v>43026.911956018521</v>
      </c>
      <c r="F142" s="13">
        <v>43026.914756944447</v>
      </c>
      <c r="G142" s="7">
        <v>76</v>
      </c>
      <c r="H142" s="21" t="s">
        <v>357</v>
      </c>
      <c r="I142" s="13">
        <v>43026.941504629627</v>
      </c>
      <c r="J142" s="7">
        <v>0</v>
      </c>
      <c r="K142" s="89" t="str">
        <f>IF(ISEVEN(B142),(B142-1)&amp;"/"&amp;B142,B142&amp;"/"&amp;(B142+1))</f>
        <v>4025/4026</v>
      </c>
      <c r="L142" s="185" t="str">
        <f>VLOOKUP(A142,'Trips&amp;Operators'!$C$1:$G$99911,5,FALSE)</f>
        <v>RESPASS AARON</v>
      </c>
      <c r="M142" s="6">
        <f>I142-F142</f>
        <v>2.6747685180453118E-2</v>
      </c>
      <c r="N142" s="7">
        <f>24*60*SUM($M142:$M142)</f>
        <v>38.51666665985249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-18T20:53:13-0600',mode:absolute,to:'2017-10-18T23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23.299399999999999</v>
      </c>
      <c r="Z142" s="204">
        <f>RIGHT(H142,LEN(H142)-4)/10000</f>
        <v>1.5599999999999999E-2</v>
      </c>
      <c r="AA142" s="204">
        <f>ABS(Z142-Y142)</f>
        <v>23.283799999999999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>VALUE(LEFT(A142,LEN(A142)-3))</f>
        <v>230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s3://rtdc.mdm.uploadarchive.raw/RTDC4025/ "%USERPROFILE%\AppData\Local\Temp\OnboardLogs"\RTDC4025\2017-10-18 --exclude "*" --recursive --include "*20171018*" &amp; "%USERPROFILE%\Documents\GitHub\mrs-test-scripts\Headless Mode &amp; Sideloading\WalkAndUnGZ.bat" "%USERPROFILE%\AppData\Local\Temp\OnboardLogs"\RTDC4025\2017-10-18 &amp; aws s3 cp s3://rtdc.mdm.uploadarchive.raw/RTDC4025/ "%USERPROFILE%\AppData\Local\Temp\OnboardLogs"\RTDC4025\2017-10-19 --exclude "*" --recursive --include "*20171019*" &amp; "%USERPROFILE%\Documents\GitHub\mrs-test-scripts\Headless Mode &amp; Sideloading\WalkAndUnGZ.bat" "%USERPROFILE%\AppData\Local\Temp\OnboardLogs"\RTDC4025\2017-10-19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/stypes="app*4025*20171019*" /stext=" 04:.+((SYSTEM_STATE.+slice.+state.+changed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16"/>
        <v>"%USERPROFILE%\Documents\GitHub\eaglep3\Utilities\RefineRTDCRunTimes.py" --tripid 230-18 --locoid 4025 --swversion DE.1.0.9.0 --startMP 204:232994 --initTime 2017-10-18T21:53:13 --startdatetime 2017-10-18T21:57:15 --delay 76 --endMP 204:156 --enddatetime 2017-10-18T22:35:46 --enforcementcount 0 &gt;&gt;%USERPROFILE%\Documents\GitHub\eaglep3-reporting\EC\2017-10-18-refined-times.txt</v>
      </c>
      <c r="AI142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{"issue":{"subject":"","project_id":79,"tracker_id":40,"status_id":1,"priority_id":2,"assigned_to_id":338,"start_date":"2017-10-18","description":"","custom_fields":[{"id":1,"name":"Subdivision","value":"EC"},{"id":4,"name":"Milepost","value":"0.0156"},{"id":17,"name":"Train ID","value":"230-18"},{"id":16,"name":"Locomotive ID","value":"4025"},{"id":130,"name":"Impact","value":""},{"id":150,"name":"Time of Event (Mountain Time)","value":"22:35:46"},{"id":151,"name":"Denver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18"/>
        <v>start /low /b %USERPROFILE%\Documents\GitHub\eaglep3\Utilities\DownloadLogsFromS3.py --loco 4025 --day 2017-10-18</v>
      </c>
      <c r="AN142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04:35:46"},{"id":29,"name":"Sharepoint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20"/>
        <v>https://d0f6bd738d7f1b3e5a7ca70fe4ff75f0.us-east-1.aws.found.io/app/kibana#/discover/Steve-Slow-Train-Analysis-(2080s-and-2083s)?_g=(refreshInterval:(display:Off,pause:!f,section:0,value:0),time:(from:'2017-10-18T20:53:13-0600',mode:absolute,to:'2017-10-18T23:35:46-0600'))&amp;_a=(columns:!('Message%20ID',Summary),filters:!(),index:'emp_*',interval:auto,query:(query_string:(analyze_wildcard:!t,query:'%22rtdc.l.rtdc.4025%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793</v>
      </c>
      <c r="B143" s="7">
        <v>4020</v>
      </c>
      <c r="C143" s="21" t="s">
        <v>194</v>
      </c>
      <c r="D143" s="21" t="s">
        <v>344</v>
      </c>
      <c r="E143" s="13">
        <v>43026.888969907406</v>
      </c>
      <c r="F143" s="13">
        <v>43026.896111111113</v>
      </c>
      <c r="G143" s="7">
        <v>74</v>
      </c>
      <c r="H143" s="21" t="s">
        <v>864</v>
      </c>
      <c r="I143" s="13">
        <v>43026.921006944445</v>
      </c>
      <c r="J143" s="7">
        <v>0</v>
      </c>
      <c r="K143" s="89" t="str">
        <f>IF(ISEVEN(B143),(B143-1)&amp;"/"&amp;B143,B143&amp;"/"&amp;(B143+1))</f>
        <v>4019/4020</v>
      </c>
      <c r="L143" s="185" t="str">
        <f>VLOOKUP(A143,'Trips&amp;Operators'!$C$1:$G$99911,5,FALSE)</f>
        <v>DUNCAN SHEILA</v>
      </c>
      <c r="M143" s="6">
        <f>I143-F143</f>
        <v>2.4895833332266193E-2</v>
      </c>
      <c r="N143" s="7">
        <f>24*60*SUM($M143:$M143)</f>
        <v>35.849999998463318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-18T20:20:07-0600',mode:absolute,to:'2017-10-18T23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4.5499999999999999E-2</v>
      </c>
      <c r="Z143" s="204">
        <f>RIGHT(H143,LEN(H143)-4)/10000</f>
        <v>23.3353</v>
      </c>
      <c r="AA143" s="204">
        <f>ABS(Z143-Y143)</f>
        <v>23.2898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>VALUE(LEFT(A143,LEN(A143)-3))</f>
        <v>231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 &amp; aws s3 cp s3://rtdc.mdm.uploadarchive.raw/RTDC4020/ "%USERPROFILE%\AppData\Local\Temp\OnboardLogs"\RTDC4020\2017-10-19 --exclude "*" --recursive --include "*20171019*" &amp; "%USERPROFILE%\Documents\GitHub\mrs-test-scripts\Headless Mode &amp; Sideloading\WalkAndUnGZ.bat" "%USERPROFILE%\AppData\Local\Temp\OnboardLogs"\RTDC4020\2017-10-19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/stypes="app*4020*20171019*"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si="16"/>
        <v>"%USERPROFILE%\Documents\GitHub\eaglep3\Utilities\RefineRTDCRunTimes.py" --tripid 231-18 --locoid 4020 --swversion DE.1.0.9.0 --startMP 204:455 --initTime 2017-10-18T21:20:07 --startdatetime 2017-10-18T21:30:24 --delay 74 --endMP 204:233353 --enddatetime 2017-10-18T22:06:15 --enforcementcount 0 &gt;&gt;%USERPROFILE%\Documents\GitHub\eaglep3-reporting\EC\2017-10-18-refined-times.txt</v>
      </c>
      <c r="AI143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{"issue":{"subject":"","project_id":79,"tracker_id":40,"status_id":1,"priority_id":2,"assigned_to_id":338,"start_date":"2017-10-18","description":"","custom_fields":[{"id":1,"name":"Subdivision","value":"EC"},{"id":4,"name":"Milepost","value":"23.3353"},{"id":17,"name":"Train ID","value":"231-18"},{"id":16,"name":"Locomotive ID","value":"4020"},{"id":130,"name":"Impact","value":""},{"id":150,"name":"Time of Event (Mountain Time)","value":"22:06:15"},{"id":151,"name":"Denver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18"/>
        <v>start /low /b %USERPROFILE%\Documents\GitHub\eaglep3\Utilities\DownloadLogsFromS3.py --loco 4020 --day 2017-10-18</v>
      </c>
      <c r="AN143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04:06:15"},{"id":29,"name":"Sharepoint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20"/>
        <v>https://d0f6bd738d7f1b3e5a7ca70fe4ff75f0.us-east-1.aws.found.io/app/kibana#/discover/Steve-Slow-Train-Analysis-(2080s-and-2083s)?_g=(refreshInterval:(display:Off,pause:!f,section:0,value:0),time:(from:'2017-10-18T20:20:07-0600',mode:absolute,to:'2017-10-18T23:06:15-0600'))&amp;_a=(columns:!('Message%20ID',Summary),filters:!(),index:'emp_*',interval:auto,query:(query_string:(analyze_wildcard:!t,query:'%22rtdc.l.rtdc.4020%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797</v>
      </c>
      <c r="B144" s="7">
        <v>4019</v>
      </c>
      <c r="C144" s="21" t="s">
        <v>194</v>
      </c>
      <c r="D144" s="21" t="s">
        <v>433</v>
      </c>
      <c r="E144" s="13">
        <v>43026.927905092591</v>
      </c>
      <c r="F144" s="13">
        <v>43026.936215277776</v>
      </c>
      <c r="G144" s="7">
        <v>60</v>
      </c>
      <c r="H144" s="21" t="s">
        <v>530</v>
      </c>
      <c r="I144" s="13">
        <v>43026.961967592593</v>
      </c>
      <c r="J144" s="7">
        <v>0</v>
      </c>
      <c r="K144" s="89" t="str">
        <f>IF(ISEVEN(B144),(B144-1)&amp;"/"&amp;B144,B144&amp;"/"&amp;(B144+1))</f>
        <v>4019/4020</v>
      </c>
      <c r="L144" s="185" t="str">
        <f>VLOOKUP(A144,'Trips&amp;Operators'!$C$1:$G$99911,5,FALSE)</f>
        <v>DUNCAN SHEILA</v>
      </c>
      <c r="M144" s="6">
        <f>I144-F144</f>
        <v>2.5752314817509614E-2</v>
      </c>
      <c r="N144" s="7">
        <f>24*60*SUM($M144:$M144)</f>
        <v>37.083333337213844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-18T21:16:11-0600',mode:absolute,to:'2017-10-19T00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23.302299999999999</v>
      </c>
      <c r="Z144" s="204">
        <f>RIGHT(H144,LEN(H144)-4)/10000</f>
        <v>1.32E-2</v>
      </c>
      <c r="AA144" s="204">
        <f>ABS(Z144-Y144)</f>
        <v>23.289099999999998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>VALUE(LEFT(A144,LEN(A144)-3))</f>
        <v>232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s3://rtdc.mdm.uploadarchive.raw/RTDC4019/ "%USERPROFILE%\AppData\Local\Temp\OnboardLogs"\RTDC4019\2017-10-18 --exclude "*" --recursive --include "*20171018*" &amp; "%USERPROFILE%\Documents\GitHub\mrs-test-scripts\Headless Mode &amp; Sideloading\WalkAndUnGZ.bat" "%USERPROFILE%\AppData\Local\Temp\OnboardLogs"\RTDC4019\2017-10-18 &amp; aws s3 cp s3://rtdc.mdm.uploadarchive.raw/RTDC4019/ "%USERPROFILE%\AppData\Local\Temp\OnboardLogs"\RTDC4019\2017-10-19 --exclude "*" --recursive --include "*20171019*" &amp; "%USERPROFILE%\Documents\GitHub\mrs-test-scripts\Headless Mode &amp; Sideloading\WalkAndUnGZ.bat" "%USERPROFILE%\AppData\Local\Temp\OnboardLogs"\RTDC4019\2017-10-19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/stypes="app*4019*20171019*" /stext=" 05:.+((SYSTEM_STATE.+slice.+state.+changed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si="16"/>
        <v>"%USERPROFILE%\Documents\GitHub\eaglep3\Utilities\RefineRTDCRunTimes.py" --tripid 232-18 --locoid 4019 --swversion DE.1.0.9.0 --startMP 204:233023 --initTime 2017-10-18T22:16:11 --startdatetime 2017-10-18T22:28:09 --delay 60 --endMP 204:132 --enddatetime 2017-10-18T23:05:14 --enforcementcount 0 &gt;&gt;%USERPROFILE%\Documents\GitHub\eaglep3-reporting\EC\2017-10-18-refined-times.txt</v>
      </c>
      <c r="AI144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{"issue":{"subject":"","project_id":79,"tracker_id":40,"status_id":1,"priority_id":2,"assigned_to_id":338,"start_date":"2017-10-18","description":"","custom_fields":[{"id":1,"name":"Subdivision","value":"EC"},{"id":4,"name":"Milepost","value":"0.0132"},{"id":17,"name":"Train ID","value":"232-18"},{"id":16,"name":"Locomotive ID","value":"4019"},{"id":130,"name":"Impact","value":""},{"id":150,"name":"Time of Event (Mountain Time)","value":"23:05:14"},{"id":151,"name":"Denver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18"/>
        <v>start /low /b %USERPROFILE%\Documents\GitHub\eaglep3\Utilities\DownloadLogsFromS3.py --loco 4019 --day 2017-10-18</v>
      </c>
      <c r="AN144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05:05:14"},{"id":29,"name":"Sharepoint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20"/>
        <v>https://d0f6bd738d7f1b3e5a7ca70fe4ff75f0.us-east-1.aws.found.io/app/kibana#/discover/Steve-Slow-Train-Analysis-(2080s-and-2083s)?_g=(refreshInterval:(display:Off,pause:!f,section:0,value:0),time:(from:'2017-10-18T21:16:11-0600',mode:absolute,to:'2017-10-19T00:05:14-0600'))&amp;_a=(columns:!('Message%20ID',Summary),filters:!(),index:'emp_*',interval:auto,query:(query_string:(analyze_wildcard:!t,query:'%22rtdc.l.rtdc.4019%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795</v>
      </c>
      <c r="B145" s="7">
        <v>4040</v>
      </c>
      <c r="C145" s="21" t="s">
        <v>194</v>
      </c>
      <c r="D145" s="21" t="s">
        <v>376</v>
      </c>
      <c r="E145" s="13">
        <v>43026.912199074075</v>
      </c>
      <c r="F145" s="13">
        <v>43026.91684027778</v>
      </c>
      <c r="G145" s="7">
        <v>93</v>
      </c>
      <c r="H145" s="21" t="s">
        <v>486</v>
      </c>
      <c r="I145" s="13">
        <v>43026.941030092596</v>
      </c>
      <c r="J145" s="7">
        <v>0</v>
      </c>
      <c r="K145" s="89" t="str">
        <f>IF(ISEVEN(B145),(B145-1)&amp;"/"&amp;B145,B145&amp;"/"&amp;(B145+1))</f>
        <v>4039/4040</v>
      </c>
      <c r="L145" s="185" t="str">
        <f>VLOOKUP(A145,'Trips&amp;Operators'!$C$1:$G$99911,5,FALSE)</f>
        <v>LOZA FIDEL</v>
      </c>
      <c r="M145" s="6">
        <f>I145-F145</f>
        <v>2.4189814816054422E-2</v>
      </c>
      <c r="N145" s="7">
        <f>24*60*SUM($M145:$M145)</f>
        <v>34.833333335118368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-10-18T20:53:34-0600',mode:absolute,to:'2017-10-18T23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4.5699999999999998E-2</v>
      </c>
      <c r="Z145" s="204">
        <f>RIGHT(H145,LEN(H145)-4)/10000</f>
        <v>23.332699999999999</v>
      </c>
      <c r="AA145" s="204">
        <f>ABS(Z145-Y145)</f>
        <v>23.286999999999999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>VALUE(LEFT(A145,LEN(A145)-3))</f>
        <v>233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s3://rtdc.mdm.uploadarchive.raw/RTDC4040/ "%USERPROFILE%\AppData\Local\Temp\OnboardLogs"\RTDC4040\2017-10-18 --exclude "*" --recursive --include "*20171018*" &amp; "%USERPROFILE%\Documents\GitHub\mrs-test-scripts\Headless Mode &amp; Sideloading\WalkAndUnGZ.bat" "%USERPROFILE%\AppData\Local\Temp\OnboardLogs"\RTDC4040\2017-10-18 &amp; aws s3 cp s3://rtdc.mdm.uploadarchive.raw/RTDC4040/ "%USERPROFILE%\AppData\Local\Temp\OnboardLogs"\RTDC4040\2017-10-19 --exclude "*" --recursive --include "*20171019*" &amp; "%USERPROFILE%\Documents\GitHub\mrs-test-scripts\Headless Mode &amp; Sideloading\WalkAndUnGZ.bat" "%USERPROFILE%\AppData\Local\Temp\OnboardLogs"\RTDC4040\2017-10-19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/stypes="app*4040*20171019*" /stext=" 04:.+((SYSTEM_STATE.+slice.+state.+changed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16"/>
        <v>"%USERPROFILE%\Documents\GitHub\eaglep3\Utilities\RefineRTDCRunTimes.py" --tripid 233-18 --locoid 4040 --swversion DE.1.0.9.0 --startMP 204:457 --initTime 2017-10-18T21:53:34 --startdatetime 2017-10-18T22:00:15 --delay 93 --endMP 204:233327 --enddatetime 2017-10-18T22:35:05 --enforcementcount 0 &gt;&gt;%USERPROFILE%\Documents\GitHub\eaglep3-reporting\EC\2017-10-18-refined-times.txt</v>
      </c>
      <c r="AI145" s="96" t="str">
        <f t="shared" si="17"/>
        <v>echo {"issue":{"subject":"","project_id":79,"tracker_id":40,"status_id":1,"priority_id":2,"assigned_to_id":338,"start_date":"2017-10-18","description":"","custom_fields":[{"id":1,"name":"Subdivision","value":"EC"},{"id":4,"name":"Milepost","value":"23.3327"},{"id":17,"name":"Train ID","value":"233-18"},{"id":16,"name":"Locomotive ID","value":"4040"},{"id":130,"name":"Impact","value":""},{"id":150,"name":"Time of Event (Mountain Time)","value":"22:35:05"},{"id":151,"name":"Denver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18"/>
        <v>start /low /b %USERPROFILE%\Documents\GitHub\eaglep3\Utilities\DownloadLogsFromS3.py --loco 4040 --day 2017-10-18</v>
      </c>
      <c r="AN145" s="151" t="str">
        <f t="shared" si="19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04:35:05"},{"id":29,"name":"Sharepoint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20"/>
        <v>https://d0f6bd738d7f1b3e5a7ca70fe4ff75f0.us-east-1.aws.found.io/app/kibana#/discover/Steve-Slow-Train-Analysis-(2080s-and-2083s)?_g=(refreshInterval:(display:Off,pause:!f,section:0,value:0),time:(from:'2017-10-18T20:53:34-0600',mode:absolute,to:'2017-10-18T23:35:05-0600'))&amp;_a=(columns:!('Message%20ID',Summary),filters:!(),index:'emp_*',interval:auto,query:(query_string:(analyze_wildcard:!t,query:'%22rtdc.l.rtdc.4040%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801</v>
      </c>
      <c r="B146" s="7">
        <v>4039</v>
      </c>
      <c r="C146" s="21" t="s">
        <v>194</v>
      </c>
      <c r="D146" s="21" t="s">
        <v>491</v>
      </c>
      <c r="E146" s="13">
        <v>43026.953761574077</v>
      </c>
      <c r="F146" s="13">
        <v>43026.956504629627</v>
      </c>
      <c r="G146" s="7">
        <v>76</v>
      </c>
      <c r="H146" s="21" t="s">
        <v>393</v>
      </c>
      <c r="I146" s="13">
        <v>43026.982442129629</v>
      </c>
      <c r="J146" s="7">
        <v>0</v>
      </c>
      <c r="K146" s="89" t="str">
        <f>IF(ISEVEN(B146),(B146-1)&amp;"/"&amp;B146,B146&amp;"/"&amp;(B146+1))</f>
        <v>4039/4040</v>
      </c>
      <c r="L146" s="185" t="str">
        <f>VLOOKUP(A146,'Trips&amp;Operators'!$C$1:$G$99911,5,FALSE)</f>
        <v>LOZA FIDEL</v>
      </c>
      <c r="M146" s="6">
        <f>I146-F146</f>
        <v>2.5937500002328306E-2</v>
      </c>
      <c r="N146" s="7">
        <f>24*60*SUM($M146:$M146)</f>
        <v>37.350000003352761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-18T21:53:25-0600',mode:absolute,to:'2017-10-19T00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23.300999999999998</v>
      </c>
      <c r="Z146" s="204">
        <f>RIGHT(H146,LEN(H146)-4)/10000</f>
        <v>1.6E-2</v>
      </c>
      <c r="AA146" s="204">
        <f>ABS(Z146-Y146)</f>
        <v>23.285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>VALUE(LEFT(A146,LEN(A146)-3))</f>
        <v>234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s3://rtdc.mdm.uploadarchive.raw/RTDC4039/ "%USERPROFILE%\AppData\Local\Temp\OnboardLogs"\RTDC4039\2017-10-18 --exclude "*" --recursive --include "*20171018*" &amp; "%USERPROFILE%\Documents\GitHub\mrs-test-scripts\Headless Mode &amp; Sideloading\WalkAndUnGZ.bat" "%USERPROFILE%\AppData\Local\Temp\OnboardLogs"\RTDC4039\2017-10-18 &amp; aws s3 cp s3://rtdc.mdm.uploadarchive.raw/RTDC4039/ "%USERPROFILE%\AppData\Local\Temp\OnboardLogs"\RTDC4039\2017-10-19 --exclude "*" --recursive --include "*20171019*" &amp; "%USERPROFILE%\Documents\GitHub\mrs-test-scripts\Headless Mode &amp; Sideloading\WalkAndUnGZ.bat" "%USERPROFILE%\AppData\Local\Temp\OnboardLogs"\RTDC4039\2017-10-19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/stypes="app*4039*20171019*" /stext=" 05:.+((SYSTEM_STATE.+slice.+state.+changed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ref="AH146:AH213" si="43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234-18 --locoid 4039 --swversion DE.1.0.9.0 --startMP 204:233010 --initTime 2017-10-18T22:53:25 --startdatetime 2017-10-18T22:57:22 --delay 76 --endMP 204:160 --enddatetime 2017-10-18T23:34:43 --enforcementcount 0 &gt;&gt;%USERPROFILE%\Documents\GitHub\eaglep3-reporting\EC\2017-10-18-refined-times.txt</v>
      </c>
      <c r="AI146" s="96" t="str">
        <f t="shared" ref="AI146:AI213" si="44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{"issue":{"subject":"","project_id":79,"tracker_id":40,"status_id":1,"priority_id":2,"assigned_to_id":338,"start_date":"2017-10-18","description":"","custom_fields":[{"id":1,"name":"Subdivision","value":"EC"},{"id":4,"name":"Milepost","value":"0.016"},{"id":17,"name":"Train ID","value":"234-18"},{"id":16,"name":"Locomotive ID","value":"4039"},{"id":130,"name":"Impact","value":""},{"id":150,"name":"Time of Event (Mountain Time)","value":"23:34:43"},{"id":151,"name":"Denver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ref="AM146:AM213" si="45">"start /low /b "&amp;dls3logs&amp;" --loco "&amp;B146&amp;" --day "&amp;TEXT(F146,"YYYY-MM-DD")</f>
        <v>start /low /b %USERPROFILE%\Documents\GitHub\eaglep3\Utilities\DownloadLogsFromS3.py --loco 4039 --day 2017-10-18</v>
      </c>
      <c r="AN146" s="151" t="str">
        <f t="shared" ref="AN146:AN213" si="46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05:34:43"},{"id":29,"name":"Sharepoint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ref="AO146:AO213" si="47"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-18T21:53:25-0600',mode:absolute,to:'2017-10-19T00:34:43-0600'))&amp;_a=(columns:!('Message%20ID',Summary),filters:!(),index:'emp_*',interval:auto,query:(query_string:(analyze_wildcard:!t,query:'%22rtdc.l.rtdc.4039%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799</v>
      </c>
      <c r="B147" s="7">
        <v>4002</v>
      </c>
      <c r="C147" s="21" t="s">
        <v>194</v>
      </c>
      <c r="D147" s="21" t="s">
        <v>491</v>
      </c>
      <c r="E147" s="13">
        <v>43026.953761574077</v>
      </c>
      <c r="F147" s="13">
        <v>43026.937800925924</v>
      </c>
      <c r="G147" s="7">
        <v>76</v>
      </c>
      <c r="H147" s="21" t="s">
        <v>393</v>
      </c>
      <c r="I147" s="13">
        <v>43026.962800925925</v>
      </c>
      <c r="J147" s="7">
        <v>0</v>
      </c>
      <c r="K147" s="89" t="str">
        <f>IF(ISEVEN(B147),(B147-1)&amp;"/"&amp;B147,B147&amp;"/"&amp;(B147+1))</f>
        <v>4001/4002</v>
      </c>
      <c r="L147" s="185" t="str">
        <f>VLOOKUP(A147,'Trips&amp;Operators'!$C$1:$G$99911,5,FALSE)</f>
        <v>ANDERS STEVEN</v>
      </c>
      <c r="M147" s="6">
        <f>I147-F147</f>
        <v>2.5000000001455192E-2</v>
      </c>
      <c r="N147" s="7">
        <f>24*60*SUM($M147:$M147)</f>
        <v>36.000000002095476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-18T21:53:25-0600',mode:absolute,to:'2017-10-19T00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v>4.5699999999999998E-2</v>
      </c>
      <c r="Z147" s="204">
        <v>23.332699999999999</v>
      </c>
      <c r="AA147" s="204">
        <f>ABS(Z147-Y147)</f>
        <v>23.286999999999999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>VALUE(LEFT(A147,LEN(A147)-3))</f>
        <v>235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s3://rtdc.mdm.uploadarchive.raw/RTDC4002/ "%USERPROFILE%\AppData\Local\Temp\OnboardLogs"\RTDC4002\2017-10-18 --exclude "*" --recursive --include "*20171018*" &amp; "%USERPROFILE%\Documents\GitHub\mrs-test-scripts\Headless Mode &amp; Sideloading\WalkAndUnGZ.bat" "%USERPROFILE%\AppData\Local\Temp\OnboardLogs"\RTDC4002\2017-10-18 &amp; aws s3 cp s3://rtdc.mdm.uploadarchive.raw/RTDC4002/ "%USERPROFILE%\AppData\Local\Temp\OnboardLogs"\RTDC4002\2017-10-19 --exclude "*" --recursive --include "*20171019*" &amp; "%USERPROFILE%\Documents\GitHub\mrs-test-scripts\Headless Mode &amp; Sideloading\WalkAndUnGZ.bat" "%USERPROFILE%\AppData\Local\Temp\OnboardLogs"\RTDC4002\2017-10-19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/stypes="app*4002*20171019*"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ref="AH147" si="48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235-18 --locoid 4002 --swversion DE.1.0.9.0 --startMP 204:233010 --initTime 2017-10-18T22:53:25 --startdatetime 2017-10-18T22:30:26 --delay 76 --endMP 204:160 --enddatetime 2017-10-18T23:06:26 --enforcementcount 0 &gt;&gt;%USERPROFILE%\Documents\GitHub\eaglep3-reporting\EC\2017-10-18-refined-times.txt</v>
      </c>
      <c r="AI147" s="96" t="str">
        <f t="shared" ref="AI147" si="49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{"issue":{"subject":"","project_id":79,"tracker_id":40,"status_id":1,"priority_id":2,"assigned_to_id":338,"start_date":"2017-10-18","description":"","custom_fields":[{"id":1,"name":"Subdivision","value":"EC"},{"id":4,"name":"Milepost","value":"23.3327"},{"id":17,"name":"Train ID","value":"235-18"},{"id":16,"name":"Locomotive ID","value":"4002"},{"id":130,"name":"Impact","value":""},{"id":150,"name":"Time of Event (Mountain Time)","value":"23:06:26"},{"id":151,"name":"Denver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ref="AM147" si="50">"start /low /b "&amp;dls3logs&amp;" --loco "&amp;B147&amp;" --day "&amp;TEXT(F147,"YYYY-MM-DD")</f>
        <v>start /low /b %USERPROFILE%\Documents\GitHub\eaglep3\Utilities\DownloadLogsFromS3.py --loco 4002 --day 2017-10-18</v>
      </c>
      <c r="AN147" s="151" t="str">
        <f t="shared" ref="AN147" si="51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05:06:26"},{"id":29,"name":"Sharepoint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ref="AO147" si="52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-18T21:53:25-0600',mode:absolute,to:'2017-10-19T00:06:26-0600'))&amp;_a=(columns:!('Message%20ID',Summary),filters:!(),index:'emp_*',interval:auto,query:(query_string:(analyze_wildcard:!t,query:'%22rtdc.l.rtdc.4002%22')),sort:!(Time.ISO8601,asc))</v>
      </c>
    </row>
    <row r="148" spans="1:91" s="20" customFormat="1" x14ac:dyDescent="0.3">
      <c r="A148" s="32" t="s">
        <v>805</v>
      </c>
      <c r="B148" s="7">
        <v>4001</v>
      </c>
      <c r="C148" s="21" t="s">
        <v>194</v>
      </c>
      <c r="D148" s="21" t="s">
        <v>865</v>
      </c>
      <c r="E148" s="13">
        <v>43026.985185185185</v>
      </c>
      <c r="F148" s="13">
        <v>43026.986377314817</v>
      </c>
      <c r="G148" s="7">
        <v>62</v>
      </c>
      <c r="H148" s="21" t="s">
        <v>363</v>
      </c>
      <c r="I148" s="13">
        <v>43027.006585648145</v>
      </c>
      <c r="J148" s="7">
        <v>0</v>
      </c>
      <c r="K148" s="89" t="str">
        <f>IF(ISEVEN(B148),(B148-1)&amp;"/"&amp;B148,B148&amp;"/"&amp;(B148+1))</f>
        <v>4001/4002</v>
      </c>
      <c r="L148" s="185" t="str">
        <f>VLOOKUP(A148,'Trips&amp;Operators'!$C$1:$G$99911,5,FALSE)</f>
        <v>ANDERS STEVEN</v>
      </c>
      <c r="M148" s="6">
        <f>I148-F148</f>
        <v>2.0208333327900618E-2</v>
      </c>
      <c r="N148" s="7"/>
      <c r="O148" s="7"/>
      <c r="P148" s="7">
        <f>24*60*SUM($M148:$M148)</f>
        <v>29.09999999217689</v>
      </c>
      <c r="Q148" s="22"/>
      <c r="R148" s="174" t="s">
        <v>1017</v>
      </c>
      <c r="S148" s="221">
        <f>1/IF(AG148="EC",12,1)*SUM(U148:U148)</f>
        <v>1</v>
      </c>
      <c r="T148" s="174" t="str">
        <f>IF(ISEVEN(LEFT(AD148,4)),"Southbound","NorthBound")</f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-10-18T22:38:40-0600',mode:absolute,to:'2017-10-19T01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8" s="204" t="str">
        <f>IF(AA148&lt;VLOOKUP(AG148,Variables!$AC$3:$AD$8,2,FALSE),"Y","N")</f>
        <v>Y</v>
      </c>
      <c r="X148" s="204">
        <f t="shared" ref="X148:X149" si="53">VALUE(LEFT(AD148,4))-VALUE(LEFT(AD147,4))</f>
        <v>1</v>
      </c>
      <c r="Y148" s="204">
        <f>RIGHT(D148,LEN(D148)-4)/10000</f>
        <v>15.401199999999999</v>
      </c>
      <c r="Z148" s="204">
        <f>RIGHT(H148,LEN(H148)-4)/10000</f>
        <v>1.5800000000000002E-2</v>
      </c>
      <c r="AA148" s="204">
        <f>ABS(Z148-Y148)</f>
        <v>15.385399999999999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>VALUE(LEFT(A148,LEN(A148)-3))</f>
        <v>236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s3://rtdc.mdm.uploadarchive.raw/RTDC4001/ "%USERPROFILE%\AppData\Local\Temp\OnboardLogs"\RTDC4001\2017-10-18 --exclude "*" --recursive --include "*20171018*" &amp; "%USERPROFILE%\Documents\GitHub\mrs-test-scripts\Headless Mode &amp; Sideloading\WalkAndUnGZ.bat" "%USERPROFILE%\AppData\Local\Temp\OnboardLogs"\RTDC4001\2017-10-18 &amp; aws s3 cp s3://rtdc.mdm.uploadarchive.raw/RTDC4001/ "%USERPROFILE%\AppData\Local\Temp\OnboardLogs"\RTDC4001\2017-10-19 --exclude "*" --recursive --include "*20171019*" &amp; "%USERPROFILE%\Documents\GitHub\mrs-test-scripts\Headless Mode &amp; Sideloading\WalkAndUnGZ.bat" "%USERPROFILE%\AppData\Local\Temp\OnboardLogs"\RTDC4001\2017-10-19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/stypes="app*4001*20171019*" /stext=" 06:.+((SYSTEM_STATE.+slice.+state.+changed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43"/>
        <v>"%USERPROFILE%\Documents\GitHub\eaglep3\Utilities\RefineRTDCRunTimes.py" --tripid 236-18 --locoid 4001 --swversion DE.1.0.9.0 --startMP 204:154012 --initTime 2017-10-18T23:38:40 --startdatetime 2017-10-18T23:40:23 --delay 62 --endMP 204:158 --enddatetime 2017-10-19T00:09:29 --enforcementcount 0 &gt;&gt;%USERPROFILE%\Documents\GitHub\eaglep3-reporting\EC\2017-10-18-refined-times.txt</v>
      </c>
      <c r="AI148" s="96" t="str">
        <f t="shared" si="44"/>
        <v>echo {"issue":{"subject":"Operator selected incorrect Trip ID","project_id":79,"tracker_id":40,"status_id":1,"priority_id":2,"assigned_to_id":338,"start_date":"2017-10-19","description":"","custom_fields":[{"id":1,"name":"Subdivision","value":"EC"},{"id":4,"name":"Milepost","value":"0.0158"},{"id":17,"name":"Train ID","value":"236-18"},{"id":16,"name":"Locomotive ID","value":"4001"},{"id":130,"name":"Impact","value":""},{"id":150,"name":"Time of Event (Mountain Time)","value":"00:09:29"},{"id":151,"name":"Denver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45"/>
        <v>start /low /b %USERPROFILE%\Documents\GitHub\eaglep3\Utilities\DownloadLogsFromS3.py --loco 4001 --day 2017-10-18</v>
      </c>
      <c r="AN148" s="151" t="str">
        <f t="shared" si="46"/>
        <v>echo {"issue":{"subject":"Operator selected incorrect Trip ID","project_id":30,"tracker_id":4,"status_id":1,"priority_id":1,"assigned_to_id":10,"start_date":"2017-10-19","description":"","custom_fields":[{"id":30,"name":"Category","value":"Issue"},{"id":3,"name":"Functional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06:09:29"},{"id":29,"name":"Sharepoint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47"/>
        <v>https://d0f6bd738d7f1b3e5a7ca70fe4ff75f0.us-east-1.aws.found.io/app/kibana#/discover/Steve-Slow-Train-Analysis-(2080s-and-2083s)?_g=(refreshInterval:(display:Off,pause:!f,section:0,value:0),time:(from:'2017-10-18T22:38:40-0600',mode:absolute,to:'2017-10-19T01:09:29-0600'))&amp;_a=(columns:!('Message%20ID',Summary),filters:!(),index:'emp_*',interval:auto,query:(query_string:(analyze_wildcard:!t,query:'%22rtdc.l.rtdc.4001%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800</v>
      </c>
      <c r="B149" s="7">
        <v>4026</v>
      </c>
      <c r="C149" s="21" t="s">
        <v>194</v>
      </c>
      <c r="D149" s="21" t="s">
        <v>387</v>
      </c>
      <c r="E149" s="13">
        <v>43026.953321759262</v>
      </c>
      <c r="F149" s="13">
        <v>43026.958518518521</v>
      </c>
      <c r="G149" s="7">
        <v>107</v>
      </c>
      <c r="H149" s="21" t="s">
        <v>820</v>
      </c>
      <c r="I149" s="13">
        <v>43026.982604166667</v>
      </c>
      <c r="J149" s="7">
        <v>0</v>
      </c>
      <c r="K149" s="89" t="str">
        <f>IF(ISEVEN(B149),(B149-1)&amp;"/"&amp;B149,B149&amp;"/"&amp;(B149+1))</f>
        <v>4025/4026</v>
      </c>
      <c r="L149" s="185" t="str">
        <f>VLOOKUP(A149,'Trips&amp;Operators'!$C$1:$G$99911,5,FALSE)</f>
        <v>RESPASS AARON</v>
      </c>
      <c r="M149" s="6">
        <f>I149-F149</f>
        <v>2.4085648146865424E-2</v>
      </c>
      <c r="N149" s="7">
        <f>24*60*SUM($M149:$M149)</f>
        <v>34.68333333148621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-10-18T21:52:47-0600',mode:absolute,to:'2017-10-19T00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9" s="204" t="str">
        <f>IF(AA149&lt;VLOOKUP(AG149,Variables!$AC$3:$AD$8,2,FALSE),"Y","N")</f>
        <v>N</v>
      </c>
      <c r="X149" s="204">
        <f t="shared" si="53"/>
        <v>1</v>
      </c>
      <c r="Y149" s="204">
        <f>RIGHT(D149,LEN(D149)-4)/10000</f>
        <v>4.6699999999999998E-2</v>
      </c>
      <c r="Z149" s="204">
        <f>RIGHT(H149,LEN(H149)-4)/10000</f>
        <v>23.331499999999998</v>
      </c>
      <c r="AA149" s="204">
        <f>ABS(Z149-Y149)</f>
        <v>23.284799999999997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>VALUE(LEFT(A149,LEN(A149)-3))</f>
        <v>237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s3://rtdc.mdm.uploadarchive.raw/RTDC4026/ "%USERPROFILE%\AppData\Local\Temp\OnboardLogs"\RTDC4026\2017-10-18 --exclude "*" --recursive --include "*20171018*" &amp; "%USERPROFILE%\Documents\GitHub\mrs-test-scripts\Headless Mode &amp; Sideloading\WalkAndUnGZ.bat" "%USERPROFILE%\AppData\Local\Temp\OnboardLogs"\RTDC4026\2017-10-18 &amp; aws s3 cp s3://rtdc.mdm.uploadarchive.raw/RTDC4026/ "%USERPROFILE%\AppData\Local\Temp\OnboardLogs"\RTDC4026\2017-10-19 --exclude "*" --recursive --include "*20171019*" &amp; "%USERPROFILE%\Documents\GitHub\mrs-test-scripts\Headless Mode &amp; Sideloading\WalkAndUnGZ.bat" "%USERPROFILE%\AppData\Local\Temp\OnboardLogs"\RTDC4026\2017-10-19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/stypes="app*4026*20171019*" /stext=" 05:.+((SYSTEM_STATE.+slice.+state.+changed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43"/>
        <v>"%USERPROFILE%\Documents\GitHub\eaglep3\Utilities\RefineRTDCRunTimes.py" --tripid 237-18 --locoid 4026 --swversion DE.1.0.9.0 --startMP 204:467 --initTime 2017-10-18T22:52:47 --startdatetime 2017-10-18T23:00:16 --delay 107 --endMP 204:233315 --enddatetime 2017-10-18T23:34:57 --enforcementcount 0 &gt;&gt;%USERPROFILE%\Documents\GitHub\eaglep3-reporting\EC\2017-10-18-refined-times.txt</v>
      </c>
      <c r="AI149" s="96" t="str">
        <f t="shared" si="44"/>
        <v>echo {"issue":{"subject":"","project_id":79,"tracker_id":40,"status_id":1,"priority_id":2,"assigned_to_id":338,"start_date":"2017-10-18","description":"","custom_fields":[{"id":1,"name":"Subdivision","value":"EC"},{"id":4,"name":"Milepost","value":"23.3315"},{"id":17,"name":"Train ID","value":"237-18"},{"id":16,"name":"Locomotive ID","value":"4026"},{"id":130,"name":"Impact","value":""},{"id":150,"name":"Time of Event (Mountain Time)","value":"23:34:57"},{"id":151,"name":"Denver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45"/>
        <v>start /low /b %USERPROFILE%\Documents\GitHub\eaglep3\Utilities\DownloadLogsFromS3.py --loco 4026 --day 2017-10-18</v>
      </c>
      <c r="AN149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05:34:57"},{"id":29,"name":"Sharepoint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47"/>
        <v>https://d0f6bd738d7f1b3e5a7ca70fe4ff75f0.us-east-1.aws.found.io/app/kibana#/discover/Steve-Slow-Train-Analysis-(2080s-and-2083s)?_g=(refreshInterval:(display:Off,pause:!f,section:0,value:0),time:(from:'2017-10-18T21:52:47-0600',mode:absolute,to:'2017-10-19T00:34:57-0600'))&amp;_a=(columns:!('Message%20ID',Summary),filters:!(),index:'emp_*',interval:auto,query:(query_string:(analyze_wildcard:!t,query:'%22rtdc.l.rtdc.4026%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806</v>
      </c>
      <c r="B150" s="7">
        <v>4025</v>
      </c>
      <c r="C150" s="21" t="s">
        <v>194</v>
      </c>
      <c r="D150" s="21" t="s">
        <v>866</v>
      </c>
      <c r="E150" s="13">
        <v>43026.994618055556</v>
      </c>
      <c r="F150" s="13">
        <v>43026.998078703706</v>
      </c>
      <c r="G150" s="7">
        <v>108</v>
      </c>
      <c r="H150" s="21" t="s">
        <v>867</v>
      </c>
      <c r="I150" s="13">
        <v>43027.023935185185</v>
      </c>
      <c r="J150" s="7">
        <v>0</v>
      </c>
      <c r="K150" s="89" t="str">
        <f>IF(ISEVEN(B150),(B150-1)&amp;"/"&amp;B150,B150&amp;"/"&amp;(B150+1))</f>
        <v>4025/4026</v>
      </c>
      <c r="L150" s="185" t="str">
        <f>VLOOKUP(A150,'Trips&amp;Operators'!$C$1:$G$99911,5,FALSE)</f>
        <v>RESPASS AARON</v>
      </c>
      <c r="M150" s="6">
        <f>I150-F150</f>
        <v>2.5856481479422655E-2</v>
      </c>
      <c r="N150" s="7">
        <f>24*60*SUM($M150:$M150)</f>
        <v>37.233333330368623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-18T22:52:15-0600',mode:absolute,to:'2017-10-19T01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f>RIGHT(D150,LEN(D150)-4)/10000</f>
        <v>23.295999999999999</v>
      </c>
      <c r="Z150" s="204">
        <f>RIGHT(H150,LEN(H150)-4)/10000</f>
        <v>1.89E-2</v>
      </c>
      <c r="AA150" s="204">
        <f>ABS(Z150-Y150)</f>
        <v>23.277100000000001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>VALUE(LEFT(A150,LEN(A150)-3))</f>
        <v>238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s3://rtdc.mdm.uploadarchive.raw/RTDC4025/ "%USERPROFILE%\AppData\Local\Temp\OnboardLogs"\RTDC4025\2017-10-18 --exclude "*" --recursive --include "*20171018*" &amp; "%USERPROFILE%\Documents\GitHub\mrs-test-scripts\Headless Mode &amp; Sideloading\WalkAndUnGZ.bat" "%USERPROFILE%\AppData\Local\Temp\OnboardLogs"\RTDC4025\2017-10-18 &amp; aws s3 cp s3://rtdc.mdm.uploadarchive.raw/RTDC4025/ "%USERPROFILE%\AppData\Local\Temp\OnboardLogs"\RTDC4025\2017-10-19 --exclude "*" --recursive --include "*20171019*" &amp; "%USERPROFILE%\Documents\GitHub\mrs-test-scripts\Headless Mode &amp; Sideloading\WalkAndUnGZ.bat" "%USERPROFILE%\AppData\Local\Temp\OnboardLogs"\RTDC4025\2017-10-19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/stypes="app*4025*20171019*" /stext=" 06:.+((SYSTEM_STATE.+slice.+state.+changed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43"/>
        <v>"%USERPROFILE%\Documents\GitHub\eaglep3\Utilities\RefineRTDCRunTimes.py" --tripid 238-18 --locoid 4025 --swversion DE.1.0.9.0 --startMP 204:232960 --initTime 2017-10-18T23:52:15 --startdatetime 2017-10-18T23:57:14 --delay 108 --endMP 204:189 --enddatetime 2017-10-19T00:34:28 --enforcementcount 0 &gt;&gt;%USERPROFILE%\Documents\GitHub\eaglep3-reporting\EC\2017-10-18-refined-times.txt</v>
      </c>
      <c r="AI150" s="96" t="str">
        <f t="shared" si="44"/>
        <v>echo {"issue":{"subject":"","project_id":79,"tracker_id":40,"status_id":1,"priority_id":2,"assigned_to_id":338,"start_date":"2017-10-19","description":"","custom_fields":[{"id":1,"name":"Subdivision","value":"EC"},{"id":4,"name":"Milepost","value":"0.0189"},{"id":17,"name":"Train ID","value":"238-18"},{"id":16,"name":"Locomotive ID","value":"4025"},{"id":130,"name":"Impact","value":""},{"id":150,"name":"Time of Event (Mountain Time)","value":"00:34:28"},{"id":151,"name":"Denver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45"/>
        <v>start /low /b %USERPROFILE%\Documents\GitHub\eaglep3\Utilities\DownloadLogsFromS3.py --loco 4025 --day 2017-10-18</v>
      </c>
      <c r="AN150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06:34:28"},{"id":29,"name":"Sharepoint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47"/>
        <v>https://d0f6bd738d7f1b3e5a7ca70fe4ff75f0.us-east-1.aws.found.io/app/kibana#/discover/Steve-Slow-Train-Analysis-(2080s-and-2083s)?_g=(refreshInterval:(display:Off,pause:!f,section:0,value:0),time:(from:'2017-10-18T22:52:15-0600',mode:absolute,to:'2017-10-19T01:34:28-0600'))&amp;_a=(columns:!('Message%20ID',Summary),filters:!(),index:'emp_*',interval:auto,query:(query_string:(analyze_wildcard:!t,query:'%22rtdc.l.rtdc.4025%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803</v>
      </c>
      <c r="B151" s="7">
        <v>4020</v>
      </c>
      <c r="C151" s="21" t="s">
        <v>194</v>
      </c>
      <c r="D151" s="21" t="s">
        <v>485</v>
      </c>
      <c r="E151" s="13">
        <v>43026.962997685187</v>
      </c>
      <c r="F151" s="13">
        <v>43026.979328703703</v>
      </c>
      <c r="G151" s="7">
        <v>67</v>
      </c>
      <c r="H151" s="21" t="s">
        <v>868</v>
      </c>
      <c r="I151" s="13">
        <v>43027.003807870373</v>
      </c>
      <c r="J151" s="7">
        <v>0</v>
      </c>
      <c r="K151" s="89" t="str">
        <f>IF(ISEVEN(B151),(B151-1)&amp;"/"&amp;B151,B151&amp;"/"&amp;(B151+1))</f>
        <v>4019/4020</v>
      </c>
      <c r="L151" s="185" t="str">
        <f>VLOOKUP(A151,'Trips&amp;Operators'!$C$1:$G$99911,5,FALSE)</f>
        <v>DUNCAN SHEILA</v>
      </c>
      <c r="M151" s="6">
        <f>I151-F151</f>
        <v>2.4479166670062114E-2</v>
      </c>
      <c r="N151" s="7">
        <f>24*60*SUM($M151:$M151)</f>
        <v>35.250000004889444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-18T22:06:43-0600',mode:absolute,to:'2017-10-19T01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1</v>
      </c>
      <c r="Y151" s="204">
        <f>RIGHT(D151,LEN(D151)-4)/10000</f>
        <v>4.3700000000000003E-2</v>
      </c>
      <c r="Z151" s="204">
        <f>RIGHT(H151,LEN(H151)-4)/10000</f>
        <v>23.338899999999999</v>
      </c>
      <c r="AA151" s="204">
        <f>ABS(Z151-Y151)</f>
        <v>23.295199999999998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>VALUE(LEFT(A151,LEN(A151)-3))</f>
        <v>239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 &amp; aws s3 cp s3://rtdc.mdm.uploadarchive.raw/RTDC4020/ "%USERPROFILE%\AppData\Local\Temp\OnboardLogs"\RTDC4020\2017-10-19 --exclude "*" --recursive --include "*20171019*" &amp; "%USERPROFILE%\Documents\GitHub\mrs-test-scripts\Headless Mode &amp; Sideloading\WalkAndUnGZ.bat" "%USERPROFILE%\AppData\Local\Temp\OnboardLogs"\RTDC4020\2017-10-19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/stypes="app*4020*20171019*" /stext=" 06:.+((SYSTEM_STATE.+slice.+state.+changed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43"/>
        <v>"%USERPROFILE%\Documents\GitHub\eaglep3\Utilities\RefineRTDCRunTimes.py" --tripid 239-18 --locoid 4020 --swversion DE.1.0.9.0 --startMP 204:437 --initTime 2017-10-18T23:06:43 --startdatetime 2017-10-18T23:30:14 --delay 67 --endMP 204:233389 --enddatetime 2017-10-19T00:05:29 --enforcementcount 0 &gt;&gt;%USERPROFILE%\Documents\GitHub\eaglep3-reporting\EC\2017-10-18-refined-times.txt</v>
      </c>
      <c r="AI151" s="96" t="str">
        <f t="shared" si="44"/>
        <v>echo {"issue":{"subject":"","project_id":79,"tracker_id":40,"status_id":1,"priority_id":2,"assigned_to_id":338,"start_date":"2017-10-19","description":"","custom_fields":[{"id":1,"name":"Subdivision","value":"EC"},{"id":4,"name":"Milepost","value":"23.3389"},{"id":17,"name":"Train ID","value":"239-18"},{"id":16,"name":"Locomotive ID","value":"4020"},{"id":130,"name":"Impact","value":""},{"id":150,"name":"Time of Event (Mountain Time)","value":"00:05:29"},{"id":151,"name":"Denver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45"/>
        <v>start /low /b %USERPROFILE%\Documents\GitHub\eaglep3\Utilities\DownloadLogsFromS3.py --loco 4020 --day 2017-10-18</v>
      </c>
      <c r="AN151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06:05:29"},{"id":29,"name":"Sharepoint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47"/>
        <v>https://d0f6bd738d7f1b3e5a7ca70fe4ff75f0.us-east-1.aws.found.io/app/kibana#/discover/Steve-Slow-Train-Analysis-(2080s-and-2083s)?_g=(refreshInterval:(display:Off,pause:!f,section:0,value:0),time:(from:'2017-10-18T22:06:43-0600',mode:absolute,to:'2017-10-19T01:05:29-0600'))&amp;_a=(columns:!('Message%20ID',Summary),filters:!(),index:'emp_*',interval:auto,query:(query_string:(analyze_wildcard:!t,query:'%22rtdc.l.rtdc.4020%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808</v>
      </c>
      <c r="B152" s="7">
        <v>4019</v>
      </c>
      <c r="C152" s="21" t="s">
        <v>194</v>
      </c>
      <c r="D152" s="21" t="s">
        <v>485</v>
      </c>
      <c r="E152" s="13">
        <v>43026.962997685187</v>
      </c>
      <c r="F152" s="13">
        <v>43027.019212962965</v>
      </c>
      <c r="G152" s="7">
        <v>67</v>
      </c>
      <c r="H152" s="21" t="s">
        <v>868</v>
      </c>
      <c r="I152" s="13">
        <v>43027.045138888891</v>
      </c>
      <c r="J152" s="7">
        <v>0</v>
      </c>
      <c r="K152" s="89" t="str">
        <f>IF(ISEVEN(B152),(B152-1)&amp;"/"&amp;B152,B152&amp;"/"&amp;(B152+1))</f>
        <v>4019/4020</v>
      </c>
      <c r="L152" s="185" t="str">
        <f>VLOOKUP(A152,'Trips&amp;Operators'!$C$1:$G$99911,5,FALSE)</f>
        <v>DUNCAN SHEILA</v>
      </c>
      <c r="M152" s="6">
        <f>I152-F152</f>
        <v>2.5925925925548654E-2</v>
      </c>
      <c r="N152" s="7">
        <f>24*60*SUM($M152:$M152)</f>
        <v>37.333333332790062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-10-18T22:06:43-0600',mode:absolute,to:'2017-10-19T02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2" s="204" t="str">
        <f>IF(AA152&lt;VLOOKUP(AG152,Variables!$AC$3:$AD$8,2,FALSE),"Y","N")</f>
        <v>N</v>
      </c>
      <c r="X152" s="204">
        <f t="shared" ref="X152:X153" si="54">VALUE(LEFT(AD152,4))-VALUE(LEFT(AD151,4))</f>
        <v>1</v>
      </c>
      <c r="Y152" s="204">
        <v>23.295999999999999</v>
      </c>
      <c r="Z152" s="204">
        <v>1.89E-2</v>
      </c>
      <c r="AA152" s="204">
        <f>ABS(Z152-Y152)</f>
        <v>23.277100000000001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>VALUE(LEFT(A152,LEN(A152)-3))</f>
        <v>240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s3://rtdc.mdm.uploadarchive.raw/RTDC4019/ "%USERPROFILE%\AppData\Local\Temp\OnboardLogs"\RTDC4019\2017-10-19 --exclude "*" --recursive --include "*20171019*" &amp; "%USERPROFILE%\Documents\GitHub\mrs-test-scripts\Headless Mode &amp; Sideloading\WalkAndUnGZ.bat" "%USERPROFILE%\AppData\Local\Temp\OnboardLogs"\RTDC4019\2017-10-19 &amp; aws s3 cp s3://rtdc.mdm.uploadarchive.raw/RTDC4019/ "%USERPROFILE%\AppData\Local\Temp\OnboardLogs"\RTDC4019\2017-10-20 --exclude "*" --recursive --include "*20171020*" &amp; "%USERPROFILE%\Documents\GitHub\mrs-test-scripts\Headless Mode &amp; Sideloading\WalkAndUnGZ.bat" "%USERPROFILE%\AppData\Local\Temp\OnboardLogs"\RTDC4019\2017-10-20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/stypes="app*4019*20171019*" /stext=" 07:.+((SYSTEM_STATE.+slice.+state.+changed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ref="AH152" si="55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240-18 --locoid 4019 --swversion DE.1.0.9.0 --startMP 204:437 --initTime 2017-10-18T23:06:43 --startdatetime 2017-10-19T00:27:40 --delay 67 --endMP 204:233389 --enddatetime 2017-10-19T01:05:00 --enforcementcount 0 &gt;&gt;%USERPROFILE%\Documents\GitHub\eaglep3-reporting\EC\2017-10-18-refined-times.txt</v>
      </c>
      <c r="AI152" s="96" t="str">
        <f t="shared" ref="AI152" si="56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{"issue":{"subject":"","project_id":79,"tracker_id":40,"status_id":1,"priority_id":2,"assigned_to_id":338,"start_date":"2017-10-19","description":"","custom_fields":[{"id":1,"name":"Subdivision","value":"EC"},{"id":4,"name":"Milepost","value":"0.0189"},{"id":17,"name":"Train ID","value":"240-18"},{"id":16,"name":"Locomotive ID","value":"4019"},{"id":130,"name":"Impact","value":""},{"id":150,"name":"Time of Event (Mountain Time)","value":"01:05:00"},{"id":151,"name":"Denver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ref="AM152" si="57">"start /low /b "&amp;dls3logs&amp;" --loco "&amp;B152&amp;" --day "&amp;TEXT(F152,"YYYY-MM-DD")</f>
        <v>start /low /b %USERPROFILE%\Documents\GitHub\eaglep3\Utilities\DownloadLogsFromS3.py --loco 4019 --day 2017-10-19</v>
      </c>
      <c r="AN152" s="151" t="str">
        <f t="shared" ref="AN152" si="58">"echo {""issue"":{""subject"":"""&amp;R152&amp;""",""project_id"":30,""tracker_id"":4,""status_id"":"&amp;redmine_status_wcr&amp;",""priority_id"":"&amp;redmine_priority_wcr&amp;",""assigned_to_id"":"&amp;redmine_assignee_wcr&amp;",""start_date"":"""&amp;TEXT(I152-utc_offset/24,"YYYY-mm-dd")&amp;""",""description"":"""&amp;AJ152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07:05:00"},{"id":29,"name":"Sharepoint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ref="AO152" si="59"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Message%20ID',Summary),filters:!(),index:'emp_*',interval:auto,query:"&amp;"(query_string:(analyze_wildcard:!t,query:'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-10-18T22:06:43-0600',mode:absolute,to:'2017-10-19T02:05:00-0600'))&amp;_a=(columns:!('Message%20ID',Summary),filters:!(),index:'emp_*',interval:auto,query:(query_string:(analyze_wildcard:!t,query:'%22rtdc.l.rtdc.4019%22')),sort:!(Time.ISO8601,asc))</v>
      </c>
    </row>
    <row r="153" spans="1:91" s="20" customFormat="1" x14ac:dyDescent="0.3">
      <c r="A153" s="32" t="s">
        <v>807</v>
      </c>
      <c r="B153" s="7">
        <v>4040</v>
      </c>
      <c r="C153" s="21" t="s">
        <v>194</v>
      </c>
      <c r="D153" s="21" t="s">
        <v>477</v>
      </c>
      <c r="E153" s="13">
        <v>43026.99759259259</v>
      </c>
      <c r="F153" s="13">
        <v>43027.000208333331</v>
      </c>
      <c r="G153" s="7">
        <v>84</v>
      </c>
      <c r="H153" s="21" t="s">
        <v>862</v>
      </c>
      <c r="I153" s="13">
        <v>43027.024340277778</v>
      </c>
      <c r="J153" s="7">
        <v>0</v>
      </c>
      <c r="K153" s="89" t="str">
        <f>IF(ISEVEN(B153),(B153-1)&amp;"/"&amp;B153,B153&amp;"/"&amp;(B153+1))</f>
        <v>4039/4040</v>
      </c>
      <c r="L153" s="185" t="str">
        <f>VLOOKUP(A153,'Trips&amp;Operators'!$C$1:$G$99911,5,FALSE)</f>
        <v>LOZA FIDEL</v>
      </c>
      <c r="M153" s="6">
        <f>I153-F153</f>
        <v>2.4131944446708076E-2</v>
      </c>
      <c r="N153" s="7">
        <f>24*60*SUM($M153:$M153)</f>
        <v>34.750000003259629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-18T22:56:32-0600',mode:absolute,to:'2017-10-19T01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3" s="204" t="str">
        <f>IF(AA153&lt;VLOOKUP(AG153,Variables!$AC$3:$AD$8,2,FALSE),"Y","N")</f>
        <v>N</v>
      </c>
      <c r="X153" s="204">
        <f t="shared" si="54"/>
        <v>1</v>
      </c>
      <c r="Y153" s="204">
        <f>RIGHT(D153,LEN(D153)-4)/10000</f>
        <v>4.6899999999999997E-2</v>
      </c>
      <c r="Z153" s="204">
        <f>RIGHT(H153,LEN(H153)-4)/10000</f>
        <v>23.3338</v>
      </c>
      <c r="AA153" s="204">
        <f>ABS(Z153-Y153)</f>
        <v>23.286899999999999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>VALUE(LEFT(A153,LEN(A153)-3))</f>
        <v>241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s3://rtdc.mdm.uploadarchive.raw/RTDC4040/ "%USERPROFILE%\AppData\Local\Temp\OnboardLogs"\RTDC4040\2017-10-19 --exclude "*" --recursive --include "*20171019*" &amp; "%USERPROFILE%\Documents\GitHub\mrs-test-scripts\Headless Mode &amp; Sideloading\WalkAndUnGZ.bat" "%USERPROFILE%\AppData\Local\Temp\OnboardLogs"\RTDC4040\2017-10-19 &amp; aws s3 cp s3://rtdc.mdm.uploadarchive.raw/RTDC4040/ "%USERPROFILE%\AppData\Local\Temp\OnboardLogs"\RTDC4040\2017-10-20 --exclude "*" --recursive --include "*20171020*" &amp; "%USERPROFILE%\Documents\GitHub\mrs-test-scripts\Headless Mode &amp; Sideloading\WalkAndUnGZ.bat" "%USERPROFILE%\AppData\Local\Temp\OnboardLogs"\RTDC4040\2017-10-20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/stypes="app*4040*20171019*" /stext=" 06:.+((SYSTEM_STATE.+slice.+state.+changed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43"/>
        <v>"%USERPROFILE%\Documents\GitHub\eaglep3\Utilities\RefineRTDCRunTimes.py" --tripid 241-18 --locoid 4040 --swversion DE.1.0.9.0 --startMP 204:469 --initTime 2017-10-18T23:56:32 --startdatetime 2017-10-19T00:00:18 --delay 84 --endMP 204:233338 --enddatetime 2017-10-19T00:35:03 --enforcementcount 0 &gt;&gt;%USERPROFILE%\Documents\GitHub\eaglep3-reporting\EC\2017-10-18-refined-times.txt</v>
      </c>
      <c r="AI153" s="96" t="str">
        <f t="shared" si="44"/>
        <v>echo {"issue":{"subject":"","project_id":79,"tracker_id":40,"status_id":1,"priority_id":2,"assigned_to_id":338,"start_date":"2017-10-19","description":"","custom_fields":[{"id":1,"name":"Subdivision","value":"EC"},{"id":4,"name":"Milepost","value":"23.3338"},{"id":17,"name":"Train ID","value":"241-18"},{"id":16,"name":"Locomotive ID","value":"4040"},{"id":130,"name":"Impact","value":""},{"id":150,"name":"Time of Event (Mountain Time)","value":"00:35:03"},{"id":151,"name":"Denver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45"/>
        <v>start /low /b %USERPROFILE%\Documents\GitHub\eaglep3\Utilities\DownloadLogsFromS3.py --loco 4040 --day 2017-10-19</v>
      </c>
      <c r="AN153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06:35:03"},{"id":29,"name":"Sharepoint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47"/>
        <v>https://d0f6bd738d7f1b3e5a7ca70fe4ff75f0.us-east-1.aws.found.io/app/kibana#/discover/Steve-Slow-Train-Analysis-(2080s-and-2083s)?_g=(refreshInterval:(display:Off,pause:!f,section:0,value:0),time:(from:'2017-10-18T22:56:32-0600',mode:absolute,to:'2017-10-19T01:35:03-0600'))&amp;_a=(columns:!('Message%20ID',Summary),filters:!(),index:'emp_*',interval:auto,query:(query_string:(analyze_wildcard:!t,query:'%22rtdc.l.rtdc.4040%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812</v>
      </c>
      <c r="B154" s="7">
        <v>4039</v>
      </c>
      <c r="C154" s="21" t="s">
        <v>194</v>
      </c>
      <c r="D154" s="21" t="s">
        <v>869</v>
      </c>
      <c r="E154" s="13">
        <v>43027.037708333337</v>
      </c>
      <c r="F154" s="13">
        <v>43027.03979166667</v>
      </c>
      <c r="G154" s="7">
        <v>74</v>
      </c>
      <c r="H154" s="21" t="s">
        <v>870</v>
      </c>
      <c r="I154" s="13">
        <v>43027.066168981481</v>
      </c>
      <c r="J154" s="7">
        <v>0</v>
      </c>
      <c r="K154" s="89" t="str">
        <f>IF(ISEVEN(B154),(B154-1)&amp;"/"&amp;B154,B154&amp;"/"&amp;(B154+1))</f>
        <v>4039/4040</v>
      </c>
      <c r="L154" s="185" t="str">
        <f>VLOOKUP(A154,'Trips&amp;Operators'!$C$1:$G$99911,5,FALSE)</f>
        <v>LOZA FIDEL</v>
      </c>
      <c r="M154" s="6">
        <f>I154-F154</f>
        <v>2.6377314810815733E-2</v>
      </c>
      <c r="N154" s="7">
        <f>24*60*SUM($M154:$M154)</f>
        <v>37.983333327574655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-18T23:54:18-0600',mode:absolute,to:'2017-10-19T02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4" s="204" t="str">
        <f>IF(AA154&lt;VLOOKUP(AG154,Variables!$AC$3:$AD$8,2,FALSE),"Y","N")</f>
        <v>N</v>
      </c>
      <c r="X154" s="204">
        <f>VALUE(LEFT(AD154,4))-VALUE(LEFT(AD153,4))</f>
        <v>1</v>
      </c>
      <c r="Y154" s="204">
        <f>RIGHT(D154,LEN(D154)-4)/10000</f>
        <v>23.301500000000001</v>
      </c>
      <c r="Z154" s="204">
        <f>RIGHT(H154,LEN(H154)-4)/10000</f>
        <v>1.4200000000000001E-2</v>
      </c>
      <c r="AA154" s="204">
        <f>ABS(Z154-Y154)</f>
        <v>23.287300000000002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>VALUE(LEFT(A154,LEN(A154)-3))</f>
        <v>242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s3://rtdc.mdm.uploadarchive.raw/RTDC4039/ "%USERPROFILE%\AppData\Local\Temp\OnboardLogs"\RTDC4039\2017-10-19 --exclude "*" --recursive --include "*20171019*" &amp; "%USERPROFILE%\Documents\GitHub\mrs-test-scripts\Headless Mode &amp; Sideloading\WalkAndUnGZ.bat" "%USERPROFILE%\AppData\Local\Temp\OnboardLogs"\RTDC4039\2017-10-19 &amp; aws s3 cp s3://rtdc.mdm.uploadarchive.raw/RTDC4039/ "%USERPROFILE%\AppData\Local\Temp\OnboardLogs"\RTDC4039\2017-10-20 --exclude "*" --recursive --include "*20171020*" &amp; "%USERPROFILE%\Documents\GitHub\mrs-test-scripts\Headless Mode &amp; Sideloading\WalkAndUnGZ.bat" "%USERPROFILE%\AppData\Local\Temp\OnboardLogs"\RTDC4039\2017-10-20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/stypes="app*4039*20171019*" /stext=" 07:.+((SYSTEM_STATE.+slice.+state.+changed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43"/>
        <v>"%USERPROFILE%\Documents\GitHub\eaglep3\Utilities\RefineRTDCRunTimes.py" --tripid 242-18 --locoid 4039 --swversion DE.1.0.9.0 --startMP 204:233015 --initTime 2017-10-19T00:54:18 --startdatetime 2017-10-19T00:57:18 --delay 74 --endMP 204:142 --enddatetime 2017-10-19T01:35:17 --enforcementcount 0 &gt;&gt;%USERPROFILE%\Documents\GitHub\eaglep3-reporting\EC\2017-10-18-refined-times.txt</v>
      </c>
      <c r="AI154" s="96" t="str">
        <f t="shared" si="44"/>
        <v>echo {"issue":{"subject":"","project_id":79,"tracker_id":40,"status_id":1,"priority_id":2,"assigned_to_id":338,"start_date":"2017-10-19","description":"","custom_fields":[{"id":1,"name":"Subdivision","value":"EC"},{"id":4,"name":"Milepost","value":"0.0142"},{"id":17,"name":"Train ID","value":"242-18"},{"id":16,"name":"Locomotive ID","value":"4039"},{"id":130,"name":"Impact","value":""},{"id":150,"name":"Time of Event (Mountain Time)","value":"01:35:17"},{"id":151,"name":"Denver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45"/>
        <v>start /low /b %USERPROFILE%\Documents\GitHub\eaglep3\Utilities\DownloadLogsFromS3.py --loco 4039 --day 2017-10-19</v>
      </c>
      <c r="AN154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07:35:17"},{"id":29,"name":"Sharepoint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47"/>
        <v>https://d0f6bd738d7f1b3e5a7ca70fe4ff75f0.us-east-1.aws.found.io/app/kibana#/discover/Steve-Slow-Train-Analysis-(2080s-and-2083s)?_g=(refreshInterval:(display:Off,pause:!f,section:0,value:0),time:(from:'2017-10-18T23:54:18-0600',mode:absolute,to:'2017-10-19T02:35:17-0600'))&amp;_a=(columns:!('Message%20ID',Summary),filters:!(),index:'emp_*',interval:auto,query:(query_string:(analyze_wildcard:!t,query:'%22rtdc.l.rtdc.4039%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809</v>
      </c>
      <c r="B155" s="7">
        <v>4002</v>
      </c>
      <c r="C155" s="21" t="s">
        <v>194</v>
      </c>
      <c r="D155" s="21" t="s">
        <v>362</v>
      </c>
      <c r="E155" s="13">
        <v>43027.011550925927</v>
      </c>
      <c r="F155" s="13">
        <v>43027.021249999998</v>
      </c>
      <c r="G155" s="7">
        <v>70</v>
      </c>
      <c r="H155" s="21" t="s">
        <v>368</v>
      </c>
      <c r="I155" s="13">
        <v>43027.045659722222</v>
      </c>
      <c r="J155" s="7">
        <v>0</v>
      </c>
      <c r="K155" s="89" t="str">
        <f>IF(ISEVEN(B155),(B155-1)&amp;"/"&amp;B155,B155&amp;"/"&amp;(B155+1))</f>
        <v>4001/4002</v>
      </c>
      <c r="L155" s="185" t="str">
        <f>VLOOKUP(A155,'Trips&amp;Operators'!$C$1:$G$99911,5,FALSE)</f>
        <v>ANDERS STEVEN</v>
      </c>
      <c r="M155" s="6">
        <f>I155-F155</f>
        <v>2.4409722223936114E-2</v>
      </c>
      <c r="N155" s="7">
        <f>24*60*SUM($M155:$M155)</f>
        <v>35.150000002468005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-10-18T23:16:38-0600',mode:absolute,to:'2017-10-19T02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5" s="204" t="str">
        <f>IF(AA155&lt;VLOOKUP(AG155,Variables!$AC$3:$AD$8,2,FALSE),"Y","N")</f>
        <v>N</v>
      </c>
      <c r="X155" s="204">
        <f>VALUE(LEFT(AD155,4))-VALUE(LEFT(AD154,4))</f>
        <v>1</v>
      </c>
      <c r="Y155" s="204">
        <f>RIGHT(D155,LEN(D155)-4)/10000</f>
        <v>4.5999999999999999E-2</v>
      </c>
      <c r="Z155" s="204">
        <f>RIGHT(H155,LEN(H155)-4)/10000</f>
        <v>23.331199999999999</v>
      </c>
      <c r="AA155" s="204">
        <f>ABS(Z155-Y155)</f>
        <v>23.2852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>VALUE(LEFT(A155,LEN(A155)-3))</f>
        <v>243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s3://rtdc.mdm.uploadarchive.raw/RTDC4002/ "%USERPROFILE%\AppData\Local\Temp\OnboardLogs"\RTDC4002\2017-10-19 --exclude "*" --recursive --include "*20171019*" &amp; "%USERPROFILE%\Documents\GitHub\mrs-test-scripts\Headless Mode &amp; Sideloading\WalkAndUnGZ.bat" "%USERPROFILE%\AppData\Local\Temp\OnboardLogs"\RTDC4002\2017-10-19 &amp; aws s3 cp s3://rtdc.mdm.uploadarchive.raw/RTDC4002/ "%USERPROFILE%\AppData\Local\Temp\OnboardLogs"\RTDC4002\2017-10-20 --exclude "*" --recursive --include "*20171020*" &amp; "%USERPROFILE%\Documents\GitHub\mrs-test-scripts\Headless Mode &amp; Sideloading\WalkAndUnGZ.bat" "%USERPROFILE%\AppData\Local\Temp\OnboardLogs"\RTDC4002\2017-10-20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/stypes="app*4002*20171019*" /stext=" 07:.+((SYSTEM_STATE.+slice.+state.+changed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43"/>
        <v>"%USERPROFILE%\Documents\GitHub\eaglep3\Utilities\RefineRTDCRunTimes.py" --tripid 243-18 --locoid 4002 --swversion DE.1.0.9.0 --startMP 204:460 --initTime 2017-10-19T00:16:38 --startdatetime 2017-10-19T00:30:36 --delay 70 --endMP 204:233312 --enddatetime 2017-10-19T01:05:45 --enforcementcount 0 &gt;&gt;%USERPROFILE%\Documents\GitHub\eaglep3-reporting\EC\2017-10-18-refined-times.txt</v>
      </c>
      <c r="AI155" s="96" t="str">
        <f t="shared" si="44"/>
        <v>echo {"issue":{"subject":"","project_id":79,"tracker_id":40,"status_id":1,"priority_id":2,"assigned_to_id":338,"start_date":"2017-10-19","description":"","custom_fields":[{"id":1,"name":"Subdivision","value":"EC"},{"id":4,"name":"Milepost","value":"23.3312"},{"id":17,"name":"Train ID","value":"243-18"},{"id":16,"name":"Locomotive ID","value":"4002"},{"id":130,"name":"Impact","value":""},{"id":150,"name":"Time of Event (Mountain Time)","value":"01:05:45"},{"id":151,"name":"Denver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45"/>
        <v>start /low /b %USERPROFILE%\Documents\GitHub\eaglep3\Utilities\DownloadLogsFromS3.py --loco 4002 --day 2017-10-19</v>
      </c>
      <c r="AN155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07:05:45"},{"id":29,"name":"Sharepoint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47"/>
        <v>https://d0f6bd738d7f1b3e5a7ca70fe4ff75f0.us-east-1.aws.found.io/app/kibana#/discover/Steve-Slow-Train-Analysis-(2080s-and-2083s)?_g=(refreshInterval:(display:Off,pause:!f,section:0,value:0),time:(from:'2017-10-18T23:16:38-0600',mode:absolute,to:'2017-10-19T02:05:45-0600'))&amp;_a=(columns:!('Message%20ID',Summary),filters:!(),index:'emp_*',interval:auto,query:(query_string:(analyze_wildcard:!t,query:'%22rtdc.l.rtdc.4002%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814</v>
      </c>
      <c r="B156" s="7">
        <v>4001</v>
      </c>
      <c r="C156" s="21" t="s">
        <v>194</v>
      </c>
      <c r="D156" s="21" t="s">
        <v>362</v>
      </c>
      <c r="E156" s="13">
        <v>43027.011550925927</v>
      </c>
      <c r="F156" s="13">
        <v>43027.060648148145</v>
      </c>
      <c r="G156" s="7">
        <v>70</v>
      </c>
      <c r="H156" s="21" t="s">
        <v>368</v>
      </c>
      <c r="I156" s="13">
        <v>43027.087430555555</v>
      </c>
      <c r="J156" s="7">
        <v>0</v>
      </c>
      <c r="K156" s="89" t="str">
        <f>IF(ISEVEN(B156),(B156-1)&amp;"/"&amp;B156,B156&amp;"/"&amp;(B156+1))</f>
        <v>4001/4002</v>
      </c>
      <c r="L156" s="185" t="s">
        <v>1018</v>
      </c>
      <c r="M156" s="6">
        <f>I156-F156</f>
        <v>2.6782407410792075E-2</v>
      </c>
      <c r="N156" s="7">
        <f>24*60*SUM($M156:$M156)</f>
        <v>38.566666671540588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-18T23:16:38-0600',mode:absolute,to:'2017-10-19T03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v>23.301500000000001</v>
      </c>
      <c r="Z156" s="204">
        <v>1.4200000000000001E-2</v>
      </c>
      <c r="AA156" s="204">
        <f>ABS(Z156-Y156)</f>
        <v>23.287300000000002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>VALUE(LEFT(A156,LEN(A156)-3))</f>
        <v>244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s3://rtdc.mdm.uploadarchive.raw/RTDC4001/ "%USERPROFILE%\AppData\Local\Temp\OnboardLogs"\RTDC4001\2017-10-19 --exclude "*" --recursive --include "*20171019*" &amp; "%USERPROFILE%\Documents\GitHub\mrs-test-scripts\Headless Mode &amp; Sideloading\WalkAndUnGZ.bat" "%USERPROFILE%\AppData\Local\Temp\OnboardLogs"\RTDC4001\2017-10-19 &amp; aws s3 cp s3://rtdc.mdm.uploadarchive.raw/RTDC4001/ "%USERPROFILE%\AppData\Local\Temp\OnboardLogs"\RTDC4001\2017-10-20 --exclude "*" --recursive --include "*20171020*" &amp; "%USERPROFILE%\Documents\GitHub\mrs-test-scripts\Headless Mode &amp; Sideloading\WalkAndUnGZ.bat" "%USERPROFILE%\AppData\Local\Temp\OnboardLogs"\RTDC4001\2017-10-20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/stypes="app*4001*20171019*" /stext=" 08:.+((SYSTEM_STATE.+slice.+state.+changed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ref="AH156" si="60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244-18 --locoid 4001 --swversion DE.1.0.9.0 --startMP 204:460 --initTime 2017-10-19T00:16:38 --startdatetime 2017-10-19T01:27:20 --delay 70 --endMP 204:233312 --enddatetime 2017-10-19T02:05:54 --enforcementcount 0 &gt;&gt;%USERPROFILE%\Documents\GitHub\eaglep3-reporting\EC\2017-10-18-refined-times.txt</v>
      </c>
      <c r="AI156" s="96" t="str">
        <f t="shared" ref="AI156" si="61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{"issue":{"subject":"","project_id":79,"tracker_id":40,"status_id":1,"priority_id":2,"assigned_to_id":338,"start_date":"2017-10-19","description":"","custom_fields":[{"id":1,"name":"Subdivision","value":"EC"},{"id":4,"name":"Milepost","value":"0.0142"},{"id":17,"name":"Train ID","value":"244-18"},{"id":16,"name":"Locomotive ID","value":"4001"},{"id":130,"name":"Impact","value":""},{"id":150,"name":"Time of Event (Mountain Time)","value":"02:05:54"},{"id":151,"name":"Denver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ref="AM156" si="62">"start /low /b "&amp;dls3logs&amp;" --loco "&amp;B156&amp;" --day "&amp;TEXT(F156,"YYYY-MM-DD")</f>
        <v>start /low /b %USERPROFILE%\Documents\GitHub\eaglep3\Utilities\DownloadLogsFromS3.py --loco 4001 --day 2017-10-19</v>
      </c>
      <c r="AN156" s="151" t="str">
        <f t="shared" ref="AN156" si="63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08:05:54"},{"id":29,"name":"Sharepoint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ref="AO156" si="64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-18T23:16:38-0600',mode:absolute,to:'2017-10-19T03:05:54-0600'))&amp;_a=(columns:!('Message%20ID',Summary),filters:!(),index:'emp_*',interval:auto,query:(query_string:(analyze_wildcard:!t,query:'%22rtdc.l.rtdc.4001%22')),sort:!(Time.ISO8601,asc))</v>
      </c>
    </row>
    <row r="157" spans="1:91" s="20" customFormat="1" x14ac:dyDescent="0.3">
      <c r="A157" s="32" t="s">
        <v>617</v>
      </c>
      <c r="B157" s="7">
        <v>4035</v>
      </c>
      <c r="C157" s="21" t="s">
        <v>194</v>
      </c>
      <c r="D157" s="21" t="s">
        <v>934</v>
      </c>
      <c r="E157" s="13">
        <v>43026.211180555554</v>
      </c>
      <c r="F157" s="13">
        <v>43026.212731481479</v>
      </c>
      <c r="G157" s="7">
        <v>59</v>
      </c>
      <c r="H157" s="21" t="s">
        <v>935</v>
      </c>
      <c r="I157" s="13">
        <v>43026.225717592592</v>
      </c>
      <c r="J157" s="7">
        <v>0</v>
      </c>
      <c r="K157" s="89" t="str">
        <f>IF(ISEVEN(B157),(B157-1)&amp;"/"&amp;B157,B157&amp;"/"&amp;(B157+1))</f>
        <v>4035/4036</v>
      </c>
      <c r="L157" s="185" t="str">
        <f>VLOOKUP(A157,'Trips&amp;Operators'!$C$1:$G$99911,5,FALSE)</f>
        <v>LAMAR NEKESHA</v>
      </c>
      <c r="M157" s="6">
        <f>I157-F157</f>
        <v>1.2986111112695653E-2</v>
      </c>
      <c r="N157" s="7">
        <f>24*60*SUM($M157:$M157)</f>
        <v>18.70000000228174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-18T04:04:06-0600',mode:absolute,to:'2017-10-18T06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7" s="204" t="str">
        <f>IF(AA157&lt;VLOOKUP(AG157,Variables!$AC$3:$AD$8,2,FALSE),"Y","N")</f>
        <v>N</v>
      </c>
      <c r="X157" s="204">
        <f t="shared" ref="X157:X158" si="65">VALUE(LEFT(AD157,4))-VALUE(LEFT(AD156,4))</f>
        <v>556</v>
      </c>
      <c r="Y157" s="204">
        <f>RIGHT(D157,LEN(D157)-4)/10000</f>
        <v>5.8672000000000004</v>
      </c>
      <c r="Z157" s="204">
        <f>RIGHT(H157,LEN(H157)-4)/10000</f>
        <v>7.0099999999999996E-2</v>
      </c>
      <c r="AA157" s="204">
        <f>ABS(Z157-Y157)</f>
        <v>5.7971000000000004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>VALUE(LEFT(A157,LEN(A157)-3))</f>
        <v>800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 &amp; aws s3 cp s3://rtdc.mdm.uploadarchive.raw/RTDC4035/ "%USERPROFILE%\AppData\Local\Temp\OnboardLogs"\RTDC4035\2017-10-19 --exclude "*" --recursive --include "*20171019*" &amp; "%USERPROFILE%\Documents\GitHub\mrs-test-scripts\Headless Mode &amp; Sideloading\WalkAndUnGZ.bat" "%USERPROFILE%\AppData\Local\Temp\OnboardLogs"\RTDC4035\2017-10-19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/stypes="app*4035*20171018*" /stext=" 11:.+((SYSTEM_STATE.+slice.+state.+changed )|(ment ac)|(multiple cpu faults)|(system.+state.+changed )|(\[timeout)|(PRM\|1\|D)|(kpr)|(kdp)|(train st.+moving)|(\|lc)|(penalty))"</v>
      </c>
      <c r="AG157" s="182" t="str">
        <f>DetSubdiv(A157)</f>
        <v>NW</v>
      </c>
      <c r="AH157" s="78" t="str">
        <f t="shared" si="43"/>
        <v>"%USERPROFILE%\Documents\GitHub\eaglep3\Utilities\RefineRTDCRunTimes.py" --tripid 800-18 --locoid 4035 --swversion DE.1.0.9.0 --startMP 300:58672 --initTime 2017-10-18T05:04:06 --startdatetime 2017-10-18T05:06:20 --delay 59 --endMP 204:701 --enddatetime 2017-10-18T05:25:02 --enforcementcount 0 &gt;&gt;%USERPROFILE%\Documents\GitHub\eaglep3-reporting\EC\2017-10-18-refined-times.txt</v>
      </c>
      <c r="AI157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{"issue":{"subject":"","project_id":79,"tracker_id":40,"status_id":1,"priority_id":2,"assigned_to_id":338,"start_date":"2017-10-18","description":"","custom_fields":[{"id":1,"name":"Subdivision","value":"NW"},{"id":4,"name":"Milepost","value":"0.0701"},{"id":17,"name":"Train ID","value":"800-18"},{"id":16,"name":"Locomotive ID","value":"4035"},{"id":130,"name":"Impact","value":""},{"id":150,"name":"Time of Event (Mountain Time)","value":"05:25:02"},{"id":151,"name":"Denver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45"/>
        <v>start /low /b %USERPROFILE%\Documents\GitHub\eaglep3\Utilities\DownloadLogsFromS3.py --loco 4035 --day 2017-10-18</v>
      </c>
      <c r="AN157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11:25:02"},{"id":29,"name":"Sharepoint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47"/>
        <v>https://d0f6bd738d7f1b3e5a7ca70fe4ff75f0.us-east-1.aws.found.io/app/kibana#/discover/Steve-Slow-Train-Analysis-(2080s-and-2083s)?_g=(refreshInterval:(display:Off,pause:!f,section:0,value:0),time:(from:'2017-10-18T04:04:06-0600',mode:absolute,to:'2017-10-18T06:25:02-0600'))&amp;_a=(columns:!('Message%20ID',Summary),filters:!(),index:'emp_*',interval:auto,query:(query_string:(analyze_wildcard:!t,query:'%22rtdc.l.rtdc.4035%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623</v>
      </c>
      <c r="B158" s="7">
        <v>4036</v>
      </c>
      <c r="C158" s="21" t="s">
        <v>194</v>
      </c>
      <c r="D158" s="21" t="s">
        <v>936</v>
      </c>
      <c r="E158" s="13">
        <v>43026.233287037037</v>
      </c>
      <c r="F158" s="13">
        <v>43026.235590277778</v>
      </c>
      <c r="G158" s="7">
        <v>51</v>
      </c>
      <c r="H158" s="21" t="s">
        <v>937</v>
      </c>
      <c r="I158" s="13">
        <v>43026.244988425926</v>
      </c>
      <c r="J158" s="7">
        <v>0</v>
      </c>
      <c r="K158" s="89" t="str">
        <f>IF(ISEVEN(B158),(B158-1)&amp;"/"&amp;B158,B158&amp;"/"&amp;(B158+1))</f>
        <v>4035/4036</v>
      </c>
      <c r="L158" s="185" t="str">
        <f>VLOOKUP(A158,'Trips&amp;Operators'!$C$1:$G$99911,5,FALSE)</f>
        <v>LAMAR NEKESHA</v>
      </c>
      <c r="M158" s="6">
        <f>I158-F158</f>
        <v>9.3981481477385387E-3</v>
      </c>
      <c r="N158" s="7">
        <f>24*60*SUM($M158:$M158)</f>
        <v>13.533333332743496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-18T04:35:56-0600',mode:absolute,to:'2017-10-18T06:52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8" s="204" t="str">
        <f>IF(AA158&lt;VLOOKUP(AG158,Variables!$AC$3:$AD$8,2,FALSE),"Y","N")</f>
        <v>N</v>
      </c>
      <c r="X158" s="204">
        <f t="shared" si="65"/>
        <v>1</v>
      </c>
      <c r="Y158" s="204">
        <f>RIGHT(D158,LEN(D158)-4)/10000</f>
        <v>9.5000000000000001E-2</v>
      </c>
      <c r="Z158" s="204">
        <f>RIGHT(H158,LEN(H158)-4)/10000</f>
        <v>5.8973000000000004</v>
      </c>
      <c r="AA158" s="204">
        <f>ABS(Z158-Y158)</f>
        <v>5.8023000000000007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>VALUE(LEFT(A158,LEN(A158)-3))</f>
        <v>801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 &amp; aws s3 cp s3://rtdc.mdm.uploadarchive.raw/RTDC4036/ "%USERPROFILE%\AppData\Local\Temp\OnboardLogs"\RTDC4036\2017-10-19 --exclude "*" --recursive --include "*20171019*" &amp; "%USERPROFILE%\Documents\GitHub\mrs-test-scripts\Headless Mode &amp; Sideloading\WalkAndUnGZ.bat" "%USERPROFILE%\AppData\Local\Temp\OnboardLogs"\RTDC4036\2017-10-19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/stypes="app*4036*20171018*" /stext=" 11:.+((SYSTEM_STATE.+slice.+state.+changed )|(ment ac)|(multiple cpu faults)|(system.+state.+changed )|(\[timeout)|(PRM\|1\|D)|(kpr)|(kdp)|(train st.+moving)|(\|lc)|(penalty))"</v>
      </c>
      <c r="AG158" s="182" t="str">
        <f>DetSubdiv(A158)</f>
        <v>NW</v>
      </c>
      <c r="AH158" s="78" t="str">
        <f t="shared" si="43"/>
        <v>"%USERPROFILE%\Documents\GitHub\eaglep3\Utilities\RefineRTDCRunTimes.py" --tripid 801-18 --locoid 4036 --swversion DE.1.0.9.0 --startMP 204:950 --initTime 2017-10-18T05:35:56 --startdatetime 2017-10-18T05:39:15 --delay 51 --endMP 300:58973 --enddatetime 2017-10-18T05:52:47 --enforcementcount 0 &gt;&gt;%USERPROFILE%\Documents\GitHub\eaglep3-reporting\EC\2017-10-18-refined-times.txt</v>
      </c>
      <c r="AI158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{"issue":{"subject":"","project_id":79,"tracker_id":40,"status_id":1,"priority_id":2,"assigned_to_id":338,"start_date":"2017-10-18","description":"","custom_fields":[{"id":1,"name":"Subdivision","value":"NW"},{"id":4,"name":"Milepost","value":"5.8973"},{"id":17,"name":"Train ID","value":"801-18"},{"id":16,"name":"Locomotive ID","value":"4036"},{"id":130,"name":"Impact","value":""},{"id":150,"name":"Time of Event (Mountain Time)","value":"05:52:47"},{"id":151,"name":"Denver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45"/>
        <v>start /low /b %USERPROFILE%\Documents\GitHub\eaglep3\Utilities\DownloadLogsFromS3.py --loco 4036 --day 2017-10-18</v>
      </c>
      <c r="AN158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11:52:47"},{"id":29,"name":"Sharepoint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47"/>
        <v>https://d0f6bd738d7f1b3e5a7ca70fe4ff75f0.us-east-1.aws.found.io/app/kibana#/discover/Steve-Slow-Train-Analysis-(2080s-and-2083s)?_g=(refreshInterval:(display:Off,pause:!f,section:0,value:0),time:(from:'2017-10-18T04:35:56-0600',mode:absolute,to:'2017-10-18T06:52:47-0600'))&amp;_a=(columns:!('Message%20ID',Summary),filters:!(),index:'emp_*',interval:auto,query:(query_string:(analyze_wildcard:!t,query:'%22rtdc.l.rtdc.4036%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628</v>
      </c>
      <c r="B159" s="7">
        <v>4035</v>
      </c>
      <c r="C159" s="21" t="s">
        <v>194</v>
      </c>
      <c r="D159" s="21" t="s">
        <v>938</v>
      </c>
      <c r="E159" s="13">
        <v>43026.246782407405</v>
      </c>
      <c r="F159" s="13">
        <v>43026.259074074071</v>
      </c>
      <c r="G159" s="7">
        <v>79</v>
      </c>
      <c r="H159" s="21" t="s">
        <v>499</v>
      </c>
      <c r="I159" s="13">
        <v>43026.267071759263</v>
      </c>
      <c r="J159" s="7">
        <v>0</v>
      </c>
      <c r="K159" s="89" t="str">
        <f>IF(ISEVEN(B159),(B159-1)&amp;"/"&amp;B159,B159&amp;"/"&amp;(B159+1))</f>
        <v>4035/4036</v>
      </c>
      <c r="L159" s="185" t="str">
        <f>VLOOKUP(A159,'Trips&amp;Operators'!$C$1:$G$99911,5,FALSE)</f>
        <v>LAMAR NEKESHA</v>
      </c>
      <c r="M159" s="6">
        <f>I159-F159</f>
        <v>7.9976851920946501E-3</v>
      </c>
      <c r="N159" s="7">
        <f>24*60*SUM($M159:$M159)</f>
        <v>11.516666676616296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-10-18T04:55:22-0600',mode:absolute,to:'2017-10-18T07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9" s="204" t="str">
        <f>IF(AA159&lt;VLOOKUP(AG159,Variables!$AC$3:$AD$8,2,FALSE),"Y","N")</f>
        <v>N</v>
      </c>
      <c r="X159" s="204">
        <f>VALUE(LEFT(AD159,4))-VALUE(LEFT(AD158,4))</f>
        <v>1</v>
      </c>
      <c r="Y159" s="204">
        <f>RIGHT(D159,LEN(D159)-4)/10000</f>
        <v>5.8666</v>
      </c>
      <c r="Z159" s="204">
        <f>RIGHT(H159,LEN(H159)-4)/10000</f>
        <v>6.8000000000000005E-2</v>
      </c>
      <c r="AA159" s="204">
        <f>ABS(Z159-Y159)</f>
        <v>5.7986000000000004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>VALUE(LEFT(A159,LEN(A159)-3))</f>
        <v>802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 &amp; aws s3 cp s3://rtdc.mdm.uploadarchive.raw/RTDC4035/ "%USERPROFILE%\AppData\Local\Temp\OnboardLogs"\RTDC4035\2017-10-19 --exclude "*" --recursive --include "*20171019*" &amp; "%USERPROFILE%\Documents\GitHub\mrs-test-scripts\Headless Mode &amp; Sideloading\WalkAndUnGZ.bat" "%USERPROFILE%\AppData\Local\Temp\OnboardLogs"\RTDC4035\2017-10-19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/stypes="app*4035*20171018*" /stext=" 12:.+((SYSTEM_STATE.+slice.+state.+changed )|(ment ac)|(multiple cpu faults)|(system.+state.+changed )|(\[timeout)|(PRM\|1\|D)|(kpr)|(kdp)|(train st.+moving)|(\|lc)|(penalty))"</v>
      </c>
      <c r="AG159" s="182" t="str">
        <f>DetSubdiv(A159)</f>
        <v>NW</v>
      </c>
      <c r="AH159" s="78" t="str">
        <f t="shared" si="43"/>
        <v>"%USERPROFILE%\Documents\GitHub\eaglep3\Utilities\RefineRTDCRunTimes.py" --tripid 802-18 --locoid 4035 --swversion DE.1.0.9.0 --startMP 300:58666 --initTime 2017-10-18T05:55:22 --startdatetime 2017-10-18T06:13:04 --delay 79 --endMP 204:680 --enddatetime 2017-10-18T06:24:35 --enforcementcount 0 &gt;&gt;%USERPROFILE%\Documents\GitHub\eaglep3-reporting\EC\2017-10-18-refined-times.txt</v>
      </c>
      <c r="AI159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{"issue":{"subject":"","project_id":79,"tracker_id":40,"status_id":1,"priority_id":2,"assigned_to_id":338,"start_date":"2017-10-18","description":"","custom_fields":[{"id":1,"name":"Subdivision","value":"NW"},{"id":4,"name":"Milepost","value":"0.068"},{"id":17,"name":"Train ID","value":"802-18"},{"id":16,"name":"Locomotive ID","value":"4035"},{"id":130,"name":"Impact","value":""},{"id":150,"name":"Time of Event (Mountain Time)","value":"06:24:35"},{"id":151,"name":"Denver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45"/>
        <v>start /low /b %USERPROFILE%\Documents\GitHub\eaglep3\Utilities\DownloadLogsFromS3.py --loco 4035 --day 2017-10-18</v>
      </c>
      <c r="AN159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12:24:35"},{"id":29,"name":"Sharepoint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47"/>
        <v>https://d0f6bd738d7f1b3e5a7ca70fe4ff75f0.us-east-1.aws.found.io/app/kibana#/discover/Steve-Slow-Train-Analysis-(2080s-and-2083s)?_g=(refreshInterval:(display:Off,pause:!f,section:0,value:0),time:(from:'2017-10-18T04:55:22-0600',mode:absolute,to:'2017-10-18T07:24:35-0600'))&amp;_a=(columns:!('Message%20ID',Summary),filters:!(),index:'emp_*',interval:auto,query:(query_string:(analyze_wildcard:!t,query:'%22rtdc.l.rtdc.4035%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550</v>
      </c>
      <c r="B160" s="7">
        <v>4018</v>
      </c>
      <c r="C160" s="21" t="s">
        <v>194</v>
      </c>
      <c r="D160" s="21" t="s">
        <v>939</v>
      </c>
      <c r="E160" s="13">
        <v>43026.250763888886</v>
      </c>
      <c r="F160" s="13">
        <v>43026.256469907406</v>
      </c>
      <c r="G160" s="7">
        <v>63</v>
      </c>
      <c r="H160" s="21" t="s">
        <v>937</v>
      </c>
      <c r="I160" s="13">
        <v>43026.268923611111</v>
      </c>
      <c r="J160" s="7">
        <v>0</v>
      </c>
      <c r="K160" s="89" t="str">
        <f>IF(ISEVEN(B160),(B160-1)&amp;"/"&amp;B160,B160&amp;"/"&amp;(B160+1))</f>
        <v>4017/4018</v>
      </c>
      <c r="L160" s="185" t="str">
        <f>VLOOKUP(A160,'Trips&amp;Operators'!$C$1:$G$99911,5,FALSE)</f>
        <v>GEBRETEKLE DAGNEW</v>
      </c>
      <c r="M160" s="6">
        <f>I160-F160</f>
        <v>1.2453703704522923E-2</v>
      </c>
      <c r="N160" s="7">
        <f>24*60*SUM($M160:$M160)</f>
        <v>17.933333334513009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-18T05:01:06-0600',mode:absolute,to:'2017-10-18T07:27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1</v>
      </c>
      <c r="Y160" s="204">
        <f>RIGHT(D160,LEN(D160)-4)/10000</f>
        <v>9.8799999999999999E-2</v>
      </c>
      <c r="Z160" s="204">
        <f>RIGHT(H160,LEN(H160)-4)/10000</f>
        <v>5.8973000000000004</v>
      </c>
      <c r="AA160" s="204">
        <f>ABS(Z160-Y160)</f>
        <v>5.7985000000000007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>VALUE(LEFT(A160,LEN(A160)-3))</f>
        <v>803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/stypes="app*4018*20171018*" /stext=" 12:.+((SYSTEM_STATE.+slice.+state.+changed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43"/>
        <v>"%USERPROFILE%\Documents\GitHub\eaglep3\Utilities\RefineRTDCRunTimes.py" --tripid 803-18 --locoid 4018 --swversion DE.1.0.9.0 --startMP 204:988 --initTime 2017-10-18T06:01:06 --startdatetime 2017-10-18T06:09:19 --delay 63 --endMP 300:58973 --enddatetime 2017-10-18T06:27:15 --enforcementcount 0 &gt;&gt;%USERPROFILE%\Documents\GitHub\eaglep3-reporting\EC\2017-10-18-refined-times.txt</v>
      </c>
      <c r="AI160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{"issue":{"subject":"","project_id":79,"tracker_id":40,"status_id":1,"priority_id":2,"assigned_to_id":338,"start_date":"2017-10-18","description":"","custom_fields":[{"id":1,"name":"Subdivision","value":"NW"},{"id":4,"name":"Milepost","value":"5.8973"},{"id":17,"name":"Train ID","value":"803-18"},{"id":16,"name":"Locomotive ID","value":"4018"},{"id":130,"name":"Impact","value":""},{"id":150,"name":"Time of Event (Mountain Time)","value":"06:27:15"},{"id":151,"name":"Denver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45"/>
        <v>start /low /b %USERPROFILE%\Documents\GitHub\eaglep3\Utilities\DownloadLogsFromS3.py --loco 4018 --day 2017-10-18</v>
      </c>
      <c r="AN160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12:27:15"},{"id":29,"name":"Sharepoint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47"/>
        <v>https://d0f6bd738d7f1b3e5a7ca70fe4ff75f0.us-east-1.aws.found.io/app/kibana#/discover/Steve-Slow-Train-Analysis-(2080s-and-2083s)?_g=(refreshInterval:(display:Off,pause:!f,section:0,value:0),time:(from:'2017-10-18T05:01:06-0600',mode:absolute,to:'2017-10-18T07:27:15-0600'))&amp;_a=(columns:!('Message%20ID',Summary),filters:!(),index:'emp_*',interval:auto,query:(query_string:(analyze_wildcard:!t,query:'%22rtdc.l.rtdc.4018%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631</v>
      </c>
      <c r="B161" s="7">
        <v>4017</v>
      </c>
      <c r="C161" s="21" t="s">
        <v>194</v>
      </c>
      <c r="D161" s="21" t="s">
        <v>940</v>
      </c>
      <c r="E161" s="13">
        <v>43026.270532407405</v>
      </c>
      <c r="F161" s="13">
        <v>43026.272546296299</v>
      </c>
      <c r="G161" s="7">
        <v>51</v>
      </c>
      <c r="H161" s="21" t="s">
        <v>941</v>
      </c>
      <c r="I161" s="13">
        <v>43026.288206018522</v>
      </c>
      <c r="J161" s="7">
        <v>0</v>
      </c>
      <c r="K161" s="89" t="str">
        <f>IF(ISEVEN(B161),(B161-1)&amp;"/"&amp;B161,B161&amp;"/"&amp;(B161+1))</f>
        <v>4017/4018</v>
      </c>
      <c r="L161" s="185" t="str">
        <f>VLOOKUP(A161,'Trips&amp;Operators'!$C$1:$G$99911,5,FALSE)</f>
        <v>GEBRETEKLE DAGNEW</v>
      </c>
      <c r="M161" s="6">
        <f>I161-F161</f>
        <v>1.5659722223063E-2</v>
      </c>
      <c r="N161" s="7">
        <f>24*60*SUM($M161:$M161)</f>
        <v>22.550000001210719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-18T05:29:34-0600',mode:absolute,to:'2017-10-18T07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1</v>
      </c>
      <c r="Y161" s="204">
        <f>RIGHT(D161,LEN(D161)-4)/10000</f>
        <v>5.8658000000000001</v>
      </c>
      <c r="Z161" s="204">
        <f>RIGHT(H161,LEN(H161)-4)/10000</f>
        <v>7.1199999999999999E-2</v>
      </c>
      <c r="AA161" s="204">
        <f>ABS(Z161-Y161)</f>
        <v>5.7946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>VALUE(LEFT(A161,LEN(A161)-3))</f>
        <v>804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/stypes="app*4017*20171018*" /stext=" 12:.+((SYSTEM_STATE.+slice.+state.+changed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43"/>
        <v>"%USERPROFILE%\Documents\GitHub\eaglep3\Utilities\RefineRTDCRunTimes.py" --tripid 804-18 --locoid 4017 --swversion DE.1.0.9.0 --startMP 300:58658 --initTime 2017-10-18T06:29:34 --startdatetime 2017-10-18T06:32:28 --delay 51 --endMP 204:712 --enddatetime 2017-10-18T06:55:01 --enforcementcount 0 &gt;&gt;%USERPROFILE%\Documents\GitHub\eaglep3-reporting\EC\2017-10-18-refined-times.txt</v>
      </c>
      <c r="AI161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{"issue":{"subject":"","project_id":79,"tracker_id":40,"status_id":1,"priority_id":2,"assigned_to_id":338,"start_date":"2017-10-18","description":"","custom_fields":[{"id":1,"name":"Subdivision","value":"NW"},{"id":4,"name":"Milepost","value":"0.0712"},{"id":17,"name":"Train ID","value":"804-18"},{"id":16,"name":"Locomotive ID","value":"4017"},{"id":130,"name":"Impact","value":""},{"id":150,"name":"Time of Event (Mountain Time)","value":"06:55:01"},{"id":151,"name":"Denver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45"/>
        <v>start /low /b %USERPROFILE%\Documents\GitHub\eaglep3\Utilities\DownloadLogsFromS3.py --loco 4017 --day 2017-10-18</v>
      </c>
      <c r="AN161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12:55:01"},{"id":29,"name":"Sharepoint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47"/>
        <v>https://d0f6bd738d7f1b3e5a7ca70fe4ff75f0.us-east-1.aws.found.io/app/kibana#/discover/Steve-Slow-Train-Analysis-(2080s-and-2083s)?_g=(refreshInterval:(display:Off,pause:!f,section:0,value:0),time:(from:'2017-10-18T05:29:34-0600',mode:absolute,to:'2017-10-18T07:55:01-0600'))&amp;_a=(columns:!('Message%20ID',Summary),filters:!(),index:'emp_*',interval:auto,query:(query_string:(analyze_wildcard:!t,query:'%22rtdc.l.rtdc.4017%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553</v>
      </c>
      <c r="B162" s="7">
        <v>4036</v>
      </c>
      <c r="C162" s="21" t="s">
        <v>194</v>
      </c>
      <c r="D162" s="21" t="s">
        <v>942</v>
      </c>
      <c r="E162" s="13">
        <v>43026.271574074075</v>
      </c>
      <c r="F162" s="13">
        <v>43026.277291666665</v>
      </c>
      <c r="G162" s="7">
        <v>76</v>
      </c>
      <c r="H162" s="21" t="s">
        <v>539</v>
      </c>
      <c r="I162" s="13">
        <v>43026.286990740744</v>
      </c>
      <c r="J162" s="7">
        <v>0</v>
      </c>
      <c r="K162" s="89" t="str">
        <f>IF(ISEVEN(B162),(B162-1)&amp;"/"&amp;B162,B162&amp;"/"&amp;(B162+1))</f>
        <v>4035/4036</v>
      </c>
      <c r="L162" s="185" t="str">
        <f>VLOOKUP(A162,'Trips&amp;Operators'!$C$1:$G$99911,5,FALSE)</f>
        <v>LAMAR NEKESHA</v>
      </c>
      <c r="M162" s="6">
        <f>I162-F162</f>
        <v>9.6990740785258822E-3</v>
      </c>
      <c r="N162" s="7">
        <f>24*60*SUM($M162:$M162)</f>
        <v>13.96666667307727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-10-18T05:31:04-0600',mode:absolute,to:'2017-10-18T07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9.7799999999999998E-2</v>
      </c>
      <c r="Z162" s="204">
        <f>RIGHT(H162,LEN(H162)-4)/10000</f>
        <v>5.8983999999999996</v>
      </c>
      <c r="AA162" s="204">
        <f>ABS(Z162-Y162)</f>
        <v>5.8005999999999993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>VALUE(LEFT(A162,LEN(A162)-3))</f>
        <v>805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 &amp; aws s3 cp s3://rtdc.mdm.uploadarchive.raw/RTDC4036/ "%USERPROFILE%\AppData\Local\Temp\OnboardLogs"\RTDC4036\2017-10-19 --exclude "*" --recursive --include "*20171019*" &amp; "%USERPROFILE%\Documents\GitHub\mrs-test-scripts\Headless Mode &amp; Sideloading\WalkAndUnGZ.bat" "%USERPROFILE%\AppData\Local\Temp\OnboardLogs"\RTDC4036\2017-10-19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/stypes="app*4036*20171018*" /stext=" 12:.+((SYSTEM_STATE.+slice.+state.+changed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43"/>
        <v>"%USERPROFILE%\Documents\GitHub\eaglep3\Utilities\RefineRTDCRunTimes.py" --tripid 805-18 --locoid 4036 --swversion DE.1.0.9.0 --startMP 204:978 --initTime 2017-10-18T06:31:04 --startdatetime 2017-10-18T06:39:18 --delay 76 --endMP 300:58984 --enddatetime 2017-10-18T06:53:16 --enforcementcount 0 &gt;&gt;%USERPROFILE%\Documents\GitHub\eaglep3-reporting\EC\2017-10-18-refined-times.txt</v>
      </c>
      <c r="AI162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{"issue":{"subject":"","project_id":79,"tracker_id":40,"status_id":1,"priority_id":2,"assigned_to_id":338,"start_date":"2017-10-18","description":"","custom_fields":[{"id":1,"name":"Subdivision","value":"NW"},{"id":4,"name":"Milepost","value":"5.8984"},{"id":17,"name":"Train ID","value":"805-18"},{"id":16,"name":"Locomotive ID","value":"4036"},{"id":130,"name":"Impact","value":""},{"id":150,"name":"Time of Event (Mountain Time)","value":"06:53:16"},{"id":151,"name":"Denver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45"/>
        <v>start /low /b %USERPROFILE%\Documents\GitHub\eaglep3\Utilities\DownloadLogsFromS3.py --loco 4036 --day 2017-10-18</v>
      </c>
      <c r="AN162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12:53:16"},{"id":29,"name":"Sharepoint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47"/>
        <v>https://d0f6bd738d7f1b3e5a7ca70fe4ff75f0.us-east-1.aws.found.io/app/kibana#/discover/Steve-Slow-Train-Analysis-(2080s-and-2083s)?_g=(refreshInterval:(display:Off,pause:!f,section:0,value:0),time:(from:'2017-10-18T05:31:04-0600',mode:absolute,to:'2017-10-18T07:53:16-0600'))&amp;_a=(columns:!('Message%20ID',Summary),filters:!(),index:'emp_*',interval:auto,query:(query_string:(analyze_wildcard:!t,query:'%22rtdc.l.rtdc.4036%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637</v>
      </c>
      <c r="B163" s="7">
        <v>4035</v>
      </c>
      <c r="C163" s="21" t="s">
        <v>194</v>
      </c>
      <c r="D163" s="21" t="s">
        <v>943</v>
      </c>
      <c r="E163" s="13">
        <v>43026.288969907408</v>
      </c>
      <c r="F163" s="13">
        <v>43026.291574074072</v>
      </c>
      <c r="G163" s="7">
        <v>50</v>
      </c>
      <c r="H163" s="21" t="s">
        <v>944</v>
      </c>
      <c r="I163" s="13">
        <v>43026.308854166666</v>
      </c>
      <c r="J163" s="7">
        <v>0</v>
      </c>
      <c r="K163" s="89" t="str">
        <f>IF(ISEVEN(B163),(B163-1)&amp;"/"&amp;B163,B163&amp;"/"&amp;(B163+1))</f>
        <v>4035/4036</v>
      </c>
      <c r="L163" s="185" t="str">
        <f>VLOOKUP(A163,'Trips&amp;Operators'!$C$1:$G$99911,5,FALSE)</f>
        <v>LAMAR NEKESHA</v>
      </c>
      <c r="M163" s="6">
        <f>I163-F163</f>
        <v>1.7280092593864538E-2</v>
      </c>
      <c r="N163" s="7">
        <f>24*60*SUM($M163:$M163)</f>
        <v>24.883333335164934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-10-18T05:56:07-0600',mode:absolute,to:'2017-10-18T08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5.8662000000000001</v>
      </c>
      <c r="Z163" s="204">
        <f>RIGHT(H163,LEN(H163)-4)/10000</f>
        <v>6.9900000000000004E-2</v>
      </c>
      <c r="AA163" s="204">
        <f>ABS(Z163-Y163)</f>
        <v>5.7963000000000005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>VALUE(LEFT(A163,LEN(A163)-3))</f>
        <v>806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 &amp; aws s3 cp s3://rtdc.mdm.uploadarchive.raw/RTDC4035/ "%USERPROFILE%\AppData\Local\Temp\OnboardLogs"\RTDC4035\2017-10-19 --exclude "*" --recursive --include "*20171019*" &amp; "%USERPROFILE%\Documents\GitHub\mrs-test-scripts\Headless Mode &amp; Sideloading\WalkAndUnGZ.bat" "%USERPROFILE%\AppData\Local\Temp\OnboardLogs"\RTDC4035\2017-10-19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/stypes="app*4035*20171018*" /stext=" 13:.+((SYSTEM_STATE.+slice.+state.+changed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43"/>
        <v>"%USERPROFILE%\Documents\GitHub\eaglep3\Utilities\RefineRTDCRunTimes.py" --tripid 806-18 --locoid 4035 --swversion DE.1.0.9.0 --startMP 300:58662 --initTime 2017-10-18T06:56:07 --startdatetime 2017-10-18T06:59:52 --delay 50 --endMP 204:699 --enddatetime 2017-10-18T07:24:45 --enforcementcount 0 &gt;&gt;%USERPROFILE%\Documents\GitHub\eaglep3-reporting\EC\2017-10-18-refined-times.txt</v>
      </c>
      <c r="AI163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{"issue":{"subject":"","project_id":79,"tracker_id":40,"status_id":1,"priority_id":2,"assigned_to_id":338,"start_date":"2017-10-18","description":"","custom_fields":[{"id":1,"name":"Subdivision","value":"NW"},{"id":4,"name":"Milepost","value":"0.0699"},{"id":17,"name":"Train ID","value":"806-18"},{"id":16,"name":"Locomotive ID","value":"4035"},{"id":130,"name":"Impact","value":""},{"id":150,"name":"Time of Event (Mountain Time)","value":"07:24:45"},{"id":151,"name":"Denver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45"/>
        <v>start /low /b %USERPROFILE%\Documents\GitHub\eaglep3\Utilities\DownloadLogsFromS3.py --loco 4035 --day 2017-10-18</v>
      </c>
      <c r="AN163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13:24:45"},{"id":29,"name":"Sharepoint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47"/>
        <v>https://d0f6bd738d7f1b3e5a7ca70fe4ff75f0.us-east-1.aws.found.io/app/kibana#/discover/Steve-Slow-Train-Analysis-(2080s-and-2083s)?_g=(refreshInterval:(display:Off,pause:!f,section:0,value:0),time:(from:'2017-10-18T05:56:07-0600',mode:absolute,to:'2017-10-18T08:24:45-0600'))&amp;_a=(columns:!('Message%20ID',Summary),filters:!(),index:'emp_*',interval:auto,query:(query_string:(analyze_wildcard:!t,query:'%22rtdc.l.rtdc.4035%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638</v>
      </c>
      <c r="B164" s="7">
        <v>4018</v>
      </c>
      <c r="C164" s="21" t="s">
        <v>194</v>
      </c>
      <c r="D164" s="21" t="s">
        <v>945</v>
      </c>
      <c r="E164" s="13">
        <v>43026.289722222224</v>
      </c>
      <c r="F164" s="13">
        <v>43026.298391203702</v>
      </c>
      <c r="G164" s="7">
        <v>55</v>
      </c>
      <c r="H164" s="21" t="s">
        <v>495</v>
      </c>
      <c r="I164" s="13">
        <v>43026.307592592595</v>
      </c>
      <c r="J164" s="7">
        <v>0</v>
      </c>
      <c r="K164" s="89" t="str">
        <f>IF(ISEVEN(B164),(B164-1)&amp;"/"&amp;B164,B164&amp;"/"&amp;(B164+1))</f>
        <v>4017/4018</v>
      </c>
      <c r="L164" s="185" t="str">
        <f>VLOOKUP(A164,'Trips&amp;Operators'!$C$1:$G$99911,5,FALSE)</f>
        <v>GEBRETEKLE DAGNEW</v>
      </c>
      <c r="M164" s="6">
        <f>I164-F164</f>
        <v>9.2013888934161514E-3</v>
      </c>
      <c r="N164" s="7">
        <f>24*60*SUM($M164:$M164)</f>
        <v>13.250000006519258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-10-18T05:57:12-0600',mode:absolute,to:'2017-10-18T08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9.9299999999999999E-2</v>
      </c>
      <c r="Z164" s="204">
        <f>RIGHT(H164,LEN(H164)-4)/10000</f>
        <v>5.8954000000000004</v>
      </c>
      <c r="AA164" s="204">
        <f>ABS(Z164-Y164)</f>
        <v>5.7961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>VALUE(LEFT(A164,LEN(A164)-3))</f>
        <v>807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/stypes="app*4018*20171018*" /stext=" 13:.+((SYSTEM_STATE.+slice.+state.+changed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43"/>
        <v>"%USERPROFILE%\Documents\GitHub\eaglep3\Utilities\RefineRTDCRunTimes.py" --tripid 807-18 --locoid 4018 --swversion DE.1.0.9.0 --startMP 204:993 --initTime 2017-10-18T06:57:12 --startdatetime 2017-10-18T07:09:41 --delay 55 --endMP 300:58954 --enddatetime 2017-10-18T07:22:56 --enforcementcount 0 &gt;&gt;%USERPROFILE%\Documents\GitHub\eaglep3-reporting\EC\2017-10-18-refined-times.txt</v>
      </c>
      <c r="AI164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{"issue":{"subject":"","project_id":79,"tracker_id":40,"status_id":1,"priority_id":2,"assigned_to_id":338,"start_date":"2017-10-18","description":"","custom_fields":[{"id":1,"name":"Subdivision","value":"NW"},{"id":4,"name":"Milepost","value":"5.8954"},{"id":17,"name":"Train ID","value":"807-18"},{"id":16,"name":"Locomotive ID","value":"4018"},{"id":130,"name":"Impact","value":""},{"id":150,"name":"Time of Event (Mountain Time)","value":"07:22:56"},{"id":151,"name":"Denver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45"/>
        <v>start /low /b %USERPROFILE%\Documents\GitHub\eaglep3\Utilities\DownloadLogsFromS3.py --loco 4018 --day 2017-10-18</v>
      </c>
      <c r="AN164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13:22:56"},{"id":29,"name":"Sharepoint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47"/>
        <v>https://d0f6bd738d7f1b3e5a7ca70fe4ff75f0.us-east-1.aws.found.io/app/kibana#/discover/Steve-Slow-Train-Analysis-(2080s-and-2083s)?_g=(refreshInterval:(display:Off,pause:!f,section:0,value:0),time:(from:'2017-10-18T05:57:12-0600',mode:absolute,to:'2017-10-18T08:22:56-0600'))&amp;_a=(columns:!('Message%20ID',Summary),filters:!(),index:'emp_*',interval:auto,query:(query_string:(analyze_wildcard:!t,query:'%22rtdc.l.rtdc.4018%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644</v>
      </c>
      <c r="B165" s="7">
        <v>4017</v>
      </c>
      <c r="C165" s="21" t="s">
        <v>194</v>
      </c>
      <c r="D165" s="21" t="s">
        <v>946</v>
      </c>
      <c r="E165" s="13">
        <v>43026.308715277781</v>
      </c>
      <c r="F165" s="13">
        <v>43026.321585648147</v>
      </c>
      <c r="G165" s="7">
        <v>62</v>
      </c>
      <c r="H165" s="21" t="s">
        <v>947</v>
      </c>
      <c r="I165" s="13">
        <v>43026.329895833333</v>
      </c>
      <c r="J165" s="7">
        <v>0</v>
      </c>
      <c r="K165" s="89" t="str">
        <f>IF(ISEVEN(B165),(B165-1)&amp;"/"&amp;B165,B165&amp;"/"&amp;(B165+1))</f>
        <v>4017/4018</v>
      </c>
      <c r="L165" s="185" t="str">
        <f>VLOOKUP(A165,'Trips&amp;Operators'!$C$1:$G$99911,5,FALSE)</f>
        <v>GEBRETEKLE DAGNEW</v>
      </c>
      <c r="M165" s="6">
        <f>I165-F165</f>
        <v>8.3101851851097308E-3</v>
      </c>
      <c r="N165" s="7">
        <f>24*60*SUM($M165:$M165)</f>
        <v>11.966666666558012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-10-18T06:24:33-0600',mode:absolute,to:'2017-10-18T08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5.8643000000000001</v>
      </c>
      <c r="Z165" s="204">
        <f>RIGHT(H165,LEN(H165)-4)/10000</f>
        <v>6.9599999999999995E-2</v>
      </c>
      <c r="AA165" s="204">
        <f>ABS(Z165-Y165)</f>
        <v>5.7946999999999997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>VALUE(LEFT(A165,LEN(A165)-3))</f>
        <v>808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/stypes="app*4017*20171018*" /stext=" 13:.+((SYSTEM_STATE.+slice.+state.+changed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43"/>
        <v>"%USERPROFILE%\Documents\GitHub\eaglep3\Utilities\RefineRTDCRunTimes.py" --tripid 808-18 --locoid 4017 --swversion DE.1.0.9.0 --startMP 300:58643 --initTime 2017-10-18T07:24:33 --startdatetime 2017-10-18T07:43:05 --delay 62 --endMP 204:696 --enddatetime 2017-10-18T07:55:03 --enforcementcount 0 &gt;&gt;%USERPROFILE%\Documents\GitHub\eaglep3-reporting\EC\2017-10-18-refined-times.txt</v>
      </c>
      <c r="AI165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{"issue":{"subject":"","project_id":79,"tracker_id":40,"status_id":1,"priority_id":2,"assigned_to_id":338,"start_date":"2017-10-18","description":"","custom_fields":[{"id":1,"name":"Subdivision","value":"NW"},{"id":4,"name":"Milepost","value":"0.0696"},{"id":17,"name":"Train ID","value":"808-18"},{"id":16,"name":"Locomotive ID","value":"4017"},{"id":130,"name":"Impact","value":""},{"id":150,"name":"Time of Event (Mountain Time)","value":"07:55:03"},{"id":151,"name":"Denver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45"/>
        <v>start /low /b %USERPROFILE%\Documents\GitHub\eaglep3\Utilities\DownloadLogsFromS3.py --loco 4017 --day 2017-10-18</v>
      </c>
      <c r="AN165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13:55:03"},{"id":29,"name":"Sharepoint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47"/>
        <v>https://d0f6bd738d7f1b3e5a7ca70fe4ff75f0.us-east-1.aws.found.io/app/kibana#/discover/Steve-Slow-Train-Analysis-(2080s-and-2083s)?_g=(refreshInterval:(display:Off,pause:!f,section:0,value:0),time:(from:'2017-10-18T06:24:33-0600',mode:absolute,to:'2017-10-18T08:55:03-0600'))&amp;_a=(columns:!('Message%20ID',Summary),filters:!(),index:'emp_*',interval:auto,query:(query_string:(analyze_wildcard:!t,query:'%22rtdc.l.rtdc.4017%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556</v>
      </c>
      <c r="B166" s="7">
        <v>4036</v>
      </c>
      <c r="C166" s="21" t="s">
        <v>194</v>
      </c>
      <c r="D166" s="21" t="s">
        <v>948</v>
      </c>
      <c r="E166" s="13">
        <v>43026.319976851853</v>
      </c>
      <c r="F166" s="13">
        <v>43026.320844907408</v>
      </c>
      <c r="G166" s="7">
        <v>44</v>
      </c>
      <c r="H166" s="21" t="s">
        <v>949</v>
      </c>
      <c r="I166" s="13">
        <v>43026.320949074077</v>
      </c>
      <c r="J166" s="7">
        <v>0</v>
      </c>
      <c r="K166" s="89" t="str">
        <f>IF(ISEVEN(B166),(B166-1)&amp;"/"&amp;B166,B166&amp;"/"&amp;(B166+1))</f>
        <v>4035/4036</v>
      </c>
      <c r="L166" s="185" t="str">
        <f>VLOOKUP(A166,'Trips&amp;Operators'!$C$1:$G$99911,5,FALSE)</f>
        <v>LAMAR NEKESHA</v>
      </c>
      <c r="M166" s="6">
        <f>I166-F166</f>
        <v>1.0416666918899864E-4</v>
      </c>
      <c r="N166" s="7"/>
      <c r="O166" s="7"/>
      <c r="P166" s="7"/>
      <c r="Q166" s="22"/>
      <c r="R166" s="174"/>
      <c r="S166" s="221"/>
      <c r="T166" s="174" t="str">
        <f>IF(ISEVEN(LEFT(AD166,4)),"Southbound","NorthBound")</f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0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-10-18T06:40:46-0600',mode:absolute,to:'2017-10-18T08:42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6" s="204" t="str">
        <f>IF(AA166&lt;VLOOKUP(AG166,Variables!$AC$3:$AD$8,2,FALSE),"Y","N")</f>
        <v>Y</v>
      </c>
      <c r="X166" s="204">
        <f>VALUE(LEFT(AD166,4))-VALUE(LEFT(AD165,4))</f>
        <v>1</v>
      </c>
      <c r="Y166" s="204">
        <f>RIGHT(D166,LEN(D166)-4)/10000</f>
        <v>0.21229999999999999</v>
      </c>
      <c r="Z166" s="204">
        <f>RIGHT(H166,LEN(H166)-4)/10000</f>
        <v>0.255</v>
      </c>
      <c r="AA166" s="204">
        <f>ABS(Z166-Y166)</f>
        <v>4.2700000000000016E-2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>VALUE(LEFT(A166,LEN(A166)-3))</f>
        <v>809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 &amp; aws s3 cp s3://rtdc.mdm.uploadarchive.raw/RTDC4036/ "%USERPROFILE%\AppData\Local\Temp\OnboardLogs"\RTDC4036\2017-10-19 --exclude "*" --recursive --include "*20171019*" &amp; "%USERPROFILE%\Documents\GitHub\mrs-test-scripts\Headless Mode &amp; Sideloading\WalkAndUnGZ.bat" "%USERPROFILE%\AppData\Local\Temp\OnboardLogs"\RTDC4036\2017-10-19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/stypes="app*4036*20171018*" /stext=" 13:.+((SYSTEM_STATE.+slice.+state.+changed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43"/>
        <v>"%USERPROFILE%\Documents\GitHub\eaglep3\Utilities\RefineRTDCRunTimes.py" --tripid 809-18 --locoid 4036 --swversion DE.1.0.9.0 --startMP 204:2123 --initTime 2017-10-18T07:40:46 --startdatetime 2017-10-18T07:42:01 --delay 44 --endMP 204:2550 --enddatetime 2017-10-18T07:42:10 --enforcementcount 0 &gt;&gt;%USERPROFILE%\Documents\GitHub\eaglep3-reporting\EC\2017-10-18-refined-times.txt</v>
      </c>
      <c r="AI166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{"issue":{"subject":"","project_id":79,"tracker_id":40,"status_id":1,"priority_id":2,"assigned_to_id":338,"start_date":"2017-10-18","description":"","custom_fields":[{"id":1,"name":"Subdivision","value":"NW"},{"id":4,"name":"Milepost","value":"0.255"},{"id":17,"name":"Train ID","value":"809-18"},{"id":16,"name":"Locomotive ID","value":"4036"},{"id":130,"name":"Impact","value":""},{"id":150,"name":"Time of Event (Mountain Time)","value":"07:42:10"},{"id":151,"name":"Denver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45"/>
        <v>start /low /b %USERPROFILE%\Documents\GitHub\eaglep3\Utilities\DownloadLogsFromS3.py --loco 4036 --day 2017-10-18</v>
      </c>
      <c r="AN166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13:42:10"},{"id":29,"name":"Sharepoint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47"/>
        <v>https://d0f6bd738d7f1b3e5a7ca70fe4ff75f0.us-east-1.aws.found.io/app/kibana#/discover/Steve-Slow-Train-Analysis-(2080s-and-2083s)?_g=(refreshInterval:(display:Off,pause:!f,section:0,value:0),time:(from:'2017-10-18T06:40:46-0600',mode:absolute,to:'2017-10-18T08:42:10-0600'))&amp;_a=(columns:!('Message%20ID',Summary),filters:!(),index:'emp_*',interval:auto,query:(query_string:(analyze_wildcard:!t,query:'%22rtdc.l.rtdc.4036%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556</v>
      </c>
      <c r="B167" s="7">
        <v>4036</v>
      </c>
      <c r="C167" s="21" t="s">
        <v>194</v>
      </c>
      <c r="D167" s="21" t="s">
        <v>534</v>
      </c>
      <c r="E167" s="13">
        <v>43026.316759259258</v>
      </c>
      <c r="F167" s="13">
        <v>43026.320844907408</v>
      </c>
      <c r="G167" s="7">
        <v>58</v>
      </c>
      <c r="H167" s="21" t="s">
        <v>950</v>
      </c>
      <c r="I167" s="13">
        <v>43026.320949074077</v>
      </c>
      <c r="J167" s="7">
        <v>0</v>
      </c>
      <c r="K167" s="89" t="str">
        <f>IF(ISEVEN(B167),(B167-1)&amp;"/"&amp;B167,B167&amp;"/"&amp;(B167+1))</f>
        <v>4035/4036</v>
      </c>
      <c r="L167" s="185" t="str">
        <f>VLOOKUP(A167,'Trips&amp;Operators'!$C$1:$G$99911,5,FALSE)</f>
        <v>LAMAR NEKESHA</v>
      </c>
      <c r="M167" s="6">
        <f>I167-F167</f>
        <v>1.0416666918899864E-4</v>
      </c>
      <c r="N167" s="7"/>
      <c r="O167" s="7"/>
      <c r="P167" s="7">
        <f>24*60*SUM($M167:$M167)</f>
        <v>0.15000000363215804</v>
      </c>
      <c r="Q167" s="22"/>
      <c r="R167" s="174" t="s">
        <v>500</v>
      </c>
      <c r="S167" s="221">
        <f>1/IF(AG167="EC",12,1)*SUM(U167:U167)</f>
        <v>0</v>
      </c>
      <c r="T167" s="174" t="str">
        <f>IF(ISEVEN(LEFT(AD167,4)),"Southbound","NorthBound")</f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0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-10-18T06:36:08-0600',mode:absolute,to:'2017-10-18T08:42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7" s="204" t="str">
        <f>IF(AA167&lt;VLOOKUP(AG167,Variables!$AC$3:$AD$8,2,FALSE),"Y","N")</f>
        <v>Y</v>
      </c>
      <c r="X167" s="204">
        <f>VALUE(LEFT(AD167,4))-VALUE(LEFT(AD166,4))</f>
        <v>0</v>
      </c>
      <c r="Y167" s="204">
        <f>RIGHT(D167,LEN(D167)-4)/10000</f>
        <v>9.6199999999999994E-2</v>
      </c>
      <c r="Z167" s="204">
        <f>RIGHT(H167,LEN(H167)-4)/10000</f>
        <v>0.2117</v>
      </c>
      <c r="AA167" s="204">
        <f>ABS(Z167-Y167)</f>
        <v>0.11550000000000001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>VALUE(LEFT(A167,LEN(A167)-3))</f>
        <v>809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 &amp; aws s3 cp s3://rtdc.mdm.uploadarchive.raw/RTDC4036/ "%USERPROFILE%\AppData\Local\Temp\OnboardLogs"\RTDC4036\2017-10-19 --exclude "*" --recursive --include "*20171019*" &amp; "%USERPROFILE%\Documents\GitHub\mrs-test-scripts\Headless Mode &amp; Sideloading\WalkAndUnGZ.bat" "%USERPROFILE%\AppData\Local\Temp\OnboardLogs"\RTDC4036\2017-10-19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/stypes="app*4036*20171018*" /stext=" 13:.+((SYSTEM_STATE.+slice.+state.+changed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43"/>
        <v>"%USERPROFILE%\Documents\GitHub\eaglep3\Utilities\RefineRTDCRunTimes.py" --tripid 809-18 --locoid 4036 --swversion DE.1.0.9.0 --startMP 204:962 --initTime 2017-10-18T07:36:08 --startdatetime 2017-10-18T07:42:01 --delay 58 --endMP 204:2117 --enddatetime 2017-10-18T07:42:10 --enforcementcount 0 &gt;&gt;%USERPROFILE%\Documents\GitHub\eaglep3-reporting\EC\2017-10-18-refined-times.txt</v>
      </c>
      <c r="AI167" s="96" t="str">
        <f t="shared" si="44"/>
        <v>echo {"issue":{"subject":"Poor GPS at DUS","project_id":79,"tracker_id":40,"status_id":1,"priority_id":2,"assigned_to_id":338,"start_date":"2017-10-18","description":"","custom_fields":[{"id":1,"name":"Subdivision","value":"NW"},{"id":4,"name":"Milepost","value":"0.2117"},{"id":17,"name":"Train ID","value":"809-18"},{"id":16,"name":"Locomotive ID","value":"4036"},{"id":130,"name":"Impact","value":""},{"id":150,"name":"Time of Event (Mountain Time)","value":"07:42:10"},{"id":151,"name":"Denver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45"/>
        <v>start /low /b %USERPROFILE%\Documents\GitHub\eaglep3\Utilities\DownloadLogsFromS3.py --loco 4036 --day 2017-10-18</v>
      </c>
      <c r="AN167" s="151" t="str">
        <f t="shared" si="46"/>
        <v>echo {"issue":{"subject":"Poor GPS at DUS","project_id":30,"tracker_id":4,"status_id":1,"priority_id":1,"assigned_to_id":10,"start_date":"2017-10-18","description":"","custom_fields":[{"id":30,"name":"Category","value":"Issue"},{"id":3,"name":"Functional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13:42:10"},{"id":29,"name":"Sharepoint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47"/>
        <v>https://d0f6bd738d7f1b3e5a7ca70fe4ff75f0.us-east-1.aws.found.io/app/kibana#/discover/Steve-Slow-Train-Analysis-(2080s-and-2083s)?_g=(refreshInterval:(display:Off,pause:!f,section:0,value:0),time:(from:'2017-10-18T06:36:08-0600',mode:absolute,to:'2017-10-18T08:42:10-0600'))&amp;_a=(columns:!('Message%20ID',Summary),filters:!(),index:'emp_*',interval:auto,query:(query_string:(analyze_wildcard:!t,query:'%22rtdc.l.rtdc.4036%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649</v>
      </c>
      <c r="B168" s="7">
        <v>4035</v>
      </c>
      <c r="C168" s="21" t="s">
        <v>194</v>
      </c>
      <c r="D168" s="21" t="s">
        <v>952</v>
      </c>
      <c r="E168" s="13">
        <v>43026.331423611111</v>
      </c>
      <c r="F168" s="13">
        <v>43026.34238425926</v>
      </c>
      <c r="G168" s="7">
        <v>51</v>
      </c>
      <c r="H168" s="21" t="s">
        <v>953</v>
      </c>
      <c r="I168" s="13">
        <v>43026.350451388891</v>
      </c>
      <c r="J168" s="7">
        <v>0</v>
      </c>
      <c r="K168" s="89" t="str">
        <f>IF(ISEVEN(B168),(B168-1)&amp;"/"&amp;B168,B168&amp;"/"&amp;(B168+1))</f>
        <v>4035/4036</v>
      </c>
      <c r="L168" s="185" t="str">
        <f>VLOOKUP(A168,'Trips&amp;Operators'!$C$1:$G$99911,5,FALSE)</f>
        <v>LAMAR NEKESHA</v>
      </c>
      <c r="M168" s="6">
        <f>I168-F168</f>
        <v>8.0671296309446916E-3</v>
      </c>
      <c r="N168" s="7">
        <f>24*60*SUM($M168:$M168)</f>
        <v>11.616666668560356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-10-18T06:57:15-0600',mode:absolute,to:'2017-10-18T09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5.8639999999999999</v>
      </c>
      <c r="Z168" s="204">
        <f>RIGHT(H168,LEN(H168)-4)/10000</f>
        <v>7.0599999999999996E-2</v>
      </c>
      <c r="AA168" s="204">
        <f>ABS(Z168-Y168)</f>
        <v>5.7934000000000001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>VALUE(LEFT(A168,LEN(A168)-3))</f>
        <v>810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 &amp; aws s3 cp s3://rtdc.mdm.uploadarchive.raw/RTDC4035/ "%USERPROFILE%\AppData\Local\Temp\OnboardLogs"\RTDC4035\2017-10-19 --exclude "*" --recursive --include "*20171019*" &amp; "%USERPROFILE%\Documents\GitHub\mrs-test-scripts\Headless Mode &amp; Sideloading\WalkAndUnGZ.bat" "%USERPROFILE%\AppData\Local\Temp\OnboardLogs"\RTDC4035\2017-10-19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/stypes="app*4035*20171018*" /stext=" 14:.+((SYSTEM_STATE.+slice.+state.+changed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43"/>
        <v>"%USERPROFILE%\Documents\GitHub\eaglep3\Utilities\RefineRTDCRunTimes.py" --tripid 810-18 --locoid 4035 --swversion DE.1.0.9.0 --startMP 300:58640 --initTime 2017-10-18T07:57:15 --startdatetime 2017-10-18T08:13:02 --delay 51 --endMP 204:706 --enddatetime 2017-10-18T08:24:39 --enforcementcount 0 &gt;&gt;%USERPROFILE%\Documents\GitHub\eaglep3-reporting\EC\2017-10-18-refined-times.txt</v>
      </c>
      <c r="AI168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{"issue":{"subject":"","project_id":79,"tracker_id":40,"status_id":1,"priority_id":2,"assigned_to_id":338,"start_date":"2017-10-18","description":"","custom_fields":[{"id":1,"name":"Subdivision","value":"NW"},{"id":4,"name":"Milepost","value":"0.0706"},{"id":17,"name":"Train ID","value":"810-18"},{"id":16,"name":"Locomotive ID","value":"4035"},{"id":130,"name":"Impact","value":""},{"id":150,"name":"Time of Event (Mountain Time)","value":"08:24:39"},{"id":151,"name":"Denver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45"/>
        <v>start /low /b %USERPROFILE%\Documents\GitHub\eaglep3\Utilities\DownloadLogsFromS3.py --loco 4035 --day 2017-10-18</v>
      </c>
      <c r="AN168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14:24:39"},{"id":29,"name":"Sharepoint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47"/>
        <v>https://d0f6bd738d7f1b3e5a7ca70fe4ff75f0.us-east-1.aws.found.io/app/kibana#/discover/Steve-Slow-Train-Analysis-(2080s-and-2083s)?_g=(refreshInterval:(display:Off,pause:!f,section:0,value:0),time:(from:'2017-10-18T06:57:15-0600',mode:absolute,to:'2017-10-18T09:24:39-0600'))&amp;_a=(columns:!('Message%20ID',Summary),filters:!(),index:'emp_*',interval:auto,query:(query_string:(analyze_wildcard:!t,query:'%22rtdc.l.rtdc.4035%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650</v>
      </c>
      <c r="B169" s="7">
        <v>4018</v>
      </c>
      <c r="C169" s="21" t="s">
        <v>194</v>
      </c>
      <c r="D169" s="21" t="s">
        <v>536</v>
      </c>
      <c r="E169" s="13">
        <v>43026.331597222219</v>
      </c>
      <c r="F169" s="13">
        <v>43026.340127314812</v>
      </c>
      <c r="G169" s="7">
        <v>55</v>
      </c>
      <c r="H169" s="21" t="s">
        <v>954</v>
      </c>
      <c r="I169" s="13">
        <v>43026.349386574075</v>
      </c>
      <c r="J169" s="7">
        <v>0</v>
      </c>
      <c r="K169" s="89" t="str">
        <f>IF(ISEVEN(B169),(B169-1)&amp;"/"&amp;B169,B169&amp;"/"&amp;(B169+1))</f>
        <v>4017/4018</v>
      </c>
      <c r="L169" s="185" t="str">
        <f>VLOOKUP(A169,'Trips&amp;Operators'!$C$1:$G$99911,5,FALSE)</f>
        <v>GEBRETEKLE DAGNEW</v>
      </c>
      <c r="M169" s="6">
        <f>I169-F169</f>
        <v>9.2592592627624981E-3</v>
      </c>
      <c r="N169" s="7">
        <f>24*60*SUM($M169:$M169)</f>
        <v>13.333333338377997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-10-18T06:57:30-0600',mode:absolute,to:'2017-10-18T09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9" s="204" t="str">
        <f>IF(AA169&lt;VLOOKUP(AG169,Variables!$AC$3:$AD$8,2,FALSE),"Y","N")</f>
        <v>N</v>
      </c>
      <c r="X169" s="204">
        <f>VALUE(LEFT(AD169,4))-VALUE(LEFT(AD168,4))</f>
        <v>1</v>
      </c>
      <c r="Y169" s="204">
        <f>RIGHT(D169,LEN(D169)-4)/10000</f>
        <v>9.8100000000000007E-2</v>
      </c>
      <c r="Z169" s="204">
        <f>RIGHT(H169,LEN(H169)-4)/10000</f>
        <v>5.8967000000000001</v>
      </c>
      <c r="AA169" s="204">
        <f>ABS(Z169-Y169)</f>
        <v>5.7986000000000004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>VALUE(LEFT(A169,LEN(A169)-3))</f>
        <v>811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/stypes="app*4018*20171018*" /stext=" 14:.+((SYSTEM_STATE.+slice.+state.+changed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43"/>
        <v>"%USERPROFILE%\Documents\GitHub\eaglep3\Utilities\RefineRTDCRunTimes.py" --tripid 811-18 --locoid 4018 --swversion DE.1.0.9.0 --startMP 204:981 --initTime 2017-10-18T07:57:30 --startdatetime 2017-10-18T08:09:47 --delay 55 --endMP 300:58967 --enddatetime 2017-10-18T08:23:07 --enforcementcount 0 &gt;&gt;%USERPROFILE%\Documents\GitHub\eaglep3-reporting\EC\2017-10-18-refined-times.txt</v>
      </c>
      <c r="AI169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{"issue":{"subject":"","project_id":79,"tracker_id":40,"status_id":1,"priority_id":2,"assigned_to_id":338,"start_date":"2017-10-18","description":"","custom_fields":[{"id":1,"name":"Subdivision","value":"NW"},{"id":4,"name":"Milepost","value":"5.8967"},{"id":17,"name":"Train ID","value":"811-18"},{"id":16,"name":"Locomotive ID","value":"4018"},{"id":130,"name":"Impact","value":""},{"id":150,"name":"Time of Event (Mountain Time)","value":"08:23:07"},{"id":151,"name":"Denver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45"/>
        <v>start /low /b %USERPROFILE%\Documents\GitHub\eaglep3\Utilities\DownloadLogsFromS3.py --loco 4018 --day 2017-10-18</v>
      </c>
      <c r="AN169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14:23:07"},{"id":29,"name":"Sharepoint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47"/>
        <v>https://d0f6bd738d7f1b3e5a7ca70fe4ff75f0.us-east-1.aws.found.io/app/kibana#/discover/Steve-Slow-Train-Analysis-(2080s-and-2083s)?_g=(refreshInterval:(display:Off,pause:!f,section:0,value:0),time:(from:'2017-10-18T06:57:30-0600',mode:absolute,to:'2017-10-18T09:23:07-0600'))&amp;_a=(columns:!('Message%20ID',Summary),filters:!(),index:'emp_*',interval:auto,query:(query_string:(analyze_wildcard:!t,query:'%22rtdc.l.rtdc.4018%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655</v>
      </c>
      <c r="B170" s="7">
        <v>4017</v>
      </c>
      <c r="C170" s="21" t="s">
        <v>194</v>
      </c>
      <c r="D170" s="21" t="s">
        <v>955</v>
      </c>
      <c r="E170" s="13">
        <v>43026.35056712963</v>
      </c>
      <c r="F170" s="13">
        <v>43026.362743055557</v>
      </c>
      <c r="G170" s="7">
        <v>60</v>
      </c>
      <c r="H170" s="21" t="s">
        <v>956</v>
      </c>
      <c r="I170" s="13">
        <v>43026.371620370373</v>
      </c>
      <c r="J170" s="7">
        <v>0</v>
      </c>
      <c r="K170" s="89" t="str">
        <f>IF(ISEVEN(B170),(B170-1)&amp;"/"&amp;B170,B170&amp;"/"&amp;(B170+1))</f>
        <v>4017/4018</v>
      </c>
      <c r="L170" s="185" t="str">
        <f>VLOOKUP(A170,'Trips&amp;Operators'!$C$1:$G$99911,5,FALSE)</f>
        <v>GEBRETEKLE DAGNEW</v>
      </c>
      <c r="M170" s="6">
        <f>I170-F170</f>
        <v>8.8773148163454607E-3</v>
      </c>
      <c r="N170" s="7">
        <f>24*60*SUM($M170:$M170)</f>
        <v>12.783333335537463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-10-18T07:24:49-0600',mode:absolute,to:'2017-10-18T09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0" s="204" t="str">
        <f>IF(AA170&lt;VLOOKUP(AG170,Variables!$AC$3:$AD$8,2,FALSE),"Y","N")</f>
        <v>N</v>
      </c>
      <c r="X170" s="204">
        <f>VALUE(LEFT(AD170,4))-VALUE(LEFT(AD169,4))</f>
        <v>1</v>
      </c>
      <c r="Y170" s="204">
        <f>RIGHT(D170,LEN(D170)-4)/10000</f>
        <v>5.8651</v>
      </c>
      <c r="Z170" s="204">
        <f>RIGHT(H170,LEN(H170)-4)/10000</f>
        <v>7.0300000000000001E-2</v>
      </c>
      <c r="AA170" s="204">
        <f>ABS(Z170-Y170)</f>
        <v>5.7948000000000004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>VALUE(LEFT(A170,LEN(A170)-3))</f>
        <v>812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/stypes="app*4017*20171018*" /stext=" 14:.+((SYSTEM_STATE.+slice.+state.+changed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43"/>
        <v>"%USERPROFILE%\Documents\GitHub\eaglep3\Utilities\RefineRTDCRunTimes.py" --tripid 812-18 --locoid 4017 --swversion DE.1.0.9.0 --startMP 300:58651 --initTime 2017-10-18T08:24:49 --startdatetime 2017-10-18T08:42:21 --delay 60 --endMP 204:703 --enddatetime 2017-10-18T08:55:08 --enforcementcount 0 &gt;&gt;%USERPROFILE%\Documents\GitHub\eaglep3-reporting\EC\2017-10-18-refined-times.txt</v>
      </c>
      <c r="AI170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{"issue":{"subject":"","project_id":79,"tracker_id":40,"status_id":1,"priority_id":2,"assigned_to_id":338,"start_date":"2017-10-18","description":"","custom_fields":[{"id":1,"name":"Subdivision","value":"NW"},{"id":4,"name":"Milepost","value":"0.0703"},{"id":17,"name":"Train ID","value":"812-18"},{"id":16,"name":"Locomotive ID","value":"4017"},{"id":130,"name":"Impact","value":""},{"id":150,"name":"Time of Event (Mountain Time)","value":"08:55:08"},{"id":151,"name":"Denver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45"/>
        <v>start /low /b %USERPROFILE%\Documents\GitHub\eaglep3\Utilities\DownloadLogsFromS3.py --loco 4017 --day 2017-10-18</v>
      </c>
      <c r="AN170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14:55:08"},{"id":29,"name":"Sharepoint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47"/>
        <v>https://d0f6bd738d7f1b3e5a7ca70fe4ff75f0.us-east-1.aws.found.io/app/kibana#/discover/Steve-Slow-Train-Analysis-(2080s-and-2083s)?_g=(refreshInterval:(display:Off,pause:!f,section:0,value:0),time:(from:'2017-10-18T07:24:49-0600',mode:absolute,to:'2017-10-18T09:55:08-0600'))&amp;_a=(columns:!('Message%20ID',Summary),filters:!(),index:'emp_*',interval:auto,query:(query_string:(analyze_wildcard:!t,query:'%22rtdc.l.rtdc.4017%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660</v>
      </c>
      <c r="B171" s="7">
        <v>4018</v>
      </c>
      <c r="C171" s="21" t="s">
        <v>194</v>
      </c>
      <c r="D171" s="21" t="s">
        <v>957</v>
      </c>
      <c r="E171" s="13">
        <v>43026.373217592591</v>
      </c>
      <c r="F171" s="13">
        <v>43026.381724537037</v>
      </c>
      <c r="G171" s="7">
        <v>49</v>
      </c>
      <c r="H171" s="21" t="s">
        <v>958</v>
      </c>
      <c r="I171" s="13">
        <v>43026.390763888892</v>
      </c>
      <c r="J171" s="7">
        <v>0</v>
      </c>
      <c r="K171" s="89" t="str">
        <f>IF(ISEVEN(B171),(B171-1)&amp;"/"&amp;B171,B171&amp;"/"&amp;(B171+1))</f>
        <v>4017/4018</v>
      </c>
      <c r="L171" s="185" t="str">
        <f>VLOOKUP(A171,'Trips&amp;Operators'!$C$1:$G$99911,5,FALSE)</f>
        <v>GEBRETEKLE DAGNEW</v>
      </c>
      <c r="M171" s="6">
        <f>I171-F171</f>
        <v>9.0393518548808061E-3</v>
      </c>
      <c r="N171" s="7">
        <f>24*60*SUM($M171:$M171)</f>
        <v>13.016666671028361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-10-18T07:57:26-0600',mode:absolute,to:'2017-10-18T10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9.9699999999999997E-2</v>
      </c>
      <c r="Z171" s="204">
        <f>RIGHT(H171,LEN(H171)-4)/10000</f>
        <v>5.8968999999999996</v>
      </c>
      <c r="AA171" s="204">
        <f>ABS(Z171-Y171)</f>
        <v>5.7971999999999992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>VALUE(LEFT(A171,LEN(A171)-3))</f>
        <v>813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/stypes="app*4018*20171018*" /stext=" 15:.+((SYSTEM_STATE.+slice.+state.+changed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43"/>
        <v>"%USERPROFILE%\Documents\GitHub\eaglep3\Utilities\RefineRTDCRunTimes.py" --tripid 813-18 --locoid 4018 --swversion DE.1.0.9.0 --startMP 204:997 --initTime 2017-10-18T08:57:26 --startdatetime 2017-10-18T09:09:41 --delay 49 --endMP 300:58969 --enddatetime 2017-10-18T09:22:42 --enforcementcount 0 &gt;&gt;%USERPROFILE%\Documents\GitHub\eaglep3-reporting\EC\2017-10-18-refined-times.txt</v>
      </c>
      <c r="AI171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{"issue":{"subject":"","project_id":79,"tracker_id":40,"status_id":1,"priority_id":2,"assigned_to_id":338,"start_date":"2017-10-18","description":"","custom_fields":[{"id":1,"name":"Subdivision","value":"NW"},{"id":4,"name":"Milepost","value":"5.8969"},{"id":17,"name":"Train ID","value":"813-18"},{"id":16,"name":"Locomotive ID","value":"4018"},{"id":130,"name":"Impact","value":""},{"id":150,"name":"Time of Event (Mountain Time)","value":"09:22:42"},{"id":151,"name":"Denver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45"/>
        <v>start /low /b %USERPROFILE%\Documents\GitHub\eaglep3\Utilities\DownloadLogsFromS3.py --loco 4018 --day 2017-10-18</v>
      </c>
      <c r="AN171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15:22:42"},{"id":29,"name":"Sharepoint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47"/>
        <v>https://d0f6bd738d7f1b3e5a7ca70fe4ff75f0.us-east-1.aws.found.io/app/kibana#/discover/Steve-Slow-Train-Analysis-(2080s-and-2083s)?_g=(refreshInterval:(display:Off,pause:!f,section:0,value:0),time:(from:'2017-10-18T07:57:26-0600',mode:absolute,to:'2017-10-18T10:22:42-0600'))&amp;_a=(columns:!('Message%20ID',Summary),filters:!(),index:'emp_*',interval:auto,query:(query_string:(analyze_wildcard:!t,query:'%22rtdc.l.rtdc.4018%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667</v>
      </c>
      <c r="B172" s="7">
        <v>4017</v>
      </c>
      <c r="C172" s="21" t="s">
        <v>194</v>
      </c>
      <c r="D172" s="21" t="s">
        <v>959</v>
      </c>
      <c r="E172" s="13">
        <v>43026.392453703702</v>
      </c>
      <c r="F172" s="13">
        <v>43026.404918981483</v>
      </c>
      <c r="G172" s="7">
        <v>54</v>
      </c>
      <c r="H172" s="21" t="s">
        <v>960</v>
      </c>
      <c r="I172" s="13">
        <v>43026.413043981483</v>
      </c>
      <c r="J172" s="7">
        <v>0</v>
      </c>
      <c r="K172" s="89" t="str">
        <f>IF(ISEVEN(B172),(B172-1)&amp;"/"&amp;B172,B172&amp;"/"&amp;(B172+1))</f>
        <v>4017/4018</v>
      </c>
      <c r="L172" s="185" t="str">
        <f>VLOOKUP(A172,'Trips&amp;Operators'!$C$1:$G$99911,5,FALSE)</f>
        <v>GEBRETEKLE DAGNEW</v>
      </c>
      <c r="M172" s="6">
        <f>I172-F172</f>
        <v>8.1250000002910383E-3</v>
      </c>
      <c r="N172" s="7">
        <f>24*60*SUM($M172:$M172)</f>
        <v>11.700000000419095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-10-18T08:25:08-0600',mode:absolute,to:'2017-10-18T10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5.8655999999999997</v>
      </c>
      <c r="Z172" s="204">
        <f>RIGHT(H172,LEN(H172)-4)/10000</f>
        <v>7.1300000000000002E-2</v>
      </c>
      <c r="AA172" s="204">
        <f>ABS(Z172-Y172)</f>
        <v>5.7942999999999998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>VALUE(LEFT(A172,LEN(A172)-3))</f>
        <v>814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/stypes="app*4017*20171018*" /stext=" 15:.+((SYSTEM_STATE.+slice.+state.+changed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43"/>
        <v>"%USERPROFILE%\Documents\GitHub\eaglep3\Utilities\RefineRTDCRunTimes.py" --tripid 814-18 --locoid 4017 --swversion DE.1.0.9.0 --startMP 300:58656 --initTime 2017-10-18T09:25:08 --startdatetime 2017-10-18T09:43:05 --delay 54 --endMP 204:713 --enddatetime 2017-10-18T09:54:47 --enforcementcount 0 &gt;&gt;%USERPROFILE%\Documents\GitHub\eaglep3-reporting\EC\2017-10-18-refined-times.txt</v>
      </c>
      <c r="AI172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{"issue":{"subject":"","project_id":79,"tracker_id":40,"status_id":1,"priority_id":2,"assigned_to_id":338,"start_date":"2017-10-18","description":"","custom_fields":[{"id":1,"name":"Subdivision","value":"NW"},{"id":4,"name":"Milepost","value":"0.0713"},{"id":17,"name":"Train ID","value":"814-18"},{"id":16,"name":"Locomotive ID","value":"4017"},{"id":130,"name":"Impact","value":""},{"id":150,"name":"Time of Event (Mountain Time)","value":"09:54:47"},{"id":151,"name":"Denver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45"/>
        <v>start /low /b %USERPROFILE%\Documents\GitHub\eaglep3\Utilities\DownloadLogsFromS3.py --loco 4017 --day 2017-10-18</v>
      </c>
      <c r="AN172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15:54:47"},{"id":29,"name":"Sharepoint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47"/>
        <v>https://d0f6bd738d7f1b3e5a7ca70fe4ff75f0.us-east-1.aws.found.io/app/kibana#/discover/Steve-Slow-Train-Analysis-(2080s-and-2083s)?_g=(refreshInterval:(display:Off,pause:!f,section:0,value:0),time:(from:'2017-10-18T08:25:08-0600',mode:absolute,to:'2017-10-18T10:54:47-0600'))&amp;_a=(columns:!('Message%20ID',Summary),filters:!(),index:'emp_*',interval:auto,query:(query_string:(analyze_wildcard:!t,query:'%22rtdc.l.rtdc.4017%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671</v>
      </c>
      <c r="B173" s="7">
        <v>4018</v>
      </c>
      <c r="C173" s="21" t="s">
        <v>194</v>
      </c>
      <c r="D173" s="21" t="s">
        <v>961</v>
      </c>
      <c r="E173" s="13">
        <v>43026.415208333332</v>
      </c>
      <c r="F173" s="13">
        <v>43026.423344907409</v>
      </c>
      <c r="G173" s="7">
        <v>56</v>
      </c>
      <c r="H173" s="21" t="s">
        <v>962</v>
      </c>
      <c r="I173" s="13">
        <v>43026.432430555556</v>
      </c>
      <c r="J173" s="7">
        <v>0</v>
      </c>
      <c r="K173" s="89" t="str">
        <f>IF(ISEVEN(B173),(B173-1)&amp;"/"&amp;B173,B173&amp;"/"&amp;(B173+1))</f>
        <v>4017/4018</v>
      </c>
      <c r="L173" s="185" t="str">
        <f>VLOOKUP(A173,'Trips&amp;Operators'!$C$1:$G$99911,5,FALSE)</f>
        <v>GEBRETEKLE DAGNEW</v>
      </c>
      <c r="M173" s="6">
        <f>I173-F173</f>
        <v>9.0856481474475004E-3</v>
      </c>
      <c r="N173" s="7">
        <f>24*60*SUM($M173:$M173)</f>
        <v>13.083333332324401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-10-18T08:57:54-0600',mode:absolute,to:'2017-10-18T11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9.8500000000000004E-2</v>
      </c>
      <c r="Z173" s="204">
        <f>RIGHT(H173,LEN(H173)-4)/10000</f>
        <v>5.8949999999999996</v>
      </c>
      <c r="AA173" s="204">
        <f>ABS(Z173-Y173)</f>
        <v>5.7965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>VALUE(LEFT(A173,LEN(A173)-3))</f>
        <v>815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/stypes="app*4018*20171018*" /stext=" 16:.+((SYSTEM_STATE.+slice.+state.+changed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43"/>
        <v>"%USERPROFILE%\Documents\GitHub\eaglep3\Utilities\RefineRTDCRunTimes.py" --tripid 815-18 --locoid 4018 --swversion DE.1.0.9.0 --startMP 204:985 --initTime 2017-10-18T09:57:54 --startdatetime 2017-10-18T10:09:37 --delay 56 --endMP 300:58950 --enddatetime 2017-10-18T10:22:42 --enforcementcount 0 &gt;&gt;%USERPROFILE%\Documents\GitHub\eaglep3-reporting\EC\2017-10-18-refined-times.txt</v>
      </c>
      <c r="AI173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{"issue":{"subject":"","project_id":79,"tracker_id":40,"status_id":1,"priority_id":2,"assigned_to_id":338,"start_date":"2017-10-18","description":"","custom_fields":[{"id":1,"name":"Subdivision","value":"NW"},{"id":4,"name":"Milepost","value":"5.895"},{"id":17,"name":"Train ID","value":"815-18"},{"id":16,"name":"Locomotive ID","value":"4018"},{"id":130,"name":"Impact","value":""},{"id":150,"name":"Time of Event (Mountain Time)","value":"10:22:42"},{"id":151,"name":"Denver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45"/>
        <v>start /low /b %USERPROFILE%\Documents\GitHub\eaglep3\Utilities\DownloadLogsFromS3.py --loco 4018 --day 2017-10-18</v>
      </c>
      <c r="AN173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16:22:42"},{"id":29,"name":"Sharepoint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47"/>
        <v>https://d0f6bd738d7f1b3e5a7ca70fe4ff75f0.us-east-1.aws.found.io/app/kibana#/discover/Steve-Slow-Train-Analysis-(2080s-and-2083s)?_g=(refreshInterval:(display:Off,pause:!f,section:0,value:0),time:(from:'2017-10-18T08:57:54-0600',mode:absolute,to:'2017-10-18T11:22:42-0600'))&amp;_a=(columns:!('Message%20ID',Summary),filters:!(),index:'emp_*',interval:auto,query:(query_string:(analyze_wildcard:!t,query:'%22rtdc.l.rtdc.4018%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679</v>
      </c>
      <c r="B174" s="7">
        <v>4017</v>
      </c>
      <c r="C174" s="21" t="s">
        <v>194</v>
      </c>
      <c r="D174" s="21" t="s">
        <v>963</v>
      </c>
      <c r="E174" s="13">
        <v>43026.43414351852</v>
      </c>
      <c r="F174" s="13">
        <v>43026.446423611109</v>
      </c>
      <c r="G174" s="7">
        <v>68</v>
      </c>
      <c r="H174" s="21" t="s">
        <v>964</v>
      </c>
      <c r="I174" s="13">
        <v>43026.454629629632</v>
      </c>
      <c r="J174" s="7">
        <v>0</v>
      </c>
      <c r="K174" s="89" t="str">
        <f>IF(ISEVEN(B174),(B174-1)&amp;"/"&amp;B174,B174&amp;"/"&amp;(B174+1))</f>
        <v>4017/4018</v>
      </c>
      <c r="L174" s="185" t="str">
        <f>VLOOKUP(A174,'Trips&amp;Operators'!$C$1:$G$99911,5,FALSE)</f>
        <v>GEBRETEKLE DAGNEW</v>
      </c>
      <c r="M174" s="6">
        <f>I174-F174</f>
        <v>8.2060185231966898E-3</v>
      </c>
      <c r="N174" s="7">
        <f>24*60*SUM($M174:$M174)</f>
        <v>11.816666673403233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-10-18T09:25:10-0600',mode:absolute,to:'2017-10-18T11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5.8644999999999996</v>
      </c>
      <c r="Z174" s="204">
        <f>RIGHT(H174,LEN(H174)-4)/10000</f>
        <v>7.0800000000000002E-2</v>
      </c>
      <c r="AA174" s="204">
        <f>ABS(Z174-Y174)</f>
        <v>5.7936999999999994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>VALUE(LEFT(A174,LEN(A174)-3))</f>
        <v>816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/stypes="app*4017*20171018*" /stext=" 16:.+((SYSTEM_STATE.+slice.+state.+changed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43"/>
        <v>"%USERPROFILE%\Documents\GitHub\eaglep3\Utilities\RefineRTDCRunTimes.py" --tripid 816-18 --locoid 4017 --swversion DE.1.0.9.0 --startMP 300:58645 --initTime 2017-10-18T10:25:10 --startdatetime 2017-10-18T10:42:51 --delay 68 --endMP 204:708 --enddatetime 2017-10-18T10:54:40 --enforcementcount 0 &gt;&gt;%USERPROFILE%\Documents\GitHub\eaglep3-reporting\EC\2017-10-18-refined-times.txt</v>
      </c>
      <c r="AI174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{"issue":{"subject":"","project_id":79,"tracker_id":40,"status_id":1,"priority_id":2,"assigned_to_id":338,"start_date":"2017-10-18","description":"","custom_fields":[{"id":1,"name":"Subdivision","value":"NW"},{"id":4,"name":"Milepost","value":"0.0708"},{"id":17,"name":"Train ID","value":"816-18"},{"id":16,"name":"Locomotive ID","value":"4017"},{"id":130,"name":"Impact","value":""},{"id":150,"name":"Time of Event (Mountain Time)","value":"10:54:40"},{"id":151,"name":"Denver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45"/>
        <v>start /low /b %USERPROFILE%\Documents\GitHub\eaglep3\Utilities\DownloadLogsFromS3.py --loco 4017 --day 2017-10-18</v>
      </c>
      <c r="AN174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16:54:40"},{"id":29,"name":"Sharepoint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47"/>
        <v>https://d0f6bd738d7f1b3e5a7ca70fe4ff75f0.us-east-1.aws.found.io/app/kibana#/discover/Steve-Slow-Train-Analysis-(2080s-and-2083s)?_g=(refreshInterval:(display:Off,pause:!f,section:0,value:0),time:(from:'2017-10-18T09:25:10-0600',mode:absolute,to:'2017-10-18T11:54:40-0600'))&amp;_a=(columns:!('Message%20ID',Summary),filters:!(),index:'emp_*',interval:auto,query:(query_string:(analyze_wildcard:!t,query:'%22rtdc.l.rtdc.4017%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685</v>
      </c>
      <c r="B175" s="7">
        <v>4018</v>
      </c>
      <c r="C175" s="21" t="s">
        <v>194</v>
      </c>
      <c r="D175" s="21" t="s">
        <v>961</v>
      </c>
      <c r="E175" s="13">
        <v>43026.456724537034</v>
      </c>
      <c r="F175" s="13">
        <v>43026.464756944442</v>
      </c>
      <c r="G175" s="7">
        <v>64</v>
      </c>
      <c r="H175" s="21" t="s">
        <v>965</v>
      </c>
      <c r="I175" s="13">
        <v>43026.474050925928</v>
      </c>
      <c r="J175" s="7">
        <v>0</v>
      </c>
      <c r="K175" s="89" t="str">
        <f>IF(ISEVEN(B175),(B175-1)&amp;"/"&amp;B175,B175&amp;"/"&amp;(B175+1))</f>
        <v>4017/4018</v>
      </c>
      <c r="L175" s="185" t="str">
        <f>VLOOKUP(A175,'Trips&amp;Operators'!$C$1:$G$99911,5,FALSE)</f>
        <v>GEBRETEKLE DAGNEW</v>
      </c>
      <c r="M175" s="6">
        <f>I175-F175</f>
        <v>9.2939814858254977E-3</v>
      </c>
      <c r="N175" s="7">
        <f>24*60*SUM($M175:$M175)</f>
        <v>13.383333339588717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-10-18T09:57:41-0600',mode:absolute,to:'2017-10-18T12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1</v>
      </c>
      <c r="Y175" s="204">
        <f>RIGHT(D175,LEN(D175)-4)/10000</f>
        <v>9.8500000000000004E-2</v>
      </c>
      <c r="Z175" s="204">
        <f>RIGHT(H175,LEN(H175)-4)/10000</f>
        <v>5.8971</v>
      </c>
      <c r="AA175" s="204">
        <f>ABS(Z175-Y175)</f>
        <v>5.7986000000000004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>VALUE(LEFT(A175,LEN(A175)-3))</f>
        <v>817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/stypes="app*4018*20171018*" /stext=" 17:.+((SYSTEM_STATE.+slice.+state.+changed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43"/>
        <v>"%USERPROFILE%\Documents\GitHub\eaglep3\Utilities\RefineRTDCRunTimes.py" --tripid 817-18 --locoid 4018 --swversion DE.1.0.9.0 --startMP 204:985 --initTime 2017-10-18T10:57:41 --startdatetime 2017-10-18T11:09:15 --delay 64 --endMP 300:58971 --enddatetime 2017-10-18T11:22:38 --enforcementcount 0 &gt;&gt;%USERPROFILE%\Documents\GitHub\eaglep3-reporting\EC\2017-10-18-refined-times.txt</v>
      </c>
      <c r="AI175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{"issue":{"subject":"","project_id":79,"tracker_id":40,"status_id":1,"priority_id":2,"assigned_to_id":338,"start_date":"2017-10-18","description":"","custom_fields":[{"id":1,"name":"Subdivision","value":"NW"},{"id":4,"name":"Milepost","value":"5.8971"},{"id":17,"name":"Train ID","value":"817-18"},{"id":16,"name":"Locomotive ID","value":"4018"},{"id":130,"name":"Impact","value":""},{"id":150,"name":"Time of Event (Mountain Time)","value":"11:22:38"},{"id":151,"name":"Denver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45"/>
        <v>start /low /b %USERPROFILE%\Documents\GitHub\eaglep3\Utilities\DownloadLogsFromS3.py --loco 4018 --day 2017-10-18</v>
      </c>
      <c r="AN175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17:22:38"},{"id":29,"name":"Sharepoint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47"/>
        <v>https://d0f6bd738d7f1b3e5a7ca70fe4ff75f0.us-east-1.aws.found.io/app/kibana#/discover/Steve-Slow-Train-Analysis-(2080s-and-2083s)?_g=(refreshInterval:(display:Off,pause:!f,section:0,value:0),time:(from:'2017-10-18T09:57:41-0600',mode:absolute,to:'2017-10-18T12:22:38-0600'))&amp;_a=(columns:!('Message%20ID',Summary),filters:!(),index:'emp_*',interval:auto,query:(query_string:(analyze_wildcard:!t,query:'%22rtdc.l.rtdc.4018%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690</v>
      </c>
      <c r="B176" s="7">
        <v>4017</v>
      </c>
      <c r="C176" s="21" t="s">
        <v>194</v>
      </c>
      <c r="D176" s="21" t="s">
        <v>946</v>
      </c>
      <c r="E176" s="13">
        <v>43026.47552083333</v>
      </c>
      <c r="F176" s="13">
        <v>43026.48810185185</v>
      </c>
      <c r="G176" s="7">
        <v>54</v>
      </c>
      <c r="H176" s="21" t="s">
        <v>944</v>
      </c>
      <c r="I176" s="13">
        <v>43026.496377314812</v>
      </c>
      <c r="J176" s="7">
        <v>0</v>
      </c>
      <c r="K176" s="89" t="str">
        <f>IF(ISEVEN(B176),(B176-1)&amp;"/"&amp;B176,B176&amp;"/"&amp;(B176+1))</f>
        <v>4017/4018</v>
      </c>
      <c r="L176" s="185" t="str">
        <f>VLOOKUP(A176,'Trips&amp;Operators'!$C$1:$G$99911,5,FALSE)</f>
        <v>GEBRETEKLE DAGNEW</v>
      </c>
      <c r="M176" s="6">
        <f>I176-F176</f>
        <v>8.2754629620467313E-3</v>
      </c>
      <c r="N176" s="7">
        <f>24*60*SUM($M176:$M176)</f>
        <v>11.916666665347293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-10-18T10:24:45-0600',mode:absolute,to:'2017-10-18T12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5.8643000000000001</v>
      </c>
      <c r="Z176" s="204">
        <f>RIGHT(H176,LEN(H176)-4)/10000</f>
        <v>6.9900000000000004E-2</v>
      </c>
      <c r="AA176" s="204">
        <f>ABS(Z176-Y176)</f>
        <v>5.7944000000000004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>VALUE(LEFT(A176,LEN(A176)-3))</f>
        <v>818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/stypes="app*4017*20171018*" /stext=" 17:.+((SYSTEM_STATE.+slice.+state.+changed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43"/>
        <v>"%USERPROFILE%\Documents\GitHub\eaglep3\Utilities\RefineRTDCRunTimes.py" --tripid 818-18 --locoid 4017 --swversion DE.1.0.9.0 --startMP 300:58643 --initTime 2017-10-18T11:24:45 --startdatetime 2017-10-18T11:42:52 --delay 54 --endMP 204:699 --enddatetime 2017-10-18T11:54:47 --enforcementcount 0 &gt;&gt;%USERPROFILE%\Documents\GitHub\eaglep3-reporting\EC\2017-10-18-refined-times.txt</v>
      </c>
      <c r="AI176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{"issue":{"subject":"","project_id":79,"tracker_id":40,"status_id":1,"priority_id":2,"assigned_to_id":338,"start_date":"2017-10-18","description":"","custom_fields":[{"id":1,"name":"Subdivision","value":"NW"},{"id":4,"name":"Milepost","value":"0.0699"},{"id":17,"name":"Train ID","value":"818-18"},{"id":16,"name":"Locomotive ID","value":"4017"},{"id":130,"name":"Impact","value":""},{"id":150,"name":"Time of Event (Mountain Time)","value":"11:54:47"},{"id":151,"name":"Denver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45"/>
        <v>start /low /b %USERPROFILE%\Documents\GitHub\eaglep3\Utilities\DownloadLogsFromS3.py --loco 4017 --day 2017-10-18</v>
      </c>
      <c r="AN176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17:54:47"},{"id":29,"name":"Sharepoint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47"/>
        <v>https://d0f6bd738d7f1b3e5a7ca70fe4ff75f0.us-east-1.aws.found.io/app/kibana#/discover/Steve-Slow-Train-Analysis-(2080s-and-2083s)?_g=(refreshInterval:(display:Off,pause:!f,section:0,value:0),time:(from:'2017-10-18T10:24:45-0600',mode:absolute,to:'2017-10-18T12:54:47-0600'))&amp;_a=(columns:!('Message%20ID',Summary),filters:!(),index:'emp_*',interval:auto,query:(query_string:(analyze_wildcard:!t,query:'%22rtdc.l.rtdc.4017%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696</v>
      </c>
      <c r="B177" s="7">
        <v>4018</v>
      </c>
      <c r="C177" s="21" t="s">
        <v>194</v>
      </c>
      <c r="D177" s="21" t="s">
        <v>966</v>
      </c>
      <c r="E177" s="13">
        <v>43026.498113425929</v>
      </c>
      <c r="F177" s="13">
        <v>43026.506493055553</v>
      </c>
      <c r="G177" s="7">
        <v>50</v>
      </c>
      <c r="H177" s="21" t="s">
        <v>540</v>
      </c>
      <c r="I177" s="13">
        <v>43026.515798611108</v>
      </c>
      <c r="J177" s="7">
        <v>0</v>
      </c>
      <c r="K177" s="89" t="str">
        <f>IF(ISEVEN(B177),(B177-1)&amp;"/"&amp;B177,B177&amp;"/"&amp;(B177+1))</f>
        <v>4017/4018</v>
      </c>
      <c r="L177" s="185" t="str">
        <f>VLOOKUP(A177,'Trips&amp;Operators'!$C$1:$G$99911,5,FALSE)</f>
        <v>GEBRETEKLE DAGNEW</v>
      </c>
      <c r="M177" s="6">
        <f>I177-F177</f>
        <v>9.3055555553291924E-3</v>
      </c>
      <c r="N177" s="7">
        <f>24*60*SUM($M177:$M177)</f>
        <v>13.399999999674037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-10-18T10:57:17-0600',mode:absolute,to:'2017-10-18T13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9.7600000000000006E-2</v>
      </c>
      <c r="Z177" s="204">
        <f>RIGHT(H177,LEN(H177)-4)/10000</f>
        <v>5.8959999999999999</v>
      </c>
      <c r="AA177" s="204">
        <f>ABS(Z177-Y177)</f>
        <v>5.7984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>VALUE(LEFT(A177,LEN(A177)-3))</f>
        <v>819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/stypes="app*4018*20171018*" /stext=" 18:.+((SYSTEM_STATE.+slice.+state.+changed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43"/>
        <v>"%USERPROFILE%\Documents\GitHub\eaglep3\Utilities\RefineRTDCRunTimes.py" --tripid 819-18 --locoid 4018 --swversion DE.1.0.9.0 --startMP 204:976 --initTime 2017-10-18T11:57:17 --startdatetime 2017-10-18T12:09:21 --delay 50 --endMP 300:58960 --enddatetime 2017-10-18T12:22:45 --enforcementcount 0 &gt;&gt;%USERPROFILE%\Documents\GitHub\eaglep3-reporting\EC\2017-10-18-refined-times.txt</v>
      </c>
      <c r="AI177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{"issue":{"subject":"","project_id":79,"tracker_id":40,"status_id":1,"priority_id":2,"assigned_to_id":338,"start_date":"2017-10-18","description":"","custom_fields":[{"id":1,"name":"Subdivision","value":"NW"},{"id":4,"name":"Milepost","value":"5.896"},{"id":17,"name":"Train ID","value":"819-18"},{"id":16,"name":"Locomotive ID","value":"4018"},{"id":130,"name":"Impact","value":""},{"id":150,"name":"Time of Event (Mountain Time)","value":"12:22:45"},{"id":151,"name":"Denver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45"/>
        <v>start /low /b %USERPROFILE%\Documents\GitHub\eaglep3\Utilities\DownloadLogsFromS3.py --loco 4018 --day 2017-10-18</v>
      </c>
      <c r="AN177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18:22:45"},{"id":29,"name":"Sharepoint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47"/>
        <v>https://d0f6bd738d7f1b3e5a7ca70fe4ff75f0.us-east-1.aws.found.io/app/kibana#/discover/Steve-Slow-Train-Analysis-(2080s-and-2083s)?_g=(refreshInterval:(display:Off,pause:!f,section:0,value:0),time:(from:'2017-10-18T10:57:17-0600',mode:absolute,to:'2017-10-18T13:22:45-0600'))&amp;_a=(columns:!('Message%20ID',Summary),filters:!(),index:'emp_*',interval:auto,query:(query_string:(analyze_wildcard:!t,query:'%22rtdc.l.rtdc.4018%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703</v>
      </c>
      <c r="B178" s="7">
        <v>4017</v>
      </c>
      <c r="C178" s="21" t="s">
        <v>194</v>
      </c>
      <c r="D178" s="21" t="s">
        <v>963</v>
      </c>
      <c r="E178" s="13">
        <v>43026.517175925925</v>
      </c>
      <c r="F178" s="13">
        <v>43026.529768518521</v>
      </c>
      <c r="G178" s="7">
        <v>49</v>
      </c>
      <c r="H178" s="21" t="s">
        <v>956</v>
      </c>
      <c r="I178" s="13">
        <v>43026.537951388891</v>
      </c>
      <c r="J178" s="7">
        <v>0</v>
      </c>
      <c r="K178" s="89" t="str">
        <f>IF(ISEVEN(B178),(B178-1)&amp;"/"&amp;B178,B178&amp;"/"&amp;(B178+1))</f>
        <v>4017/4018</v>
      </c>
      <c r="L178" s="185" t="str">
        <f>VLOOKUP(A178,'Trips&amp;Operators'!$C$1:$G$99911,5,FALSE)</f>
        <v>GEBRETEKLE DAGNEW</v>
      </c>
      <c r="M178" s="6">
        <f>I178-F178</f>
        <v>8.182870369637385E-3</v>
      </c>
      <c r="N178" s="7">
        <f>24*60*SUM($M178:$M178)</f>
        <v>11.783333332277834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-10-18T11:24:44-0600',mode:absolute,to:'2017-10-18T13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5.8644999999999996</v>
      </c>
      <c r="Z178" s="204">
        <f>RIGHT(H178,LEN(H178)-4)/10000</f>
        <v>7.0300000000000001E-2</v>
      </c>
      <c r="AA178" s="204">
        <f>ABS(Z178-Y178)</f>
        <v>5.7942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>VALUE(LEFT(A178,LEN(A178)-3))</f>
        <v>820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/stypes="app*4017*20171018*" /stext=" 18:.+((SYSTEM_STATE.+slice.+state.+changed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43"/>
        <v>"%USERPROFILE%\Documents\GitHub\eaglep3\Utilities\RefineRTDCRunTimes.py" --tripid 820-18 --locoid 4017 --swversion DE.1.0.9.0 --startMP 300:58645 --initTime 2017-10-18T12:24:44 --startdatetime 2017-10-18T12:42:52 --delay 49 --endMP 204:703 --enddatetime 2017-10-18T12:54:39 --enforcementcount 0 &gt;&gt;%USERPROFILE%\Documents\GitHub\eaglep3-reporting\EC\2017-10-18-refined-times.txt</v>
      </c>
      <c r="AI178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{"issue":{"subject":"","project_id":79,"tracker_id":40,"status_id":1,"priority_id":2,"assigned_to_id":338,"start_date":"2017-10-18","description":"","custom_fields":[{"id":1,"name":"Subdivision","value":"NW"},{"id":4,"name":"Milepost","value":"0.0703"},{"id":17,"name":"Train ID","value":"820-18"},{"id":16,"name":"Locomotive ID","value":"4017"},{"id":130,"name":"Impact","value":""},{"id":150,"name":"Time of Event (Mountain Time)","value":"12:54:39"},{"id":151,"name":"Denver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45"/>
        <v>start /low /b %USERPROFILE%\Documents\GitHub\eaglep3\Utilities\DownloadLogsFromS3.py --loco 4017 --day 2017-10-18</v>
      </c>
      <c r="AN178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18:54:39"},{"id":29,"name":"Sharepoint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47"/>
        <v>https://d0f6bd738d7f1b3e5a7ca70fe4ff75f0.us-east-1.aws.found.io/app/kibana#/discover/Steve-Slow-Train-Analysis-(2080s-and-2083s)?_g=(refreshInterval:(display:Off,pause:!f,section:0,value:0),time:(from:'2017-10-18T11:24:44-0600',mode:absolute,to:'2017-10-18T13:54:39-0600'))&amp;_a=(columns:!('Message%20ID',Summary),filters:!(),index:'emp_*',interval:auto,query:(query_string:(analyze_wildcard:!t,query:'%22rtdc.l.rtdc.4017%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569</v>
      </c>
      <c r="B179" s="7">
        <v>4018</v>
      </c>
      <c r="C179" s="21" t="s">
        <v>194</v>
      </c>
      <c r="D179" s="21" t="s">
        <v>968</v>
      </c>
      <c r="E179" s="13">
        <v>43026.543252314812</v>
      </c>
      <c r="F179" s="13">
        <v>43026.548645833333</v>
      </c>
      <c r="G179" s="7">
        <v>92</v>
      </c>
      <c r="H179" s="21" t="s">
        <v>969</v>
      </c>
      <c r="I179" s="13">
        <v>43026.561145833337</v>
      </c>
      <c r="J179" s="7">
        <v>0</v>
      </c>
      <c r="K179" s="89" t="str">
        <f>IF(ISEVEN(B179),(B179-1)&amp;"/"&amp;B179,B179&amp;"/"&amp;(B179+1))</f>
        <v>4017/4018</v>
      </c>
      <c r="L179" s="185" t="str">
        <f>VLOOKUP(A179,'Trips&amp;Operators'!$C$1:$G$99911,5,FALSE)</f>
        <v>LEVERE CRAIG</v>
      </c>
      <c r="M179" s="6">
        <f>I179-F179</f>
        <v>1.2500000004365575E-2</v>
      </c>
      <c r="N179" s="7">
        <f>24*60*SUM($M179:$M179)</f>
        <v>18.000000006286427</v>
      </c>
      <c r="O179" s="7"/>
      <c r="P179" s="7"/>
      <c r="Q179" s="22"/>
      <c r="R179" s="174" t="s">
        <v>1019</v>
      </c>
      <c r="S179" s="221">
        <f>1/IF(AG179="EC",12,1)*SUM(U179:U179)</f>
        <v>1</v>
      </c>
      <c r="T179" s="174" t="str">
        <f>IF(ISEVEN(LEFT(AD179,4)),"Southbound","NorthBound")</f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-10-18T12:02:17-0600',mode:absolute,to:'2017-10-18T14:28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f>RIGHT(D179,LEN(D179)-4)/10000</f>
        <v>0.1018</v>
      </c>
      <c r="Z179" s="204">
        <v>5.8964999999999996</v>
      </c>
      <c r="AA179" s="204">
        <f>ABS(Z179-Y179)</f>
        <v>5.7946999999999997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>VALUE(LEFT(A179,LEN(A179)-3))</f>
        <v>821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/stypes="app*4018*20171018*" /stext=" 19:.+((SYSTEM_STATE.+slice.+state.+changed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43"/>
        <v>"%USERPROFILE%\Documents\GitHub\eaglep3\Utilities\RefineRTDCRunTimes.py" --tripid 821-18 --locoid 4018 --swversion DE.1.0.9.0 --startMP 204:1018 --initTime 2017-10-18T13:02:17 --startdatetime 2017-10-18T13:10:03 --delay 92 --endMP 300:23205 --enddatetime 2017-10-18T13:28:03 --enforcementcount 0 &gt;&gt;%USERPROFILE%\Documents\GitHub\eaglep3-reporting\EC\2017-10-18-refined-times.txt</v>
      </c>
      <c r="AI179" s="96" t="str">
        <f t="shared" si="44"/>
        <v>echo {"issue":{"subject":"Minor onboard en route failure","project_id":79,"tracker_id":40,"status_id":1,"priority_id":2,"assigned_to_id":338,"start_date":"2017-10-18","description":"","custom_fields":[{"id":1,"name":"Subdivision","value":"NW"},{"id":4,"name":"Milepost","value":"5.8965"},{"id":17,"name":"Train ID","value":"821-18"},{"id":16,"name":"Locomotive ID","value":"4018"},{"id":130,"name":"Impact","value":""},{"id":150,"name":"Time of Event (Mountain Time)","value":"13:28:03"},{"id":151,"name":"Denver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45"/>
        <v>start /low /b %USERPROFILE%\Documents\GitHub\eaglep3\Utilities\DownloadLogsFromS3.py --loco 4018 --day 2017-10-18</v>
      </c>
      <c r="AN179" s="151" t="str">
        <f t="shared" si="46"/>
        <v>echo {"issue":{"subject":"Minor onboard en route failure","project_id":30,"tracker_id":4,"status_id":1,"priority_id":1,"assigned_to_id":10,"start_date":"2017-10-18","description":"","custom_fields":[{"id":30,"name":"Category","value":"Issue"},{"id":3,"name":"Functional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19:28:03"},{"id":29,"name":"Sharepoint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47"/>
        <v>https://d0f6bd738d7f1b3e5a7ca70fe4ff75f0.us-east-1.aws.found.io/app/kibana#/discover/Steve-Slow-Train-Analysis-(2080s-and-2083s)?_g=(refreshInterval:(display:Off,pause:!f,section:0,value:0),time:(from:'2017-10-18T12:02:17-0600',mode:absolute,to:'2017-10-18T14:28:03-0600'))&amp;_a=(columns:!('Message%20ID',Summary),filters:!(),index:'emp_*',interval:auto,query:(query_string:(analyze_wildcard:!t,query:'%22rtdc.l.rtdc.4018%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569</v>
      </c>
      <c r="B180" s="7">
        <v>4018</v>
      </c>
      <c r="C180" s="21" t="s">
        <v>194</v>
      </c>
      <c r="D180" s="21" t="s">
        <v>970</v>
      </c>
      <c r="E180" s="13">
        <v>43026.55332175926</v>
      </c>
      <c r="F180" s="13">
        <v>43026.554375</v>
      </c>
      <c r="G180" s="7">
        <v>42</v>
      </c>
      <c r="H180" s="21" t="s">
        <v>971</v>
      </c>
      <c r="I180" s="13">
        <v>43026.561145833337</v>
      </c>
      <c r="J180" s="7">
        <v>0</v>
      </c>
      <c r="K180" s="89" t="str">
        <f>IF(ISEVEN(B180),(B180-1)&amp;"/"&amp;B180,B180&amp;"/"&amp;(B180+1))</f>
        <v>4017/4018</v>
      </c>
      <c r="L180" s="185" t="str">
        <f>VLOOKUP(A180,'Trips&amp;Operators'!$C$1:$G$99911,5,FALSE)</f>
        <v>LEVERE CRAIG</v>
      </c>
      <c r="M180" s="6">
        <f>I180-F180</f>
        <v>6.7708333372138441E-3</v>
      </c>
      <c r="N180" s="7"/>
      <c r="O180" s="7"/>
      <c r="P180" s="7"/>
      <c r="Q180" s="22"/>
      <c r="R180" s="174"/>
      <c r="S180" s="221"/>
      <c r="T180" s="174" t="str">
        <f>IF(ISEVEN(LEFT(AD180,4)),"Southbound","NorthBound")</f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0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-10-18T12:16:47-0600',mode:absolute,to:'2017-10-18T14:28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0" s="204" t="str">
        <f>IF(AA180&lt;VLOOKUP(AG180,Variables!$AC$3:$AD$8,2,FALSE),"Y","N")</f>
        <v>Y</v>
      </c>
      <c r="X180" s="204">
        <f>VALUE(LEFT(AD180,4))-VALUE(LEFT(AD179,4))</f>
        <v>0</v>
      </c>
      <c r="Y180" s="204">
        <f>RIGHT(D180,LEN(D180)-4)/10000</f>
        <v>2.3201000000000001</v>
      </c>
      <c r="Z180" s="204">
        <f>RIGHT(H180,LEN(H180)-4)/10000</f>
        <v>5.8964999999999996</v>
      </c>
      <c r="AA180" s="204">
        <f>ABS(Z180-Y180)</f>
        <v>3.5763999999999996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>VALUE(LEFT(A180,LEN(A180)-3))</f>
        <v>821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/stypes="app*4018*20171018*" /stext=" 19:.+((SYSTEM_STATE.+slice.+state.+changed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43"/>
        <v>"%USERPROFILE%\Documents\GitHub\eaglep3\Utilities\RefineRTDCRunTimes.py" --tripid 821-18 --locoid 4018 --swversion DE.1.0.9.0 --startMP 300:23201 --initTime 2017-10-18T13:16:47 --startdatetime 2017-10-18T13:18:18 --delay 42 --endMP 300:58965 --enddatetime 2017-10-18T13:28:03 --enforcementcount 0 &gt;&gt;%USERPROFILE%\Documents\GitHub\eaglep3-reporting\EC\2017-10-18-refined-times.txt</v>
      </c>
      <c r="AI180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{"issue":{"subject":"","project_id":79,"tracker_id":40,"status_id":1,"priority_id":2,"assigned_to_id":338,"start_date":"2017-10-18","description":"","custom_fields":[{"id":1,"name":"Subdivision","value":"NW"},{"id":4,"name":"Milepost","value":"5.8965"},{"id":17,"name":"Train ID","value":"821-18"},{"id":16,"name":"Locomotive ID","value":"4018"},{"id":130,"name":"Impact","value":""},{"id":150,"name":"Time of Event (Mountain Time)","value":"13:28:03"},{"id":151,"name":"Denver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45"/>
        <v>start /low /b %USERPROFILE%\Documents\GitHub\eaglep3\Utilities\DownloadLogsFromS3.py --loco 4018 --day 2017-10-18</v>
      </c>
      <c r="AN180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19:28:03"},{"id":29,"name":"Sharepoint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47"/>
        <v>https://d0f6bd738d7f1b3e5a7ca70fe4ff75f0.us-east-1.aws.found.io/app/kibana#/discover/Steve-Slow-Train-Analysis-(2080s-and-2083s)?_g=(refreshInterval:(display:Off,pause:!f,section:0,value:0),time:(from:'2017-10-18T12:16:47-0600',mode:absolute,to:'2017-10-18T14:28:03-0600'))&amp;_a=(columns:!('Message%20ID',Summary),filters:!(),index:'emp_*',interval:auto,query:(query_string:(analyze_wildcard:!t,query:'%22rtdc.l.rtdc.4018%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715</v>
      </c>
      <c r="B181" s="7">
        <v>4017</v>
      </c>
      <c r="C181" s="21" t="s">
        <v>194</v>
      </c>
      <c r="D181" s="21" t="s">
        <v>959</v>
      </c>
      <c r="E181" s="13">
        <v>43026.567523148151</v>
      </c>
      <c r="F181" s="13">
        <v>43026.569212962961</v>
      </c>
      <c r="G181" s="7">
        <v>73</v>
      </c>
      <c r="H181" s="21" t="s">
        <v>499</v>
      </c>
      <c r="I181" s="13">
        <v>43026.580196759256</v>
      </c>
      <c r="J181" s="7">
        <v>0</v>
      </c>
      <c r="K181" s="89" t="str">
        <f>IF(ISEVEN(B181),(B181-1)&amp;"/"&amp;B181,B181&amp;"/"&amp;(B181+1))</f>
        <v>4017/4018</v>
      </c>
      <c r="L181" s="185" t="str">
        <f>VLOOKUP(A181,'Trips&amp;Operators'!$C$1:$G$99911,5,FALSE)</f>
        <v>LEVERE CRAIG</v>
      </c>
      <c r="M181" s="6">
        <f>I181-F181</f>
        <v>1.0983796295477077E-2</v>
      </c>
      <c r="N181" s="7">
        <f>24*60*SUM($M181:$M181)</f>
        <v>15.816666665486991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-18T12:37:14-0600',mode:absolute,to:'2017-10-18T14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1" s="204" t="str">
        <f>IF(AA181&lt;VLOOKUP(AG181,Variables!$AC$3:$AD$8,2,FALSE),"Y","N")</f>
        <v>N</v>
      </c>
      <c r="X181" s="204">
        <f>VALUE(LEFT(AD181,4))-VALUE(LEFT(AD180,4))</f>
        <v>1</v>
      </c>
      <c r="Y181" s="204">
        <f>RIGHT(D181,LEN(D181)-4)/10000</f>
        <v>5.8655999999999997</v>
      </c>
      <c r="Z181" s="204">
        <f>RIGHT(H181,LEN(H181)-4)/10000</f>
        <v>6.8000000000000005E-2</v>
      </c>
      <c r="AA181" s="204">
        <f>ABS(Z181-Y181)</f>
        <v>5.7976000000000001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>VALUE(LEFT(A181,LEN(A181)-3))</f>
        <v>822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/stypes="app*4017*20171018*" /stext=" 19:.+((SYSTEM_STATE.+slice.+state.+changed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43"/>
        <v>"%USERPROFILE%\Documents\GitHub\eaglep3\Utilities\RefineRTDCRunTimes.py" --tripid 822-18 --locoid 4017 --swversion DE.1.0.9.0 --startMP 300:58656 --initTime 2017-10-18T13:37:14 --startdatetime 2017-10-18T13:39:40 --delay 73 --endMP 204:680 --enddatetime 2017-10-18T13:55:29 --enforcementcount 0 &gt;&gt;%USERPROFILE%\Documents\GitHub\eaglep3-reporting\EC\2017-10-18-refined-times.txt</v>
      </c>
      <c r="AI181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{"issue":{"subject":"","project_id":79,"tracker_id":40,"status_id":1,"priority_id":2,"assigned_to_id":338,"start_date":"2017-10-18","description":"","custom_fields":[{"id":1,"name":"Subdivision","value":"NW"},{"id":4,"name":"Milepost","value":"0.068"},{"id":17,"name":"Train ID","value":"822-18"},{"id":16,"name":"Locomotive ID","value":"4017"},{"id":130,"name":"Impact","value":""},{"id":150,"name":"Time of Event (Mountain Time)","value":"13:55:29"},{"id":151,"name":"Denver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45"/>
        <v>start /low /b %USERPROFILE%\Documents\GitHub\eaglep3\Utilities\DownloadLogsFromS3.py --loco 4017 --day 2017-10-18</v>
      </c>
      <c r="AN181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19:55:29"},{"id":29,"name":"Sharepoint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47"/>
        <v>https://d0f6bd738d7f1b3e5a7ca70fe4ff75f0.us-east-1.aws.found.io/app/kibana#/discover/Steve-Slow-Train-Analysis-(2080s-and-2083s)?_g=(refreshInterval:(display:Off,pause:!f,section:0,value:0),time:(from:'2017-10-18T12:37:14-0600',mode:absolute,to:'2017-10-18T14:55:29-0600'))&amp;_a=(columns:!('Message%20ID',Summary),filters:!(),index:'emp_*',interval:auto,query:(query_string:(analyze_wildcard:!t,query:'%22rtdc.l.rtdc.4017%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719</v>
      </c>
      <c r="B182" s="7">
        <v>4018</v>
      </c>
      <c r="C182" s="21" t="s">
        <v>194</v>
      </c>
      <c r="D182" s="21" t="s">
        <v>972</v>
      </c>
      <c r="E182" s="13">
        <v>43026.585798611108</v>
      </c>
      <c r="F182" s="13">
        <v>43026.589814814812</v>
      </c>
      <c r="G182" s="7">
        <v>79</v>
      </c>
      <c r="H182" s="21" t="s">
        <v>954</v>
      </c>
      <c r="I182" s="13">
        <v>43026.600104166668</v>
      </c>
      <c r="J182" s="7">
        <v>0</v>
      </c>
      <c r="K182" s="89" t="str">
        <f>IF(ISEVEN(B182),(B182-1)&amp;"/"&amp;B182,B182&amp;"/"&amp;(B182+1))</f>
        <v>4017/4018</v>
      </c>
      <c r="L182" s="185" t="str">
        <f>VLOOKUP(A182,'Trips&amp;Operators'!$C$1:$G$99911,5,FALSE)</f>
        <v>LEVERE CRAIG</v>
      </c>
      <c r="M182" s="6">
        <f>I182-F182</f>
        <v>1.0289351856044959E-2</v>
      </c>
      <c r="N182" s="7">
        <f>24*60*SUM($M182:$M182)</f>
        <v>14.816666672704741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-10-18T13:03:33-0600',mode:absolute,to:'2017-10-18T15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f>RIGHT(D182,LEN(D182)-4)/10000</f>
        <v>9.8299999999999998E-2</v>
      </c>
      <c r="Z182" s="204">
        <f>RIGHT(H182,LEN(H182)-4)/10000</f>
        <v>5.8967000000000001</v>
      </c>
      <c r="AA182" s="204">
        <f>ABS(Z182-Y182)</f>
        <v>5.7984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>VALUE(LEFT(A182,LEN(A182)-3))</f>
        <v>823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/stypes="app*4018*20171018*" /stext=" 20:.+((SYSTEM_STATE.+slice.+state.+changed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43"/>
        <v>"%USERPROFILE%\Documents\GitHub\eaglep3\Utilities\RefineRTDCRunTimes.py" --tripid 823-18 --locoid 4018 --swversion DE.1.0.9.0 --startMP 204:983 --initTime 2017-10-18T14:03:33 --startdatetime 2017-10-18T14:09:20 --delay 79 --endMP 300:58967 --enddatetime 2017-10-18T14:24:09 --enforcementcount 0 &gt;&gt;%USERPROFILE%\Documents\GitHub\eaglep3-reporting\EC\2017-10-18-refined-times.txt</v>
      </c>
      <c r="AI182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{"issue":{"subject":"","project_id":79,"tracker_id":40,"status_id":1,"priority_id":2,"assigned_to_id":338,"start_date":"2017-10-18","description":"","custom_fields":[{"id":1,"name":"Subdivision","value":"NW"},{"id":4,"name":"Milepost","value":"5.8967"},{"id":17,"name":"Train ID","value":"823-18"},{"id":16,"name":"Locomotive ID","value":"4018"},{"id":130,"name":"Impact","value":""},{"id":150,"name":"Time of Event (Mountain Time)","value":"14:24:09"},{"id":151,"name":"Denver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45"/>
        <v>start /low /b %USERPROFILE%\Documents\GitHub\eaglep3\Utilities\DownloadLogsFromS3.py --loco 4018 --day 2017-10-18</v>
      </c>
      <c r="AN182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20:24:09"},{"id":29,"name":"Sharepoint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47"/>
        <v>https://d0f6bd738d7f1b3e5a7ca70fe4ff75f0.us-east-1.aws.found.io/app/kibana#/discover/Steve-Slow-Train-Analysis-(2080s-and-2083s)?_g=(refreshInterval:(display:Off,pause:!f,section:0,value:0),time:(from:'2017-10-18T13:03:33-0600',mode:absolute,to:'2017-10-18T15:24:09-0600'))&amp;_a=(columns:!('Message%20ID',Summary),filters:!(),index:'emp_*',interval:auto,query:(query_string:(analyze_wildcard:!t,query:'%22rtdc.l.rtdc.4018%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577</v>
      </c>
      <c r="B183" s="7">
        <v>4017</v>
      </c>
      <c r="C183" s="21" t="s">
        <v>194</v>
      </c>
      <c r="D183" s="21" t="s">
        <v>973</v>
      </c>
      <c r="E183" s="13">
        <v>43026.601331018515</v>
      </c>
      <c r="F183" s="13">
        <v>43026.613275462965</v>
      </c>
      <c r="G183" s="7">
        <v>89</v>
      </c>
      <c r="H183" s="21" t="s">
        <v>974</v>
      </c>
      <c r="I183" s="13">
        <v>43026.620949074073</v>
      </c>
      <c r="J183" s="7">
        <v>0</v>
      </c>
      <c r="K183" s="89" t="str">
        <f>IF(ISEVEN(B183),(B183-1)&amp;"/"&amp;B183,B183&amp;"/"&amp;(B183+1))</f>
        <v>4017/4018</v>
      </c>
      <c r="L183" s="185" t="str">
        <f>VLOOKUP(A183,'Trips&amp;Operators'!$C$1:$G$99911,5,FALSE)</f>
        <v>LEVERE CRAIG</v>
      </c>
      <c r="M183" s="6">
        <f>I183-F183</f>
        <v>7.6736111077480018E-3</v>
      </c>
      <c r="N183" s="7">
        <f>24*60*SUM($M183:$M183)</f>
        <v>11.049999995157123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-10-18T13:25:55-0600',mode:absolute,to:'2017-10-18T15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3" s="204" t="str">
        <f>IF(AA183&lt;VLOOKUP(AG183,Variables!$AC$3:$AD$8,2,FALSE),"Y","N")</f>
        <v>Y</v>
      </c>
      <c r="X183" s="204">
        <f>VALUE(LEFT(AD183,4))-VALUE(LEFT(AD182,4))</f>
        <v>1</v>
      </c>
      <c r="Y183" s="204">
        <f>RIGHT(D183,LEN(D183)-4)/10000</f>
        <v>5.8648999999999996</v>
      </c>
      <c r="Z183" s="204">
        <f>RIGHT(H183,LEN(H183)-4)/10000</f>
        <v>0.4602</v>
      </c>
      <c r="AA183" s="204">
        <f>ABS(Z183-Y183)</f>
        <v>5.4046999999999992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>VALUE(LEFT(A183,LEN(A183)-3))</f>
        <v>824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/stypes="app*4017*20171018*" /stext=" 20:.+((SYSTEM_STATE.+slice.+state.+changed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43"/>
        <v>"%USERPROFILE%\Documents\GitHub\eaglep3\Utilities\RefineRTDCRunTimes.py" --tripid 824-18 --locoid 4017 --swversion DE.1.0.9.0 --startMP 300:58649 --initTime 2017-10-18T14:25:55 --startdatetime 2017-10-18T14:43:07 --delay 89 --endMP 204:4602 --enddatetime 2017-10-18T14:54:10 --enforcementcount 0 &gt;&gt;%USERPROFILE%\Documents\GitHub\eaglep3-reporting\EC\2017-10-18-refined-times.txt</v>
      </c>
      <c r="AI183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{"issue":{"subject":"","project_id":79,"tracker_id":40,"status_id":1,"priority_id":2,"assigned_to_id":338,"start_date":"2017-10-18","description":"","custom_fields":[{"id":1,"name":"Subdivision","value":"NW"},{"id":4,"name":"Milepost","value":"0.4602"},{"id":17,"name":"Train ID","value":"824-18"},{"id":16,"name":"Locomotive ID","value":"4017"},{"id":130,"name":"Impact","value":""},{"id":150,"name":"Time of Event (Mountain Time)","value":"14:54:10"},{"id":151,"name":"Denver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45"/>
        <v>start /low /b %USERPROFILE%\Documents\GitHub\eaglep3\Utilities\DownloadLogsFromS3.py --loco 4017 --day 2017-10-18</v>
      </c>
      <c r="AN183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20:54:10"},{"id":29,"name":"Sharepoint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47"/>
        <v>https://d0f6bd738d7f1b3e5a7ca70fe4ff75f0.us-east-1.aws.found.io/app/kibana#/discover/Steve-Slow-Train-Analysis-(2080s-and-2083s)?_g=(refreshInterval:(display:Off,pause:!f,section:0,value:0),time:(from:'2017-10-18T13:25:55-0600',mode:absolute,to:'2017-10-18T15:54:10-0600'))&amp;_a=(columns:!('Message%20ID',Summary),filters:!(),index:'emp_*',interval:auto,query:(query_string:(analyze_wildcard:!t,query:'%22rtdc.l.rtdc.4017%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732</v>
      </c>
      <c r="B184" s="7">
        <v>4018</v>
      </c>
      <c r="C184" s="21" t="s">
        <v>194</v>
      </c>
      <c r="D184" s="21" t="s">
        <v>975</v>
      </c>
      <c r="E184" s="13">
        <v>43026.627129629633</v>
      </c>
      <c r="F184" s="13">
        <v>43026.63144675926</v>
      </c>
      <c r="G184" s="7">
        <v>79</v>
      </c>
      <c r="H184" s="21" t="s">
        <v>954</v>
      </c>
      <c r="I184" s="13">
        <v>43026.641643518517</v>
      </c>
      <c r="J184" s="7">
        <v>0</v>
      </c>
      <c r="K184" s="89" t="str">
        <f>IF(ISEVEN(B184),(B184-1)&amp;"/"&amp;B184,B184&amp;"/"&amp;(B184+1))</f>
        <v>4017/4018</v>
      </c>
      <c r="L184" s="185" t="str">
        <f>VLOOKUP(A184,'Trips&amp;Operators'!$C$1:$G$99911,5,FALSE)</f>
        <v>LEVERE CRAIG</v>
      </c>
      <c r="M184" s="6">
        <f>I184-F184</f>
        <v>1.0196759256359655E-2</v>
      </c>
      <c r="N184" s="7">
        <f>24*60*SUM($M184:$M184)</f>
        <v>14.683333329157904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-10-18T14:03:04-0600',mode:absolute,to:'2017-10-18T16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4" s="204" t="str">
        <f>IF(AA184&lt;VLOOKUP(AG184,Variables!$AC$3:$AD$8,2,FALSE),"Y","N")</f>
        <v>N</v>
      </c>
      <c r="X184" s="204">
        <f>VALUE(LEFT(AD184,4))-VALUE(LEFT(AD183,4))</f>
        <v>1</v>
      </c>
      <c r="Y184" s="204">
        <f>RIGHT(D184,LEN(D184)-4)/10000</f>
        <v>9.6500000000000002E-2</v>
      </c>
      <c r="Z184" s="204">
        <f>RIGHT(H184,LEN(H184)-4)/10000</f>
        <v>5.8967000000000001</v>
      </c>
      <c r="AA184" s="204">
        <f>ABS(Z184-Y184)</f>
        <v>5.8002000000000002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>VALUE(LEFT(A184,LEN(A184)-3))</f>
        <v>825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/stypes="app*4018*20171018*" /stext=" 21:.+((SYSTEM_STATE.+slice.+state.+changed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43"/>
        <v>"%USERPROFILE%\Documents\GitHub\eaglep3\Utilities\RefineRTDCRunTimes.py" --tripid 825-18 --locoid 4018 --swversion DE.1.0.9.0 --startMP 204:965 --initTime 2017-10-18T15:03:04 --startdatetime 2017-10-18T15:09:17 --delay 79 --endMP 300:58967 --enddatetime 2017-10-18T15:23:58 --enforcementcount 0 &gt;&gt;%USERPROFILE%\Documents\GitHub\eaglep3-reporting\EC\2017-10-18-refined-times.txt</v>
      </c>
      <c r="AI184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{"issue":{"subject":"","project_id":79,"tracker_id":40,"status_id":1,"priority_id":2,"assigned_to_id":338,"start_date":"2017-10-18","description":"","custom_fields":[{"id":1,"name":"Subdivision","value":"NW"},{"id":4,"name":"Milepost","value":"5.8967"},{"id":17,"name":"Train ID","value":"825-18"},{"id":16,"name":"Locomotive ID","value":"4018"},{"id":130,"name":"Impact","value":""},{"id":150,"name":"Time of Event (Mountain Time)","value":"15:23:58"},{"id":151,"name":"Denver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45"/>
        <v>start /low /b %USERPROFILE%\Documents\GitHub\eaglep3\Utilities\DownloadLogsFromS3.py --loco 4018 --day 2017-10-18</v>
      </c>
      <c r="AN184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21:23:58"},{"id":29,"name":"Sharepoint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47"/>
        <v>https://d0f6bd738d7f1b3e5a7ca70fe4ff75f0.us-east-1.aws.found.io/app/kibana#/discover/Steve-Slow-Train-Analysis-(2080s-and-2083s)?_g=(refreshInterval:(display:Off,pause:!f,section:0,value:0),time:(from:'2017-10-18T14:03:04-0600',mode:absolute,to:'2017-10-18T16:23:58-0600'))&amp;_a=(columns:!('Message%20ID',Summary),filters:!(),index:'emp_*',interval:auto,query:(query_string:(analyze_wildcard:!t,query:'%22rtdc.l.rtdc.4018%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736</v>
      </c>
      <c r="B185" s="7">
        <v>4017</v>
      </c>
      <c r="C185" s="21" t="s">
        <v>194</v>
      </c>
      <c r="D185" s="21" t="s">
        <v>538</v>
      </c>
      <c r="E185" s="13">
        <v>43026.643113425926</v>
      </c>
      <c r="F185" s="13">
        <v>43026.654918981483</v>
      </c>
      <c r="G185" s="7">
        <v>85</v>
      </c>
      <c r="H185" s="21" t="s">
        <v>976</v>
      </c>
      <c r="I185" s="13">
        <v>43026.663414351853</v>
      </c>
      <c r="J185" s="7">
        <v>0</v>
      </c>
      <c r="K185" s="89" t="str">
        <f>IF(ISEVEN(B185),(B185-1)&amp;"/"&amp;B185,B185&amp;"/"&amp;(B185+1))</f>
        <v>4017/4018</v>
      </c>
      <c r="L185" s="185" t="str">
        <f>VLOOKUP(A185,'Trips&amp;Operators'!$C$1:$G$99911,5,FALSE)</f>
        <v>LEVERE CRAIG</v>
      </c>
      <c r="M185" s="6">
        <f>I185-F185</f>
        <v>8.4953703699284233E-3</v>
      </c>
      <c r="N185" s="7">
        <f>24*60*SUM($M185:$M185)</f>
        <v>12.23333333269693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-18T14:26:05-0600',mode:absolute,to:'2017-10-18T16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5.8647</v>
      </c>
      <c r="Z185" s="204">
        <f>RIGHT(H185,LEN(H185)-4)/10000</f>
        <v>7.0999999999999994E-2</v>
      </c>
      <c r="AA185" s="204">
        <f>ABS(Z185-Y185)</f>
        <v>5.7937000000000003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>VALUE(LEFT(A185,LEN(A185)-3))</f>
        <v>826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/stypes="app*4017*20171018*" /stext=" 21:.+((SYSTEM_STATE.+slice.+state.+changed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43"/>
        <v>"%USERPROFILE%\Documents\GitHub\eaglep3\Utilities\RefineRTDCRunTimes.py" --tripid 826-18 --locoid 4017 --swversion DE.1.0.9.0 --startMP 300:58647 --initTime 2017-10-18T15:26:05 --startdatetime 2017-10-18T15:43:05 --delay 85 --endMP 204:710 --enddatetime 2017-10-18T15:55:19 --enforcementcount 0 &gt;&gt;%USERPROFILE%\Documents\GitHub\eaglep3-reporting\EC\2017-10-18-refined-times.txt</v>
      </c>
      <c r="AI185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{"issue":{"subject":"","project_id":79,"tracker_id":40,"status_id":1,"priority_id":2,"assigned_to_id":338,"start_date":"2017-10-18","description":"","custom_fields":[{"id":1,"name":"Subdivision","value":"NW"},{"id":4,"name":"Milepost","value":"0.071"},{"id":17,"name":"Train ID","value":"826-18"},{"id":16,"name":"Locomotive ID","value":"4017"},{"id":130,"name":"Impact","value":""},{"id":150,"name":"Time of Event (Mountain Time)","value":"15:55:19"},{"id":151,"name":"Denver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45"/>
        <v>start /low /b %USERPROFILE%\Documents\GitHub\eaglep3\Utilities\DownloadLogsFromS3.py --loco 4017 --day 2017-10-18</v>
      </c>
      <c r="AN185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21:55:19"},{"id":29,"name":"Sharepoint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47"/>
        <v>https://d0f6bd738d7f1b3e5a7ca70fe4ff75f0.us-east-1.aws.found.io/app/kibana#/discover/Steve-Slow-Train-Analysis-(2080s-and-2083s)?_g=(refreshInterval:(display:Off,pause:!f,section:0,value:0),time:(from:'2017-10-18T14:26:05-0600',mode:absolute,to:'2017-10-18T16:55:19-0600'))&amp;_a=(columns:!('Message%20ID',Summary),filters:!(),index:'emp_*',interval:auto,query:(query_string:(analyze_wildcard:!t,query:'%22rtdc.l.rtdc.4017%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738</v>
      </c>
      <c r="B186" s="7">
        <v>4036</v>
      </c>
      <c r="C186" s="21" t="s">
        <v>194</v>
      </c>
      <c r="D186" s="21" t="s">
        <v>939</v>
      </c>
      <c r="E186" s="13">
        <v>43026.648923611108</v>
      </c>
      <c r="F186" s="13">
        <v>43026.652372685188</v>
      </c>
      <c r="G186" s="7">
        <v>109</v>
      </c>
      <c r="H186" s="21" t="s">
        <v>962</v>
      </c>
      <c r="I186" s="13">
        <v>43026.662534722222</v>
      </c>
      <c r="J186" s="7">
        <v>0</v>
      </c>
      <c r="K186" s="89" t="str">
        <f>IF(ISEVEN(B186),(B186-1)&amp;"/"&amp;B186,B186&amp;"/"&amp;(B186+1))</f>
        <v>4035/4036</v>
      </c>
      <c r="L186" s="185" t="str">
        <f>VLOOKUP(A186,'Trips&amp;Operators'!$C$1:$G$99911,5,FALSE)</f>
        <v>STAMBAUGH JAMES</v>
      </c>
      <c r="M186" s="6">
        <f>I186-F186</f>
        <v>1.0162037033296656E-2</v>
      </c>
      <c r="N186" s="7">
        <f>24*60*SUM($M186:$M186)</f>
        <v>14.633333327947184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-10-18T14:34:27-0600',mode:absolute,to:'2017-10-18T16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9.8799999999999999E-2</v>
      </c>
      <c r="Z186" s="204">
        <f>RIGHT(H186,LEN(H186)-4)/10000</f>
        <v>5.8949999999999996</v>
      </c>
      <c r="AA186" s="204">
        <f>ABS(Z186-Y186)</f>
        <v>5.7961999999999998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>VALUE(LEFT(A186,LEN(A186)-3))</f>
        <v>827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 &amp; aws s3 cp s3://rtdc.mdm.uploadarchive.raw/RTDC4036/ "%USERPROFILE%\AppData\Local\Temp\OnboardLogs"\RTDC4036\2017-10-19 --exclude "*" --recursive --include "*20171019*" &amp; "%USERPROFILE%\Documents\GitHub\mrs-test-scripts\Headless Mode &amp; Sideloading\WalkAndUnGZ.bat" "%USERPROFILE%\AppData\Local\Temp\OnboardLogs"\RTDC4036\2017-10-19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/stypes="app*4036*20171018*" /stext=" 21:.+((SYSTEM_STATE.+slice.+state.+changed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43"/>
        <v>"%USERPROFILE%\Documents\GitHub\eaglep3\Utilities\RefineRTDCRunTimes.py" --tripid 827-18 --locoid 4036 --swversion DE.1.0.9.0 --startMP 204:988 --initTime 2017-10-18T15:34:27 --startdatetime 2017-10-18T15:39:25 --delay 109 --endMP 300:58950 --enddatetime 2017-10-18T15:54:03 --enforcementcount 0 &gt;&gt;%USERPROFILE%\Documents\GitHub\eaglep3-reporting\EC\2017-10-18-refined-times.txt</v>
      </c>
      <c r="AI186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{"issue":{"subject":"","project_id":79,"tracker_id":40,"status_id":1,"priority_id":2,"assigned_to_id":338,"start_date":"2017-10-18","description":"","custom_fields":[{"id":1,"name":"Subdivision","value":"NW"},{"id":4,"name":"Milepost","value":"5.895"},{"id":17,"name":"Train ID","value":"827-18"},{"id":16,"name":"Locomotive ID","value":"4036"},{"id":130,"name":"Impact","value":""},{"id":150,"name":"Time of Event (Mountain Time)","value":"15:54:03"},{"id":151,"name":"Denver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45"/>
        <v>start /low /b %USERPROFILE%\Documents\GitHub\eaglep3\Utilities\DownloadLogsFromS3.py --loco 4036 --day 2017-10-18</v>
      </c>
      <c r="AN186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21:54:03"},{"id":29,"name":"Sharepoint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47"/>
        <v>https://d0f6bd738d7f1b3e5a7ca70fe4ff75f0.us-east-1.aws.found.io/app/kibana#/discover/Steve-Slow-Train-Analysis-(2080s-and-2083s)?_g=(refreshInterval:(display:Off,pause:!f,section:0,value:0),time:(from:'2017-10-18T14:34:27-0600',mode:absolute,to:'2017-10-18T16:54:03-0600'))&amp;_a=(columns:!('Message%20ID',Summary),filters:!(),index:'emp_*',interval:auto,query:(query_string:(analyze_wildcard:!t,query:'%22rtdc.l.rtdc.4036%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743</v>
      </c>
      <c r="B187" s="7">
        <v>4035</v>
      </c>
      <c r="C187" s="21" t="s">
        <v>194</v>
      </c>
      <c r="D187" s="21" t="s">
        <v>496</v>
      </c>
      <c r="E187" s="13">
        <v>43026.663900462961</v>
      </c>
      <c r="F187" s="13">
        <v>43026.675856481481</v>
      </c>
      <c r="G187" s="7">
        <v>56</v>
      </c>
      <c r="H187" s="21" t="s">
        <v>494</v>
      </c>
      <c r="I187" s="13">
        <v>43026.683483796296</v>
      </c>
      <c r="J187" s="7">
        <v>0</v>
      </c>
      <c r="K187" s="89" t="str">
        <f>IF(ISEVEN(B187),(B187-1)&amp;"/"&amp;B187,B187&amp;"/"&amp;(B187+1))</f>
        <v>4035/4036</v>
      </c>
      <c r="L187" s="185" t="str">
        <f>VLOOKUP(A187,'Trips&amp;Operators'!$C$1:$G$99911,5,FALSE)</f>
        <v>STAMBAUGH JAMES</v>
      </c>
      <c r="M187" s="6">
        <f>I187-F187</f>
        <v>7.6273148151813075E-3</v>
      </c>
      <c r="N187" s="7">
        <f>24*60*SUM($M187:$M187)</f>
        <v>10.983333333861083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-10-18T14:56:01-0600',mode:absolute,to:'2017-10-18T17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5.8638000000000003</v>
      </c>
      <c r="Z187" s="204">
        <f>RIGHT(H187,LEN(H187)-4)/10000</f>
        <v>6.7100000000000007E-2</v>
      </c>
      <c r="AA187" s="204">
        <f>ABS(Z187-Y187)</f>
        <v>5.7967000000000004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>VALUE(LEFT(A187,LEN(A187)-3))</f>
        <v>828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 &amp; aws s3 cp s3://rtdc.mdm.uploadarchive.raw/RTDC4035/ "%USERPROFILE%\AppData\Local\Temp\OnboardLogs"\RTDC4035\2017-10-19 --exclude "*" --recursive --include "*20171019*" &amp; "%USERPROFILE%\Documents\GitHub\mrs-test-scripts\Headless Mode &amp; Sideloading\WalkAndUnGZ.bat" "%USERPROFILE%\AppData\Local\Temp\OnboardLogs"\RTDC4035\2017-10-19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/stypes="app*4035*20171018*" /stext=" 22:.+((SYSTEM_STATE.+slice.+state.+changed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43"/>
        <v>"%USERPROFILE%\Documents\GitHub\eaglep3\Utilities\RefineRTDCRunTimes.py" --tripid 828-18 --locoid 4035 --swversion DE.1.0.9.0 --startMP 300:58638 --initTime 2017-10-18T15:56:01 --startdatetime 2017-10-18T16:13:14 --delay 56 --endMP 204:671 --enddatetime 2017-10-18T16:24:13 --enforcementcount 0 &gt;&gt;%USERPROFILE%\Documents\GitHub\eaglep3-reporting\EC\2017-10-18-refined-times.txt</v>
      </c>
      <c r="AI187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{"issue":{"subject":"","project_id":79,"tracker_id":40,"status_id":1,"priority_id":2,"assigned_to_id":338,"start_date":"2017-10-18","description":"","custom_fields":[{"id":1,"name":"Subdivision","value":"NW"},{"id":4,"name":"Milepost","value":"0.0671"},{"id":17,"name":"Train ID","value":"828-18"},{"id":16,"name":"Locomotive ID","value":"4035"},{"id":130,"name":"Impact","value":""},{"id":150,"name":"Time of Event (Mountain Time)","value":"16:24:13"},{"id":151,"name":"Denver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45"/>
        <v>start /low /b %USERPROFILE%\Documents\GitHub\eaglep3\Utilities\DownloadLogsFromS3.py --loco 4035 --day 2017-10-18</v>
      </c>
      <c r="AN187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22:24:13"},{"id":29,"name":"Sharepoint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47"/>
        <v>https://d0f6bd738d7f1b3e5a7ca70fe4ff75f0.us-east-1.aws.found.io/app/kibana#/discover/Steve-Slow-Train-Analysis-(2080s-and-2083s)?_g=(refreshInterval:(display:Off,pause:!f,section:0,value:0),time:(from:'2017-10-18T14:56:01-0600',mode:absolute,to:'2017-10-18T17:24:13-0600'))&amp;_a=(columns:!('Message%20ID',Summary),filters:!(),index:'emp_*',interval:auto,query:(query_string:(analyze_wildcard:!t,query:'%22rtdc.l.rtdc.4035%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744</v>
      </c>
      <c r="B188" s="7">
        <v>4018</v>
      </c>
      <c r="C188" s="21" t="s">
        <v>194</v>
      </c>
      <c r="D188" s="21" t="s">
        <v>945</v>
      </c>
      <c r="E188" s="13">
        <v>43026.670243055552</v>
      </c>
      <c r="F188" s="13">
        <v>43026.673113425924</v>
      </c>
      <c r="G188" s="7">
        <v>106</v>
      </c>
      <c r="H188" s="21" t="s">
        <v>958</v>
      </c>
      <c r="I188" s="13">
        <v>43026.684155092589</v>
      </c>
      <c r="J188" s="7">
        <v>0</v>
      </c>
      <c r="K188" s="89" t="str">
        <f>IF(ISEVEN(B188),(B188-1)&amp;"/"&amp;B188,B188&amp;"/"&amp;(B188+1))</f>
        <v>4017/4018</v>
      </c>
      <c r="L188" s="185" t="str">
        <f>VLOOKUP(A188,'Trips&amp;Operators'!$C$1:$G$99911,5,FALSE)</f>
        <v>LEVERE CRAIG</v>
      </c>
      <c r="M188" s="6">
        <f>I188-F188</f>
        <v>1.1041666664823424E-2</v>
      </c>
      <c r="N188" s="7">
        <f>24*60*SUM($M188:$M188)</f>
        <v>15.899999997345731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-18T15:05:09-0600',mode:absolute,to:'2017-10-18T17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f>RIGHT(D188,LEN(D188)-4)/10000</f>
        <v>9.9299999999999999E-2</v>
      </c>
      <c r="Z188" s="204">
        <f>RIGHT(H188,LEN(H188)-4)/10000</f>
        <v>5.8968999999999996</v>
      </c>
      <c r="AA188" s="204">
        <f>ABS(Z188-Y188)</f>
        <v>5.7975999999999992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>VALUE(LEFT(A188,LEN(A188)-3))</f>
        <v>829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/stypes="app*4018*20171018*" /stext=" 22:.+((SYSTEM_STATE.+slice.+state.+changed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43"/>
        <v>"%USERPROFILE%\Documents\GitHub\eaglep3\Utilities\RefineRTDCRunTimes.py" --tripid 829-18 --locoid 4018 --swversion DE.1.0.9.0 --startMP 204:993 --initTime 2017-10-18T16:05:09 --startdatetime 2017-10-18T16:09:17 --delay 106 --endMP 300:58969 --enddatetime 2017-10-18T16:25:11 --enforcementcount 0 &gt;&gt;%USERPROFILE%\Documents\GitHub\eaglep3-reporting\EC\2017-10-18-refined-times.txt</v>
      </c>
      <c r="AI188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{"issue":{"subject":"","project_id":79,"tracker_id":40,"status_id":1,"priority_id":2,"assigned_to_id":338,"start_date":"2017-10-18","description":"","custom_fields":[{"id":1,"name":"Subdivision","value":"NW"},{"id":4,"name":"Milepost","value":"5.8969"},{"id":17,"name":"Train ID","value":"829-18"},{"id":16,"name":"Locomotive ID","value":"4018"},{"id":130,"name":"Impact","value":""},{"id":150,"name":"Time of Event (Mountain Time)","value":"16:25:11"},{"id":151,"name":"Denver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45"/>
        <v>start /low /b %USERPROFILE%\Documents\GitHub\eaglep3\Utilities\DownloadLogsFromS3.py --loco 4018 --day 2017-10-18</v>
      </c>
      <c r="AN188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22:25:11"},{"id":29,"name":"Sharepoint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47"/>
        <v>https://d0f6bd738d7f1b3e5a7ca70fe4ff75f0.us-east-1.aws.found.io/app/kibana#/discover/Steve-Slow-Train-Analysis-(2080s-and-2083s)?_g=(refreshInterval:(display:Off,pause:!f,section:0,value:0),time:(from:'2017-10-18T15:05:09-0600',mode:absolute,to:'2017-10-18T17:25:11-0600'))&amp;_a=(columns:!('Message%20ID',Summary),filters:!(),index:'emp_*',interval:auto,query:(query_string:(analyze_wildcard:!t,query:'%22rtdc.l.rtdc.4018%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748</v>
      </c>
      <c r="B189" s="7">
        <v>4017</v>
      </c>
      <c r="C189" s="21" t="s">
        <v>194</v>
      </c>
      <c r="D189" s="21" t="s">
        <v>963</v>
      </c>
      <c r="E189" s="13">
        <v>43026.685381944444</v>
      </c>
      <c r="F189" s="13">
        <v>43026.696597222224</v>
      </c>
      <c r="G189" s="7">
        <v>64</v>
      </c>
      <c r="H189" s="21" t="s">
        <v>944</v>
      </c>
      <c r="I189" s="13">
        <v>43026.705104166664</v>
      </c>
      <c r="J189" s="7">
        <v>0</v>
      </c>
      <c r="K189" s="89" t="str">
        <f>IF(ISEVEN(B189),(B189-1)&amp;"/"&amp;B189,B189&amp;"/"&amp;(B189+1))</f>
        <v>4017/4018</v>
      </c>
      <c r="L189" s="185" t="str">
        <f>VLOOKUP(A189,'Trips&amp;Operators'!$C$1:$G$99911,5,FALSE)</f>
        <v>LEVERE CRAIG</v>
      </c>
      <c r="M189" s="6">
        <f>I189-F189</f>
        <v>8.5069444394321181E-3</v>
      </c>
      <c r="N189" s="7">
        <f>24*60*SUM($M189:$M189)</f>
        <v>12.24999999278225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-18T15:26:57-0600',mode:absolute,to:'2017-10-18T17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5.8644999999999996</v>
      </c>
      <c r="Z189" s="204">
        <f>RIGHT(H189,LEN(H189)-4)/10000</f>
        <v>6.9900000000000004E-2</v>
      </c>
      <c r="AA189" s="204">
        <f>ABS(Z189-Y189)</f>
        <v>5.7946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>VALUE(LEFT(A189,LEN(A189)-3))</f>
        <v>830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/stypes="app*4017*20171018*" /stext=" 22:.+((SYSTEM_STATE.+slice.+state.+changed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43"/>
        <v>"%USERPROFILE%\Documents\GitHub\eaglep3\Utilities\RefineRTDCRunTimes.py" --tripid 830-18 --locoid 4017 --swversion DE.1.0.9.0 --startMP 300:58645 --initTime 2017-10-18T16:26:57 --startdatetime 2017-10-18T16:43:06 --delay 64 --endMP 204:699 --enddatetime 2017-10-18T16:55:21 --enforcementcount 0 &gt;&gt;%USERPROFILE%\Documents\GitHub\eaglep3-reporting\EC\2017-10-18-refined-times.txt</v>
      </c>
      <c r="AI189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{"issue":{"subject":"","project_id":79,"tracker_id":40,"status_id":1,"priority_id":2,"assigned_to_id":338,"start_date":"2017-10-18","description":"","custom_fields":[{"id":1,"name":"Subdivision","value":"NW"},{"id":4,"name":"Milepost","value":"0.0699"},{"id":17,"name":"Train ID","value":"830-18"},{"id":16,"name":"Locomotive ID","value":"4017"},{"id":130,"name":"Impact","value":""},{"id":150,"name":"Time of Event (Mountain Time)","value":"16:55:21"},{"id":151,"name":"Denver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45"/>
        <v>start /low /b %USERPROFILE%\Documents\GitHub\eaglep3\Utilities\DownloadLogsFromS3.py --loco 4017 --day 2017-10-18</v>
      </c>
      <c r="AN189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22:55:21"},{"id":29,"name":"Sharepoint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47"/>
        <v>https://d0f6bd738d7f1b3e5a7ca70fe4ff75f0.us-east-1.aws.found.io/app/kibana#/discover/Steve-Slow-Train-Analysis-(2080s-and-2083s)?_g=(refreshInterval:(display:Off,pause:!f,section:0,value:0),time:(from:'2017-10-18T15:26:57-0600',mode:absolute,to:'2017-10-18T17:55:21-0600'))&amp;_a=(columns:!('Message%20ID',Summary),filters:!(),index:'emp_*',interval:auto,query:(query_string:(analyze_wildcard:!t,query:'%22rtdc.l.rtdc.4017%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583</v>
      </c>
      <c r="B190" s="7">
        <v>4036</v>
      </c>
      <c r="C190" s="21" t="s">
        <v>194</v>
      </c>
      <c r="D190" s="21" t="s">
        <v>497</v>
      </c>
      <c r="E190" s="13">
        <v>43026.691655092596</v>
      </c>
      <c r="F190" s="13">
        <v>43026.694155092591</v>
      </c>
      <c r="G190" s="7">
        <v>68</v>
      </c>
      <c r="H190" s="21" t="s">
        <v>977</v>
      </c>
      <c r="I190" s="13">
        <v>43026.704004629632</v>
      </c>
      <c r="J190" s="7">
        <v>0</v>
      </c>
      <c r="K190" s="89" t="str">
        <f>IF(ISEVEN(B190),(B190-1)&amp;"/"&amp;B190,B190&amp;"/"&amp;(B190+1))</f>
        <v>4035/4036</v>
      </c>
      <c r="L190" s="185" t="str">
        <f>VLOOKUP(A190,'Trips&amp;Operators'!$C$1:$G$99911,5,FALSE)</f>
        <v>STAMBAUGH JAMES</v>
      </c>
      <c r="M190" s="6">
        <f>I190-F190</f>
        <v>9.8495370402815752E-3</v>
      </c>
      <c r="N190" s="7">
        <f>24*60*SUM($M190:$M190)</f>
        <v>14.183333338005468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-10-18T15:35:59-0600',mode:absolute,to:'2017-10-18T17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9.5299999999999996E-2</v>
      </c>
      <c r="Z190" s="204">
        <f>RIGHT(H190,LEN(H190)-4)/10000</f>
        <v>5.8939000000000004</v>
      </c>
      <c r="AA190" s="204">
        <f>ABS(Z190-Y190)</f>
        <v>5.7986000000000004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>VALUE(LEFT(A190,LEN(A190)-3))</f>
        <v>831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 &amp; aws s3 cp s3://rtdc.mdm.uploadarchive.raw/RTDC4036/ "%USERPROFILE%\AppData\Local\Temp\OnboardLogs"\RTDC4036\2017-10-19 --exclude "*" --recursive --include "*20171019*" &amp; "%USERPROFILE%\Documents\GitHub\mrs-test-scripts\Headless Mode &amp; Sideloading\WalkAndUnGZ.bat" "%USERPROFILE%\AppData\Local\Temp\OnboardLogs"\RTDC4036\2017-10-19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/stypes="app*4036*20171018*" /stext=" 22:.+((SYSTEM_STATE.+slice.+state.+changed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43"/>
        <v>"%USERPROFILE%\Documents\GitHub\eaglep3\Utilities\RefineRTDCRunTimes.py" --tripid 831-18 --locoid 4036 --swversion DE.1.0.9.0 --startMP 204:953 --initTime 2017-10-18T16:35:59 --startdatetime 2017-10-18T16:39:35 --delay 68 --endMP 300:58939 --enddatetime 2017-10-18T16:53:46 --enforcementcount 0 &gt;&gt;%USERPROFILE%\Documents\GitHub\eaglep3-reporting\EC\2017-10-18-refined-times.txt</v>
      </c>
      <c r="AI190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{"issue":{"subject":"","project_id":79,"tracker_id":40,"status_id":1,"priority_id":2,"assigned_to_id":338,"start_date":"2017-10-18","description":"","custom_fields":[{"id":1,"name":"Subdivision","value":"NW"},{"id":4,"name":"Milepost","value":"5.8939"},{"id":17,"name":"Train ID","value":"831-18"},{"id":16,"name":"Locomotive ID","value":"4036"},{"id":130,"name":"Impact","value":""},{"id":150,"name":"Time of Event (Mountain Time)","value":"16:53:46"},{"id":151,"name":"Denver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45"/>
        <v>start /low /b %USERPROFILE%\Documents\GitHub\eaglep3\Utilities\DownloadLogsFromS3.py --loco 4036 --day 2017-10-18</v>
      </c>
      <c r="AN190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22:53:46"},{"id":29,"name":"Sharepoint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47"/>
        <v>https://d0f6bd738d7f1b3e5a7ca70fe4ff75f0.us-east-1.aws.found.io/app/kibana#/discover/Steve-Slow-Train-Analysis-(2080s-and-2083s)?_g=(refreshInterval:(display:Off,pause:!f,section:0,value:0),time:(from:'2017-10-18T15:35:59-0600',mode:absolute,to:'2017-10-18T17:53:46-0600'))&amp;_a=(columns:!('Message%20ID',Summary),filters:!(),index:'emp_*',interval:auto,query:(query_string:(analyze_wildcard:!t,query:'%22rtdc.l.rtdc.4036%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585</v>
      </c>
      <c r="B191" s="7">
        <v>4035</v>
      </c>
      <c r="C191" s="21" t="s">
        <v>194</v>
      </c>
      <c r="D191" s="21" t="s">
        <v>978</v>
      </c>
      <c r="E191" s="13">
        <v>43026.705196759256</v>
      </c>
      <c r="F191" s="13">
        <v>43026.717291666668</v>
      </c>
      <c r="G191" s="7">
        <v>63</v>
      </c>
      <c r="H191" s="21" t="s">
        <v>537</v>
      </c>
      <c r="I191" s="13">
        <v>43026.725787037038</v>
      </c>
      <c r="J191" s="7">
        <v>0</v>
      </c>
      <c r="K191" s="89" t="str">
        <f>IF(ISEVEN(B191),(B191-1)&amp;"/"&amp;B191,B191&amp;"/"&amp;(B191+1))</f>
        <v>4035/4036</v>
      </c>
      <c r="L191" s="185" t="str">
        <f>VLOOKUP(A191,'Trips&amp;Operators'!$C$1:$G$99911,5,FALSE)</f>
        <v>STAMBAUGH JAMES</v>
      </c>
      <c r="M191" s="6">
        <f>I191-F191</f>
        <v>8.4953703699284233E-3</v>
      </c>
      <c r="N191" s="7">
        <f>24*60*SUM($M191:$M191)</f>
        <v>12.23333333269693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-18T15:55:29-0600',mode:absolute,to:'2017-10-18T18:25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5.8615000000000004</v>
      </c>
      <c r="Z191" s="204">
        <f>RIGHT(H191,LEN(H191)-4)/10000</f>
        <v>6.8500000000000005E-2</v>
      </c>
      <c r="AA191" s="204">
        <f>ABS(Z191-Y191)</f>
        <v>5.7930000000000001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>VALUE(LEFT(A191,LEN(A191)-3))</f>
        <v>832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 &amp; aws s3 cp s3://rtdc.mdm.uploadarchive.raw/RTDC4035/ "%USERPROFILE%\AppData\Local\Temp\OnboardLogs"\RTDC4035\2017-10-19 --exclude "*" --recursive --include "*20171019*" &amp; "%USERPROFILE%\Documents\GitHub\mrs-test-scripts\Headless Mode &amp; Sideloading\WalkAndUnGZ.bat" "%USERPROFILE%\AppData\Local\Temp\OnboardLogs"\RTDC4035\2017-10-19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/stypes="app*4035*20171018*" /stext=" 23:.+((SYSTEM_STATE.+slice.+state.+changed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43"/>
        <v>"%USERPROFILE%\Documents\GitHub\eaglep3\Utilities\RefineRTDCRunTimes.py" --tripid 832-18 --locoid 4035 --swversion DE.1.0.9.0 --startMP 300:58615 --initTime 2017-10-18T16:55:29 --startdatetime 2017-10-18T17:12:54 --delay 63 --endMP 204:685 --enddatetime 2017-10-18T17:25:08 --enforcementcount 0 &gt;&gt;%USERPROFILE%\Documents\GitHub\eaglep3-reporting\EC\2017-10-18-refined-times.txt</v>
      </c>
      <c r="AI191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{"issue":{"subject":"","project_id":79,"tracker_id":40,"status_id":1,"priority_id":2,"assigned_to_id":338,"start_date":"2017-10-18","description":"","custom_fields":[{"id":1,"name":"Subdivision","value":"NW"},{"id":4,"name":"Milepost","value":"0.0685"},{"id":17,"name":"Train ID","value":"832-18"},{"id":16,"name":"Locomotive ID","value":"4035"},{"id":130,"name":"Impact","value":""},{"id":150,"name":"Time of Event (Mountain Time)","value":"17:25:08"},{"id":151,"name":"Denver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45"/>
        <v>start /low /b %USERPROFILE%\Documents\GitHub\eaglep3\Utilities\DownloadLogsFromS3.py --loco 4035 --day 2017-10-18</v>
      </c>
      <c r="AN191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23:25:08"},{"id":29,"name":"Sharepoint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47"/>
        <v>https://d0f6bd738d7f1b3e5a7ca70fe4ff75f0.us-east-1.aws.found.io/app/kibana#/discover/Steve-Slow-Train-Analysis-(2080s-and-2083s)?_g=(refreshInterval:(display:Off,pause:!f,section:0,value:0),time:(from:'2017-10-18T15:55:29-0600',mode:absolute,to:'2017-10-18T18:25:08-0600'))&amp;_a=(columns:!('Message%20ID',Summary),filters:!(),index:'emp_*',interval:auto,query:(query_string:(analyze_wildcard:!t,query:'%22rtdc.l.rtdc.4035%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753</v>
      </c>
      <c r="B192" s="7">
        <v>4018</v>
      </c>
      <c r="C192" s="21" t="s">
        <v>194</v>
      </c>
      <c r="D192" s="21" t="s">
        <v>961</v>
      </c>
      <c r="E192" s="13">
        <v>43026.708541666667</v>
      </c>
      <c r="F192" s="13">
        <v>43026.714768518519</v>
      </c>
      <c r="G192" s="7">
        <v>77</v>
      </c>
      <c r="H192" s="21" t="s">
        <v>979</v>
      </c>
      <c r="I192" s="13">
        <v>43026.726157407407</v>
      </c>
      <c r="J192" s="7">
        <v>0</v>
      </c>
      <c r="K192" s="89" t="str">
        <f>IF(ISEVEN(B192),(B192-1)&amp;"/"&amp;B192,B192&amp;"/"&amp;(B192+1))</f>
        <v>4017/4018</v>
      </c>
      <c r="L192" s="185" t="str">
        <f>VLOOKUP(A192,'Trips&amp;Operators'!$C$1:$G$99911,5,FALSE)</f>
        <v>LEVERE CRAIG</v>
      </c>
      <c r="M192" s="6">
        <f>I192-F192</f>
        <v>1.1388888888177462E-2</v>
      </c>
      <c r="N192" s="7">
        <f>24*60*SUM($M192:$M192)</f>
        <v>16.399999998975545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-10-18T16:00:18-0600',mode:absolute,to:'2017-10-18T18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9.8500000000000004E-2</v>
      </c>
      <c r="Z192" s="204">
        <f>RIGHT(H192,LEN(H192)-4)/10000</f>
        <v>5.8948</v>
      </c>
      <c r="AA192" s="204">
        <f>ABS(Z192-Y192)</f>
        <v>5.7963000000000005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>VALUE(LEFT(A192,LEN(A192)-3))</f>
        <v>833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/stypes="app*4018*20171018*" /stext=" 23:.+((SYSTEM_STATE.+slice.+state.+changed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43"/>
        <v>"%USERPROFILE%\Documents\GitHub\eaglep3\Utilities\RefineRTDCRunTimes.py" --tripid 833-18 --locoid 4018 --swversion DE.1.0.9.0 --startMP 204:985 --initTime 2017-10-18T17:00:18 --startdatetime 2017-10-18T17:09:16 --delay 77 --endMP 300:58948 --enddatetime 2017-10-18T17:25:40 --enforcementcount 0 &gt;&gt;%USERPROFILE%\Documents\GitHub\eaglep3-reporting\EC\2017-10-18-refined-times.txt</v>
      </c>
      <c r="AI192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{"issue":{"subject":"","project_id":79,"tracker_id":40,"status_id":1,"priority_id":2,"assigned_to_id":338,"start_date":"2017-10-18","description":"","custom_fields":[{"id":1,"name":"Subdivision","value":"NW"},{"id":4,"name":"Milepost","value":"5.8948"},{"id":17,"name":"Train ID","value":"833-18"},{"id":16,"name":"Locomotive ID","value":"4018"},{"id":130,"name":"Impact","value":""},{"id":150,"name":"Time of Event (Mountain Time)","value":"17:25:40"},{"id":151,"name":"Denver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45"/>
        <v>start /low /b %USERPROFILE%\Documents\GitHub\eaglep3\Utilities\DownloadLogsFromS3.py --loco 4018 --day 2017-10-18</v>
      </c>
      <c r="AN192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23:25:40"},{"id":29,"name":"Sharepoint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47"/>
        <v>https://d0f6bd738d7f1b3e5a7ca70fe4ff75f0.us-east-1.aws.found.io/app/kibana#/discover/Steve-Slow-Train-Analysis-(2080s-and-2083s)?_g=(refreshInterval:(display:Off,pause:!f,section:0,value:0),time:(from:'2017-10-18T16:00:18-0600',mode:absolute,to:'2017-10-18T18:25:40-0600'))&amp;_a=(columns:!('Message%20ID',Summary),filters:!(),index:'emp_*',interval:auto,query:(query_string:(analyze_wildcard:!t,query:'%22rtdc.l.rtdc.4018%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760</v>
      </c>
      <c r="B193" s="7">
        <v>4017</v>
      </c>
      <c r="C193" s="21" t="s">
        <v>194</v>
      </c>
      <c r="D193" s="21" t="s">
        <v>980</v>
      </c>
      <c r="E193" s="13">
        <v>43026.727465277778</v>
      </c>
      <c r="F193" s="13">
        <v>43026.737905092596</v>
      </c>
      <c r="G193" s="7">
        <v>77</v>
      </c>
      <c r="H193" s="21" t="s">
        <v>935</v>
      </c>
      <c r="I193" s="13">
        <v>43026.747430555559</v>
      </c>
      <c r="J193" s="7">
        <v>0</v>
      </c>
      <c r="K193" s="89" t="str">
        <f>IF(ISEVEN(B193),(B193-1)&amp;"/"&amp;B193,B193&amp;"/"&amp;(B193+1))</f>
        <v>4017/4018</v>
      </c>
      <c r="L193" s="185" t="str">
        <f>VLOOKUP(A193,'Trips&amp;Operators'!$C$1:$G$99911,5,FALSE)</f>
        <v>LEVERE CRAIG</v>
      </c>
      <c r="M193" s="6">
        <f>I193-F193</f>
        <v>9.5254629632108845E-3</v>
      </c>
      <c r="N193" s="7">
        <f>24*60*SUM($M193:$M193)</f>
        <v>13.716666667023674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-18T16:27:33-0600',mode:absolute,to:'2017-10-18T18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5.8625999999999996</v>
      </c>
      <c r="Z193" s="204">
        <f>RIGHT(H193,LEN(H193)-4)/10000</f>
        <v>7.0099999999999996E-2</v>
      </c>
      <c r="AA193" s="204">
        <f>ABS(Z193-Y193)</f>
        <v>5.7924999999999995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>VALUE(LEFT(A193,LEN(A193)-3))</f>
        <v>834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/stypes="app*4017*20171018*" /stext=" 23:.+((SYSTEM_STATE.+slice.+state.+changed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43"/>
        <v>"%USERPROFILE%\Documents\GitHub\eaglep3\Utilities\RefineRTDCRunTimes.py" --tripid 834-18 --locoid 4017 --swversion DE.1.0.9.0 --startMP 300:58626 --initTime 2017-10-18T17:27:33 --startdatetime 2017-10-18T17:42:35 --delay 77 --endMP 204:701 --enddatetime 2017-10-18T17:56:18 --enforcementcount 0 &gt;&gt;%USERPROFILE%\Documents\GitHub\eaglep3-reporting\EC\2017-10-18-refined-times.txt</v>
      </c>
      <c r="AI193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{"issue":{"subject":"","project_id":79,"tracker_id":40,"status_id":1,"priority_id":2,"assigned_to_id":338,"start_date":"2017-10-18","description":"","custom_fields":[{"id":1,"name":"Subdivision","value":"NW"},{"id":4,"name":"Milepost","value":"0.0701"},{"id":17,"name":"Train ID","value":"834-18"},{"id":16,"name":"Locomotive ID","value":"4017"},{"id":130,"name":"Impact","value":""},{"id":150,"name":"Time of Event (Mountain Time)","value":"17:56:18"},{"id":151,"name":"Denver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45"/>
        <v>start /low /b %USERPROFILE%\Documents\GitHub\eaglep3\Utilities\DownloadLogsFromS3.py --loco 4017 --day 2017-10-18</v>
      </c>
      <c r="AN193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23:56:18"},{"id":29,"name":"Sharepoint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47"/>
        <v>https://d0f6bd738d7f1b3e5a7ca70fe4ff75f0.us-east-1.aws.found.io/app/kibana#/discover/Steve-Slow-Train-Analysis-(2080s-and-2083s)?_g=(refreshInterval:(display:Off,pause:!f,section:0,value:0),time:(from:'2017-10-18T16:27:33-0600',mode:absolute,to:'2017-10-18T18:56:18-0600'))&amp;_a=(columns:!('Message%20ID',Summary),filters:!(),index:'emp_*',interval:auto,query:(query_string:(analyze_wildcard:!t,query:'%22rtdc.l.rtdc.4017%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761</v>
      </c>
      <c r="B194" s="7">
        <v>4036</v>
      </c>
      <c r="C194" s="21" t="s">
        <v>194</v>
      </c>
      <c r="D194" s="21" t="s">
        <v>981</v>
      </c>
      <c r="E194" s="13">
        <v>43026.732986111114</v>
      </c>
      <c r="F194" s="13">
        <v>43026.735914351855</v>
      </c>
      <c r="G194" s="7">
        <v>53</v>
      </c>
      <c r="H194" s="21" t="s">
        <v>937</v>
      </c>
      <c r="I194" s="13">
        <v>43026.745659722219</v>
      </c>
      <c r="J194" s="7">
        <v>0</v>
      </c>
      <c r="K194" s="89" t="str">
        <f>IF(ISEVEN(B194),(B194-1)&amp;"/"&amp;B194,B194&amp;"/"&amp;(B194+1))</f>
        <v>4035/4036</v>
      </c>
      <c r="L194" s="185" t="str">
        <f>VLOOKUP(A194,'Trips&amp;Operators'!$C$1:$G$99911,5,FALSE)</f>
        <v>STAMBAUGH JAMES</v>
      </c>
      <c r="M194" s="6">
        <f>I194-F194</f>
        <v>9.7453703638166189E-3</v>
      </c>
      <c r="N194" s="7">
        <f>24*60*SUM($M194:$M194)</f>
        <v>14.033333323895931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-18T16:35:30-0600',mode:absolute,to:'2017-10-18T18:53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9.5100000000000004E-2</v>
      </c>
      <c r="Z194" s="204">
        <f>RIGHT(H194,LEN(H194)-4)/10000</f>
        <v>5.8973000000000004</v>
      </c>
      <c r="AA194" s="204">
        <f>ABS(Z194-Y194)</f>
        <v>5.8022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>VALUE(LEFT(A194,LEN(A194)-3))</f>
        <v>835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 &amp; aws s3 cp s3://rtdc.mdm.uploadarchive.raw/RTDC4036/ "%USERPROFILE%\AppData\Local\Temp\OnboardLogs"\RTDC4036\2017-10-19 --exclude "*" --recursive --include "*20171019*" &amp; "%USERPROFILE%\Documents\GitHub\mrs-test-scripts\Headless Mode &amp; Sideloading\WalkAndUnGZ.bat" "%USERPROFILE%\AppData\Local\Temp\OnboardLogs"\RTDC4036\2017-10-19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/stypes="app*4036*20171018*" /stext=" 23:.+((SYSTEM_STATE.+slice.+state.+changed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43"/>
        <v>"%USERPROFILE%\Documents\GitHub\eaglep3\Utilities\RefineRTDCRunTimes.py" --tripid 835-18 --locoid 4036 --swversion DE.1.0.9.0 --startMP 204:951 --initTime 2017-10-18T17:35:30 --startdatetime 2017-10-18T17:39:43 --delay 53 --endMP 300:58973 --enddatetime 2017-10-18T17:53:45 --enforcementcount 0 &gt;&gt;%USERPROFILE%\Documents\GitHub\eaglep3-reporting\EC\2017-10-18-refined-times.txt</v>
      </c>
      <c r="AI194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{"issue":{"subject":"","project_id":79,"tracker_id":40,"status_id":1,"priority_id":2,"assigned_to_id":338,"start_date":"2017-10-18","description":"","custom_fields":[{"id":1,"name":"Subdivision","value":"NW"},{"id":4,"name":"Milepost","value":"5.8973"},{"id":17,"name":"Train ID","value":"835-18"},{"id":16,"name":"Locomotive ID","value":"4036"},{"id":130,"name":"Impact","value":""},{"id":150,"name":"Time of Event (Mountain Time)","value":"17:53:45"},{"id":151,"name":"Denver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45"/>
        <v>start /low /b %USERPROFILE%\Documents\GitHub\eaglep3\Utilities\DownloadLogsFromS3.py --loco 4036 --day 2017-10-18</v>
      </c>
      <c r="AN194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23:53:45"},{"id":29,"name":"Sharepoint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47"/>
        <v>https://d0f6bd738d7f1b3e5a7ca70fe4ff75f0.us-east-1.aws.found.io/app/kibana#/discover/Steve-Slow-Train-Analysis-(2080s-and-2083s)?_g=(refreshInterval:(display:Off,pause:!f,section:0,value:0),time:(from:'2017-10-18T16:35:30-0600',mode:absolute,to:'2017-10-18T18:53:45-0600'))&amp;_a=(columns:!('Message%20ID',Summary),filters:!(),index:'emp_*',interval:auto,query:(query_string:(analyze_wildcard:!t,query:'%22rtdc.l.rtdc.4036%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767</v>
      </c>
      <c r="B195" s="7">
        <v>4035</v>
      </c>
      <c r="C195" s="21" t="s">
        <v>194</v>
      </c>
      <c r="D195" s="21" t="s">
        <v>959</v>
      </c>
      <c r="E195" s="13">
        <v>43026.747152777774</v>
      </c>
      <c r="F195" s="13">
        <v>43026.758587962962</v>
      </c>
      <c r="G195" s="7">
        <v>66</v>
      </c>
      <c r="H195" s="21" t="s">
        <v>982</v>
      </c>
      <c r="I195" s="13">
        <v>43026.767337962963</v>
      </c>
      <c r="J195" s="7">
        <v>0</v>
      </c>
      <c r="K195" s="89" t="str">
        <f>IF(ISEVEN(B195),(B195-1)&amp;"/"&amp;B195,B195&amp;"/"&amp;(B195+1))</f>
        <v>4035/4036</v>
      </c>
      <c r="L195" s="185" t="str">
        <f>VLOOKUP(A195,'Trips&amp;Operators'!$C$1:$G$99911,5,FALSE)</f>
        <v>STAMBAUGH JAMES</v>
      </c>
      <c r="M195" s="6">
        <f>I195-F195</f>
        <v>8.7500000008731149E-3</v>
      </c>
      <c r="N195" s="7">
        <f>24*60*SUM($M195:$M195)</f>
        <v>12.600000001257285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-10-18T16:55:54-0600',mode:absolute,to:'2017-10-18T19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f>RIGHT(D195,LEN(D195)-4)/10000</f>
        <v>5.8655999999999997</v>
      </c>
      <c r="Z195" s="204">
        <f>RIGHT(H195,LEN(H195)-4)/10000</f>
        <v>6.7699999999999996E-2</v>
      </c>
      <c r="AA195" s="204">
        <f>ABS(Z195-Y195)</f>
        <v>5.7978999999999994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>VALUE(LEFT(A195,LEN(A195)-3))</f>
        <v>836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 &amp; aws s3 cp s3://rtdc.mdm.uploadarchive.raw/RTDC4035/ "%USERPROFILE%\AppData\Local\Temp\OnboardLogs"\RTDC4035\2017-10-19 --exclude "*" --recursive --include "*20171019*" &amp; "%USERPROFILE%\Documents\GitHub\mrs-test-scripts\Headless Mode &amp; Sideloading\WalkAndUnGZ.bat" "%USERPROFILE%\AppData\Local\Temp\OnboardLogs"\RTDC4035\2017-10-19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/stypes="app*4035*20171019*" /stext=" 00:.+((SYSTEM_STATE.+slice.+state.+changed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si="43"/>
        <v>"%USERPROFILE%\Documents\GitHub\eaglep3\Utilities\RefineRTDCRunTimes.py" --tripid 836-18 --locoid 4035 --swversion DE.1.0.9.0 --startMP 300:58656 --initTime 2017-10-18T17:55:54 --startdatetime 2017-10-18T18:12:22 --delay 66 --endMP 204:677 --enddatetime 2017-10-18T18:24:58 --enforcementcount 0 &gt;&gt;%USERPROFILE%\Documents\GitHub\eaglep3-reporting\EC\2017-10-18-refined-times.txt</v>
      </c>
      <c r="AI195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{"issue":{"subject":"","project_id":79,"tracker_id":40,"status_id":1,"priority_id":2,"assigned_to_id":338,"start_date":"2017-10-18","description":"","custom_fields":[{"id":1,"name":"Subdivision","value":"NW"},{"id":4,"name":"Milepost","value":"0.0677"},{"id":17,"name":"Train ID","value":"836-18"},{"id":16,"name":"Locomotive ID","value":"4035"},{"id":130,"name":"Impact","value":""},{"id":150,"name":"Time of Event (Mountain Time)","value":"18:24:58"},{"id":151,"name":"Denver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45"/>
        <v>start /low /b %USERPROFILE%\Documents\GitHub\eaglep3\Utilities\DownloadLogsFromS3.py --loco 4035 --day 2017-10-18</v>
      </c>
      <c r="AN195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00:24:58"},{"id":29,"name":"Sharepoint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47"/>
        <v>https://d0f6bd738d7f1b3e5a7ca70fe4ff75f0.us-east-1.aws.found.io/app/kibana#/discover/Steve-Slow-Train-Analysis-(2080s-and-2083s)?_g=(refreshInterval:(display:Off,pause:!f,section:0,value:0),time:(from:'2017-10-18T16:55:54-0600',mode:absolute,to:'2017-10-18T19:24:58-0600'))&amp;_a=(columns:!('Message%20ID',Summary),filters:!(),index:'emp_*',interval:auto,query:(query_string:(analyze_wildcard:!t,query:'%22rtdc.l.rtdc.4035%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770</v>
      </c>
      <c r="B196" s="7">
        <v>4018</v>
      </c>
      <c r="C196" s="21" t="s">
        <v>194</v>
      </c>
      <c r="D196" s="21" t="s">
        <v>983</v>
      </c>
      <c r="E196" s="13">
        <v>43026.751562500001</v>
      </c>
      <c r="F196" s="13">
        <v>43026.756423611114</v>
      </c>
      <c r="G196" s="7">
        <v>83</v>
      </c>
      <c r="H196" s="21" t="s">
        <v>495</v>
      </c>
      <c r="I196" s="13">
        <v>43026.767326388886</v>
      </c>
      <c r="J196" s="7">
        <v>0</v>
      </c>
      <c r="K196" s="89" t="str">
        <f>IF(ISEVEN(B196),(B196-1)&amp;"/"&amp;B196,B196&amp;"/"&amp;(B196+1))</f>
        <v>4017/4018</v>
      </c>
      <c r="L196" s="185" t="str">
        <f>VLOOKUP(A196,'Trips&amp;Operators'!$C$1:$G$99911,5,FALSE)</f>
        <v>LEVERE CRAIG</v>
      </c>
      <c r="M196" s="6">
        <f>I196-F196</f>
        <v>1.0902777772571426E-2</v>
      </c>
      <c r="N196" s="7">
        <f>24*60*SUM($M196:$M196)</f>
        <v>15.699999992502853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-18T17:02:15-0600',mode:absolute,to:'2017-10-18T19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6" s="204" t="str">
        <f>IF(AA196&lt;VLOOKUP(AG196,Variables!$AC$3:$AD$8,2,FALSE),"Y","N")</f>
        <v>N</v>
      </c>
      <c r="X196" s="204">
        <f>VALUE(LEFT(AD196,4))-VALUE(LEFT(AD195,4))</f>
        <v>1</v>
      </c>
      <c r="Y196" s="204">
        <f>RIGHT(D196,LEN(D196)-4)/10000</f>
        <v>9.7100000000000006E-2</v>
      </c>
      <c r="Z196" s="204">
        <f>RIGHT(H196,LEN(H196)-4)/10000</f>
        <v>5.8954000000000004</v>
      </c>
      <c r="AA196" s="204">
        <f>ABS(Z196-Y196)</f>
        <v>5.7983000000000002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>VALUE(LEFT(A196,LEN(A196)-3))</f>
        <v>837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/stypes="app*4018*20171019*" /stext=" 00:.+((SYSTEM_STATE.+slice.+state.+changed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si="43"/>
        <v>"%USERPROFILE%\Documents\GitHub\eaglep3\Utilities\RefineRTDCRunTimes.py" --tripid 837-18 --locoid 4018 --swversion DE.1.0.9.0 --startMP 204:971 --initTime 2017-10-18T18:02:15 --startdatetime 2017-10-18T18:09:15 --delay 83 --endMP 300:58954 --enddatetime 2017-10-18T18:24:57 --enforcementcount 0 &gt;&gt;%USERPROFILE%\Documents\GitHub\eaglep3-reporting\EC\2017-10-18-refined-times.txt</v>
      </c>
      <c r="AI196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{"issue":{"subject":"","project_id":79,"tracker_id":40,"status_id":1,"priority_id":2,"assigned_to_id":338,"start_date":"2017-10-18","description":"","custom_fields":[{"id":1,"name":"Subdivision","value":"NW"},{"id":4,"name":"Milepost","value":"5.8954"},{"id":17,"name":"Train ID","value":"837-18"},{"id":16,"name":"Locomotive ID","value":"4018"},{"id":130,"name":"Impact","value":""},{"id":150,"name":"Time of Event (Mountain Time)","value":"18:24:57"},{"id":151,"name":"Denver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45"/>
        <v>start /low /b %USERPROFILE%\Documents\GitHub\eaglep3\Utilities\DownloadLogsFromS3.py --loco 4018 --day 2017-10-18</v>
      </c>
      <c r="AN196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00:24:57"},{"id":29,"name":"Sharepoint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47"/>
        <v>https://d0f6bd738d7f1b3e5a7ca70fe4ff75f0.us-east-1.aws.found.io/app/kibana#/discover/Steve-Slow-Train-Analysis-(2080s-and-2083s)?_g=(refreshInterval:(display:Off,pause:!f,section:0,value:0),time:(from:'2017-10-18T17:02:15-0600',mode:absolute,to:'2017-10-18T19:24:57-0600'))&amp;_a=(columns:!('Message%20ID',Summary),filters:!(),index:'emp_*',interval:auto,query:(query_string:(analyze_wildcard:!t,query:'%22rtdc.l.rtdc.4018%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771</v>
      </c>
      <c r="B197" s="7">
        <v>4017</v>
      </c>
      <c r="C197" s="21" t="s">
        <v>194</v>
      </c>
      <c r="D197" s="21" t="s">
        <v>963</v>
      </c>
      <c r="E197" s="13">
        <v>43026.768796296295</v>
      </c>
      <c r="F197" s="13">
        <v>43026.77957175926</v>
      </c>
      <c r="G197" s="7">
        <v>66</v>
      </c>
      <c r="H197" s="21" t="s">
        <v>984</v>
      </c>
      <c r="I197" s="13">
        <v>43026.789641203701</v>
      </c>
      <c r="J197" s="7">
        <v>0</v>
      </c>
      <c r="K197" s="89" t="str">
        <f>IF(ISEVEN(B197),(B197-1)&amp;"/"&amp;B197,B197&amp;"/"&amp;(B197+1))</f>
        <v>4017/4018</v>
      </c>
      <c r="L197" s="185" t="str">
        <f>VLOOKUP(A197,'Trips&amp;Operators'!$C$1:$G$99911,5,FALSE)</f>
        <v>LEVERE CRAIG</v>
      </c>
      <c r="M197" s="6">
        <f>I197-F197</f>
        <v>1.006944444088731E-2</v>
      </c>
      <c r="N197" s="7">
        <f>24*60*SUM($M197:$M197)</f>
        <v>14.499999994877726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-10-18T17:27:04-0600',mode:absolute,to:'2017-10-18T19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7" s="204" t="str">
        <f>IF(AA197&lt;VLOOKUP(AG197,Variables!$AC$3:$AD$8,2,FALSE),"Y","N")</f>
        <v>N</v>
      </c>
      <c r="X197" s="204">
        <f>VALUE(LEFT(AD197,4))-VALUE(LEFT(AD196,4))</f>
        <v>1</v>
      </c>
      <c r="Y197" s="204">
        <f>RIGHT(D197,LEN(D197)-4)/10000</f>
        <v>5.8644999999999996</v>
      </c>
      <c r="Z197" s="204">
        <f>RIGHT(H197,LEN(H197)-4)/10000</f>
        <v>6.8900000000000003E-2</v>
      </c>
      <c r="AA197" s="204">
        <f>ABS(Z197-Y197)</f>
        <v>5.7955999999999994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>VALUE(LEFT(A197,LEN(A197)-3))</f>
        <v>838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/stypes="app*4017*20171019*" /stext=" 00:.+((SYSTEM_STATE.+slice.+state.+changed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43"/>
        <v>"%USERPROFILE%\Documents\GitHub\eaglep3\Utilities\RefineRTDCRunTimes.py" --tripid 838-18 --locoid 4017 --swversion DE.1.0.9.0 --startMP 300:58645 --initTime 2017-10-18T18:27:04 --startdatetime 2017-10-18T18:42:35 --delay 66 --endMP 204:689 --enddatetime 2017-10-18T18:57:05 --enforcementcount 0 &gt;&gt;%USERPROFILE%\Documents\GitHub\eaglep3-reporting\EC\2017-10-18-refined-times.txt</v>
      </c>
      <c r="AI197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{"issue":{"subject":"","project_id":79,"tracker_id":40,"status_id":1,"priority_id":2,"assigned_to_id":338,"start_date":"2017-10-18","description":"","custom_fields":[{"id":1,"name":"Subdivision","value":"NW"},{"id":4,"name":"Milepost","value":"0.0689"},{"id":17,"name":"Train ID","value":"838-18"},{"id":16,"name":"Locomotive ID","value":"4017"},{"id":130,"name":"Impact","value":""},{"id":150,"name":"Time of Event (Mountain Time)","value":"18:57:05"},{"id":151,"name":"Denver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45"/>
        <v>start /low /b %USERPROFILE%\Documents\GitHub\eaglep3\Utilities\DownloadLogsFromS3.py --loco 4017 --day 2017-10-18</v>
      </c>
      <c r="AN197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00:57:05"},{"id":29,"name":"Sharepoint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47"/>
        <v>https://d0f6bd738d7f1b3e5a7ca70fe4ff75f0.us-east-1.aws.found.io/app/kibana#/discover/Steve-Slow-Train-Analysis-(2080s-and-2083s)?_g=(refreshInterval:(display:Off,pause:!f,section:0,value:0),time:(from:'2017-10-18T17:27:04-0600',mode:absolute,to:'2017-10-18T19:57:05-0600'))&amp;_a=(columns:!('Message%20ID',Summary),filters:!(),index:'emp_*',interval:auto,query:(query_string:(analyze_wildcard:!t,query:'%22rtdc.l.rtdc.4017%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588</v>
      </c>
      <c r="B198" s="7">
        <v>4036</v>
      </c>
      <c r="C198" s="21" t="s">
        <v>194</v>
      </c>
      <c r="D198" s="21" t="s">
        <v>497</v>
      </c>
      <c r="E198" s="13">
        <v>43026.774606481478</v>
      </c>
      <c r="F198" s="13">
        <v>43026.777280092596</v>
      </c>
      <c r="G198" s="7">
        <v>46</v>
      </c>
      <c r="H198" s="21" t="s">
        <v>985</v>
      </c>
      <c r="I198" s="13">
        <v>43026.787557870368</v>
      </c>
      <c r="J198" s="7">
        <v>0</v>
      </c>
      <c r="K198" s="89" t="str">
        <f>IF(ISEVEN(B198),(B198-1)&amp;"/"&amp;B198,B198&amp;"/"&amp;(B198+1))</f>
        <v>4035/4036</v>
      </c>
      <c r="L198" s="185" t="str">
        <f>VLOOKUP(A198,'Trips&amp;Operators'!$C$1:$G$99911,5,FALSE)</f>
        <v>STAMBAUGH JAMES</v>
      </c>
      <c r="M198" s="6">
        <f>I198-F198</f>
        <v>1.0277777771989349E-2</v>
      </c>
      <c r="N198" s="7">
        <f>24*60*SUM($M198:$M198)</f>
        <v>14.799999991664663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-10-18T17:35:26-0600',mode:absolute,to:'2017-10-18T19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8" s="204" t="str">
        <f>IF(AA198&lt;VLOOKUP(AG198,Variables!$AC$3:$AD$8,2,FALSE),"Y","N")</f>
        <v>N</v>
      </c>
      <c r="X198" s="204">
        <f>VALUE(LEFT(AD198,4))-VALUE(LEFT(AD197,4))</f>
        <v>1</v>
      </c>
      <c r="Y198" s="204">
        <f>RIGHT(D198,LEN(D198)-4)/10000</f>
        <v>9.5299999999999996E-2</v>
      </c>
      <c r="Z198" s="204">
        <f>RIGHT(H198,LEN(H198)-4)/10000</f>
        <v>5.8887999999999998</v>
      </c>
      <c r="AA198" s="204">
        <f>ABS(Z198-Y198)</f>
        <v>5.7934999999999999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>VALUE(LEFT(A198,LEN(A198)-3))</f>
        <v>839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 &amp; aws s3 cp s3://rtdc.mdm.uploadarchive.raw/RTDC4036/ "%USERPROFILE%\AppData\Local\Temp\OnboardLogs"\RTDC4036\2017-10-19 --exclude "*" --recursive --include "*20171019*" &amp; "%USERPROFILE%\Documents\GitHub\mrs-test-scripts\Headless Mode &amp; Sideloading\WalkAndUnGZ.bat" "%USERPROFILE%\AppData\Local\Temp\OnboardLogs"\RTDC4036\2017-10-19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/stypes="app*4036*20171019*" /stext=" 00:.+((SYSTEM_STATE.+slice.+state.+changed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si="43"/>
        <v>"%USERPROFILE%\Documents\GitHub\eaglep3\Utilities\RefineRTDCRunTimes.py" --tripid 839-18 --locoid 4036 --swversion DE.1.0.9.0 --startMP 204:953 --initTime 2017-10-18T18:35:26 --startdatetime 2017-10-18T18:39:17 --delay 46 --endMP 300:58888 --enddatetime 2017-10-18T18:54:05 --enforcementcount 0 &gt;&gt;%USERPROFILE%\Documents\GitHub\eaglep3-reporting\EC\2017-10-18-refined-times.txt</v>
      </c>
      <c r="AI198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{"issue":{"subject":"","project_id":79,"tracker_id":40,"status_id":1,"priority_id":2,"assigned_to_id":338,"start_date":"2017-10-18","description":"","custom_fields":[{"id":1,"name":"Subdivision","value":"NW"},{"id":4,"name":"Milepost","value":"5.8888"},{"id":17,"name":"Train ID","value":"839-18"},{"id":16,"name":"Locomotive ID","value":"4036"},{"id":130,"name":"Impact","value":""},{"id":150,"name":"Time of Event (Mountain Time)","value":"18:54:05"},{"id":151,"name":"Denver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45"/>
        <v>start /low /b %USERPROFILE%\Documents\GitHub\eaglep3\Utilities\DownloadLogsFromS3.py --loco 4036 --day 2017-10-18</v>
      </c>
      <c r="AN198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00:54:05"},{"id":29,"name":"Sharepoint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47"/>
        <v>https://d0f6bd738d7f1b3e5a7ca70fe4ff75f0.us-east-1.aws.found.io/app/kibana#/discover/Steve-Slow-Train-Analysis-(2080s-and-2083s)?_g=(refreshInterval:(display:Off,pause:!f,section:0,value:0),time:(from:'2017-10-18T17:35:26-0600',mode:absolute,to:'2017-10-18T19:54:05-0600'))&amp;_a=(columns:!('Message%20ID',Summary),filters:!(),index:'emp_*',interval:auto,query:(query_string:(analyze_wildcard:!t,query:'%22rtdc.l.rtdc.4036%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782</v>
      </c>
      <c r="B199" s="7">
        <v>4017</v>
      </c>
      <c r="C199" s="21" t="s">
        <v>194</v>
      </c>
      <c r="D199" s="21" t="s">
        <v>978</v>
      </c>
      <c r="E199" s="13">
        <v>43026.810520833336</v>
      </c>
      <c r="F199" s="13">
        <v>43026.82167824074</v>
      </c>
      <c r="G199" s="7">
        <v>92</v>
      </c>
      <c r="H199" s="21" t="s">
        <v>454</v>
      </c>
      <c r="I199" s="13">
        <v>43026.830752314818</v>
      </c>
      <c r="J199" s="7">
        <v>0</v>
      </c>
      <c r="K199" s="89" t="str">
        <f>IF(ISEVEN(B199),(B199-1)&amp;"/"&amp;B199,B199&amp;"/"&amp;(B199+1))</f>
        <v>4017/4018</v>
      </c>
      <c r="L199" s="185" t="str">
        <f>VLOOKUP(A199,'Trips&amp;Operators'!$C$1:$G$99911,5,FALSE)</f>
        <v>BIRKHOLZ NADINE</v>
      </c>
      <c r="M199" s="6">
        <f>I199-F199</f>
        <v>9.0740740779438056E-3</v>
      </c>
      <c r="N199" s="7">
        <f>24*60*SUM($M199:$M199)</f>
        <v>13.06666667223908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-10-18T18:27:09-0600',mode:absolute,to:'2017-10-18T20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9" s="204" t="str">
        <f>IF(AA199&lt;VLOOKUP(AG199,Variables!$AC$3:$AD$8,2,FALSE),"Y","N")</f>
        <v>N</v>
      </c>
      <c r="X199" s="204">
        <f>VALUE(LEFT(AD199,4))-VALUE(LEFT(AD198,4))</f>
        <v>1</v>
      </c>
      <c r="Y199" s="204">
        <f>RIGHT(D199,LEN(D199)-4)/10000</f>
        <v>5.8615000000000004</v>
      </c>
      <c r="Z199" s="204">
        <f>RIGHT(H199,LEN(H199)-4)/10000</f>
        <v>7.3099999999999998E-2</v>
      </c>
      <c r="AA199" s="204">
        <f>ABS(Z199-Y199)</f>
        <v>5.7884000000000002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>VALUE(LEFT(A199,LEN(A199)-3))</f>
        <v>840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/stypes="app*4017*20171019*" /stext=" 01:.+((SYSTEM_STATE.+slice.+state.+changed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43"/>
        <v>"%USERPROFILE%\Documents\GitHub\eaglep3\Utilities\RefineRTDCRunTimes.py" --tripid 840-18 --locoid 4017 --swversion DE.1.0.9.0 --startMP 300:58615 --initTime 2017-10-18T19:27:09 --startdatetime 2017-10-18T19:43:13 --delay 92 --endMP 204:731 --enddatetime 2017-10-18T19:56:17 --enforcementcount 0 &gt;&gt;%USERPROFILE%\Documents\GitHub\eaglep3-reporting\EC\2017-10-18-refined-times.txt</v>
      </c>
      <c r="AI199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{"issue":{"subject":"","project_id":79,"tracker_id":40,"status_id":1,"priority_id":2,"assigned_to_id":338,"start_date":"2017-10-18","description":"","custom_fields":[{"id":1,"name":"Subdivision","value":"NW"},{"id":4,"name":"Milepost","value":"0.0731"},{"id":17,"name":"Train ID","value":"840-18"},{"id":16,"name":"Locomotive ID","value":"4017"},{"id":130,"name":"Impact","value":""},{"id":150,"name":"Time of Event (Mountain Time)","value":"19:56:17"},{"id":151,"name":"Denver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45"/>
        <v>start /low /b %USERPROFILE%\Documents\GitHub\eaglep3\Utilities\DownloadLogsFromS3.py --loco 4017 --day 2017-10-18</v>
      </c>
      <c r="AN199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01:56:17"},{"id":29,"name":"Sharepoint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47"/>
        <v>https://d0f6bd738d7f1b3e5a7ca70fe4ff75f0.us-east-1.aws.found.io/app/kibana#/discover/Steve-Slow-Train-Analysis-(2080s-and-2083s)?_g=(refreshInterval:(display:Off,pause:!f,section:0,value:0),time:(from:'2017-10-18T18:27:09-0600',mode:absolute,to:'2017-10-18T20:56:17-0600'))&amp;_a=(columns:!('Message%20ID',Summary),filters:!(),index:'emp_*',interval:auto,query:(query_string:(analyze_wildcard:!t,query:'%22rtdc.l.rtdc.4017%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778</v>
      </c>
      <c r="B200" s="7">
        <v>4018</v>
      </c>
      <c r="C200" s="21" t="s">
        <v>194</v>
      </c>
      <c r="D200" s="21" t="s">
        <v>438</v>
      </c>
      <c r="E200" s="13">
        <v>43026.792708333334</v>
      </c>
      <c r="F200" s="13">
        <v>43026.798622685186</v>
      </c>
      <c r="G200" s="7">
        <v>82</v>
      </c>
      <c r="H200" s="21" t="s">
        <v>455</v>
      </c>
      <c r="I200" s="13">
        <v>43026.808819444443</v>
      </c>
      <c r="J200" s="7">
        <v>0</v>
      </c>
      <c r="K200" s="89" t="str">
        <f>IF(ISEVEN(B200),(B200-1)&amp;"/"&amp;B200,B200&amp;"/"&amp;(B200+1))</f>
        <v>4017/4018</v>
      </c>
      <c r="L200" s="185" t="str">
        <f>VLOOKUP(A200,'Trips&amp;Operators'!$C$1:$G$99911,5,FALSE)</f>
        <v>BIRKHOLZ NADINE</v>
      </c>
      <c r="M200" s="6">
        <f>I200-F200</f>
        <v>1.0196759256359655E-2</v>
      </c>
      <c r="N200" s="7">
        <f>24*60*SUM($M200:$M200)</f>
        <v>14.683333329157904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-18T18:01:30-0600',mode:absolute,to:'2017-10-18T20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1</v>
      </c>
      <c r="Y200" s="204">
        <f>RIGHT(D200,LEN(D200)-4)/10000</f>
        <v>9.74E-2</v>
      </c>
      <c r="Z200" s="204">
        <f>RIGHT(H200,LEN(H200)-4)/10000</f>
        <v>5.8936999999999999</v>
      </c>
      <c r="AA200" s="204">
        <f>ABS(Z200-Y200)</f>
        <v>5.7962999999999996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>VALUE(LEFT(A200,LEN(A200)-3))</f>
        <v>841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/stypes="app*4018*20171019*" /stext=" 01:.+((SYSTEM_STATE.+slice.+state.+changed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si="43"/>
        <v>"%USERPROFILE%\Documents\GitHub\eaglep3\Utilities\RefineRTDCRunTimes.py" --tripid 841-18 --locoid 4018 --swversion DE.1.0.9.0 --startMP 204:974 --initTime 2017-10-18T19:01:30 --startdatetime 2017-10-18T19:10:01 --delay 82 --endMP 300:58937 --enddatetime 2017-10-18T19:24:42 --enforcementcount 0 &gt;&gt;%USERPROFILE%\Documents\GitHub\eaglep3-reporting\EC\2017-10-18-refined-times.txt</v>
      </c>
      <c r="AI200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{"issue":{"subject":"","project_id":79,"tracker_id":40,"status_id":1,"priority_id":2,"assigned_to_id":338,"start_date":"2017-10-18","description":"","custom_fields":[{"id":1,"name":"Subdivision","value":"NW"},{"id":4,"name":"Milepost","value":"5.8937"},{"id":17,"name":"Train ID","value":"841-18"},{"id":16,"name":"Locomotive ID","value":"4018"},{"id":130,"name":"Impact","value":""},{"id":150,"name":"Time of Event (Mountain Time)","value":"19:24:42"},{"id":151,"name":"Denver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45"/>
        <v>start /low /b %USERPROFILE%\Documents\GitHub\eaglep3\Utilities\DownloadLogsFromS3.py --loco 4018 --day 2017-10-18</v>
      </c>
      <c r="AN200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01:24:42"},{"id":29,"name":"Sharepoint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47"/>
        <v>https://d0f6bd738d7f1b3e5a7ca70fe4ff75f0.us-east-1.aws.found.io/app/kibana#/discover/Steve-Slow-Train-Analysis-(2080s-and-2083s)?_g=(refreshInterval:(display:Off,pause:!f,section:0,value:0),time:(from:'2017-10-18T18:01:30-0600',mode:absolute,to:'2017-10-18T20:24:42-0600'))&amp;_a=(columns:!('Message%20ID',Summary),filters:!(),index:'emp_*',interval:auto,query:(query_string:(analyze_wildcard:!t,query:'%22rtdc.l.rtdc.4018%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788</v>
      </c>
      <c r="B201" s="7">
        <v>4017</v>
      </c>
      <c r="C201" s="21" t="s">
        <v>194</v>
      </c>
      <c r="D201" s="21" t="s">
        <v>986</v>
      </c>
      <c r="E201" s="13">
        <v>43026.851527777777</v>
      </c>
      <c r="F201" s="13">
        <v>43026.86310185185</v>
      </c>
      <c r="G201" s="7">
        <v>69</v>
      </c>
      <c r="H201" s="21" t="s">
        <v>535</v>
      </c>
      <c r="I201" s="13">
        <v>43026.871828703705</v>
      </c>
      <c r="J201" s="7">
        <v>0</v>
      </c>
      <c r="K201" s="89" t="str">
        <f>IF(ISEVEN(B201),(B201-1)&amp;"/"&amp;B201,B201&amp;"/"&amp;(B201+1))</f>
        <v>4017/4018</v>
      </c>
      <c r="L201" s="185" t="str">
        <f>VLOOKUP(A201,'Trips&amp;Operators'!$C$1:$G$99911,5,FALSE)</f>
        <v>BIRKHOLZ NADINE</v>
      </c>
      <c r="M201" s="6">
        <f>I201-F201</f>
        <v>8.7268518545897678E-3</v>
      </c>
      <c r="N201" s="7">
        <f>24*60*SUM($M201:$M201)</f>
        <v>12.566666670609266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-18T19:26:12-0600',mode:absolute,to:'2017-10-18T21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1" s="204" t="str">
        <f>IF(AA201&lt;VLOOKUP(AG201,Variables!$AC$3:$AD$8,2,FALSE),"Y","N")</f>
        <v>N</v>
      </c>
      <c r="X201" s="204">
        <f>VALUE(LEFT(AD201,4))-VALUE(LEFT(AD200,4))</f>
        <v>1</v>
      </c>
      <c r="Y201" s="204">
        <f>RIGHT(D201,LEN(D201)-4)/10000</f>
        <v>5.8608000000000002</v>
      </c>
      <c r="Z201" s="204">
        <f>RIGHT(H201,LEN(H201)-4)/10000</f>
        <v>6.9400000000000003E-2</v>
      </c>
      <c r="AA201" s="204">
        <f>ABS(Z201-Y201)</f>
        <v>5.7914000000000003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>VALUE(LEFT(A201,LEN(A201)-3))</f>
        <v>842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/stypes="app*4017*20171019*" /stext=" 02:.+((SYSTEM_STATE.+slice.+state.+changed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si="43"/>
        <v>"%USERPROFILE%\Documents\GitHub\eaglep3\Utilities\RefineRTDCRunTimes.py" --tripid 842-18 --locoid 4017 --swversion DE.1.0.9.0 --startMP 300:58608 --initTime 2017-10-18T20:26:12 --startdatetime 2017-10-18T20:42:52 --delay 69 --endMP 204:694 --enddatetime 2017-10-18T20:55:26 --enforcementcount 0 &gt;&gt;%USERPROFILE%\Documents\GitHub\eaglep3-reporting\EC\2017-10-18-refined-times.txt</v>
      </c>
      <c r="AI201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{"issue":{"subject":"","project_id":79,"tracker_id":40,"status_id":1,"priority_id":2,"assigned_to_id":338,"start_date":"2017-10-18","description":"","custom_fields":[{"id":1,"name":"Subdivision","value":"NW"},{"id":4,"name":"Milepost","value":"0.0694"},{"id":17,"name":"Train ID","value":"842-18"},{"id":16,"name":"Locomotive ID","value":"4017"},{"id":130,"name":"Impact","value":""},{"id":150,"name":"Time of Event (Mountain Time)","value":"20:55:26"},{"id":151,"name":"Denver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45"/>
        <v>start /low /b %USERPROFILE%\Documents\GitHub\eaglep3\Utilities\DownloadLogsFromS3.py --loco 4017 --day 2017-10-18</v>
      </c>
      <c r="AN201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02:55:26"},{"id":29,"name":"Sharepoint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47"/>
        <v>https://d0f6bd738d7f1b3e5a7ca70fe4ff75f0.us-east-1.aws.found.io/app/kibana#/discover/Steve-Slow-Train-Analysis-(2080s-and-2083s)?_g=(refreshInterval:(display:Off,pause:!f,section:0,value:0),time:(from:'2017-10-18T19:26:12-0600',mode:absolute,to:'2017-10-18T21:55:26-0600'))&amp;_a=(columns:!('Message%20ID',Summary),filters:!(),index:'emp_*',interval:auto,query:(query_string:(analyze_wildcard:!t,query:'%22rtdc.l.rtdc.4017%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786</v>
      </c>
      <c r="B202" s="7">
        <v>4018</v>
      </c>
      <c r="C202" s="21" t="s">
        <v>194</v>
      </c>
      <c r="D202" s="21" t="s">
        <v>961</v>
      </c>
      <c r="E202" s="13">
        <v>43026.835787037038</v>
      </c>
      <c r="F202" s="13">
        <v>43026.839791666665</v>
      </c>
      <c r="G202" s="7">
        <v>64</v>
      </c>
      <c r="H202" s="21" t="s">
        <v>492</v>
      </c>
      <c r="I202" s="13">
        <v>43026.850023148145</v>
      </c>
      <c r="J202" s="7">
        <v>0</v>
      </c>
      <c r="K202" s="89" t="str">
        <f>IF(ISEVEN(B202),(B202-1)&amp;"/"&amp;B202,B202&amp;"/"&amp;(B202+1))</f>
        <v>4017/4018</v>
      </c>
      <c r="L202" s="185" t="str">
        <f>VLOOKUP(A202,'Trips&amp;Operators'!$C$1:$G$99911,5,FALSE)</f>
        <v>BIRKHOLZ NADINE</v>
      </c>
      <c r="M202" s="6">
        <f>I202-F202</f>
        <v>1.0231481479422655E-2</v>
      </c>
      <c r="N202" s="7">
        <f>24*60*SUM($M202:$M202)</f>
        <v>14.733333330368623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-10-18T19:03:32-0600',mode:absolute,to:'2017-10-18T21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2" s="204" t="str">
        <f>IF(AA202&lt;VLOOKUP(AG202,Variables!$AC$3:$AD$8,2,FALSE),"Y","N")</f>
        <v>N</v>
      </c>
      <c r="X202" s="204">
        <f>VALUE(LEFT(AD202,4))-VALUE(LEFT(AD201,4))</f>
        <v>1</v>
      </c>
      <c r="Y202" s="204">
        <f>RIGHT(D202,LEN(D202)-4)/10000</f>
        <v>9.8500000000000004E-2</v>
      </c>
      <c r="Z202" s="204">
        <f>RIGHT(H202,LEN(H202)-4)/10000</f>
        <v>5.8930999999999996</v>
      </c>
      <c r="AA202" s="204">
        <f>ABS(Z202-Y202)</f>
        <v>5.7946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>VALUE(LEFT(A202,LEN(A202)-3))</f>
        <v>843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/stypes="app*4018*20171019*" /stext=" 02:.+((SYSTEM_STATE.+slice.+state.+changed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si="43"/>
        <v>"%USERPROFILE%\Documents\GitHub\eaglep3\Utilities\RefineRTDCRunTimes.py" --tripid 843-18 --locoid 4018 --swversion DE.1.0.9.0 --startMP 204:985 --initTime 2017-10-18T20:03:32 --startdatetime 2017-10-18T20:09:18 --delay 64 --endMP 300:58931 --enddatetime 2017-10-18T20:24:02 --enforcementcount 0 &gt;&gt;%USERPROFILE%\Documents\GitHub\eaglep3-reporting\EC\2017-10-18-refined-times.txt</v>
      </c>
      <c r="AI202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{"issue":{"subject":"","project_id":79,"tracker_id":40,"status_id":1,"priority_id":2,"assigned_to_id":338,"start_date":"2017-10-18","description":"","custom_fields":[{"id":1,"name":"Subdivision","value":"NW"},{"id":4,"name":"Milepost","value":"5.8931"},{"id":17,"name":"Train ID","value":"843-18"},{"id":16,"name":"Locomotive ID","value":"4018"},{"id":130,"name":"Impact","value":""},{"id":150,"name":"Time of Event (Mountain Time)","value":"20:24:02"},{"id":151,"name":"Denver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45"/>
        <v>start /low /b %USERPROFILE%\Documents\GitHub\eaglep3\Utilities\DownloadLogsFromS3.py --loco 4018 --day 2017-10-18</v>
      </c>
      <c r="AN202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02:24:02"},{"id":29,"name":"Sharepoint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47"/>
        <v>https://d0f6bd738d7f1b3e5a7ca70fe4ff75f0.us-east-1.aws.found.io/app/kibana#/discover/Steve-Slow-Train-Analysis-(2080s-and-2083s)?_g=(refreshInterval:(display:Off,pause:!f,section:0,value:0),time:(from:'2017-10-18T19:03:32-0600',mode:absolute,to:'2017-10-18T21:24:02-0600'))&amp;_a=(columns:!('Message%20ID',Summary),filters:!(),index:'emp_*',interval:auto,query:(query_string:(analyze_wildcard:!t,query:'%22rtdc.l.rtdc.4018%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794</v>
      </c>
      <c r="B203" s="7">
        <v>4017</v>
      </c>
      <c r="C203" s="21" t="s">
        <v>194</v>
      </c>
      <c r="D203" s="21" t="s">
        <v>496</v>
      </c>
      <c r="E203" s="13">
        <v>43026.893287037034</v>
      </c>
      <c r="F203" s="13">
        <v>43026.92355324074</v>
      </c>
      <c r="G203" s="7">
        <v>59</v>
      </c>
      <c r="H203" s="21" t="s">
        <v>543</v>
      </c>
      <c r="I203" s="13">
        <v>43026.932569444441</v>
      </c>
      <c r="J203" s="7">
        <v>0</v>
      </c>
      <c r="K203" s="89" t="str">
        <f>IF(ISEVEN(B203),(B203-1)&amp;"/"&amp;B203,B203&amp;"/"&amp;(B203+1))</f>
        <v>4017/4018</v>
      </c>
      <c r="L203" s="185" t="str">
        <f>VLOOKUP(A203,'Trips&amp;Operators'!$C$1:$G$99911,5,FALSE)</f>
        <v>STAMBAUGH JAMES</v>
      </c>
      <c r="M203" s="6">
        <f>I203-F203</f>
        <v>9.0162037013215013E-3</v>
      </c>
      <c r="N203" s="7">
        <f>24*60*SUM($M203:$M203)</f>
        <v>12.983333329902962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-18T20:26:20-0600',mode:absolute,to:'2017-10-18T23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3" s="204" t="str">
        <f>IF(AA203&lt;VLOOKUP(AG203,Variables!$AC$3:$AD$8,2,FALSE),"Y","N")</f>
        <v>N</v>
      </c>
      <c r="X203" s="204">
        <f>VALUE(LEFT(AD203,4))-VALUE(LEFT(AD202,4))</f>
        <v>1</v>
      </c>
      <c r="Y203" s="204">
        <f>RIGHT(D203,LEN(D203)-4)/10000</f>
        <v>5.8638000000000003</v>
      </c>
      <c r="Z203" s="204">
        <f>RIGHT(H203,LEN(H203)-4)/10000</f>
        <v>6.6799999999999998E-2</v>
      </c>
      <c r="AA203" s="204">
        <f>ABS(Z203-Y203)</f>
        <v>5.7970000000000006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>VALUE(LEFT(A203,LEN(A203)-3))</f>
        <v>844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/stypes="app*4017*20171019*" /stext=" 04:.+((SYSTEM_STATE.+slice.+state.+changed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43"/>
        <v>"%USERPROFILE%\Documents\GitHub\eaglep3\Utilities\RefineRTDCRunTimes.py" --tripid 844-18 --locoid 4017 --swversion DE.1.0.9.0 --startMP 300:58638 --initTime 2017-10-18T21:26:20 --startdatetime 2017-10-18T22:09:55 --delay 59 --endMP 204:668 --enddatetime 2017-10-18T22:22:54 --enforcementcount 0 &gt;&gt;%USERPROFILE%\Documents\GitHub\eaglep3-reporting\EC\2017-10-18-refined-times.txt</v>
      </c>
      <c r="AI203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{"issue":{"subject":"","project_id":79,"tracker_id":40,"status_id":1,"priority_id":2,"assigned_to_id":338,"start_date":"2017-10-18","description":"","custom_fields":[{"id":1,"name":"Subdivision","value":"NW"},{"id":4,"name":"Milepost","value":"0.0668"},{"id":17,"name":"Train ID","value":"844-18"},{"id":16,"name":"Locomotive ID","value":"4017"},{"id":130,"name":"Impact","value":""},{"id":150,"name":"Time of Event (Mountain Time)","value":"22:22:54"},{"id":151,"name":"Denver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45"/>
        <v>start /low /b %USERPROFILE%\Documents\GitHub\eaglep3\Utilities\DownloadLogsFromS3.py --loco 4017 --day 2017-10-18</v>
      </c>
      <c r="AN203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04:22:54"},{"id":29,"name":"Sharepoint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47"/>
        <v>https://d0f6bd738d7f1b3e5a7ca70fe4ff75f0.us-east-1.aws.found.io/app/kibana#/discover/Steve-Slow-Train-Analysis-(2080s-and-2083s)?_g=(refreshInterval:(display:Off,pause:!f,section:0,value:0),time:(from:'2017-10-18T20:26:20-0600',mode:absolute,to:'2017-10-18T23:22:54-0600'))&amp;_a=(columns:!('Message%20ID',Summary),filters:!(),index:'emp_*',interval:auto,query:(query_string:(analyze_wildcard:!t,query:'%22rtdc.l.rtdc.4017%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590</v>
      </c>
      <c r="B204" s="7">
        <v>4018</v>
      </c>
      <c r="C204" s="21" t="s">
        <v>194</v>
      </c>
      <c r="D204" s="21" t="s">
        <v>961</v>
      </c>
      <c r="E204" s="13">
        <v>43026.878564814811</v>
      </c>
      <c r="F204" s="13">
        <v>43026.881550925929</v>
      </c>
      <c r="G204" s="7">
        <v>117</v>
      </c>
      <c r="H204" s="21" t="s">
        <v>541</v>
      </c>
      <c r="I204" s="13">
        <v>43026.890682870369</v>
      </c>
      <c r="J204" s="7">
        <v>0</v>
      </c>
      <c r="K204" s="89" t="str">
        <f>IF(ISEVEN(B204),(B204-1)&amp;"/"&amp;B204,B204&amp;"/"&amp;(B204+1))</f>
        <v>4017/4018</v>
      </c>
      <c r="L204" s="185" t="str">
        <f>VLOOKUP(A204,'Trips&amp;Operators'!$C$1:$G$99911,5,FALSE)</f>
        <v>STAMBAUGH JAMES</v>
      </c>
      <c r="M204" s="6">
        <f>I204-F204</f>
        <v>9.1319444400141947E-3</v>
      </c>
      <c r="N204" s="7">
        <f>24*60*SUM($M204:$M204)</f>
        <v>13.14999999362044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-18T20:05:08-0600',mode:absolute,to:'2017-10-18T22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4" s="204" t="str">
        <f>IF(AA204&lt;VLOOKUP(AG204,Variables!$AC$3:$AD$8,2,FALSE),"Y","N")</f>
        <v>N</v>
      </c>
      <c r="X204" s="204">
        <f>VALUE(LEFT(AD204,4))-VALUE(LEFT(AD203,4))</f>
        <v>1</v>
      </c>
      <c r="Y204" s="204">
        <f>RIGHT(D204,LEN(D204)-4)/10000</f>
        <v>9.8500000000000004E-2</v>
      </c>
      <c r="Z204" s="204">
        <f>RIGHT(H204,LEN(H204)-4)/10000</f>
        <v>5.8958000000000004</v>
      </c>
      <c r="AA204" s="204">
        <f>ABS(Z204-Y204)</f>
        <v>5.7973000000000008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>VALUE(LEFT(A204,LEN(A204)-3))</f>
        <v>845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/stypes="app*4018*20171019*" /stext=" 03:.+((SYSTEM_STATE.+slice.+state.+changed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si="43"/>
        <v>"%USERPROFILE%\Documents\GitHub\eaglep3\Utilities\RefineRTDCRunTimes.py" --tripid 845-18 --locoid 4018 --swversion DE.1.0.9.0 --startMP 204:985 --initTime 2017-10-18T21:05:08 --startdatetime 2017-10-18T21:09:26 --delay 117 --endMP 300:58958 --enddatetime 2017-10-18T21:22:35 --enforcementcount 0 &gt;&gt;%USERPROFILE%\Documents\GitHub\eaglep3-reporting\EC\2017-10-18-refined-times.txt</v>
      </c>
      <c r="AI204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{"issue":{"subject":"","project_id":79,"tracker_id":40,"status_id":1,"priority_id":2,"assigned_to_id":338,"start_date":"2017-10-18","description":"","custom_fields":[{"id":1,"name":"Subdivision","value":"NW"},{"id":4,"name":"Milepost","value":"5.8958"},{"id":17,"name":"Train ID","value":"845-18"},{"id":16,"name":"Locomotive ID","value":"4018"},{"id":130,"name":"Impact","value":""},{"id":150,"name":"Time of Event (Mountain Time)","value":"21:22:35"},{"id":151,"name":"Denver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45"/>
        <v>start /low /b %USERPROFILE%\Documents\GitHub\eaglep3\Utilities\DownloadLogsFromS3.py --loco 4018 --day 2017-10-18</v>
      </c>
      <c r="AN204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03:22:35"},{"id":29,"name":"Sharepoint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47"/>
        <v>https://d0f6bd738d7f1b3e5a7ca70fe4ff75f0.us-east-1.aws.found.io/app/kibana#/discover/Steve-Slow-Train-Analysis-(2080s-and-2083s)?_g=(refreshInterval:(display:Off,pause:!f,section:0,value:0),time:(from:'2017-10-18T20:05:08-0600',mode:absolute,to:'2017-10-18T22:22:35-0600'))&amp;_a=(columns:!('Message%20ID',Summary),filters:!(),index:'emp_*',interval:auto,query:(query_string:(analyze_wildcard:!t,query:'%22rtdc.l.rtdc.4018%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798</v>
      </c>
      <c r="B205" s="7">
        <v>4017</v>
      </c>
      <c r="C205" s="21" t="s">
        <v>194</v>
      </c>
      <c r="D205" s="21" t="s">
        <v>496</v>
      </c>
      <c r="E205" s="13">
        <v>43026.933356481481</v>
      </c>
      <c r="F205" s="13">
        <v>43026.946562500001</v>
      </c>
      <c r="G205" s="7">
        <v>47</v>
      </c>
      <c r="H205" s="21" t="s">
        <v>956</v>
      </c>
      <c r="I205" s="13">
        <v>43026.954050925924</v>
      </c>
      <c r="J205" s="7">
        <v>0</v>
      </c>
      <c r="K205" s="89" t="str">
        <f>IF(ISEVEN(B205),(B205-1)&amp;"/"&amp;B205,B205&amp;"/"&amp;(B205+1))</f>
        <v>4017/4018</v>
      </c>
      <c r="L205" s="185" t="str">
        <f>VLOOKUP(A205,'Trips&amp;Operators'!$C$1:$G$99911,5,FALSE)</f>
        <v>STAMBAUGH JAMES</v>
      </c>
      <c r="M205" s="6">
        <f>I205-F205</f>
        <v>7.4884259229293093E-3</v>
      </c>
      <c r="N205" s="7">
        <f>24*60*SUM($M205:$M205)</f>
        <v>10.783333329018205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-18T21:24:02-0600',mode:absolute,to:'2017-10-18T23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5" s="204" t="str">
        <f>IF(AA205&lt;VLOOKUP(AG205,Variables!$AC$3:$AD$8,2,FALSE),"Y","N")</f>
        <v>N</v>
      </c>
      <c r="X205" s="204">
        <f>VALUE(LEFT(AD205,4))-VALUE(LEFT(AD204,4))</f>
        <v>1</v>
      </c>
      <c r="Y205" s="204">
        <f>RIGHT(D205,LEN(D205)-4)/10000</f>
        <v>5.8638000000000003</v>
      </c>
      <c r="Z205" s="204">
        <f>RIGHT(H205,LEN(H205)-4)/10000</f>
        <v>7.0300000000000001E-2</v>
      </c>
      <c r="AA205" s="204">
        <f>ABS(Z205-Y205)</f>
        <v>5.7935000000000008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>VALUE(LEFT(A205,LEN(A205)-3))</f>
        <v>846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/stypes="app*4017*20171019*" /stext=" 04:.+((SYSTEM_STATE.+slice.+state.+changed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si="43"/>
        <v>"%USERPROFILE%\Documents\GitHub\eaglep3\Utilities\RefineRTDCRunTimes.py" --tripid 846-18 --locoid 4017 --swversion DE.1.0.9.0 --startMP 300:58638 --initTime 2017-10-18T22:24:02 --startdatetime 2017-10-18T22:43:03 --delay 47 --endMP 204:703 --enddatetime 2017-10-18T22:53:50 --enforcementcount 0 &gt;&gt;%USERPROFILE%\Documents\GitHub\eaglep3-reporting\EC\2017-10-18-refined-times.txt</v>
      </c>
      <c r="AI205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{"issue":{"subject":"","project_id":79,"tracker_id":40,"status_id":1,"priority_id":2,"assigned_to_id":338,"start_date":"2017-10-18","description":"","custom_fields":[{"id":1,"name":"Subdivision","value":"NW"},{"id":4,"name":"Milepost","value":"0.0703"},{"id":17,"name":"Train ID","value":"846-18"},{"id":16,"name":"Locomotive ID","value":"4017"},{"id":130,"name":"Impact","value":""},{"id":150,"name":"Time of Event (Mountain Time)","value":"22:53:50"},{"id":151,"name":"Denver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45"/>
        <v>start /low /b %USERPROFILE%\Documents\GitHub\eaglep3\Utilities\DownloadLogsFromS3.py --loco 4017 --day 2017-10-18</v>
      </c>
      <c r="AN205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04:53:50"},{"id":29,"name":"Sharepoint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47"/>
        <v>https://d0f6bd738d7f1b3e5a7ca70fe4ff75f0.us-east-1.aws.found.io/app/kibana#/discover/Steve-Slow-Train-Analysis-(2080s-and-2083s)?_g=(refreshInterval:(display:Off,pause:!f,section:0,value:0),time:(from:'2017-10-18T21:24:02-0600',mode:absolute,to:'2017-10-18T23:53:50-0600'))&amp;_a=(columns:!('Message%20ID',Summary),filters:!(),index:'emp_*',interval:auto,query:(query_string:(analyze_wildcard:!t,query:'%22rtdc.l.rtdc.4017%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796</v>
      </c>
      <c r="B206" s="7">
        <v>4018</v>
      </c>
      <c r="C206" s="21" t="s">
        <v>194</v>
      </c>
      <c r="D206" s="21" t="s">
        <v>987</v>
      </c>
      <c r="E206" s="13">
        <v>43026.921666666669</v>
      </c>
      <c r="F206" s="13">
        <v>43026.92355324074</v>
      </c>
      <c r="G206" s="7">
        <v>97</v>
      </c>
      <c r="H206" s="21" t="s">
        <v>498</v>
      </c>
      <c r="I206" s="13">
        <v>43026.932569444441</v>
      </c>
      <c r="J206" s="7">
        <v>0</v>
      </c>
      <c r="K206" s="89" t="str">
        <f>IF(ISEVEN(B206),(B206-1)&amp;"/"&amp;B206,B206&amp;"/"&amp;(B206+1))</f>
        <v>4017/4018</v>
      </c>
      <c r="L206" s="185" t="str">
        <f>VLOOKUP(A206,'Trips&amp;Operators'!$C$1:$G$99911,5,FALSE)</f>
        <v>STAMBAUGH JAMES</v>
      </c>
      <c r="M206" s="6">
        <f>I206-F206</f>
        <v>9.0162037013215013E-3</v>
      </c>
      <c r="N206" s="7">
        <f>24*60*SUM($M206:$M206)</f>
        <v>12.983333329902962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-10-18T21:07:12-0600',mode:absolute,to:'2017-10-18T23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6" s="204" t="str">
        <f>IF(AA206&lt;VLOOKUP(AG206,Variables!$AC$3:$AD$8,2,FALSE),"Y","N")</f>
        <v>N</v>
      </c>
      <c r="X206" s="204">
        <f>VALUE(LEFT(AD206,4))-VALUE(LEFT(AD205,4))</f>
        <v>1</v>
      </c>
      <c r="Y206" s="204">
        <f>RIGHT(D206,LEN(D206)-4)/10000</f>
        <v>0.15060000000000001</v>
      </c>
      <c r="Z206" s="204">
        <f>RIGHT(H206,LEN(H206)-4)/10000</f>
        <v>5.8952</v>
      </c>
      <c r="AA206" s="204">
        <f>ABS(Z206-Y206)</f>
        <v>5.7446000000000002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>VALUE(LEFT(A206,LEN(A206)-3))</f>
        <v>847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/stypes="app*4018*20171019*" /stext=" 04:.+((SYSTEM_STATE.+slice.+state.+changed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si="43"/>
        <v>"%USERPROFILE%\Documents\GitHub\eaglep3\Utilities\RefineRTDCRunTimes.py" --tripid 847-18 --locoid 4018 --swversion DE.1.0.9.0 --startMP 204:1506 --initTime 2017-10-18T22:07:12 --startdatetime 2017-10-18T22:09:55 --delay 97 --endMP 300:58952 --enddatetime 2017-10-18T22:22:54 --enforcementcount 0 &gt;&gt;%USERPROFILE%\Documents\GitHub\eaglep3-reporting\EC\2017-10-18-refined-times.txt</v>
      </c>
      <c r="AI206" s="96" t="str">
        <f t="shared" si="44"/>
        <v>echo {"issue":{"subject":"","project_id":79,"tracker_id":40,"status_id":1,"priority_id":2,"assigned_to_id":338,"start_date":"2017-10-18","description":"","custom_fields":[{"id":1,"name":"Subdivision","value":"NW"},{"id":4,"name":"Milepost","value":"5.8952"},{"id":17,"name":"Train ID","value":"847-18"},{"id":16,"name":"Locomotive ID","value":"4018"},{"id":130,"name":"Impact","value":""},{"id":150,"name":"Time of Event (Mountain Time)","value":"22:22:54"},{"id":151,"name":"Denver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45"/>
        <v>start /low /b %USERPROFILE%\Documents\GitHub\eaglep3\Utilities\DownloadLogsFromS3.py --loco 4018 --day 2017-10-18</v>
      </c>
      <c r="AN206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04:22:54"},{"id":29,"name":"Sharepoint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47"/>
        <v>https://d0f6bd738d7f1b3e5a7ca70fe4ff75f0.us-east-1.aws.found.io/app/kibana#/discover/Steve-Slow-Train-Analysis-(2080s-and-2083s)?_g=(refreshInterval:(display:Off,pause:!f,section:0,value:0),time:(from:'2017-10-18T21:07:12-0600',mode:absolute,to:'2017-10-18T23:22:54-0600'))&amp;_a=(columns:!('Message%20ID',Summary),filters:!(),index:'emp_*',interval:auto,query:(query_string:(analyze_wildcard:!t,query:'%22rtdc.l.rtdc.4018%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802</v>
      </c>
      <c r="B207" s="7">
        <v>4018</v>
      </c>
      <c r="C207" s="21" t="s">
        <v>194</v>
      </c>
      <c r="D207" s="21" t="s">
        <v>987</v>
      </c>
      <c r="E207" s="13">
        <v>43026.921666666669</v>
      </c>
      <c r="F207" s="13">
        <v>43026.964803240742</v>
      </c>
      <c r="G207" s="7">
        <v>97</v>
      </c>
      <c r="H207" s="21" t="s">
        <v>498</v>
      </c>
      <c r="I207" s="13">
        <v>43026.973449074074</v>
      </c>
      <c r="J207" s="7">
        <v>0</v>
      </c>
      <c r="K207" s="89" t="str">
        <f>IF(ISEVEN(B207),(B207-1)&amp;"/"&amp;B207,B207&amp;"/"&amp;(B207+1))</f>
        <v>4017/4018</v>
      </c>
      <c r="L207" s="185" t="str">
        <f>VLOOKUP(A207,'Trips&amp;Operators'!$C$1:$G$99911,5,FALSE)</f>
        <v>STAMBAUGH JAMES</v>
      </c>
      <c r="M207" s="6">
        <f>I207-F207</f>
        <v>8.6458333316841163E-3</v>
      </c>
      <c r="N207" s="7">
        <f>24*60*SUM($M207:$M207)</f>
        <v>12.449999997625127</v>
      </c>
      <c r="O207" s="7"/>
      <c r="P207" s="7"/>
      <c r="Q207" s="22"/>
      <c r="R207" s="174"/>
      <c r="S207" s="221">
        <f>1/IF(AG207="EC",12,1)*SUM(U207:U207)</f>
        <v>1</v>
      </c>
      <c r="T207" s="174" t="str">
        <f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-18T21:07:12-0600',mode:absolute,to:'2017-10-19T00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7" s="204" t="str">
        <f>IF(AA207&lt;VLOOKUP(AG207,Variables!$AC$3:$AD$8,2,FALSE),"Y","N")</f>
        <v>N</v>
      </c>
      <c r="X207" s="204">
        <f t="shared" ref="X207:X208" si="66">VALUE(LEFT(AD207,4))-VALUE(LEFT(AD206,4))</f>
        <v>2</v>
      </c>
      <c r="Y207" s="204">
        <f>RIGHT(D207,LEN(D207)-4)/10000</f>
        <v>0.15060000000000001</v>
      </c>
      <c r="Z207" s="204">
        <f>RIGHT(H207,LEN(H207)-4)/10000</f>
        <v>5.8952</v>
      </c>
      <c r="AA207" s="204">
        <f>ABS(Z207-Y207)</f>
        <v>5.7446000000000002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>VALUE(LEFT(A207,LEN(A207)-3))</f>
        <v>849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/stypes="app*4018*20171019*" /stext=" 05:.+((SYSTEM_STATE.+slice.+state.+changed )|(ment ac)|(multiple cpu faults)|(system.+state.+changed )|(\[timeout)|(PRM\|1\|D)|(kpr)|(kdp)|(train st.+moving)|(\|lc)|(penalty))"</v>
      </c>
      <c r="AG207" s="182" t="str">
        <f>DetSubdiv(A207)</f>
        <v>NW</v>
      </c>
      <c r="AH207" s="78" t="str">
        <f t="shared" ref="AH207" si="67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849-18 --locoid 4018 --swversion DE.1.0.9.0 --startMP 204:1506 --initTime 2017-10-18T22:07:12 --startdatetime 2017-10-18T23:09:19 --delay 97 --endMP 300:58952 --enddatetime 2017-10-18T23:21:46 --enforcementcount 0 &gt;&gt;%USERPROFILE%\Documents\GitHub\eaglep3-reporting\EC\2017-10-18-refined-times.txt</v>
      </c>
      <c r="AI207" s="96" t="str">
        <f t="shared" ref="AI207" si="68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{"issue":{"subject":"","project_id":79,"tracker_id":40,"status_id":1,"priority_id":2,"assigned_to_id":338,"start_date":"2017-10-18","description":"","custom_fields":[{"id":1,"name":"Subdivision","value":"NW"},{"id":4,"name":"Milepost","value":"5.8952"},{"id":17,"name":"Train ID","value":"849-18"},{"id":16,"name":"Locomotive ID","value":"4018"},{"id":130,"name":"Impact","value":""},{"id":150,"name":"Time of Event (Mountain Time)","value":"23:21:46"},{"id":151,"name":"Denver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ref="AM207" si="69">"start /low /b "&amp;dls3logs&amp;" --loco "&amp;B207&amp;" --day "&amp;TEXT(F207,"YYYY-MM-DD")</f>
        <v>start /low /b %USERPROFILE%\Documents\GitHub\eaglep3\Utilities\DownloadLogsFromS3.py --loco 4018 --day 2017-10-18</v>
      </c>
      <c r="AN207" s="151" t="str">
        <f t="shared" ref="AN207" si="70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05:21:46"},{"id":29,"name":"Sharepoint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ref="AO207" si="71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-18T21:07:12-0600',mode:absolute,to:'2017-10-19T00:21:46-0600'))&amp;_a=(columns:!('Message%20ID',Summary),filters:!(),index:'emp_*',interval:auto,query:(query_string:(analyze_wildcard:!t,query:'%22rtdc.l.rtdc.4018%22')),sort:!(Time.ISO8601,asc))</v>
      </c>
    </row>
    <row r="208" spans="1:91" s="20" customFormat="1" x14ac:dyDescent="0.3">
      <c r="A208" s="32" t="s">
        <v>544</v>
      </c>
      <c r="B208" s="7">
        <v>4001</v>
      </c>
      <c r="C208" s="21" t="s">
        <v>194</v>
      </c>
      <c r="D208" s="21" t="s">
        <v>871</v>
      </c>
      <c r="E208" s="13">
        <v>43026.12</v>
      </c>
      <c r="F208" s="13">
        <v>43026.123564814814</v>
      </c>
      <c r="G208" s="7">
        <v>103</v>
      </c>
      <c r="H208" s="21" t="s">
        <v>337</v>
      </c>
      <c r="I208" s="13">
        <v>43026.129108796296</v>
      </c>
      <c r="J208" s="7">
        <v>0</v>
      </c>
      <c r="K208" s="89" t="str">
        <f>IF(ISEVEN(B208),(B208-1)&amp;"/"&amp;B208,B208&amp;"/"&amp;(B208+1))</f>
        <v>4001/4002</v>
      </c>
      <c r="L208" s="185" t="str">
        <f>VLOOKUP(A208,'Trips&amp;Operators'!$C$1:$G$99911,5,FALSE)</f>
        <v>BONDS REYNALDO</v>
      </c>
      <c r="M208" s="6">
        <f>I208-F208</f>
        <v>5.543981482333038E-3</v>
      </c>
      <c r="N208" s="7">
        <f>24*60*SUM($M208:$M208)</f>
        <v>7.9833333345595747</v>
      </c>
      <c r="O208" s="7"/>
      <c r="P208" s="7"/>
      <c r="Q208" s="22"/>
      <c r="R208" s="174"/>
      <c r="S208" s="221">
        <f>1/IF(AG208="EC",12,1)*SUM(U208:U208)</f>
        <v>1</v>
      </c>
      <c r="T208" s="174" t="str">
        <f>IF(ISEVEN(LEFT(AD208,4)),"Southbound","NorthBound")</f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-18T01:52:48-0600',mode:absolute,to:'2017-10-18T04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8" s="204" t="str">
        <f>IF(AA208&lt;VLOOKUP(AG208,Variables!$AC$3:$AD$8,2,FALSE),"Y","N")</f>
        <v>Y</v>
      </c>
      <c r="X208" s="204">
        <f t="shared" si="66"/>
        <v>-549</v>
      </c>
      <c r="Y208" s="204">
        <f>RIGHT(D208,LEN(D208)-4)/10000</f>
        <v>2.294</v>
      </c>
      <c r="Z208" s="204">
        <f>RIGHT(H208,LEN(H208)-4)/10000</f>
        <v>1.43E-2</v>
      </c>
      <c r="AA208" s="204">
        <f>ABS(Z208-Y208)</f>
        <v>2.2797000000000001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>VALUE(LEFT(A208,LEN(A208)-3))</f>
        <v>300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s3://rtdc.mdm.uploadarchive.raw/RTDC4001/ "%USERPROFILE%\AppData\Local\Temp\OnboardLogs"\RTDC4001\2017-10-18 --exclude "*" --recursive --include "*20171018*" &amp; "%USERPROFILE%\Documents\GitHub\mrs-test-scripts\Headless Mode &amp; Sideloading\WalkAndUnGZ.bat" "%USERPROFILE%\AppData\Local\Temp\OnboardLogs"\RTDC4001\2017-10-18 &amp; aws s3 cp s3://rtdc.mdm.uploadarchive.raw/RTDC4001/ "%USERPROFILE%\AppData\Local\Temp\OnboardLogs"\RTDC4001\2017-10-19 --exclude "*" --recursive --include "*20171019*" &amp; "%USERPROFILE%\Documents\GitHub\mrs-test-scripts\Headless Mode &amp; Sideloading\WalkAndUnGZ.bat" "%USERPROFILE%\AppData\Local\Temp\OnboardLogs"\RTDC4001\2017-10-19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/stypes="app*4001*20171018*" /stext=" 09:.+((SYSTEM_STATE.+slice.+state.+changed )|(ment ac)|(multiple cpu faults)|(system.+state.+changed )|(\[timeout)|(PRM\|1\|D)|(kpr)|(kdp)|(train st.+moving)|(\|lc)|(penalty))"</v>
      </c>
      <c r="AG208" s="182" t="str">
        <f>DetSubdiv(A208)</f>
        <v>Other</v>
      </c>
      <c r="AH208" s="78" t="str">
        <f t="shared" si="43"/>
        <v>"%USERPROFILE%\Documents\GitHub\eaglep3\Utilities\RefineRTDCRunTimes.py" --tripid 300-18 --locoid 4001 --swversion DE.1.0.9.0 --startMP 300:22940 --initTime 2017-10-18T02:52:48 --startdatetime 2017-10-18T02:57:56 --delay 103 --endMP 204:143 --enddatetime 2017-10-18T03:05:55 --enforcementcount 0 &gt;&gt;%USERPROFILE%\Documents\GitHub\eaglep3-reporting\EC\2017-10-18-refined-times.txt</v>
      </c>
      <c r="AI208" s="96" t="str">
        <f t="shared" si="44"/>
        <v>echo {"issue":{"subject":"","project_id":79,"tracker_id":40,"status_id":1,"priority_id":2,"assigned_to_id":338,"start_date":"2017-10-18","description":"","custom_fields":[{"id":1,"name":"Subdivision","value":"Other"},{"id":4,"name":"Milepost","value":"0.0143"},{"id":17,"name":"Train ID","value":"300-18"},{"id":16,"name":"Locomotive ID","value":"4001"},{"id":130,"name":"Impact","value":""},{"id":150,"name":"Time of Event (Mountain Time)","value":"03:05:55"},{"id":151,"name":"Denver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45"/>
        <v>start /low /b %USERPROFILE%\Documents\GitHub\eaglep3\Utilities\DownloadLogsFromS3.py --loco 4001 --day 2017-10-18</v>
      </c>
      <c r="AN208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09:05:55"},{"id":29,"name":"Sharepoint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47"/>
        <v>https://d0f6bd738d7f1b3e5a7ca70fe4ff75f0.us-east-1.aws.found.io/app/kibana#/discover/Steve-Slow-Train-Analysis-(2080s-and-2083s)?_g=(refreshInterval:(display:Off,pause:!f,section:0,value:0),time:(from:'2017-10-18T01:52:48-0600',mode:absolute,to:'2017-10-18T04:05:55-0600'))&amp;_a=(columns:!('Message%20ID',Summary),filters:!(),index:'emp_*',interval:auto,query:(query_string:(analyze_wildcard:!t,query:'%22rtdc.l.rtdc.4001%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774</v>
      </c>
      <c r="B209" s="7">
        <v>4064</v>
      </c>
      <c r="C209" s="21" t="s">
        <v>194</v>
      </c>
      <c r="D209" s="21" t="s">
        <v>872</v>
      </c>
      <c r="E209" s="13">
        <v>43026.778865740744</v>
      </c>
      <c r="F209" s="13">
        <v>43026.780173611114</v>
      </c>
      <c r="G209" s="7">
        <v>57</v>
      </c>
      <c r="H209" s="21" t="s">
        <v>456</v>
      </c>
      <c r="I209" s="13">
        <v>43026.790659722225</v>
      </c>
      <c r="J209" s="7">
        <v>0</v>
      </c>
      <c r="K209" s="89" t="str">
        <f>IF(ISEVEN(B209),(B209-1)&amp;"/"&amp;B209,B209&amp;"/"&amp;(B209+1))</f>
        <v>4063/4064</v>
      </c>
      <c r="L209" s="185" t="str">
        <f>VLOOKUP(A209,'Trips&amp;Operators'!$C$1:$G$99911,5,FALSE)</f>
        <v>GUZMAN DANNY</v>
      </c>
      <c r="M209" s="6">
        <f>I209-F209</f>
        <v>1.0486111110367347E-2</v>
      </c>
      <c r="N209" s="7">
        <f>24*60*SUM($M209:$M209)</f>
        <v>15.099999998928979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-18T17:41:34-0600',mode:absolute,to:'2017-10-18T19:58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9" s="204" t="str">
        <f>IF(AA209&lt;VLOOKUP(AG209,Variables!$AC$3:$AD$8,2,FALSE),"Y","N")</f>
        <v>Y</v>
      </c>
      <c r="X209" s="204">
        <f>VALUE(LEFT(AD209,4))-VALUE(LEFT(AD208,4))</f>
        <v>1</v>
      </c>
      <c r="Y209" s="204">
        <f>RIGHT(D209,LEN(D209)-4)/10000</f>
        <v>4.8399999999999999E-2</v>
      </c>
      <c r="Z209" s="204">
        <f>RIGHT(H209,LEN(H209)-4)/10000</f>
        <v>2.3300999999999998</v>
      </c>
      <c r="AA209" s="204">
        <f>ABS(Z209-Y209)</f>
        <v>2.2816999999999998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>VALUE(LEFT(A209,LEN(A209)-3))</f>
        <v>301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s3://rtdc.mdm.uploadarchive.raw/RTDC4064/ "%USERPROFILE%\AppData\Local\Temp\OnboardLogs"\RTDC4064\2017-10-18 --exclude "*" --recursive --include "*20171018*" &amp; "%USERPROFILE%\Documents\GitHub\mrs-test-scripts\Headless Mode &amp; Sideloading\WalkAndUnGZ.bat" "%USERPROFILE%\AppData\Local\Temp\OnboardLogs"\RTDC4064\2017-10-18 &amp; aws s3 cp s3://rtdc.mdm.uploadarchive.raw/RTDC4064/ "%USERPROFILE%\AppData\Local\Temp\OnboardLogs"\RTDC4064\2017-10-19 --exclude "*" --recursive --include "*20171019*" &amp; "%USERPROFILE%\Documents\GitHub\mrs-test-scripts\Headless Mode &amp; Sideloading\WalkAndUnGZ.bat" "%USERPROFILE%\AppData\Local\Temp\OnboardLogs"\RTDC4064\2017-10-19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/stypes="app*4064*20171019*" /stext=" 00:.+((SYSTEM_STATE.+slice.+state.+changed )|(ment ac)|(multiple cpu faults)|(system.+state.+changed )|(\[timeout)|(PRM\|1\|D)|(kpr)|(kdp)|(train st.+moving)|(\|lc)|(penalty))"</v>
      </c>
      <c r="AG209" s="182" t="str">
        <f>DetSubdiv(A209)</f>
        <v>Other</v>
      </c>
      <c r="AH209" s="78" t="str">
        <f t="shared" si="43"/>
        <v>"%USERPROFILE%\Documents\GitHub\eaglep3\Utilities\RefineRTDCRunTimes.py" --tripid 301-18 --locoid 4064 --swversion DE.1.0.9.0 --startMP 204:484 --initTime 2017-10-18T18:41:34 --startdatetime 2017-10-18T18:43:27 --delay 57 --endMP 300:23301 --enddatetime 2017-10-18T18:58:33 --enforcementcount 0 &gt;&gt;%USERPROFILE%\Documents\GitHub\eaglep3-reporting\EC\2017-10-18-refined-times.txt</v>
      </c>
      <c r="AI209" s="96" t="str">
        <f t="shared" si="44"/>
        <v>echo {"issue":{"subject":"","project_id":79,"tracker_id":40,"status_id":1,"priority_id":2,"assigned_to_id":338,"start_date":"2017-10-18","description":"","custom_fields":[{"id":1,"name":"Subdivision","value":"Other"},{"id":4,"name":"Milepost","value":"2.3301"},{"id":17,"name":"Train ID","value":"301-18"},{"id":16,"name":"Locomotive ID","value":"4064"},{"id":130,"name":"Impact","value":""},{"id":150,"name":"Time of Event (Mountain Time)","value":"18:58:33"},{"id":151,"name":"Denver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45"/>
        <v>start /low /b %USERPROFILE%\Documents\GitHub\eaglep3\Utilities\DownloadLogsFromS3.py --loco 4064 --day 2017-10-18</v>
      </c>
      <c r="AN209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00:58:33"},{"id":29,"name":"Sharepoint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47"/>
        <v>https://d0f6bd738d7f1b3e5a7ca70fe4ff75f0.us-east-1.aws.found.io/app/kibana#/discover/Steve-Slow-Train-Analysis-(2080s-and-2083s)?_g=(refreshInterval:(display:Off,pause:!f,section:0,value:0),time:(from:'2017-10-18T17:41:34-0600',mode:absolute,to:'2017-10-18T19:58:33-0600'))&amp;_a=(columns:!('Message%20ID',Summary),filters:!(),index:'emp_*',interval:auto,query:(query_string:(analyze_wildcard:!t,query:'%22rtdc.l.rtdc.4064%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594</v>
      </c>
      <c r="B210" s="7">
        <v>4019</v>
      </c>
      <c r="C210" s="21" t="s">
        <v>194</v>
      </c>
      <c r="D210" s="21" t="s">
        <v>873</v>
      </c>
      <c r="E210" s="13">
        <v>43026.136956018519</v>
      </c>
      <c r="F210" s="13">
        <v>43026.139988425923</v>
      </c>
      <c r="G210" s="7">
        <v>71</v>
      </c>
      <c r="H210" s="21" t="s">
        <v>360</v>
      </c>
      <c r="I210" s="13">
        <v>43026.146307870367</v>
      </c>
      <c r="J210" s="7">
        <v>0</v>
      </c>
      <c r="K210" s="89" t="str">
        <f>IF(ISEVEN(B210),(B210-1)&amp;"/"&amp;B210,B210&amp;"/"&amp;(B210+1))</f>
        <v>4019/4020</v>
      </c>
      <c r="L210" s="185" t="str">
        <f>VLOOKUP(A210,'Trips&amp;Operators'!$C$1:$G$99911,5,FALSE)</f>
        <v>THOMPSON LESTER</v>
      </c>
      <c r="M210" s="6">
        <f>I210-F210</f>
        <v>6.3194444446708076E-3</v>
      </c>
      <c r="N210" s="7">
        <f>24*60*SUM($M210:$M210)</f>
        <v>9.1000000003259629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-18T02:17:13-0600',mode:absolute,to:'2017-10-18T04:30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0" s="204" t="str">
        <f>IF(AA210&lt;VLOOKUP(AG210,Variables!$AC$3:$AD$8,2,FALSE),"Y","N")</f>
        <v>Y</v>
      </c>
      <c r="X210" s="204">
        <f>VALUE(LEFT(AD210,4))-VALUE(LEFT(AD209,4))</f>
        <v>1</v>
      </c>
      <c r="Y210" s="204">
        <f>RIGHT(D210,LEN(D210)-4)/10000</f>
        <v>2.3525</v>
      </c>
      <c r="Z210" s="204">
        <f>RIGHT(H210,LEN(H210)-4)/10000</f>
        <v>1.61E-2</v>
      </c>
      <c r="AA210" s="204">
        <f>ABS(Z210-Y210)</f>
        <v>2.3364000000000003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>VALUE(LEFT(A210,LEN(A210)-3))</f>
        <v>302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s3://rtdc.mdm.uploadarchive.raw/RTDC4019/ "%USERPROFILE%\AppData\Local\Temp\OnboardLogs"\RTDC4019\2017-10-18 --exclude "*" --recursive --include "*20171018*" &amp; "%USERPROFILE%\Documents\GitHub\mrs-test-scripts\Headless Mode &amp; Sideloading\WalkAndUnGZ.bat" "%USERPROFILE%\AppData\Local\Temp\OnboardLogs"\RTDC4019\2017-10-18 &amp; aws s3 cp s3://rtdc.mdm.uploadarchive.raw/RTDC4019/ "%USERPROFILE%\AppData\Local\Temp\OnboardLogs"\RTDC4019\2017-10-19 --exclude "*" --recursive --include "*20171019*" &amp; "%USERPROFILE%\Documents\GitHub\mrs-test-scripts\Headless Mode &amp; Sideloading\WalkAndUnGZ.bat" "%USERPROFILE%\AppData\Local\Temp\OnboardLogs"\RTDC4019\2017-10-19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/stypes="app*4019*20171018*" /stext=" 09:.+((SYSTEM_STATE.+slice.+state.+changed )|(ment ac)|(multiple cpu faults)|(system.+state.+changed )|(\[timeout)|(PRM\|1\|D)|(kpr)|(kdp)|(train st.+moving)|(\|lc)|(penalty))"</v>
      </c>
      <c r="AG210" s="182" t="str">
        <f>DetSubdiv(A210)</f>
        <v>Other</v>
      </c>
      <c r="AH210" s="78" t="str">
        <f t="shared" si="43"/>
        <v>"%USERPROFILE%\Documents\GitHub\eaglep3\Utilities\RefineRTDCRunTimes.py" --tripid 302-18 --locoid 4019 --swversion DE.1.0.9.0 --startMP 300:23525 --initTime 2017-10-18T03:17:13 --startdatetime 2017-10-18T03:21:35 --delay 71 --endMP 204:161 --enddatetime 2017-10-18T03:30:41 --enforcementcount 0 &gt;&gt;%USERPROFILE%\Documents\GitHub\eaglep3-reporting\EC\2017-10-18-refined-times.txt</v>
      </c>
      <c r="AI210" s="96" t="str">
        <f t="shared" si="44"/>
        <v>echo {"issue":{"subject":"","project_id":79,"tracker_id":40,"status_id":1,"priority_id":2,"assigned_to_id":338,"start_date":"2017-10-18","description":"","custom_fields":[{"id":1,"name":"Subdivision","value":"Other"},{"id":4,"name":"Milepost","value":"0.0161"},{"id":17,"name":"Train ID","value":"302-18"},{"id":16,"name":"Locomotive ID","value":"4019"},{"id":130,"name":"Impact","value":""},{"id":150,"name":"Time of Event (Mountain Time)","value":"03:30:41"},{"id":151,"name":"Denver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45"/>
        <v>start /low /b %USERPROFILE%\Documents\GitHub\eaglep3\Utilities\DownloadLogsFromS3.py --loco 4019 --day 2017-10-18</v>
      </c>
      <c r="AN210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09:30:41"},{"id":29,"name":"Sharepoint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47"/>
        <v>https://d0f6bd738d7f1b3e5a7ca70fe4ff75f0.us-east-1.aws.found.io/app/kibana#/discover/Steve-Slow-Train-Analysis-(2080s-and-2083s)?_g=(refreshInterval:(display:Off,pause:!f,section:0,value:0),time:(from:'2017-10-18T02:17:13-0600',mode:absolute,to:'2017-10-18T04:30:41-0600'))&amp;_a=(columns:!('Message%20ID',Summary),filters:!(),index:'emp_*',interval:auto,query:(query_string:(analyze_wildcard:!t,query:'%22rtdc.l.rtdc.4019%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600</v>
      </c>
      <c r="B211" s="7">
        <v>4039</v>
      </c>
      <c r="C211" s="21" t="s">
        <v>194</v>
      </c>
      <c r="D211" s="21" t="s">
        <v>874</v>
      </c>
      <c r="E211" s="13">
        <v>43026.159907407404</v>
      </c>
      <c r="F211" s="13">
        <v>43026.162407407406</v>
      </c>
      <c r="G211" s="7">
        <v>55</v>
      </c>
      <c r="H211" s="21" t="s">
        <v>335</v>
      </c>
      <c r="I211" s="13">
        <v>43026.167557870373</v>
      </c>
      <c r="J211" s="7">
        <v>0</v>
      </c>
      <c r="K211" s="89" t="str">
        <f>IF(ISEVEN(B211),(B211-1)&amp;"/"&amp;B211,B211&amp;"/"&amp;(B211+1))</f>
        <v>4039/4040</v>
      </c>
      <c r="L211" s="185" t="str">
        <f>VLOOKUP(A211,'Trips&amp;Operators'!$C$1:$G$99911,5,FALSE)</f>
        <v>YORK EDGAR</v>
      </c>
      <c r="M211" s="6">
        <f>I211-F211</f>
        <v>5.1504629664123058E-3</v>
      </c>
      <c r="N211" s="7">
        <f>24*60*SUM($M211:$M211)</f>
        <v>7.4166666716337204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-18T02:50:16-0600',mode:absolute,to:'2017-10-18T05:01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2</v>
      </c>
      <c r="Y211" s="204">
        <f>RIGHT(D211,LEN(D211)-4)/10000</f>
        <v>2.3252000000000002</v>
      </c>
      <c r="Z211" s="204">
        <f>RIGHT(H211,LEN(H211)-4)/10000</f>
        <v>1.4999999999999999E-2</v>
      </c>
      <c r="AA211" s="204">
        <f>ABS(Z211-Y211)</f>
        <v>2.3102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>VALUE(LEFT(A211,LEN(A211)-3))</f>
        <v>304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s3://rtdc.mdm.uploadarchive.raw/RTDC4039/ "%USERPROFILE%\AppData\Local\Temp\OnboardLogs"\RTDC4039\2017-10-18 --exclude "*" --recursive --include "*20171018*" &amp; "%USERPROFILE%\Documents\GitHub\mrs-test-scripts\Headless Mode &amp; Sideloading\WalkAndUnGZ.bat" "%USERPROFILE%\AppData\Local\Temp\OnboardLogs"\RTDC4039\2017-10-18 &amp; aws s3 cp s3://rtdc.mdm.uploadarchive.raw/RTDC4039/ "%USERPROFILE%\AppData\Local\Temp\OnboardLogs"\RTDC4039\2017-10-19 --exclude "*" --recursive --include "*20171019*" &amp; "%USERPROFILE%\Documents\GitHub\mrs-test-scripts\Headless Mode &amp; Sideloading\WalkAndUnGZ.bat" "%USERPROFILE%\AppData\Local\Temp\OnboardLogs"\RTDC4039\2017-10-19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/stypes="app*4039*20171018*" /stext=" 10:.+((SYSTEM_STATE.+slice.+state.+changed )|(ment ac)|(multiple cpu faults)|(system.+state.+changed )|(\[timeout)|(PRM\|1\|D)|(kpr)|(kdp)|(train st.+moving)|(\|lc)|(penalty))"</v>
      </c>
      <c r="AG211" s="182" t="str">
        <f>DetSubdiv(A211)</f>
        <v>Other</v>
      </c>
      <c r="AH211" s="78" t="str">
        <f t="shared" si="43"/>
        <v>"%USERPROFILE%\Documents\GitHub\eaglep3\Utilities\RefineRTDCRunTimes.py" --tripid 304-18 --locoid 4039 --swversion DE.1.0.9.0 --startMP 300:23252 --initTime 2017-10-18T03:50:16 --startdatetime 2017-10-18T03:53:52 --delay 55 --endMP 204:150 --enddatetime 2017-10-18T04:01:17 --enforcementcount 0 &gt;&gt;%USERPROFILE%\Documents\GitHub\eaglep3-reporting\EC\2017-10-18-refined-times.txt</v>
      </c>
      <c r="AI211" s="96" t="str">
        <f t="shared" si="44"/>
        <v>echo {"issue":{"subject":"","project_id":79,"tracker_id":40,"status_id":1,"priority_id":2,"assigned_to_id":338,"start_date":"2017-10-18","description":"","custom_fields":[{"id":1,"name":"Subdivision","value":"Other"},{"id":4,"name":"Milepost","value":"0.015"},{"id":17,"name":"Train ID","value":"304-18"},{"id":16,"name":"Locomotive ID","value":"4039"},{"id":130,"name":"Impact","value":""},{"id":150,"name":"Time of Event (Mountain Time)","value":"04:01:17"},{"id":151,"name":"Denver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45"/>
        <v>start /low /b %USERPROFILE%\Documents\GitHub\eaglep3\Utilities\DownloadLogsFromS3.py --loco 4039 --day 2017-10-18</v>
      </c>
      <c r="AN211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10:01:17"},{"id":29,"name":"Sharepoint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47"/>
        <v>https://d0f6bd738d7f1b3e5a7ca70fe4ff75f0.us-east-1.aws.found.io/app/kibana#/discover/Steve-Slow-Train-Analysis-(2080s-and-2083s)?_g=(refreshInterval:(display:Off,pause:!f,section:0,value:0),time:(from:'2017-10-18T02:50:16-0600',mode:absolute,to:'2017-10-18T05:01:17-0600'))&amp;_a=(columns:!('Message%20ID',Summary),filters:!(),index:'emp_*',interval:auto,query:(query_string:(analyze_wildcard:!t,query:'%22rtdc.l.rtdc.4039%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783</v>
      </c>
      <c r="B212" s="7">
        <v>4062</v>
      </c>
      <c r="C212" s="21" t="s">
        <v>194</v>
      </c>
      <c r="D212" s="21" t="s">
        <v>344</v>
      </c>
      <c r="E212" s="13">
        <v>43026.818865740737</v>
      </c>
      <c r="F212" s="13">
        <v>43026.819930555554</v>
      </c>
      <c r="G212" s="7">
        <v>47</v>
      </c>
      <c r="H212" s="21" t="s">
        <v>533</v>
      </c>
      <c r="I212" s="13">
        <v>43026.828101851854</v>
      </c>
      <c r="J212" s="7">
        <v>0</v>
      </c>
      <c r="K212" s="89" t="str">
        <f>IF(ISEVEN(B212),(B212-1)&amp;"/"&amp;B212,B212&amp;"/"&amp;(B212+1))</f>
        <v>4061/4062</v>
      </c>
      <c r="L212" s="185" t="str">
        <f>VLOOKUP(A212,'Trips&amp;Operators'!$C$1:$G$99911,5,FALSE)</f>
        <v>HOLCOMB KAMDEN</v>
      </c>
      <c r="M212" s="6">
        <f>I212-F212</f>
        <v>8.1712963001336902E-3</v>
      </c>
      <c r="N212" s="7">
        <f>24*60*SUM($M212:$M212)</f>
        <v>11.766666672192514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-10-18T18:39:10-0600',mode:absolute,to:'2017-10-18T20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1</v>
      </c>
      <c r="Y212" s="204">
        <f>RIGHT(D212,LEN(D212)-4)/10000</f>
        <v>4.5499999999999999E-2</v>
      </c>
      <c r="Z212" s="204">
        <f>RIGHT(H212,LEN(H212)-4)/10000</f>
        <v>2.3302</v>
      </c>
      <c r="AA212" s="204">
        <f>ABS(Z212-Y212)</f>
        <v>2.2847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>VALUE(LEFT(A212,LEN(A212)-3))</f>
        <v>305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s3://rtdc.mdm.uploadarchive.raw/RTDC4062/ "%USERPROFILE%\AppData\Local\Temp\OnboardLogs"\RTDC4062\2017-10-18 --exclude "*" --recursive --include "*20171018*" &amp; "%USERPROFILE%\Documents\GitHub\mrs-test-scripts\Headless Mode &amp; Sideloading\WalkAndUnGZ.bat" "%USERPROFILE%\AppData\Local\Temp\OnboardLogs"\RTDC4062\2017-10-18 &amp; aws s3 cp s3://rtdc.mdm.uploadarchive.raw/RTDC4062/ "%USERPROFILE%\AppData\Local\Temp\OnboardLogs"\RTDC4062\2017-10-19 --exclude "*" --recursive --include "*20171019*" &amp; "%USERPROFILE%\Documents\GitHub\mrs-test-scripts\Headless Mode &amp; Sideloading\WalkAndUnGZ.bat" "%USERPROFILE%\AppData\Local\Temp\OnboardLogs"\RTDC4062\2017-10-19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/stypes="app*4062*20171019*" /stext=" 01:.+((SYSTEM_STATE.+slice.+state.+changed )|(ment ac)|(multiple cpu faults)|(system.+state.+changed )|(\[timeout)|(PRM\|1\|D)|(kpr)|(kdp)|(train st.+moving)|(\|lc)|(penalty))"</v>
      </c>
      <c r="AG212" s="182" t="str">
        <f>DetSubdiv(A212)</f>
        <v>Other</v>
      </c>
      <c r="AH212" s="78" t="str">
        <f t="shared" si="43"/>
        <v>"%USERPROFILE%\Documents\GitHub\eaglep3\Utilities\RefineRTDCRunTimes.py" --tripid 305-18 --locoid 4062 --swversion DE.1.0.9.0 --startMP 204:455 --initTime 2017-10-18T19:39:10 --startdatetime 2017-10-18T19:40:42 --delay 47 --endMP 300:23302 --enddatetime 2017-10-18T19:52:28 --enforcementcount 0 &gt;&gt;%USERPROFILE%\Documents\GitHub\eaglep3-reporting\EC\2017-10-18-refined-times.txt</v>
      </c>
      <c r="AI212" s="96" t="str">
        <f t="shared" si="44"/>
        <v>echo {"issue":{"subject":"","project_id":79,"tracker_id":40,"status_id":1,"priority_id":2,"assigned_to_id":338,"start_date":"2017-10-18","description":"","custom_fields":[{"id":1,"name":"Subdivision","value":"Other"},{"id":4,"name":"Milepost","value":"2.3302"},{"id":17,"name":"Train ID","value":"305-18"},{"id":16,"name":"Locomotive ID","value":"4062"},{"id":130,"name":"Impact","value":""},{"id":150,"name":"Time of Event (Mountain Time)","value":"19:52:28"},{"id":151,"name":"Denver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45"/>
        <v>start /low /b %USERPROFILE%\Documents\GitHub\eaglep3\Utilities\DownloadLogsFromS3.py --loco 4062 --day 2017-10-18</v>
      </c>
      <c r="AN212" s="151" t="str">
        <f t="shared" si="46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01:52:28"},{"id":29,"name":"Sharepoint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47"/>
        <v>https://d0f6bd738d7f1b3e5a7ca70fe4ff75f0.us-east-1.aws.found.io/app/kibana#/discover/Steve-Slow-Train-Analysis-(2080s-and-2083s)?_g=(refreshInterval:(display:Off,pause:!f,section:0,value:0),time:(from:'2017-10-18T18:39:10-0600',mode:absolute,to:'2017-10-18T20:52:28-0600'))&amp;_a=(columns:!('Message%20ID',Summary),filters:!(),index:'emp_*',interval:auto,query:(query_string:(analyze_wildcard:!t,query:'%22rtdc.l.rtdc.4062%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602</v>
      </c>
      <c r="B213" s="7">
        <v>4043</v>
      </c>
      <c r="C213" s="21" t="s">
        <v>194</v>
      </c>
      <c r="D213" s="21" t="s">
        <v>875</v>
      </c>
      <c r="E213" s="13">
        <v>43026.166967592595</v>
      </c>
      <c r="F213" s="13">
        <v>43026.170347222222</v>
      </c>
      <c r="G213" s="7">
        <v>83</v>
      </c>
      <c r="H213" s="21" t="s">
        <v>360</v>
      </c>
      <c r="I213" s="13">
        <v>43026.179768518516</v>
      </c>
      <c r="J213" s="7">
        <v>0</v>
      </c>
      <c r="K213" s="89" t="str">
        <f>IF(ISEVEN(B213),(B213-1)&amp;"/"&amp;B213,B213&amp;"/"&amp;(B213+1))</f>
        <v>4043/4044</v>
      </c>
      <c r="L213" s="185" t="str">
        <f>VLOOKUP(A213,'Trips&amp;Operators'!$C$1:$G$99911,5,FALSE)</f>
        <v>YANG JAN</v>
      </c>
      <c r="M213" s="6">
        <f>I213-F213</f>
        <v>9.4212962940218858E-3</v>
      </c>
      <c r="N213" s="7">
        <f>24*60*SUM($M213:$M213)</f>
        <v>13.566666663391516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-18T03:00:26-0600',mode:absolute,to:'2017-10-18T05:18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1</v>
      </c>
      <c r="Y213" s="204">
        <f>RIGHT(D213,LEN(D213)-4)/10000</f>
        <v>2.3582000000000001</v>
      </c>
      <c r="Z213" s="204">
        <f>RIGHT(H213,LEN(H213)-4)/10000</f>
        <v>1.61E-2</v>
      </c>
      <c r="AA213" s="204">
        <f>ABS(Z213-Y213)</f>
        <v>2.3421000000000003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>VALUE(LEFT(A213,LEN(A213)-3))</f>
        <v>306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s3://rtdc.mdm.uploadarchive.raw/RTDC4043/ "%USERPROFILE%\AppData\Local\Temp\OnboardLogs"\RTDC4043\2017-10-18 --exclude "*" --recursive --include "*20171018*" &amp; "%USERPROFILE%\Documents\GitHub\mrs-test-scripts\Headless Mode &amp; Sideloading\WalkAndUnGZ.bat" "%USERPROFILE%\AppData\Local\Temp\OnboardLogs"\RTDC4043\2017-10-18 &amp; 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/stypes="app*4043*20171018*" /stext=" 10:.+((SYSTEM_STATE.+slice.+state.+changed )|(ment ac)|(multiple cpu faults)|(system.+state.+changed )|(\[timeout)|(PRM\|1\|D)|(kpr)|(kdp)|(train st.+moving)|(\|lc)|(penalty))"</v>
      </c>
      <c r="AG213" s="182" t="str">
        <f>DetSubdiv(A213)</f>
        <v>Other</v>
      </c>
      <c r="AH213" s="78" t="str">
        <f t="shared" si="43"/>
        <v>"%USERPROFILE%\Documents\GitHub\eaglep3\Utilities\RefineRTDCRunTimes.py" --tripid 306-18 --locoid 4043 --swversion DE.1.0.9.0 --startMP 300:23582 --initTime 2017-10-18T04:00:26 --startdatetime 2017-10-18T04:05:18 --delay 83 --endMP 204:161 --enddatetime 2017-10-18T04:18:52 --enforcementcount 0 &gt;&gt;%USERPROFILE%\Documents\GitHub\eaglep3-reporting\EC\2017-10-18-refined-times.txt</v>
      </c>
      <c r="AI213" s="96" t="str">
        <f t="shared" si="44"/>
        <v>echo {"issue":{"subject":"","project_id":79,"tracker_id":40,"status_id":1,"priority_id":2,"assigned_to_id":338,"start_date":"2017-10-18","description":"","custom_fields":[{"id":1,"name":"Subdivision","value":"Other"},{"id":4,"name":"Milepost","value":"0.0161"},{"id":17,"name":"Train ID","value":"306-18"},{"id":16,"name":"Locomotive ID","value":"4043"},{"id":130,"name":"Impact","value":""},{"id":150,"name":"Time of Event (Mountain Time)","value":"04:18:52"},{"id":151,"name":"Denver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45"/>
        <v>start /low /b %USERPROFILE%\Documents\GitHub\eaglep3\Utilities\DownloadLogsFromS3.py --loco 4043 --day 2017-10-18</v>
      </c>
      <c r="AN213" s="151" t="str">
        <f t="shared" si="46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10:18:52"},{"id":29,"name":"Sharepoint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47"/>
        <v>https://d0f6bd738d7f1b3e5a7ca70fe4ff75f0.us-east-1.aws.found.io/app/kibana#/discover/Steve-Slow-Train-Analysis-(2080s-and-2083s)?_g=(refreshInterval:(display:Off,pause:!f,section:0,value:0),time:(from:'2017-10-18T03:00:26-0600',mode:absolute,to:'2017-10-18T05:18:52-0600'))&amp;_a=(columns:!('Message%20ID',Summary),filters:!(),index:'emp_*',interval:auto,query:(query_string:(analyze_wildcard:!t,query:'%22rtdc.l.rtdc.4043%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813</v>
      </c>
      <c r="B214" s="7">
        <v>4020</v>
      </c>
      <c r="C214" s="21" t="s">
        <v>194</v>
      </c>
      <c r="D214" s="21" t="s">
        <v>344</v>
      </c>
      <c r="E214" s="13">
        <v>43027.045925925922</v>
      </c>
      <c r="F214" s="13">
        <v>43027.047280092593</v>
      </c>
      <c r="G214" s="7">
        <v>67</v>
      </c>
      <c r="H214" s="21" t="s">
        <v>420</v>
      </c>
      <c r="I214" s="13">
        <v>43027.056666666664</v>
      </c>
      <c r="J214" s="7">
        <v>0</v>
      </c>
      <c r="K214" s="89" t="str">
        <f>IF(ISEVEN(B214),(B214-1)&amp;"/"&amp;B214,B214&amp;"/"&amp;(B214+1))</f>
        <v>4019/4020</v>
      </c>
      <c r="L214" s="185">
        <f>VLOOKUP(A214,'Trips&amp;Operators'!$C$1:$G$99911,5,FALSE)</f>
        <v>0</v>
      </c>
      <c r="M214" s="6">
        <f>I214-F214</f>
        <v>9.3865740709588863E-3</v>
      </c>
      <c r="N214" s="7">
        <f>24*60*SUM($M214:$M214)</f>
        <v>13.516666662180796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-19T00:06:08-0600',mode:absolute,to:'2017-10-19T02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1</v>
      </c>
      <c r="Y214" s="204">
        <f>RIGHT(D214,LEN(D214)-4)/10000</f>
        <v>4.5499999999999999E-2</v>
      </c>
      <c r="Z214" s="204">
        <f>RIGHT(H214,LEN(H214)-4)/10000</f>
        <v>2.3346</v>
      </c>
      <c r="AA214" s="204">
        <f>ABS(Z214-Y214)</f>
        <v>2.2890999999999999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>VALUE(LEFT(A214,LEN(A214)-3))</f>
        <v>307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s3://rtdc.mdm.uploadarchive.raw/RTDC4020/ "%USERPROFILE%\AppData\Local\Temp\OnboardLogs"\RTDC4020\2017-10-19 --exclude "*" --recursive --include "*20171019*" &amp; "%USERPROFILE%\Documents\GitHub\mrs-test-scripts\Headless Mode &amp; Sideloading\WalkAndUnGZ.bat" "%USERPROFILE%\AppData\Local\Temp\OnboardLogs"\RTDC4020\2017-10-19 &amp; aws s3 cp s3://rtdc.mdm.uploadarchive.raw/RTDC4020/ "%USERPROFILE%\AppData\Local\Temp\OnboardLogs"\RTDC4020\2017-10-20 --exclude "*" --recursive --include "*20171020*" &amp; "%USERPROFILE%\Documents\GitHub\mrs-test-scripts\Headless Mode &amp; Sideloading\WalkAndUnGZ.bat" "%USERPROFILE%\AppData\Local\Temp\OnboardLogs"\RTDC4020\2017-10-20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/stypes="app*4020*20171019*" /stext=" 07:.+((SYSTEM_STATE.+slice.+state.+changed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ref="AH214:AH255" si="72">refinertdcruntimes&amp;" --tripid "&amp;A214&amp;" --locoid "&amp;B214&amp;" --swversion "&amp;C214&amp;" --startMP "&amp;D214&amp;" --initTime "&amp;TEXT(E214,"yyyy-mm-ddTHH:MM:SS")&amp;" --startdatetime "&amp;TEXT(F214,"yyyy-mm-ddTHH:MM:SS")&amp;" --delay "&amp;G214&amp;" --endMP "&amp;H214&amp;" --enddatetime "&amp;TEXT(I214,"yyyy-mm-ddTHH:MM:SS")&amp;" --enforcementcount "&amp;J214&amp;IF(outputrefinedruntimes," &gt;&gt;"&amp;RefinedRTDCRunTimesOutputFile,"")</f>
        <v>"%USERPROFILE%\Documents\GitHub\eaglep3\Utilities\RefineRTDCRunTimes.py" --tripid 307-18 --locoid 4020 --swversion DE.1.0.9.0 --startMP 204:455 --initTime 2017-10-19T01:06:08 --startdatetime 2017-10-19T01:08:05 --delay 67 --endMP 300:23346 --enddatetime 2017-10-19T01:21:36 --enforcementcount 0 &gt;&gt;%USERPROFILE%\Documents\GitHub\eaglep3-reporting\EC\2017-10-18-refined-times.txt</v>
      </c>
      <c r="AI214" s="96" t="str">
        <f t="shared" ref="AI214:AI255" si="73">"echo {""issue"":{""subject"":"""&amp;R214&amp;""",""project_id"":79,""tracker_id"":40,""status_id"":"&amp;redmine_status&amp;",""priority_id"":"&amp;redmine_priority&amp;",""assigned_to_id"":"&amp;redmine_assignee&amp;",""start_date"":"""&amp;TEXT(I214,"YYYY-mm-dd")&amp;""",""description"":"""&amp;AJ214&amp;""",""custom_fields"":[{""id"":1,""name"":""Subdivision"",""value"":"""&amp;AG214&amp;"""},{""id"":4,""name"":""Milepost"",""value"":"""&amp;Z214&amp;"""},{""id"":17,""name"":""Train ID"",""value"":"""&amp;A214&amp;"""},{""id"":16,""name"":""Locomotive ID"",""value"":"""&amp;B214&amp;"""},{""id"":130,""name"":""Impact"",""value"":"""&amp;AK214&amp;"""},{""id"":150,""name"":""Time of Event (Mountain Time)"",""value"":"""&amp;TEXT(I214,"hh:mm:ss")&amp;"""},{""id"":151,""name"":""Denver Issue ID"",""value"":"""&amp;"""},{""id"":178,""name"":""Operational Impact"",""value"":"""&amp;redmine_op_impact&amp;"""},{""id"":179,""name"":""Denver Segment Assigned"",""value"":"""&amp;AL214&amp;"""}]}}"&amp;"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{"issue":{"subject":"","project_id":79,"tracker_id":40,"status_id":1,"priority_id":2,"assigned_to_id":338,"start_date":"2017-10-19","description":"","custom_fields":[{"id":1,"name":"Subdivision","value":"Other"},{"id":4,"name":"Milepost","value":"2.3346"},{"id":17,"name":"Train ID","value":"307-18"},{"id":16,"name":"Locomotive ID","value":"4020"},{"id":130,"name":"Impact","value":""},{"id":150,"name":"Time of Event (Mountain Time)","value":"01:21:36"},{"id":151,"name":"Denver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ref="AM214:AM255" si="74">"start /low /b "&amp;dls3logs&amp;" --loco "&amp;B214&amp;" --day "&amp;TEXT(F214,"YYYY-MM-DD")</f>
        <v>start /low /b %USERPROFILE%\Documents\GitHub\eaglep3\Utilities\DownloadLogsFromS3.py --loco 4020 --day 2017-10-19</v>
      </c>
      <c r="AN214" s="151" t="str">
        <f t="shared" ref="AN214:AN255" si="75">"echo {""issue"":{""subject"":"""&amp;R214&amp;""",""project_id"":30,""tracker_id"":4,""status_id"":"&amp;redmine_status_wcr&amp;",""priority_id"":"&amp;redmine_priority_wcr&amp;",""assigned_to_id"":"&amp;redmine_assignee_wcr&amp;",""start_date"":"""&amp;TEXT(I214-utc_offset/24,"YYYY-mm-dd")&amp;""",""description"":"""&amp;AJ214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07:21:36"},{"id":29,"name":"Sharepoint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ref="AO214:AO255" si="76"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Message%20ID',Summary),filters:!(),index:'emp_*',interval:auto,query:"&amp;"(query_string:(analyze_wildcard:!t,query:'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-19T00:06:08-0600',mode:absolute,to:'2017-10-19T02:21:36-0600'))&amp;_a=(columns:!('Message%20ID',Summary),filters:!(),index:'emp_*',interval:auto,query:(query_string:(analyze_wildcard:!t,query:'%22rtdc.l.rtdc.4020%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607</v>
      </c>
      <c r="B215" s="7">
        <v>4063</v>
      </c>
      <c r="C215" s="21" t="s">
        <v>194</v>
      </c>
      <c r="D215" s="21" t="s">
        <v>876</v>
      </c>
      <c r="E215" s="13">
        <v>43026.184432870374</v>
      </c>
      <c r="F215" s="13">
        <v>43026.187199074076</v>
      </c>
      <c r="G215" s="7">
        <v>68</v>
      </c>
      <c r="H215" s="21" t="s">
        <v>357</v>
      </c>
      <c r="I215" s="13">
        <v>43026.192824074074</v>
      </c>
      <c r="J215" s="7">
        <v>0</v>
      </c>
      <c r="K215" s="89" t="str">
        <f>IF(ISEVEN(B215),(B215-1)&amp;"/"&amp;B215,B215&amp;"/"&amp;(B215+1))</f>
        <v>4063/4064</v>
      </c>
      <c r="L215" s="185" t="str">
        <f>VLOOKUP(A215,'Trips&amp;Operators'!$C$1:$G$99911,5,FALSE)</f>
        <v>DAVIS WENDY</v>
      </c>
      <c r="M215" s="6">
        <f>I215-F215</f>
        <v>5.6249999979627319E-3</v>
      </c>
      <c r="N215" s="7">
        <f>24*60*SUM($M215:$M215)</f>
        <v>8.0999999970663339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-10-18T03:25:35-0600',mode:absolute,to:'2017-10-18T05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2.2549999999999999</v>
      </c>
      <c r="Z215" s="204">
        <f>RIGHT(H215,LEN(H215)-4)/10000</f>
        <v>1.5599999999999999E-2</v>
      </c>
      <c r="AA215" s="204">
        <f>ABS(Z215-Y215)</f>
        <v>2.2393999999999998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>VALUE(LEFT(A215,LEN(A215)-3))</f>
        <v>308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s3://rtdc.mdm.uploadarchive.raw/RTDC4063/ "%USERPROFILE%\AppData\Local\Temp\OnboardLogs"\RTDC4063\2017-10-18 --exclude "*" --recursive --include "*20171018*" &amp; "%USERPROFILE%\Documents\GitHub\mrs-test-scripts\Headless Mode &amp; Sideloading\WalkAndUnGZ.bat" "%USERPROFILE%\AppData\Local\Temp\OnboardLogs"\RTDC4063\2017-10-18 &amp; aws s3 cp s3://rtdc.mdm.uploadarchive.raw/RTDC4063/ "%USERPROFILE%\AppData\Local\Temp\OnboardLogs"\RTDC4063\2017-10-19 --exclude "*" --recursive --include "*20171019*" &amp; "%USERPROFILE%\Documents\GitHub\mrs-test-scripts\Headless Mode &amp; Sideloading\WalkAndUnGZ.bat" "%USERPROFILE%\AppData\Local\Temp\OnboardLogs"\RTDC4063\2017-10-19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/stypes="app*4063*20171018*" /stext=" 10:.+((SYSTEM_STATE.+slice.+state.+changed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si="72"/>
        <v>"%USERPROFILE%\Documents\GitHub\eaglep3\Utilities\RefineRTDCRunTimes.py" --tripid 308-18 --locoid 4063 --swversion DE.1.0.9.0 --startMP 300:22550 --initTime 2017-10-18T04:25:35 --startdatetime 2017-10-18T04:29:34 --delay 68 --endMP 204:156 --enddatetime 2017-10-18T04:37:40 --enforcementcount 0 &gt;&gt;%USERPROFILE%\Documents\GitHub\eaglep3-reporting\EC\2017-10-18-refined-times.txt</v>
      </c>
      <c r="AI215" s="96" t="str">
        <f t="shared" si="73"/>
        <v>echo {"issue":{"subject":"","project_id":79,"tracker_id":40,"status_id":1,"priority_id":2,"assigned_to_id":338,"start_date":"2017-10-18","description":"","custom_fields":[{"id":1,"name":"Subdivision","value":"Other"},{"id":4,"name":"Milepost","value":"0.0156"},{"id":17,"name":"Train ID","value":"308-18"},{"id":16,"name":"Locomotive ID","value":"4063"},{"id":130,"name":"Impact","value":""},{"id":150,"name":"Time of Event (Mountain Time)","value":"04:37:40"},{"id":151,"name":"Denver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74"/>
        <v>start /low /b %USERPROFILE%\Documents\GitHub\eaglep3\Utilities\DownloadLogsFromS3.py --loco 4063 --day 2017-10-18</v>
      </c>
      <c r="AN215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10:37:40"},{"id":29,"name":"Sharepoint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76"/>
        <v>https://d0f6bd738d7f1b3e5a7ca70fe4ff75f0.us-east-1.aws.found.io/app/kibana#/discover/Steve-Slow-Train-Analysis-(2080s-and-2083s)?_g=(refreshInterval:(display:Off,pause:!f,section:0,value:0),time:(from:'2017-10-18T03:25:35-0600',mode:absolute,to:'2017-10-18T05:37:40-0600'))&amp;_a=(columns:!('Message%20ID',Summary),filters:!(),index:'emp_*',interval:auto,query:(query_string:(analyze_wildcard:!t,query:'%22rtdc.l.rtdc.4063%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815</v>
      </c>
      <c r="B216" s="7">
        <v>4040</v>
      </c>
      <c r="C216" s="21" t="s">
        <v>194</v>
      </c>
      <c r="D216" s="21" t="s">
        <v>334</v>
      </c>
      <c r="E216" s="13">
        <v>43027.068391203706</v>
      </c>
      <c r="F216" s="13">
        <v>43027.070717592593</v>
      </c>
      <c r="G216" s="7">
        <v>109</v>
      </c>
      <c r="H216" s="21" t="s">
        <v>877</v>
      </c>
      <c r="I216" s="13">
        <v>43027.078182870369</v>
      </c>
      <c r="J216" s="7">
        <v>0</v>
      </c>
      <c r="K216" s="89" t="str">
        <f>IF(ISEVEN(B216),(B216-1)&amp;"/"&amp;B216,B216&amp;"/"&amp;(B216+1))</f>
        <v>4039/4040</v>
      </c>
      <c r="L216" s="185">
        <f>VLOOKUP(A216,'Trips&amp;Operators'!$C$1:$G$99911,5,FALSE)</f>
        <v>0</v>
      </c>
      <c r="M216" s="6">
        <f>I216-F216</f>
        <v>7.4652777766459621E-3</v>
      </c>
      <c r="N216" s="7">
        <f>24*60*SUM($M216:$M216)</f>
        <v>10.749999998370185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-10-19T00:38:29-0600',mode:absolute,to:'2017-10-19T02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4.4600000000000001E-2</v>
      </c>
      <c r="Z216" s="204">
        <f>RIGHT(H216,LEN(H216)-4)/10000</f>
        <v>2.3311999999999999</v>
      </c>
      <c r="AA216" s="204">
        <f>ABS(Z216-Y216)</f>
        <v>2.2866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>VALUE(LEFT(A216,LEN(A216)-3))</f>
        <v>309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s3://rtdc.mdm.uploadarchive.raw/RTDC4040/ "%USERPROFILE%\AppData\Local\Temp\OnboardLogs"\RTDC4040\2017-10-19 --exclude "*" --recursive --include "*20171019*" &amp; "%USERPROFILE%\Documents\GitHub\mrs-test-scripts\Headless Mode &amp; Sideloading\WalkAndUnGZ.bat" "%USERPROFILE%\AppData\Local\Temp\OnboardLogs"\RTDC4040\2017-10-19 &amp; aws s3 cp s3://rtdc.mdm.uploadarchive.raw/RTDC4040/ "%USERPROFILE%\AppData\Local\Temp\OnboardLogs"\RTDC4040\2017-10-20 --exclude "*" --recursive --include "*20171020*" &amp; "%USERPROFILE%\Documents\GitHub\mrs-test-scripts\Headless Mode &amp; Sideloading\WalkAndUnGZ.bat" "%USERPROFILE%\AppData\Local\Temp\OnboardLogs"\RTDC4040\2017-10-20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/stypes="app*4040*20171019*" /stext=" 07:.+((SYSTEM_STATE.+slice.+state.+changed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si="72"/>
        <v>"%USERPROFILE%\Documents\GitHub\eaglep3\Utilities\RefineRTDCRunTimes.py" --tripid 309-18 --locoid 4040 --swversion DE.1.0.9.0 --startMP 204:446 --initTime 2017-10-19T01:38:29 --startdatetime 2017-10-19T01:41:50 --delay 109 --endMP 300:23312 --enddatetime 2017-10-19T01:52:35 --enforcementcount 0 &gt;&gt;%USERPROFILE%\Documents\GitHub\eaglep3-reporting\EC\2017-10-18-refined-times.txt</v>
      </c>
      <c r="AI216" s="96" t="str">
        <f t="shared" si="73"/>
        <v>echo {"issue":{"subject":"","project_id":79,"tracker_id":40,"status_id":1,"priority_id":2,"assigned_to_id":338,"start_date":"2017-10-19","description":"","custom_fields":[{"id":1,"name":"Subdivision","value":"Other"},{"id":4,"name":"Milepost","value":"2.3312"},{"id":17,"name":"Train ID","value":"309-18"},{"id":16,"name":"Locomotive ID","value":"4040"},{"id":130,"name":"Impact","value":""},{"id":150,"name":"Time of Event (Mountain Time)","value":"01:52:35"},{"id":151,"name":"Denver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74"/>
        <v>start /low /b %USERPROFILE%\Documents\GitHub\eaglep3\Utilities\DownloadLogsFromS3.py --loco 4040 --day 2017-10-19</v>
      </c>
      <c r="AN216" s="151" t="str">
        <f t="shared" si="7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07:52:35"},{"id":29,"name":"Sharepoint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76"/>
        <v>https://d0f6bd738d7f1b3e5a7ca70fe4ff75f0.us-east-1.aws.found.io/app/kibana#/discover/Steve-Slow-Train-Analysis-(2080s-and-2083s)?_g=(refreshInterval:(display:Off,pause:!f,section:0,value:0),time:(from:'2017-10-19T00:38:29-0600',mode:absolute,to:'2017-10-19T02:52:35-0600'))&amp;_a=(columns:!('Message%20ID',Summary),filters:!(),index:'emp_*',interval:auto,query:(query_string:(analyze_wildcard:!t,query:'%22rtdc.l.rtdc.4040%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612</v>
      </c>
      <c r="B217" s="7">
        <v>4055</v>
      </c>
      <c r="C217" s="21" t="s">
        <v>194</v>
      </c>
      <c r="D217" s="21" t="s">
        <v>878</v>
      </c>
      <c r="E217" s="13">
        <v>43026.195069444446</v>
      </c>
      <c r="F217" s="13">
        <v>43026.197928240741</v>
      </c>
      <c r="G217" s="7">
        <v>79</v>
      </c>
      <c r="H217" s="21" t="s">
        <v>839</v>
      </c>
      <c r="I217" s="13">
        <v>43026.203460648147</v>
      </c>
      <c r="J217" s="7">
        <v>0</v>
      </c>
      <c r="K217" s="89" t="str">
        <f>IF(ISEVEN(B217),(B217-1)&amp;"/"&amp;B217,B217&amp;"/"&amp;(B217+1))</f>
        <v>4055/4056</v>
      </c>
      <c r="L217" s="185" t="str">
        <f>VLOOKUP(A217,'Trips&amp;Operators'!$C$1:$G$99911,5,FALSE)</f>
        <v>YANAI IAN</v>
      </c>
      <c r="M217" s="6">
        <f>I217-F217</f>
        <v>5.5324074055533856E-3</v>
      </c>
      <c r="N217" s="7">
        <f>24*60*SUM($M217:$M217)</f>
        <v>7.9666666639968753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-10-18T03:40:54-0600',mode:absolute,to:'2017-10-18T05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2.3704999999999998</v>
      </c>
      <c r="Z217" s="204">
        <f>RIGHT(H217,LEN(H217)-4)/10000</f>
        <v>1.6299999999999999E-2</v>
      </c>
      <c r="AA217" s="204">
        <f>ABS(Z217-Y217)</f>
        <v>2.3541999999999996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>VALUE(LEFT(A217,LEN(A217)-3))</f>
        <v>310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s3://rtdc.mdm.uploadarchive.raw/RTDC4055/ "%USERPROFILE%\AppData\Local\Temp\OnboardLogs"\RTDC4055\2017-10-18 --exclude "*" --recursive --include "*20171018*" &amp; "%USERPROFILE%\Documents\GitHub\mrs-test-scripts\Headless Mode &amp; Sideloading\WalkAndUnGZ.bat" "%USERPROFILE%\AppData\Local\Temp\OnboardLogs"\RTDC4055\2017-10-18 &amp; aws s3 cp s3://rtdc.mdm.uploadarchive.raw/RTDC4055/ "%USERPROFILE%\AppData\Local\Temp\OnboardLogs"\RTDC4055\2017-10-19 --exclude "*" --recursive --include "*20171019*" &amp; "%USERPROFILE%\Documents\GitHub\mrs-test-scripts\Headless Mode &amp; Sideloading\WalkAndUnGZ.bat" "%USERPROFILE%\AppData\Local\Temp\OnboardLogs"\RTDC4055\2017-10-19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/stypes="app*4055*20171018*" /stext=" 10:.+((SYSTEM_STATE.+slice.+state.+changed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si="72"/>
        <v>"%USERPROFILE%\Documents\GitHub\eaglep3\Utilities\RefineRTDCRunTimes.py" --tripid 310-18 --locoid 4055 --swversion DE.1.0.9.0 --startMP 300:23705 --initTime 2017-10-18T04:40:54 --startdatetime 2017-10-18T04:45:01 --delay 79 --endMP 204:163 --enddatetime 2017-10-18T04:52:59 --enforcementcount 0 &gt;&gt;%USERPROFILE%\Documents\GitHub\eaglep3-reporting\EC\2017-10-18-refined-times.txt</v>
      </c>
      <c r="AI217" s="96" t="str">
        <f t="shared" si="73"/>
        <v>echo {"issue":{"subject":"","project_id":79,"tracker_id":40,"status_id":1,"priority_id":2,"assigned_to_id":338,"start_date":"2017-10-18","description":"","custom_fields":[{"id":1,"name":"Subdivision","value":"Other"},{"id":4,"name":"Milepost","value":"0.0163"},{"id":17,"name":"Train ID","value":"310-18"},{"id":16,"name":"Locomotive ID","value":"4055"},{"id":130,"name":"Impact","value":""},{"id":150,"name":"Time of Event (Mountain Time)","value":"04:52:59"},{"id":151,"name":"Denver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74"/>
        <v>start /low /b %USERPROFILE%\Documents\GitHub\eaglep3\Utilities\DownloadLogsFromS3.py --loco 4055 --day 2017-10-18</v>
      </c>
      <c r="AN217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10:52:59"},{"id":29,"name":"Sharepoint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76"/>
        <v>https://d0f6bd738d7f1b3e5a7ca70fe4ff75f0.us-east-1.aws.found.io/app/kibana#/discover/Steve-Slow-Train-Analysis-(2080s-and-2083s)?_g=(refreshInterval:(display:Off,pause:!f,section:0,value:0),time:(from:'2017-10-18T03:40:54-0600',mode:absolute,to:'2017-10-18T05:52:59-0600'))&amp;_a=(columns:!('Message%20ID',Summary),filters:!(),index:'emp_*',interval:auto,query:(query_string:(analyze_wildcard:!t,query:'%22rtdc.l.rtdc.4055%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618</v>
      </c>
      <c r="B218" s="7">
        <v>4061</v>
      </c>
      <c r="C218" s="21" t="s">
        <v>194</v>
      </c>
      <c r="D218" s="21" t="s">
        <v>879</v>
      </c>
      <c r="E218" s="13">
        <v>43026.218935185185</v>
      </c>
      <c r="F218" s="13">
        <v>43026.221620370372</v>
      </c>
      <c r="G218" s="7">
        <v>72</v>
      </c>
      <c r="H218" s="21" t="s">
        <v>880</v>
      </c>
      <c r="I218" s="13">
        <v>43026.224143518521</v>
      </c>
      <c r="J218" s="7">
        <v>0</v>
      </c>
      <c r="K218" s="89" t="str">
        <f>IF(ISEVEN(B218),(B218-1)&amp;"/"&amp;B218,B218&amp;"/"&amp;(B218+1))</f>
        <v>4061/4062</v>
      </c>
      <c r="L218" s="185" t="str">
        <f>VLOOKUP(A218,'Trips&amp;Operators'!$C$1:$G$99911,5,FALSE)</f>
        <v>FORTUNATO FRANK</v>
      </c>
      <c r="M218" s="6">
        <f>I218-F218</f>
        <v>2.5231481486116536E-3</v>
      </c>
      <c r="N218" s="7">
        <f>24*60*SUM($M218:$M218)</f>
        <v>3.6333333340007812</v>
      </c>
      <c r="O218" s="7"/>
      <c r="P218" s="7"/>
      <c r="Q218" s="22"/>
      <c r="R218" s="174"/>
      <c r="S218" s="221">
        <f>1/IF(AG218="EC",12,1)*SUM(U218:U218)</f>
        <v>0</v>
      </c>
      <c r="T218" s="174" t="str">
        <f>IF(ISEVEN(LEFT(AD218,4)),"Southbound","NorthBound")</f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-10-18T04:15:16-0600',mode:absolute,to:'2017-10-18T06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2</v>
      </c>
      <c r="Y218" s="204">
        <f>RIGHT(D218,LEN(D218)-4)/10000</f>
        <v>2.3835999999999999</v>
      </c>
      <c r="Z218" s="204">
        <f>RIGHT(H218,LEN(H218)-4)/10000</f>
        <v>1.9244000000000001</v>
      </c>
      <c r="AA218" s="204">
        <f>ABS(Z218-Y218)</f>
        <v>0.45919999999999983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>VALUE(LEFT(A218,LEN(A218)-3))</f>
        <v>312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s3://rtdc.mdm.uploadarchive.raw/RTDC4061/ "%USERPROFILE%\AppData\Local\Temp\OnboardLogs"\RTDC4061\2017-10-18 --exclude "*" --recursive --include "*20171018*" &amp; "%USERPROFILE%\Documents\GitHub\mrs-test-scripts\Headless Mode &amp; Sideloading\WalkAndUnGZ.bat" "%USERPROFILE%\AppData\Local\Temp\OnboardLogs"\RTDC4061\2017-10-18 &amp; aws s3 cp s3://rtdc.mdm.uploadarchive.raw/RTDC4061/ "%USERPROFILE%\AppData\Local\Temp\OnboardLogs"\RTDC4061\2017-10-19 --exclude "*" --recursive --include "*20171019*" &amp; "%USERPROFILE%\Documents\GitHub\mrs-test-scripts\Headless Mode &amp; Sideloading\WalkAndUnGZ.bat" "%USERPROFILE%\AppData\Local\Temp\OnboardLogs"\RTDC4061\2017-10-19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/stypes="app*4061*20171018*" /stext=" 11:.+((SYSTEM_STATE.+slice.+state.+changed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72"/>
        <v>"%USERPROFILE%\Documents\GitHub\eaglep3\Utilities\RefineRTDCRunTimes.py" --tripid 312-18 --locoid 4061 --swversion DE.1.0.9.0 --startMP 300:23836 --initTime 2017-10-18T05:15:16 --startdatetime 2017-10-18T05:19:08 --delay 72 --endMP 300:19244 --enddatetime 2017-10-18T05:22:46 --enforcementcount 0 &gt;&gt;%USERPROFILE%\Documents\GitHub\eaglep3-reporting\EC\2017-10-18-refined-times.txt</v>
      </c>
      <c r="AI218" s="96" t="str">
        <f t="shared" si="73"/>
        <v>echo {"issue":{"subject":"","project_id":79,"tracker_id":40,"status_id":1,"priority_id":2,"assigned_to_id":338,"start_date":"2017-10-18","description":"","custom_fields":[{"id":1,"name":"Subdivision","value":"Other"},{"id":4,"name":"Milepost","value":"1.9244"},{"id":17,"name":"Train ID","value":"312-18"},{"id":16,"name":"Locomotive ID","value":"4061"},{"id":130,"name":"Impact","value":""},{"id":150,"name":"Time of Event (Mountain Time)","value":"05:22:46"},{"id":151,"name":"Denver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74"/>
        <v>start /low /b %USERPROFILE%\Documents\GitHub\eaglep3\Utilities\DownloadLogsFromS3.py --loco 4061 --day 2017-10-18</v>
      </c>
      <c r="AN218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11:22:46"},{"id":29,"name":"Sharepoint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76"/>
        <v>https://d0f6bd738d7f1b3e5a7ca70fe4ff75f0.us-east-1.aws.found.io/app/kibana#/discover/Steve-Slow-Train-Analysis-(2080s-and-2083s)?_g=(refreshInterval:(display:Off,pause:!f,section:0,value:0),time:(from:'2017-10-18T04:15:16-0600',mode:absolute,to:'2017-10-18T06:22:46-0600'))&amp;_a=(columns:!('Message%20ID',Summary),filters:!(),index:'emp_*',interval:auto,query:(query_string:(analyze_wildcard:!t,query:'%22rtdc.l.rtdc.4061%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811</v>
      </c>
      <c r="B219" s="7">
        <v>4026</v>
      </c>
      <c r="C219" s="21" t="s">
        <v>194</v>
      </c>
      <c r="D219" s="21" t="s">
        <v>881</v>
      </c>
      <c r="E219" s="13">
        <v>43027.02516203704</v>
      </c>
      <c r="F219" s="13">
        <v>43027.026469907411</v>
      </c>
      <c r="G219" s="7">
        <v>56</v>
      </c>
      <c r="H219" s="21" t="s">
        <v>882</v>
      </c>
      <c r="I219" s="13">
        <v>43027.032696759263</v>
      </c>
      <c r="J219" s="7">
        <v>0</v>
      </c>
      <c r="K219" s="89" t="str">
        <f>IF(ISEVEN(B219),(B219-1)&amp;"/"&amp;B219,B219&amp;"/"&amp;(B219+1))</f>
        <v>4025/4026</v>
      </c>
      <c r="L219" s="185" t="str">
        <f>VLOOKUP(A219,'Trips&amp;Operators'!$C$1:$G$99911,5,FALSE)</f>
        <v>RESPASS AARON</v>
      </c>
      <c r="M219" s="6">
        <f>I219-F219</f>
        <v>6.2268518522614613E-3</v>
      </c>
      <c r="N219" s="7">
        <f>24*60*SUM($M219:$M219)</f>
        <v>8.9666666672565043</v>
      </c>
      <c r="O219" s="7"/>
      <c r="P219" s="7"/>
      <c r="Q219" s="22"/>
      <c r="R219" s="174"/>
      <c r="S219" s="221">
        <f>1/IF(AG219="EC",12,1)*SUM(U219:U219)</f>
        <v>1</v>
      </c>
      <c r="T219" s="174" t="str">
        <f>IF(ISEVEN(LEFT(AD219,4)),"Southbound","NorthBound")</f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-10-18T23:36:14-0600',mode:absolute,to:'2017-10-19T01:47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1</v>
      </c>
      <c r="Y219" s="204">
        <f>RIGHT(D219,LEN(D219)-4)/10000</f>
        <v>5.0599999999999999E-2</v>
      </c>
      <c r="Z219" s="204">
        <f>RIGHT(H219,LEN(H219)-4)/10000</f>
        <v>2.3287</v>
      </c>
      <c r="AA219" s="204">
        <f>ABS(Z219-Y219)</f>
        <v>2.2780999999999998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>VALUE(LEFT(A219,LEN(A219)-3))</f>
        <v>313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s3://rtdc.mdm.uploadarchive.raw/RTDC4026/ "%USERPROFILE%\AppData\Local\Temp\OnboardLogs"\RTDC4026\2017-10-19 --exclude "*" --recursive --include "*20171019*" &amp; "%USERPROFILE%\Documents\GitHub\mrs-test-scripts\Headless Mode &amp; Sideloading\WalkAndUnGZ.bat" "%USERPROFILE%\AppData\Local\Temp\OnboardLogs"\RTDC4026\2017-10-19 &amp; aws s3 cp s3://rtdc.mdm.uploadarchive.raw/RTDC4026/ "%USERPROFILE%\AppData\Local\Temp\OnboardLogs"\RTDC4026\2017-10-20 --exclude "*" --recursive --include "*20171020*" &amp; "%USERPROFILE%\Documents\GitHub\mrs-test-scripts\Headless Mode &amp; Sideloading\WalkAndUnGZ.bat" "%USERPROFILE%\AppData\Local\Temp\OnboardLogs"\RTDC4026\2017-10-20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/stypes="app*4026*20171019*" /stext=" 06:.+((SYSTEM_STATE.+slice.+state.+changed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72"/>
        <v>"%USERPROFILE%\Documents\GitHub\eaglep3\Utilities\RefineRTDCRunTimes.py" --tripid 313-18 --locoid 4026 --swversion DE.1.0.9.0 --startMP 204:506 --initTime 2017-10-19T00:36:14 --startdatetime 2017-10-19T00:38:07 --delay 56 --endMP 300:23287 --enddatetime 2017-10-19T00:47:05 --enforcementcount 0 &gt;&gt;%USERPROFILE%\Documents\GitHub\eaglep3-reporting\EC\2017-10-18-refined-times.txt</v>
      </c>
      <c r="AI219" s="96" t="str">
        <f t="shared" si="73"/>
        <v>echo {"issue":{"subject":"","project_id":79,"tracker_id":40,"status_id":1,"priority_id":2,"assigned_to_id":338,"start_date":"2017-10-19","description":"","custom_fields":[{"id":1,"name":"Subdivision","value":"Other"},{"id":4,"name":"Milepost","value":"2.3287"},{"id":17,"name":"Train ID","value":"313-18"},{"id":16,"name":"Locomotive ID","value":"4026"},{"id":130,"name":"Impact","value":""},{"id":150,"name":"Time of Event (Mountain Time)","value":"00:47:05"},{"id":151,"name":"Denver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74"/>
        <v>start /low /b %USERPROFILE%\Documents\GitHub\eaglep3\Utilities\DownloadLogsFromS3.py --loco 4026 --day 2017-10-19</v>
      </c>
      <c r="AN219" s="151" t="str">
        <f t="shared" si="7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06:47:05"},{"id":29,"name":"Sharepoint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76"/>
        <v>https://d0f6bd738d7f1b3e5a7ca70fe4ff75f0.us-east-1.aws.found.io/app/kibana#/discover/Steve-Slow-Train-Analysis-(2080s-and-2083s)?_g=(refreshInterval:(display:Off,pause:!f,section:0,value:0),time:(from:'2017-10-18T23:36:14-0600',mode:absolute,to:'2017-10-19T01:47:05-0600'))&amp;_a=(columns:!('Message%20ID',Summary),filters:!(),index:'emp_*',interval:auto,query:(query_string:(analyze_wildcard:!t,query:'%22rtdc.l.rtdc.4026%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613</v>
      </c>
      <c r="B220" s="7">
        <v>4036</v>
      </c>
      <c r="C220" s="21" t="s">
        <v>194</v>
      </c>
      <c r="D220" s="21" t="s">
        <v>988</v>
      </c>
      <c r="E220" s="13">
        <v>43026.200243055559</v>
      </c>
      <c r="F220" s="13">
        <v>43026.204143518517</v>
      </c>
      <c r="G220" s="7">
        <v>104</v>
      </c>
      <c r="H220" s="21" t="s">
        <v>989</v>
      </c>
      <c r="I220" s="13">
        <v>43026.209398148145</v>
      </c>
      <c r="J220" s="7">
        <v>0</v>
      </c>
      <c r="K220" s="89" t="str">
        <f>IF(ISEVEN(B220),(B220-1)&amp;"/"&amp;B220,B220&amp;"/"&amp;(B220+1))</f>
        <v>4035/4036</v>
      </c>
      <c r="L220" s="185" t="str">
        <f>VLOOKUP(A220,'Trips&amp;Operators'!$C$1:$G$99911,5,FALSE)</f>
        <v>LAMAR NEKESHA</v>
      </c>
      <c r="M220" s="6">
        <f>I220-F220</f>
        <v>5.2546296283253469E-3</v>
      </c>
      <c r="N220" s="7">
        <f>24*60*SUM($M220:$M220)</f>
        <v>7.5666666647884995</v>
      </c>
      <c r="O220" s="7"/>
      <c r="P220" s="7"/>
      <c r="Q220" s="22"/>
      <c r="R220" s="174"/>
      <c r="S220" s="221">
        <f>1/IF(AG220="EC",12,1)*SUM(U220:U220)</f>
        <v>0</v>
      </c>
      <c r="T220" s="174" t="str">
        <f>IF(ISEVEN(LEFT(AD220,4)),"Southbound","NorthBound")</f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-10-18T03:48:21-0600',mode:absolute,to:'2017-10-18T06:01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588</v>
      </c>
      <c r="Y220" s="204">
        <f>RIGHT(D220,LEN(D220)-4)/10000</f>
        <v>2.9773000000000001</v>
      </c>
      <c r="Z220" s="204">
        <f>RIGHT(H220,LEN(H220)-4)/10000</f>
        <v>5.8986000000000001</v>
      </c>
      <c r="AA220" s="204">
        <f>ABS(Z220-Y220)</f>
        <v>2.9213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>VALUE(LEFT(A220,LEN(A220)-3))</f>
        <v>901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 &amp; aws s3 cp s3://rtdc.mdm.uploadarchive.raw/RTDC4036/ "%USERPROFILE%\AppData\Local\Temp\OnboardLogs"\RTDC4036\2017-10-19 --exclude "*" --recursive --include "*20171019*" &amp; "%USERPROFILE%\Documents\GitHub\mrs-test-scripts\Headless Mode &amp; Sideloading\WalkAndUnGZ.bat" "%USERPROFILE%\AppData\Local\Temp\OnboardLogs"\RTDC4036\2017-10-19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/stypes="app*4036*20171018*" /stext=" 11:.+((SYSTEM_STATE.+slice.+state.+changed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72"/>
        <v>"%USERPROFILE%\Documents\GitHub\eaglep3\Utilities\RefineRTDCRunTimes.py" --tripid 901-18 --locoid 4036 --swversion DE.1.0.9.0 --startMP 300:29773 --initTime 2017-10-18T04:48:21 --startdatetime 2017-10-18T04:53:58 --delay 104 --endMP 300:58986 --enddatetime 2017-10-18T05:01:32 --enforcementcount 0 &gt;&gt;%USERPROFILE%\Documents\GitHub\eaglep3-reporting\EC\2017-10-18-refined-times.txt</v>
      </c>
      <c r="AI220" s="96" t="str">
        <f t="shared" si="73"/>
        <v>echo {"issue":{"subject":"","project_id":79,"tracker_id":40,"status_id":1,"priority_id":2,"assigned_to_id":338,"start_date":"2017-10-18","description":"","custom_fields":[{"id":1,"name":"Subdivision","value":"Other"},{"id":4,"name":"Milepost","value":"5.8986"},{"id":17,"name":"Train ID","value":"901-18"},{"id":16,"name":"Locomotive ID","value":"4036"},{"id":130,"name":"Impact","value":""},{"id":150,"name":"Time of Event (Mountain Time)","value":"05:01:32"},{"id":151,"name":"Denver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74"/>
        <v>start /low /b %USERPROFILE%\Documents\GitHub\eaglep3\Utilities\DownloadLogsFromS3.py --loco 4036 --day 2017-10-18</v>
      </c>
      <c r="AN220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11:01:32"},{"id":29,"name":"Sharepoint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76"/>
        <v>https://d0f6bd738d7f1b3e5a7ca70fe4ff75f0.us-east-1.aws.found.io/app/kibana#/discover/Steve-Slow-Train-Analysis-(2080s-and-2083s)?_g=(refreshInterval:(display:Off,pause:!f,section:0,value:0),time:(from:'2017-10-18T03:48:21-0600',mode:absolute,to:'2017-10-18T06:01:32-0600'))&amp;_a=(columns:!('Message%20ID',Summary),filters:!(),index:'emp_*',interval:auto,query:(query_string:(analyze_wildcard:!t,query:'%22rtdc.l.rtdc.4036%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624</v>
      </c>
      <c r="B221" s="7">
        <v>4017</v>
      </c>
      <c r="C221" s="21" t="s">
        <v>194</v>
      </c>
      <c r="D221" s="21" t="s">
        <v>990</v>
      </c>
      <c r="E221" s="13">
        <v>43026.238877314812</v>
      </c>
      <c r="F221" s="13">
        <v>43026.243773148148</v>
      </c>
      <c r="G221" s="7">
        <v>68</v>
      </c>
      <c r="H221" s="21" t="s">
        <v>976</v>
      </c>
      <c r="I221" s="13">
        <v>43026.248761574076</v>
      </c>
      <c r="J221" s="7">
        <v>0</v>
      </c>
      <c r="K221" s="89" t="str">
        <f>IF(ISEVEN(B221),(B221-1)&amp;"/"&amp;B221,B221&amp;"/"&amp;(B221+1))</f>
        <v>4017/4018</v>
      </c>
      <c r="L221" s="185" t="str">
        <f>VLOOKUP(A221,'Trips&amp;Operators'!$C$1:$G$99911,5,FALSE)</f>
        <v>GEBRETEKLE DAGNEW</v>
      </c>
      <c r="M221" s="6">
        <f>I221-F221</f>
        <v>4.9884259278769605E-3</v>
      </c>
      <c r="N221" s="7">
        <f>24*60*SUM($M221:$M221)</f>
        <v>7.1833333361428231</v>
      </c>
      <c r="O221" s="7"/>
      <c r="P221" s="7"/>
      <c r="Q221" s="22"/>
      <c r="R221" s="174"/>
      <c r="S221" s="221">
        <f>1/IF(AG221="EC",12,1)*SUM(U221:U221)</f>
        <v>1</v>
      </c>
      <c r="T221" s="174" t="str">
        <f>IF(ISEVEN(LEFT(AD221,4)),"Southbound","NorthBound")</f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-10-18T04:43:59-0600',mode:absolute,to:'2017-10-18T06:58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1</v>
      </c>
      <c r="Y221" s="204">
        <f>RIGHT(D221,LEN(D221)-4)/10000</f>
        <v>2.3652000000000002</v>
      </c>
      <c r="Z221" s="204">
        <f>RIGHT(H221,LEN(H221)-4)/10000</f>
        <v>7.0999999999999994E-2</v>
      </c>
      <c r="AA221" s="204">
        <f>ABS(Z221-Y221)</f>
        <v>2.2942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>VALUE(LEFT(A221,LEN(A221)-3))</f>
        <v>902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/stypes="app*4017*20171018*" /stext=" 11:.+((SYSTEM_STATE.+slice.+state.+changed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si="72"/>
        <v>"%USERPROFILE%\Documents\GitHub\eaglep3\Utilities\RefineRTDCRunTimes.py" --tripid 902-18 --locoid 4017 --swversion DE.1.0.9.0 --startMP 300:23652 --initTime 2017-10-18T05:43:59 --startdatetime 2017-10-18T05:51:02 --delay 68 --endMP 204:710 --enddatetime 2017-10-18T05:58:13 --enforcementcount 0 &gt;&gt;%USERPROFILE%\Documents\GitHub\eaglep3-reporting\EC\2017-10-18-refined-times.txt</v>
      </c>
      <c r="AI221" s="96" t="str">
        <f t="shared" si="73"/>
        <v>echo {"issue":{"subject":"","project_id":79,"tracker_id":40,"status_id":1,"priority_id":2,"assigned_to_id":338,"start_date":"2017-10-18","description":"","custom_fields":[{"id":1,"name":"Subdivision","value":"Other"},{"id":4,"name":"Milepost","value":"0.071"},{"id":17,"name":"Train ID","value":"902-18"},{"id":16,"name":"Locomotive ID","value":"4017"},{"id":130,"name":"Impact","value":""},{"id":150,"name":"Time of Event (Mountain Time)","value":"05:58:13"},{"id":151,"name":"Denver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74"/>
        <v>start /low /b %USERPROFILE%\Documents\GitHub\eaglep3\Utilities\DownloadLogsFromS3.py --loco 4017 --day 2017-10-18</v>
      </c>
      <c r="AN221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11:58:13"},{"id":29,"name":"Sharepoint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76"/>
        <v>https://d0f6bd738d7f1b3e5a7ca70fe4ff75f0.us-east-1.aws.found.io/app/kibana#/discover/Steve-Slow-Train-Analysis-(2080s-and-2083s)?_g=(refreshInterval:(display:Off,pause:!f,section:0,value:0),time:(from:'2017-10-18T04:43:59-0600',mode:absolute,to:'2017-10-18T06:58:13-0600'))&amp;_a=(columns:!('Message%20ID',Summary),filters:!(),index:'emp_*',interval:auto,query:(query_string:(analyze_wildcard:!t,query:'%22rtdc.l.rtdc.4017%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657</v>
      </c>
      <c r="B222" s="7">
        <v>4036</v>
      </c>
      <c r="C222" s="21" t="s">
        <v>194</v>
      </c>
      <c r="D222" s="21" t="s">
        <v>991</v>
      </c>
      <c r="E222" s="13">
        <v>43026.352361111109</v>
      </c>
      <c r="F222" s="13">
        <v>43026.353472222225</v>
      </c>
      <c r="G222" s="7">
        <v>49</v>
      </c>
      <c r="H222" s="21" t="s">
        <v>992</v>
      </c>
      <c r="I222" s="13">
        <v>43026.359768518516</v>
      </c>
      <c r="J222" s="7">
        <v>0</v>
      </c>
      <c r="K222" s="89" t="str">
        <f>IF(ISEVEN(B222),(B222-1)&amp;"/"&amp;B222,B222&amp;"/"&amp;(B222+1))</f>
        <v>4035/4036</v>
      </c>
      <c r="L222" s="185" t="str">
        <f>VLOOKUP(A222,'Trips&amp;Operators'!$C$1:$G$99911,5,FALSE)</f>
        <v>LAMAR NEKESHA</v>
      </c>
      <c r="M222" s="6">
        <f>I222-F222</f>
        <v>6.2962962911115028E-3</v>
      </c>
      <c r="N222" s="7">
        <f>24*60*SUM($M222:$M222)</f>
        <v>9.066666659200564</v>
      </c>
      <c r="O222" s="7"/>
      <c r="P222" s="7"/>
      <c r="Q222" s="22"/>
      <c r="R222" s="174"/>
      <c r="S222" s="221">
        <f>1/IF(AG222="EC",12,1)*SUM(U222:U222)</f>
        <v>1</v>
      </c>
      <c r="T222" s="174" t="str">
        <f>IF(ISEVEN(LEFT(AD222,4)),"Southbound","NorthBound")</f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-10-18T07:27:24-0600',mode:absolute,to:'2017-10-18T09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1</v>
      </c>
      <c r="Y222" s="204">
        <f>RIGHT(D222,LEN(D222)-4)/10000</f>
        <v>9.9500000000000005E-2</v>
      </c>
      <c r="Z222" s="204">
        <f>RIGHT(H222,LEN(H222)-4)/10000</f>
        <v>2.4264999999999999</v>
      </c>
      <c r="AA222" s="204">
        <f>ABS(Z222-Y222)</f>
        <v>2.327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>VALUE(LEFT(A222,LEN(A222)-3))</f>
        <v>903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 &amp; aws s3 cp s3://rtdc.mdm.uploadarchive.raw/RTDC4036/ "%USERPROFILE%\AppData\Local\Temp\OnboardLogs"\RTDC4036\2017-10-19 --exclude "*" --recursive --include "*20171019*" &amp; "%USERPROFILE%\Documents\GitHub\mrs-test-scripts\Headless Mode &amp; Sideloading\WalkAndUnGZ.bat" "%USERPROFILE%\AppData\Local\Temp\OnboardLogs"\RTDC4036\2017-10-19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/stypes="app*4036*20171018*" /stext=" 14:.+((SYSTEM_STATE.+slice.+state.+changed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72"/>
        <v>"%USERPROFILE%\Documents\GitHub\eaglep3\Utilities\RefineRTDCRunTimes.py" --tripid 903-18 --locoid 4036 --swversion DE.1.0.9.0 --startMP 204:995 --initTime 2017-10-18T08:27:24 --startdatetime 2017-10-18T08:29:00 --delay 49 --endMP 300:24265 --enddatetime 2017-10-18T08:38:04 --enforcementcount 0 &gt;&gt;%USERPROFILE%\Documents\GitHub\eaglep3-reporting\EC\2017-10-18-refined-times.txt</v>
      </c>
      <c r="AI222" s="96" t="str">
        <f t="shared" si="73"/>
        <v>echo {"issue":{"subject":"","project_id":79,"tracker_id":40,"status_id":1,"priority_id":2,"assigned_to_id":338,"start_date":"2017-10-18","description":"","custom_fields":[{"id":1,"name":"Subdivision","value":"Other"},{"id":4,"name":"Milepost","value":"2.4265"},{"id":17,"name":"Train ID","value":"903-18"},{"id":16,"name":"Locomotive ID","value":"4036"},{"id":130,"name":"Impact","value":""},{"id":150,"name":"Time of Event (Mountain Time)","value":"08:38:04"},{"id":151,"name":"Denver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74"/>
        <v>start /low /b %USERPROFILE%\Documents\GitHub\eaglep3\Utilities\DownloadLogsFromS3.py --loco 4036 --day 2017-10-18</v>
      </c>
      <c r="AN222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14:38:04"},{"id":29,"name":"Sharepoint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76"/>
        <v>https://d0f6bd738d7f1b3e5a7ca70fe4ff75f0.us-east-1.aws.found.io/app/kibana#/discover/Steve-Slow-Train-Analysis-(2080s-and-2083s)?_g=(refreshInterval:(display:Off,pause:!f,section:0,value:0),time:(from:'2017-10-18T07:27:24-0600',mode:absolute,to:'2017-10-18T09:38:04-0600'))&amp;_a=(columns:!('Message%20ID',Summary),filters:!(),index:'emp_*',interval:auto,query:(query_string:(analyze_wildcard:!t,query:'%22rtdc.l.rtdc.4036%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579</v>
      </c>
      <c r="B223" s="7">
        <v>4035</v>
      </c>
      <c r="C223" s="21" t="s">
        <v>194</v>
      </c>
      <c r="D223" s="21" t="s">
        <v>993</v>
      </c>
      <c r="E223" s="13">
        <v>43026.634710648148</v>
      </c>
      <c r="F223" s="13">
        <v>43026.637974537036</v>
      </c>
      <c r="G223" s="7">
        <v>135</v>
      </c>
      <c r="H223" s="21" t="s">
        <v>493</v>
      </c>
      <c r="I223" s="13">
        <v>43026.643263888887</v>
      </c>
      <c r="J223" s="7">
        <v>0</v>
      </c>
      <c r="K223" s="89" t="str">
        <f>IF(ISEVEN(B223),(B223-1)&amp;"/"&amp;B223,B223&amp;"/"&amp;(B223+1))</f>
        <v>4035/4036</v>
      </c>
      <c r="L223" s="185" t="str">
        <f>VLOOKUP(A223,'Trips&amp;Operators'!$C$1:$G$99911,5,FALSE)</f>
        <v>STAMBAUGH JAMES</v>
      </c>
      <c r="M223" s="6">
        <f>I223-F223</f>
        <v>5.2893518513883464E-3</v>
      </c>
      <c r="N223" s="7">
        <f>24*60*SUM($M223:$M223)</f>
        <v>7.6166666659992188</v>
      </c>
      <c r="O223" s="7"/>
      <c r="P223" s="7"/>
      <c r="Q223" s="22"/>
      <c r="R223" s="174"/>
      <c r="S223" s="221">
        <f>1/IF(AG223="EC",12,1)*SUM(U223:U223)</f>
        <v>1</v>
      </c>
      <c r="T223" s="174" t="str">
        <f>IF(ISEVEN(LEFT(AD223,4)),"Southbound","NorthBound")</f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-10-18T14:13:59-0600',mode:absolute,to:'2017-10-18T16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1</v>
      </c>
      <c r="Y223" s="204">
        <f>RIGHT(D223,LEN(D223)-4)/10000</f>
        <v>2.3708999999999998</v>
      </c>
      <c r="Z223" s="204">
        <f>RIGHT(H223,LEN(H223)-4)/10000</f>
        <v>6.9199999999999998E-2</v>
      </c>
      <c r="AA223" s="204">
        <f>ABS(Z223-Y223)</f>
        <v>2.3016999999999999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>VALUE(LEFT(A223,LEN(A223)-3))</f>
        <v>904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 &amp; aws s3 cp s3://rtdc.mdm.uploadarchive.raw/RTDC4035/ "%USERPROFILE%\AppData\Local\Temp\OnboardLogs"\RTDC4035\2017-10-19 --exclude "*" --recursive --include "*20171019*" &amp; "%USERPROFILE%\Documents\GitHub\mrs-test-scripts\Headless Mode &amp; Sideloading\WalkAndUnGZ.bat" "%USERPROFILE%\AppData\Local\Temp\OnboardLogs"\RTDC4035\2017-10-19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/stypes="app*4035*20171018*" /stext=" 21:.+((SYSTEM_STATE.+slice.+state.+changed )|(ment ac)|(multiple cpu faults)|(system.+state.+changed )|(\[timeout)|(PRM\|1\|D)|(kpr)|(kdp)|(train st.+moving)|(\|lc)|(penalty))"</v>
      </c>
      <c r="AG223" s="182" t="str">
        <f>DetSubdiv(A223)</f>
        <v>Other</v>
      </c>
      <c r="AH223" s="78" t="str">
        <f t="shared" si="72"/>
        <v>"%USERPROFILE%\Documents\GitHub\eaglep3\Utilities\RefineRTDCRunTimes.py" --tripid 904-18 --locoid 4035 --swversion DE.1.0.9.0 --startMP 300:23709 --initTime 2017-10-18T15:13:59 --startdatetime 2017-10-18T15:18:41 --delay 135 --endMP 204:692 --enddatetime 2017-10-18T15:26:18 --enforcementcount 0 &gt;&gt;%USERPROFILE%\Documents\GitHub\eaglep3-reporting\EC\2017-10-18-refined-times.txt</v>
      </c>
      <c r="AI223" s="96" t="str">
        <f t="shared" si="73"/>
        <v>echo {"issue":{"subject":"","project_id":79,"tracker_id":40,"status_id":1,"priority_id":2,"assigned_to_id":338,"start_date":"2017-10-18","description":"","custom_fields":[{"id":1,"name":"Subdivision","value":"Other"},{"id":4,"name":"Milepost","value":"0.0692"},{"id":17,"name":"Train ID","value":"904-18"},{"id":16,"name":"Locomotive ID","value":"4035"},{"id":130,"name":"Impact","value":""},{"id":150,"name":"Time of Event (Mountain Time)","value":"15:26:18"},{"id":151,"name":"Denver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74"/>
        <v>start /low /b %USERPROFILE%\Documents\GitHub\eaglep3\Utilities\DownloadLogsFromS3.py --loco 4035 --day 2017-10-18</v>
      </c>
      <c r="AN223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21:26:18"},{"id":29,"name":"Sharepoint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76"/>
        <v>https://d0f6bd738d7f1b3e5a7ca70fe4ff75f0.us-east-1.aws.found.io/app/kibana#/discover/Steve-Slow-Train-Analysis-(2080s-and-2083s)?_g=(refreshInterval:(display:Off,pause:!f,section:0,value:0),time:(from:'2017-10-18T14:13:59-0600',mode:absolute,to:'2017-10-18T16:26:18-0600'))&amp;_a=(columns:!('Message%20ID',Summary),filters:!(),index:'emp_*',interval:auto,query:(query_string:(analyze_wildcard:!t,query:'%22rtdc.l.rtdc.4035%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777</v>
      </c>
      <c r="B224" s="7">
        <v>4035</v>
      </c>
      <c r="C224" s="21" t="s">
        <v>194</v>
      </c>
      <c r="D224" s="21" t="s">
        <v>994</v>
      </c>
      <c r="E224" s="13">
        <v>43026.788414351853</v>
      </c>
      <c r="F224" s="13">
        <v>43026.789618055554</v>
      </c>
      <c r="G224" s="7">
        <v>54</v>
      </c>
      <c r="H224" s="21" t="s">
        <v>995</v>
      </c>
      <c r="I224" s="13">
        <v>43026.79583333333</v>
      </c>
      <c r="J224" s="7">
        <v>0</v>
      </c>
      <c r="K224" s="89" t="str">
        <f>IF(ISEVEN(B224),(B224-1)&amp;"/"&amp;B224,B224&amp;"/"&amp;(B224+1))</f>
        <v>4035/4036</v>
      </c>
      <c r="L224" s="185" t="str">
        <f>VLOOKUP(A224,'Trips&amp;Operators'!$C$1:$G$99911,5,FALSE)</f>
        <v>STAMBAUGH JAMES</v>
      </c>
      <c r="M224" s="6">
        <f>I224-F224</f>
        <v>6.2152777754818089E-3</v>
      </c>
      <c r="N224" s="7">
        <f>24*60*SUM($M224:$M224)</f>
        <v>8.9499999966938049</v>
      </c>
      <c r="O224" s="7"/>
      <c r="P224" s="7"/>
      <c r="Q224" s="22"/>
      <c r="R224" s="174"/>
      <c r="S224" s="221">
        <f>1/IF(AG224="EC",12,1)*SUM(U224:U224)</f>
        <v>0</v>
      </c>
      <c r="T224" s="174" t="str">
        <f>IF(ISEVEN(LEFT(AD224,4)),"Southbound","NorthBound")</f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-10-18T17:55:19-0600',mode:absolute,to:'2017-10-18T20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2</v>
      </c>
      <c r="Y224" s="204">
        <f>RIGHT(D224,LEN(D224)-4)/10000</f>
        <v>5.8563999999999998</v>
      </c>
      <c r="Z224" s="204">
        <f>RIGHT(H224,LEN(H224)-4)/10000</f>
        <v>2.8778000000000001</v>
      </c>
      <c r="AA224" s="204">
        <f>ABS(Z224-Y224)</f>
        <v>2.9785999999999997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>VALUE(LEFT(A224,LEN(A224)-3))</f>
        <v>906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 &amp; aws s3 cp s3://rtdc.mdm.uploadarchive.raw/RTDC4035/ "%USERPROFILE%\AppData\Local\Temp\OnboardLogs"\RTDC4035\2017-10-19 --exclude "*" --recursive --include "*20171019*" &amp; "%USERPROFILE%\Documents\GitHub\mrs-test-scripts\Headless Mode &amp; Sideloading\WalkAndUnGZ.bat" "%USERPROFILE%\AppData\Local\Temp\OnboardLogs"\RTDC4035\2017-10-19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/stypes="app*4035*20171019*" /stext=" 01:.+((SYSTEM_STATE.+slice.+state.+changed )|(ment ac)|(multiple cpu faults)|(system.+state.+changed )|(\[timeout)|(PRM\|1\|D)|(kpr)|(kdp)|(train st.+moving)|(\|lc)|(penalty))"</v>
      </c>
      <c r="AG224" s="182" t="str">
        <f>DetSubdiv(A224)</f>
        <v>Other</v>
      </c>
      <c r="AH224" s="78" t="str">
        <f t="shared" si="72"/>
        <v>"%USERPROFILE%\Documents\GitHub\eaglep3\Utilities\RefineRTDCRunTimes.py" --tripid 906-18 --locoid 4035 --swversion DE.1.0.9.0 --startMP 300:58564 --initTime 2017-10-18T18:55:19 --startdatetime 2017-10-18T18:57:03 --delay 54 --endMP 300:28778 --enddatetime 2017-10-18T19:06:00 --enforcementcount 0 &gt;&gt;%USERPROFILE%\Documents\GitHub\eaglep3-reporting\EC\2017-10-18-refined-times.txt</v>
      </c>
      <c r="AI224" s="96" t="str">
        <f t="shared" si="73"/>
        <v>echo {"issue":{"subject":"","project_id":79,"tracker_id":40,"status_id":1,"priority_id":2,"assigned_to_id":338,"start_date":"2017-10-18","description":"","custom_fields":[{"id":1,"name":"Subdivision","value":"Other"},{"id":4,"name":"Milepost","value":"2.8778"},{"id":17,"name":"Train ID","value":"906-18"},{"id":16,"name":"Locomotive ID","value":"4035"},{"id":130,"name":"Impact","value":""},{"id":150,"name":"Time of Event (Mountain Time)","value":"19:06:00"},{"id":151,"name":"Denver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74"/>
        <v>start /low /b %USERPROFILE%\Documents\GitHub\eaglep3\Utilities\DownloadLogsFromS3.py --loco 4035 --day 2017-10-18</v>
      </c>
      <c r="AN224" s="151" t="str">
        <f t="shared" si="7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01:06:00"},{"id":29,"name":"Sharepoint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76"/>
        <v>https://d0f6bd738d7f1b3e5a7ca70fe4ff75f0.us-east-1.aws.found.io/app/kibana#/discover/Steve-Slow-Train-Analysis-(2080s-and-2083s)?_g=(refreshInterval:(display:Off,pause:!f,section:0,value:0),time:(from:'2017-10-18T17:55:19-0600',mode:absolute,to:'2017-10-18T20:06:00-0600'))&amp;_a=(columns:!('Message%20ID',Summary),filters:!(),index:'emp_*',interval:auto,query:(query_string:(analyze_wildcard:!t,query:'%22rtdc.l.rtdc.4035%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804</v>
      </c>
      <c r="B225" s="7">
        <v>4017</v>
      </c>
      <c r="C225" s="21" t="s">
        <v>194</v>
      </c>
      <c r="D225" s="21" t="s">
        <v>978</v>
      </c>
      <c r="E225" s="13">
        <v>43026.974305555559</v>
      </c>
      <c r="F225" s="13">
        <v>43026.975381944445</v>
      </c>
      <c r="G225" s="7">
        <v>50</v>
      </c>
      <c r="H225" s="21" t="s">
        <v>996</v>
      </c>
      <c r="I225" s="13">
        <v>43026.981666666667</v>
      </c>
      <c r="J225" s="7">
        <v>0</v>
      </c>
      <c r="K225" s="89" t="str">
        <f>IF(ISEVEN(B225),(B225-1)&amp;"/"&amp;B225,B225&amp;"/"&amp;(B225+1))</f>
        <v>4017/4018</v>
      </c>
      <c r="L225" s="185" t="str">
        <f>VLOOKUP(A225,'Trips&amp;Operators'!$C$1:$G$99911,5,FALSE)</f>
        <v>STAMBAUGH JAMES</v>
      </c>
      <c r="M225" s="6">
        <f>I225-F225</f>
        <v>6.284722221607808E-3</v>
      </c>
      <c r="N225" s="7">
        <f>24*60*SUM($M225:$M225)</f>
        <v>9.0499999991152436</v>
      </c>
      <c r="O225" s="7"/>
      <c r="P225" s="7"/>
      <c r="Q225" s="22"/>
      <c r="R225" s="174"/>
      <c r="S225" s="221">
        <f>1/IF(AG225="EC",12,1)*SUM(U225:U225)</f>
        <v>0</v>
      </c>
      <c r="T225" s="174" t="str">
        <f>IF(ISEVEN(LEFT(AD225,4)),"Southbound","NorthBound")</f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-10-18T22:23:00-0600',mode:absolute,to:'2017-10-19T00:33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2</v>
      </c>
      <c r="Y225" s="204">
        <f>RIGHT(D225,LEN(D225)-4)/10000</f>
        <v>5.8615000000000004</v>
      </c>
      <c r="Z225" s="204">
        <f>RIGHT(H225,LEN(H225)-4)/10000</f>
        <v>2.8788</v>
      </c>
      <c r="AA225" s="204">
        <f>ABS(Z225-Y225)</f>
        <v>2.9827000000000004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>VALUE(LEFT(A225,LEN(A225)-3))</f>
        <v>908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/stypes="app*4017*20171019*" /stext=" 05:.+((SYSTEM_STATE.+slice.+state.+changed )|(ment ac)|(multiple cpu faults)|(system.+state.+changed )|(\[timeout)|(PRM\|1\|D)|(kpr)|(kdp)|(train st.+moving)|(\|lc)|(penalty))"</v>
      </c>
      <c r="AG225" s="182" t="str">
        <f>DetSubdiv(A225)</f>
        <v>Other</v>
      </c>
      <c r="AH225" s="78" t="str">
        <f t="shared" si="72"/>
        <v>"%USERPROFILE%\Documents\GitHub\eaglep3\Utilities\RefineRTDCRunTimes.py" --tripid 908-18 --locoid 4017 --swversion DE.1.0.9.0 --startMP 300:58615 --initTime 2017-10-18T23:23:00 --startdatetime 2017-10-18T23:24:33 --delay 50 --endMP 300:28788 --enddatetime 2017-10-18T23:33:36 --enforcementcount 0 &gt;&gt;%USERPROFILE%\Documents\GitHub\eaglep3-reporting\EC\2017-10-18-refined-times.txt</v>
      </c>
      <c r="AI225" s="96" t="str">
        <f t="shared" si="73"/>
        <v>echo {"issue":{"subject":"","project_id":79,"tracker_id":40,"status_id":1,"priority_id":2,"assigned_to_id":338,"start_date":"2017-10-18","description":"","custom_fields":[{"id":1,"name":"Subdivision","value":"Other"},{"id":4,"name":"Milepost","value":"2.8788"},{"id":17,"name":"Train ID","value":"908-18"},{"id":16,"name":"Locomotive ID","value":"4017"},{"id":130,"name":"Impact","value":""},{"id":150,"name":"Time of Event (Mountain Time)","value":"23:33:36"},{"id":151,"name":"Denver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74"/>
        <v>start /low /b %USERPROFILE%\Documents\GitHub\eaglep3\Utilities\DownloadLogsFromS3.py --loco 4017 --day 2017-10-18</v>
      </c>
      <c r="AN225" s="151" t="str">
        <f t="shared" si="7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05:33:36"},{"id":29,"name":"Sharepoint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76"/>
        <v>https://d0f6bd738d7f1b3e5a7ca70fe4ff75f0.us-east-1.aws.found.io/app/kibana#/discover/Steve-Slow-Train-Analysis-(2080s-and-2083s)?_g=(refreshInterval:(display:Off,pause:!f,section:0,value:0),time:(from:'2017-10-18T22:23:00-0600',mode:absolute,to:'2017-10-19T00:33:36-0600'))&amp;_a=(columns:!('Message%20ID',Summary),filters:!(),index:'emp_*',interval:auto,query:(query_string:(analyze_wildcard:!t,query:'%22rtdc.l.rtdc.4017%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560</v>
      </c>
      <c r="B226" s="7">
        <v>4005</v>
      </c>
      <c r="C226" s="21" t="s">
        <v>194</v>
      </c>
      <c r="D226" s="21" t="s">
        <v>883</v>
      </c>
      <c r="E226" s="13">
        <v>43026.402395833335</v>
      </c>
      <c r="F226" s="13">
        <v>43026.406307870369</v>
      </c>
      <c r="G226" s="7">
        <v>119</v>
      </c>
      <c r="H226" s="21" t="s">
        <v>884</v>
      </c>
      <c r="I226" s="13">
        <v>43026.411527777775</v>
      </c>
      <c r="J226" s="7">
        <v>0</v>
      </c>
      <c r="K226" s="89" t="str">
        <f>IF(ISEVEN(B226),(B226-1)&amp;"/"&amp;B226,B226&amp;"/"&amp;(B226+1))</f>
        <v>4005/4006</v>
      </c>
      <c r="L226" s="185" t="str">
        <f>VLOOKUP(A226,'Trips&amp;Operators'!$C$1:$G$99911,5,FALSE)</f>
        <v>LAMAR NEKESHA</v>
      </c>
      <c r="M226" s="6">
        <f>I226-F226</f>
        <v>5.2199074052623473E-3</v>
      </c>
      <c r="N226" s="7">
        <f>24*60*SUM($M226:$M226)</f>
        <v>7.5166666635777801</v>
      </c>
      <c r="O226" s="7"/>
      <c r="P226" s="7"/>
      <c r="Q226" s="22"/>
      <c r="R226" s="174"/>
      <c r="S226" s="221">
        <f>1/IF(AG226="EC",12,1)*SUM(U226:U226)</f>
        <v>1</v>
      </c>
      <c r="T226" s="174" t="str">
        <f>IF(ISEVEN(LEFT(AD226,4)),"Southbound","NorthBound")</f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-10-18T08:39:27-0600',mode:absolute,to:'2017-10-18T10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-854</v>
      </c>
      <c r="Y226" s="204">
        <f>RIGHT(D226,LEN(D226)-4)/10000</f>
        <v>2.3144</v>
      </c>
      <c r="Z226" s="204">
        <f>RIGHT(H226,LEN(H226)-4)/10000</f>
        <v>8.6699999999999999E-2</v>
      </c>
      <c r="AA226" s="204">
        <f>ABS(Z226-Y226)</f>
        <v>2.2277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>VALUE(LEFT(A226,LEN(A226)-3))</f>
        <v>54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s3://rtdc.mdm.uploadarchive.raw/RTDC4005/ "%USERPROFILE%\AppData\Local\Temp\OnboardLogs"\RTDC4005\2017-10-18 --exclude "*" --recursive --include "*20171018*" &amp; "%USERPROFILE%\Documents\GitHub\mrs-test-scripts\Headless Mode &amp; Sideloading\WalkAndUnGZ.bat" "%USERPROFILE%\AppData\Local\Temp\OnboardLogs"\RTDC4005\2017-10-18 &amp; aws s3 cp s3://rtdc.mdm.uploadarchive.raw/RTDC4005/ "%USERPROFILE%\AppData\Local\Temp\OnboardLogs"\RTDC4005\2017-10-19 --exclude "*" --recursive --include "*20171019*" &amp; "%USERPROFILE%\Documents\GitHub\mrs-test-scripts\Headless Mode &amp; Sideloading\WalkAndUnGZ.bat" "%USERPROFILE%\AppData\Local\Temp\OnboardLogs"\RTDC4005\2017-10-19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/stypes="app*4005*20171018*" /stext=" 15:.+((SYSTEM_STATE.+slice.+state.+changed )|(ment ac)|(multiple cpu faults)|(system.+state.+changed )|(\[timeout)|(PRM\|1\|D)|(kpr)|(kdp)|(train st.+moving)|(\|lc)|(penalty))"</v>
      </c>
      <c r="AG226" s="182" t="str">
        <f>DetSubdiv(A226)</f>
        <v>Shuttle/Test</v>
      </c>
      <c r="AH226" s="78" t="str">
        <f t="shared" si="72"/>
        <v>"%USERPROFILE%\Documents\GitHub\eaglep3\Utilities\RefineRTDCRunTimes.py" --tripid 54-18 --locoid 4005 --swversion DE.1.0.9.0 --startMP 300:23144 --initTime 2017-10-18T09:39:27 --startdatetime 2017-10-18T09:45:05 --delay 119 --endMP 204:867 --enddatetime 2017-10-18T09:52:36 --enforcementcount 0 &gt;&gt;%USERPROFILE%\Documents\GitHub\eaglep3-reporting\EC\2017-10-18-refined-times.txt</v>
      </c>
      <c r="AI226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0.0867"},{"id":17,"name":"Train ID","value":"54-18"},{"id":16,"name":"Locomotive ID","value":"4005"},{"id":130,"name":"Impact","value":""},{"id":150,"name":"Time of Event (Mountain Time)","value":"09:52:36"},{"id":151,"name":"Denver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74"/>
        <v>start /low /b %USERPROFILE%\Documents\GitHub\eaglep3\Utilities\DownloadLogsFromS3.py --loco 4005 --day 2017-10-18</v>
      </c>
      <c r="AN226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15:52:36"},{"id":29,"name":"Sharepoint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76"/>
        <v>https://d0f6bd738d7f1b3e5a7ca70fe4ff75f0.us-east-1.aws.found.io/app/kibana#/discover/Steve-Slow-Train-Analysis-(2080s-and-2083s)?_g=(refreshInterval:(display:Off,pause:!f,section:0,value:0),time:(from:'2017-10-18T08:39:27-0600',mode:absolute,to:'2017-10-18T10:52:36-0600'))&amp;_a=(columns:!('Message%20ID',Summary),filters:!(),index:'emp_*',interval:auto,query:(query_string:(analyze_wildcard:!t,query:'%22rtdc.l.rtdc.4005%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673</v>
      </c>
      <c r="B227" s="7">
        <v>4006</v>
      </c>
      <c r="C227" s="21" t="s">
        <v>194</v>
      </c>
      <c r="D227" s="21" t="s">
        <v>885</v>
      </c>
      <c r="E227" s="13">
        <v>43026.421539351853</v>
      </c>
      <c r="F227" s="13">
        <v>43026.429444444446</v>
      </c>
      <c r="G227" s="7">
        <v>129</v>
      </c>
      <c r="H227" s="21" t="s">
        <v>886</v>
      </c>
      <c r="I227" s="13">
        <v>43026.435937499999</v>
      </c>
      <c r="J227" s="7">
        <v>0</v>
      </c>
      <c r="K227" s="89" t="str">
        <f>IF(ISEVEN(B227),(B227-1)&amp;"/"&amp;B227,B227&amp;"/"&amp;(B227+1))</f>
        <v>4005/4006</v>
      </c>
      <c r="L227" s="185" t="str">
        <f>VLOOKUP(A227,'Trips&amp;Operators'!$C$1:$G$99911,5,FALSE)</f>
        <v>STARKS ANGELINA</v>
      </c>
      <c r="M227" s="6">
        <f>I227-F227</f>
        <v>6.4930555527098477E-3</v>
      </c>
      <c r="N227" s="7">
        <f>24*60*SUM($M227:$M227)</f>
        <v>9.3499999959021807</v>
      </c>
      <c r="O227" s="7"/>
      <c r="P227" s="7"/>
      <c r="Q227" s="22"/>
      <c r="R227" s="174"/>
      <c r="S227" s="221">
        <f>1/IF(AG227="EC",12,1)*SUM(U227:U227)</f>
        <v>1</v>
      </c>
      <c r="T227" s="174" t="str">
        <f>IF(ISEVEN(LEFT(AD227,4)),"Southbound","NorthBound")</f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-10-18T09:07:01-0600',mode:absolute,to:'2017-10-18T11:27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7" s="204" t="str">
        <f>IF(AA227&lt;VLOOKUP(AG227,Variables!$AC$3:$AD$8,2,FALSE),"Y","N")</f>
        <v>Y</v>
      </c>
      <c r="X227" s="204">
        <f>VALUE(LEFT(AD227,4))-VALUE(LEFT(AD226,4))</f>
        <v>1</v>
      </c>
      <c r="Y227" s="204">
        <f>RIGHT(D227,LEN(D227)-4)/10000</f>
        <v>0.11600000000000001</v>
      </c>
      <c r="Z227" s="204">
        <f>RIGHT(H227,LEN(H227)-4)/10000</f>
        <v>2.4249999999999998</v>
      </c>
      <c r="AA227" s="204">
        <f>ABS(Z227-Y227)</f>
        <v>2.3089999999999997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>VALUE(LEFT(A227,LEN(A227)-3))</f>
        <v>55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s3://rtdc.mdm.uploadarchive.raw/RTDC4006/ "%USERPROFILE%\AppData\Local\Temp\OnboardLogs"\RTDC4006\2017-10-18 --exclude "*" --recursive --include "*20171018*" &amp; "%USERPROFILE%\Documents\GitHub\mrs-test-scripts\Headless Mode &amp; Sideloading\WalkAndUnGZ.bat" "%USERPROFILE%\AppData\Local\Temp\OnboardLogs"\RTDC4006\2017-10-18 &amp; aws s3 cp s3://rtdc.mdm.uploadarchive.raw/RTDC4006/ "%USERPROFILE%\AppData\Local\Temp\OnboardLogs"\RTDC4006\2017-10-19 --exclude "*" --recursive --include "*20171019*" &amp; "%USERPROFILE%\Documents\GitHub\mrs-test-scripts\Headless Mode &amp; Sideloading\WalkAndUnGZ.bat" "%USERPROFILE%\AppData\Local\Temp\OnboardLogs"\RTDC4006\2017-10-19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/stypes="app*4006*20171018*" /stext=" 16:.+((SYSTEM_STATE.+slice.+state.+changed )|(ment ac)|(multiple cpu faults)|(system.+state.+changed )|(\[timeout)|(PRM\|1\|D)|(kpr)|(kdp)|(train st.+moving)|(\|lc)|(penalty))"</v>
      </c>
      <c r="AG227" s="182" t="str">
        <f>DetSubdiv(A227)</f>
        <v>Shuttle/Test</v>
      </c>
      <c r="AH227" s="78" t="str">
        <f t="shared" si="72"/>
        <v>"%USERPROFILE%\Documents\GitHub\eaglep3\Utilities\RefineRTDCRunTimes.py" --tripid 55-18 --locoid 4006 --swversion DE.1.0.9.0 --startMP 204:1160 --initTime 2017-10-18T10:07:01 --startdatetime 2017-10-18T10:18:24 --delay 129 --endMP 300:24250 --enddatetime 2017-10-18T10:27:45 --enforcementcount 0 &gt;&gt;%USERPROFILE%\Documents\GitHub\eaglep3-reporting\EC\2017-10-18-refined-times.txt</v>
      </c>
      <c r="AI227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2.425"},{"id":17,"name":"Train ID","value":"55-18"},{"id":16,"name":"Locomotive ID","value":"4006"},{"id":130,"name":"Impact","value":""},{"id":150,"name":"Time of Event (Mountain Time)","value":"10:27:45"},{"id":151,"name":"Denver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74"/>
        <v>start /low /b %USERPROFILE%\Documents\GitHub\eaglep3\Utilities\DownloadLogsFromS3.py --loco 4006 --day 2017-10-18</v>
      </c>
      <c r="AN227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16:27:45"},{"id":29,"name":"Sharepoint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76"/>
        <v>https://d0f6bd738d7f1b3e5a7ca70fe4ff75f0.us-east-1.aws.found.io/app/kibana#/discover/Steve-Slow-Train-Analysis-(2080s-and-2083s)?_g=(refreshInterval:(display:Off,pause:!f,section:0,value:0),time:(from:'2017-10-18T09:07:01-0600',mode:absolute,to:'2017-10-18T11:27:45-0600'))&amp;_a=(columns:!('Message%20ID',Summary),filters:!(),index:'emp_*',interval:auto,query:(query_string:(analyze_wildcard:!t,query:'%22rtdc.l.rtdc.4006%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683</v>
      </c>
      <c r="B228" s="7">
        <v>4005</v>
      </c>
      <c r="C228" s="21" t="s">
        <v>194</v>
      </c>
      <c r="D228" s="21" t="s">
        <v>887</v>
      </c>
      <c r="E228" s="13">
        <v>43026.446597222224</v>
      </c>
      <c r="F228" s="13">
        <v>43026.450370370374</v>
      </c>
      <c r="G228" s="7">
        <v>53</v>
      </c>
      <c r="H228" s="21" t="s">
        <v>888</v>
      </c>
      <c r="I228" s="13">
        <v>43026.456018518518</v>
      </c>
      <c r="J228" s="7">
        <v>0</v>
      </c>
      <c r="K228" s="89" t="str">
        <f>IF(ISEVEN(B228),(B228-1)&amp;"/"&amp;B228,B228&amp;"/"&amp;(B228+1))</f>
        <v>4005/4006</v>
      </c>
      <c r="L228" s="185" t="str">
        <f>VLOOKUP(A228,'Trips&amp;Operators'!$C$1:$G$99911,5,FALSE)</f>
        <v>MOSES BRADLEY</v>
      </c>
      <c r="M228" s="6">
        <f>I228-F228</f>
        <v>5.648148144246079E-3</v>
      </c>
      <c r="N228" s="7">
        <f>24*60*SUM($M228:$M228)</f>
        <v>8.1333333277143538</v>
      </c>
      <c r="O228" s="7"/>
      <c r="P228" s="7"/>
      <c r="Q228" s="22"/>
      <c r="R228" s="174"/>
      <c r="S228" s="221">
        <f>1/IF(AG228="EC",12,1)*SUM(U228:U228)</f>
        <v>1</v>
      </c>
      <c r="T228" s="174" t="str">
        <f>IF(ISEVEN(LEFT(AD228,4)),"Southbound","NorthBound")</f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-10-18T09:43:06-0600',mode:absolute,to:'2017-10-18T11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3</v>
      </c>
      <c r="Y228" s="204">
        <f>RIGHT(D228,LEN(D228)-4)/10000</f>
        <v>2.2206000000000001</v>
      </c>
      <c r="Z228" s="204">
        <f>RIGHT(H228,LEN(H228)-4)/10000</f>
        <v>9.5200000000000007E-2</v>
      </c>
      <c r="AA228" s="204">
        <f>ABS(Z228-Y228)</f>
        <v>2.1254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>VALUE(LEFT(A228,LEN(A228)-3))</f>
        <v>58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s3://rtdc.mdm.uploadarchive.raw/RTDC4005/ "%USERPROFILE%\AppData\Local\Temp\OnboardLogs"\RTDC4005\2017-10-18 --exclude "*" --recursive --include "*20171018*" &amp; "%USERPROFILE%\Documents\GitHub\mrs-test-scripts\Headless Mode &amp; Sideloading\WalkAndUnGZ.bat" "%USERPROFILE%\AppData\Local\Temp\OnboardLogs"\RTDC4005\2017-10-18 &amp; aws s3 cp s3://rtdc.mdm.uploadarchive.raw/RTDC4005/ "%USERPROFILE%\AppData\Local\Temp\OnboardLogs"\RTDC4005\2017-10-19 --exclude "*" --recursive --include "*20171019*" &amp; "%USERPROFILE%\Documents\GitHub\mrs-test-scripts\Headless Mode &amp; Sideloading\WalkAndUnGZ.bat" "%USERPROFILE%\AppData\Local\Temp\OnboardLogs"\RTDC4005\2017-10-19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/stypes="app*4005*20171018*" /stext=" 16:.+((SYSTEM_STATE.+slice.+state.+changed )|(ment ac)|(multiple cpu faults)|(system.+state.+changed )|(\[timeout)|(PRM\|1\|D)|(kpr)|(kdp)|(train st.+moving)|(\|lc)|(penalty))"</v>
      </c>
      <c r="AG228" s="182" t="str">
        <f>DetSubdiv(A228)</f>
        <v>Shuttle/Test</v>
      </c>
      <c r="AH228" s="78" t="str">
        <f t="shared" si="72"/>
        <v>"%USERPROFILE%\Documents\GitHub\eaglep3\Utilities\RefineRTDCRunTimes.py" --tripid 58-18 --locoid 4005 --swversion DE.1.0.9.0 --startMP 300:22206 --initTime 2017-10-18T10:43:06 --startdatetime 2017-10-18T10:48:32 --delay 53 --endMP 204:952 --enddatetime 2017-10-18T10:56:40 --enforcementcount 0 &gt;&gt;%USERPROFILE%\Documents\GitHub\eaglep3-reporting\EC\2017-10-18-refined-times.txt</v>
      </c>
      <c r="AI228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0.0952"},{"id":17,"name":"Train ID","value":"58-18"},{"id":16,"name":"Locomotive ID","value":"4005"},{"id":130,"name":"Impact","value":""},{"id":150,"name":"Time of Event (Mountain Time)","value":"10:56:40"},{"id":151,"name":"Denver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74"/>
        <v>start /low /b %USERPROFILE%\Documents\GitHub\eaglep3\Utilities\DownloadLogsFromS3.py --loco 4005 --day 2017-10-18</v>
      </c>
      <c r="AN228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16:56:40"},{"id":29,"name":"Sharepoint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76"/>
        <v>https://d0f6bd738d7f1b3e5a7ca70fe4ff75f0.us-east-1.aws.found.io/app/kibana#/discover/Steve-Slow-Train-Analysis-(2080s-and-2083s)?_g=(refreshInterval:(display:Off,pause:!f,section:0,value:0),time:(from:'2017-10-18T09:43:06-0600',mode:absolute,to:'2017-10-18T11:56:40-0600'))&amp;_a=(columns:!('Message%20ID',Summary),filters:!(),index:'emp_*',interval:auto,query:(query_string:(analyze_wildcard:!t,query:'%22rtdc.l.rtdc.4005%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691</v>
      </c>
      <c r="B229" s="7">
        <v>4006</v>
      </c>
      <c r="C229" s="21" t="s">
        <v>194</v>
      </c>
      <c r="D229" s="21" t="s">
        <v>889</v>
      </c>
      <c r="E229" s="13">
        <v>43026.475613425922</v>
      </c>
      <c r="F229" s="13">
        <v>43026.477002314816</v>
      </c>
      <c r="G229" s="7">
        <v>65</v>
      </c>
      <c r="H229" s="21" t="s">
        <v>890</v>
      </c>
      <c r="I229" s="13">
        <v>43026.484965277778</v>
      </c>
      <c r="J229" s="7">
        <v>0</v>
      </c>
      <c r="K229" s="89" t="str">
        <f>IF(ISEVEN(B229),(B229-1)&amp;"/"&amp;B229,B229&amp;"/"&amp;(B229+1))</f>
        <v>4005/4006</v>
      </c>
      <c r="L229" s="185" t="str">
        <f>VLOOKUP(A229,'Trips&amp;Operators'!$C$1:$G$99911,5,FALSE)</f>
        <v>YORK EDGAR</v>
      </c>
      <c r="M229" s="6">
        <f>I229-F229</f>
        <v>7.962962961755693E-3</v>
      </c>
      <c r="N229" s="7">
        <f>24*60*SUM($M229:$M229)</f>
        <v>11.466666664928198</v>
      </c>
      <c r="O229" s="7"/>
      <c r="P229" s="7"/>
      <c r="Q229" s="22"/>
      <c r="R229" s="174"/>
      <c r="S229" s="221">
        <f>1/IF(AG229="EC",12,1)*SUM(U229:U229)</f>
        <v>1</v>
      </c>
      <c r="T229" s="174" t="str">
        <f>IF(ISEVEN(LEFT(AD229,4)),"Southbound","NorthBound")</f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-10-18T10:24:53-0600',mode:absolute,to:'2017-10-18T12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1</v>
      </c>
      <c r="Y229" s="204">
        <f>RIGHT(D229,LEN(D229)-4)/10000</f>
        <v>0.12570000000000001</v>
      </c>
      <c r="Z229" s="204">
        <f>RIGHT(H229,LEN(H229)-4)/10000</f>
        <v>2.4268999999999998</v>
      </c>
      <c r="AA229" s="204">
        <f>ABS(Z229-Y229)</f>
        <v>2.3011999999999997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>VALUE(LEFT(A229,LEN(A229)-3))</f>
        <v>59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s3://rtdc.mdm.uploadarchive.raw/RTDC4006/ "%USERPROFILE%\AppData\Local\Temp\OnboardLogs"\RTDC4006\2017-10-18 --exclude "*" --recursive --include "*20171018*" &amp; "%USERPROFILE%\Documents\GitHub\mrs-test-scripts\Headless Mode &amp; Sideloading\WalkAndUnGZ.bat" "%USERPROFILE%\AppData\Local\Temp\OnboardLogs"\RTDC4006\2017-10-18 &amp; aws s3 cp s3://rtdc.mdm.uploadarchive.raw/RTDC4006/ "%USERPROFILE%\AppData\Local\Temp\OnboardLogs"\RTDC4006\2017-10-19 --exclude "*" --recursive --include "*20171019*" &amp; "%USERPROFILE%\Documents\GitHub\mrs-test-scripts\Headless Mode &amp; Sideloading\WalkAndUnGZ.bat" "%USERPROFILE%\AppData\Local\Temp\OnboardLogs"\RTDC4006\2017-10-19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/stypes="app*4006*20171018*" /stext=" 17:.+((SYSTEM_STATE.+slice.+state.+changed )|(ment ac)|(multiple cpu faults)|(system.+state.+changed )|(\[timeout)|(PRM\|1\|D)|(kpr)|(kdp)|(train st.+moving)|(\|lc)|(penalty))"</v>
      </c>
      <c r="AG229" s="182" t="str">
        <f>DetSubdiv(A229)</f>
        <v>Shuttle/Test</v>
      </c>
      <c r="AH229" s="78" t="str">
        <f t="shared" si="72"/>
        <v>"%USERPROFILE%\Documents\GitHub\eaglep3\Utilities\RefineRTDCRunTimes.py" --tripid 59-18 --locoid 4006 --swversion DE.1.0.9.0 --startMP 204:1257 --initTime 2017-10-18T11:24:53 --startdatetime 2017-10-18T11:26:53 --delay 65 --endMP 300:24269 --enddatetime 2017-10-18T11:38:21 --enforcementcount 0 &gt;&gt;%USERPROFILE%\Documents\GitHub\eaglep3-reporting\EC\2017-10-18-refined-times.txt</v>
      </c>
      <c r="AI229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2.4269"},{"id":17,"name":"Train ID","value":"59-18"},{"id":16,"name":"Locomotive ID","value":"4006"},{"id":130,"name":"Impact","value":""},{"id":150,"name":"Time of Event (Mountain Time)","value":"11:38:21"},{"id":151,"name":"Denver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74"/>
        <v>start /low /b %USERPROFILE%\Documents\GitHub\eaglep3\Utilities\DownloadLogsFromS3.py --loco 4006 --day 2017-10-18</v>
      </c>
      <c r="AN229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17:38:21"},{"id":29,"name":"Sharepoint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76"/>
        <v>https://d0f6bd738d7f1b3e5a7ca70fe4ff75f0.us-east-1.aws.found.io/app/kibana#/discover/Steve-Slow-Train-Analysis-(2080s-and-2083s)?_g=(refreshInterval:(display:Off,pause:!f,section:0,value:0),time:(from:'2017-10-18T10:24:53-0600',mode:absolute,to:'2017-10-18T12:38:21-0600'))&amp;_a=(columns:!('Message%20ID',Summary),filters:!(),index:'emp_*',interval:auto,query:(query_string:(analyze_wildcard:!t,query:'%22rtdc.l.rtdc.4006%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545</v>
      </c>
      <c r="B230" s="7">
        <v>4029</v>
      </c>
      <c r="C230" s="21" t="s">
        <v>194</v>
      </c>
      <c r="D230" s="21" t="s">
        <v>891</v>
      </c>
      <c r="E230" s="13">
        <v>43026.122557870367</v>
      </c>
      <c r="F230" s="13">
        <v>43026.126111111109</v>
      </c>
      <c r="G230" s="7">
        <v>67</v>
      </c>
      <c r="H230" s="21" t="s">
        <v>892</v>
      </c>
      <c r="I230" s="13">
        <v>43026.132025462961</v>
      </c>
      <c r="J230" s="7">
        <v>0</v>
      </c>
      <c r="K230" s="89" t="str">
        <f>IF(ISEVEN(B230),(B230-1)&amp;"/"&amp;B230,B230&amp;"/"&amp;(B230+1))</f>
        <v>4029/4030</v>
      </c>
      <c r="L230" s="185" t="str">
        <f>VLOOKUP(A230,'Trips&amp;Operators'!$C$1:$G$99911,5,FALSE)</f>
        <v>ROCHA YAOTL</v>
      </c>
      <c r="M230" s="6">
        <f>I230-F230</f>
        <v>5.914351851970423E-3</v>
      </c>
      <c r="N230" s="7">
        <f>24*60*SUM($M230:$M230)</f>
        <v>8.5166666668374091</v>
      </c>
      <c r="O230" s="7"/>
      <c r="P230" s="7"/>
      <c r="Q230" s="22"/>
      <c r="R230" s="174"/>
      <c r="S230" s="221">
        <f>1/IF(AG230="EC",12,1)*SUM(U230:U230)</f>
        <v>1</v>
      </c>
      <c r="T230" s="174" t="str">
        <f>IF(ISEVEN(LEFT(AD230,4)),"Southbound","NorthBound")</f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-10-18T01:56:29-0600',mode:absolute,to:'2017-10-18T04:10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1</v>
      </c>
      <c r="Y230" s="204">
        <f>RIGHT(D230,LEN(D230)-4)/10000</f>
        <v>2.3496999999999999</v>
      </c>
      <c r="Z230" s="204">
        <f>RIGHT(H230,LEN(H230)-4)/10000</f>
        <v>8.7900000000000006E-2</v>
      </c>
      <c r="AA230" s="204">
        <f>ABS(Z230-Y230)</f>
        <v>2.2618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>VALUE(LEFT(A230,LEN(A230)-3))</f>
        <v>60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s3://rtdc.mdm.uploadarchive.raw/RTDC4029/ "%USERPROFILE%\AppData\Local\Temp\OnboardLogs"\RTDC4029\2017-10-18 --exclude "*" --recursive --include "*20171018*" &amp; "%USERPROFILE%\Documents\GitHub\mrs-test-scripts\Headless Mode &amp; Sideloading\WalkAndUnGZ.bat" "%USERPROFILE%\AppData\Local\Temp\OnboardLogs"\RTDC4029\2017-10-18 &amp; aws s3 cp s3://rtdc.mdm.uploadarchive.raw/RTDC4029/ "%USERPROFILE%\AppData\Local\Temp\OnboardLogs"\RTDC4029\2017-10-19 --exclude "*" --recursive --include "*20171019*" &amp; "%USERPROFILE%\Documents\GitHub\mrs-test-scripts\Headless Mode &amp; Sideloading\WalkAndUnGZ.bat" "%USERPROFILE%\AppData\Local\Temp\OnboardLogs"\RTDC4029\2017-10-19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/stypes="app*4029*20171018*" /stext=" 09:.+((SYSTEM_STATE.+slice.+state.+changed )|(ment ac)|(multiple cpu faults)|(system.+state.+changed )|(\[timeout)|(PRM\|1\|D)|(kpr)|(kdp)|(train st.+moving)|(\|lc)|(penalty))"</v>
      </c>
      <c r="AG230" s="182" t="str">
        <f>DetSubdiv(A230)</f>
        <v>Shuttle/Test</v>
      </c>
      <c r="AH230" s="78" t="str">
        <f t="shared" si="72"/>
        <v>"%USERPROFILE%\Documents\GitHub\eaglep3\Utilities\RefineRTDCRunTimes.py" --tripid 60-18 --locoid 4029 --swversion DE.1.0.9.0 --startMP 300:23497 --initTime 2017-10-18T02:56:29 --startdatetime 2017-10-18T03:01:36 --delay 67 --endMP 204:879 --enddatetime 2017-10-18T03:10:07 --enforcementcount 0 &gt;&gt;%USERPROFILE%\Documents\GitHub\eaglep3-reporting\EC\2017-10-18-refined-times.txt</v>
      </c>
      <c r="AI230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0.0879"},{"id":17,"name":"Train ID","value":"60-18"},{"id":16,"name":"Locomotive ID","value":"4029"},{"id":130,"name":"Impact","value":""},{"id":150,"name":"Time of Event (Mountain Time)","value":"03:10:07"},{"id":151,"name":"Denver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74"/>
        <v>start /low /b %USERPROFILE%\Documents\GitHub\eaglep3\Utilities\DownloadLogsFromS3.py --loco 4029 --day 2017-10-18</v>
      </c>
      <c r="AN230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09:10:07"},{"id":29,"name":"Sharepoint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76"/>
        <v>https://d0f6bd738d7f1b3e5a7ca70fe4ff75f0.us-east-1.aws.found.io/app/kibana#/discover/Steve-Slow-Train-Analysis-(2080s-and-2083s)?_g=(refreshInterval:(display:Off,pause:!f,section:0,value:0),time:(from:'2017-10-18T01:56:29-0600',mode:absolute,to:'2017-10-18T04:10:07-0600'))&amp;_a=(columns:!('Message%20ID',Summary),filters:!(),index:'emp_*',interval:auto,query:(query_string:(analyze_wildcard:!t,query:'%22rtdc.l.rtdc.4029%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545</v>
      </c>
      <c r="B231" s="7">
        <v>4065</v>
      </c>
      <c r="C231" s="21" t="s">
        <v>194</v>
      </c>
      <c r="D231" s="21" t="s">
        <v>893</v>
      </c>
      <c r="E231" s="13">
        <v>43026.391527777778</v>
      </c>
      <c r="F231" s="13">
        <v>43026.394317129627</v>
      </c>
      <c r="G231" s="7">
        <v>90</v>
      </c>
      <c r="H231" s="21" t="s">
        <v>870</v>
      </c>
      <c r="I231" s="13">
        <v>43026.414189814815</v>
      </c>
      <c r="J231" s="7">
        <v>0</v>
      </c>
      <c r="K231" s="89" t="str">
        <f>IF(ISEVEN(B231),(B231-1)&amp;"/"&amp;B231,B231&amp;"/"&amp;(B231+1))</f>
        <v>4065/4066</v>
      </c>
      <c r="L231" s="185" t="str">
        <f>VLOOKUP(A231,'Trips&amp;Operators'!$C$1:$G$99911,5,FALSE)</f>
        <v>ROCHA YAOTL</v>
      </c>
      <c r="M231" s="6">
        <f>I231-F231</f>
        <v>1.987268518860219E-2</v>
      </c>
      <c r="N231" s="7">
        <f>24*60*SUM($M231:$M231)</f>
        <v>28.616666671587154</v>
      </c>
      <c r="O231" s="7"/>
      <c r="P231" s="7"/>
      <c r="Q231" s="22"/>
      <c r="R231" s="174"/>
      <c r="S231" s="221">
        <f>1/IF(AG231="EC",12,1)*SUM(U231:U231)</f>
        <v>1</v>
      </c>
      <c r="T231" s="174" t="str">
        <f>IF(ISEVEN(LEFT(AD231,4)),"Southbound","NorthBound")</f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-10-18T08:23:48-0600',mode:absolute,to:'2017-10-18T10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0</v>
      </c>
      <c r="Y231" s="204">
        <f>RIGHT(D231,LEN(D231)-4)/10000</f>
        <v>11.2195</v>
      </c>
      <c r="Z231" s="204">
        <f>RIGHT(H231,LEN(H231)-4)/10000</f>
        <v>1.4200000000000001E-2</v>
      </c>
      <c r="AA231" s="204">
        <f>ABS(Z231-Y231)</f>
        <v>11.205299999999999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>VALUE(LEFT(A231,LEN(A231)-3))</f>
        <v>60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 &amp; 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/stypes="app*4065*20171018*" /stext=" 15:.+((SYSTEM_STATE.+slice.+state.+changed )|(ment ac)|(multiple cpu faults)|(system.+state.+changed )|(\[timeout)|(PRM\|1\|D)|(kpr)|(kdp)|(train st.+moving)|(\|lc)|(penalty))"</v>
      </c>
      <c r="AG231" s="182" t="str">
        <f>DetSubdiv(A231)</f>
        <v>Shuttle/Test</v>
      </c>
      <c r="AH231" s="78" t="str">
        <f t="shared" si="72"/>
        <v>"%USERPROFILE%\Documents\GitHub\eaglep3\Utilities\RefineRTDCRunTimes.py" --tripid 60-18 --locoid 4065 --swversion DE.1.0.9.0 --startMP 300:112195 --initTime 2017-10-18T09:23:48 --startdatetime 2017-10-18T09:27:49 --delay 90 --endMP 204:142 --enddatetime 2017-10-18T09:56:26 --enforcementcount 0 &gt;&gt;%USERPROFILE%\Documents\GitHub\eaglep3-reporting\EC\2017-10-18-refined-times.txt</v>
      </c>
      <c r="AI231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0.0142"},{"id":17,"name":"Train ID","value":"60-18"},{"id":16,"name":"Locomotive ID","value":"4065"},{"id":130,"name":"Impact","value":""},{"id":150,"name":"Time of Event (Mountain Time)","value":"09:56:26"},{"id":151,"name":"Denver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74"/>
        <v>start /low /b %USERPROFILE%\Documents\GitHub\eaglep3\Utilities\DownloadLogsFromS3.py --loco 4065 --day 2017-10-18</v>
      </c>
      <c r="AN231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15:56:26"},{"id":29,"name":"Sharepoint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76"/>
        <v>https://d0f6bd738d7f1b3e5a7ca70fe4ff75f0.us-east-1.aws.found.io/app/kibana#/discover/Steve-Slow-Train-Analysis-(2080s-and-2083s)?_g=(refreshInterval:(display:Off,pause:!f,section:0,value:0),time:(from:'2017-10-18T08:23:48-0600',mode:absolute,to:'2017-10-18T10:56:26-0600'))&amp;_a=(columns:!('Message%20ID',Summary),filters:!(),index:'emp_*',interval:auto,query:(query_string:(analyze_wildcard:!t,query:'%22rtdc.l.rtdc.4065%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545</v>
      </c>
      <c r="B232" s="7">
        <v>4065</v>
      </c>
      <c r="C232" s="21" t="s">
        <v>194</v>
      </c>
      <c r="D232" s="21" t="s">
        <v>894</v>
      </c>
      <c r="E232" s="13">
        <v>43026.488020833334</v>
      </c>
      <c r="F232" s="13">
        <v>43026.49013888889</v>
      </c>
      <c r="G232" s="7">
        <v>69</v>
      </c>
      <c r="H232" s="21" t="s">
        <v>895</v>
      </c>
      <c r="I232" s="13">
        <v>43026.502754629626</v>
      </c>
      <c r="J232" s="7">
        <v>0</v>
      </c>
      <c r="K232" s="89" t="str">
        <f>IF(ISEVEN(B232),(B232-1)&amp;"/"&amp;B232,B232&amp;"/"&amp;(B232+1))</f>
        <v>4065/4066</v>
      </c>
      <c r="L232" s="185" t="str">
        <f>VLOOKUP(A232,'Trips&amp;Operators'!$C$1:$G$99911,5,FALSE)</f>
        <v>ROCHA YAOTL</v>
      </c>
      <c r="M232" s="6">
        <f>I232-F232</f>
        <v>1.261574073578231E-2</v>
      </c>
      <c r="N232" s="7">
        <f>24*60*SUM($M232:$M232)</f>
        <v>18.166666659526527</v>
      </c>
      <c r="O232" s="7"/>
      <c r="P232" s="7"/>
      <c r="Q232" s="22"/>
      <c r="R232" s="174"/>
      <c r="S232" s="221">
        <f>1/IF(AG232="EC",12,1)*SUM(U232:U232)</f>
        <v>0</v>
      </c>
      <c r="T232" s="174" t="str">
        <f>IF(ISEVEN(LEFT(AD232,4)),"Southbound","NorthBound")</f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-10-18T10:42:45-0600',mode:absolute,to:'2017-10-18T13:03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2" s="204" t="str">
        <f>IF(AA232&lt;VLOOKUP(AG232,Variables!$AC$3:$AD$8,2,FALSE),"Y","N")</f>
        <v>Y</v>
      </c>
      <c r="X232" s="204">
        <f>VALUE(LEFT(AD232,4))-VALUE(LEFT(AD231,4))</f>
        <v>0</v>
      </c>
      <c r="Y232" s="204">
        <f>RIGHT(D232,LEN(D232)-4)/10000</f>
        <v>11.225199999999999</v>
      </c>
      <c r="Z232" s="204">
        <f>RIGHT(H232,LEN(H232)-4)/10000</f>
        <v>3.8898999999999999</v>
      </c>
      <c r="AA232" s="204">
        <f>ABS(Z232-Y232)</f>
        <v>7.3352999999999993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>VALUE(LEFT(A232,LEN(A232)-3))</f>
        <v>60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 &amp; 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/stypes="app*4065*20171018*" /stext=" 18:.+((SYSTEM_STATE.+slice.+state.+changed )|(ment ac)|(multiple cpu faults)|(system.+state.+changed )|(\[timeout)|(PRM\|1\|D)|(kpr)|(kdp)|(train st.+moving)|(\|lc)|(penalty))"</v>
      </c>
      <c r="AG232" s="182" t="str">
        <f>DetSubdiv(A232)</f>
        <v>Shuttle/Test</v>
      </c>
      <c r="AH232" s="78" t="str">
        <f t="shared" si="72"/>
        <v>"%USERPROFILE%\Documents\GitHub\eaglep3\Utilities\RefineRTDCRunTimes.py" --tripid 60-18 --locoid 4065 --swversion DE.1.0.9.0 --startMP 300:112252 --initTime 2017-10-18T11:42:45 --startdatetime 2017-10-18T11:45:48 --delay 69 --endMP 300:38899 --enddatetime 2017-10-18T12:03:58 --enforcementcount 0 &gt;&gt;%USERPROFILE%\Documents\GitHub\eaglep3-reporting\EC\2017-10-18-refined-times.txt</v>
      </c>
      <c r="AI232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3.8899"},{"id":17,"name":"Train ID","value":"60-18"},{"id":16,"name":"Locomotive ID","value":"4065"},{"id":130,"name":"Impact","value":""},{"id":150,"name":"Time of Event (Mountain Time)","value":"12:03:58"},{"id":151,"name":"Denver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74"/>
        <v>start /low /b %USERPROFILE%\Documents\GitHub\eaglep3\Utilities\DownloadLogsFromS3.py --loco 4065 --day 2017-10-18</v>
      </c>
      <c r="AN232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18:03:58"},{"id":29,"name":"Sharepoint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76"/>
        <v>https://d0f6bd738d7f1b3e5a7ca70fe4ff75f0.us-east-1.aws.found.io/app/kibana#/discover/Steve-Slow-Train-Analysis-(2080s-and-2083s)?_g=(refreshInterval:(display:Off,pause:!f,section:0,value:0),time:(from:'2017-10-18T10:42:45-0600',mode:absolute,to:'2017-10-18T13:03:58-0600'))&amp;_a=(columns:!('Message%20ID',Summary),filters:!(),index:'emp_*',interval:auto,query:(query_string:(analyze_wildcard:!t,query:'%22rtdc.l.rtdc.4065%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558</v>
      </c>
      <c r="B233" s="7">
        <v>4066</v>
      </c>
      <c r="C233" s="21" t="s">
        <v>194</v>
      </c>
      <c r="D233" s="21" t="s">
        <v>896</v>
      </c>
      <c r="E233" s="13">
        <v>43026.374062499999</v>
      </c>
      <c r="F233" s="13">
        <v>43026.376145833332</v>
      </c>
      <c r="G233" s="7">
        <v>93</v>
      </c>
      <c r="H233" s="21" t="s">
        <v>897</v>
      </c>
      <c r="I233" s="13">
        <v>43026.390520833331</v>
      </c>
      <c r="J233" s="7">
        <v>0</v>
      </c>
      <c r="K233" s="89" t="str">
        <f>IF(ISEVEN(B233),(B233-1)&amp;"/"&amp;B233,B233&amp;"/"&amp;(B233+1))</f>
        <v>4065/4066</v>
      </c>
      <c r="L233" s="185" t="str">
        <f>VLOOKUP(A233,'Trips&amp;Operators'!$C$1:$G$99911,5,FALSE)</f>
        <v>ROMERO CHAD</v>
      </c>
      <c r="M233" s="6">
        <f>I233-F233</f>
        <v>1.4374999998835847E-2</v>
      </c>
      <c r="N233" s="7">
        <f>24*60*SUM($M233:$M233)</f>
        <v>20.699999998323619</v>
      </c>
      <c r="O233" s="7"/>
      <c r="P233" s="7"/>
      <c r="Q233" s="22"/>
      <c r="R233" s="174"/>
      <c r="S233" s="221">
        <f>1/IF(AG233="EC",12,1)*SUM(U233:U233)</f>
        <v>0</v>
      </c>
      <c r="T233" s="174" t="str">
        <f>IF(ISEVEN(LEFT(AD233,4)),"Southbound","NorthBound")</f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-10-18T07:58:39-0600',mode:absolute,to:'2017-10-18T10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3" s="204" t="str">
        <f>IF(AA233&lt;VLOOKUP(AG233,Variables!$AC$3:$AD$8,2,FALSE),"Y","N")</f>
        <v>Y</v>
      </c>
      <c r="X233" s="204">
        <f>VALUE(LEFT(AD233,4))-VALUE(LEFT(AD232,4))</f>
        <v>1</v>
      </c>
      <c r="Y233" s="204">
        <f>RIGHT(D233,LEN(D233)-4)/10000</f>
        <v>2.2105999999999999</v>
      </c>
      <c r="Z233" s="204">
        <f>RIGHT(H233,LEN(H233)-4)/10000</f>
        <v>11.2379</v>
      </c>
      <c r="AA233" s="204">
        <f>ABS(Z233-Y233)</f>
        <v>9.0273000000000003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>VALUE(LEFT(A233,LEN(A233)-3))</f>
        <v>61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 &amp; 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/stypes="app*4066*20171018*" /stext=" 15:.+((SYSTEM_STATE.+slice.+state.+changed )|(ment ac)|(multiple cpu faults)|(system.+state.+changed )|(\[timeout)|(PRM\|1\|D)|(kpr)|(kdp)|(train st.+moving)|(\|lc)|(penalty))"</v>
      </c>
      <c r="AG233" s="182" t="str">
        <f>DetSubdiv(A233)</f>
        <v>Shuttle/Test</v>
      </c>
      <c r="AH233" s="78" t="str">
        <f t="shared" si="72"/>
        <v>"%USERPROFILE%\Documents\GitHub\eaglep3\Utilities\RefineRTDCRunTimes.py" --tripid 61-18 --locoid 4066 --swversion DE.1.0.9.0 --startMP 300:22106 --initTime 2017-10-18T08:58:39 --startdatetime 2017-10-18T09:01:39 --delay 93 --endMP 300:112379 --enddatetime 2017-10-18T09:22:21 --enforcementcount 0 &gt;&gt;%USERPROFILE%\Documents\GitHub\eaglep3-reporting\EC\2017-10-18-refined-times.txt</v>
      </c>
      <c r="AI233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11.2379"},{"id":17,"name":"Train ID","value":"61-18"},{"id":16,"name":"Locomotive ID","value":"4066"},{"id":130,"name":"Impact","value":""},{"id":150,"name":"Time of Event (Mountain Time)","value":"09:22:21"},{"id":151,"name":"Denver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74"/>
        <v>start /low /b %USERPROFILE%\Documents\GitHub\eaglep3\Utilities\DownloadLogsFromS3.py --loco 4066 --day 2017-10-18</v>
      </c>
      <c r="AN233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15:22:21"},{"id":29,"name":"Sharepoint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76"/>
        <v>https://d0f6bd738d7f1b3e5a7ca70fe4ff75f0.us-east-1.aws.found.io/app/kibana#/discover/Steve-Slow-Train-Analysis-(2080s-and-2083s)?_g=(refreshInterval:(display:Off,pause:!f,section:0,value:0),time:(from:'2017-10-18T07:58:39-0600',mode:absolute,to:'2017-10-18T10:22:21-0600'))&amp;_a=(columns:!('Message%20ID',Summary),filters:!(),index:'emp_*',interval:auto,query:(query_string:(analyze_wildcard:!t,query:'%22rtdc.l.rtdc.4066%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558</v>
      </c>
      <c r="B234" s="7">
        <v>4066</v>
      </c>
      <c r="C234" s="21" t="s">
        <v>194</v>
      </c>
      <c r="D234" s="21" t="s">
        <v>898</v>
      </c>
      <c r="E234" s="13">
        <v>43026.469375000001</v>
      </c>
      <c r="F234" s="13">
        <v>43026.472245370373</v>
      </c>
      <c r="G234" s="7">
        <v>118</v>
      </c>
      <c r="H234" s="21" t="s">
        <v>899</v>
      </c>
      <c r="I234" s="13">
        <v>43026.486886574072</v>
      </c>
      <c r="J234" s="7">
        <v>0</v>
      </c>
      <c r="K234" s="89" t="str">
        <f>IF(ISEVEN(B234),(B234-1)&amp;"/"&amp;B234,B234&amp;"/"&amp;(B234+1))</f>
        <v>4065/4066</v>
      </c>
      <c r="L234" s="185" t="str">
        <f>VLOOKUP(A234,'Trips&amp;Operators'!$C$1:$G$99911,5,FALSE)</f>
        <v>ROMERO CHAD</v>
      </c>
      <c r="M234" s="6">
        <f>I234-F234</f>
        <v>1.4641203699284233E-2</v>
      </c>
      <c r="N234" s="7">
        <f>24*60*SUM($M234:$M234)</f>
        <v>21.083333326969296</v>
      </c>
      <c r="O234" s="7"/>
      <c r="P234" s="7"/>
      <c r="Q234" s="22"/>
      <c r="R234" s="174"/>
      <c r="S234" s="221">
        <f>1/IF(AG234="EC",12,1)*SUM(U234:U234)</f>
        <v>0</v>
      </c>
      <c r="T234" s="174" t="str">
        <f>IF(ISEVEN(LEFT(AD234,4)),"Southbound","NorthBound")</f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-10-18T10:15:54-0600',mode:absolute,to:'2017-10-18T12:41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4" s="204" t="str">
        <f>IF(AA234&lt;VLOOKUP(AG234,Variables!$AC$3:$AD$8,2,FALSE),"Y","N")</f>
        <v>Y</v>
      </c>
      <c r="X234" s="204">
        <f>VALUE(LEFT(AD234,4))-VALUE(LEFT(AD233,4))</f>
        <v>0</v>
      </c>
      <c r="Y234" s="204">
        <f>RIGHT(D234,LEN(D234)-4)/10000</f>
        <v>3.9203999999999999</v>
      </c>
      <c r="Z234" s="204">
        <f>RIGHT(H234,LEN(H234)-4)/10000</f>
        <v>11.257999999999999</v>
      </c>
      <c r="AA234" s="204">
        <f>ABS(Z234-Y234)</f>
        <v>7.3375999999999992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>VALUE(LEFT(A234,LEN(A234)-3))</f>
        <v>61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 &amp; 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/stypes="app*4066*20171018*" /stext=" 17:.+((SYSTEM_STATE.+slice.+state.+changed )|(ment ac)|(multiple cpu faults)|(system.+state.+changed )|(\[timeout)|(PRM\|1\|D)|(kpr)|(kdp)|(train st.+moving)|(\|lc)|(penalty))"</v>
      </c>
      <c r="AG234" s="182" t="str">
        <f>DetSubdiv(A234)</f>
        <v>Shuttle/Test</v>
      </c>
      <c r="AH234" s="78" t="str">
        <f t="shared" si="72"/>
        <v>"%USERPROFILE%\Documents\GitHub\eaglep3\Utilities\RefineRTDCRunTimes.py" --tripid 61-18 --locoid 4066 --swversion DE.1.0.9.0 --startMP 300:39204 --initTime 2017-10-18T11:15:54 --startdatetime 2017-10-18T11:20:02 --delay 118 --endMP 300:112580 --enddatetime 2017-10-18T11:41:07 --enforcementcount 0 &gt;&gt;%USERPROFILE%\Documents\GitHub\eaglep3-reporting\EC\2017-10-18-refined-times.txt</v>
      </c>
      <c r="AI234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11.258"},{"id":17,"name":"Train ID","value":"61-18"},{"id":16,"name":"Locomotive ID","value":"4066"},{"id":130,"name":"Impact","value":""},{"id":150,"name":"Time of Event (Mountain Time)","value":"11:41:07"},{"id":151,"name":"Denver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74"/>
        <v>start /low /b %USERPROFILE%\Documents\GitHub\eaglep3\Utilities\DownloadLogsFromS3.py --loco 4066 --day 2017-10-18</v>
      </c>
      <c r="AN234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17:41:07"},{"id":29,"name":"Sharepoint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76"/>
        <v>https://d0f6bd738d7f1b3e5a7ca70fe4ff75f0.us-east-1.aws.found.io/app/kibana#/discover/Steve-Slow-Train-Analysis-(2080s-and-2083s)?_g=(refreshInterval:(display:Off,pause:!f,section:0,value:0),time:(from:'2017-10-18T10:15:54-0600',mode:absolute,to:'2017-10-18T12:41:07-0600'))&amp;_a=(columns:!('Message%20ID',Summary),filters:!(),index:'emp_*',interval:auto,query:(query_string:(analyze_wildcard:!t,query:'%22rtdc.l.rtdc.4066%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684</v>
      </c>
      <c r="B235" s="7">
        <v>4065</v>
      </c>
      <c r="C235" s="21" t="s">
        <v>194</v>
      </c>
      <c r="D235" s="21" t="s">
        <v>900</v>
      </c>
      <c r="E235" s="13">
        <v>43026.448958333334</v>
      </c>
      <c r="F235" s="13">
        <v>43026.465312499997</v>
      </c>
      <c r="G235" s="7">
        <v>74</v>
      </c>
      <c r="H235" s="21" t="s">
        <v>901</v>
      </c>
      <c r="I235" s="13">
        <v>43026.466435185182</v>
      </c>
      <c r="J235" s="7">
        <v>0</v>
      </c>
      <c r="K235" s="89" t="str">
        <f>IF(ISEVEN(B235),(B235-1)&amp;"/"&amp;B235,B235&amp;"/"&amp;(B235+1))</f>
        <v>4065/4066</v>
      </c>
      <c r="L235" s="185" t="str">
        <f>VLOOKUP(A235,'Trips&amp;Operators'!$C$1:$G$99911,5,FALSE)</f>
        <v>BROWN JACOB</v>
      </c>
      <c r="M235" s="6">
        <f>I235-F235</f>
        <v>1.1226851856918074E-3</v>
      </c>
      <c r="N235" s="7">
        <f>24*60*SUM($M235:$M235)</f>
        <v>1.6166666673962027</v>
      </c>
      <c r="O235" s="7"/>
      <c r="P235" s="7"/>
      <c r="Q235" s="22"/>
      <c r="R235" s="174"/>
      <c r="S235" s="221">
        <f>1/IF(AG235="EC",12,1)*SUM(U235:U235)</f>
        <v>0</v>
      </c>
      <c r="T235" s="174" t="str">
        <f>IF(ISEVEN(LEFT(AD235,4)),"Southbound","NorthBound")</f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1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-10-18T09:46:30-0600',mode:absolute,to:'2017-10-18T12:11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5" s="204" t="str">
        <f>IF(AA235&lt;VLOOKUP(AG235,Variables!$AC$3:$AD$8,2,FALSE),"Y","N")</f>
        <v>Y</v>
      </c>
      <c r="X235" s="204">
        <f>VALUE(LEFT(AD235,4))-VALUE(LEFT(AD234,4))</f>
        <v>1</v>
      </c>
      <c r="Y235" s="204">
        <f>RIGHT(D235,LEN(D235)-4)/10000</f>
        <v>11.2193</v>
      </c>
      <c r="Z235" s="204">
        <f>RIGHT(H235,LEN(H235)-4)/10000</f>
        <v>3.8868</v>
      </c>
      <c r="AA235" s="204">
        <f>ABS(Z235-Y235)</f>
        <v>7.3325000000000005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>VALUE(LEFT(A235,LEN(A235)-3))</f>
        <v>62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 &amp; 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/stypes="app*4065*20171018*" /stext=" 17:.+((SYSTEM_STATE.+slice.+state.+changed )|(ment ac)|(multiple cpu faults)|(system.+state.+changed )|(\[timeout)|(PRM\|1\|D)|(kpr)|(kdp)|(train st.+moving)|(\|lc)|(penalty))"</v>
      </c>
      <c r="AG235" s="182" t="str">
        <f>DetSubdiv(A235)</f>
        <v>Shuttle/Test</v>
      </c>
      <c r="AH235" s="78" t="str">
        <f t="shared" si="72"/>
        <v>"%USERPROFILE%\Documents\GitHub\eaglep3\Utilities\RefineRTDCRunTimes.py" --tripid 62-18 --locoid 4065 --swversion DE.1.0.9.0 --startMP 300:112193 --initTime 2017-10-18T10:46:30 --startdatetime 2017-10-18T11:10:03 --delay 74 --endMP 300:38868 --enddatetime 2017-10-18T11:11:40 --enforcementcount 0 &gt;&gt;%USERPROFILE%\Documents\GitHub\eaglep3-reporting\EC\2017-10-18-refined-times.txt</v>
      </c>
      <c r="AI235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3.8868"},{"id":17,"name":"Train ID","value":"62-18"},{"id":16,"name":"Locomotive ID","value":"4065"},{"id":130,"name":"Impact","value":""},{"id":150,"name":"Time of Event (Mountain Time)","value":"11:11:40"},{"id":151,"name":"Denver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74"/>
        <v>start /low /b %USERPROFILE%\Documents\GitHub\eaglep3\Utilities\DownloadLogsFromS3.py --loco 4065 --day 2017-10-18</v>
      </c>
      <c r="AN235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17:11:40"},{"id":29,"name":"Sharepoint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76"/>
        <v>https://d0f6bd738d7f1b3e5a7ca70fe4ff75f0.us-east-1.aws.found.io/app/kibana#/discover/Steve-Slow-Train-Analysis-(2080s-and-2083s)?_g=(refreshInterval:(display:Off,pause:!f,section:0,value:0),time:(from:'2017-10-18T09:46:30-0600',mode:absolute,to:'2017-10-18T12:11:40-0600'))&amp;_a=(columns:!('Message%20ID',Summary),filters:!(),index:'emp_*',interval:auto,query:(query_string:(analyze_wildcard:!t,query:'%22rtdc.l.rtdc.4065%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684</v>
      </c>
      <c r="B236" s="7">
        <v>4065</v>
      </c>
      <c r="C236" s="21" t="s">
        <v>194</v>
      </c>
      <c r="D236" s="21" t="s">
        <v>902</v>
      </c>
      <c r="E236" s="13">
        <v>43026.526226851849</v>
      </c>
      <c r="F236" s="13">
        <v>43026.528599537036</v>
      </c>
      <c r="G236" s="7">
        <v>102</v>
      </c>
      <c r="H236" s="21" t="s">
        <v>903</v>
      </c>
      <c r="I236" s="13">
        <v>43026.544374999998</v>
      </c>
      <c r="J236" s="7">
        <v>0</v>
      </c>
      <c r="K236" s="89" t="str">
        <f>IF(ISEVEN(B236),(B236-1)&amp;"/"&amp;B236,B236&amp;"/"&amp;(B236+1))</f>
        <v>4065/4066</v>
      </c>
      <c r="L236" s="185" t="str">
        <f>VLOOKUP(A236,'Trips&amp;Operators'!$C$1:$G$99911,5,FALSE)</f>
        <v>BROWN JACOB</v>
      </c>
      <c r="M236" s="6">
        <f>I236-F236</f>
        <v>1.5775462961755693E-2</v>
      </c>
      <c r="N236" s="7">
        <f>24*60*SUM($M236:$M236)</f>
        <v>22.716666664928198</v>
      </c>
      <c r="O236" s="7"/>
      <c r="P236" s="7"/>
      <c r="Q236" s="22"/>
      <c r="R236" s="174"/>
      <c r="S236" s="221">
        <f>1/IF(AG236="EC",12,1)*SUM(U236:U236)</f>
        <v>0</v>
      </c>
      <c r="T236" s="174" t="str">
        <f>IF(ISEVEN(LEFT(AD236,4)),"Southbound","NorthBound")</f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-10-18T11:37:46-0600',mode:absolute,to:'2017-10-18T14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6" s="204" t="str">
        <f>IF(AA236&lt;VLOOKUP(AG236,Variables!$AC$3:$AD$8,2,FALSE),"Y","N")</f>
        <v>Y</v>
      </c>
      <c r="X236" s="204">
        <f>VALUE(LEFT(AD236,4))-VALUE(LEFT(AD235,4))</f>
        <v>0</v>
      </c>
      <c r="Y236" s="204">
        <f>RIGHT(D236,LEN(D236)-4)/10000</f>
        <v>11.2271</v>
      </c>
      <c r="Z236" s="204">
        <f>RIGHT(H236,LEN(H236)-4)/10000</f>
        <v>2.8776000000000002</v>
      </c>
      <c r="AA236" s="204">
        <f>ABS(Z236-Y236)</f>
        <v>8.349499999999999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>VALUE(LEFT(A236,LEN(A236)-3))</f>
        <v>62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 &amp; 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/stypes="app*4065*20171018*" /stext=" 19:.+((SYSTEM_STATE.+slice.+state.+changed )|(ment ac)|(multiple cpu faults)|(system.+state.+changed )|(\[timeout)|(PRM\|1\|D)|(kpr)|(kdp)|(train st.+moving)|(\|lc)|(penalty))"</v>
      </c>
      <c r="AG236" s="182" t="str">
        <f>DetSubdiv(A236)</f>
        <v>Shuttle/Test</v>
      </c>
      <c r="AH236" s="78" t="str">
        <f t="shared" si="72"/>
        <v>"%USERPROFILE%\Documents\GitHub\eaglep3\Utilities\RefineRTDCRunTimes.py" --tripid 62-18 --locoid 4065 --swversion DE.1.0.9.0 --startMP 300:112271 --initTime 2017-10-18T12:37:46 --startdatetime 2017-10-18T12:41:11 --delay 102 --endMP 300:28776 --enddatetime 2017-10-18T13:03:54 --enforcementcount 0 &gt;&gt;%USERPROFILE%\Documents\GitHub\eaglep3-reporting\EC\2017-10-18-refined-times.txt</v>
      </c>
      <c r="AI236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2.8776"},{"id":17,"name":"Train ID","value":"62-18"},{"id":16,"name":"Locomotive ID","value":"4065"},{"id":130,"name":"Impact","value":""},{"id":150,"name":"Time of Event (Mountain Time)","value":"13:03:54"},{"id":151,"name":"Denver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74"/>
        <v>start /low /b %USERPROFILE%\Documents\GitHub\eaglep3\Utilities\DownloadLogsFromS3.py --loco 4065 --day 2017-10-18</v>
      </c>
      <c r="AN236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19:03:54"},{"id":29,"name":"Sharepoint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76"/>
        <v>https://d0f6bd738d7f1b3e5a7ca70fe4ff75f0.us-east-1.aws.found.io/app/kibana#/discover/Steve-Slow-Train-Analysis-(2080s-and-2083s)?_g=(refreshInterval:(display:Off,pause:!f,section:0,value:0),time:(from:'2017-10-18T11:37:46-0600',mode:absolute,to:'2017-10-18T14:03:54-0600'))&amp;_a=(columns:!('Message%20ID',Summary),filters:!(),index:'emp_*',interval:auto,query:(query_string:(analyze_wildcard:!t,query:'%22rtdc.l.rtdc.4065%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567</v>
      </c>
      <c r="B237" s="7">
        <v>4066</v>
      </c>
      <c r="C237" s="21" t="s">
        <v>194</v>
      </c>
      <c r="D237" s="21" t="s">
        <v>334</v>
      </c>
      <c r="E237" s="13">
        <v>43026.424432870372</v>
      </c>
      <c r="F237" s="13">
        <v>43026.426979166667</v>
      </c>
      <c r="G237" s="7">
        <v>170</v>
      </c>
      <c r="H237" s="21" t="s">
        <v>904</v>
      </c>
      <c r="I237" s="13">
        <v>43026.447511574072</v>
      </c>
      <c r="J237" s="7">
        <v>0</v>
      </c>
      <c r="K237" s="89" t="str">
        <f>IF(ISEVEN(B237),(B237-1)&amp;"/"&amp;B237,B237&amp;"/"&amp;(B237+1))</f>
        <v>4065/4066</v>
      </c>
      <c r="L237" s="185" t="str">
        <f>VLOOKUP(A237,'Trips&amp;Operators'!$C$1:$G$99911,5,FALSE)</f>
        <v>BROWN JACOB</v>
      </c>
      <c r="M237" s="6">
        <f>I237-F237</f>
        <v>2.0532407404971309E-2</v>
      </c>
      <c r="N237" s="7">
        <f>24*60*SUM($M237:$M237)</f>
        <v>29.566666663158685</v>
      </c>
      <c r="O237" s="7"/>
      <c r="P237" s="7"/>
      <c r="Q237" s="22"/>
      <c r="R237" s="174"/>
      <c r="S237" s="221">
        <f>1/IF(AG237="EC",12,1)*SUM(U237:U237)</f>
        <v>1</v>
      </c>
      <c r="T237" s="174" t="str">
        <f>IF(ISEVEN(LEFT(AD237,4)),"Southbound","NorthBound")</f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-10-18T09:11:11-0600',mode:absolute,to:'2017-10-18T11:44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7" s="204" t="str">
        <f>IF(AA237&lt;VLOOKUP(AG237,Variables!$AC$3:$AD$8,2,FALSE),"Y","N")</f>
        <v>Y</v>
      </c>
      <c r="X237" s="204">
        <f>VALUE(LEFT(AD237,4))-VALUE(LEFT(AD236,4))</f>
        <v>1</v>
      </c>
      <c r="Y237" s="204">
        <f>RIGHT(D237,LEN(D237)-4)/10000</f>
        <v>4.4600000000000001E-2</v>
      </c>
      <c r="Z237" s="204">
        <f>RIGHT(H237,LEN(H237)-4)/10000</f>
        <v>11.251300000000001</v>
      </c>
      <c r="AA237" s="204">
        <f>ABS(Z237-Y237)</f>
        <v>11.2067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>VALUE(LEFT(A237,LEN(A237)-3))</f>
        <v>63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 &amp; 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/stypes="app*4066*20171018*" /stext=" 16:.+((SYSTEM_STATE.+slice.+state.+changed )|(ment ac)|(multiple cpu faults)|(system.+state.+changed )|(\[timeout)|(PRM\|1\|D)|(kpr)|(kdp)|(train st.+moving)|(\|lc)|(penalty))"</v>
      </c>
      <c r="AG237" s="182" t="str">
        <f>DetSubdiv(A237)</f>
        <v>Shuttle/Test</v>
      </c>
      <c r="AH237" s="78" t="str">
        <f t="shared" si="72"/>
        <v>"%USERPROFILE%\Documents\GitHub\eaglep3\Utilities\RefineRTDCRunTimes.py" --tripid 63-18 --locoid 4066 --swversion DE.1.0.9.0 --startMP 204:446 --initTime 2017-10-18T10:11:11 --startdatetime 2017-10-18T10:14:51 --delay 170 --endMP 300:112513 --enddatetime 2017-10-18T10:44:25 --enforcementcount 0 &gt;&gt;%USERPROFILE%\Documents\GitHub\eaglep3-reporting\EC\2017-10-18-refined-times.txt</v>
      </c>
      <c r="AI237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11.2513"},{"id":17,"name":"Train ID","value":"63-18"},{"id":16,"name":"Locomotive ID","value":"4066"},{"id":130,"name":"Impact","value":""},{"id":150,"name":"Time of Event (Mountain Time)","value":"10:44:25"},{"id":151,"name":"Denver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74"/>
        <v>start /low /b %USERPROFILE%\Documents\GitHub\eaglep3\Utilities\DownloadLogsFromS3.py --loco 4066 --day 2017-10-18</v>
      </c>
      <c r="AN237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16:44:25"},{"id":29,"name":"Sharepoint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76"/>
        <v>https://d0f6bd738d7f1b3e5a7ca70fe4ff75f0.us-east-1.aws.found.io/app/kibana#/discover/Steve-Slow-Train-Analysis-(2080s-and-2083s)?_g=(refreshInterval:(display:Off,pause:!f,section:0,value:0),time:(from:'2017-10-18T09:11:11-0600',mode:absolute,to:'2017-10-18T11:44:25-0600'))&amp;_a=(columns:!('Message%20ID',Summary),filters:!(),index:'emp_*',interval:auto,query:(query_string:(analyze_wildcard:!t,query:'%22rtdc.l.rtdc.4066%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567</v>
      </c>
      <c r="B238" s="7">
        <v>4066</v>
      </c>
      <c r="C238" s="21" t="s">
        <v>194</v>
      </c>
      <c r="D238" s="21" t="s">
        <v>905</v>
      </c>
      <c r="E238" s="13">
        <v>43026.50439814815</v>
      </c>
      <c r="F238" s="13">
        <v>43026.528599537036</v>
      </c>
      <c r="G238" s="7">
        <v>66</v>
      </c>
      <c r="H238" s="21" t="s">
        <v>906</v>
      </c>
      <c r="I238" s="13">
        <v>43026.544374999998</v>
      </c>
      <c r="J238" s="7">
        <v>0</v>
      </c>
      <c r="K238" s="89" t="str">
        <f>IF(ISEVEN(B238),(B238-1)&amp;"/"&amp;B238,B238&amp;"/"&amp;(B238+1))</f>
        <v>4065/4066</v>
      </c>
      <c r="L238" s="185" t="str">
        <f>VLOOKUP(A238,'Trips&amp;Operators'!$C$1:$G$99911,5,FALSE)</f>
        <v>BROWN JACOB</v>
      </c>
      <c r="M238" s="6">
        <f>I238-F238</f>
        <v>1.5775462961755693E-2</v>
      </c>
      <c r="N238" s="7">
        <f>24*60*SUM($M238:$M238)</f>
        <v>22.716666664928198</v>
      </c>
      <c r="O238" s="7"/>
      <c r="P238" s="7"/>
      <c r="Q238" s="22"/>
      <c r="R238" s="174"/>
      <c r="S238" s="221">
        <f>1/IF(AG238="EC",12,1)*SUM(U238:U238)</f>
        <v>0</v>
      </c>
      <c r="T238" s="174" t="str">
        <f>IF(ISEVEN(LEFT(AD238,4)),"Southbound","NorthBound")</f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-10-18T11:06:20-0600',mode:absolute,to:'2017-10-18T14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8" s="204" t="str">
        <f>IF(AA238&lt;VLOOKUP(AG238,Variables!$AC$3:$AD$8,2,FALSE),"Y","N")</f>
        <v>Y</v>
      </c>
      <c r="X238" s="204">
        <f>VALUE(LEFT(AD238,4))-VALUE(LEFT(AD237,4))</f>
        <v>0</v>
      </c>
      <c r="Y238" s="204">
        <f>RIGHT(D238,LEN(D238)-4)/10000</f>
        <v>3.9220000000000002</v>
      </c>
      <c r="Z238" s="204">
        <f>RIGHT(H238,LEN(H238)-4)/10000</f>
        <v>11.2578</v>
      </c>
      <c r="AA238" s="204">
        <f>ABS(Z238-Y238)</f>
        <v>7.335799999999999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>VALUE(LEFT(A238,LEN(A238)-3))</f>
        <v>63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 &amp; 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/stypes="app*4066*20171018*" /stext=" 19:.+((SYSTEM_STATE.+slice.+state.+changed )|(ment ac)|(multiple cpu faults)|(system.+state.+changed )|(\[timeout)|(PRM\|1\|D)|(kpr)|(kdp)|(train st.+moving)|(\|lc)|(penalty))"</v>
      </c>
      <c r="AG238" s="182" t="str">
        <f>DetSubdiv(A238)</f>
        <v>Shuttle/Test</v>
      </c>
      <c r="AH238" s="78" t="str">
        <f t="shared" si="72"/>
        <v>"%USERPROFILE%\Documents\GitHub\eaglep3\Utilities\RefineRTDCRunTimes.py" --tripid 63-18 --locoid 4066 --swversion DE.1.0.9.0 --startMP 300:39220 --initTime 2017-10-18T12:06:20 --startdatetime 2017-10-18T12:41:11 --delay 66 --endMP 300:112578 --enddatetime 2017-10-18T13:03:54 --enforcementcount 0 &gt;&gt;%USERPROFILE%\Documents\GitHub\eaglep3-reporting\EC\2017-10-18-refined-times.txt</v>
      </c>
      <c r="AI238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11.2578"},{"id":17,"name":"Train ID","value":"63-18"},{"id":16,"name":"Locomotive ID","value":"4066"},{"id":130,"name":"Impact","value":""},{"id":150,"name":"Time of Event (Mountain Time)","value":"13:03:54"},{"id":151,"name":"Denver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74"/>
        <v>start /low /b %USERPROFILE%\Documents\GitHub\eaglep3\Utilities\DownloadLogsFromS3.py --loco 4066 --day 2017-10-18</v>
      </c>
      <c r="AN238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19:03:54"},{"id":29,"name":"Sharepoint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76"/>
        <v>https://d0f6bd738d7f1b3e5a7ca70fe4ff75f0.us-east-1.aws.found.io/app/kibana#/discover/Steve-Slow-Train-Analysis-(2080s-and-2083s)?_g=(refreshInterval:(display:Off,pause:!f,section:0,value:0),time:(from:'2017-10-18T11:06:20-0600',mode:absolute,to:'2017-10-18T14:03:54-0600'))&amp;_a=(columns:!('Message%20ID',Summary),filters:!(),index:'emp_*',interval:auto,query:(query_string:(analyze_wildcard:!t,query:'%22rtdc.l.rtdc.4066%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562</v>
      </c>
      <c r="B239" s="7">
        <v>4002</v>
      </c>
      <c r="C239" s="21" t="s">
        <v>194</v>
      </c>
      <c r="D239" s="21" t="s">
        <v>907</v>
      </c>
      <c r="E239" s="13">
        <v>43026.459490740737</v>
      </c>
      <c r="F239" s="13">
        <v>43026.465312499997</v>
      </c>
      <c r="G239" s="7">
        <v>46</v>
      </c>
      <c r="H239" s="21" t="s">
        <v>908</v>
      </c>
      <c r="I239" s="13">
        <v>43026.466435185182</v>
      </c>
      <c r="J239" s="7">
        <v>0</v>
      </c>
      <c r="K239" s="89" t="str">
        <f>IF(ISEVEN(B239),(B239-1)&amp;"/"&amp;B239,B239&amp;"/"&amp;(B239+1))</f>
        <v>4001/4002</v>
      </c>
      <c r="L239" s="185" t="str">
        <f>VLOOKUP(A239,'Trips&amp;Operators'!$C$1:$G$99911,5,FALSE)</f>
        <v>NEWELL JAMES</v>
      </c>
      <c r="M239" s="6">
        <f>I239-F239</f>
        <v>1.1226851856918074E-3</v>
      </c>
      <c r="N239" s="7">
        <f>24*60*SUM($M239:$M239)</f>
        <v>1.6166666673962027</v>
      </c>
      <c r="O239" s="7"/>
      <c r="P239" s="7"/>
      <c r="Q239" s="22"/>
      <c r="R239" s="174"/>
      <c r="S239" s="221">
        <f>1/IF(AG239="EC",12,1)*SUM(U239:U239)</f>
        <v>0</v>
      </c>
      <c r="T239" s="174" t="str">
        <f>IF(ISEVEN(LEFT(AD239,4)),"Southbound","NorthBound")</f>
        <v>Southbound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-10-18T10:01:40-0600',mode:absolute,to:'2017-10-18T12:11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9" s="204" t="str">
        <f>IF(AA239&lt;VLOOKUP(AG239,Variables!$AC$3:$AD$8,2,FALSE),"Y","N")</f>
        <v>Y</v>
      </c>
      <c r="X239" s="204">
        <f>VALUE(LEFT(AD239,4))-VALUE(LEFT(AD238,4))</f>
        <v>3</v>
      </c>
      <c r="Y239" s="204">
        <f>RIGHT(D239,LEN(D239)-4)/10000</f>
        <v>0.1467</v>
      </c>
      <c r="Z239" s="204">
        <f>RIGHT(H239,LEN(H239)-4)/10000</f>
        <v>0.33239999999999997</v>
      </c>
      <c r="AA239" s="204">
        <f>ABS(Z239-Y239)</f>
        <v>0.18569999999999998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>VALUE(LEFT(A239,LEN(A239)-3))</f>
        <v>66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s3://rtdc.mdm.uploadarchive.raw/RTDC4002/ "%USERPROFILE%\AppData\Local\Temp\OnboardLogs"\RTDC4002\2017-10-18 --exclude "*" --recursive --include "*20171018*" &amp; "%USERPROFILE%\Documents\GitHub\mrs-test-scripts\Headless Mode &amp; Sideloading\WalkAndUnGZ.bat" "%USERPROFILE%\AppData\Local\Temp\OnboardLogs"\RTDC4002\2017-10-18 &amp; aws s3 cp s3://rtdc.mdm.uploadarchive.raw/RTDC4002/ "%USERPROFILE%\AppData\Local\Temp\OnboardLogs"\RTDC4002\2017-10-19 --exclude "*" --recursive --include "*20171019*" &amp; "%USERPROFILE%\Documents\GitHub\mrs-test-scripts\Headless Mode &amp; Sideloading\WalkAndUnGZ.bat" "%USERPROFILE%\AppData\Local\Temp\OnboardLogs"\RTDC4002\2017-10-19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/stypes="app*4002*20171018*" /stext=" 17:.+((SYSTEM_STATE.+slice.+state.+changed )|(ment ac)|(multiple cpu faults)|(system.+state.+changed )|(\[timeout)|(PRM\|1\|D)|(kpr)|(kdp)|(train st.+moving)|(\|lc)|(penalty))"</v>
      </c>
      <c r="AG239" s="182" t="str">
        <f>DetSubdiv(A239)</f>
        <v>Shuttle/Test</v>
      </c>
      <c r="AH239" s="78" t="str">
        <f t="shared" si="72"/>
        <v>"%USERPROFILE%\Documents\GitHub\eaglep3\Utilities\RefineRTDCRunTimes.py" --tripid 66-18 --locoid 4002 --swversion DE.1.0.9.0 --startMP 204:1467 --initTime 2017-10-18T11:01:40 --startdatetime 2017-10-18T11:10:03 --delay 46 --endMP 204:3324 --enddatetime 2017-10-18T11:11:40 --enforcementcount 0 &gt;&gt;%USERPROFILE%\Documents\GitHub\eaglep3-reporting\EC\2017-10-18-refined-times.txt</v>
      </c>
      <c r="AI239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0.3324"},{"id":17,"name":"Train ID","value":"66-18"},{"id":16,"name":"Locomotive ID","value":"4002"},{"id":130,"name":"Impact","value":""},{"id":150,"name":"Time of Event (Mountain Time)","value":"11:11:40"},{"id":151,"name":"Denver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74"/>
        <v>start /low /b %USERPROFILE%\Documents\GitHub\eaglep3\Utilities\DownloadLogsFromS3.py --loco 4002 --day 2017-10-18</v>
      </c>
      <c r="AN239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17:11:40"},{"id":29,"name":"Sharepoint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76"/>
        <v>https://d0f6bd738d7f1b3e5a7ca70fe4ff75f0.us-east-1.aws.found.io/app/kibana#/discover/Steve-Slow-Train-Analysis-(2080s-and-2083s)?_g=(refreshInterval:(display:Off,pause:!f,section:0,value:0),time:(from:'2017-10-18T10:01:40-0600',mode:absolute,to:'2017-10-18T12:11:40-0600'))&amp;_a=(columns:!('Message%20ID',Summary),filters:!(),index:'emp_*',interval:auto,query:(query_string:(analyze_wildcard:!t,query:'%22rtdc.l.rtdc.4002%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32" t="s">
        <v>562</v>
      </c>
      <c r="B240" s="7">
        <v>4001</v>
      </c>
      <c r="C240" s="21" t="s">
        <v>194</v>
      </c>
      <c r="D240" s="21" t="s">
        <v>909</v>
      </c>
      <c r="E240" s="13">
        <v>43026.464016203703</v>
      </c>
      <c r="F240" s="13">
        <v>43026.465312499997</v>
      </c>
      <c r="G240" s="7">
        <v>51</v>
      </c>
      <c r="H240" s="21" t="s">
        <v>357</v>
      </c>
      <c r="I240" s="13">
        <v>43026.466435185182</v>
      </c>
      <c r="J240" s="7">
        <v>0</v>
      </c>
      <c r="K240" s="89" t="str">
        <f>IF(ISEVEN(B240),(B240-1)&amp;"/"&amp;B240,B240&amp;"/"&amp;(B240+1))</f>
        <v>4001/4002</v>
      </c>
      <c r="L240" s="185" t="str">
        <f>VLOOKUP(A240,'Trips&amp;Operators'!$C$1:$G$99911,5,FALSE)</f>
        <v>NEWELL JAMES</v>
      </c>
      <c r="M240" s="6">
        <f>I240-F240</f>
        <v>1.1226851856918074E-3</v>
      </c>
      <c r="N240" s="7">
        <f>24*60*SUM($M240:$M240)</f>
        <v>1.6166666673962027</v>
      </c>
      <c r="O240" s="7"/>
      <c r="P240" s="7"/>
      <c r="Q240" s="22"/>
      <c r="R240" s="174"/>
      <c r="S240" s="221">
        <f>1/IF(AG240="EC",12,1)*SUM(U240:U240)</f>
        <v>0</v>
      </c>
      <c r="T240" s="174" t="str">
        <f>IF(ISEVEN(LEFT(AD240,4)),"Southbound","NorthBound")</f>
        <v>Southbound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-10-18T10:08:11-0600',mode:absolute,to:'2017-10-18T12:11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0" s="204" t="str">
        <f>IF(AA240&lt;VLOOKUP(AG240,Variables!$AC$3:$AD$8,2,FALSE),"Y","N")</f>
        <v>Y</v>
      </c>
      <c r="X240" s="204">
        <f>VALUE(LEFT(AD240,4))-VALUE(LEFT(AD239,4))</f>
        <v>0</v>
      </c>
      <c r="Y240" s="204">
        <f>RIGHT(D240,LEN(D240)-4)/10000</f>
        <v>0.2989</v>
      </c>
      <c r="Z240" s="204">
        <f>RIGHT(H240,LEN(H240)-4)/10000</f>
        <v>1.5599999999999999E-2</v>
      </c>
      <c r="AA240" s="204">
        <f>ABS(Z240-Y240)</f>
        <v>0.2833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>VALUE(LEFT(A240,LEN(A240)-3))</f>
        <v>66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s3://rtdc.mdm.uploadarchive.raw/RTDC4001/ "%USERPROFILE%\AppData\Local\Temp\OnboardLogs"\RTDC4001\2017-10-18 --exclude "*" --recursive --include "*20171018*" &amp; "%USERPROFILE%\Documents\GitHub\mrs-test-scripts\Headless Mode &amp; Sideloading\WalkAndUnGZ.bat" "%USERPROFILE%\AppData\Local\Temp\OnboardLogs"\RTDC4001\2017-10-18 &amp; aws s3 cp s3://rtdc.mdm.uploadarchive.raw/RTDC4001/ "%USERPROFILE%\AppData\Local\Temp\OnboardLogs"\RTDC4001\2017-10-19 --exclude "*" --recursive --include "*20171019*" &amp; "%USERPROFILE%\Documents\GitHub\mrs-test-scripts\Headless Mode &amp; Sideloading\WalkAndUnGZ.bat" "%USERPROFILE%\AppData\Local\Temp\OnboardLogs"\RTDC4001\2017-10-19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/stypes="app*4001*20171018*" /stext=" 17:.+((SYSTEM_STATE.+slice.+state.+changed )|(ment ac)|(multiple cpu faults)|(system.+state.+changed )|(\[timeout)|(PRM\|1\|D)|(kpr)|(kdp)|(train st.+moving)|(\|lc)|(penalty))"</v>
      </c>
      <c r="AG240" s="182" t="str">
        <f>DetSubdiv(A240)</f>
        <v>Shuttle/Test</v>
      </c>
      <c r="AH240" s="78" t="str">
        <f t="shared" si="72"/>
        <v>"%USERPROFILE%\Documents\GitHub\eaglep3\Utilities\RefineRTDCRunTimes.py" --tripid 66-18 --locoid 4001 --swversion DE.1.0.9.0 --startMP 204:2989 --initTime 2017-10-18T11:08:11 --startdatetime 2017-10-18T11:10:03 --delay 51 --endMP 204:156 --enddatetime 2017-10-18T11:11:40 --enforcementcount 0 &gt;&gt;%USERPROFILE%\Documents\GitHub\eaglep3-reporting\EC\2017-10-18-refined-times.txt</v>
      </c>
      <c r="AI240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0.0156"},{"id":17,"name":"Train ID","value":"66-18"},{"id":16,"name":"Locomotive ID","value":"4001"},{"id":130,"name":"Impact","value":""},{"id":150,"name":"Time of Event (Mountain Time)","value":"11:11:40"},{"id":151,"name":"Denver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74"/>
        <v>start /low /b %USERPROFILE%\Documents\GitHub\eaglep3\Utilities\DownloadLogsFromS3.py --loco 4001 --day 2017-10-18</v>
      </c>
      <c r="AN240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17:11:40"},{"id":29,"name":"Sharepoint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76"/>
        <v>https://d0f6bd738d7f1b3e5a7ca70fe4ff75f0.us-east-1.aws.found.io/app/kibana#/discover/Steve-Slow-Train-Analysis-(2080s-and-2083s)?_g=(refreshInterval:(display:Off,pause:!f,section:0,value:0),time:(from:'2017-10-18T10:08:11-0600',mode:absolute,to:'2017-10-18T12:11:40-0600'))&amp;_a=(columns:!('Message%20ID',Summary),filters:!(),index:'emp_*',interval:auto,query:(query_string:(analyze_wildcard:!t,query:'%22rtdc.l.rtdc.4001%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32" t="s">
        <v>566</v>
      </c>
      <c r="B241" s="7">
        <v>4007</v>
      </c>
      <c r="C241" s="21" t="s">
        <v>194</v>
      </c>
      <c r="D241" s="21" t="s">
        <v>910</v>
      </c>
      <c r="E241" s="13">
        <v>43026.47855324074</v>
      </c>
      <c r="F241" s="13">
        <v>43026.481631944444</v>
      </c>
      <c r="G241" s="7">
        <v>75</v>
      </c>
      <c r="H241" s="21" t="s">
        <v>911</v>
      </c>
      <c r="I241" s="13">
        <v>43026.488483796296</v>
      </c>
      <c r="J241" s="7">
        <v>0</v>
      </c>
      <c r="K241" s="89" t="str">
        <f>IF(ISEVEN(B241),(B241-1)&amp;"/"&amp;B241,B241&amp;"/"&amp;(B241+1))</f>
        <v>4007/4008</v>
      </c>
      <c r="L241" s="185" t="str">
        <f>VLOOKUP(A241,'Trips&amp;Operators'!$C$1:$G$99911,5,FALSE)</f>
        <v>NELSON ARIANE</v>
      </c>
      <c r="M241" s="6">
        <f>I241-F241</f>
        <v>6.8518518528435379E-3</v>
      </c>
      <c r="N241" s="7">
        <f>24*60*SUM($M241:$M241)</f>
        <v>9.8666666680946946</v>
      </c>
      <c r="O241" s="7"/>
      <c r="P241" s="7"/>
      <c r="Q241" s="22"/>
      <c r="R241" s="174"/>
      <c r="S241" s="221">
        <f>1/IF(AG241="EC",12,1)*SUM(U241:U241)</f>
        <v>1</v>
      </c>
      <c r="T241" s="174" t="str">
        <f>IF(ISEVEN(LEFT(AD241,4)),"Southbound","NorthBound")</f>
        <v>Southbound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-10-18T10:29:07-0600',mode:absolute,to:'2017-10-18T12:43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1" s="204" t="str">
        <f>IF(AA241&lt;VLOOKUP(AG241,Variables!$AC$3:$AD$8,2,FALSE),"Y","N")</f>
        <v>Y</v>
      </c>
      <c r="X241" s="204">
        <f>VALUE(LEFT(AD241,4))-VALUE(LEFT(AD240,4))</f>
        <v>4</v>
      </c>
      <c r="Y241" s="204">
        <f>RIGHT(D241,LEN(D241)-4)/10000</f>
        <v>2.3544</v>
      </c>
      <c r="Z241" s="204">
        <f>RIGHT(H241,LEN(H241)-4)/10000</f>
        <v>8.5800000000000001E-2</v>
      </c>
      <c r="AA241" s="204">
        <f>ABS(Z241-Y241)</f>
        <v>2.2686000000000002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>VALUE(LEFT(A241,LEN(A241)-3))</f>
        <v>70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s3://rtdc.mdm.uploadarchive.raw/RTDC4007/ "%USERPROFILE%\AppData\Local\Temp\OnboardLogs"\RTDC4007\2017-10-18 --exclude "*" --recursive --include "*20171018*" &amp; "%USERPROFILE%\Documents\GitHub\mrs-test-scripts\Headless Mode &amp; Sideloading\WalkAndUnGZ.bat" "%USERPROFILE%\AppData\Local\Temp\OnboardLogs"\RTDC4007\2017-10-18 &amp; aws s3 cp s3://rtdc.mdm.uploadarchive.raw/RTDC4007/ "%USERPROFILE%\AppData\Local\Temp\OnboardLogs"\RTDC4007\2017-10-19 --exclude "*" --recursive --include "*20171019*" &amp; "%USERPROFILE%\Documents\GitHub\mrs-test-scripts\Headless Mode &amp; Sideloading\WalkAndUnGZ.bat" "%USERPROFILE%\AppData\Local\Temp\OnboardLogs"\RTDC4007\2017-10-19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/stypes="app*4007*20171018*" /stext=" 17:.+((SYSTEM_STATE.+slice.+state.+changed )|(ment ac)|(multiple cpu faults)|(system.+state.+changed )|(\[timeout)|(PRM\|1\|D)|(kpr)|(kdp)|(train st.+moving)|(\|lc)|(penalty))"</v>
      </c>
      <c r="AG241" s="182" t="str">
        <f>DetSubdiv(A241)</f>
        <v>Shuttle/Test</v>
      </c>
      <c r="AH241" s="78" t="str">
        <f t="shared" si="72"/>
        <v>"%USERPROFILE%\Documents\GitHub\eaglep3\Utilities\RefineRTDCRunTimes.py" --tripid 70-18 --locoid 4007 --swversion DE.1.0.9.0 --startMP 300:23544 --initTime 2017-10-18T11:29:07 --startdatetime 2017-10-18T11:33:33 --delay 75 --endMP 204:858 --enddatetime 2017-10-18T11:43:25 --enforcementcount 0 &gt;&gt;%USERPROFILE%\Documents\GitHub\eaglep3-reporting\EC\2017-10-18-refined-times.txt</v>
      </c>
      <c r="AI241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0.0858"},{"id":17,"name":"Train ID","value":"70-18"},{"id":16,"name":"Locomotive ID","value":"4007"},{"id":130,"name":"Impact","value":""},{"id":150,"name":"Time of Event (Mountain Time)","value":"11:43:25"},{"id":151,"name":"Denver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47"/>
      <c r="AL241" s="47"/>
      <c r="AM241" s="142" t="str">
        <f t="shared" si="74"/>
        <v>start /low /b %USERPROFILE%\Documents\GitHub\eaglep3\Utilities\DownloadLogsFromS3.py --loco 4007 --day 2017-10-18</v>
      </c>
      <c r="AN241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17:43:25"},{"id":29,"name":"Sharepoint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76"/>
        <v>https://d0f6bd738d7f1b3e5a7ca70fe4ff75f0.us-east-1.aws.found.io/app/kibana#/discover/Steve-Slow-Train-Analysis-(2080s-and-2083s)?_g=(refreshInterval:(display:Off,pause:!f,section:0,value:0),time:(from:'2017-10-18T10:29:07-0600',mode:absolute,to:'2017-10-18T12:43:25-0600'))&amp;_a=(columns:!('Message%20ID',Summary),filters:!(),index:'emp_*',interval:auto,query:(query_string:(analyze_wildcard:!t,query:'%22rtdc.l.rtdc.4007%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32" t="s">
        <v>697</v>
      </c>
      <c r="B242" s="7">
        <v>4008</v>
      </c>
      <c r="C242" s="21" t="s">
        <v>194</v>
      </c>
      <c r="D242" s="21" t="s">
        <v>912</v>
      </c>
      <c r="E242" s="13">
        <v>43026.501840277779</v>
      </c>
      <c r="F242" s="13">
        <v>43026.509479166663</v>
      </c>
      <c r="G242" s="7">
        <v>111</v>
      </c>
      <c r="H242" s="21" t="s">
        <v>913</v>
      </c>
      <c r="I242" s="13">
        <v>43026.515972222223</v>
      </c>
      <c r="J242" s="7">
        <v>0</v>
      </c>
      <c r="K242" s="89" t="str">
        <f>IF(ISEVEN(B242),(B242-1)&amp;"/"&amp;B242,B242&amp;"/"&amp;(B242+1))</f>
        <v>4007/4008</v>
      </c>
      <c r="L242" s="185" t="str">
        <f>VLOOKUP(A242,'Trips&amp;Operators'!$C$1:$G$99911,5,FALSE)</f>
        <v>LAMAR NEKESHA</v>
      </c>
      <c r="M242" s="6">
        <f>I242-F242</f>
        <v>6.4930555599858053E-3</v>
      </c>
      <c r="N242" s="7">
        <f>24*60*SUM($M242:$M242)</f>
        <v>9.3500000063795596</v>
      </c>
      <c r="O242" s="7"/>
      <c r="P242" s="7"/>
      <c r="Q242" s="22"/>
      <c r="R242" s="174"/>
      <c r="S242" s="221">
        <f>1/IF(AG242="EC",12,1)*SUM(U242:U242)</f>
        <v>1</v>
      </c>
      <c r="T242" s="174" t="str">
        <f>IF(ISEVEN(LEFT(AD242,4)),"Southbound","NorthBound")</f>
        <v>NorthBound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1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-10-18T11:02:39-0600',mode:absolute,to:'2017-10-18T13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2" s="204" t="str">
        <f>IF(AA242&lt;VLOOKUP(AG242,Variables!$AC$3:$AD$8,2,FALSE),"Y","N")</f>
        <v>Y</v>
      </c>
      <c r="X242" s="204">
        <f>VALUE(LEFT(AD242,4))-VALUE(LEFT(AD241,4))</f>
        <v>1</v>
      </c>
      <c r="Y242" s="204">
        <f>RIGHT(D242,LEN(D242)-4)/10000</f>
        <v>0.1177</v>
      </c>
      <c r="Z242" s="204">
        <f>RIGHT(H242,LEN(H242)-4)/10000</f>
        <v>2.4239000000000002</v>
      </c>
      <c r="AA242" s="204">
        <f>ABS(Z242-Y242)</f>
        <v>2.3062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>VALUE(LEFT(A242,LEN(A242)-3))</f>
        <v>71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s3://rtdc.mdm.uploadarchive.raw/RTDC4008/ "%USERPROFILE%\AppData\Local\Temp\OnboardLogs"\RTDC4008\2017-10-18 --exclude "*" --recursive --include "*20171018*" &amp; "%USERPROFILE%\Documents\GitHub\mrs-test-scripts\Headless Mode &amp; Sideloading\WalkAndUnGZ.bat" "%USERPROFILE%\AppData\Local\Temp\OnboardLogs"\RTDC4008\2017-10-18 &amp; aws s3 cp s3://rtdc.mdm.uploadarchive.raw/RTDC4008/ "%USERPROFILE%\AppData\Local\Temp\OnboardLogs"\RTDC4008\2017-10-19 --exclude "*" --recursive --include "*20171019*" &amp; "%USERPROFILE%\Documents\GitHub\mrs-test-scripts\Headless Mode &amp; Sideloading\WalkAndUnGZ.bat" "%USERPROFILE%\AppData\Local\Temp\OnboardLogs"\RTDC4008\2017-10-19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/stypes="app*4008*20171018*" /stext=" 18:.+((SYSTEM_STATE.+slice.+state.+changed )|(ment ac)|(multiple cpu faults)|(system.+state.+changed )|(\[timeout)|(PRM\|1\|D)|(kpr)|(kdp)|(train st.+moving)|(\|lc)|(penalty))"</v>
      </c>
      <c r="AG242" s="182" t="str">
        <f>DetSubdiv(A242)</f>
        <v>Shuttle/Test</v>
      </c>
      <c r="AH242" s="78" t="str">
        <f t="shared" si="72"/>
        <v>"%USERPROFILE%\Documents\GitHub\eaglep3\Utilities\RefineRTDCRunTimes.py" --tripid 71-18 --locoid 4008 --swversion DE.1.0.9.0 --startMP 204:1177 --initTime 2017-10-18T12:02:39 --startdatetime 2017-10-18T12:13:39 --delay 111 --endMP 300:24239 --enddatetime 2017-10-18T12:23:00 --enforcementcount 0 &gt;&gt;%USERPROFILE%\Documents\GitHub\eaglep3-reporting\EC\2017-10-18-refined-times.txt</v>
      </c>
      <c r="AI242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2.4239"},{"id":17,"name":"Train ID","value":"71-18"},{"id":16,"name":"Locomotive ID","value":"4008"},{"id":130,"name":"Impact","value":""},{"id":150,"name":"Time of Event (Mountain Time)","value":"12:23:00"},{"id":151,"name":"Denver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47"/>
      <c r="AL242" s="47"/>
      <c r="AM242" s="142" t="str">
        <f t="shared" si="74"/>
        <v>start /low /b %USERPROFILE%\Documents\GitHub\eaglep3\Utilities\DownloadLogsFromS3.py --loco 4008 --day 2017-10-18</v>
      </c>
      <c r="AN242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18:23:00"},{"id":29,"name":"Sharepoint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76"/>
        <v>https://d0f6bd738d7f1b3e5a7ca70fe4ff75f0.us-east-1.aws.found.io/app/kibana#/discover/Steve-Slow-Train-Analysis-(2080s-and-2083s)?_g=(refreshInterval:(display:Off,pause:!f,section:0,value:0),time:(from:'2017-10-18T11:02:39-0600',mode:absolute,to:'2017-10-18T13:23:00-0600'))&amp;_a=(columns:!('Message%20ID',Summary),filters:!(),index:'emp_*',interval:auto,query:(query_string:(analyze_wildcard:!t,query:'%22rtdc.l.rtdc.4008%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 s="32" t="s">
        <v>697</v>
      </c>
      <c r="B243" s="7">
        <v>4056</v>
      </c>
      <c r="C243" s="21" t="s">
        <v>194</v>
      </c>
      <c r="D243" s="21" t="s">
        <v>914</v>
      </c>
      <c r="E243" s="13">
        <v>43026.730682870373</v>
      </c>
      <c r="F243" s="13">
        <v>43026.732303240744</v>
      </c>
      <c r="G243" s="7">
        <v>62</v>
      </c>
      <c r="H243" s="21" t="s">
        <v>420</v>
      </c>
      <c r="I243" s="13">
        <v>43026.822581018518</v>
      </c>
      <c r="J243" s="7">
        <v>0</v>
      </c>
      <c r="K243" s="89" t="str">
        <f>IF(ISEVEN(B243),(B243-1)&amp;"/"&amp;B243,B243&amp;"/"&amp;(B243+1))</f>
        <v>4055/4056</v>
      </c>
      <c r="L243" s="185" t="str">
        <f>VLOOKUP(A243,'Trips&amp;Operators'!$C$1:$G$99911,5,FALSE)</f>
        <v>LAMAR NEKESHA</v>
      </c>
      <c r="M243" s="6">
        <f>I243-F243</f>
        <v>9.0277777773735579E-2</v>
      </c>
      <c r="N243" s="7">
        <f>24*60*SUM($M243:$M243)</f>
        <v>129.99999999417923</v>
      </c>
      <c r="O243" s="7"/>
      <c r="P243" s="7"/>
      <c r="Q243" s="22"/>
      <c r="R243" s="174"/>
      <c r="S243" s="221">
        <f>1/IF(AG243="EC",12,1)*SUM(U243:U243)</f>
        <v>1</v>
      </c>
      <c r="T243" s="174" t="str">
        <f>IF(ISEVEN(LEFT(AD243,4)),"Southbound","NorthBound")</f>
        <v>NorthBound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16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-10-18T16:32:11-0600',mode:absolute,to:'2017-10-18T20:44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43" s="204" t="str">
        <f>IF(AA243&lt;VLOOKUP(AG243,Variables!$AC$3:$AD$8,2,FALSE),"Y","N")</f>
        <v>Y</v>
      </c>
      <c r="X243" s="204">
        <f>VALUE(LEFT(AD243,4))-VALUE(LEFT(AD242,4))</f>
        <v>0</v>
      </c>
      <c r="Y243" s="204">
        <f>RIGHT(D243,LEN(D243)-4)/10000</f>
        <v>0.1142</v>
      </c>
      <c r="Z243" s="204">
        <f>RIGHT(H243,LEN(H243)-4)/10000</f>
        <v>2.3346</v>
      </c>
      <c r="AA243" s="204">
        <f>ABS(Z243-Y243)</f>
        <v>2.2204000000000002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179">
        <f>VALUE(LEFT(A243,LEN(A243)-3))</f>
        <v>71</v>
      </c>
      <c r="AE243" s="7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s3://rtdc.mdm.uploadarchive.raw/RTDC4056/ "%USERPROFILE%\AppData\Local\Temp\OnboardLogs"\RTDC4056\2017-10-18 --exclude "*" --recursive --include "*20171018*" &amp; "%USERPROFILE%\Documents\GitHub\mrs-test-scripts\Headless Mode &amp; Sideloading\WalkAndUnGZ.bat" "%USERPROFILE%\AppData\Local\Temp\OnboardLogs"\RTDC4056\2017-10-18 &amp; aws s3 cp s3://rtdc.mdm.uploadarchive.raw/RTDC4056/ "%USERPROFILE%\AppData\Local\Temp\OnboardLogs"\RTDC4056\2017-10-19 --exclude "*" --recursive --include "*20171019*" &amp; "%USERPROFILE%\Documents\GitHub\mrs-test-scripts\Headless Mode &amp; Sideloading\WalkAndUnGZ.bat" "%USERPROFILE%\AppData\Local\Temp\OnboardLogs"\RTDC4056\2017-10-19</v>
      </c>
      <c r="AF243" s="7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/stypes="app*4056*20171019*" /stext=" 01:.+((SYSTEM_STATE.+slice.+state.+changed )|(ment ac)|(multiple cpu faults)|(system.+state.+changed )|(\[timeout)|(PRM\|1\|D)|(kpr)|(kdp)|(train st.+moving)|(\|lc)|(penalty))"</v>
      </c>
      <c r="AG243" s="182" t="str">
        <f>DetSubdiv(A243)</f>
        <v>Shuttle/Test</v>
      </c>
      <c r="AH243" s="78" t="str">
        <f t="shared" si="72"/>
        <v>"%USERPROFILE%\Documents\GitHub\eaglep3\Utilities\RefineRTDCRunTimes.py" --tripid 71-18 --locoid 4056 --swversion DE.1.0.9.0 --startMP 204:1142 --initTime 2017-10-18T17:32:11 --startdatetime 2017-10-18T17:34:31 --delay 62 --endMP 300:23346 --enddatetime 2017-10-18T19:44:31 --enforcementcount 0 &gt;&gt;%USERPROFILE%\Documents\GitHub\eaglep3-reporting\EC\2017-10-18-refined-times.txt</v>
      </c>
      <c r="AI243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2.3346"},{"id":17,"name":"Train ID","value":"71-18"},{"id":16,"name":"Locomotive ID","value":"4056"},{"id":130,"name":"Impact","value":""},{"id":150,"name":"Time of Event (Mountain Time)","value":"19:44:31"},{"id":151,"name":"Denver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47"/>
      <c r="AL243" s="47"/>
      <c r="AM243" s="142" t="str">
        <f t="shared" si="74"/>
        <v>start /low /b %USERPROFILE%\Documents\GitHub\eaglep3\Utilities\DownloadLogsFromS3.py --loco 4056 --day 2017-10-18</v>
      </c>
      <c r="AN243" s="151" t="str">
        <f t="shared" si="7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01:44:31"},{"id":29,"name":"Sharepoint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76"/>
        <v>https://d0f6bd738d7f1b3e5a7ca70fe4ff75f0.us-east-1.aws.found.io/app/kibana#/discover/Steve-Slow-Train-Analysis-(2080s-and-2083s)?_g=(refreshInterval:(display:Off,pause:!f,section:0,value:0),time:(from:'2017-10-18T16:32:11-0600',mode:absolute,to:'2017-10-18T20:44:31-0600'))&amp;_a=(columns:!('Message%20ID',Summary),filters:!(),index:'emp_*',interval:auto,query:(query_string:(analyze_wildcard:!t,query:'%22rtdc.l.rtdc.4056%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 s="32" t="s">
        <v>697</v>
      </c>
      <c r="B244" s="7">
        <v>4059</v>
      </c>
      <c r="C244" s="21" t="s">
        <v>194</v>
      </c>
      <c r="D244" s="21" t="s">
        <v>915</v>
      </c>
      <c r="E244" s="13">
        <v>43026.713414351849</v>
      </c>
      <c r="F244" s="13">
        <v>43026.732303240744</v>
      </c>
      <c r="G244" s="7">
        <v>59</v>
      </c>
      <c r="H244" s="21" t="s">
        <v>335</v>
      </c>
      <c r="I244" s="13">
        <v>43026.822581018518</v>
      </c>
      <c r="J244" s="7">
        <v>0</v>
      </c>
      <c r="K244" s="89" t="str">
        <f>IF(ISEVEN(B244),(B244-1)&amp;"/"&amp;B244,B244&amp;"/"&amp;(B244+1))</f>
        <v>4059/4060</v>
      </c>
      <c r="L244" s="185" t="str">
        <f>VLOOKUP(A244,'Trips&amp;Operators'!$C$1:$G$99911,5,FALSE)</f>
        <v>LAMAR NEKESHA</v>
      </c>
      <c r="M244" s="6">
        <f>I244-F244</f>
        <v>9.0277777773735579E-2</v>
      </c>
      <c r="N244" s="7">
        <f>24*60*SUM($M244:$M244)</f>
        <v>129.99999999417923</v>
      </c>
      <c r="O244" s="7"/>
      <c r="P244" s="7"/>
      <c r="Q244" s="22"/>
      <c r="R244" s="174"/>
      <c r="S244" s="221">
        <f>1/IF(AG244="EC",12,1)*SUM(U244:U244)</f>
        <v>0</v>
      </c>
      <c r="T244" s="174" t="str">
        <f>IF(ISEVEN(LEFT(AD244,4)),"Southbound","NorthBound")</f>
        <v>NorthBound</v>
      </c>
      <c r="U244" s="19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16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-10-18T16:07:19-0600',mode:absolute,to:'2017-10-18T20:44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44" s="204" t="str">
        <f>IF(AA244&lt;VLOOKUP(AG244,Variables!$AC$3:$AD$8,2,FALSE),"Y","N")</f>
        <v>Y</v>
      </c>
      <c r="X244" s="204">
        <f>VALUE(LEFT(AD244,4))-VALUE(LEFT(AD243,4))</f>
        <v>0</v>
      </c>
      <c r="Y244" s="204">
        <f>RIGHT(D244,LEN(D244)-4)/10000</f>
        <v>0.30520000000000003</v>
      </c>
      <c r="Z244" s="204">
        <f>RIGHT(H244,LEN(H244)-4)/10000</f>
        <v>1.4999999999999999E-2</v>
      </c>
      <c r="AA244" s="204">
        <f>ABS(Z244-Y244)</f>
        <v>0.29020000000000001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179">
        <f>VALUE(LEFT(A244,LEN(A244)-3))</f>
        <v>71</v>
      </c>
      <c r="AE244" s="77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s3://rtdc.mdm.uploadarchive.raw/RTDC4059/ "%USERPROFILE%\AppData\Local\Temp\OnboardLogs"\RTDC4059\2017-10-18 --exclude "*" --recursive --include "*20171018*" &amp; "%USERPROFILE%\Documents\GitHub\mrs-test-scripts\Headless Mode &amp; Sideloading\WalkAndUnGZ.bat" "%USERPROFILE%\AppData\Local\Temp\OnboardLogs"\RTDC4059\2017-10-18 &amp; aws s3 cp s3://rtdc.mdm.uploadarchive.raw/RTDC4059/ "%USERPROFILE%\AppData\Local\Temp\OnboardLogs"\RTDC4059\2017-10-19 --exclude "*" --recursive --include "*20171019*" &amp; "%USERPROFILE%\Documents\GitHub\mrs-test-scripts\Headless Mode &amp; Sideloading\WalkAndUnGZ.bat" "%USERPROFILE%\AppData\Local\Temp\OnboardLogs"\RTDC4059\2017-10-19</v>
      </c>
      <c r="AF244" s="7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/stypes="app*4059*20171019*" /stext=" 01:.+((SYSTEM_STATE.+slice.+state.+changed )|(ment ac)|(multiple cpu faults)|(system.+state.+changed )|(\[timeout)|(PRM\|1\|D)|(kpr)|(kdp)|(train st.+moving)|(\|lc)|(penalty))"</v>
      </c>
      <c r="AG244" s="182" t="str">
        <f>DetSubdiv(A244)</f>
        <v>Shuttle/Test</v>
      </c>
      <c r="AH244" s="78" t="str">
        <f t="shared" si="72"/>
        <v>"%USERPROFILE%\Documents\GitHub\eaglep3\Utilities\RefineRTDCRunTimes.py" --tripid 71-18 --locoid 4059 --swversion DE.1.0.9.0 --startMP 204:3052 --initTime 2017-10-18T17:07:19 --startdatetime 2017-10-18T17:34:31 --delay 59 --endMP 204:150 --enddatetime 2017-10-18T19:44:31 --enforcementcount 0 &gt;&gt;%USERPROFILE%\Documents\GitHub\eaglep3-reporting\EC\2017-10-18-refined-times.txt</v>
      </c>
      <c r="AI244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0.015"},{"id":17,"name":"Train ID","value":"71-18"},{"id":16,"name":"Locomotive ID","value":"4059"},{"id":130,"name":"Impact","value":""},{"id":150,"name":"Time of Event (Mountain Time)","value":"19:44:31"},{"id":151,"name":"Denver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47"/>
      <c r="AL244" s="47"/>
      <c r="AM244" s="142" t="str">
        <f t="shared" si="74"/>
        <v>start /low /b %USERPROFILE%\Documents\GitHub\eaglep3\Utilities\DownloadLogsFromS3.py --loco 4059 --day 2017-10-18</v>
      </c>
      <c r="AN244" s="151" t="str">
        <f t="shared" si="7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01:44:31"},{"id":29,"name":"Sharepoint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8" t="str">
        <f t="shared" si="76"/>
        <v>https://d0f6bd738d7f1b3e5a7ca70fe4ff75f0.us-east-1.aws.found.io/app/kibana#/discover/Steve-Slow-Train-Analysis-(2080s-and-2083s)?_g=(refreshInterval:(display:Off,pause:!f,section:0,value:0),time:(from:'2017-10-18T16:07:19-0600',mode:absolute,to:'2017-10-18T20:44:31-0600'))&amp;_a=(columns:!('Message%20ID',Summary),filters:!(),index:'emp_*',interval:auto,query:(query_string:(analyze_wildcard:!t,query:'%22rtdc.l.rtdc.4059%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 s="32" t="s">
        <v>697</v>
      </c>
      <c r="B245" s="7">
        <v>4060</v>
      </c>
      <c r="C245" s="21" t="s">
        <v>194</v>
      </c>
      <c r="D245" s="21" t="s">
        <v>916</v>
      </c>
      <c r="E245" s="13">
        <v>43026.693611111114</v>
      </c>
      <c r="F245" s="13">
        <v>43026.732303240744</v>
      </c>
      <c r="G245" s="7">
        <v>86</v>
      </c>
      <c r="H245" s="21" t="s">
        <v>917</v>
      </c>
      <c r="I245" s="13">
        <v>43026.822581018518</v>
      </c>
      <c r="J245" s="7">
        <v>0</v>
      </c>
      <c r="K245" s="89" t="str">
        <f>IF(ISEVEN(B245),(B245-1)&amp;"/"&amp;B245,B245&amp;"/"&amp;(B245+1))</f>
        <v>4059/4060</v>
      </c>
      <c r="L245" s="185" t="str">
        <f>VLOOKUP(A245,'Trips&amp;Operators'!$C$1:$G$99911,5,FALSE)</f>
        <v>LAMAR NEKESHA</v>
      </c>
      <c r="M245" s="6">
        <f>I245-F245</f>
        <v>9.0277777773735579E-2</v>
      </c>
      <c r="N245" s="7">
        <f>24*60*SUM($M245:$M245)</f>
        <v>129.99999999417923</v>
      </c>
      <c r="O245" s="7"/>
      <c r="P245" s="7"/>
      <c r="Q245" s="22"/>
      <c r="R245" s="174"/>
      <c r="S245" s="221">
        <f>1/IF(AG245="EC",12,1)*SUM(U245:U245)</f>
        <v>0</v>
      </c>
      <c r="T245" s="174" t="str">
        <f>IF(ISEVEN(LEFT(AD245,4)),"Southbound","NorthBound")</f>
        <v>NorthBound</v>
      </c>
      <c r="U245" s="198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216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-10-18T15:38:48-0600',mode:absolute,to:'2017-10-18T20:44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5" s="204" t="str">
        <f>IF(AA245&lt;VLOOKUP(AG245,Variables!$AC$3:$AD$8,2,FALSE),"Y","N")</f>
        <v>Y</v>
      </c>
      <c r="X245" s="204">
        <f>VALUE(LEFT(AD245,4))-VALUE(LEFT(AD244,4))</f>
        <v>0</v>
      </c>
      <c r="Y245" s="204">
        <f>RIGHT(D245,LEN(D245)-4)/10000</f>
        <v>0.14729999999999999</v>
      </c>
      <c r="Z245" s="204">
        <f>RIGHT(H245,LEN(H245)-4)/10000</f>
        <v>0.34110000000000001</v>
      </c>
      <c r="AA245" s="204">
        <f>ABS(Z245-Y245)</f>
        <v>0.19380000000000003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179">
        <f>VALUE(LEFT(A245,LEN(A245)-3))</f>
        <v>71</v>
      </c>
      <c r="AE245" s="77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s3://rtdc.mdm.uploadarchive.raw/RTDC4060/ "%USERPROFILE%\AppData\Local\Temp\OnboardLogs"\RTDC4060\2017-10-18 --exclude "*" --recursive --include "*20171018*" &amp; "%USERPROFILE%\Documents\GitHub\mrs-test-scripts\Headless Mode &amp; Sideloading\WalkAndUnGZ.bat" "%USERPROFILE%\AppData\Local\Temp\OnboardLogs"\RTDC4060\2017-10-18 &amp; aws s3 cp s3://rtdc.mdm.uploadarchive.raw/RTDC4060/ "%USERPROFILE%\AppData\Local\Temp\OnboardLogs"\RTDC4060\2017-10-19 --exclude "*" --recursive --include "*20171019*" &amp; "%USERPROFILE%\Documents\GitHub\mrs-test-scripts\Headless Mode &amp; Sideloading\WalkAndUnGZ.bat" "%USERPROFILE%\AppData\Local\Temp\OnboardLogs"\RTDC4060\2017-10-19</v>
      </c>
      <c r="AF245" s="7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/stypes="app*4060*20171019*" /stext=" 01:.+((SYSTEM_STATE.+slice.+state.+changed )|(ment ac)|(multiple cpu faults)|(system.+state.+changed )|(\[timeout)|(PRM\|1\|D)|(kpr)|(kdp)|(train st.+moving)|(\|lc)|(penalty))"</v>
      </c>
      <c r="AG245" s="182" t="str">
        <f>DetSubdiv(A245)</f>
        <v>Shuttle/Test</v>
      </c>
      <c r="AH245" s="78" t="str">
        <f t="shared" si="72"/>
        <v>"%USERPROFILE%\Documents\GitHub\eaglep3\Utilities\RefineRTDCRunTimes.py" --tripid 71-18 --locoid 4060 --swversion DE.1.0.9.0 --startMP 204:1473 --initTime 2017-10-18T16:38:48 --startdatetime 2017-10-18T17:34:31 --delay 86 --endMP 204:3411 --enddatetime 2017-10-18T19:44:31 --enforcementcount 0 &gt;&gt;%USERPROFILE%\Documents\GitHub\eaglep3-reporting\EC\2017-10-18-refined-times.txt</v>
      </c>
      <c r="AI245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0.3411"},{"id":17,"name":"Train ID","value":"71-18"},{"id":16,"name":"Locomotive ID","value":"4060"},{"id":130,"name":"Impact","value":""},{"id":150,"name":"Time of Event (Mountain Time)","value":"19:44:31"},{"id":151,"name":"Denver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5" s="47"/>
      <c r="AL245" s="47"/>
      <c r="AM245" s="142" t="str">
        <f t="shared" si="74"/>
        <v>start /low /b %USERPROFILE%\Documents\GitHub\eaglep3\Utilities\DownloadLogsFromS3.py --loco 4060 --day 2017-10-18</v>
      </c>
      <c r="AN245" s="151" t="str">
        <f t="shared" si="7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01:44:31"},{"id":29,"name":"Sharepoint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168" t="str">
        <f t="shared" si="76"/>
        <v>https://d0f6bd738d7f1b3e5a7ca70fe4ff75f0.us-east-1.aws.found.io/app/kibana#/discover/Steve-Slow-Train-Analysis-(2080s-and-2083s)?_g=(refreshInterval:(display:Off,pause:!f,section:0,value:0),time:(from:'2017-10-18T15:38:48-0600',mode:absolute,to:'2017-10-18T20:44:31-0600'))&amp;_a=(columns:!('Message%20ID',Summary),filters:!(),index:'emp_*',interval:auto,query:(query_string:(analyze_wildcard:!t,query:'%22rtdc.l.rtdc.4060%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 s="32" t="s">
        <v>751</v>
      </c>
      <c r="B246" s="7">
        <v>4030</v>
      </c>
      <c r="C246" s="21" t="s">
        <v>194</v>
      </c>
      <c r="D246" s="21" t="s">
        <v>918</v>
      </c>
      <c r="E246" s="13">
        <v>43026.695706018516</v>
      </c>
      <c r="F246" s="13">
        <v>43026.711712962962</v>
      </c>
      <c r="G246" s="7">
        <v>84</v>
      </c>
      <c r="H246" s="21" t="s">
        <v>919</v>
      </c>
      <c r="I246" s="13">
        <v>43026.718530092592</v>
      </c>
      <c r="J246" s="7">
        <v>0</v>
      </c>
      <c r="K246" s="89" t="str">
        <f>IF(ISEVEN(B246),(B246-1)&amp;"/"&amp;B246,B246&amp;"/"&amp;(B246+1))</f>
        <v>4029/4030</v>
      </c>
      <c r="L246" s="185" t="str">
        <f>VLOOKUP(A246,'Trips&amp;Operators'!$C$1:$G$99911,5,FALSE)</f>
        <v>NEWELL JAMES</v>
      </c>
      <c r="M246" s="6">
        <f>I246-F246</f>
        <v>6.8171296297805384E-3</v>
      </c>
      <c r="N246" s="7">
        <f>24*60*SUM($M246:$M246)</f>
        <v>9.8166666668839753</v>
      </c>
      <c r="O246" s="7"/>
      <c r="P246" s="7"/>
      <c r="Q246" s="22"/>
      <c r="R246" s="174"/>
      <c r="S246" s="221">
        <f>1/IF(AG246="EC",12,1)*SUM(U246:U246)</f>
        <v>1</v>
      </c>
      <c r="T246" s="174" t="str">
        <f>IF(ISEVEN(LEFT(AD246,4)),"Southbound","NorthBound")</f>
        <v>NorthBound</v>
      </c>
      <c r="U246" s="198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216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-10-18T15:41:49-0600',mode:absolute,to:'2017-10-18T18:14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6" s="204" t="str">
        <f>IF(AA246&lt;VLOOKUP(AG246,Variables!$AC$3:$AD$8,2,FALSE),"Y","N")</f>
        <v>Y</v>
      </c>
      <c r="X246" s="204">
        <f>VALUE(LEFT(AD246,4))-VALUE(LEFT(AD245,4))</f>
        <v>2</v>
      </c>
      <c r="Y246" s="204">
        <f>RIGHT(D246,LEN(D246)-4)/10000</f>
        <v>0.1148</v>
      </c>
      <c r="Z246" s="204">
        <f>RIGHT(H246,LEN(H246)-4)/10000</f>
        <v>2.3298999999999999</v>
      </c>
      <c r="AA246" s="204">
        <f>ABS(Z246-Y246)</f>
        <v>2.2151000000000001</v>
      </c>
      <c r="AB246" s="54" t="e">
        <f>VLOOKUP(A246,Enforcements!$C$7:$K$11,8,0)</f>
        <v>#N/A</v>
      </c>
      <c r="AC246" s="51" t="e">
        <f>VLOOKUP(A246,Enforcements!$C$7:$E$11,3,0)</f>
        <v>#N/A</v>
      </c>
      <c r="AD246" s="179">
        <f>VALUE(LEFT(A246,LEN(A246)-3))</f>
        <v>73</v>
      </c>
      <c r="AE246" s="77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s3://rtdc.mdm.uploadarchive.raw/RTDC4030/ "%USERPROFILE%\AppData\Local\Temp\OnboardLogs"\RTDC4030\2017-10-18 --exclude "*" --recursive --include "*20171018*" &amp; "%USERPROFILE%\Documents\GitHub\mrs-test-scripts\Headless Mode &amp; Sideloading\WalkAndUnGZ.bat" "%USERPROFILE%\AppData\Local\Temp\OnboardLogs"\RTDC4030\2017-10-18 &amp; aws s3 cp s3://rtdc.mdm.uploadarchive.raw/RTDC4030/ "%USERPROFILE%\AppData\Local\Temp\OnboardLogs"\RTDC4030\2017-10-19 --exclude "*" --recursive --include "*20171019*" &amp; "%USERPROFILE%\Documents\GitHub\mrs-test-scripts\Headless Mode &amp; Sideloading\WalkAndUnGZ.bat" "%USERPROFILE%\AppData\Local\Temp\OnboardLogs"\RTDC4030\2017-10-19</v>
      </c>
      <c r="AF246" s="7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/stypes="app*4030*20171018*" /stext=" 23:.+((SYSTEM_STATE.+slice.+state.+changed )|(ment ac)|(multiple cpu faults)|(system.+state.+changed )|(\[timeout)|(PRM\|1\|D)|(kpr)|(kdp)|(train st.+moving)|(\|lc)|(penalty))"</v>
      </c>
      <c r="AG246" s="182" t="str">
        <f>DetSubdiv(A246)</f>
        <v>Shuttle/Test</v>
      </c>
      <c r="AH246" s="78" t="str">
        <f t="shared" si="72"/>
        <v>"%USERPROFILE%\Documents\GitHub\eaglep3\Utilities\RefineRTDCRunTimes.py" --tripid 73-18 --locoid 4030 --swversion DE.1.0.9.0 --startMP 204:1148 --initTime 2017-10-18T16:41:49 --startdatetime 2017-10-18T17:04:52 --delay 84 --endMP 300:23299 --enddatetime 2017-10-18T17:14:41 --enforcementcount 0 &gt;&gt;%USERPROFILE%\Documents\GitHub\eaglep3-reporting\EC\2017-10-18-refined-times.txt</v>
      </c>
      <c r="AI246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2.3299"},{"id":17,"name":"Train ID","value":"73-18"},{"id":16,"name":"Locomotive ID","value":"4030"},{"id":130,"name":"Impact","value":""},{"id":150,"name":"Time of Event (Mountain Time)","value":"17:14:41"},{"id":151,"name":"Denver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6" s="47"/>
      <c r="AL246" s="47"/>
      <c r="AM246" s="142" t="str">
        <f t="shared" si="74"/>
        <v>start /low /b %USERPROFILE%\Documents\GitHub\eaglep3\Utilities\DownloadLogsFromS3.py --loco 4030 --day 2017-10-18</v>
      </c>
      <c r="AN246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23:14:41"},{"id":29,"name":"Sharepoint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168" t="str">
        <f t="shared" si="76"/>
        <v>https://d0f6bd738d7f1b3e5a7ca70fe4ff75f0.us-east-1.aws.found.io/app/kibana#/discover/Steve-Slow-Train-Analysis-(2080s-and-2083s)?_g=(refreshInterval:(display:Off,pause:!f,section:0,value:0),time:(from:'2017-10-18T15:41:49-0600',mode:absolute,to:'2017-10-18T18:14:41-0600'))&amp;_a=(columns:!('Message%20ID',Summary),filters:!(),index:'emp_*',interval:auto,query:(query_string:(analyze_wildcard:!t,query:'%22rtdc.l.rtdc.4030%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 s="32" t="s">
        <v>751</v>
      </c>
      <c r="B247" s="7">
        <v>4029</v>
      </c>
      <c r="C247" s="21" t="s">
        <v>194</v>
      </c>
      <c r="D247" s="21" t="s">
        <v>920</v>
      </c>
      <c r="E247" s="13">
        <v>43026.738344907404</v>
      </c>
      <c r="F247" s="13">
        <v>43026.773240740738</v>
      </c>
      <c r="G247" s="7">
        <v>227</v>
      </c>
      <c r="H247" s="21" t="s">
        <v>921</v>
      </c>
      <c r="I247" s="13">
        <v>43026.780185185184</v>
      </c>
      <c r="J247" s="7">
        <v>0</v>
      </c>
      <c r="K247" s="89" t="str">
        <f>IF(ISEVEN(B247),(B247-1)&amp;"/"&amp;B247,B247&amp;"/"&amp;(B247+1))</f>
        <v>4029/4030</v>
      </c>
      <c r="L247" s="185" t="str">
        <f>VLOOKUP(A247,'Trips&amp;Operators'!$C$1:$G$99911,5,FALSE)</f>
        <v>NEWELL JAMES</v>
      </c>
      <c r="M247" s="6">
        <f>I247-F247</f>
        <v>6.9444444452528842E-3</v>
      </c>
      <c r="N247" s="7">
        <f>24*60*SUM($M247:$M247)</f>
        <v>10.000000001164153</v>
      </c>
      <c r="O247" s="7"/>
      <c r="P247" s="7"/>
      <c r="Q247" s="22"/>
      <c r="R247" s="174"/>
      <c r="S247" s="221">
        <f>1/IF(AG247="EC",12,1)*SUM(U247:U247)</f>
        <v>0</v>
      </c>
      <c r="T247" s="174" t="str">
        <f>IF(ISEVEN(LEFT(AD247,4)),"Southbound","NorthBound")</f>
        <v>NorthBound</v>
      </c>
      <c r="U247" s="198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16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-10-18T16:43:13-0600',mode:absolute,to:'2017-10-18T19:43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7" s="204" t="str">
        <f>IF(AA247&lt;VLOOKUP(AG247,Variables!$AC$3:$AD$8,2,FALSE),"Y","N")</f>
        <v>Y</v>
      </c>
      <c r="X247" s="204">
        <f>VALUE(LEFT(AD247,4))-VALUE(LEFT(AD246,4))</f>
        <v>0</v>
      </c>
      <c r="Y247" s="204">
        <f>RIGHT(D247,LEN(D247)-4)/10000</f>
        <v>2.2294999999999998</v>
      </c>
      <c r="Z247" s="204">
        <f>RIGHT(H247,LEN(H247)-4)/10000</f>
        <v>1.46E-2</v>
      </c>
      <c r="AA247" s="204">
        <f>ABS(Z247-Y247)</f>
        <v>2.2148999999999996</v>
      </c>
      <c r="AB247" s="54" t="e">
        <f>VLOOKUP(A247,Enforcements!$C$7:$K$11,8,0)</f>
        <v>#N/A</v>
      </c>
      <c r="AC247" s="51" t="e">
        <f>VLOOKUP(A247,Enforcements!$C$7:$E$11,3,0)</f>
        <v>#N/A</v>
      </c>
      <c r="AD247" s="179">
        <f>VALUE(LEFT(A247,LEN(A247)-3))</f>
        <v>73</v>
      </c>
      <c r="AE247" s="77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s3://rtdc.mdm.uploadarchive.raw/RTDC4029/ "%USERPROFILE%\AppData\Local\Temp\OnboardLogs"\RTDC4029\2017-10-18 --exclude "*" --recursive --include "*20171018*" &amp; "%USERPROFILE%\Documents\GitHub\mrs-test-scripts\Headless Mode &amp; Sideloading\WalkAndUnGZ.bat" "%USERPROFILE%\AppData\Local\Temp\OnboardLogs"\RTDC4029\2017-10-18 &amp; aws s3 cp s3://rtdc.mdm.uploadarchive.raw/RTDC4029/ "%USERPROFILE%\AppData\Local\Temp\OnboardLogs"\RTDC4029\2017-10-19 --exclude "*" --recursive --include "*20171019*" &amp; "%USERPROFILE%\Documents\GitHub\mrs-test-scripts\Headless Mode &amp; Sideloading\WalkAndUnGZ.bat" "%USERPROFILE%\AppData\Local\Temp\OnboardLogs"\RTDC4029\2017-10-19</v>
      </c>
      <c r="AF247" s="7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/stypes="app*4029*20171019*" /stext=" 00:.+((SYSTEM_STATE.+slice.+state.+changed )|(ment ac)|(multiple cpu faults)|(system.+state.+changed )|(\[timeout)|(PRM\|1\|D)|(kpr)|(kdp)|(train st.+moving)|(\|lc)|(penalty))"</v>
      </c>
      <c r="AG247" s="182" t="str">
        <f>DetSubdiv(A247)</f>
        <v>Shuttle/Test</v>
      </c>
      <c r="AH247" s="78" t="str">
        <f t="shared" si="72"/>
        <v>"%USERPROFILE%\Documents\GitHub\eaglep3\Utilities\RefineRTDCRunTimes.py" --tripid 73-18 --locoid 4029 --swversion DE.1.0.9.0 --startMP 300:22295 --initTime 2017-10-18T17:43:13 --startdatetime 2017-10-18T18:33:28 --delay 227 --endMP 204:146 --enddatetime 2017-10-18T18:43:28 --enforcementcount 0 &gt;&gt;%USERPROFILE%\Documents\GitHub\eaglep3-reporting\EC\2017-10-18-refined-times.txt</v>
      </c>
      <c r="AI247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0.0146"},{"id":17,"name":"Train ID","value":"73-18"},{"id":16,"name":"Locomotive ID","value":"4029"},{"id":130,"name":"Impact","value":""},{"id":150,"name":"Time of Event (Mountain Time)","value":"18:43:28"},{"id":151,"name":"Denver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7" s="47"/>
      <c r="AL247" s="47"/>
      <c r="AM247" s="142" t="str">
        <f t="shared" si="74"/>
        <v>start /low /b %USERPROFILE%\Documents\GitHub\eaglep3\Utilities\DownloadLogsFromS3.py --loco 4029 --day 2017-10-18</v>
      </c>
      <c r="AN247" s="151" t="str">
        <f t="shared" si="7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00:43:28"},{"id":29,"name":"Sharepoint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168" t="str">
        <f t="shared" si="76"/>
        <v>https://d0f6bd738d7f1b3e5a7ca70fe4ff75f0.us-east-1.aws.found.io/app/kibana#/discover/Steve-Slow-Train-Analysis-(2080s-and-2083s)?_g=(refreshInterval:(display:Off,pause:!f,section:0,value:0),time:(from:'2017-10-18T16:43:13-0600',mode:absolute,to:'2017-10-18T19:43:28-0600'))&amp;_a=(columns:!('Message%20ID',Summary),filters:!(),index:'emp_*',interval:auto,query:(query_string:(analyze_wildcard:!t,query:'%22rtdc.l.rtdc.4029%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 s="32" t="s">
        <v>578</v>
      </c>
      <c r="B248" s="7">
        <v>4066</v>
      </c>
      <c r="C248" s="21" t="s">
        <v>194</v>
      </c>
      <c r="D248" s="21" t="s">
        <v>922</v>
      </c>
      <c r="E248" s="13">
        <v>43026.612488425926</v>
      </c>
      <c r="F248" s="13">
        <v>43026.617465277777</v>
      </c>
      <c r="G248" s="7">
        <v>92</v>
      </c>
      <c r="H248" s="21" t="s">
        <v>923</v>
      </c>
      <c r="I248" s="13">
        <v>43026.642268518517</v>
      </c>
      <c r="J248" s="7">
        <v>0</v>
      </c>
      <c r="K248" s="89" t="str">
        <f>IF(ISEVEN(B248),(B248-1)&amp;"/"&amp;B248,B248&amp;"/"&amp;(B248+1))</f>
        <v>4065/4066</v>
      </c>
      <c r="L248" s="185" t="str">
        <f>VLOOKUP(A248,'Trips&amp;Operators'!$C$1:$G$99911,5,FALSE)</f>
        <v>MAGEE KENYA</v>
      </c>
      <c r="M248" s="6">
        <f>I248-F248</f>
        <v>2.4803240739856847E-2</v>
      </c>
      <c r="N248" s="7">
        <f>24*60*SUM($M248:$M248)</f>
        <v>35.716666665393859</v>
      </c>
      <c r="O248" s="7"/>
      <c r="P248" s="7"/>
      <c r="Q248" s="22"/>
      <c r="R248" s="174"/>
      <c r="S248" s="221">
        <f>1/IF(AG248="EC",12,1)*SUM(U248:U248)</f>
        <v>0</v>
      </c>
      <c r="T248" s="174" t="str">
        <f>IF(ISEVEN(LEFT(AD248,4)),"Southbound","NorthBound")</f>
        <v>Southbound</v>
      </c>
      <c r="U248" s="198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216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2017-10-18T13:41:59-0600',mode:absolute,to:'2017-10-18T16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8" s="204" t="str">
        <f>IF(AA248&lt;VLOOKUP(AG248,Variables!$AC$3:$AD$8,2,FALSE),"Y","N")</f>
        <v>Y</v>
      </c>
      <c r="X248" s="204">
        <f>VALUE(LEFT(AD248,4))-VALUE(LEFT(AD247,4))</f>
        <v>1</v>
      </c>
      <c r="Y248" s="204">
        <f>RIGHT(D248,LEN(D248)-4)/10000</f>
        <v>3.7400000000000003E-2</v>
      </c>
      <c r="Z248" s="204">
        <f>RIGHT(H248,LEN(H248)-4)/10000</f>
        <v>11.2515</v>
      </c>
      <c r="AA248" s="204">
        <f>ABS(Z248-Y248)</f>
        <v>11.2141</v>
      </c>
      <c r="AB248" s="54" t="e">
        <f>VLOOKUP(A248,Enforcements!$C$7:$K$11,8,0)</f>
        <v>#N/A</v>
      </c>
      <c r="AC248" s="51" t="e">
        <f>VLOOKUP(A248,Enforcements!$C$7:$E$11,3,0)</f>
        <v>#N/A</v>
      </c>
      <c r="AD248" s="179">
        <f>VALUE(LEFT(A248,LEN(A248)-3))</f>
        <v>74</v>
      </c>
      <c r="AE248" s="77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 &amp; 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</v>
      </c>
      <c r="AF248" s="74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/stypes="app*4066*20171018*" /stext=" 21:.+((SYSTEM_STATE.+slice.+state.+changed )|(ment ac)|(multiple cpu faults)|(system.+state.+changed )|(\[timeout)|(PRM\|1\|D)|(kpr)|(kdp)|(train st.+moving)|(\|lc)|(penalty))"</v>
      </c>
      <c r="AG248" s="182" t="str">
        <f>DetSubdiv(A248)</f>
        <v>Shuttle/Test</v>
      </c>
      <c r="AH248" s="78" t="str">
        <f t="shared" si="72"/>
        <v>"%USERPROFILE%\Documents\GitHub\eaglep3\Utilities\RefineRTDCRunTimes.py" --tripid 74-18 --locoid 4066 --swversion DE.1.0.9.0 --startMP 204:374 --initTime 2017-10-18T14:41:59 --startdatetime 2017-10-18T14:49:09 --delay 92 --endMP 300:112515 --enddatetime 2017-10-18T15:24:52 --enforcementcount 0 &gt;&gt;%USERPROFILE%\Documents\GitHub\eaglep3-reporting\EC\2017-10-18-refined-times.txt</v>
      </c>
      <c r="AI248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11.2515"},{"id":17,"name":"Train ID","value":"74-18"},{"id":16,"name":"Locomotive ID","value":"4066"},{"id":130,"name":"Impact","value":""},{"id":150,"name":"Time of Event (Mountain Time)","value":"15:24:52"},{"id":151,"name":"Denver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8" s="47"/>
      <c r="AL248" s="47"/>
      <c r="AM248" s="142" t="str">
        <f t="shared" si="74"/>
        <v>start /low /b %USERPROFILE%\Documents\GitHub\eaglep3\Utilities\DownloadLogsFromS3.py --loco 4066 --day 2017-10-18</v>
      </c>
      <c r="AN248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21:24:52"},{"id":29,"name":"Sharepoint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168" t="str">
        <f t="shared" si="76"/>
        <v>https://d0f6bd738d7f1b3e5a7ca70fe4ff75f0.us-east-1.aws.found.io/app/kibana#/discover/Steve-Slow-Train-Analysis-(2080s-and-2083s)?_g=(refreshInterval:(display:Off,pause:!f,section:0,value:0),time:(from:'2017-10-18T13:41:59-0600',mode:absolute,to:'2017-10-18T16:24:52-0600'))&amp;_a=(columns:!('Message%20ID',Summary),filters:!(),index:'emp_*',interval:auto,query:(query_string:(analyze_wildcard:!t,query:'%22rtdc.l.rtdc.4066%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 s="32" t="s">
        <v>737</v>
      </c>
      <c r="B249" s="7">
        <v>4065</v>
      </c>
      <c r="C249" s="21" t="s">
        <v>194</v>
      </c>
      <c r="D249" s="21" t="s">
        <v>924</v>
      </c>
      <c r="E249" s="13">
        <v>43026.643564814818</v>
      </c>
      <c r="F249" s="13">
        <v>43026.645405092589</v>
      </c>
      <c r="G249" s="7">
        <v>64</v>
      </c>
      <c r="H249" s="21" t="s">
        <v>925</v>
      </c>
      <c r="I249" s="13">
        <v>43026.662569444445</v>
      </c>
      <c r="J249" s="7">
        <v>0</v>
      </c>
      <c r="K249" s="89" t="str">
        <f>IF(ISEVEN(B249),(B249-1)&amp;"/"&amp;B249,B249&amp;"/"&amp;(B249+1))</f>
        <v>4065/4066</v>
      </c>
      <c r="L249" s="185" t="str">
        <f>VLOOKUP(A249,'Trips&amp;Operators'!$C$1:$G$99911,5,FALSE)</f>
        <v>MAGEE KENYA</v>
      </c>
      <c r="M249" s="6">
        <f>I249-F249</f>
        <v>1.7164351855171844E-2</v>
      </c>
      <c r="N249" s="7">
        <f>24*60*SUM($M249:$M249)</f>
        <v>24.716666671447456</v>
      </c>
      <c r="O249" s="7"/>
      <c r="P249" s="7"/>
      <c r="Q249" s="22"/>
      <c r="R249" s="174"/>
      <c r="S249" s="221">
        <f>1/IF(AG249="EC",12,1)*SUM(U249:U249)</f>
        <v>0</v>
      </c>
      <c r="T249" s="174" t="str">
        <f>IF(ISEVEN(LEFT(AD249,4)),"Southbound","NorthBound")</f>
        <v>NorthBound</v>
      </c>
      <c r="U249" s="198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216" t="str">
        <f>"https://d0f6bd738d7f1b3e5a7ca70fe4ff75f0.us-east-1.aws.found.io/app/kibana#/discover/Steve-Slow-Train-Analysis-(2080s-and-2083s)?_g="&amp;"(refreshInterval:(display:Off,pause:!f,section:0,value:0),time:(from:'"&amp;TEXT(E249-1/24,"yyyy-MM-DDThh:mm:ss")&amp;utc_offset&amp;"00"&amp;"',mode:absolute,to:'"&amp;TEXT(I249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249&amp;"%22')),sort:!(Time.ISO8601,asc))"</f>
        <v>https://d0f6bd738d7f1b3e5a7ca70fe4ff75f0.us-east-1.aws.found.io/app/kibana#/discover/Steve-Slow-Train-Analysis-(2080s-and-2083s)?_g=(refreshInterval:(display:Off,pause:!f,section:0,value:0),time:(from:'2017-10-18T14:26:44-0600',mode:absolute,to:'2017-10-18T16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9" s="204" t="str">
        <f>IF(AA249&lt;VLOOKUP(AG249,Variables!$AC$3:$AD$8,2,FALSE),"Y","N")</f>
        <v>Y</v>
      </c>
      <c r="X249" s="204">
        <f>VALUE(LEFT(AD249,4))-VALUE(LEFT(AD248,4))</f>
        <v>1</v>
      </c>
      <c r="Y249" s="204">
        <f>RIGHT(D249,LEN(D249)-4)/10000</f>
        <v>11.2197</v>
      </c>
      <c r="Z249" s="204">
        <f>RIGHT(H249,LEN(H249)-4)/10000</f>
        <v>3.9199000000000002</v>
      </c>
      <c r="AA249" s="204">
        <f>ABS(Z249-Y249)</f>
        <v>7.2997999999999994</v>
      </c>
      <c r="AB249" s="54" t="e">
        <f>VLOOKUP(A249,Enforcements!$C$7:$K$11,8,0)</f>
        <v>#N/A</v>
      </c>
      <c r="AC249" s="51" t="e">
        <f>VLOOKUP(A249,Enforcements!$C$7:$E$11,3,0)</f>
        <v>#N/A</v>
      </c>
      <c r="AD249" s="179">
        <f>VALUE(LEFT(A249,LEN(A249)-3))</f>
        <v>75</v>
      </c>
      <c r="AE249" s="77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 &amp; 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</v>
      </c>
      <c r="AF249" s="74" t="str">
        <f>astrogrep_path&amp;" /e /r /s /spath="&amp;search_path&amp;" /stypes=""app*"&amp;B249&amp;"*"&amp;TEXT(I249-utc_offset/24,"YYYYMMDD")&amp;"*"" /stext="" "&amp;TEXT(I249-utc_offset/24,"HH")&amp;search_regexp&amp;""""</f>
        <v>"C:\Program Files (x86)\AstroGrep\AstroGrep.exe" /e /r /s /spath="%USERPROFILE%\AppData\Local\Temp\OnboardLogs" /stypes="app*4065*20171018*" /stext=" 21:.+((SYSTEM_STATE.+slice.+state.+changed )|(ment ac)|(multiple cpu faults)|(system.+state.+changed )|(\[timeout)|(PRM\|1\|D)|(kpr)|(kdp)|(train st.+moving)|(\|lc)|(penalty))"</v>
      </c>
      <c r="AG249" s="182" t="str">
        <f>DetSubdiv(A249)</f>
        <v>Shuttle/Test</v>
      </c>
      <c r="AH249" s="78" t="str">
        <f t="shared" si="72"/>
        <v>"%USERPROFILE%\Documents\GitHub\eaglep3\Utilities\RefineRTDCRunTimes.py" --tripid 75-18 --locoid 4065 --swversion DE.1.0.9.0 --startMP 300:112197 --initTime 2017-10-18T15:26:44 --startdatetime 2017-10-18T15:29:23 --delay 64 --endMP 300:39199 --enddatetime 2017-10-18T15:54:06 --enforcementcount 0 &gt;&gt;%USERPROFILE%\Documents\GitHub\eaglep3-reporting\EC\2017-10-18-refined-times.txt</v>
      </c>
      <c r="AI249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3.9199"},{"id":17,"name":"Train ID","value":"75-18"},{"id":16,"name":"Locomotive ID","value":"4065"},{"id":130,"name":"Impact","value":""},{"id":150,"name":"Time of Event (Mountain Time)","value":"15:54:06"},{"id":151,"name":"Denver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9" s="47"/>
      <c r="AL249" s="47"/>
      <c r="AM249" s="142" t="str">
        <f t="shared" si="74"/>
        <v>start /low /b %USERPROFILE%\Documents\GitHub\eaglep3\Utilities\DownloadLogsFromS3.py --loco 4065 --day 2017-10-18</v>
      </c>
      <c r="AN249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21:54:06"},{"id":29,"name":"Sharepoint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168" t="str">
        <f t="shared" si="76"/>
        <v>https://d0f6bd738d7f1b3e5a7ca70fe4ff75f0.us-east-1.aws.found.io/app/kibana#/discover/Steve-Slow-Train-Analysis-(2080s-and-2083s)?_g=(refreshInterval:(display:Off,pause:!f,section:0,value:0),time:(from:'2017-10-18T14:26:44-0600',mode:absolute,to:'2017-10-18T16:54:06-0600'))&amp;_a=(columns:!('Message%20ID',Summary),filters:!(),index:'emp_*',interval:auto,query:(query_string:(analyze_wildcard:!t,query:'%22rtdc.l.rtdc.4065%22')),sort:!(Time.ISO8601,asc))</v>
      </c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 s="32" t="s">
        <v>571</v>
      </c>
      <c r="B250" s="7">
        <v>4065</v>
      </c>
      <c r="C250" s="21" t="s">
        <v>194</v>
      </c>
      <c r="D250" s="21" t="s">
        <v>926</v>
      </c>
      <c r="E250" s="13">
        <v>43026.58315972222</v>
      </c>
      <c r="F250" s="13">
        <v>43026.588726851849</v>
      </c>
      <c r="G250" s="7">
        <v>66</v>
      </c>
      <c r="H250" s="21" t="s">
        <v>927</v>
      </c>
      <c r="I250" s="13">
        <v>43026.608773148146</v>
      </c>
      <c r="J250" s="7">
        <v>0</v>
      </c>
      <c r="K250" s="89" t="str">
        <f>IF(ISEVEN(B250),(B250-1)&amp;"/"&amp;B250,B250&amp;"/"&amp;(B250+1))</f>
        <v>4065/4066</v>
      </c>
      <c r="L250" s="185" t="str">
        <f>VLOOKUP(A250,'Trips&amp;Operators'!$C$1:$G$99911,5,FALSE)</f>
        <v>ROBINSON KADDIBA</v>
      </c>
      <c r="M250" s="6">
        <f>I250-F250</f>
        <v>2.0046296296641231E-2</v>
      </c>
      <c r="N250" s="7">
        <f>24*60*SUM($M250:$M250)</f>
        <v>28.866666667163372</v>
      </c>
      <c r="O250" s="7"/>
      <c r="P250" s="7"/>
      <c r="Q250" s="22"/>
      <c r="R250" s="174"/>
      <c r="S250" s="221">
        <f>1/IF(AG250="EC",12,1)*SUM(U250:U250)</f>
        <v>0</v>
      </c>
      <c r="T250" s="174" t="str">
        <f>IF(ISEVEN(LEFT(AD250,4)),"Southbound","NorthBound")</f>
        <v>Southbound</v>
      </c>
      <c r="U250" s="198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216" t="str">
        <f>"https://d0f6bd738d7f1b3e5a7ca70fe4ff75f0.us-east-1.aws.found.io/app/kibana#/discover/Steve-Slow-Train-Analysis-(2080s-and-2083s)?_g="&amp;"(refreshInterval:(display:Off,pause:!f,section:0,value:0),time:(from:'"&amp;TEXT(E250-1/24,"yyyy-MM-DDThh:mm:ss")&amp;utc_offset&amp;"00"&amp;"',mode:absolute,to:'"&amp;TEXT(I250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250&amp;"%22')),sort:!(Time.ISO8601,asc))"</f>
        <v>https://d0f6bd738d7f1b3e5a7ca70fe4ff75f0.us-east-1.aws.found.io/app/kibana#/discover/Steve-Slow-Train-Analysis-(2080s-and-2083s)?_g=(refreshInterval:(display:Off,pause:!f,section:0,value:0),time:(from:'2017-10-18T12:59:45-0600',mode:absolute,to:'2017-10-18T15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50" s="204" t="str">
        <f>IF(AA250&lt;VLOOKUP(AG250,Variables!$AC$3:$AD$8,2,FALSE),"Y","N")</f>
        <v>Y</v>
      </c>
      <c r="X250" s="204">
        <f>VALUE(LEFT(AD250,4))-VALUE(LEFT(AD249,4))</f>
        <v>1</v>
      </c>
      <c r="Y250" s="204">
        <f>RIGHT(D250,LEN(D250)-4)/10000</f>
        <v>11.225099999999999</v>
      </c>
      <c r="Z250" s="204">
        <f>RIGHT(H250,LEN(H250)-4)/10000</f>
        <v>11.209300000000001</v>
      </c>
      <c r="AA250" s="204">
        <f>ABS(Z250-Y250)</f>
        <v>1.5799999999998704E-2</v>
      </c>
      <c r="AB250" s="54" t="e">
        <f>VLOOKUP(A250,Enforcements!$C$7:$K$11,8,0)</f>
        <v>#N/A</v>
      </c>
      <c r="AC250" s="51" t="e">
        <f>VLOOKUP(A250,Enforcements!$C$7:$E$11,3,0)</f>
        <v>#N/A</v>
      </c>
      <c r="AD250" s="179">
        <f>VALUE(LEFT(A250,LEN(A250)-3))</f>
        <v>76</v>
      </c>
      <c r="AE250" s="77" t="str">
        <f>"aws s3 cp "&amp;s3_bucket&amp;"/RTDC"&amp;B250&amp;"/ "&amp;search_path&amp;"\RTDC"&amp;B250&amp;"\"&amp;TEXT(F250,"YYYY-MM-DD")&amp;" --exclude ""*"" --recursive --include ""*"&amp;TEXT(F250,"YYYYMMDD")&amp;"*"" &amp; """&amp;walkandungz&amp;""" "&amp;search_path&amp;"\RTDC"&amp;B250&amp;"\"&amp;TEXT(F250,"YYYY-MM-DD")
&amp;" &amp; "&amp;"aws s3 cp "&amp;s3_bucket&amp;"/RTDC"&amp;B250&amp;"/ "&amp;search_path&amp;"\RTDC"&amp;B250&amp;"\"&amp;TEXT(F250+1,"YYYY-MM-DD")&amp;" --exclude ""*"" --recursive --include ""*"&amp;TEXT(F250+1,"YYYYMMDD")&amp;"*"" &amp; """&amp;walkandungz&amp;""" "&amp;search_path&amp;"\RTDC"&amp;B250&amp;"\"&amp;TEXT(F250+1,"YYYY-MM-DD")</f>
        <v>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 &amp; 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</v>
      </c>
      <c r="AF250" s="74" t="str">
        <f>astrogrep_path&amp;" /e /r /s /spath="&amp;search_path&amp;" /stypes=""app*"&amp;B250&amp;"*"&amp;TEXT(I250-utc_offset/24,"YYYYMMDD")&amp;"*"" /stext="" "&amp;TEXT(I250-utc_offset/24,"HH")&amp;search_regexp&amp;""""</f>
        <v>"C:\Program Files (x86)\AstroGrep\AstroGrep.exe" /e /r /s /spath="%USERPROFILE%\AppData\Local\Temp\OnboardLogs" /stypes="app*4065*20171018*" /stext=" 20:.+((SYSTEM_STATE.+slice.+state.+changed )|(ment ac)|(multiple cpu faults)|(system.+state.+changed )|(\[timeout)|(PRM\|1\|D)|(kpr)|(kdp)|(train st.+moving)|(\|lc)|(penalty))"</v>
      </c>
      <c r="AG250" s="182" t="str">
        <f>DetSubdiv(A250)</f>
        <v>Shuttle/Test</v>
      </c>
      <c r="AH250" s="78" t="str">
        <f t="shared" si="72"/>
        <v>"%USERPROFILE%\Documents\GitHub\eaglep3\Utilities\RefineRTDCRunTimes.py" --tripid 76-18 --locoid 4065 --swversion DE.1.0.9.0 --startMP 300:112251 --initTime 2017-10-18T13:59:45 --startdatetime 2017-10-18T14:07:46 --delay 66 --endMP 300:112093 --enddatetime 2017-10-18T14:36:38 --enforcementcount 0 &gt;&gt;%USERPROFILE%\Documents\GitHub\eaglep3-reporting\EC\2017-10-18-refined-times.txt</v>
      </c>
      <c r="AI250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11.2093"},{"id":17,"name":"Train ID","value":"76-18"},{"id":16,"name":"Locomotive ID","value":"4065"},{"id":130,"name":"Impact","value":""},{"id":150,"name":"Time of Event (Mountain Time)","value":"14:36:38"},{"id":151,"name":"Denver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0" s="47"/>
      <c r="AL250" s="47"/>
      <c r="AM250" s="142" t="str">
        <f t="shared" si="74"/>
        <v>start /low /b %USERPROFILE%\Documents\GitHub\eaglep3\Utilities\DownloadLogsFromS3.py --loco 4065 --day 2017-10-18</v>
      </c>
      <c r="AN250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20:36:38"},{"id":29,"name":"Sharepoint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 s="168" t="str">
        <f t="shared" si="76"/>
        <v>https://d0f6bd738d7f1b3e5a7ca70fe4ff75f0.us-east-1.aws.found.io/app/kibana#/discover/Steve-Slow-Train-Analysis-(2080s-and-2083s)?_g=(refreshInterval:(display:Off,pause:!f,section:0,value:0),time:(from:'2017-10-18T12:59:45-0600',mode:absolute,to:'2017-10-18T15:36:38-0600'))&amp;_a=(columns:!('Message%20ID',Summary),filters:!(),index:'emp_*',interval:auto,query:(query_string:(analyze_wildcard:!t,query:'%22rtdc.l.rtdc.4065%22')),sort:!(Time.ISO8601,asc))</v>
      </c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 s="32" t="s">
        <v>571</v>
      </c>
      <c r="B251" s="7">
        <v>4065</v>
      </c>
      <c r="C251" s="21" t="s">
        <v>194</v>
      </c>
      <c r="D251" s="21" t="s">
        <v>928</v>
      </c>
      <c r="E251" s="13">
        <v>43026.587905092594</v>
      </c>
      <c r="F251" s="13">
        <v>43026.588726851849</v>
      </c>
      <c r="G251" s="7">
        <v>37</v>
      </c>
      <c r="H251" s="21" t="s">
        <v>929</v>
      </c>
      <c r="I251" s="13">
        <v>43026.608773148146</v>
      </c>
      <c r="J251" s="7">
        <v>0</v>
      </c>
      <c r="K251" s="89" t="str">
        <f>IF(ISEVEN(B251),(B251-1)&amp;"/"&amp;B251,B251&amp;"/"&amp;(B251+1))</f>
        <v>4065/4066</v>
      </c>
      <c r="L251" s="185" t="str">
        <f>VLOOKUP(A251,'Trips&amp;Operators'!$C$1:$G$99911,5,FALSE)</f>
        <v>ROBINSON KADDIBA</v>
      </c>
      <c r="M251" s="6">
        <f>I251-F251</f>
        <v>2.0046296296641231E-2</v>
      </c>
      <c r="N251" s="7">
        <f>24*60*SUM($M251:$M251)</f>
        <v>28.866666667163372</v>
      </c>
      <c r="O251" s="7"/>
      <c r="P251" s="7"/>
      <c r="Q251" s="22"/>
      <c r="R251" s="174"/>
      <c r="S251" s="221">
        <f>1/IF(AG251="EC",12,1)*SUM(U251:U251)</f>
        <v>1</v>
      </c>
      <c r="T251" s="174" t="str">
        <f>IF(ISEVEN(LEFT(AD251,4)),"Southbound","NorthBound")</f>
        <v>Southbound</v>
      </c>
      <c r="U251" s="198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1</v>
      </c>
      <c r="V251" s="216" t="str">
        <f>"https://d0f6bd738d7f1b3e5a7ca70fe4ff75f0.us-east-1.aws.found.io/app/kibana#/discover/Steve-Slow-Train-Analysis-(2080s-and-2083s)?_g="&amp;"(refreshInterval:(display:Off,pause:!f,section:0,value:0),time:(from:'"&amp;TEXT(E251-1/24,"yyyy-MM-DDThh:mm:ss")&amp;utc_offset&amp;"00"&amp;"',mode:absolute,to:'"&amp;TEXT(I251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251&amp;"%22')),sort:!(Time.ISO8601,asc))"</f>
        <v>https://d0f6bd738d7f1b3e5a7ca70fe4ff75f0.us-east-1.aws.found.io/app/kibana#/discover/Steve-Slow-Train-Analysis-(2080s-and-2083s)?_g=(refreshInterval:(display:Off,pause:!f,section:0,value:0),time:(from:'2017-10-18T13:06:35-0600',mode:absolute,to:'2017-10-18T15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51" s="204" t="str">
        <f>IF(AA251&lt;VLOOKUP(AG251,Variables!$AC$3:$AD$8,2,FALSE),"Y","N")</f>
        <v>Y</v>
      </c>
      <c r="X251" s="204">
        <f>VALUE(LEFT(AD251,4))-VALUE(LEFT(AD250,4))</f>
        <v>0</v>
      </c>
      <c r="Y251" s="204">
        <f>RIGHT(D251,LEN(D251)-4)/10000</f>
        <v>10.9925</v>
      </c>
      <c r="Z251" s="204">
        <f>RIGHT(H251,LEN(H251)-4)/10000</f>
        <v>7.1999999999999998E-3</v>
      </c>
      <c r="AA251" s="204">
        <f>ABS(Z251-Y251)</f>
        <v>10.985300000000001</v>
      </c>
      <c r="AB251" s="54" t="e">
        <f>VLOOKUP(A251,Enforcements!$C$7:$K$11,8,0)</f>
        <v>#N/A</v>
      </c>
      <c r="AC251" s="51" t="e">
        <f>VLOOKUP(A251,Enforcements!$C$7:$E$11,3,0)</f>
        <v>#N/A</v>
      </c>
      <c r="AD251" s="179">
        <f>VALUE(LEFT(A251,LEN(A251)-3))</f>
        <v>76</v>
      </c>
      <c r="AE251" s="77" t="str">
        <f>"aws s3 cp "&amp;s3_bucket&amp;"/RTDC"&amp;B251&amp;"/ "&amp;search_path&amp;"\RTDC"&amp;B251&amp;"\"&amp;TEXT(F251,"YYYY-MM-DD")&amp;" --exclude ""*"" --recursive --include ""*"&amp;TEXT(F251,"YYYYMMDD")&amp;"*"" &amp; """&amp;walkandungz&amp;""" "&amp;search_path&amp;"\RTDC"&amp;B251&amp;"\"&amp;TEXT(F251,"YYYY-MM-DD")
&amp;" &amp; "&amp;"aws s3 cp "&amp;s3_bucket&amp;"/RTDC"&amp;B251&amp;"/ "&amp;search_path&amp;"\RTDC"&amp;B251&amp;"\"&amp;TEXT(F251+1,"YYYY-MM-DD")&amp;" --exclude ""*"" --recursive --include ""*"&amp;TEXT(F251+1,"YYYYMMDD")&amp;"*"" &amp; """&amp;walkandungz&amp;""" "&amp;search_path&amp;"\RTDC"&amp;B251&amp;"\"&amp;TEXT(F251+1,"YYYY-MM-DD")</f>
        <v>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 &amp; 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</v>
      </c>
      <c r="AF251" s="74" t="str">
        <f>astrogrep_path&amp;" /e /r /s /spath="&amp;search_path&amp;" /stypes=""app*"&amp;B251&amp;"*"&amp;TEXT(I251-utc_offset/24,"YYYYMMDD")&amp;"*"" /stext="" "&amp;TEXT(I251-utc_offset/24,"HH")&amp;search_regexp&amp;""""</f>
        <v>"C:\Program Files (x86)\AstroGrep\AstroGrep.exe" /e /r /s /spath="%USERPROFILE%\AppData\Local\Temp\OnboardLogs" /stypes="app*4065*20171018*" /stext=" 20:.+((SYSTEM_STATE.+slice.+state.+changed )|(ment ac)|(multiple cpu faults)|(system.+state.+changed )|(\[timeout)|(PRM\|1\|D)|(kpr)|(kdp)|(train st.+moving)|(\|lc)|(penalty))"</v>
      </c>
      <c r="AG251" s="182" t="str">
        <f>DetSubdiv(A251)</f>
        <v>Shuttle/Test</v>
      </c>
      <c r="AH251" s="78" t="str">
        <f t="shared" si="72"/>
        <v>"%USERPROFILE%\Documents\GitHub\eaglep3\Utilities\RefineRTDCRunTimes.py" --tripid 76-18 --locoid 4065 --swversion DE.1.0.9.0 --startMP 300:109925 --initTime 2017-10-18T14:06:35 --startdatetime 2017-10-18T14:07:46 --delay 37 --endMP 204:72 --enddatetime 2017-10-18T14:36:38 --enforcementcount 0 &gt;&gt;%USERPROFILE%\Documents\GitHub\eaglep3-reporting\EC\2017-10-18-refined-times.txt</v>
      </c>
      <c r="AI251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0.0072"},{"id":17,"name":"Train ID","value":"76-18"},{"id":16,"name":"Locomotive ID","value":"4065"},{"id":130,"name":"Impact","value":""},{"id":150,"name":"Time of Event (Mountain Time)","value":"14:36:38"},{"id":151,"name":"Denver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1" s="47"/>
      <c r="AL251" s="47"/>
      <c r="AM251" s="142" t="str">
        <f t="shared" si="74"/>
        <v>start /low /b %USERPROFILE%\Documents\GitHub\eaglep3\Utilities\DownloadLogsFromS3.py --loco 4065 --day 2017-10-18</v>
      </c>
      <c r="AN251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20:36:38"},{"id":29,"name":"Sharepoint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 s="168" t="str">
        <f t="shared" si="76"/>
        <v>https://d0f6bd738d7f1b3e5a7ca70fe4ff75f0.us-east-1.aws.found.io/app/kibana#/discover/Steve-Slow-Train-Analysis-(2080s-and-2083s)?_g=(refreshInterval:(display:Off,pause:!f,section:0,value:0),time:(from:'2017-10-18T13:06:35-0600',mode:absolute,to:'2017-10-18T15:36:38-0600'))&amp;_a=(columns:!('Message%20ID',Summary),filters:!(),index:'emp_*',interval:auto,query:(query_string:(analyze_wildcard:!t,query:'%22rtdc.l.rtdc.4065%22')),sort:!(Time.ISO8601,asc))</v>
      </c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 s="32" t="s">
        <v>571</v>
      </c>
      <c r="B252" s="7">
        <v>4065</v>
      </c>
      <c r="C252" s="21" t="s">
        <v>194</v>
      </c>
      <c r="D252" s="21" t="s">
        <v>930</v>
      </c>
      <c r="E252" s="13">
        <v>43026.682916666665</v>
      </c>
      <c r="F252" s="13">
        <v>43026.687002314815</v>
      </c>
      <c r="G252" s="7">
        <v>140</v>
      </c>
      <c r="H252" s="21" t="s">
        <v>931</v>
      </c>
      <c r="I252" s="13">
        <v>43026.709143518521</v>
      </c>
      <c r="J252" s="7">
        <v>0</v>
      </c>
      <c r="K252" s="89" t="str">
        <f>IF(ISEVEN(B252),(B252-1)&amp;"/"&amp;B252,B252&amp;"/"&amp;(B252+1))</f>
        <v>4065/4066</v>
      </c>
      <c r="L252" s="185" t="str">
        <f>VLOOKUP(A252,'Trips&amp;Operators'!$C$1:$G$99911,5,FALSE)</f>
        <v>ROBINSON KADDIBA</v>
      </c>
      <c r="M252" s="6">
        <f>I252-F252</f>
        <v>2.2141203706269152E-2</v>
      </c>
      <c r="N252" s="7">
        <f>24*60*SUM($M252:$M252)</f>
        <v>31.88333333702758</v>
      </c>
      <c r="O252" s="7"/>
      <c r="P252" s="7"/>
      <c r="Q252" s="22"/>
      <c r="R252" s="174"/>
      <c r="S252" s="221">
        <f>1/IF(AG252="EC",12,1)*SUM(U252:U252)</f>
        <v>0</v>
      </c>
      <c r="T252" s="174" t="str">
        <f>IF(ISEVEN(LEFT(AD252,4)),"Southbound","NorthBound")</f>
        <v>Southbound</v>
      </c>
      <c r="U252" s="198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216" t="str">
        <f>"https://d0f6bd738d7f1b3e5a7ca70fe4ff75f0.us-east-1.aws.found.io/app/kibana#/discover/Steve-Slow-Train-Analysis-(2080s-and-2083s)?_g="&amp;"(refreshInterval:(display:Off,pause:!f,section:0,value:0),time:(from:'"&amp;TEXT(E252-1/24,"yyyy-MM-DDThh:mm:ss")&amp;utc_offset&amp;"00"&amp;"',mode:absolute,to:'"&amp;TEXT(I252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252&amp;"%22')),sort:!(Time.ISO8601,asc))"</f>
        <v>https://d0f6bd738d7f1b3e5a7ca70fe4ff75f0.us-east-1.aws.found.io/app/kibana#/discover/Steve-Slow-Train-Analysis-(2080s-and-2083s)?_g=(refreshInterval:(display:Off,pause:!f,section:0,value:0),time:(from:'2017-10-18T15:23:24-0600',mode:absolute,to:'2017-10-18T18:01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52" s="204" t="str">
        <f>IF(AA252&lt;VLOOKUP(AG252,Variables!$AC$3:$AD$8,2,FALSE),"Y","N")</f>
        <v>Y</v>
      </c>
      <c r="X252" s="204">
        <f>VALUE(LEFT(AD252,4))-VALUE(LEFT(AD251,4))</f>
        <v>0</v>
      </c>
      <c r="Y252" s="204">
        <f>RIGHT(D252,LEN(D252)-4)/10000</f>
        <v>11.217000000000001</v>
      </c>
      <c r="Z252" s="204">
        <f>RIGHT(H252,LEN(H252)-4)/10000</f>
        <v>2.8767</v>
      </c>
      <c r="AA252" s="204">
        <f>ABS(Z252-Y252)</f>
        <v>8.3403000000000009</v>
      </c>
      <c r="AB252" s="54" t="e">
        <f>VLOOKUP(A252,Enforcements!$C$7:$K$11,8,0)</f>
        <v>#N/A</v>
      </c>
      <c r="AC252" s="51" t="e">
        <f>VLOOKUP(A252,Enforcements!$C$7:$E$11,3,0)</f>
        <v>#N/A</v>
      </c>
      <c r="AD252" s="179">
        <f>VALUE(LEFT(A252,LEN(A252)-3))</f>
        <v>76</v>
      </c>
      <c r="AE252" s="77" t="str">
        <f>"aws s3 cp "&amp;s3_bucket&amp;"/RTDC"&amp;B252&amp;"/ "&amp;search_path&amp;"\RTDC"&amp;B252&amp;"\"&amp;TEXT(F252,"YYYY-MM-DD")&amp;" --exclude ""*"" --recursive --include ""*"&amp;TEXT(F252,"YYYYMMDD")&amp;"*"" &amp; """&amp;walkandungz&amp;""" "&amp;search_path&amp;"\RTDC"&amp;B252&amp;"\"&amp;TEXT(F252,"YYYY-MM-DD")
&amp;" &amp; "&amp;"aws s3 cp "&amp;s3_bucket&amp;"/RTDC"&amp;B252&amp;"/ "&amp;search_path&amp;"\RTDC"&amp;B252&amp;"\"&amp;TEXT(F252+1,"YYYY-MM-DD")&amp;" --exclude ""*"" --recursive --include ""*"&amp;TEXT(F252+1,"YYYYMMDD")&amp;"*"" &amp; """&amp;walkandungz&amp;""" "&amp;search_path&amp;"\RTDC"&amp;B252&amp;"\"&amp;TEXT(F252+1,"YYYY-MM-DD")</f>
        <v>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 &amp; 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</v>
      </c>
      <c r="AF252" s="74" t="str">
        <f>astrogrep_path&amp;" /e /r /s /spath="&amp;search_path&amp;" /stypes=""app*"&amp;B252&amp;"*"&amp;TEXT(I252-utc_offset/24,"YYYYMMDD")&amp;"*"" /stext="" "&amp;TEXT(I252-utc_offset/24,"HH")&amp;search_regexp&amp;""""</f>
        <v>"C:\Program Files (x86)\AstroGrep\AstroGrep.exe" /e /r /s /spath="%USERPROFILE%\AppData\Local\Temp\OnboardLogs" /stypes="app*4065*20171018*" /stext=" 23:.+((SYSTEM_STATE.+slice.+state.+changed )|(ment ac)|(multiple cpu faults)|(system.+state.+changed )|(\[timeout)|(PRM\|1\|D)|(kpr)|(kdp)|(train st.+moving)|(\|lc)|(penalty))"</v>
      </c>
      <c r="AG252" s="182" t="str">
        <f>DetSubdiv(A252)</f>
        <v>Shuttle/Test</v>
      </c>
      <c r="AH252" s="78" t="str">
        <f t="shared" si="72"/>
        <v>"%USERPROFILE%\Documents\GitHub\eaglep3\Utilities\RefineRTDCRunTimes.py" --tripid 76-18 --locoid 4065 --swversion DE.1.0.9.0 --startMP 300:112170 --initTime 2017-10-18T16:23:24 --startdatetime 2017-10-18T16:29:17 --delay 140 --endMP 300:28767 --enddatetime 2017-10-18T17:01:10 --enforcementcount 0 &gt;&gt;%USERPROFILE%\Documents\GitHub\eaglep3-reporting\EC\2017-10-18-refined-times.txt</v>
      </c>
      <c r="AI252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2.8767"},{"id":17,"name":"Train ID","value":"76-18"},{"id":16,"name":"Locomotive ID","value":"4065"},{"id":130,"name":"Impact","value":""},{"id":150,"name":"Time of Event (Mountain Time)","value":"17:01:10"},{"id":151,"name":"Denver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2" s="47"/>
      <c r="AL252" s="47"/>
      <c r="AM252" s="142" t="str">
        <f t="shared" si="74"/>
        <v>start /low /b %USERPROFILE%\Documents\GitHub\eaglep3\Utilities\DownloadLogsFromS3.py --loco 4065 --day 2017-10-18</v>
      </c>
      <c r="AN252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23:01:10"},{"id":29,"name":"Sharepoint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 s="168" t="str">
        <f t="shared" si="76"/>
        <v>https://d0f6bd738d7f1b3e5a7ca70fe4ff75f0.us-east-1.aws.found.io/app/kibana#/discover/Steve-Slow-Train-Analysis-(2080s-and-2083s)?_g=(refreshInterval:(display:Off,pause:!f,section:0,value:0),time:(from:'2017-10-18T15:23:24-0600',mode:absolute,to:'2017-10-18T18:01:10-0600'))&amp;_a=(columns:!('Message%20ID',Summary),filters:!(),index:'emp_*',interval:auto,query:(query_string:(analyze_wildcard:!t,query:'%22rtdc.l.rtdc.4065%22')),sort:!(Time.ISO8601,asc))</v>
      </c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 s="32" t="s">
        <v>582</v>
      </c>
      <c r="B253" s="7">
        <v>4066</v>
      </c>
      <c r="C253" s="21" t="s">
        <v>194</v>
      </c>
      <c r="D253" s="21" t="s">
        <v>932</v>
      </c>
      <c r="E253" s="13">
        <v>43026.560208333336</v>
      </c>
      <c r="F253" s="13">
        <v>43026.564976851849</v>
      </c>
      <c r="G253" s="7">
        <v>234</v>
      </c>
      <c r="H253" s="21" t="s">
        <v>933</v>
      </c>
      <c r="I253" s="13">
        <v>43026.582187499997</v>
      </c>
      <c r="J253" s="7">
        <v>0</v>
      </c>
      <c r="K253" s="89" t="str">
        <f>IF(ISEVEN(B253),(B253-1)&amp;"/"&amp;B253,B253&amp;"/"&amp;(B253+1))</f>
        <v>4065/4066</v>
      </c>
      <c r="L253" s="185" t="str">
        <f>VLOOKUP(A253,'Trips&amp;Operators'!$C$1:$G$99911,5,FALSE)</f>
        <v>ROBINSON KADDIBA</v>
      </c>
      <c r="M253" s="6">
        <f>I253-F253</f>
        <v>1.7210648147738539E-2</v>
      </c>
      <c r="N253" s="7">
        <f>24*60*SUM($M253:$M253)</f>
        <v>24.783333332743496</v>
      </c>
      <c r="O253" s="7"/>
      <c r="P253" s="7"/>
      <c r="Q253" s="22"/>
      <c r="R253" s="174"/>
      <c r="S253" s="221">
        <f>1/IF(AG253="EC",12,1)*SUM(U253:U253)</f>
        <v>0</v>
      </c>
      <c r="T253" s="174" t="str">
        <f>IF(ISEVEN(LEFT(AD253,4)),"Southbound","NorthBound")</f>
        <v>NorthBound</v>
      </c>
      <c r="U253" s="198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216" t="str">
        <f>"https://d0f6bd738d7f1b3e5a7ca70fe4ff75f0.us-east-1.aws.found.io/app/kibana#/discover/Steve-Slow-Train-Analysis-(2080s-and-2083s)?_g="&amp;"(refreshInterval:(display:Off,pause:!f,section:0,value:0),time:(from:'"&amp;TEXT(E253-1/24,"yyyy-MM-DDThh:mm:ss")&amp;utc_offset&amp;"00"&amp;"',mode:absolute,to:'"&amp;TEXT(I253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253&amp;"%22')),sort:!(Time.ISO8601,asc))"</f>
        <v>https://d0f6bd738d7f1b3e5a7ca70fe4ff75f0.us-east-1.aws.found.io/app/kibana#/discover/Steve-Slow-Train-Analysis-(2080s-and-2083s)?_g=(refreshInterval:(display:Off,pause:!f,section:0,value:0),time:(from:'2017-10-18T12:26:42-0600',mode:absolute,to:'2017-10-18T14:58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53" s="204" t="str">
        <f>IF(AA253&lt;VLOOKUP(AG253,Variables!$AC$3:$AD$8,2,FALSE),"Y","N")</f>
        <v>Y</v>
      </c>
      <c r="X253" s="204">
        <f>VALUE(LEFT(AD253,4))-VALUE(LEFT(AD252,4))</f>
        <v>1</v>
      </c>
      <c r="Y253" s="204">
        <f>RIGHT(D253,LEN(D253)-4)/10000</f>
        <v>3.0066999999999999</v>
      </c>
      <c r="Z253" s="204">
        <f>RIGHT(H253,LEN(H253)-4)/10000</f>
        <v>11.250400000000001</v>
      </c>
      <c r="AA253" s="204">
        <f>ABS(Z253-Y253)</f>
        <v>8.2437000000000005</v>
      </c>
      <c r="AB253" s="54" t="e">
        <f>VLOOKUP(A253,Enforcements!$C$7:$K$11,8,0)</f>
        <v>#N/A</v>
      </c>
      <c r="AC253" s="51" t="e">
        <f>VLOOKUP(A253,Enforcements!$C$7:$E$11,3,0)</f>
        <v>#N/A</v>
      </c>
      <c r="AD253" s="179">
        <f>VALUE(LEFT(A253,LEN(A253)-3))</f>
        <v>77</v>
      </c>
      <c r="AE253" s="77" t="str">
        <f>"aws s3 cp "&amp;s3_bucket&amp;"/RTDC"&amp;B253&amp;"/ "&amp;search_path&amp;"\RTDC"&amp;B253&amp;"\"&amp;TEXT(F253,"YYYY-MM-DD")&amp;" --exclude ""*"" --recursive --include ""*"&amp;TEXT(F253,"YYYYMMDD")&amp;"*"" &amp; """&amp;walkandungz&amp;""" "&amp;search_path&amp;"\RTDC"&amp;B253&amp;"\"&amp;TEXT(F253,"YYYY-MM-DD")
&amp;" &amp; "&amp;"aws s3 cp "&amp;s3_bucket&amp;"/RTDC"&amp;B253&amp;"/ "&amp;search_path&amp;"\RTDC"&amp;B253&amp;"\"&amp;TEXT(F253+1,"YYYY-MM-DD")&amp;" --exclude ""*"" --recursive --include ""*"&amp;TEXT(F253+1,"YYYYMMDD")&amp;"*"" &amp; """&amp;walkandungz&amp;""" "&amp;search_path&amp;"\RTDC"&amp;B253&amp;"\"&amp;TEXT(F253+1,"YYYY-MM-DD")</f>
        <v>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 &amp; 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</v>
      </c>
      <c r="AF253" s="74" t="str">
        <f>astrogrep_path&amp;" /e /r /s /spath="&amp;search_path&amp;" /stypes=""app*"&amp;B253&amp;"*"&amp;TEXT(I253-utc_offset/24,"YYYYMMDD")&amp;"*"" /stext="" "&amp;TEXT(I253-utc_offset/24,"HH")&amp;search_regexp&amp;""""</f>
        <v>"C:\Program Files (x86)\AstroGrep\AstroGrep.exe" /e /r /s /spath="%USERPROFILE%\AppData\Local\Temp\OnboardLogs" /stypes="app*4066*20171018*" /stext=" 19:.+((SYSTEM_STATE.+slice.+state.+changed )|(ment ac)|(multiple cpu faults)|(system.+state.+changed )|(\[timeout)|(PRM\|1\|D)|(kpr)|(kdp)|(train st.+moving)|(\|lc)|(penalty))"</v>
      </c>
      <c r="AG253" s="182" t="str">
        <f>DetSubdiv(A253)</f>
        <v>Shuttle/Test</v>
      </c>
      <c r="AH253" s="78" t="str">
        <f t="shared" si="72"/>
        <v>"%USERPROFILE%\Documents\GitHub\eaglep3\Utilities\RefineRTDCRunTimes.py" --tripid 77-18 --locoid 4066 --swversion DE.1.0.9.0 --startMP 300:30067 --initTime 2017-10-18T13:26:42 --startdatetime 2017-10-18T13:33:34 --delay 234 --endMP 300:112504 --enddatetime 2017-10-18T13:58:21 --enforcementcount 0 &gt;&gt;%USERPROFILE%\Documents\GitHub\eaglep3-reporting\EC\2017-10-18-refined-times.txt</v>
      </c>
      <c r="AI253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11.2504"},{"id":17,"name":"Train ID","value":"77-18"},{"id":16,"name":"Locomotive ID","value":"4066"},{"id":130,"name":"Impact","value":""},{"id":150,"name":"Time of Event (Mountain Time)","value":"13:58:21"},{"id":151,"name":"Denver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3" s="47"/>
      <c r="AL253" s="47"/>
      <c r="AM253" s="142" t="str">
        <f t="shared" si="74"/>
        <v>start /low /b %USERPROFILE%\Documents\GitHub\eaglep3\Utilities\DownloadLogsFromS3.py --loco 4066 --day 2017-10-18</v>
      </c>
      <c r="AN253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19:58:21"},{"id":29,"name":"Sharepoint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 s="168" t="str">
        <f t="shared" si="76"/>
        <v>https://d0f6bd738d7f1b3e5a7ca70fe4ff75f0.us-east-1.aws.found.io/app/kibana#/discover/Steve-Slow-Train-Analysis-(2080s-and-2083s)?_g=(refreshInterval:(display:Off,pause:!f,section:0,value:0),time:(from:'2017-10-18T12:26:42-0600',mode:absolute,to:'2017-10-18T14:58:21-0600'))&amp;_a=(columns:!('Message%20ID',Summary),filters:!(),index:'emp_*',interval:auto,query:(query_string:(analyze_wildcard:!t,query:'%22rtdc.l.rtdc.4066%22')),sort:!(Time.ISO8601,asc))</v>
      </c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 s="32" t="s">
        <v>708</v>
      </c>
      <c r="B254" s="7">
        <v>4044</v>
      </c>
      <c r="C254" s="21" t="s">
        <v>194</v>
      </c>
      <c r="D254" s="21" t="s">
        <v>369</v>
      </c>
      <c r="E254" s="13">
        <v>43026.528935185182</v>
      </c>
      <c r="F254" s="13">
        <v>43026.530729166669</v>
      </c>
      <c r="G254" s="7">
        <v>74</v>
      </c>
      <c r="H254" s="21" t="s">
        <v>951</v>
      </c>
      <c r="I254" s="13">
        <v>43026.537777777776</v>
      </c>
      <c r="J254" s="7">
        <v>0</v>
      </c>
      <c r="K254" s="89" t="str">
        <f>IF(ISEVEN(B254),(B254-1)&amp;"/"&amp;B254,B254&amp;"/"&amp;(B254+1))</f>
        <v>4043/4044</v>
      </c>
      <c r="L254" s="185" t="str">
        <f>VLOOKUP(A254,'Trips&amp;Operators'!$C$1:$G$99911,5,FALSE)</f>
        <v>MOSES BRADLEY</v>
      </c>
      <c r="M254" s="6">
        <f>I254-F254</f>
        <v>7.0486111071659252E-3</v>
      </c>
      <c r="N254" s="7">
        <f>24*60*SUM($M254:$M254)</f>
        <v>10.149999994318932</v>
      </c>
      <c r="O254" s="7"/>
      <c r="P254" s="7"/>
      <c r="Q254" s="22"/>
      <c r="R254" s="174"/>
      <c r="S254" s="221">
        <f>1/IF(AG254="EC",12,1)*SUM(U254:U254)</f>
        <v>1</v>
      </c>
      <c r="T254" s="174" t="str">
        <f>IF(ISEVEN(LEFT(AD254,4)),"Southbound","NorthBound")</f>
        <v>NorthBound</v>
      </c>
      <c r="U254" s="198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1</v>
      </c>
      <c r="V254" s="216" t="str">
        <f>"https://d0f6bd738d7f1b3e5a7ca70fe4ff75f0.us-east-1.aws.found.io/app/kibana#/discover/Steve-Slow-Train-Analysis-(2080s-and-2083s)?_g="&amp;"(refreshInterval:(display:Off,pause:!f,section:0,value:0),time:(from:'"&amp;TEXT(E254-1/24,"yyyy-MM-DDThh:mm:ss")&amp;utc_offset&amp;"00"&amp;"',mode:absolute,to:'"&amp;TEXT(I254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254&amp;"%22')),sort:!(Time.ISO8601,asc))"</f>
        <v>https://d0f6bd738d7f1b3e5a7ca70fe4ff75f0.us-east-1.aws.found.io/app/kibana#/discover/Steve-Slow-Train-Analysis-(2080s-and-2083s)?_g=(refreshInterval:(display:Off,pause:!f,section:0,value:0),time:(from:'2017-10-18T11:41:40-0600',mode:absolute,to:'2017-10-18T13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4" s="204" t="str">
        <f>IF(AA254&lt;VLOOKUP(AG254,Variables!$AC$3:$AD$8,2,FALSE),"Y","N")</f>
        <v>Y</v>
      </c>
      <c r="X254" s="204">
        <f>VALUE(LEFT(AD254,4))-VALUE(LEFT(AD253,4))</f>
        <v>4</v>
      </c>
      <c r="Y254" s="204">
        <f>RIGHT(D254,LEN(D254)-4)/10000</f>
        <v>4.7100000000000003E-2</v>
      </c>
      <c r="Z254" s="204">
        <f>RIGHT(H254,LEN(H254)-4)/10000</f>
        <v>2.4230999999999998</v>
      </c>
      <c r="AA254" s="204">
        <f>ABS(Z254-Y254)</f>
        <v>2.3759999999999999</v>
      </c>
      <c r="AB254" s="54" t="e">
        <f>VLOOKUP(A254,Enforcements!$C$7:$K$11,8,0)</f>
        <v>#N/A</v>
      </c>
      <c r="AC254" s="51" t="e">
        <f>VLOOKUP(A254,Enforcements!$C$7:$E$11,3,0)</f>
        <v>#N/A</v>
      </c>
      <c r="AD254" s="179">
        <f>VALUE(LEFT(A254,LEN(A254)-3))</f>
        <v>81</v>
      </c>
      <c r="AE254" s="77" t="str">
        <f>"aws s3 cp "&amp;s3_bucket&amp;"/RTDC"&amp;B254&amp;"/ "&amp;search_path&amp;"\RTDC"&amp;B254&amp;"\"&amp;TEXT(F254,"YYYY-MM-DD")&amp;" --exclude ""*"" --recursive --include ""*"&amp;TEXT(F254,"YYYYMMDD")&amp;"*"" &amp; """&amp;walkandungz&amp;""" "&amp;search_path&amp;"\RTDC"&amp;B254&amp;"\"&amp;TEXT(F254,"YYYY-MM-DD")
&amp;" &amp; "&amp;"aws s3 cp "&amp;s3_bucket&amp;"/RTDC"&amp;B254&amp;"/ "&amp;search_path&amp;"\RTDC"&amp;B254&amp;"\"&amp;TEXT(F254+1,"YYYY-MM-DD")&amp;" --exclude ""*"" --recursive --include ""*"&amp;TEXT(F254+1,"YYYYMMDD")&amp;"*"" &amp; """&amp;walkandungz&amp;""" "&amp;search_path&amp;"\RTDC"&amp;B254&amp;"\"&amp;TEXT(F254+1,"YYYY-MM-DD")</f>
        <v>aws s3 cp s3://rtdc.mdm.uploadarchive.raw/RTDC4044/ "%USERPROFILE%\AppData\Local\Temp\OnboardLogs"\RTDC4044\2017-10-18 --exclude "*" --recursive --include "*20171018*" &amp; "%USERPROFILE%\Documents\GitHub\mrs-test-scripts\Headless Mode &amp; Sideloading\WalkAndUnGZ.bat" "%USERPROFILE%\AppData\Local\Temp\OnboardLogs"\RTDC4044\2017-10-18 &amp; 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</v>
      </c>
      <c r="AF254" s="74" t="str">
        <f>astrogrep_path&amp;" /e /r /s /spath="&amp;search_path&amp;" /stypes=""app*"&amp;B254&amp;"*"&amp;TEXT(I254-utc_offset/24,"YYYYMMDD")&amp;"*"" /stext="" "&amp;TEXT(I254-utc_offset/24,"HH")&amp;search_regexp&amp;""""</f>
        <v>"C:\Program Files (x86)\AstroGrep\AstroGrep.exe" /e /r /s /spath="%USERPROFILE%\AppData\Local\Temp\OnboardLogs" /stypes="app*4044*20171018*" /stext=" 18:.+((SYSTEM_STATE.+slice.+state.+changed )|(ment ac)|(multiple cpu faults)|(system.+state.+changed )|(\[timeout)|(PRM\|1\|D)|(kpr)|(kdp)|(train st.+moving)|(\|lc)|(penalty))"</v>
      </c>
      <c r="AG254" s="182" t="str">
        <f>DetSubdiv(A254)</f>
        <v>Shuttle/Test</v>
      </c>
      <c r="AH254" s="78" t="str">
        <f t="shared" si="72"/>
        <v>"%USERPROFILE%\Documents\GitHub\eaglep3\Utilities\RefineRTDCRunTimes.py" --tripid 81-18 --locoid 4044 --swversion DE.1.0.9.0 --startMP 204:471 --initTime 2017-10-18T12:41:40 --startdatetime 2017-10-18T12:44:15 --delay 74 --endMP 300:24231 --enddatetime 2017-10-18T12:54:24 --enforcementcount 0 &gt;&gt;%USERPROFILE%\Documents\GitHub\eaglep3-reporting\EC\2017-10-18-refined-times.txt</v>
      </c>
      <c r="AI254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2.4231"},{"id":17,"name":"Train ID","value":"81-18"},{"id":16,"name":"Locomotive ID","value":"4044"},{"id":130,"name":"Impact","value":""},{"id":150,"name":"Time of Event (Mountain Time)","value":"12:54:24"},{"id":151,"name":"Denver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4" s="47"/>
      <c r="AL254" s="47"/>
      <c r="AM254" s="142" t="str">
        <f t="shared" si="74"/>
        <v>start /low /b %USERPROFILE%\Documents\GitHub\eaglep3\Utilities\DownloadLogsFromS3.py --loco 4044 --day 2017-10-18</v>
      </c>
      <c r="AN254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18:54:24"},{"id":29,"name":"Sharepoint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 s="168" t="str">
        <f t="shared" si="76"/>
        <v>https://d0f6bd738d7f1b3e5a7ca70fe4ff75f0.us-east-1.aws.found.io/app/kibana#/discover/Steve-Slow-Train-Analysis-(2080s-and-2083s)?_g=(refreshInterval:(display:Off,pause:!f,section:0,value:0),time:(from:'2017-10-18T11:41:40-0600',mode:absolute,to:'2017-10-18T13:54:24-0600'))&amp;_a=(columns:!('Message%20ID',Summary),filters:!(),index:'emp_*',interval:auto,query:(query_string:(analyze_wildcard:!t,query:'%22rtdc.l.rtdc.4044%22')),sort:!(Time.ISO8601,asc))</v>
      </c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 s="32" t="s">
        <v>713</v>
      </c>
      <c r="B255" s="7">
        <v>4059</v>
      </c>
      <c r="C255" s="21" t="s">
        <v>194</v>
      </c>
      <c r="D255" s="21" t="s">
        <v>967</v>
      </c>
      <c r="E255" s="13">
        <v>43026.549629629626</v>
      </c>
      <c r="F255" s="13">
        <v>43026.55537037037</v>
      </c>
      <c r="G255" s="7">
        <v>78</v>
      </c>
      <c r="H255" s="21" t="s">
        <v>542</v>
      </c>
      <c r="I255" s="13">
        <v>43026.561296296299</v>
      </c>
      <c r="J255" s="7">
        <v>0</v>
      </c>
      <c r="K255" s="89" t="str">
        <f>IF(ISEVEN(B255),(B255-1)&amp;"/"&amp;B255,B255&amp;"/"&amp;(B255+1))</f>
        <v>4059/4060</v>
      </c>
      <c r="L255" s="185" t="str">
        <f>VLOOKUP(A255,'Trips&amp;Operators'!$C$1:$G$99911,5,FALSE)</f>
        <v>MOSES BRADLEY</v>
      </c>
      <c r="M255" s="6">
        <f>I255-F255</f>
        <v>5.9259259287500754E-3</v>
      </c>
      <c r="N255" s="7">
        <f>24*60*SUM($M255:$M255)</f>
        <v>8.5333333374001086</v>
      </c>
      <c r="O255" s="7"/>
      <c r="P255" s="7"/>
      <c r="Q255" s="22"/>
      <c r="R255" s="174"/>
      <c r="S255" s="221">
        <f>1/IF(AG255="EC",12,1)*SUM(U255:U255)</f>
        <v>1</v>
      </c>
      <c r="T255" s="174" t="str">
        <f>IF(ISEVEN(LEFT(AD255,4)),"Southbound","NorthBound")</f>
        <v>Southbound</v>
      </c>
      <c r="U255" s="198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1</v>
      </c>
      <c r="V255" s="216" t="str">
        <f>"https://d0f6bd738d7f1b3e5a7ca70fe4ff75f0.us-east-1.aws.found.io/app/kibana#/discover/Steve-Slow-Train-Analysis-(2080s-and-2083s)?_g="&amp;"(refreshInterval:(display:Off,pause:!f,section:0,value:0),time:(from:'"&amp;TEXT(E255-1/24,"yyyy-MM-DDThh:mm:ss")&amp;utc_offset&amp;"00"&amp;"',mode:absolute,to:'"&amp;TEXT(I255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255&amp;"%22')),sort:!(Time.ISO8601,asc))"</f>
        <v>https://d0f6bd738d7f1b3e5a7ca70fe4ff75f0.us-east-1.aws.found.io/app/kibana#/discover/Steve-Slow-Train-Analysis-(2080s-and-2083s)?_g=(refreshInterval:(display:Off,pause:!f,section:0,value:0),time:(from:'2017-10-18T12:11:28-0600',mode:absolute,to:'2017-10-18T14:28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55" s="204" t="str">
        <f>IF(AA255&lt;VLOOKUP(AG255,Variables!$AC$3:$AD$8,2,FALSE),"Y","N")</f>
        <v>Y</v>
      </c>
      <c r="X255" s="204">
        <f>VALUE(LEFT(AD255,4))-VALUE(LEFT(AD254,4))</f>
        <v>1</v>
      </c>
      <c r="Y255" s="204">
        <f>RIGHT(D255,LEN(D255)-4)/10000</f>
        <v>2.2174</v>
      </c>
      <c r="Z255" s="204">
        <f>RIGHT(H255,LEN(H255)-4)/10000</f>
        <v>0.1152</v>
      </c>
      <c r="AA255" s="204">
        <f>ABS(Z255-Y255)</f>
        <v>2.1021999999999998</v>
      </c>
      <c r="AB255" s="54" t="e">
        <f>VLOOKUP(A255,Enforcements!$C$7:$K$11,8,0)</f>
        <v>#N/A</v>
      </c>
      <c r="AC255" s="51" t="e">
        <f>VLOOKUP(A255,Enforcements!$C$7:$E$11,3,0)</f>
        <v>#N/A</v>
      </c>
      <c r="AD255" s="179">
        <f>VALUE(LEFT(A255,LEN(A255)-3))</f>
        <v>82</v>
      </c>
      <c r="AE255" s="77" t="str">
        <f>"aws s3 cp "&amp;s3_bucket&amp;"/RTDC"&amp;B255&amp;"/ "&amp;search_path&amp;"\RTDC"&amp;B255&amp;"\"&amp;TEXT(F255,"YYYY-MM-DD")&amp;" --exclude ""*"" --recursive --include ""*"&amp;TEXT(F255,"YYYYMMDD")&amp;"*"" &amp; """&amp;walkandungz&amp;""" "&amp;search_path&amp;"\RTDC"&amp;B255&amp;"\"&amp;TEXT(F255,"YYYY-MM-DD")
&amp;" &amp; "&amp;"aws s3 cp "&amp;s3_bucket&amp;"/RTDC"&amp;B255&amp;"/ "&amp;search_path&amp;"\RTDC"&amp;B255&amp;"\"&amp;TEXT(F255+1,"YYYY-MM-DD")&amp;" --exclude ""*"" --recursive --include ""*"&amp;TEXT(F255+1,"YYYYMMDD")&amp;"*"" &amp; """&amp;walkandungz&amp;""" "&amp;search_path&amp;"\RTDC"&amp;B255&amp;"\"&amp;TEXT(F255+1,"YYYY-MM-DD")</f>
        <v>aws s3 cp s3://rtdc.mdm.uploadarchive.raw/RTDC4059/ "%USERPROFILE%\AppData\Local\Temp\OnboardLogs"\RTDC4059\2017-10-18 --exclude "*" --recursive --include "*20171018*" &amp; "%USERPROFILE%\Documents\GitHub\mrs-test-scripts\Headless Mode &amp; Sideloading\WalkAndUnGZ.bat" "%USERPROFILE%\AppData\Local\Temp\OnboardLogs"\RTDC4059\2017-10-18 &amp; aws s3 cp s3://rtdc.mdm.uploadarchive.raw/RTDC4059/ "%USERPROFILE%\AppData\Local\Temp\OnboardLogs"\RTDC4059\2017-10-19 --exclude "*" --recursive --include "*20171019*" &amp; "%USERPROFILE%\Documents\GitHub\mrs-test-scripts\Headless Mode &amp; Sideloading\WalkAndUnGZ.bat" "%USERPROFILE%\AppData\Local\Temp\OnboardLogs"\RTDC4059\2017-10-19</v>
      </c>
      <c r="AF255" s="74" t="str">
        <f>astrogrep_path&amp;" /e /r /s /spath="&amp;search_path&amp;" /stypes=""app*"&amp;B255&amp;"*"&amp;TEXT(I255-utc_offset/24,"YYYYMMDD")&amp;"*"" /stext="" "&amp;TEXT(I255-utc_offset/24,"HH")&amp;search_regexp&amp;""""</f>
        <v>"C:\Program Files (x86)\AstroGrep\AstroGrep.exe" /e /r /s /spath="%USERPROFILE%\AppData\Local\Temp\OnboardLogs" /stypes="app*4059*20171018*" /stext=" 19:.+((SYSTEM_STATE.+slice.+state.+changed )|(ment ac)|(multiple cpu faults)|(system.+state.+changed )|(\[timeout)|(PRM\|1\|D)|(kpr)|(kdp)|(train st.+moving)|(\|lc)|(penalty))"</v>
      </c>
      <c r="AG255" s="182" t="str">
        <f>DetSubdiv(A255)</f>
        <v>Shuttle/Test</v>
      </c>
      <c r="AH255" s="78" t="str">
        <f t="shared" si="72"/>
        <v>"%USERPROFILE%\Documents\GitHub\eaglep3\Utilities\RefineRTDCRunTimes.py" --tripid 82-18 --locoid 4059 --swversion DE.1.0.9.0 --startMP 300:22174 --initTime 2017-10-18T13:11:28 --startdatetime 2017-10-18T13:19:44 --delay 78 --endMP 204:1152 --enddatetime 2017-10-18T13:28:16 --enforcementcount 0 &gt;&gt;%USERPROFILE%\Documents\GitHub\eaglep3-reporting\EC\2017-10-18-refined-times.txt</v>
      </c>
      <c r="AI255" s="96" t="str">
        <f t="shared" si="73"/>
        <v>echo {"issue":{"subject":"","project_id":79,"tracker_id":40,"status_id":1,"priority_id":2,"assigned_to_id":338,"start_date":"2017-10-18","description":"","custom_fields":[{"id":1,"name":"Subdivision","value":"Shuttle/Test"},{"id":4,"name":"Milepost","value":"0.1152"},{"id":17,"name":"Train ID","value":"82-18"},{"id":16,"name":"Locomotive ID","value":"4059"},{"id":130,"name":"Impact","value":""},{"id":150,"name":"Time of Event (Mountain Time)","value":"13:28:16"},{"id":151,"name":"Denver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5" s="47"/>
      <c r="AL255" s="47"/>
      <c r="AM255" s="142" t="str">
        <f t="shared" si="74"/>
        <v>start /low /b %USERPROFILE%\Documents\GitHub\eaglep3\Utilities\DownloadLogsFromS3.py --loco 4059 --day 2017-10-18</v>
      </c>
      <c r="AN255" s="151" t="str">
        <f t="shared" si="7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19:28:16"},{"id":29,"name":"Sharepoint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 s="168" t="str">
        <f t="shared" si="76"/>
        <v>https://d0f6bd738d7f1b3e5a7ca70fe4ff75f0.us-east-1.aws.found.io/app/kibana#/discover/Steve-Slow-Train-Analysis-(2080s-and-2083s)?_g=(refreshInterval:(display:Off,pause:!f,section:0,value:0),time:(from:'2017-10-18T12:11:28-0600',mode:absolute,to:'2017-10-18T14:28:16-0600'))&amp;_a=(columns:!('Message%20ID',Summary),filters:!(),index:'emp_*',interval:auto,query:(query_string:(analyze_wildcard:!t,query:'%22rtdc.l.rtdc.4059%22')),sort:!(Time.ISO8601,asc))</v>
      </c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9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9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M338"/>
      <c r="AO338"/>
    </row>
    <row r="339" spans="1:9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M339"/>
      <c r="AO339"/>
    </row>
    <row r="340" spans="1:9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9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9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4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4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4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4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4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4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4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4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4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4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4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4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4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4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4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4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9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9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9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9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  <row r="381" spans="1:9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9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4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4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4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4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4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4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4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4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4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4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</sheetData>
  <autoFilter ref="A12:AG389">
    <sortState ref="A13:AG389">
      <sortCondition ref="AG13:AG255"/>
      <sortCondition ref="AD13:AD255"/>
    </sortState>
  </autoFilter>
  <sortState ref="A13:AN294">
    <sortCondition ref="AG13:AG294"/>
    <sortCondition ref="AD13:AD294"/>
  </sortState>
  <mergeCells count="1">
    <mergeCell ref="A11:P11"/>
  </mergeCells>
  <conditionalFormatting sqref="W11:W12 W395:X1048576 W13:X255">
    <cfRule type="cellIs" dxfId="12" priority="457" operator="equal">
      <formula>"Y"</formula>
    </cfRule>
  </conditionalFormatting>
  <conditionalFormatting sqref="X395:X1048576 X13:X255">
    <cfRule type="cellIs" dxfId="11" priority="440" operator="greaterThan">
      <formula>1</formula>
    </cfRule>
  </conditionalFormatting>
  <conditionalFormatting sqref="X395:X1048576 X12:X255">
    <cfRule type="cellIs" dxfId="10" priority="437" operator="equal">
      <formula>0</formula>
    </cfRule>
  </conditionalFormatting>
  <conditionalFormatting sqref="A13:S255">
    <cfRule type="expression" dxfId="9" priority="431" stopIfTrue="1">
      <formula>$P13&gt;0</formula>
    </cfRule>
    <cfRule type="expression" dxfId="8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A13:S255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AK13:AK255</xm:sqref>
        </x14:dataValidation>
        <x14:dataValidation type="list" allowBlank="1" showInputMessage="1" showErrorMessage="1">
          <x14:formula1>
            <xm:f>'Redmine List Values'!$C$2:$C$15</xm:f>
          </x14:formula1>
          <xm:sqref>AL13:AL255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8"/>
  <sheetViews>
    <sheetView topLeftCell="A2" zoomScaleNormal="100" workbookViewId="0">
      <selection activeCell="P17" sqref="P17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COUNTIF($O$7:$O$242,"=Y")</f>
        <v>7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COUNTA($O$7:$O$242)-O2</f>
        <v>45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5" t="str">
        <f>"Eagle P3 Braking Events - "&amp;TEXT(Variables!$A$2,"YYYY-mm-dd")</f>
        <v>Eagle P3 Braking Events - 2017-10-18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352</v>
      </c>
      <c r="X6" s="181" t="s">
        <v>345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43026.661273148151</v>
      </c>
      <c r="B7" s="30" t="s">
        <v>580</v>
      </c>
      <c r="C7" s="30" t="s">
        <v>581</v>
      </c>
      <c r="D7" s="30" t="s">
        <v>49</v>
      </c>
      <c r="E7" s="30" t="s">
        <v>185</v>
      </c>
      <c r="F7" s="42">
        <v>0</v>
      </c>
      <c r="G7" s="42">
        <v>237</v>
      </c>
      <c r="H7" s="42">
        <v>26855</v>
      </c>
      <c r="I7" s="42">
        <v>27202</v>
      </c>
      <c r="J7" s="30" t="s">
        <v>186</v>
      </c>
      <c r="K7" s="42">
        <v>27053</v>
      </c>
      <c r="L7" s="131" t="s">
        <v>50</v>
      </c>
      <c r="M7" s="132">
        <f>CONVERT((I7-K7)/10000,"mi","ft")*IF(L7="Increasing Mileposts (1)",-1,1)</f>
        <v>-78.671999999999997</v>
      </c>
      <c r="N7" s="133" t="str">
        <f>VLOOKUP(C7,'Trips&amp;Operators'!$C$1:$G$99911,5,FALSE)</f>
        <v>BERLING GARY</v>
      </c>
      <c r="O7" s="176" t="s">
        <v>178</v>
      </c>
      <c r="P7" s="134" t="s">
        <v>356</v>
      </c>
      <c r="Q7" s="30"/>
      <c r="R7" s="81" t="str">
        <f>VLOOKUP(C7,'Train Runs'!$A$13:$AE$10048,31,0)</f>
        <v>aws s3 cp s3://rtdc.mdm.uploadarchive.raw/RTDC4056/ "%USERPROFILE%\AppData\Local\Temp\OnboardLogs"\RTDC4056\2017-10-18 --exclude "*" --recursive --include "*20171018*" &amp; "%USERPROFILE%\Documents\GitHub\mrs-test-scripts\Headless Mode &amp; Sideloading\WalkAndUnGZ.bat" "%USERPROFILE%\AppData\Local\Temp\OnboardLogs"\RTDC4056\2017-10-18 &amp; aws s3 cp s3://rtdc.mdm.uploadarchive.raw/RTDC4056/ "%USERPROFILE%\AppData\Local\Temp\OnboardLogs"\RTDC4056\2017-10-19 --exclude "*" --recursive --include "*20171019*" &amp; "%USERPROFILE%\Documents\GitHub\mrs-test-scripts\Headless Mode &amp; Sideloading\WalkAndUnGZ.bat" "%USERPROFILE%\AppData\Local\Temp\OnboardLogs"\RTDC4056\2017-10-19</v>
      </c>
      <c r="S7" s="84" t="str">
        <f>VLOOKUP(C7,'Train Runs'!$A$13:$AE$10048,22,0)</f>
        <v>https://d0f6bd738d7f1b3e5a7ca70fe4ff75f0.us-east-1.aws.found.io/app/kibana#/discover/Steve-Slow-Train-Analysis-(2080s-and-2083s)?_g=(refreshInterval:(display:Off,pause:!f,section:0,value:0),time:(from:'2017-10-18T14:39:43-0600',mode:absolute,to:'2017-10-18T17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/stypes="*4056*201710182*" /stext=" 21:.+((SYSTEM_STATE.+slice.+state.+changed )|(ment ac)|(multiple cpu faults)|(system.+state.+changed )|(\[timeout)|(PRM\|1\|D)|(kpr)|(kdp)|(train st.+moving)|(\|lc)|(penalty))"</v>
      </c>
      <c r="U7" s="9" t="str">
        <f>MID(B7,13,4)</f>
        <v>4056</v>
      </c>
      <c r="V7" s="31">
        <f>A7-utc_offset/24</f>
        <v>43026.911273148151</v>
      </c>
      <c r="W7" s="45" t="str">
        <f>DetSubdiv(C7)</f>
        <v>EC</v>
      </c>
      <c r="X7" s="22">
        <f>VALUE(LEFT(C7,LEN(C7)-3))</f>
        <v>197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Arrival","project_id":79,"tracker_id":40,"status_id":1,"priority_id":2,"assigned_to_id":338,"start_date":"2017-10-18","description":"","custom_fields":[{"id":1,"name":"Subdivision","value":"EC"},{"id":4,"name":"Milepost","value":"2.7053"},{"id":17,"name":"Train ID","value":"197-18"},{"id":16,"name":"Locomotive ID","value":"4056"},{"id":130,"name":"Impact","value":""},{"id":150,"name":"Time of Event (Mountain Time)","value":"15:52:14"},{"id":151,"name":"Denver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/c/Users/stu/AppData/Local/Temp/OnboardLogs/RTDC4056 --include="*4056*201710182*"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"%USERPROFILE%\AppData\Local\Temp\OnboardLogs"\RTDC4056\*4056*201710182* &gt;&gt; 2017-10-18-SliceDisagreementCheck.txt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4056 --day 2017-10-18</v>
      </c>
    </row>
    <row r="8" spans="1:32" s="1" customFormat="1" x14ac:dyDescent="0.3">
      <c r="A8" s="31">
        <v>43026.718171296299</v>
      </c>
      <c r="B8" s="30" t="s">
        <v>390</v>
      </c>
      <c r="C8" s="30" t="s">
        <v>584</v>
      </c>
      <c r="D8" s="30" t="s">
        <v>95</v>
      </c>
      <c r="E8" s="30" t="s">
        <v>185</v>
      </c>
      <c r="F8" s="42">
        <v>0</v>
      </c>
      <c r="G8" s="42">
        <v>121</v>
      </c>
      <c r="H8" s="42">
        <v>27349</v>
      </c>
      <c r="I8" s="42">
        <v>27222</v>
      </c>
      <c r="J8" s="30" t="s">
        <v>186</v>
      </c>
      <c r="K8" s="42">
        <v>27350</v>
      </c>
      <c r="L8" s="131" t="s">
        <v>51</v>
      </c>
      <c r="M8" s="132">
        <f>CONVERT((I8-K8)/10000,"mi","ft")*IF(L8="Increasing Mileposts (1)",-1,1)</f>
        <v>-67.584000000000003</v>
      </c>
      <c r="N8" s="133" t="str">
        <f>VLOOKUP(C8,'Trips&amp;Operators'!$C$1:$G$99911,5,FALSE)</f>
        <v>BERLING GARY</v>
      </c>
      <c r="O8" s="176" t="s">
        <v>178</v>
      </c>
      <c r="P8" s="134" t="s">
        <v>356</v>
      </c>
      <c r="Q8" s="30"/>
      <c r="R8" s="81" t="str">
        <f>VLOOKUP(C8,'Train Runs'!$A$13:$AE$10048,31,0)</f>
        <v>aws s3 cp s3://rtdc.mdm.uploadarchive.raw/RTDC4055/ "%USERPROFILE%\AppData\Local\Temp\OnboardLogs"\RTDC4055\2017-10-18 --exclude "*" --recursive --include "*20171018*" &amp; "%USERPROFILE%\Documents\GitHub\mrs-test-scripts\Headless Mode &amp; Sideloading\WalkAndUnGZ.bat" "%USERPROFILE%\AppData\Local\Temp\OnboardLogs"\RTDC4055\2017-10-18 &amp; aws s3 cp s3://rtdc.mdm.uploadarchive.raw/RTDC4055/ "%USERPROFILE%\AppData\Local\Temp\OnboardLogs"\RTDC4055\2017-10-19 --exclude "*" --recursive --include "*20171019*" &amp; "%USERPROFILE%\Documents\GitHub\mrs-test-scripts\Headless Mode &amp; Sideloading\WalkAndUnGZ.bat" "%USERPROFILE%\AppData\Local\Temp\OnboardLogs"\RTDC4055\2017-10-19</v>
      </c>
      <c r="S8" s="84" t="str">
        <f>VLOOKUP(C8,'Train Runs'!$A$13:$AE$10048,22,0)</f>
        <v>https://d0f6bd738d7f1b3e5a7ca70fe4ff75f0.us-east-1.aws.found.io/app/kibana#/discover/Steve-Slow-Train-Analysis-(2080s-and-2083s)?_g=(refreshInterval:(display:Off,pause:!f,section:0,value:0),time:(from:'2017-10-18T14:39:43-0600',mode:absolute,to:'2017-10-18T18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/stypes="*4055*201710182*" /stext=" 23:.+((SYSTEM_STATE.+slice.+state.+changed )|(ment ac)|(multiple cpu faults)|(system.+state.+changed )|(\[timeout)|(PRM\|1\|D)|(kpr)|(kdp)|(train st.+moving)|(\|lc)|(penalty))"</v>
      </c>
      <c r="U8" s="9" t="str">
        <f>MID(B8,13,4)</f>
        <v>4055</v>
      </c>
      <c r="V8" s="31">
        <f>A8-utc_offset/24</f>
        <v>43026.968171296299</v>
      </c>
      <c r="W8" s="45" t="str">
        <f>DetSubdiv(C8)</f>
        <v>EC</v>
      </c>
      <c r="X8" s="22">
        <f>VALUE(LEFT(C8,LEN(C8)-3))</f>
        <v>198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Arrival","project_id":79,"tracker_id":40,"status_id":1,"priority_id":2,"assigned_to_id":338,"start_date":"2017-10-18","description":"","custom_fields":[{"id":1,"name":"Subdivision","value":"EC"},{"id":4,"name":"Milepost","value":"2.735"},{"id":17,"name":"Train ID","value":"198-18"},{"id":16,"name":"Locomotive ID","value":"4055"},{"id":130,"name":"Impact","value":""},{"id":150,"name":"Time of Event (Mountain Time)","value":"17:14:10"},{"id":151,"name":"Denver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/c/Users/stu/AppData/Local/Temp/OnboardLogs/RTDC4055 --include="*4055*201710182*"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"%USERPROFILE%\AppData\Local\Temp\OnboardLogs"\RTDC4055\*4055*201710182* &gt;&gt; 2017-10-18-SliceDisagreementCheck.txt</v>
      </c>
      <c r="AE8" s="145" t="str">
        <f t="shared" ref="AE8:AE58" si="1">"start /low /b "&amp;dls3logs&amp;" --loco "&amp;U8&amp;" --day "&amp;TEXT(V8,"YYYY-MM-DD")</f>
        <v>start /low /b %USERPROFILE%\Documents\GitHub\eaglep3\Utilities\DownloadLogsFromS3.py --loco 4055 --day 2017-10-18</v>
      </c>
    </row>
    <row r="9" spans="1:32" s="1" customFormat="1" x14ac:dyDescent="0.3">
      <c r="A9" s="31">
        <v>43026.278692129628</v>
      </c>
      <c r="B9" s="30" t="s">
        <v>390</v>
      </c>
      <c r="C9" s="30" t="s">
        <v>552</v>
      </c>
      <c r="D9" s="30" t="s">
        <v>49</v>
      </c>
      <c r="E9" s="30" t="s">
        <v>185</v>
      </c>
      <c r="F9" s="42">
        <v>0</v>
      </c>
      <c r="G9" s="42">
        <v>216</v>
      </c>
      <c r="H9" s="42">
        <v>31031</v>
      </c>
      <c r="I9" s="42">
        <v>30755</v>
      </c>
      <c r="J9" s="30" t="s">
        <v>186</v>
      </c>
      <c r="K9" s="42">
        <v>30970</v>
      </c>
      <c r="L9" s="131" t="s">
        <v>51</v>
      </c>
      <c r="M9" s="132">
        <f>CONVERT((I9-K9)/10000,"mi","ft")*IF(L9="Increasing Mileposts (1)",-1,1)</f>
        <v>-113.52</v>
      </c>
      <c r="N9" s="133" t="str">
        <f>VLOOKUP(C9,'Trips&amp;Operators'!$C$1:$G$99911,5,FALSE)</f>
        <v>YANAI IAN</v>
      </c>
      <c r="O9" s="176" t="s">
        <v>178</v>
      </c>
      <c r="P9" s="134" t="s">
        <v>356</v>
      </c>
      <c r="Q9" s="30"/>
      <c r="R9" s="81" t="str">
        <f>VLOOKUP(C9,'Train Runs'!$A$13:$AE$10048,31,0)</f>
        <v>aws s3 cp s3://rtdc.mdm.uploadarchive.raw/RTDC4055/ "%USERPROFILE%\AppData\Local\Temp\OnboardLogs"\RTDC4055\2017-10-18 --exclude "*" --recursive --include "*20171018*" &amp; "%USERPROFILE%\Documents\GitHub\mrs-test-scripts\Headless Mode &amp; Sideloading\WalkAndUnGZ.bat" "%USERPROFILE%\AppData\Local\Temp\OnboardLogs"\RTDC4055\2017-10-18 &amp; aws s3 cp s3://rtdc.mdm.uploadarchive.raw/RTDC4055/ "%USERPROFILE%\AppData\Local\Temp\OnboardLogs"\RTDC4055\2017-10-19 --exclude "*" --recursive --include "*20171019*" &amp; "%USERPROFILE%\Documents\GitHub\mrs-test-scripts\Headless Mode &amp; Sideloading\WalkAndUnGZ.bat" "%USERPROFILE%\AppData\Local\Temp\OnboardLogs"\RTDC4055\2017-10-19</v>
      </c>
      <c r="S9" s="84" t="str">
        <f>VLOOKUP(C9,'Train Runs'!$A$13:$AE$10048,22,0)</f>
        <v>https://d0f6bd738d7f1b3e5a7ca70fe4ff75f0.us-east-1.aws.found.io/app/kibana#/discover/Steve-Slow-Train-Analysis-(2080s-and-2083s)?_g=(refreshInterval:(display:Off,pause:!f,section:0,value:0),time:(from:'2017-10-18T04:53:43-0600',mode:absolute,to:'2017-10-18T07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/stypes="*4055*201710181*" /stext=" 12:.+((SYSTEM_STATE.+slice.+state.+changed )|(ment ac)|(multiple cpu faults)|(system.+state.+changed )|(\[timeout)|(PRM\|1\|D)|(kpr)|(kdp)|(train st.+moving)|(\|lc)|(penalty))"</v>
      </c>
      <c r="U9" s="9" t="str">
        <f>MID(B9,13,4)</f>
        <v>4055</v>
      </c>
      <c r="V9" s="31">
        <f>A9-utc_offset/24</f>
        <v>43026.528692129628</v>
      </c>
      <c r="W9" s="45" t="str">
        <f>DetSubdiv(C9)</f>
        <v>EC</v>
      </c>
      <c r="X9" s="22">
        <f>VALUE(LEFT(C9,LEN(C9)-3))</f>
        <v>114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Arrival","project_id":79,"tracker_id":40,"status_id":1,"priority_id":2,"assigned_to_id":338,"start_date":"2017-10-18","description":"","custom_fields":[{"id":1,"name":"Subdivision","value":"EC"},{"id":4,"name":"Milepost","value":"3.097"},{"id":17,"name":"Train ID","value":"114-18"},{"id":16,"name":"Locomotive ID","value":"4055"},{"id":130,"name":"Impact","value":""},{"id":150,"name":"Time of Event (Mountain Time)","value":"06:41:19"},{"id":151,"name":"Denver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/c/Users/stu/AppData/Local/Temp/OnboardLogs/RTDC4055 --include="*4055*201710181*"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"%USERPROFILE%\AppData\Local\Temp\OnboardLogs"\RTDC4055\*4055*201710181* &gt;&gt; 2017-10-18-SliceDisagreementCheck.txt</v>
      </c>
      <c r="AE9" s="145" t="str">
        <f t="shared" si="1"/>
        <v>start /low /b %USERPROFILE%\Documents\GitHub\eaglep3\Utilities\DownloadLogsFromS3.py --loco 4055 --day 2017-10-18</v>
      </c>
    </row>
    <row r="10" spans="1:32" s="1" customFormat="1" x14ac:dyDescent="0.3">
      <c r="A10" s="31">
        <v>43026.577615740738</v>
      </c>
      <c r="B10" s="30" t="s">
        <v>461</v>
      </c>
      <c r="C10" s="30" t="s">
        <v>570</v>
      </c>
      <c r="D10" s="30" t="s">
        <v>95</v>
      </c>
      <c r="E10" s="30" t="s">
        <v>185</v>
      </c>
      <c r="F10" s="42">
        <v>380</v>
      </c>
      <c r="G10" s="42">
        <v>440</v>
      </c>
      <c r="H10" s="42">
        <v>58209</v>
      </c>
      <c r="I10" s="42">
        <v>56717</v>
      </c>
      <c r="J10" s="30" t="s">
        <v>186</v>
      </c>
      <c r="K10" s="42">
        <v>58301</v>
      </c>
      <c r="L10" s="131" t="s">
        <v>51</v>
      </c>
      <c r="M10" s="132">
        <f>CONVERT((I10-K10)/10000,"mi","ft")*IF(L10="Increasing Mileposts (1)",-1,1)</f>
        <v>-836.35199999999998</v>
      </c>
      <c r="N10" s="133" t="str">
        <f>VLOOKUP(C10,'Trips&amp;Operators'!$C$1:$G$99911,5,FALSE)</f>
        <v>NEWELL JAMES</v>
      </c>
      <c r="O10" s="176" t="s">
        <v>178</v>
      </c>
      <c r="P10" s="134" t="s">
        <v>356</v>
      </c>
      <c r="Q10" s="30"/>
      <c r="R10" s="81" t="str">
        <f>VLOOKUP(C10,'Train Runs'!$A$13:$AE$10048,31,0)</f>
        <v>aws s3 cp s3://rtdc.mdm.uploadarchive.raw/RTDC4019/ "%USERPROFILE%\AppData\Local\Temp\OnboardLogs"\RTDC4019\2017-10-18 --exclude "*" --recursive --include "*20171018*" &amp; "%USERPROFILE%\Documents\GitHub\mrs-test-scripts\Headless Mode &amp; Sideloading\WalkAndUnGZ.bat" "%USERPROFILE%\AppData\Local\Temp\OnboardLogs"\RTDC4019\2017-10-18 &amp; aws s3 cp s3://rtdc.mdm.uploadarchive.raw/RTDC4019/ "%USERPROFILE%\AppData\Local\Temp\OnboardLogs"\RTDC4019\2017-10-19 --exclude "*" --recursive --include "*20171019*" &amp; "%USERPROFILE%\Documents\GitHub\mrs-test-scripts\Headless Mode &amp; Sideloading\WalkAndUnGZ.bat" "%USERPROFILE%\AppData\Local\Temp\OnboardLogs"\RTDC4019\2017-10-19</v>
      </c>
      <c r="S10" s="84" t="str">
        <f>VLOOKUP(C10,'Train Runs'!$A$13:$AE$10048,22,0)</f>
        <v>https://d0f6bd738d7f1b3e5a7ca70fe4ff75f0.us-east-1.aws.found.io/app/kibana#/discover/Steve-Slow-Train-Analysis-(2080s-and-2083s)?_g=(refreshInterval:(display:Off,pause:!f,section:0,value:0),time:(from:'2017-10-18T12:07:48-0600',mode:absolute,to:'2017-10-18T15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/stypes="*4019*201710181*" /stext=" 19:.+((SYSTEM_STATE.+slice.+state.+changed )|(ment ac)|(multiple cpu faults)|(system.+state.+changed )|(\[timeout)|(PRM\|1\|D)|(kpr)|(kdp)|(train st.+moving)|(\|lc)|(penalty))"</v>
      </c>
      <c r="U10" s="9" t="str">
        <f>MID(B10,13,4)</f>
        <v>4019</v>
      </c>
      <c r="V10" s="31">
        <f>A10-utc_offset/24</f>
        <v>43026.827615740738</v>
      </c>
      <c r="W10" s="45" t="str">
        <f>DetSubdiv(C10)</f>
        <v>EC</v>
      </c>
      <c r="X10" s="22">
        <f>VALUE(LEFT(C10,LEN(C10)-3))</f>
        <v>172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Arrival","project_id":79,"tracker_id":40,"status_id":1,"priority_id":2,"assigned_to_id":338,"start_date":"2017-10-18","description":"","custom_fields":[{"id":1,"name":"Subdivision","value":"EC"},{"id":4,"name":"Milepost","value":"5.8301"},{"id":17,"name":"Train ID","value":"172-18"},{"id":16,"name":"Locomotive ID","value":"4019"},{"id":130,"name":"Impact","value":""},{"id":150,"name":"Time of Event (Mountain Time)","value":"13:51:46"},{"id":151,"name":"Denver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/c/Users/stu/AppData/Local/Temp/OnboardLogs/RTDC4019 --include="*4019*201710181*"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"%USERPROFILE%\AppData\Local\Temp\OnboardLogs"\RTDC4019\*4019*201710181* &gt;&gt; 2017-10-18-SliceDisagreementCheck.txt</v>
      </c>
      <c r="AE10" s="145" t="str">
        <f t="shared" si="1"/>
        <v>start /low /b %USERPROFILE%\Documents\GitHub\eaglep3\Utilities\DownloadLogsFromS3.py --loco 4019 --day 2017-10-18</v>
      </c>
    </row>
    <row r="11" spans="1:32" s="1" customFormat="1" x14ac:dyDescent="0.3">
      <c r="A11" s="31">
        <v>43026.46733796296</v>
      </c>
      <c r="B11" s="30" t="s">
        <v>563</v>
      </c>
      <c r="C11" s="30" t="s">
        <v>564</v>
      </c>
      <c r="D11" s="30" t="s">
        <v>49</v>
      </c>
      <c r="E11" s="30" t="s">
        <v>185</v>
      </c>
      <c r="F11" s="42">
        <v>0</v>
      </c>
      <c r="G11" s="42">
        <v>288</v>
      </c>
      <c r="H11" s="42">
        <v>62848</v>
      </c>
      <c r="I11" s="42">
        <v>63303</v>
      </c>
      <c r="J11" s="30" t="s">
        <v>186</v>
      </c>
      <c r="K11" s="42">
        <v>63069</v>
      </c>
      <c r="L11" s="131" t="s">
        <v>50</v>
      </c>
      <c r="M11" s="132">
        <f>CONVERT((I11-K11)/10000,"mi","ft")*IF(L11="Increasing Mileposts (1)",-1,1)</f>
        <v>-123.55200000000001</v>
      </c>
      <c r="N11" s="133" t="str">
        <f>VLOOKUP(C11,'Trips&amp;Operators'!$C$1:$G$99911,5,FALSE)</f>
        <v>FORTUNATO FRANK</v>
      </c>
      <c r="O11" s="176" t="s">
        <v>178</v>
      </c>
      <c r="P11" s="134" t="s">
        <v>356</v>
      </c>
      <c r="Q11" s="30"/>
      <c r="R11" s="81" t="str">
        <f>VLOOKUP(C11,'Train Runs'!$A$13:$AE$10048,31,0)</f>
        <v>aws s3 cp s3://rtdc.mdm.uploadarchive.raw/RTDC4062/ "%USERPROFILE%\AppData\Local\Temp\OnboardLogs"\RTDC4062\2017-10-18 --exclude "*" --recursive --include "*20171018*" &amp; "%USERPROFILE%\Documents\GitHub\mrs-test-scripts\Headless Mode &amp; Sideloading\WalkAndUnGZ.bat" "%USERPROFILE%\AppData\Local\Temp\OnboardLogs"\RTDC4062\2017-10-18 &amp; aws s3 cp s3://rtdc.mdm.uploadarchive.raw/RTDC4062/ "%USERPROFILE%\AppData\Local\Temp\OnboardLogs"\RTDC4062\2017-10-19 --exclude "*" --recursive --include "*20171019*" &amp; "%USERPROFILE%\Documents\GitHub\mrs-test-scripts\Headless Mode &amp; Sideloading\WalkAndUnGZ.bat" "%USERPROFILE%\AppData\Local\Temp\OnboardLogs"\RTDC4062\2017-10-19</v>
      </c>
      <c r="S11" s="84" t="str">
        <f>VLOOKUP(C11,'Train Runs'!$A$13:$AE$10048,22,0)</f>
        <v>https://d0f6bd738d7f1b3e5a7ca70fe4ff75f0.us-east-1.aws.found.io/app/kibana#/discover/Steve-Slow-Train-Analysis-(2080s-and-2083s)?_g=(refreshInterval:(display:Off,pause:!f,section:0,value:0),time:(from:'2017-10-18T09:53:00-0600',mode:absolute,to:'2017-10-18T12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/stypes="*4062*201710181*" /stext=" 17:.+((SYSTEM_STATE.+slice.+state.+changed )|(ment ac)|(multiple cpu faults)|(system.+state.+changed )|(\[timeout)|(PRM\|1\|D)|(kpr)|(kdp)|(train st.+moving)|(\|lc)|(penalty))"</v>
      </c>
      <c r="U11" s="9" t="str">
        <f>MID(B11,13,4)</f>
        <v>4062</v>
      </c>
      <c r="V11" s="31">
        <f>A11-utc_offset/24</f>
        <v>43026.71733796296</v>
      </c>
      <c r="W11" s="45" t="str">
        <f>DetSubdiv(C11)</f>
        <v>EC</v>
      </c>
      <c r="X11" s="22">
        <f>VALUE(LEFT(C11,LEN(C11)-3))</f>
        <v>159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Arrival","project_id":79,"tracker_id":40,"status_id":1,"priority_id":2,"assigned_to_id":338,"start_date":"2017-10-18","description":"","custom_fields":[{"id":1,"name":"Subdivision","value":"EC"},{"id":4,"name":"Milepost","value":"6.3069"},{"id":17,"name":"Train ID","value":"159-18"},{"id":16,"name":"Locomotive ID","value":"4062"},{"id":130,"name":"Impact","value":""},{"id":150,"name":"Time of Event (Mountain Time)","value":"11:12:58"},{"id":151,"name":"Denver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/c/Users/stu/AppData/Local/Temp/OnboardLogs/RTDC4062 --include="*4062*201710181*"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"%USERPROFILE%\AppData\Local\Temp\OnboardLogs"\RTDC4062\*4062*201710181* &gt;&gt; 2017-10-18-SliceDisagreementCheck.txt</v>
      </c>
      <c r="AE11" s="145" t="str">
        <f t="shared" si="1"/>
        <v>start /low /b %USERPROFILE%\Documents\GitHub\eaglep3\Utilities\DownloadLogsFromS3.py --loco 4062 --day 2017-10-18</v>
      </c>
    </row>
    <row r="12" spans="1:32" x14ac:dyDescent="0.3">
      <c r="A12" s="31">
        <v>43026.613078703704</v>
      </c>
      <c r="B12" s="30" t="s">
        <v>563</v>
      </c>
      <c r="C12" s="30" t="s">
        <v>575</v>
      </c>
      <c r="D12" s="30" t="s">
        <v>49</v>
      </c>
      <c r="E12" s="30" t="s">
        <v>185</v>
      </c>
      <c r="F12" s="42">
        <v>540</v>
      </c>
      <c r="G12" s="42">
        <v>618</v>
      </c>
      <c r="H12" s="42">
        <v>61412</v>
      </c>
      <c r="I12" s="42">
        <v>63546</v>
      </c>
      <c r="J12" s="30" t="s">
        <v>186</v>
      </c>
      <c r="K12" s="42">
        <v>63069</v>
      </c>
      <c r="L12" s="131" t="s">
        <v>50</v>
      </c>
      <c r="M12" s="132">
        <f>CONVERT((I12-K12)/10000,"mi","ft")*IF(L12="Increasing Mileposts (1)",-1,1)</f>
        <v>-251.85599999999999</v>
      </c>
      <c r="N12" s="133" t="str">
        <f>VLOOKUP(C12,'Trips&amp;Operators'!$C$1:$G$99911,5,FALSE)</f>
        <v>HOLCOMB KAMDEN</v>
      </c>
      <c r="O12" s="176" t="s">
        <v>178</v>
      </c>
      <c r="P12" s="134" t="s">
        <v>356</v>
      </c>
      <c r="Q12" s="30"/>
      <c r="R12" s="81" t="str">
        <f>VLOOKUP(C12,'Train Runs'!$A$13:$AE$10048,31,0)</f>
        <v>aws s3 cp s3://rtdc.mdm.uploadarchive.raw/RTDC4062/ "%USERPROFILE%\AppData\Local\Temp\OnboardLogs"\RTDC4062\2017-10-18 --exclude "*" --recursive --include "*20171018*" &amp; "%USERPROFILE%\Documents\GitHub\mrs-test-scripts\Headless Mode &amp; Sideloading\WalkAndUnGZ.bat" "%USERPROFILE%\AppData\Local\Temp\OnboardLogs"\RTDC4062\2017-10-18 &amp; aws s3 cp s3://rtdc.mdm.uploadarchive.raw/RTDC4062/ "%USERPROFILE%\AppData\Local\Temp\OnboardLogs"\RTDC4062\2017-10-19 --exclude "*" --recursive --include "*20171019*" &amp; "%USERPROFILE%\Documents\GitHub\mrs-test-scripts\Headless Mode &amp; Sideloading\WalkAndUnGZ.bat" "%USERPROFILE%\AppData\Local\Temp\OnboardLogs"\RTDC4062\2017-10-19</v>
      </c>
      <c r="S12" s="84" t="str">
        <f>VLOOKUP(C12,'Train Runs'!$A$13:$AE$10048,22,0)</f>
        <v>https://d0f6bd738d7f1b3e5a7ca70fe4ff75f0.us-east-1.aws.found.io/app/kibana#/discover/Steve-Slow-Train-Analysis-(2080s-and-2083s)?_g=(refreshInterval:(display:Off,pause:!f,section:0,value:0),time:(from:'2017-10-18T13:23:45-0600',mode:absolute,to:'2017-10-18T16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/stypes="*4062*201710182*" /stext=" 20:.+((SYSTEM_STATE.+slice.+state.+changed )|(ment ac)|(multiple cpu faults)|(system.+state.+changed )|(\[timeout)|(PRM\|1\|D)|(kpr)|(kdp)|(train st.+moving)|(\|lc)|(penalty))"</v>
      </c>
      <c r="U12" s="9" t="str">
        <f>MID(B12,13,4)</f>
        <v>4062</v>
      </c>
      <c r="V12" s="31">
        <f>A12-utc_offset/24</f>
        <v>43026.863078703704</v>
      </c>
      <c r="W12" s="45" t="str">
        <f>DetSubdiv(C12)</f>
        <v>EC</v>
      </c>
      <c r="X12" s="22">
        <f>VALUE(LEFT(C12,LEN(C12)-3))</f>
        <v>187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Arrival","project_id":79,"tracker_id":40,"status_id":1,"priority_id":2,"assigned_to_id":338,"start_date":"2017-10-18","description":"","custom_fields":[{"id":1,"name":"Subdivision","value":"EC"},{"id":4,"name":"Milepost","value":"6.3069"},{"id":17,"name":"Train ID","value":"187-18"},{"id":16,"name":"Locomotive ID","value":"4062"},{"id":130,"name":"Impact","value":""},{"id":150,"name":"Time of Event (Mountain Time)","value":"14:42:50"},{"id":151,"name":"Denver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/c/Users/stu/AppData/Local/Temp/OnboardLogs/RTDC4062 --include="*4062*201710182*"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"%USERPROFILE%\AppData\Local\Temp\OnboardLogs"\RTDC4062\*4062*201710182* &gt;&gt; 2017-10-18-SliceDisagreementCheck.txt</v>
      </c>
      <c r="AE12" s="145" t="str">
        <f t="shared" si="1"/>
        <v>start /low /b %USERPROFILE%\Documents\GitHub\eaglep3\Utilities\DownloadLogsFromS3.py --loco 4062 --day 2017-10-18</v>
      </c>
      <c r="AF12" s="1"/>
    </row>
    <row r="13" spans="1:32" x14ac:dyDescent="0.3">
      <c r="A13" s="31">
        <v>43026.292754629627</v>
      </c>
      <c r="B13" s="30" t="s">
        <v>461</v>
      </c>
      <c r="C13" s="30" t="s">
        <v>555</v>
      </c>
      <c r="D13" s="30" t="s">
        <v>49</v>
      </c>
      <c r="E13" s="30" t="s">
        <v>192</v>
      </c>
      <c r="F13" s="42">
        <v>300</v>
      </c>
      <c r="G13" s="42">
        <v>382</v>
      </c>
      <c r="H13" s="42">
        <v>22964</v>
      </c>
      <c r="I13" s="42">
        <v>21967</v>
      </c>
      <c r="J13" s="30" t="s">
        <v>193</v>
      </c>
      <c r="K13" s="42">
        <v>21848</v>
      </c>
      <c r="L13" s="131" t="s">
        <v>51</v>
      </c>
      <c r="M13" s="132">
        <f>CONVERT((I13-K13)/10000,"mi","ft")*IF(L13="Increasing Mileposts (1)",-1,1)</f>
        <v>62.832000000000001</v>
      </c>
      <c r="N13" s="133" t="str">
        <f>VLOOKUP(C13,'Trips&amp;Operators'!$C$1:$G$99911,5,FALSE)</f>
        <v>THOMPSON LESTER</v>
      </c>
      <c r="O13" s="176" t="s">
        <v>178</v>
      </c>
      <c r="P13" s="134"/>
      <c r="Q13" s="30"/>
      <c r="R13" s="81" t="str">
        <f>VLOOKUP(C13,'Train Runs'!$A$13:$AE$10048,31,0)</f>
        <v>aws s3 cp s3://rtdc.mdm.uploadarchive.raw/RTDC4019/ "%USERPROFILE%\AppData\Local\Temp\OnboardLogs"\RTDC4019\2017-10-18 --exclude "*" --recursive --include "*20171018*" &amp; "%USERPROFILE%\Documents\GitHub\mrs-test-scripts\Headless Mode &amp; Sideloading\WalkAndUnGZ.bat" "%USERPROFILE%\AppData\Local\Temp\OnboardLogs"\RTDC4019\2017-10-18 &amp; aws s3 cp s3://rtdc.mdm.uploadarchive.raw/RTDC4019/ "%USERPROFILE%\AppData\Local\Temp\OnboardLogs"\RTDC4019\2017-10-19 --exclude "*" --recursive --include "*20171019*" &amp; "%USERPROFILE%\Documents\GitHub\mrs-test-scripts\Headless Mode &amp; Sideloading\WalkAndUnGZ.bat" "%USERPROFILE%\AppData\Local\Temp\OnboardLogs"\RTDC4019\2017-10-19</v>
      </c>
      <c r="S13" s="84" t="str">
        <f>VLOOKUP(C13,'Train Runs'!$A$13:$AE$10048,22,0)</f>
        <v>https://d0f6bd738d7f1b3e5a7ca70fe4ff75f0.us-east-1.aws.found.io/app/kibana#/discover/Steve-Slow-Train-Analysis-(2080s-and-2083s)?_g=(refreshInterval:(display:Off,pause:!f,section:0,value:0),time:(from:'2017-10-18T05:26:07-0600',mode:absolute,to:'2017-10-18T08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/stypes="*4019*201710181*" /stext=" 13:.+((SYSTEM_STATE.+slice.+state.+changed )|(ment ac)|(multiple cpu faults)|(system.+state.+changed )|(\[timeout)|(PRM\|1\|D)|(kpr)|(kdp)|(train st.+moving)|(\|lc)|(penalty))"</v>
      </c>
      <c r="U13" s="9" t="str">
        <f>MID(B13,13,4)</f>
        <v>4019</v>
      </c>
      <c r="V13" s="31">
        <f>A13-utc_offset/24</f>
        <v>43026.542754629627</v>
      </c>
      <c r="W13" s="45" t="str">
        <f>DetSubdiv(C13)</f>
        <v>EC</v>
      </c>
      <c r="X13" s="22">
        <f>VALUE(LEFT(C13,LEN(C13)-3))</f>
        <v>116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{"issue":{"subject":"","project_id":79,"tracker_id":40,"status_id":1,"priority_id":2,"assigned_to_id":338,"start_date":"2017-10-18","description":"","custom_fields":[{"id":1,"name":"Subdivision","value":"EC"},{"id":4,"name":"Milepost","value":"2.1848"},{"id":17,"name":"Train ID","value":"116-18"},{"id":16,"name":"Locomotive ID","value":"4019"},{"id":130,"name":"Impact","value":""},{"id":150,"name":"Time of Event (Mountain Time)","value":"07:01:34"},{"id":151,"name":"Denver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/c/Users/stu/AppData/Local/Temp/OnboardLogs/RTDC4019 --include="*4019*201710181*"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"%USERPROFILE%\AppData\Local\Temp\OnboardLogs"\RTDC4019\*4019*201710181* &gt;&gt; 2017-10-18-SliceDisagreementCheck.txt</v>
      </c>
      <c r="AE13" s="145" t="str">
        <f t="shared" si="1"/>
        <v>start /low /b %USERPROFILE%\Documents\GitHub\eaglep3\Utilities\DownloadLogsFromS3.py --loco 4019 --day 2017-10-18</v>
      </c>
      <c r="AF13" s="1"/>
    </row>
    <row r="14" spans="1:32" x14ac:dyDescent="0.3">
      <c r="A14" s="31">
        <v>43026.936712962961</v>
      </c>
      <c r="B14" s="30" t="s">
        <v>431</v>
      </c>
      <c r="C14" s="30" t="s">
        <v>591</v>
      </c>
      <c r="D14" s="30" t="s">
        <v>49</v>
      </c>
      <c r="E14" s="30" t="s">
        <v>192</v>
      </c>
      <c r="F14" s="42">
        <v>300</v>
      </c>
      <c r="G14" s="42">
        <v>439</v>
      </c>
      <c r="H14" s="42">
        <v>23517</v>
      </c>
      <c r="I14" s="42">
        <v>22390</v>
      </c>
      <c r="J14" s="30" t="s">
        <v>193</v>
      </c>
      <c r="K14" s="42">
        <v>21848</v>
      </c>
      <c r="L14" s="131" t="s">
        <v>51</v>
      </c>
      <c r="M14" s="132">
        <f>CONVERT((I14-K14)/10000,"mi","ft")*IF(L14="Increasing Mileposts (1)",-1,1)</f>
        <v>286.17599999999999</v>
      </c>
      <c r="N14" s="133" t="str">
        <f>VLOOKUP(C14,'Trips&amp;Operators'!$C$1:$G$99911,5,FALSE)</f>
        <v>RESPASS AARON</v>
      </c>
      <c r="O14" s="176" t="s">
        <v>178</v>
      </c>
      <c r="P14" s="134"/>
      <c r="Q14" s="30"/>
      <c r="R14" s="81" t="str">
        <f>VLOOKUP(C14,'Train Runs'!$A$13:$AE$10048,31,0)</f>
        <v>aws s3 cp s3://rtdc.mdm.uploadarchive.raw/RTDC4025/ "%USERPROFILE%\AppData\Local\Temp\OnboardLogs"\RTDC4025\2017-10-18 --exclude "*" --recursive --include "*20171018*" &amp; "%USERPROFILE%\Documents\GitHub\mrs-test-scripts\Headless Mode &amp; Sideloading\WalkAndUnGZ.bat" "%USERPROFILE%\AppData\Local\Temp\OnboardLogs"\RTDC4025\2017-10-18 &amp; aws s3 cp s3://rtdc.mdm.uploadarchive.raw/RTDC4025/ "%USERPROFILE%\AppData\Local\Temp\OnboardLogs"\RTDC4025\2017-10-19 --exclude "*" --recursive --include "*20171019*" &amp; "%USERPROFILE%\Documents\GitHub\mrs-test-scripts\Headless Mode &amp; Sideloading\WalkAndUnGZ.bat" "%USERPROFILE%\AppData\Local\Temp\OnboardLogs"\RTDC4025\2017-10-19</v>
      </c>
      <c r="S14" s="84" t="str">
        <f>VLOOKUP(C14,'Train Runs'!$A$13:$AE$10048,22,0)</f>
        <v>https://d0f6bd738d7f1b3e5a7ca70fe4ff75f0.us-east-1.aws.found.io/app/kibana#/discover/Steve-Slow-Train-Analysis-(2080s-and-2083s)?_g=(refreshInterval:(display:Off,pause:!f,section:0,value:0),time:(from:'2017-10-18T20:53:13-0600',mode:absolute,to:'2017-10-18T23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/stypes="*4025*201710190*" /stext=" 04:.+((SYSTEM_STATE.+slice.+state.+changed )|(ment ac)|(multiple cpu faults)|(system.+state.+changed )|(\[timeout)|(PRM\|1\|D)|(kpr)|(kdp)|(train st.+moving)|(\|lc)|(penalty))"</v>
      </c>
      <c r="U14" s="9" t="str">
        <f>MID(B14,13,4)</f>
        <v>4025</v>
      </c>
      <c r="V14" s="31">
        <f>A14-utc_offset/24</f>
        <v>43027.186712962961</v>
      </c>
      <c r="W14" s="45" t="str">
        <f>DetSubdiv(C14)</f>
        <v>EC</v>
      </c>
      <c r="X14" s="22">
        <f>VALUE(LEFT(C14,LEN(C14)-3))</f>
        <v>230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{"issue":{"subject":"","project_id":79,"tracker_id":40,"status_id":1,"priority_id":2,"assigned_to_id":338,"start_date":"2017-10-18","description":"","custom_fields":[{"id":1,"name":"Subdivision","value":"EC"},{"id":4,"name":"Milepost","value":"2.1848"},{"id":17,"name":"Train ID","value":"230-18"},{"id":16,"name":"Locomotive ID","value":"4025"},{"id":130,"name":"Impact","value":""},{"id":150,"name":"Time of Event (Mountain Time)","value":"22:28:52"},{"id":151,"name":"Denver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/c/Users/stu/AppData/Local/Temp/OnboardLogs/RTDC4025 --include="*4025*201710190*"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"%USERPROFILE%\AppData\Local\Temp\OnboardLogs"\RTDC4025\*4025*201710190* &gt;&gt; 2017-10-18-SliceDisagreementCheck.txt</v>
      </c>
      <c r="AE14" s="145" t="str">
        <f t="shared" si="1"/>
        <v>start /low /b %USERPROFILE%\Documents\GitHub\eaglep3\Utilities\DownloadLogsFromS3.py --loco 4025 --day 2017-10-19</v>
      </c>
      <c r="AF14" s="1"/>
    </row>
    <row r="15" spans="1:32" x14ac:dyDescent="0.3">
      <c r="A15" s="31">
        <v>43026.292118055557</v>
      </c>
      <c r="B15" s="30" t="s">
        <v>381</v>
      </c>
      <c r="C15" s="30" t="s">
        <v>554</v>
      </c>
      <c r="D15" s="30" t="s">
        <v>95</v>
      </c>
      <c r="E15" s="30" t="s">
        <v>192</v>
      </c>
      <c r="F15" s="42">
        <v>600</v>
      </c>
      <c r="G15" s="42">
        <v>651</v>
      </c>
      <c r="H15" s="42">
        <v>186730</v>
      </c>
      <c r="I15" s="42">
        <v>189696</v>
      </c>
      <c r="J15" s="30" t="s">
        <v>193</v>
      </c>
      <c r="K15" s="42">
        <v>183829</v>
      </c>
      <c r="L15" s="131" t="s">
        <v>50</v>
      </c>
      <c r="M15" s="132">
        <f>CONVERT((I15-K15)/10000,"mi","ft")*IF(L15="Increasing Mileposts (1)",-1,1)</f>
        <v>-3097.7759999999998</v>
      </c>
      <c r="N15" s="133" t="str">
        <f>VLOOKUP(C15,'Trips&amp;Operators'!$C$1:$G$99911,5,FALSE)</f>
        <v>DAVIS WENDY</v>
      </c>
      <c r="O15" s="176" t="s">
        <v>178</v>
      </c>
      <c r="P15" s="134"/>
      <c r="Q15" s="30"/>
      <c r="R15" s="81" t="str">
        <f>VLOOKUP(C15,'Train Runs'!$A$13:$AE$10048,31,0)</f>
        <v>aws s3 cp s3://rtdc.mdm.uploadarchive.raw/RTDC4064/ "%USERPROFILE%\AppData\Local\Temp\OnboardLogs"\RTDC4064\2017-10-18 --exclude "*" --recursive --include "*20171018*" &amp; "%USERPROFILE%\Documents\GitHub\mrs-test-scripts\Headless Mode &amp; Sideloading\WalkAndUnGZ.bat" "%USERPROFILE%\AppData\Local\Temp\OnboardLogs"\RTDC4064\2017-10-18 &amp; aws s3 cp s3://rtdc.mdm.uploadarchive.raw/RTDC4064/ "%USERPROFILE%\AppData\Local\Temp\OnboardLogs"\RTDC4064\2017-10-19 --exclude "*" --recursive --include "*20171019*" &amp; "%USERPROFILE%\Documents\GitHub\mrs-test-scripts\Headless Mode &amp; Sideloading\WalkAndUnGZ.bat" "%USERPROFILE%\AppData\Local\Temp\OnboardLogs"\RTDC4064\2017-10-19</v>
      </c>
      <c r="S15" s="84" t="str">
        <f>VLOOKUP(C15,'Train Runs'!$A$13:$AE$10048,22,0)</f>
        <v>https://d0f6bd738d7f1b3e5a7ca70fe4ff75f0.us-east-1.aws.found.io/app/kibana#/discover/Steve-Slow-Train-Analysis-(2080s-and-2083s)?_g=(refreshInterval:(display:Off,pause:!f,section:0,value:0),time:(from:'2017-10-18T05:24:45-0600',mode:absolute,to:'2017-10-18T08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/stypes="*4064*201710181*" /stext=" 13:.+((SYSTEM_STATE.+slice.+state.+changed )|(ment ac)|(multiple cpu faults)|(system.+state.+changed )|(\[timeout)|(PRM\|1\|D)|(kpr)|(kdp)|(train st.+moving)|(\|lc)|(penalty))"</v>
      </c>
      <c r="U15" s="9" t="str">
        <f>MID(B15,13,4)</f>
        <v>4064</v>
      </c>
      <c r="V15" s="31">
        <f>A15-utc_offset/24</f>
        <v>43026.542118055557</v>
      </c>
      <c r="W15" s="45" t="str">
        <f>DetSubdiv(C15)</f>
        <v>EC</v>
      </c>
      <c r="X15" s="22">
        <f>VALUE(LEFT(C15,LEN(C15)-3))</f>
        <v>123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{"issue":{"subject":"","project_id":79,"tracker_id":40,"status_id":1,"priority_id":2,"assigned_to_id":338,"start_date":"2017-10-18","description":"","custom_fields":[{"id":1,"name":"Subdivision","value":"EC"},{"id":4,"name":"Milepost","value":"18.3829"},{"id":17,"name":"Train ID","value":"123-18"},{"id":16,"name":"Locomotive ID","value":"4064"},{"id":130,"name":"Impact","value":""},{"id":150,"name":"Time of Event (Mountain Time)","value":"07:00:39"},{"id":151,"name":"Denver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/c/Users/stu/AppData/Local/Temp/OnboardLogs/RTDC4064 --include="*4064*201710181*"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"%USERPROFILE%\AppData\Local\Temp\OnboardLogs"\RTDC4064\*4064*201710181* &gt;&gt; 2017-10-18-SliceDisagreementCheck.txt</v>
      </c>
      <c r="AE15" s="145" t="str">
        <f t="shared" si="1"/>
        <v>start /low /b %USERPROFILE%\Documents\GitHub\eaglep3\Utilities\DownloadLogsFromS3.py --loco 4064 --day 2017-10-18</v>
      </c>
      <c r="AF15" s="1"/>
    </row>
    <row r="16" spans="1:32" x14ac:dyDescent="0.3">
      <c r="A16" s="31">
        <v>43026.239317129628</v>
      </c>
      <c r="B16" s="30" t="s">
        <v>380</v>
      </c>
      <c r="C16" s="30" t="s">
        <v>547</v>
      </c>
      <c r="D16" s="30" t="s">
        <v>95</v>
      </c>
      <c r="E16" s="30" t="s">
        <v>192</v>
      </c>
      <c r="F16" s="42">
        <v>350</v>
      </c>
      <c r="G16" s="42">
        <v>400</v>
      </c>
      <c r="H16" s="42">
        <v>224904</v>
      </c>
      <c r="I16" s="42">
        <v>223448</v>
      </c>
      <c r="J16" s="30" t="s">
        <v>193</v>
      </c>
      <c r="K16" s="42">
        <v>232107</v>
      </c>
      <c r="L16" s="131" t="s">
        <v>51</v>
      </c>
      <c r="M16" s="132">
        <f>CONVERT((I16-K16)/10000,"mi","ft")*IF(L16="Increasing Mileposts (1)",-1,1)</f>
        <v>-4571.9520000000002</v>
      </c>
      <c r="N16" s="133" t="str">
        <f>VLOOKUP(C16,'Trips&amp;Operators'!$C$1:$G$99911,5,FALSE)</f>
        <v>DAVIS WENDY</v>
      </c>
      <c r="O16" s="176" t="s">
        <v>178</v>
      </c>
      <c r="P16" s="134"/>
      <c r="Q16" s="30"/>
      <c r="R16" s="81" t="str">
        <f>VLOOKUP(C16,'Train Runs'!$A$13:$AE$10048,31,0)</f>
        <v>aws s3 cp s3://rtdc.mdm.uploadarchive.raw/RTDC4063/ "%USERPROFILE%\AppData\Local\Temp\OnboardLogs"\RTDC4063\2017-10-18 --exclude "*" --recursive --include "*20171018*" &amp; "%USERPROFILE%\Documents\GitHub\mrs-test-scripts\Headless Mode &amp; Sideloading\WalkAndUnGZ.bat" "%USERPROFILE%\AppData\Local\Temp\OnboardLogs"\RTDC4063\2017-10-18 &amp; aws s3 cp s3://rtdc.mdm.uploadarchive.raw/RTDC4063/ "%USERPROFILE%\AppData\Local\Temp\OnboardLogs"\RTDC4063\2017-10-19 --exclude "*" --recursive --include "*20171019*" &amp; "%USERPROFILE%\Documents\GitHub\mrs-test-scripts\Headless Mode &amp; Sideloading\WalkAndUnGZ.bat" "%USERPROFILE%\AppData\Local\Temp\OnboardLogs"\RTDC4063\2017-10-19</v>
      </c>
      <c r="S16" s="84" t="str">
        <f>VLOOKUP(C16,'Train Runs'!$A$13:$AE$10048,22,0)</f>
        <v>https://d0f6bd738d7f1b3e5a7ca70fe4ff75f0.us-east-1.aws.found.io/app/kibana#/discover/Steve-Slow-Train-Analysis-(2080s-and-2083s)?_g=(refreshInterval:(display:Off,pause:!f,section:0,value:0),time:(from:'2017-10-18T04:26:47-0600',mode:absolute,to:'2017-10-18T07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/stypes="*4063*201710181*" /stext=" 11:.+((SYSTEM_STATE.+slice.+state.+changed )|(ment ac)|(multiple cpu faults)|(system.+state.+changed )|(\[timeout)|(PRM\|1\|D)|(kpr)|(kdp)|(train st.+moving)|(\|lc)|(penalty))"</v>
      </c>
      <c r="U16" s="9" t="str">
        <f>MID(B16,13,4)</f>
        <v>4063</v>
      </c>
      <c r="V16" s="31">
        <f>A16-utc_offset/24</f>
        <v>43026.489317129628</v>
      </c>
      <c r="W16" s="45" t="str">
        <f>DetSubdiv(C16)</f>
        <v>EC</v>
      </c>
      <c r="X16" s="22">
        <f>VALUE(LEFT(C16,LEN(C16)-3))</f>
        <v>110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{"issue":{"subject":"","project_id":79,"tracker_id":40,"status_id":1,"priority_id":2,"assigned_to_id":338,"start_date":"2017-10-18","description":"","custom_fields":[{"id":1,"name":"Subdivision","value":"EC"},{"id":4,"name":"Milepost","value":"23.2107"},{"id":17,"name":"Train ID","value":"110-18"},{"id":16,"name":"Locomotive ID","value":"4063"},{"id":130,"name":"Impact","value":""},{"id":150,"name":"Time of Event (Mountain Time)","value":"05:44:37"},{"id":151,"name":"Denver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/c/Users/stu/AppData/Local/Temp/OnboardLogs/RTDC4063 --include="*4063*201710181*"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"%USERPROFILE%\AppData\Local\Temp\OnboardLogs"\RTDC4063\*4063*201710181* &gt;&gt; 2017-10-18-SliceDisagreementCheck.txt</v>
      </c>
      <c r="AE16" s="145" t="str">
        <f t="shared" si="1"/>
        <v>start /low /b %USERPROFILE%\Documents\GitHub\eaglep3\Utilities\DownloadLogsFromS3.py --loco 4063 --day 2017-10-18</v>
      </c>
      <c r="AF16" s="1"/>
    </row>
    <row r="17" spans="1:32" x14ac:dyDescent="0.3">
      <c r="A17" s="31">
        <v>43026.591006944444</v>
      </c>
      <c r="B17" s="30" t="s">
        <v>432</v>
      </c>
      <c r="C17" s="30" t="s">
        <v>574</v>
      </c>
      <c r="D17" s="30" t="s">
        <v>49</v>
      </c>
      <c r="E17" s="30" t="s">
        <v>421</v>
      </c>
      <c r="F17" s="42">
        <v>0</v>
      </c>
      <c r="G17" s="42">
        <v>618</v>
      </c>
      <c r="H17" s="42">
        <v>149599</v>
      </c>
      <c r="I17" s="42">
        <v>152134</v>
      </c>
      <c r="J17" s="30" t="s">
        <v>422</v>
      </c>
      <c r="K17" s="42">
        <v>149694</v>
      </c>
      <c r="L17" s="131" t="s">
        <v>50</v>
      </c>
      <c r="M17" s="132">
        <f>CONVERT((I17-K17)/10000,"mi","ft")*IF(L17="Increasing Mileposts (1)",-1,1)</f>
        <v>-1288.32</v>
      </c>
      <c r="N17" s="133" t="str">
        <f>VLOOKUP(C17,'Trips&amp;Operators'!$C$1:$G$99911,5,FALSE)</f>
        <v>MOSES BRADLEY</v>
      </c>
      <c r="O17" s="176" t="s">
        <v>375</v>
      </c>
      <c r="P17" s="134" t="s">
        <v>1022</v>
      </c>
      <c r="Q17" s="30"/>
      <c r="R17" s="81" t="str">
        <f>VLOOKUP(C17,'Train Runs'!$A$13:$AE$10048,31,0)</f>
        <v>aws s3 cp s3://rtdc.mdm.uploadarchive.raw/RTDC4026/ "%USERPROFILE%\AppData\Local\Temp\OnboardLogs"\RTDC4026\2017-10-18 --exclude "*" --recursive --include "*20171018*" &amp; "%USERPROFILE%\Documents\GitHub\mrs-test-scripts\Headless Mode &amp; Sideloading\WalkAndUnGZ.bat" "%USERPROFILE%\AppData\Local\Temp\OnboardLogs"\RTDC4026\2017-10-18 &amp; aws s3 cp s3://rtdc.mdm.uploadarchive.raw/RTDC4026/ "%USERPROFILE%\AppData\Local\Temp\OnboardLogs"\RTDC4026\2017-10-19 --exclude "*" --recursive --include "*20171019*" &amp; "%USERPROFILE%\Documents\GitHub\mrs-test-scripts\Headless Mode &amp; Sideloading\WalkAndUnGZ.bat" "%USERPROFILE%\AppData\Local\Temp\OnboardLogs"\RTDC4026\2017-10-19</v>
      </c>
      <c r="S17" s="84" t="str">
        <f>VLOOKUP(C17,'Train Runs'!$A$13:$AE$10048,22,0)</f>
        <v>https://d0f6bd738d7f1b3e5a7ca70fe4ff75f0.us-east-1.aws.found.io/app/kibana#/discover/Steve-Slow-Train-Analysis-(2080s-and-2083s)?_g=(refreshInterval:(display:Off,pause:!f,section:0,value:0),time:(from:'2017-10-18T12:42:09-0600',mode:absolute,to:'2017-10-18T15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/stypes="*4026*201710182*" /stext=" 20:.+((SYSTEM_STATE.+slice.+state.+changed )|(ment ac)|(multiple cpu faults)|(system.+state.+changed )|(\[timeout)|(PRM\|1\|D)|(kpr)|(kdp)|(train st.+moving)|(\|lc)|(penalty))"</v>
      </c>
      <c r="U17" s="9" t="str">
        <f>MID(B17,13,4)</f>
        <v>4026</v>
      </c>
      <c r="V17" s="31">
        <f>A17-utc_offset/24</f>
        <v>43026.841006944444</v>
      </c>
      <c r="W17" s="45" t="str">
        <f>DetSubdiv(C17)</f>
        <v>EC</v>
      </c>
      <c r="X17" s="22">
        <f>VALUE(LEFT(C17,LEN(C17)-3))</f>
        <v>181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{"issue":{"subject":"Premature downgrade at EC1497RH 143-1T 1N","project_id":79,"tracker_id":40,"status_id":1,"priority_id":2,"assigned_to_id":338,"start_date":"2017-10-18","description":"Premature downgrade at EC1497RH 143-1T 1N at 14:10:34 on 10/18/17, went from MAS 270 to 0.  Do the logs indicate anything unusual at this time?","custom_fields":[{"id":1,"name":"Subdivision","value":"EC"},{"id":4,"name":"Milepost","value":"14.9694"},{"id":17,"name":"Train ID","value":"181-18"},{"id":16,"name":"Locomotive ID","value":"4026"},{"id":130,"name":"Impact","value":"Enforcement"},{"id":150,"name":"Time of Event (Mountain Time)","value":"14:11:03"},{"id":151,"name":"Denver Issue ID","value":""},{"id":178,"name":"Operational Impact","value":"Yes"},{"id":179,"name":"Denver Segment Assigned","value":"Signal"}]}} | curl --insecure -X POST -H "Content-Type: application/json" -H "X-Redmine-API-Key: %REDMINEAPIKEY%" https://secure.xorail.net/redmine/issues.json --data @-</v>
      </c>
      <c r="Z17" s="159" t="s">
        <v>1023</v>
      </c>
      <c r="AA17" s="47" t="s">
        <v>118</v>
      </c>
      <c r="AB17" s="47" t="s">
        <v>123</v>
      </c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/c/Users/stu/AppData/Local/Temp/OnboardLogs/RTDC4026 --include="*4026*201710182*"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"%USERPROFILE%\AppData\Local\Temp\OnboardLogs"\RTDC4026\*4026*201710182* &gt;&gt; 2017-10-18-SliceDisagreementCheck.txt</v>
      </c>
      <c r="AE17" s="145" t="str">
        <f t="shared" si="1"/>
        <v>start /low /b %USERPROFILE%\Documents\GitHub\eaglep3\Utilities\DownloadLogsFromS3.py --loco 4026 --day 2017-10-18</v>
      </c>
      <c r="AF17" s="1"/>
    </row>
    <row r="18" spans="1:32" x14ac:dyDescent="0.3">
      <c r="A18" s="31">
        <v>43026.782650462963</v>
      </c>
      <c r="B18" s="30" t="s">
        <v>379</v>
      </c>
      <c r="C18" s="30" t="s">
        <v>586</v>
      </c>
      <c r="D18" s="30" t="s">
        <v>49</v>
      </c>
      <c r="E18" s="30" t="s">
        <v>587</v>
      </c>
      <c r="F18" s="42">
        <v>0</v>
      </c>
      <c r="G18" s="42">
        <v>437</v>
      </c>
      <c r="H18" s="42">
        <v>189911</v>
      </c>
      <c r="I18" s="42">
        <v>191280</v>
      </c>
      <c r="J18" s="30" t="s">
        <v>573</v>
      </c>
      <c r="K18" s="42">
        <v>190834</v>
      </c>
      <c r="L18" s="131" t="s">
        <v>50</v>
      </c>
      <c r="M18" s="132">
        <f>CONVERT((I18-K18)/10000,"mi","ft")*IF(L18="Increasing Mileposts (1)",-1,1)</f>
        <v>-235.488</v>
      </c>
      <c r="N18" s="133" t="str">
        <f>VLOOKUP(C18,'Trips&amp;Operators'!$C$1:$G$99911,5,FALSE)</f>
        <v>LOZA FIDEL</v>
      </c>
      <c r="O18" s="176" t="s">
        <v>375</v>
      </c>
      <c r="P18" s="134" t="s">
        <v>439</v>
      </c>
      <c r="Q18" s="30"/>
      <c r="R18" s="81" t="str">
        <f>VLOOKUP(C18,'Train Runs'!$A$13:$AE$10048,31,0)</f>
        <v>aws s3 cp s3://rtdc.mdm.uploadarchive.raw/RTDC4040/ "%USERPROFILE%\AppData\Local\Temp\OnboardLogs"\RTDC4040\2017-10-18 --exclude "*" --recursive --include "*20171018*" &amp; "%USERPROFILE%\Documents\GitHub\mrs-test-scripts\Headless Mode &amp; Sideloading\WalkAndUnGZ.bat" "%USERPROFILE%\AppData\Local\Temp\OnboardLogs"\RTDC4040\2017-10-18 &amp; aws s3 cp s3://rtdc.mdm.uploadarchive.raw/RTDC4040/ "%USERPROFILE%\AppData\Local\Temp\OnboardLogs"\RTDC4040\2017-10-19 --exclude "*" --recursive --include "*20171019*" &amp; "%USERPROFILE%\Documents\GitHub\mrs-test-scripts\Headless Mode &amp; Sideloading\WalkAndUnGZ.bat" "%USERPROFILE%\AppData\Local\Temp\OnboardLogs"\RTDC4040\2017-10-19</v>
      </c>
      <c r="S18" s="84" t="str">
        <f>VLOOKUP(C18,'Train Runs'!$A$13:$AE$10048,22,0)</f>
        <v>https://d0f6bd738d7f1b3e5a7ca70fe4ff75f0.us-east-1.aws.found.io/app/kibana#/discover/Steve-Slow-Train-Analysis-(2080s-and-2083s)?_g=(refreshInterval:(display:Off,pause:!f,section:0,value:0),time:(from:'2017-10-18T17:10:25-0600',mode:absolute,to:'2017-10-18T19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/stypes="*4040*201710190*" /stext=" 00:.+((SYSTEM_STATE.+slice.+state.+changed )|(ment ac)|(multiple cpu faults)|(system.+state.+changed )|(\[timeout)|(PRM\|1\|D)|(kpr)|(kdp)|(train st.+moving)|(\|lc)|(penalty))"</v>
      </c>
      <c r="U18" s="9" t="str">
        <f>MID(B18,13,4)</f>
        <v>4040</v>
      </c>
      <c r="V18" s="31">
        <f>A18-utc_offset/24</f>
        <v>43027.032650462963</v>
      </c>
      <c r="W18" s="45" t="str">
        <f>DetSubdiv(C18)</f>
        <v>EC</v>
      </c>
      <c r="X18" s="22">
        <f>VALUE(LEFT(C18,LEN(C18)-3))</f>
        <v>217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drop","project_id":79,"tracker_id":40,"status_id":1,"priority_id":2,"assigned_to_id":338,"start_date":"2017-10-18","description":"","custom_fields":[{"id":1,"name":"Subdivision","value":"EC"},{"id":4,"name":"Milepost","value":"19.0834"},{"id":17,"name":"Train ID","value":"217-18"},{"id":16,"name":"Locomotive ID","value":"4040"},{"id":130,"name":"Impact","value":""},{"id":150,"name":"Time of Event (Mountain Time)","value":"18:47:01"},{"id":151,"name":"Denver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/c/Users/stu/AppData/Local/Temp/OnboardLogs/RTDC4040 --include="*4040*201710190*"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"%USERPROFILE%\AppData\Local\Temp\OnboardLogs"\RTDC4040\*4040*201710190* &gt;&gt; 2017-10-18-SliceDisagreementCheck.txt</v>
      </c>
      <c r="AE18" s="145" t="str">
        <f t="shared" si="1"/>
        <v>start /low /b %USERPROFILE%\Documents\GitHub\eaglep3\Utilities\DownloadLogsFromS3.py --loco 4040 --day 2017-10-19</v>
      </c>
      <c r="AF18" s="1"/>
    </row>
    <row r="19" spans="1:32" x14ac:dyDescent="0.3">
      <c r="A19" s="31">
        <v>43026.274699074071</v>
      </c>
      <c r="B19" s="30" t="s">
        <v>431</v>
      </c>
      <c r="C19" s="30" t="s">
        <v>551</v>
      </c>
      <c r="D19" s="30" t="s">
        <v>49</v>
      </c>
      <c r="E19" s="30" t="s">
        <v>179</v>
      </c>
      <c r="F19" s="42">
        <v>0</v>
      </c>
      <c r="G19" s="42">
        <v>46</v>
      </c>
      <c r="H19" s="42">
        <v>167</v>
      </c>
      <c r="I19" s="42">
        <v>125</v>
      </c>
      <c r="J19" s="30" t="s">
        <v>180</v>
      </c>
      <c r="K19" s="42">
        <v>1</v>
      </c>
      <c r="L19" s="131" t="s">
        <v>51</v>
      </c>
      <c r="M19" s="132">
        <f>CONVERT((I19-K19)/10000,"mi","ft")*IF(L19="Increasing Mileposts (1)",-1,1)</f>
        <v>65.471999999999994</v>
      </c>
      <c r="N19" s="133" t="str">
        <f>VLOOKUP(C19,'Trips&amp;Operators'!$C$1:$G$99911,5,FALSE)</f>
        <v>BONDS REYNALDO</v>
      </c>
      <c r="O19" s="176" t="s">
        <v>178</v>
      </c>
      <c r="P19" s="134"/>
      <c r="Q19" s="30"/>
      <c r="R19" s="81" t="str">
        <f>VLOOKUP(C19,'Train Runs'!$A$13:$AE$10048,31,0)</f>
        <v>aws s3 cp s3://rtdc.mdm.uploadarchive.raw/RTDC4025/ "%USERPROFILE%\AppData\Local\Temp\OnboardLogs"\RTDC4025\2017-10-18 --exclude "*" --recursive --include "*20171018*" &amp; "%USERPROFILE%\Documents\GitHub\mrs-test-scripts\Headless Mode &amp; Sideloading\WalkAndUnGZ.bat" "%USERPROFILE%\AppData\Local\Temp\OnboardLogs"\RTDC4025\2017-10-18 &amp; aws s3 cp s3://rtdc.mdm.uploadarchive.raw/RTDC4025/ "%USERPROFILE%\AppData\Local\Temp\OnboardLogs"\RTDC4025\2017-10-19 --exclude "*" --recursive --include "*20171019*" &amp; "%USERPROFILE%\Documents\GitHub\mrs-test-scripts\Headless Mode &amp; Sideloading\WalkAndUnGZ.bat" "%USERPROFILE%\AppData\Local\Temp\OnboardLogs"\RTDC4025\2017-10-19</v>
      </c>
      <c r="S19" s="84" t="str">
        <f>VLOOKUP(C19,'Train Runs'!$A$13:$AE$10048,22,0)</f>
        <v>https://d0f6bd738d7f1b3e5a7ca70fe4ff75f0.us-east-1.aws.found.io/app/kibana#/discover/Steve-Slow-Train-Analysis-(2080s-and-2083s)?_g=(refreshInterval:(display:Off,pause:!f,section:0,value:0),time:(from:'2017-10-18T04:53:41-0600',mode:absolute,to:'2017-10-18T07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/stypes="*4025*201710181*" /stext=" 12:.+((SYSTEM_STATE.+slice.+state.+changed )|(ment ac)|(multiple cpu faults)|(system.+state.+changed )|(\[timeout)|(PRM\|1\|D)|(kpr)|(kdp)|(train st.+moving)|(\|lc)|(penalty))"</v>
      </c>
      <c r="U19" s="9" t="str">
        <f>MID(B19,13,4)</f>
        <v>4025</v>
      </c>
      <c r="V19" s="31">
        <f>A19-utc_offset/24</f>
        <v>43026.524699074071</v>
      </c>
      <c r="W19" s="45" t="str">
        <f>DetSubdiv(C19)</f>
        <v>EC</v>
      </c>
      <c r="X19" s="22">
        <f>VALUE(LEFT(C19,LEN(C19)-3))</f>
        <v>112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{"issue":{"subject":"","project_id":79,"tracker_id":40,"status_id":1,"priority_id":2,"assigned_to_id":338,"start_date":"2017-10-18","description":"","custom_fields":[{"id":1,"name":"Subdivision","value":"EC"},{"id":4,"name":"Milepost","value":"0.0001"},{"id":17,"name":"Train ID","value":"112-18"},{"id":16,"name":"Locomotive ID","value":"4025"},{"id":130,"name":"Impact","value":""},{"id":150,"name":"Time of Event (Mountain Time)","value":"06:35:34"},{"id":151,"name":"Denver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/c/Users/stu/AppData/Local/Temp/OnboardLogs/RTDC4025 --include="*4025*201710181*"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"%USERPROFILE%\AppData\Local\Temp\OnboardLogs"\RTDC4025\*4025*201710181* &gt;&gt; 2017-10-18-SliceDisagreementCheck.txt</v>
      </c>
      <c r="AE19" s="145" t="str">
        <f t="shared" si="1"/>
        <v>start /low /b %USERPROFILE%\Documents\GitHub\eaglep3\Utilities\DownloadLogsFromS3.py --loco 4025 --day 2017-10-18</v>
      </c>
      <c r="AF19" s="1"/>
    </row>
    <row r="20" spans="1:32" x14ac:dyDescent="0.3">
      <c r="A20" s="31">
        <v>43026.297766203701</v>
      </c>
      <c r="B20" s="30" t="s">
        <v>461</v>
      </c>
      <c r="C20" s="30" t="s">
        <v>555</v>
      </c>
      <c r="D20" s="30" t="s">
        <v>49</v>
      </c>
      <c r="E20" s="30" t="s">
        <v>179</v>
      </c>
      <c r="F20" s="42">
        <v>0</v>
      </c>
      <c r="G20" s="42">
        <v>70</v>
      </c>
      <c r="H20" s="42">
        <v>227</v>
      </c>
      <c r="I20" s="42">
        <v>150</v>
      </c>
      <c r="J20" s="30" t="s">
        <v>180</v>
      </c>
      <c r="K20" s="42">
        <v>1</v>
      </c>
      <c r="L20" s="131" t="s">
        <v>51</v>
      </c>
      <c r="M20" s="132">
        <f>CONVERT((I20-K20)/10000,"mi","ft")*IF(L20="Increasing Mileposts (1)",-1,1)</f>
        <v>78.671999999999997</v>
      </c>
      <c r="N20" s="133" t="str">
        <f>VLOOKUP(C20,'Trips&amp;Operators'!$C$1:$G$99911,5,FALSE)</f>
        <v>THOMPSON LESTER</v>
      </c>
      <c r="O20" s="176" t="s">
        <v>178</v>
      </c>
      <c r="P20" s="134"/>
      <c r="Q20" s="30"/>
      <c r="R20" s="81" t="str">
        <f>VLOOKUP(C20,'Train Runs'!$A$13:$AE$10048,31,0)</f>
        <v>aws s3 cp s3://rtdc.mdm.uploadarchive.raw/RTDC4019/ "%USERPROFILE%\AppData\Local\Temp\OnboardLogs"\RTDC4019\2017-10-18 --exclude "*" --recursive --include "*20171018*" &amp; "%USERPROFILE%\Documents\GitHub\mrs-test-scripts\Headless Mode &amp; Sideloading\WalkAndUnGZ.bat" "%USERPROFILE%\AppData\Local\Temp\OnboardLogs"\RTDC4019\2017-10-18 &amp; aws s3 cp s3://rtdc.mdm.uploadarchive.raw/RTDC4019/ "%USERPROFILE%\AppData\Local\Temp\OnboardLogs"\RTDC4019\2017-10-19 --exclude "*" --recursive --include "*20171019*" &amp; "%USERPROFILE%\Documents\GitHub\mrs-test-scripts\Headless Mode &amp; Sideloading\WalkAndUnGZ.bat" "%USERPROFILE%\AppData\Local\Temp\OnboardLogs"\RTDC4019\2017-10-19</v>
      </c>
      <c r="S20" s="84" t="str">
        <f>VLOOKUP(C20,'Train Runs'!$A$13:$AE$10048,22,0)</f>
        <v>https://d0f6bd738d7f1b3e5a7ca70fe4ff75f0.us-east-1.aws.found.io/app/kibana#/discover/Steve-Slow-Train-Analysis-(2080s-and-2083s)?_g=(refreshInterval:(display:Off,pause:!f,section:0,value:0),time:(from:'2017-10-18T05:26:07-0600',mode:absolute,to:'2017-10-18T08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/stypes="*4019*201710181*" /stext=" 13:.+((SYSTEM_STATE.+slice.+state.+changed )|(ment ac)|(multiple cpu faults)|(system.+state.+changed )|(\[timeout)|(PRM\|1\|D)|(kpr)|(kdp)|(train st.+moving)|(\|lc)|(penalty))"</v>
      </c>
      <c r="U20" s="9" t="str">
        <f>MID(B20,13,4)</f>
        <v>4019</v>
      </c>
      <c r="V20" s="31">
        <f>A20-utc_offset/24</f>
        <v>43026.547766203701</v>
      </c>
      <c r="W20" s="45" t="str">
        <f>DetSubdiv(C20)</f>
        <v>EC</v>
      </c>
      <c r="X20" s="22">
        <f>VALUE(LEFT(C20,LEN(C20)-3))</f>
        <v>116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{"issue":{"subject":"","project_id":79,"tracker_id":40,"status_id":1,"priority_id":2,"assigned_to_id":338,"start_date":"2017-10-18","description":"","custom_fields":[{"id":1,"name":"Subdivision","value":"EC"},{"id":4,"name":"Milepost","value":"0.0001"},{"id":17,"name":"Train ID","value":"116-18"},{"id":16,"name":"Locomotive ID","value":"4019"},{"id":130,"name":"Impact","value":""},{"id":150,"name":"Time of Event (Mountain Time)","value":"07:08:47"},{"id":151,"name":"Denver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/c/Users/stu/AppData/Local/Temp/OnboardLogs/RTDC4019 --include="*4019*201710181*"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"%USERPROFILE%\AppData\Local\Temp\OnboardLogs"\RTDC4019\*4019*201710181* &gt;&gt; 2017-10-18-SliceDisagreementCheck.txt</v>
      </c>
      <c r="AE20" s="145" t="str">
        <f t="shared" si="1"/>
        <v>start /low /b %USERPROFILE%\Documents\GitHub\eaglep3\Utilities\DownloadLogsFromS3.py --loco 4019 --day 2017-10-18</v>
      </c>
      <c r="AF20" s="1"/>
    </row>
    <row r="21" spans="1:32" x14ac:dyDescent="0.3">
      <c r="A21" s="31">
        <v>43026.451238425929</v>
      </c>
      <c r="B21" s="30" t="s">
        <v>389</v>
      </c>
      <c r="C21" s="30" t="s">
        <v>561</v>
      </c>
      <c r="D21" s="30" t="s">
        <v>49</v>
      </c>
      <c r="E21" s="30" t="s">
        <v>179</v>
      </c>
      <c r="F21" s="42">
        <v>0</v>
      </c>
      <c r="G21" s="42">
        <v>54</v>
      </c>
      <c r="H21" s="42">
        <v>180</v>
      </c>
      <c r="I21" s="42">
        <v>136</v>
      </c>
      <c r="J21" s="30" t="s">
        <v>180</v>
      </c>
      <c r="K21" s="42">
        <v>1</v>
      </c>
      <c r="L21" s="131" t="s">
        <v>51</v>
      </c>
      <c r="M21" s="132">
        <f>CONVERT((I21-K21)/10000,"mi","ft")*IF(L21="Increasing Mileposts (1)",-1,1)</f>
        <v>71.28</v>
      </c>
      <c r="N21" s="133" t="str">
        <f>VLOOKUP(C21,'Trips&amp;Operators'!$C$1:$G$99911,5,FALSE)</f>
        <v>FORTUNATO FRANK</v>
      </c>
      <c r="O21" s="176" t="s">
        <v>178</v>
      </c>
      <c r="P21" s="134"/>
      <c r="Q21" s="30"/>
      <c r="R21" s="81" t="str">
        <f>VLOOKUP(C21,'Train Runs'!$A$13:$AE$10048,31,0)</f>
        <v>aws s3 cp s3://rtdc.mdm.uploadarchive.raw/RTDC4061/ "%USERPROFILE%\AppData\Local\Temp\OnboardLogs"\RTDC4061\2017-10-18 --exclude "*" --recursive --include "*20171018*" &amp; "%USERPROFILE%\Documents\GitHub\mrs-test-scripts\Headless Mode &amp; Sideloading\WalkAndUnGZ.bat" "%USERPROFILE%\AppData\Local\Temp\OnboardLogs"\RTDC4061\2017-10-18 &amp; aws s3 cp s3://rtdc.mdm.uploadarchive.raw/RTDC4061/ "%USERPROFILE%\AppData\Local\Temp\OnboardLogs"\RTDC4061\2017-10-19 --exclude "*" --recursive --include "*20171019*" &amp; "%USERPROFILE%\Documents\GitHub\mrs-test-scripts\Headless Mode &amp; Sideloading\WalkAndUnGZ.bat" "%USERPROFILE%\AppData\Local\Temp\OnboardLogs"\RTDC4061\2017-10-19</v>
      </c>
      <c r="S21" s="84" t="str">
        <f>VLOOKUP(C21,'Train Runs'!$A$13:$AE$10048,22,0)</f>
        <v>https://d0f6bd738d7f1b3e5a7ca70fe4ff75f0.us-east-1.aws.found.io/app/kibana#/discover/Steve-Slow-Train-Analysis-(2080s-and-2083s)?_g=(refreshInterval:(display:Off,pause:!f,section:0,value:0),time:(from:'2017-10-18T08:52:56-0600',mode:absolute,to:'2017-10-18T11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/stypes="*4061*201710181*" /stext=" 16:.+((SYSTEM_STATE.+slice.+state.+changed )|(ment ac)|(multiple cpu faults)|(system.+state.+changed )|(\[timeout)|(PRM\|1\|D)|(kpr)|(kdp)|(train st.+moving)|(\|lc)|(penalty))"</v>
      </c>
      <c r="U21" s="9" t="str">
        <f>MID(B21,13,4)</f>
        <v>4061</v>
      </c>
      <c r="V21" s="31">
        <f>A21-utc_offset/24</f>
        <v>43026.701238425929</v>
      </c>
      <c r="W21" s="45" t="str">
        <f>DetSubdiv(C21)</f>
        <v>EC</v>
      </c>
      <c r="X21" s="22">
        <f>VALUE(LEFT(C21,LEN(C21)-3))</f>
        <v>146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{"issue":{"subject":"","project_id":79,"tracker_id":40,"status_id":1,"priority_id":2,"assigned_to_id":338,"start_date":"2017-10-18","description":"","custom_fields":[{"id":1,"name":"Subdivision","value":"EC"},{"id":4,"name":"Milepost","value":"0.0001"},{"id":17,"name":"Train ID","value":"146-18"},{"id":16,"name":"Locomotive ID","value":"4061"},{"id":130,"name":"Impact","value":""},{"id":150,"name":"Time of Event (Mountain Time)","value":"10:49:47"},{"id":151,"name":"Denver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/c/Users/stu/AppData/Local/Temp/OnboardLogs/RTDC4061 --include="*4061*201710181*"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"%USERPROFILE%\AppData\Local\Temp\OnboardLogs"\RTDC4061\*4061*201710181* &gt;&gt; 2017-10-18-SliceDisagreementCheck.txt</v>
      </c>
      <c r="AE21" s="145" t="str">
        <f t="shared" si="1"/>
        <v>start /low /b %USERPROFILE%\Documents\GitHub\eaglep3\Utilities\DownloadLogsFromS3.py --loco 4061 --day 2017-10-18</v>
      </c>
      <c r="AF21" s="1"/>
    </row>
    <row r="22" spans="1:32" x14ac:dyDescent="0.3">
      <c r="A22" s="31">
        <v>43026.546377314815</v>
      </c>
      <c r="B22" s="30" t="s">
        <v>423</v>
      </c>
      <c r="C22" s="30" t="s">
        <v>568</v>
      </c>
      <c r="D22" s="30" t="s">
        <v>49</v>
      </c>
      <c r="E22" s="30" t="s">
        <v>179</v>
      </c>
      <c r="F22" s="42">
        <v>0</v>
      </c>
      <c r="G22" s="42">
        <v>47</v>
      </c>
      <c r="H22" s="42">
        <v>150</v>
      </c>
      <c r="I22" s="42">
        <v>127</v>
      </c>
      <c r="J22" s="30" t="s">
        <v>180</v>
      </c>
      <c r="K22" s="42">
        <v>1</v>
      </c>
      <c r="L22" s="131" t="s">
        <v>51</v>
      </c>
      <c r="M22" s="132">
        <f>CONVERT((I22-K22)/10000,"mi","ft")*IF(L22="Increasing Mileposts (1)",-1,1)</f>
        <v>66.528000000000006</v>
      </c>
      <c r="N22" s="133" t="str">
        <f>VLOOKUP(C22,'Trips&amp;Operators'!$C$1:$G$99911,5,FALSE)</f>
        <v>STEWART MICHAEL</v>
      </c>
      <c r="O22" s="176" t="s">
        <v>178</v>
      </c>
      <c r="P22" s="134"/>
      <c r="Q22" s="30"/>
      <c r="R22" s="81" t="str">
        <f>VLOOKUP(C22,'Train Runs'!$A$13:$AE$10048,31,0)</f>
        <v>aws s3 cp s3://rtdc.mdm.uploadarchive.raw/RTDC4001/ "%USERPROFILE%\AppData\Local\Temp\OnboardLogs"\RTDC4001\2017-10-18 --exclude "*" --recursive --include "*20171018*" &amp; "%USERPROFILE%\Documents\GitHub\mrs-test-scripts\Headless Mode &amp; Sideloading\WalkAndUnGZ.bat" "%USERPROFILE%\AppData\Local\Temp\OnboardLogs"\RTDC4001\2017-10-18 &amp; aws s3 cp s3://rtdc.mdm.uploadarchive.raw/RTDC4001/ "%USERPROFILE%\AppData\Local\Temp\OnboardLogs"\RTDC4001\2017-10-19 --exclude "*" --recursive --include "*20171019*" &amp; "%USERPROFILE%\Documents\GitHub\mrs-test-scripts\Headless Mode &amp; Sideloading\WalkAndUnGZ.bat" "%USERPROFILE%\AppData\Local\Temp\OnboardLogs"\RTDC4001\2017-10-19</v>
      </c>
      <c r="S22" s="84" t="str">
        <f>VLOOKUP(C22,'Train Runs'!$A$13:$AE$10048,22,0)</f>
        <v>https://d0f6bd738d7f1b3e5a7ca70fe4ff75f0.us-east-1.aws.found.io/app/kibana#/discover/Steve-Slow-Train-Analysis-(2080s-and-2083s)?_g=(refreshInterval:(display:Off,pause:!f,section:0,value:0),time:(from:'2017-10-18T11:19:40-0600',mode:absolute,to:'2017-10-18T14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/stypes="*4001*201710181*" /stext=" 19:.+((SYSTEM_STATE.+slice.+state.+changed )|(ment ac)|(multiple cpu faults)|(system.+state.+changed )|(\[timeout)|(PRM\|1\|D)|(kpr)|(kdp)|(train st.+moving)|(\|lc)|(penalty))"</v>
      </c>
      <c r="U22" s="9" t="str">
        <f>MID(B22,13,4)</f>
        <v>4001</v>
      </c>
      <c r="V22" s="31">
        <f>A22-utc_offset/24</f>
        <v>43026.796377314815</v>
      </c>
      <c r="W22" s="45" t="str">
        <f>DetSubdiv(C22)</f>
        <v>EC</v>
      </c>
      <c r="X22" s="22">
        <f>VALUE(LEFT(C22,LEN(C22)-3))</f>
        <v>164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{"issue":{"subject":"","project_id":79,"tracker_id":40,"status_id":1,"priority_id":2,"assigned_to_id":338,"start_date":"2017-10-18","description":"","custom_fields":[{"id":1,"name":"Subdivision","value":"EC"},{"id":4,"name":"Milepost","value":"0.0001"},{"id":17,"name":"Train ID","value":"164-18"},{"id":16,"name":"Locomotive ID","value":"4001"},{"id":130,"name":"Impact","value":""},{"id":150,"name":"Time of Event (Mountain Time)","value":"13:06:47"},{"id":151,"name":"Denver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/c/Users/stu/AppData/Local/Temp/OnboardLogs/RTDC4001 --include="*4001*201710181*"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"%USERPROFILE%\AppData\Local\Temp\OnboardLogs"\RTDC4001\*4001*201710181* &gt;&gt; 2017-10-18-SliceDisagreementCheck.txt</v>
      </c>
      <c r="AE22" s="145" t="str">
        <f t="shared" si="1"/>
        <v>start /low /b %USERPROFILE%\Documents\GitHub\eaglep3\Utilities\DownloadLogsFromS3.py --loco 4001 --day 2017-10-18</v>
      </c>
      <c r="AF22" s="1"/>
    </row>
    <row r="23" spans="1:32" x14ac:dyDescent="0.3">
      <c r="A23" s="31">
        <v>43026.726365740738</v>
      </c>
      <c r="B23" s="30" t="s">
        <v>390</v>
      </c>
      <c r="C23" s="30" t="s">
        <v>584</v>
      </c>
      <c r="D23" s="30" t="s">
        <v>49</v>
      </c>
      <c r="E23" s="30" t="s">
        <v>179</v>
      </c>
      <c r="F23" s="42">
        <v>0</v>
      </c>
      <c r="G23" s="42">
        <v>25</v>
      </c>
      <c r="H23" s="42">
        <v>952</v>
      </c>
      <c r="I23" s="42">
        <v>917</v>
      </c>
      <c r="J23" s="30" t="s">
        <v>180</v>
      </c>
      <c r="K23" s="42">
        <v>826</v>
      </c>
      <c r="L23" s="131" t="s">
        <v>51</v>
      </c>
      <c r="M23" s="132">
        <f>CONVERT((I23-K23)/10000,"mi","ft")*IF(L23="Increasing Mileposts (1)",-1,1)</f>
        <v>48.048000000000002</v>
      </c>
      <c r="N23" s="133" t="str">
        <f>VLOOKUP(C23,'Trips&amp;Operators'!$C$1:$G$99911,5,FALSE)</f>
        <v>BERLING GARY</v>
      </c>
      <c r="O23" s="176" t="s">
        <v>178</v>
      </c>
      <c r="P23" s="134"/>
      <c r="Q23" s="30"/>
      <c r="R23" s="81" t="str">
        <f>VLOOKUP(C23,'Train Runs'!$A$13:$AE$10048,31,0)</f>
        <v>aws s3 cp s3://rtdc.mdm.uploadarchive.raw/RTDC4055/ "%USERPROFILE%\AppData\Local\Temp\OnboardLogs"\RTDC4055\2017-10-18 --exclude "*" --recursive --include "*20171018*" &amp; "%USERPROFILE%\Documents\GitHub\mrs-test-scripts\Headless Mode &amp; Sideloading\WalkAndUnGZ.bat" "%USERPROFILE%\AppData\Local\Temp\OnboardLogs"\RTDC4055\2017-10-18 &amp; aws s3 cp s3://rtdc.mdm.uploadarchive.raw/RTDC4055/ "%USERPROFILE%\AppData\Local\Temp\OnboardLogs"\RTDC4055\2017-10-19 --exclude "*" --recursive --include "*20171019*" &amp; "%USERPROFILE%\Documents\GitHub\mrs-test-scripts\Headless Mode &amp; Sideloading\WalkAndUnGZ.bat" "%USERPROFILE%\AppData\Local\Temp\OnboardLogs"\RTDC4055\2017-10-19</v>
      </c>
      <c r="S23" s="84" t="str">
        <f>VLOOKUP(C23,'Train Runs'!$A$13:$AE$10048,22,0)</f>
        <v>https://d0f6bd738d7f1b3e5a7ca70fe4ff75f0.us-east-1.aws.found.io/app/kibana#/discover/Steve-Slow-Train-Analysis-(2080s-and-2083s)?_g=(refreshInterval:(display:Off,pause:!f,section:0,value:0),time:(from:'2017-10-18T14:39:43-0600',mode:absolute,to:'2017-10-18T18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/stypes="*4055*201710182*" /stext=" 23:.+((SYSTEM_STATE.+slice.+state.+changed )|(ment ac)|(multiple cpu faults)|(system.+state.+changed )|(\[timeout)|(PRM\|1\|D)|(kpr)|(kdp)|(train st.+moving)|(\|lc)|(penalty))"</v>
      </c>
      <c r="U23" s="9" t="str">
        <f>MID(B23,13,4)</f>
        <v>4055</v>
      </c>
      <c r="V23" s="31">
        <f>A23-utc_offset/24</f>
        <v>43026.976365740738</v>
      </c>
      <c r="W23" s="45" t="str">
        <f>DetSubdiv(C23)</f>
        <v>EC</v>
      </c>
      <c r="X23" s="22">
        <f>VALUE(LEFT(C23,LEN(C23)-3))</f>
        <v>198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{"issue":{"subject":"","project_id":79,"tracker_id":40,"status_id":1,"priority_id":2,"assigned_to_id":338,"start_date":"2017-10-18","description":"","custom_fields":[{"id":1,"name":"Subdivision","value":"EC"},{"id":4,"name":"Milepost","value":"0.0826"},{"id":17,"name":"Train ID","value":"198-18"},{"id":16,"name":"Locomotive ID","value":"4055"},{"id":130,"name":"Impact","value":""},{"id":150,"name":"Time of Event (Mountain Time)","value":"17:25:58"},{"id":151,"name":"Denver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/c/Users/stu/AppData/Local/Temp/OnboardLogs/RTDC4055 --include="*4055*201710182*"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"%USERPROFILE%\AppData\Local\Temp\OnboardLogs"\RTDC4055\*4055*201710182* &gt;&gt; 2017-10-18-SliceDisagreementCheck.txt</v>
      </c>
      <c r="AE23" s="145" t="str">
        <f t="shared" si="1"/>
        <v>start /low /b %USERPROFILE%\Documents\GitHub\eaglep3\Utilities\DownloadLogsFromS3.py --loco 4055 --day 2017-10-18</v>
      </c>
      <c r="AF23" s="1"/>
    </row>
    <row r="24" spans="1:32" x14ac:dyDescent="0.3">
      <c r="A24" s="31">
        <v>43026.795810185184</v>
      </c>
      <c r="B24" s="30" t="s">
        <v>462</v>
      </c>
      <c r="C24" s="30" t="s">
        <v>589</v>
      </c>
      <c r="D24" s="30" t="s">
        <v>49</v>
      </c>
      <c r="E24" s="30" t="s">
        <v>179</v>
      </c>
      <c r="F24" s="42">
        <v>0</v>
      </c>
      <c r="G24" s="42">
        <v>100</v>
      </c>
      <c r="H24" s="42">
        <v>1464</v>
      </c>
      <c r="I24" s="42">
        <v>1371</v>
      </c>
      <c r="J24" s="30" t="s">
        <v>180</v>
      </c>
      <c r="K24" s="42">
        <v>839</v>
      </c>
      <c r="L24" s="131" t="s">
        <v>51</v>
      </c>
      <c r="M24" s="132">
        <f>CONVERT((I24-K24)/10000,"mi","ft")*IF(L24="Increasing Mileposts (1)",-1,1)</f>
        <v>280.89600000000002</v>
      </c>
      <c r="N24" s="133" t="str">
        <f>VLOOKUP(C24,'Trips&amp;Operators'!$C$1:$G$99911,5,FALSE)</f>
        <v>ZEWDU DEREJE</v>
      </c>
      <c r="O24" s="176" t="s">
        <v>178</v>
      </c>
      <c r="P24" s="134"/>
      <c r="Q24" s="30"/>
      <c r="R24" s="81" t="str">
        <f>VLOOKUP(C24,'Train Runs'!$A$13:$AE$10048,31,0)</f>
        <v>aws s3 cp s3://rtdc.mdm.uploadarchive.raw/RTDC4059/ "%USERPROFILE%\AppData\Local\Temp\OnboardLogs"\RTDC4059\2017-10-18 --exclude "*" --recursive --include "*20171018*" &amp; "%USERPROFILE%\Documents\GitHub\mrs-test-scripts\Headless Mode &amp; Sideloading\WalkAndUnGZ.bat" "%USERPROFILE%\AppData\Local\Temp\OnboardLogs"\RTDC4059\2017-10-18 &amp; aws s3 cp s3://rtdc.mdm.uploadarchive.raw/RTDC4059/ "%USERPROFILE%\AppData\Local\Temp\OnboardLogs"\RTDC4059\2017-10-19 --exclude "*" --recursive --include "*20171019*" &amp; "%USERPROFILE%\Documents\GitHub\mrs-test-scripts\Headless Mode &amp; Sideloading\WalkAndUnGZ.bat" "%USERPROFILE%\AppData\Local\Temp\OnboardLogs"\RTDC4059\2017-10-19</v>
      </c>
      <c r="S24" s="84" t="str">
        <f>VLOOKUP(C24,'Train Runs'!$A$13:$AE$10048,22,0)</f>
        <v>https://d0f6bd738d7f1b3e5a7ca70fe4ff75f0.us-east-1.aws.found.io/app/kibana#/discover/Steve-Slow-Train-Analysis-(2080s-and-2083s)?_g=(refreshInterval:(display:Off,pause:!f,section:0,value:0),time:(from:'2017-10-18T17:23:59-0600',mode:absolute,to:'2017-10-18T20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/stypes="*4059*201710190*" /stext=" 01:.+((SYSTEM_STATE.+slice.+state.+changed )|(ment ac)|(multiple cpu faults)|(system.+state.+changed )|(\[timeout)|(PRM\|1\|D)|(kpr)|(kdp)|(train st.+moving)|(\|lc)|(penalty))"</v>
      </c>
      <c r="U24" s="9" t="str">
        <f>MID(B24,13,4)</f>
        <v>4059</v>
      </c>
      <c r="V24" s="31">
        <f>A24-utc_offset/24</f>
        <v>43027.045810185184</v>
      </c>
      <c r="W24" s="45" t="str">
        <f>DetSubdiv(C24)</f>
        <v>EC</v>
      </c>
      <c r="X24" s="22">
        <f>VALUE(LEFT(C24,LEN(C24)-3))</f>
        <v>212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{"issue":{"subject":"","project_id":79,"tracker_id":40,"status_id":1,"priority_id":2,"assigned_to_id":338,"start_date":"2017-10-18","description":"","custom_fields":[{"id":1,"name":"Subdivision","value":"EC"},{"id":4,"name":"Milepost","value":"0.0839"},{"id":17,"name":"Train ID","value":"212-18"},{"id":16,"name":"Locomotive ID","value":"4059"},{"id":130,"name":"Impact","value":""},{"id":150,"name":"Time of Event (Mountain Time)","value":"19:05:58"},{"id":151,"name":"Denver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/c/Users/stu/AppData/Local/Temp/OnboardLogs/RTDC4059 --include="*4059*201710190*"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"%USERPROFILE%\AppData\Local\Temp\OnboardLogs"\RTDC4059\*4059*201710190* &gt;&gt; 2017-10-18-SliceDisagreementCheck.txt</v>
      </c>
      <c r="AE24" s="145" t="str">
        <f t="shared" si="1"/>
        <v>start /low /b %USERPROFILE%\Documents\GitHub\eaglep3\Utilities\DownloadLogsFromS3.py --loco 4059 --day 2017-10-19</v>
      </c>
      <c r="AF24" s="1"/>
    </row>
    <row r="25" spans="1:32" x14ac:dyDescent="0.3">
      <c r="A25" s="31">
        <v>43026.160509259258</v>
      </c>
      <c r="B25" s="30" t="s">
        <v>432</v>
      </c>
      <c r="C25" s="30" t="s">
        <v>546</v>
      </c>
      <c r="D25" s="30" t="s">
        <v>49</v>
      </c>
      <c r="E25" s="30" t="s">
        <v>179</v>
      </c>
      <c r="F25" s="42">
        <v>0</v>
      </c>
      <c r="G25" s="42">
        <v>51</v>
      </c>
      <c r="H25" s="42">
        <v>233323</v>
      </c>
      <c r="I25" s="42">
        <v>233366</v>
      </c>
      <c r="J25" s="30" t="s">
        <v>180</v>
      </c>
      <c r="K25" s="42">
        <v>233491</v>
      </c>
      <c r="L25" s="131" t="s">
        <v>50</v>
      </c>
      <c r="M25" s="132">
        <f>CONVERT((I25-K25)/10000,"mi","ft")*IF(L25="Increasing Mileposts (1)",-1,1)</f>
        <v>66</v>
      </c>
      <c r="N25" s="133" t="str">
        <f>VLOOKUP(C25,'Trips&amp;Operators'!$C$1:$G$99911,5,FALSE)</f>
        <v>BONDS REYNALDO</v>
      </c>
      <c r="O25" s="176" t="s">
        <v>178</v>
      </c>
      <c r="P25" s="134"/>
      <c r="Q25" s="30"/>
      <c r="R25" s="81" t="str">
        <f>VLOOKUP(C25,'Train Runs'!$A$13:$AE$10048,31,0)</f>
        <v>aws s3 cp s3://rtdc.mdm.uploadarchive.raw/RTDC4026/ "%USERPROFILE%\AppData\Local\Temp\OnboardLogs"\RTDC4026\2017-10-18 --exclude "*" --recursive --include "*20171018*" &amp; "%USERPROFILE%\Documents\GitHub\mrs-test-scripts\Headless Mode &amp; Sideloading\WalkAndUnGZ.bat" "%USERPROFILE%\AppData\Local\Temp\OnboardLogs"\RTDC4026\2017-10-18 &amp; aws s3 cp s3://rtdc.mdm.uploadarchive.raw/RTDC4026/ "%USERPROFILE%\AppData\Local\Temp\OnboardLogs"\RTDC4026\2017-10-19 --exclude "*" --recursive --include "*20171019*" &amp; "%USERPROFILE%\Documents\GitHub\mrs-test-scripts\Headless Mode &amp; Sideloading\WalkAndUnGZ.bat" "%USERPROFILE%\AppData\Local\Temp\OnboardLogs"\RTDC4026\2017-10-19</v>
      </c>
      <c r="S25" s="84" t="str">
        <f>VLOOKUP(C25,'Train Runs'!$A$13:$AE$10048,22,0)</f>
        <v>https://d0f6bd738d7f1b3e5a7ca70fe4ff75f0.us-east-1.aws.found.io/app/kibana#/discover/Steve-Slow-Train-Analysis-(2080s-and-2083s)?_g=(refreshInterval:(display:Off,pause:!f,section:0,value:0),time:(from:'2017-10-18T02:10:56-0600',mode:absolute,to:'2017-10-18T04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/stypes="*4026*201710180*" /stext=" 09:.+((SYSTEM_STATE.+slice.+state.+changed )|(ment ac)|(multiple cpu faults)|(system.+state.+changed )|(\[timeout)|(PRM\|1\|D)|(kpr)|(kdp)|(train st.+moving)|(\|lc)|(penalty))"</v>
      </c>
      <c r="U25" s="9" t="str">
        <f>MID(B25,13,4)</f>
        <v>4026</v>
      </c>
      <c r="V25" s="31">
        <f>A25-utc_offset/24</f>
        <v>43026.410509259258</v>
      </c>
      <c r="W25" s="45" t="str">
        <f>DetSubdiv(C25)</f>
        <v>EC</v>
      </c>
      <c r="X25" s="22">
        <f>VALUE(LEFT(C25,LEN(C25)-3))</f>
        <v>101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{"issue":{"subject":"","project_id":79,"tracker_id":40,"status_id":1,"priority_id":2,"assigned_to_id":338,"start_date":"2017-10-18","description":"","custom_fields":[{"id":1,"name":"Subdivision","value":"EC"},{"id":4,"name":"Milepost","value":"23.3491"},{"id":17,"name":"Train ID","value":"101-18"},{"id":16,"name":"Locomotive ID","value":"4026"},{"id":130,"name":"Impact","value":""},{"id":150,"name":"Time of Event (Mountain Time)","value":"03:51:08"},{"id":151,"name":"Denver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/c/Users/stu/AppData/Local/Temp/OnboardLogs/RTDC4026 --include="*4026*201710180*"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"%USERPROFILE%\AppData\Local\Temp\OnboardLogs"\RTDC4026\*4026*201710180* &gt;&gt; 2017-10-18-SliceDisagreementCheck.txt</v>
      </c>
      <c r="AE25" s="145" t="str">
        <f t="shared" si="1"/>
        <v>start /low /b %USERPROFILE%\Documents\GitHub\eaglep3\Utilities\DownloadLogsFromS3.py --loco 4026 --day 2017-10-18</v>
      </c>
      <c r="AF25" s="1"/>
    </row>
    <row r="26" spans="1:32" x14ac:dyDescent="0.3">
      <c r="A26" s="31">
        <v>43026.255173611113</v>
      </c>
      <c r="B26" s="30" t="s">
        <v>460</v>
      </c>
      <c r="C26" s="30" t="s">
        <v>548</v>
      </c>
      <c r="D26" s="30" t="s">
        <v>49</v>
      </c>
      <c r="E26" s="30" t="s">
        <v>179</v>
      </c>
      <c r="F26" s="42">
        <v>0</v>
      </c>
      <c r="G26" s="42">
        <v>130</v>
      </c>
      <c r="H26" s="42">
        <v>232969</v>
      </c>
      <c r="I26" s="42">
        <v>233145</v>
      </c>
      <c r="J26" s="30" t="s">
        <v>180</v>
      </c>
      <c r="K26" s="42">
        <v>233491</v>
      </c>
      <c r="L26" s="131" t="s">
        <v>50</v>
      </c>
      <c r="M26" s="132">
        <f>CONVERT((I26-K26)/10000,"mi","ft")*IF(L26="Increasing Mileposts (1)",-1,1)</f>
        <v>182.68799999999999</v>
      </c>
      <c r="N26" s="133" t="str">
        <f>VLOOKUP(C26,'Trips&amp;Operators'!$C$1:$G$99911,5,FALSE)</f>
        <v>THOMPSON LESTER</v>
      </c>
      <c r="O26" s="176" t="s">
        <v>178</v>
      </c>
      <c r="P26" s="134"/>
      <c r="Q26" s="30"/>
      <c r="R26" s="81" t="str">
        <f>VLOOKUP(C26,'Train Runs'!$A$13:$AE$10048,31,0)</f>
        <v>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 &amp; aws s3 cp s3://rtdc.mdm.uploadarchive.raw/RTDC4020/ "%USERPROFILE%\AppData\Local\Temp\OnboardLogs"\RTDC4020\2017-10-19 --exclude "*" --recursive --include "*20171019*" &amp; "%USERPROFILE%\Documents\GitHub\mrs-test-scripts\Headless Mode &amp; Sideloading\WalkAndUnGZ.bat" "%USERPROFILE%\AppData\Local\Temp\OnboardLogs"\RTDC4020\2017-10-19</v>
      </c>
      <c r="S26" s="84" t="str">
        <f>VLOOKUP(C26,'Train Runs'!$A$13:$AE$10048,22,0)</f>
        <v>https://d0f6bd738d7f1b3e5a7ca70fe4ff75f0.us-east-1.aws.found.io/app/kibana#/discover/Steve-Slow-Train-Analysis-(2080s-and-2083s)?_g=(refreshInterval:(display:Off,pause:!f,section:0,value:0),time:(from:'2017-10-18T04:28:09-0600',mode:absolute,to:'2017-10-18T07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/stypes="*4020*201710181*" /stext=" 12:.+((SYSTEM_STATE.+slice.+state.+changed )|(ment ac)|(multiple cpu faults)|(system.+state.+changed )|(\[timeout)|(PRM\|1\|D)|(kpr)|(kdp)|(train st.+moving)|(\|lc)|(penalty))"</v>
      </c>
      <c r="U26" s="9" t="str">
        <f>MID(B26,13,4)</f>
        <v>4020</v>
      </c>
      <c r="V26" s="31">
        <f>A26-utc_offset/24</f>
        <v>43026.505173611113</v>
      </c>
      <c r="W26" s="45" t="str">
        <f>DetSubdiv(C26)</f>
        <v>EC</v>
      </c>
      <c r="X26" s="22">
        <f>VALUE(LEFT(C26,LEN(C26)-3))</f>
        <v>115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{"issue":{"subject":"","project_id":79,"tracker_id":40,"status_id":1,"priority_id":2,"assigned_to_id":338,"start_date":"2017-10-18","description":"","custom_fields":[{"id":1,"name":"Subdivision","value":"EC"},{"id":4,"name":"Milepost","value":"23.3491"},{"id":17,"name":"Train ID","value":"115-18"},{"id":16,"name":"Locomotive ID","value":"4020"},{"id":130,"name":"Impact","value":""},{"id":150,"name":"Time of Event (Mountain Time)","value":"06:07:27"},{"id":151,"name":"Denver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/c/Users/stu/AppData/Local/Temp/OnboardLogs/RTDC4020 --include="*4020*201710181*"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"%USERPROFILE%\AppData\Local\Temp\OnboardLogs"\RTDC4020\*4020*201710181* &gt;&gt; 2017-10-18-SliceDisagreementCheck.txt</v>
      </c>
      <c r="AE26" s="145" t="str">
        <f t="shared" si="1"/>
        <v>start /low /b %USERPROFILE%\Documents\GitHub\eaglep3\Utilities\DownloadLogsFromS3.py --loco 4020 --day 2017-10-18</v>
      </c>
      <c r="AF26" s="1"/>
    </row>
    <row r="27" spans="1:32" x14ac:dyDescent="0.3">
      <c r="A27" s="31">
        <v>43026.255601851852</v>
      </c>
      <c r="B27" s="30" t="s">
        <v>460</v>
      </c>
      <c r="C27" s="30" t="s">
        <v>548</v>
      </c>
      <c r="D27" s="30" t="s">
        <v>49</v>
      </c>
      <c r="E27" s="30" t="s">
        <v>179</v>
      </c>
      <c r="F27" s="42">
        <v>0</v>
      </c>
      <c r="G27" s="42">
        <v>51</v>
      </c>
      <c r="H27" s="42">
        <v>233259</v>
      </c>
      <c r="I27" s="42">
        <v>233301</v>
      </c>
      <c r="J27" s="30" t="s">
        <v>180</v>
      </c>
      <c r="K27" s="42">
        <v>233491</v>
      </c>
      <c r="L27" s="131" t="s">
        <v>50</v>
      </c>
      <c r="M27" s="132">
        <f>CONVERT((I27-K27)/10000,"mi","ft")*IF(L27="Increasing Mileposts (1)",-1,1)</f>
        <v>100.32</v>
      </c>
      <c r="N27" s="133" t="str">
        <f>VLOOKUP(C27,'Trips&amp;Operators'!$C$1:$G$99911,5,FALSE)</f>
        <v>THOMPSON LESTER</v>
      </c>
      <c r="O27" s="176" t="s">
        <v>178</v>
      </c>
      <c r="P27" s="134"/>
      <c r="Q27" s="30"/>
      <c r="R27" s="81" t="str">
        <f>VLOOKUP(C27,'Train Runs'!$A$13:$AE$10048,31,0)</f>
        <v>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 &amp; aws s3 cp s3://rtdc.mdm.uploadarchive.raw/RTDC4020/ "%USERPROFILE%\AppData\Local\Temp\OnboardLogs"\RTDC4020\2017-10-19 --exclude "*" --recursive --include "*20171019*" &amp; "%USERPROFILE%\Documents\GitHub\mrs-test-scripts\Headless Mode &amp; Sideloading\WalkAndUnGZ.bat" "%USERPROFILE%\AppData\Local\Temp\OnboardLogs"\RTDC4020\2017-10-19</v>
      </c>
      <c r="S27" s="84" t="str">
        <f>VLOOKUP(C27,'Train Runs'!$A$13:$AE$10048,22,0)</f>
        <v>https://d0f6bd738d7f1b3e5a7ca70fe4ff75f0.us-east-1.aws.found.io/app/kibana#/discover/Steve-Slow-Train-Analysis-(2080s-and-2083s)?_g=(refreshInterval:(display:Off,pause:!f,section:0,value:0),time:(from:'2017-10-18T04:28:09-0600',mode:absolute,to:'2017-10-18T07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/stypes="*4020*201710181*" /stext=" 12:.+((SYSTEM_STATE.+slice.+state.+changed )|(ment ac)|(multiple cpu faults)|(system.+state.+changed )|(\[timeout)|(PRM\|1\|D)|(kpr)|(kdp)|(train st.+moving)|(\|lc)|(penalty))"</v>
      </c>
      <c r="U27" s="9" t="str">
        <f>MID(B27,13,4)</f>
        <v>4020</v>
      </c>
      <c r="V27" s="31">
        <f>A27-utc_offset/24</f>
        <v>43026.505601851852</v>
      </c>
      <c r="W27" s="45" t="str">
        <f>DetSubdiv(C27)</f>
        <v>EC</v>
      </c>
      <c r="X27" s="22">
        <f>VALUE(LEFT(C27,LEN(C27)-3))</f>
        <v>115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{"issue":{"subject":"","project_id":79,"tracker_id":40,"status_id":1,"priority_id":2,"assigned_to_id":338,"start_date":"2017-10-18","description":"","custom_fields":[{"id":1,"name":"Subdivision","value":"EC"},{"id":4,"name":"Milepost","value":"23.3491"},{"id":17,"name":"Train ID","value":"115-18"},{"id":16,"name":"Locomotive ID","value":"4020"},{"id":130,"name":"Impact","value":""},{"id":150,"name":"Time of Event (Mountain Time)","value":"06:08:04"},{"id":151,"name":"Denver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/c/Users/stu/AppData/Local/Temp/OnboardLogs/RTDC4020 --include="*4020*201710181*"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"%USERPROFILE%\AppData\Local\Temp\OnboardLogs"\RTDC4020\*4020*201710181* &gt;&gt; 2017-10-18-SliceDisagreementCheck.txt</v>
      </c>
      <c r="AE27" s="145" t="str">
        <f t="shared" si="1"/>
        <v>start /low /b %USERPROFILE%\Documents\GitHub\eaglep3\Utilities\DownloadLogsFromS3.py --loco 4020 --day 2017-10-18</v>
      </c>
      <c r="AF27" s="1"/>
    </row>
    <row r="28" spans="1:32" x14ac:dyDescent="0.3">
      <c r="A28" s="31">
        <v>43026.328958333332</v>
      </c>
      <c r="B28" s="30" t="s">
        <v>460</v>
      </c>
      <c r="C28" s="30" t="s">
        <v>557</v>
      </c>
      <c r="D28" s="30" t="s">
        <v>49</v>
      </c>
      <c r="E28" s="30" t="s">
        <v>179</v>
      </c>
      <c r="F28" s="42">
        <v>0</v>
      </c>
      <c r="G28" s="42">
        <v>141</v>
      </c>
      <c r="H28" s="42">
        <v>232879</v>
      </c>
      <c r="I28" s="42">
        <v>233089</v>
      </c>
      <c r="J28" s="30" t="s">
        <v>180</v>
      </c>
      <c r="K28" s="42">
        <v>233491</v>
      </c>
      <c r="L28" s="131" t="s">
        <v>50</v>
      </c>
      <c r="M28" s="132">
        <f>CONVERT((I28-K28)/10000,"mi","ft")*IF(L28="Increasing Mileposts (1)",-1,1)</f>
        <v>212.256</v>
      </c>
      <c r="N28" s="133" t="str">
        <f>VLOOKUP(C28,'Trips&amp;Operators'!$C$1:$G$99911,5,FALSE)</f>
        <v>THOMPSON LESTER</v>
      </c>
      <c r="O28" s="176" t="s">
        <v>178</v>
      </c>
      <c r="P28" s="134"/>
      <c r="Q28" s="30"/>
      <c r="R28" s="81" t="str">
        <f>VLOOKUP(C28,'Train Runs'!$A$13:$AE$10048,31,0)</f>
        <v>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 &amp; aws s3 cp s3://rtdc.mdm.uploadarchive.raw/RTDC4020/ "%USERPROFILE%\AppData\Local\Temp\OnboardLogs"\RTDC4020\2017-10-19 --exclude "*" --recursive --include "*20171019*" &amp; "%USERPROFILE%\Documents\GitHub\mrs-test-scripts\Headless Mode &amp; Sideloading\WalkAndUnGZ.bat" "%USERPROFILE%\AppData\Local\Temp\OnboardLogs"\RTDC4020\2017-10-19</v>
      </c>
      <c r="S28" s="84" t="str">
        <f>VLOOKUP(C28,'Train Runs'!$A$13:$AE$10048,22,0)</f>
        <v>https://d0f6bd738d7f1b3e5a7ca70fe4ff75f0.us-east-1.aws.found.io/app/kibana#/discover/Steve-Slow-Train-Analysis-(2080s-and-2083s)?_g=(refreshInterval:(display:Off,pause:!f,section:0,value:0),time:(from:'2017-10-18T06:11:45-0600',mode:absolute,to:'2017-10-18T08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/stypes="*4020*201710181*" /stext=" 13:.+((SYSTEM_STATE.+slice.+state.+changed )|(ment ac)|(multiple cpu faults)|(system.+state.+changed )|(\[timeout)|(PRM\|1\|D)|(kpr)|(kdp)|(train st.+moving)|(\|lc)|(penalty))"</v>
      </c>
      <c r="U28" s="9" t="str">
        <f>MID(B28,13,4)</f>
        <v>4020</v>
      </c>
      <c r="V28" s="31">
        <f>A28-utc_offset/24</f>
        <v>43026.578958333332</v>
      </c>
      <c r="W28" s="45" t="str">
        <f>DetSubdiv(C28)</f>
        <v>EC</v>
      </c>
      <c r="X28" s="22">
        <f>VALUE(LEFT(C28,LEN(C28)-3))</f>
        <v>129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{"issue":{"subject":"","project_id":79,"tracker_id":40,"status_id":1,"priority_id":2,"assigned_to_id":338,"start_date":"2017-10-18","description":"","custom_fields":[{"id":1,"name":"Subdivision","value":"EC"},{"id":4,"name":"Milepost","value":"23.3491"},{"id":17,"name":"Train ID","value":"129-18"},{"id":16,"name":"Locomotive ID","value":"4020"},{"id":130,"name":"Impact","value":""},{"id":150,"name":"Time of Event (Mountain Time)","value":"07:53:42"},{"id":151,"name":"Denver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/c/Users/stu/AppData/Local/Temp/OnboardLogs/RTDC4020 --include="*4020*201710181*"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"%USERPROFILE%\AppData\Local\Temp\OnboardLogs"\RTDC4020\*4020*201710181* &gt;&gt; 2017-10-18-SliceDisagreementCheck.txt</v>
      </c>
      <c r="AE28" s="145" t="str">
        <f t="shared" si="1"/>
        <v>start /low /b %USERPROFILE%\Documents\GitHub\eaglep3\Utilities\DownloadLogsFromS3.py --loco 4020 --day 2017-10-18</v>
      </c>
      <c r="AF28" s="1"/>
    </row>
    <row r="29" spans="1:32" x14ac:dyDescent="0.3">
      <c r="A29" s="31">
        <v>43026.329432870371</v>
      </c>
      <c r="B29" s="30" t="s">
        <v>460</v>
      </c>
      <c r="C29" s="30" t="s">
        <v>557</v>
      </c>
      <c r="D29" s="30" t="s">
        <v>49</v>
      </c>
      <c r="E29" s="30" t="s">
        <v>179</v>
      </c>
      <c r="F29" s="42">
        <v>0</v>
      </c>
      <c r="G29" s="42">
        <v>56</v>
      </c>
      <c r="H29" s="42">
        <v>233280</v>
      </c>
      <c r="I29" s="42">
        <v>233308</v>
      </c>
      <c r="J29" s="30" t="s">
        <v>180</v>
      </c>
      <c r="K29" s="42">
        <v>233491</v>
      </c>
      <c r="L29" s="131" t="s">
        <v>50</v>
      </c>
      <c r="M29" s="132">
        <f>CONVERT((I29-K29)/10000,"mi","ft")*IF(L29="Increasing Mileposts (1)",-1,1)</f>
        <v>96.623999999999995</v>
      </c>
      <c r="N29" s="133" t="str">
        <f>VLOOKUP(C29,'Trips&amp;Operators'!$C$1:$G$99911,5,FALSE)</f>
        <v>THOMPSON LESTER</v>
      </c>
      <c r="O29" s="176" t="s">
        <v>178</v>
      </c>
      <c r="P29" s="134"/>
      <c r="Q29" s="30"/>
      <c r="R29" s="81" t="str">
        <f>VLOOKUP(C29,'Train Runs'!$A$13:$AE$10048,31,0)</f>
        <v>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 &amp; aws s3 cp s3://rtdc.mdm.uploadarchive.raw/RTDC4020/ "%USERPROFILE%\AppData\Local\Temp\OnboardLogs"\RTDC4020\2017-10-19 --exclude "*" --recursive --include "*20171019*" &amp; "%USERPROFILE%\Documents\GitHub\mrs-test-scripts\Headless Mode &amp; Sideloading\WalkAndUnGZ.bat" "%USERPROFILE%\AppData\Local\Temp\OnboardLogs"\RTDC4020\2017-10-19</v>
      </c>
      <c r="S29" s="84" t="str">
        <f>VLOOKUP(C29,'Train Runs'!$A$13:$AE$10048,22,0)</f>
        <v>https://d0f6bd738d7f1b3e5a7ca70fe4ff75f0.us-east-1.aws.found.io/app/kibana#/discover/Steve-Slow-Train-Analysis-(2080s-and-2083s)?_g=(refreshInterval:(display:Off,pause:!f,section:0,value:0),time:(from:'2017-10-18T06:11:45-0600',mode:absolute,to:'2017-10-18T08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/stypes="*4020*201710181*" /stext=" 13:.+((SYSTEM_STATE.+slice.+state.+changed )|(ment ac)|(multiple cpu faults)|(system.+state.+changed )|(\[timeout)|(PRM\|1\|D)|(kpr)|(kdp)|(train st.+moving)|(\|lc)|(penalty))"</v>
      </c>
      <c r="U29" s="9" t="str">
        <f>MID(B29,13,4)</f>
        <v>4020</v>
      </c>
      <c r="V29" s="31">
        <f>A29-utc_offset/24</f>
        <v>43026.579432870371</v>
      </c>
      <c r="W29" s="45" t="str">
        <f>DetSubdiv(C29)</f>
        <v>EC</v>
      </c>
      <c r="X29" s="22">
        <f>VALUE(LEFT(C29,LEN(C29)-3))</f>
        <v>129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{"issue":{"subject":"","project_id":79,"tracker_id":40,"status_id":1,"priority_id":2,"assigned_to_id":338,"start_date":"2017-10-18","description":"","custom_fields":[{"id":1,"name":"Subdivision","value":"EC"},{"id":4,"name":"Milepost","value":"23.3491"},{"id":17,"name":"Train ID","value":"129-18"},{"id":16,"name":"Locomotive ID","value":"4020"},{"id":130,"name":"Impact","value":""},{"id":150,"name":"Time of Event (Mountain Time)","value":"07:54:23"},{"id":151,"name":"Denver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/c/Users/stu/AppData/Local/Temp/OnboardLogs/RTDC4020 --include="*4020*201710181*"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"%USERPROFILE%\AppData\Local\Temp\OnboardLogs"\RTDC4020\*4020*201710181* &gt;&gt; 2017-10-18-SliceDisagreementCheck.txt</v>
      </c>
      <c r="AE29" s="145" t="str">
        <f t="shared" si="1"/>
        <v>start /low /b %USERPROFILE%\Documents\GitHub\eaglep3\Utilities\DownloadLogsFromS3.py --loco 4020 --day 2017-10-18</v>
      </c>
      <c r="AF29" s="1"/>
    </row>
    <row r="30" spans="1:32" x14ac:dyDescent="0.3">
      <c r="A30" s="31">
        <v>43026.551678240743</v>
      </c>
      <c r="B30" s="30" t="s">
        <v>549</v>
      </c>
      <c r="C30" s="30" t="s">
        <v>569</v>
      </c>
      <c r="D30" s="30" t="s">
        <v>49</v>
      </c>
      <c r="E30" s="30" t="s">
        <v>192</v>
      </c>
      <c r="F30" s="42">
        <v>300</v>
      </c>
      <c r="G30" s="42">
        <v>397</v>
      </c>
      <c r="H30" s="42">
        <v>19457</v>
      </c>
      <c r="I30" s="42">
        <v>20540</v>
      </c>
      <c r="J30" s="30" t="s">
        <v>193</v>
      </c>
      <c r="K30" s="42">
        <v>21312</v>
      </c>
      <c r="L30" s="131" t="s">
        <v>50</v>
      </c>
      <c r="M30" s="132">
        <f>CONVERT((I30-K30)/10000,"mi","ft")*IF(L30="Increasing Mileposts (1)",-1,1)</f>
        <v>407.61599999999999</v>
      </c>
      <c r="N30" s="133" t="str">
        <f>VLOOKUP(C30,'Trips&amp;Operators'!$C$1:$G$99911,5,FALSE)</f>
        <v>LEVERE CRAIG</v>
      </c>
      <c r="O30" s="176" t="s">
        <v>178</v>
      </c>
      <c r="P30" s="134"/>
      <c r="Q30" s="30"/>
      <c r="R30" s="81" t="str">
        <f>VLOOKUP(C30,'Train Runs'!$A$13:$AE$10048,31,0)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S30" s="84" t="str">
        <f>VLOOKUP(C30,'Train Runs'!$A$13:$AE$10048,22,0)</f>
        <v>https://d0f6bd738d7f1b3e5a7ca70fe4ff75f0.us-east-1.aws.found.io/app/kibana#/discover/Steve-Slow-Train-Analysis-(2080s-and-2083s)?_g=(refreshInterval:(display:Off,pause:!f,section:0,value:0),time:(from:'2017-10-18T12:02:17-0600',mode:absolute,to:'2017-10-18T14:28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/stypes="*4018*201710181*" /stext=" 19:.+((SYSTEM_STATE.+slice.+state.+changed )|(ment ac)|(multiple cpu faults)|(system.+state.+changed )|(\[timeout)|(PRM\|1\|D)|(kpr)|(kdp)|(train st.+moving)|(\|lc)|(penalty))"</v>
      </c>
      <c r="U30" s="9" t="str">
        <f>MID(B30,13,4)</f>
        <v>4018</v>
      </c>
      <c r="V30" s="31">
        <f>A30-utc_offset/24</f>
        <v>43026.801678240743</v>
      </c>
      <c r="W30" s="45" t="str">
        <f>DetSubdiv(C30)</f>
        <v>NW</v>
      </c>
      <c r="X30" s="22">
        <f>VALUE(LEFT(C30,LEN(C30)-3))</f>
        <v>821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{"issue":{"subject":"","project_id":79,"tracker_id":40,"status_id":1,"priority_id":2,"assigned_to_id":338,"start_date":"2017-10-18","description":"","custom_fields":[{"id":1,"name":"Subdivision","value":"NW"},{"id":4,"name":"Milepost","value":"2.1312"},{"id":17,"name":"Train ID","value":"821-18"},{"id":16,"name":"Locomotive ID","value":"4018"},{"id":130,"name":"Impact","value":""},{"id":150,"name":"Time of Event (Mountain Time)","value":"13:14:25"},{"id":151,"name":"Denver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/c/Users/stu/AppData/Local/Temp/OnboardLogs/RTDC4018 --include="*4018*201710181*"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"%USERPROFILE%\AppData\Local\Temp\OnboardLogs"\RTDC4018\*4018*201710181* &gt;&gt; 2017-10-18-SliceDisagreementCheck.txt</v>
      </c>
      <c r="AE30" s="145" t="str">
        <f t="shared" si="1"/>
        <v>start /low /b %USERPROFILE%\Documents\GitHub\eaglep3\Utilities\DownloadLogsFromS3.py --loco 4018 --day 2017-10-18</v>
      </c>
      <c r="AF30" s="1"/>
    </row>
    <row r="31" spans="1:32" x14ac:dyDescent="0.3">
      <c r="A31" s="31">
        <v>43026.718252314815</v>
      </c>
      <c r="B31" s="30" t="s">
        <v>412</v>
      </c>
      <c r="C31" s="30" t="s">
        <v>585</v>
      </c>
      <c r="D31" s="30" t="s">
        <v>49</v>
      </c>
      <c r="E31" s="30" t="s">
        <v>192</v>
      </c>
      <c r="F31" s="42">
        <v>400</v>
      </c>
      <c r="G31" s="42">
        <v>549</v>
      </c>
      <c r="H31" s="42">
        <v>53453</v>
      </c>
      <c r="I31" s="42">
        <v>51287</v>
      </c>
      <c r="J31" s="30" t="s">
        <v>193</v>
      </c>
      <c r="K31" s="42">
        <v>49775</v>
      </c>
      <c r="L31" s="131" t="s">
        <v>51</v>
      </c>
      <c r="M31" s="132">
        <f>CONVERT((I31-K31)/10000,"mi","ft")*IF(L31="Increasing Mileposts (1)",-1,1)</f>
        <v>798.33600000000001</v>
      </c>
      <c r="N31" s="133" t="str">
        <f>VLOOKUP(C31,'Trips&amp;Operators'!$C$1:$G$99911,5,FALSE)</f>
        <v>STAMBAUGH JAMES</v>
      </c>
      <c r="O31" s="176" t="s">
        <v>178</v>
      </c>
      <c r="P31" s="134"/>
      <c r="Q31" s="30"/>
      <c r="R31" s="81" t="str">
        <f>VLOOKUP(C31,'Train Runs'!$A$13:$AE$10048,31,0)</f>
        <v>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 &amp; aws s3 cp s3://rtdc.mdm.uploadarchive.raw/RTDC4035/ "%USERPROFILE%\AppData\Local\Temp\OnboardLogs"\RTDC4035\2017-10-19 --exclude "*" --recursive --include "*20171019*" &amp; "%USERPROFILE%\Documents\GitHub\mrs-test-scripts\Headless Mode &amp; Sideloading\WalkAndUnGZ.bat" "%USERPROFILE%\AppData\Local\Temp\OnboardLogs"\RTDC4035\2017-10-19</v>
      </c>
      <c r="S31" s="84" t="str">
        <f>VLOOKUP(C31,'Train Runs'!$A$13:$AE$10048,22,0)</f>
        <v>https://d0f6bd738d7f1b3e5a7ca70fe4ff75f0.us-east-1.aws.found.io/app/kibana#/discover/Steve-Slow-Train-Analysis-(2080s-and-2083s)?_g=(refreshInterval:(display:Off,pause:!f,section:0,value:0),time:(from:'2017-10-18T15:55:29-0600',mode:absolute,to:'2017-10-18T18:25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/stypes="*4035*201710182*" /stext=" 23:.+((SYSTEM_STATE.+slice.+state.+changed )|(ment ac)|(multiple cpu faults)|(system.+state.+changed )|(\[timeout)|(PRM\|1\|D)|(kpr)|(kdp)|(train st.+moving)|(\|lc)|(penalty))"</v>
      </c>
      <c r="U31" s="9" t="str">
        <f>MID(B31,13,4)</f>
        <v>4035</v>
      </c>
      <c r="V31" s="31">
        <f>A31-utc_offset/24</f>
        <v>43026.968252314815</v>
      </c>
      <c r="W31" s="45" t="str">
        <f>DetSubdiv(C31)</f>
        <v>NW</v>
      </c>
      <c r="X31" s="22">
        <f>VALUE(LEFT(C31,LEN(C31)-3))</f>
        <v>832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{"issue":{"subject":"","project_id":79,"tracker_id":40,"status_id":1,"priority_id":2,"assigned_to_id":338,"start_date":"2017-10-18","description":"","custom_fields":[{"id":1,"name":"Subdivision","value":"NW"},{"id":4,"name":"Milepost","value":"4.9775"},{"id":17,"name":"Train ID","value":"832-18"},{"id":16,"name":"Locomotive ID","value":"4035"},{"id":130,"name":"Impact","value":""},{"id":150,"name":"Time of Event (Mountain Time)","value":"17:14:17"},{"id":151,"name":"Denver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/c/Users/stu/AppData/Local/Temp/OnboardLogs/RTDC4035 --include="*4035*201710182*"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"%USERPROFILE%\AppData\Local\Temp\OnboardLogs"\RTDC4035\*4035*201710182* &gt;&gt; 2017-10-18-SliceDisagreementCheck.txt</v>
      </c>
      <c r="AE31" s="145" t="str">
        <f t="shared" si="1"/>
        <v>start /low /b %USERPROFILE%\Documents\GitHub\eaglep3\Utilities\DownloadLogsFromS3.py --loco 4035 --day 2017-10-18</v>
      </c>
      <c r="AF31" s="1"/>
    </row>
    <row r="32" spans="1:32" x14ac:dyDescent="0.3">
      <c r="A32" s="31">
        <v>43026.319479166668</v>
      </c>
      <c r="B32" s="30" t="s">
        <v>403</v>
      </c>
      <c r="C32" s="30" t="s">
        <v>556</v>
      </c>
      <c r="D32" s="30" t="s">
        <v>95</v>
      </c>
      <c r="E32" s="30" t="s">
        <v>421</v>
      </c>
      <c r="F32" s="42">
        <v>0</v>
      </c>
      <c r="G32" s="42">
        <v>77</v>
      </c>
      <c r="H32" s="42">
        <v>2042</v>
      </c>
      <c r="I32" s="42">
        <v>2152</v>
      </c>
      <c r="J32" s="30" t="s">
        <v>422</v>
      </c>
      <c r="K32" s="42">
        <v>1725</v>
      </c>
      <c r="L32" s="131" t="s">
        <v>50</v>
      </c>
      <c r="M32" s="132">
        <f>CONVERT((I32-K32)/10000,"mi","ft")*IF(L32="Increasing Mileposts (1)",-1,1)</f>
        <v>-225.45599999999999</v>
      </c>
      <c r="N32" s="133" t="str">
        <f>VLOOKUP(C32,'Trips&amp;Operators'!$C$1:$G$99911,5,FALSE)</f>
        <v>LAMAR NEKESHA</v>
      </c>
      <c r="O32" s="176" t="s">
        <v>375</v>
      </c>
      <c r="P32" s="134" t="s">
        <v>500</v>
      </c>
      <c r="Q32" s="30"/>
      <c r="R32" s="81" t="str">
        <f>VLOOKUP(C32,'Train Runs'!$A$13:$AE$10048,31,0)</f>
        <v>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 &amp; aws s3 cp s3://rtdc.mdm.uploadarchive.raw/RTDC4036/ "%USERPROFILE%\AppData\Local\Temp\OnboardLogs"\RTDC4036\2017-10-19 --exclude "*" --recursive --include "*20171019*" &amp; "%USERPROFILE%\Documents\GitHub\mrs-test-scripts\Headless Mode &amp; Sideloading\WalkAndUnGZ.bat" "%USERPROFILE%\AppData\Local\Temp\OnboardLogs"\RTDC4036\2017-10-19</v>
      </c>
      <c r="S32" s="84" t="str">
        <f>VLOOKUP(C32,'Train Runs'!$A$13:$AE$10048,22,0)</f>
        <v>https://d0f6bd738d7f1b3e5a7ca70fe4ff75f0.us-east-1.aws.found.io/app/kibana#/discover/Steve-Slow-Train-Analysis-(2080s-and-2083s)?_g=(refreshInterval:(display:Off,pause:!f,section:0,value:0),time:(from:'2017-10-18T06:40:46-0600',mode:absolute,to:'2017-10-18T08:42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/stypes="*4036*201710181*" /stext=" 13:.+((SYSTEM_STATE.+slice.+state.+changed )|(ment ac)|(multiple cpu faults)|(system.+state.+changed )|(\[timeout)|(PRM\|1\|D)|(kpr)|(kdp)|(train st.+moving)|(\|lc)|(penalty))"</v>
      </c>
      <c r="U32" s="9" t="str">
        <f>MID(B32,13,4)</f>
        <v>4036</v>
      </c>
      <c r="V32" s="31">
        <f>A32-utc_offset/24</f>
        <v>43026.569479166668</v>
      </c>
      <c r="W32" s="45" t="str">
        <f>DetSubdiv(C32)</f>
        <v>NW</v>
      </c>
      <c r="X32" s="22">
        <f>VALUE(LEFT(C32,LEN(C32)-3))</f>
        <v>809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DUS","project_id":79,"tracker_id":40,"status_id":1,"priority_id":2,"assigned_to_id":338,"start_date":"2017-10-18","description":"","custom_fields":[{"id":1,"name":"Subdivision","value":"NW"},{"id":4,"name":"Milepost","value":"0.1725"},{"id":17,"name":"Train ID","value":"809-18"},{"id":16,"name":"Locomotive ID","value":"4036"},{"id":130,"name":"Impact","value":""},{"id":150,"name":"Time of Event (Mountain Time)","value":"07:40:03"},{"id":151,"name":"Denver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/c/Users/stu/AppData/Local/Temp/OnboardLogs/RTDC4036 --include="*4036*201710181*"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"%USERPROFILE%\AppData\Local\Temp\OnboardLogs"\RTDC4036\*4036*201710181* &gt;&gt; 2017-10-18-SliceDisagreementCheck.txt</v>
      </c>
      <c r="AE32" s="145" t="str">
        <f t="shared" si="1"/>
        <v>start /low /b %USERPROFILE%\Documents\GitHub\eaglep3\Utilities\DownloadLogsFromS3.py --loco 4036 --day 2017-10-18</v>
      </c>
      <c r="AF32" s="1"/>
    </row>
    <row r="33" spans="1:32" x14ac:dyDescent="0.3">
      <c r="A33" s="31">
        <v>43026.320949074077</v>
      </c>
      <c r="B33" s="30" t="s">
        <v>403</v>
      </c>
      <c r="C33" s="30" t="s">
        <v>556</v>
      </c>
      <c r="D33" s="30" t="s">
        <v>95</v>
      </c>
      <c r="E33" s="30" t="s">
        <v>421</v>
      </c>
      <c r="F33" s="42">
        <v>0</v>
      </c>
      <c r="G33" s="42">
        <v>76</v>
      </c>
      <c r="H33" s="42">
        <v>2451</v>
      </c>
      <c r="I33" s="42">
        <v>2585</v>
      </c>
      <c r="J33" s="30" t="s">
        <v>422</v>
      </c>
      <c r="K33" s="42">
        <v>1725</v>
      </c>
      <c r="L33" s="131" t="s">
        <v>50</v>
      </c>
      <c r="M33" s="132">
        <f>CONVERT((I33-K33)/10000,"mi","ft")*IF(L33="Increasing Mileposts (1)",-1,1)</f>
        <v>-454.08</v>
      </c>
      <c r="N33" s="133" t="str">
        <f>VLOOKUP(C33,'Trips&amp;Operators'!$C$1:$G$99911,5,FALSE)</f>
        <v>LAMAR NEKESHA</v>
      </c>
      <c r="O33" s="176" t="s">
        <v>375</v>
      </c>
      <c r="P33" s="134" t="s">
        <v>500</v>
      </c>
      <c r="Q33" s="30"/>
      <c r="R33" s="81" t="str">
        <f>VLOOKUP(C33,'Train Runs'!$A$13:$AE$10048,31,0)</f>
        <v>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 &amp; aws s3 cp s3://rtdc.mdm.uploadarchive.raw/RTDC4036/ "%USERPROFILE%\AppData\Local\Temp\OnboardLogs"\RTDC4036\2017-10-19 --exclude "*" --recursive --include "*20171019*" &amp; "%USERPROFILE%\Documents\GitHub\mrs-test-scripts\Headless Mode &amp; Sideloading\WalkAndUnGZ.bat" "%USERPROFILE%\AppData\Local\Temp\OnboardLogs"\RTDC4036\2017-10-19</v>
      </c>
      <c r="S33" s="84" t="str">
        <f>VLOOKUP(C33,'Train Runs'!$A$13:$AE$10048,22,0)</f>
        <v>https://d0f6bd738d7f1b3e5a7ca70fe4ff75f0.us-east-1.aws.found.io/app/kibana#/discover/Steve-Slow-Train-Analysis-(2080s-and-2083s)?_g=(refreshInterval:(display:Off,pause:!f,section:0,value:0),time:(from:'2017-10-18T06:40:46-0600',mode:absolute,to:'2017-10-18T08:42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/stypes="*4036*201710181*" /stext=" 13:.+((SYSTEM_STATE.+slice.+state.+changed )|(ment ac)|(multiple cpu faults)|(system.+state.+changed )|(\[timeout)|(PRM\|1\|D)|(kpr)|(kdp)|(train st.+moving)|(\|lc)|(penalty))"</v>
      </c>
      <c r="U33" s="9" t="str">
        <f>MID(B33,13,4)</f>
        <v>4036</v>
      </c>
      <c r="V33" s="31">
        <f>A33-utc_offset/24</f>
        <v>43026.570949074077</v>
      </c>
      <c r="W33" s="45" t="str">
        <f>DetSubdiv(C33)</f>
        <v>NW</v>
      </c>
      <c r="X33" s="22">
        <f>VALUE(LEFT(C33,LEN(C33)-3))</f>
        <v>809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DUS","project_id":79,"tracker_id":40,"status_id":1,"priority_id":2,"assigned_to_id":338,"start_date":"2017-10-18","description":"","custom_fields":[{"id":1,"name":"Subdivision","value":"NW"},{"id":4,"name":"Milepost","value":"0.1725"},{"id":17,"name":"Train ID","value":"809-18"},{"id":16,"name":"Locomotive ID","value":"4036"},{"id":130,"name":"Impact","value":""},{"id":150,"name":"Time of Event (Mountain Time)","value":"07:42:10"},{"id":151,"name":"Denver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/c/Users/stu/AppData/Local/Temp/OnboardLogs/RTDC4036 --include="*4036*201710181*"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"%USERPROFILE%\AppData\Local\Temp\OnboardLogs"\RTDC4036\*4036*201710181* &gt;&gt; 2017-10-18-SliceDisagreementCheck.txt</v>
      </c>
      <c r="AE33" s="145" t="str">
        <f t="shared" si="1"/>
        <v>start /low /b %USERPROFILE%\Documents\GitHub\eaglep3\Utilities\DownloadLogsFromS3.py --loco 4036 --day 2017-10-18</v>
      </c>
      <c r="AF33" s="1"/>
    </row>
    <row r="34" spans="1:32" x14ac:dyDescent="0.3">
      <c r="A34" s="31">
        <v>43026.620949074073</v>
      </c>
      <c r="B34" s="30" t="s">
        <v>576</v>
      </c>
      <c r="C34" s="30" t="s">
        <v>577</v>
      </c>
      <c r="D34" s="30" t="s">
        <v>95</v>
      </c>
      <c r="E34" s="30" t="s">
        <v>421</v>
      </c>
      <c r="F34" s="42">
        <v>0</v>
      </c>
      <c r="G34" s="42">
        <v>75</v>
      </c>
      <c r="H34" s="42">
        <v>4776</v>
      </c>
      <c r="I34" s="42">
        <v>4694</v>
      </c>
      <c r="J34" s="30" t="s">
        <v>422</v>
      </c>
      <c r="K34" s="42">
        <v>4798</v>
      </c>
      <c r="L34" s="131" t="s">
        <v>51</v>
      </c>
      <c r="M34" s="132">
        <f>CONVERT((I34-K34)/10000,"mi","ft")*IF(L34="Increasing Mileposts (1)",-1,1)</f>
        <v>-54.911999999999999</v>
      </c>
      <c r="N34" s="133" t="str">
        <f>VLOOKUP(C34,'Trips&amp;Operators'!$C$1:$G$99911,5,FALSE)</f>
        <v>LEVERE CRAIG</v>
      </c>
      <c r="O34" s="176" t="s">
        <v>375</v>
      </c>
      <c r="P34" s="134" t="s">
        <v>1020</v>
      </c>
      <c r="Q34" s="30"/>
      <c r="R34" s="81" t="str">
        <f>VLOOKUP(C34,'Train Runs'!$A$13:$AE$10048,31,0)</f>
        <v>aws s3 cp s3://rtdc.mdm.uploadarchive.raw/RTDC4017/ "%USERPROFILE%\AppData\Local\Temp\OnboardLogs"\RTDC4017\2017-10-18 --exclude "*" --recursive --include "*20171018*" &amp; "%USERPROFILE%\Documents\GitHub\mrs-test-scripts\Headless Mode &amp; Sideloading\WalkAndUnGZ.bat" "%USERPROFILE%\AppData\Local\Temp\OnboardLogs"\RTDC4017\2017-10-18 &amp; 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</v>
      </c>
      <c r="S34" s="84" t="str">
        <f>VLOOKUP(C34,'Train Runs'!$A$13:$AE$10048,22,0)</f>
        <v>https://d0f6bd738d7f1b3e5a7ca70fe4ff75f0.us-east-1.aws.found.io/app/kibana#/discover/Steve-Slow-Train-Analysis-(2080s-and-2083s)?_g=(refreshInterval:(display:Off,pause:!f,section:0,value:0),time:(from:'2017-10-18T13:25:55-0600',mode:absolute,to:'2017-10-18T15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/stypes="*4017*201710182*" /stext=" 20:.+((SYSTEM_STATE.+slice.+state.+changed )|(ment ac)|(multiple cpu faults)|(system.+state.+changed )|(\[timeout)|(PRM\|1\|D)|(kpr)|(kdp)|(train st.+moving)|(\|lc)|(penalty))"</v>
      </c>
      <c r="U34" s="9" t="str">
        <f>MID(B34,13,4)</f>
        <v>4017</v>
      </c>
      <c r="V34" s="31">
        <f>A34-utc_offset/24</f>
        <v>43026.870949074073</v>
      </c>
      <c r="W34" s="45" t="str">
        <f>DetSubdiv(C34)</f>
        <v>NW</v>
      </c>
      <c r="X34" s="22">
        <f>VALUE(LEFT(C34,LEN(C34)-3))</f>
        <v>824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overpass","project_id":79,"tracker_id":40,"status_id":1,"priority_id":2,"assigned_to_id":338,"start_date":"2017-10-18","description":"","custom_fields":[{"id":1,"name":"Subdivision","value":"NW"},{"id":4,"name":"Milepost","value":"0.4798"},{"id":17,"name":"Train ID","value":"824-18"},{"id":16,"name":"Locomotive ID","value":"4017"},{"id":130,"name":"Impact","value":""},{"id":150,"name":"Time of Event (Mountain Time)","value":"14:54:10"},{"id":151,"name":"Denver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/c/Users/stu/AppData/Local/Temp/OnboardLogs/RTDC4017 --include="*4017*201710182*"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"%USERPROFILE%\AppData\Local\Temp\OnboardLogs"\RTDC4017\*4017*201710182* &gt;&gt; 2017-10-18-SliceDisagreementCheck.txt</v>
      </c>
      <c r="AE34" s="145" t="str">
        <f t="shared" si="1"/>
        <v>start /low /b %USERPROFILE%\Documents\GitHub\eaglep3\Utilities\DownloadLogsFromS3.py --loco 4017 --day 2017-10-18</v>
      </c>
      <c r="AF34" s="1"/>
    </row>
    <row r="35" spans="1:32" x14ac:dyDescent="0.3">
      <c r="A35" s="31">
        <v>43026.552499999998</v>
      </c>
      <c r="B35" s="30" t="s">
        <v>549</v>
      </c>
      <c r="C35" s="30" t="s">
        <v>569</v>
      </c>
      <c r="D35" s="30" t="s">
        <v>95</v>
      </c>
      <c r="E35" s="30" t="s">
        <v>421</v>
      </c>
      <c r="F35" s="42">
        <v>0</v>
      </c>
      <c r="G35" s="42">
        <v>289</v>
      </c>
      <c r="H35" s="42">
        <v>22355</v>
      </c>
      <c r="I35" s="42">
        <v>23235</v>
      </c>
      <c r="J35" s="30" t="s">
        <v>422</v>
      </c>
      <c r="K35" s="42">
        <v>22314</v>
      </c>
      <c r="L35" s="131" t="s">
        <v>50</v>
      </c>
      <c r="M35" s="132">
        <f>CONVERT((I35-K35)/10000,"mi","ft")*IF(L35="Increasing Mileposts (1)",-1,1)</f>
        <v>-486.28800000000001</v>
      </c>
      <c r="N35" s="133" t="str">
        <f>VLOOKUP(C35,'Trips&amp;Operators'!$C$1:$G$99911,5,FALSE)</f>
        <v>LEVERE CRAIG</v>
      </c>
      <c r="O35" s="176" t="s">
        <v>375</v>
      </c>
      <c r="P35" s="134" t="s">
        <v>1019</v>
      </c>
      <c r="Q35" s="30"/>
      <c r="R35" s="81" t="str">
        <f>VLOOKUP(C35,'Train Runs'!$A$13:$AE$10048,31,0)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S35" s="84" t="str">
        <f>VLOOKUP(C35,'Train Runs'!$A$13:$AE$10048,22,0)</f>
        <v>https://d0f6bd738d7f1b3e5a7ca70fe4ff75f0.us-east-1.aws.found.io/app/kibana#/discover/Steve-Slow-Train-Analysis-(2080s-and-2083s)?_g=(refreshInterval:(display:Off,pause:!f,section:0,value:0),time:(from:'2017-10-18T12:02:17-0600',mode:absolute,to:'2017-10-18T14:28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/stypes="*4018*201710181*" /stext=" 19:.+((SYSTEM_STATE.+slice.+state.+changed )|(ment ac)|(multiple cpu faults)|(system.+state.+changed )|(\[timeout)|(PRM\|1\|D)|(kpr)|(kdp)|(train st.+moving)|(\|lc)|(penalty))"</v>
      </c>
      <c r="U35" s="9" t="str">
        <f>MID(B35,13,4)</f>
        <v>4018</v>
      </c>
      <c r="V35" s="31">
        <f>A35-utc_offset/24</f>
        <v>43026.802499999998</v>
      </c>
      <c r="W35" s="45" t="str">
        <f>DetSubdiv(C35)</f>
        <v>NW</v>
      </c>
      <c r="X35" s="22">
        <f>VALUE(LEFT(C35,LEN(C35)-3))</f>
        <v>821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{"issue":{"subject":"Minor onboard en route failure","project_id":79,"tracker_id":40,"status_id":1,"priority_id":2,"assigned_to_id":338,"start_date":"2017-10-18","description":"","custom_fields":[{"id":1,"name":"Subdivision","value":"NW"},{"id":4,"name":"Milepost","value":"2.2314"},{"id":17,"name":"Train ID","value":"821-18"},{"id":16,"name":"Locomotive ID","value":"4018"},{"id":130,"name":"Impact","value":""},{"id":150,"name":"Time of Event (Mountain Time)","value":"13:15:36"},{"id":151,"name":"Denver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/c/Users/stu/AppData/Local/Temp/OnboardLogs/RTDC4018 --include="*4018*201710181*"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"%USERPROFILE%\AppData\Local\Temp\OnboardLogs"\RTDC4018\*4018*201710181* &gt;&gt; 2017-10-18-SliceDisagreementCheck.txt</v>
      </c>
      <c r="AE35" s="145" t="str">
        <f t="shared" si="1"/>
        <v>start /low /b %USERPROFILE%\Documents\GitHub\eaglep3\Utilities\DownloadLogsFromS3.py --loco 4018 --day 2017-10-18</v>
      </c>
      <c r="AF35" s="1"/>
    </row>
    <row r="36" spans="1:32" x14ac:dyDescent="0.3">
      <c r="A36" s="31">
        <v>43026.264432870368</v>
      </c>
      <c r="B36" s="30" t="s">
        <v>549</v>
      </c>
      <c r="C36" s="30" t="s">
        <v>550</v>
      </c>
      <c r="D36" s="30" t="s">
        <v>95</v>
      </c>
      <c r="E36" s="30" t="s">
        <v>421</v>
      </c>
      <c r="F36" s="42">
        <v>200</v>
      </c>
      <c r="G36" s="42">
        <v>258</v>
      </c>
      <c r="H36" s="42">
        <v>38830</v>
      </c>
      <c r="I36" s="42">
        <v>39397</v>
      </c>
      <c r="J36" s="30" t="s">
        <v>422</v>
      </c>
      <c r="K36" s="42">
        <v>37575</v>
      </c>
      <c r="L36" s="131" t="s">
        <v>50</v>
      </c>
      <c r="M36" s="132">
        <f>CONVERT((I36-K36)/10000,"mi","ft")*IF(L36="Increasing Mileposts (1)",-1,1)</f>
        <v>-962.01599999999996</v>
      </c>
      <c r="N36" s="133" t="str">
        <f>VLOOKUP(C36,'Trips&amp;Operators'!$C$1:$G$99911,5,FALSE)</f>
        <v>GEBRETEKLE DAGNEW</v>
      </c>
      <c r="O36" s="176" t="s">
        <v>375</v>
      </c>
      <c r="P36" s="134" t="s">
        <v>1021</v>
      </c>
      <c r="Q36" s="30"/>
      <c r="R36" s="81" t="str">
        <f>VLOOKUP(C36,'Train Runs'!$A$13:$AE$10048,31,0)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S36" s="84" t="str">
        <f>VLOOKUP(C36,'Train Runs'!$A$13:$AE$10048,22,0)</f>
        <v>https://d0f6bd738d7f1b3e5a7ca70fe4ff75f0.us-east-1.aws.found.io/app/kibana#/discover/Steve-Slow-Train-Analysis-(2080s-and-2083s)?_g=(refreshInterval:(display:Off,pause:!f,section:0,value:0),time:(from:'2017-10-18T05:01:06-0600',mode:absolute,to:'2017-10-18T07:27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/stypes="*4018*201710181*" /stext=" 12:.+((SYSTEM_STATE.+slice.+state.+changed )|(ment ac)|(multiple cpu faults)|(system.+state.+changed )|(\[timeout)|(PRM\|1\|D)|(kpr)|(kdp)|(train st.+moving)|(\|lc)|(penalty))"</v>
      </c>
      <c r="U36" s="9" t="str">
        <f>MID(B36,13,4)</f>
        <v>4018</v>
      </c>
      <c r="V36" s="31">
        <f>A36-utc_offset/24</f>
        <v>43026.514432870368</v>
      </c>
      <c r="W36" s="45" t="str">
        <f>DetSubdiv(C36)</f>
        <v>NW</v>
      </c>
      <c r="X36" s="22">
        <f>VALUE(LEFT(C36,LEN(C36)-3))</f>
        <v>803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{"issue":{"subject":"Restricted signal aspect","project_id":79,"tracker_id":40,"status_id":1,"priority_id":2,"assigned_to_id":338,"start_date":"2017-10-18","description":"","custom_fields":[{"id":1,"name":"Subdivision","value":"NW"},{"id":4,"name":"Milepost","value":"3.7575"},{"id":17,"name":"Train ID","value":"803-18"},{"id":16,"name":"Locomotive ID","value":"4018"},{"id":130,"name":"Impact","value":""},{"id":150,"name":"Time of Event (Mountain Time)","value":"06:20:47"},{"id":151,"name":"Denver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/c/Users/stu/AppData/Local/Temp/OnboardLogs/RTDC4018 --include="*4018*201710181*"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"%USERPROFILE%\AppData\Local\Temp\OnboardLogs"\RTDC4018\*4018*201710181* &gt;&gt; 2017-10-18-SliceDisagreementCheck.txt</v>
      </c>
      <c r="AE36" s="145" t="str">
        <f t="shared" si="1"/>
        <v>start /low /b %USERPROFILE%\Documents\GitHub\eaglep3\Utilities\DownloadLogsFromS3.py --loco 4018 --day 2017-10-18</v>
      </c>
      <c r="AF36" s="1"/>
    </row>
    <row r="37" spans="1:32" x14ac:dyDescent="0.3">
      <c r="A37" s="31">
        <v>43026.287777777776</v>
      </c>
      <c r="B37" s="30" t="s">
        <v>403</v>
      </c>
      <c r="C37" s="30" t="s">
        <v>553</v>
      </c>
      <c r="D37" s="30" t="s">
        <v>49</v>
      </c>
      <c r="E37" s="30" t="s">
        <v>179</v>
      </c>
      <c r="F37" s="42">
        <v>0</v>
      </c>
      <c r="G37" s="42">
        <v>25</v>
      </c>
      <c r="H37" s="42">
        <v>59001</v>
      </c>
      <c r="I37" s="42">
        <v>59014</v>
      </c>
      <c r="J37" s="30" t="s">
        <v>180</v>
      </c>
      <c r="K37" s="42">
        <v>59048</v>
      </c>
      <c r="L37" s="131" t="s">
        <v>50</v>
      </c>
      <c r="M37" s="132">
        <f>CONVERT((I37-K37)/10000,"mi","ft")*IF(L37="Increasing Mileposts (1)",-1,1)</f>
        <v>17.952000000000002</v>
      </c>
      <c r="N37" s="133" t="str">
        <f>VLOOKUP(C37,'Trips&amp;Operators'!$C$1:$G$99911,5,FALSE)</f>
        <v>LAMAR NEKESHA</v>
      </c>
      <c r="O37" s="176" t="s">
        <v>178</v>
      </c>
      <c r="P37" s="134"/>
      <c r="Q37" s="30"/>
      <c r="R37" s="81" t="str">
        <f>VLOOKUP(C37,'Train Runs'!$A$13:$AE$10048,31,0)</f>
        <v>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 &amp; aws s3 cp s3://rtdc.mdm.uploadarchive.raw/RTDC4036/ "%USERPROFILE%\AppData\Local\Temp\OnboardLogs"\RTDC4036\2017-10-19 --exclude "*" --recursive --include "*20171019*" &amp; "%USERPROFILE%\Documents\GitHub\mrs-test-scripts\Headless Mode &amp; Sideloading\WalkAndUnGZ.bat" "%USERPROFILE%\AppData\Local\Temp\OnboardLogs"\RTDC4036\2017-10-19</v>
      </c>
      <c r="S37" s="84" t="str">
        <f>VLOOKUP(C37,'Train Runs'!$A$13:$AE$10048,22,0)</f>
        <v>https://d0f6bd738d7f1b3e5a7ca70fe4ff75f0.us-east-1.aws.found.io/app/kibana#/discover/Steve-Slow-Train-Analysis-(2080s-and-2083s)?_g=(refreshInterval:(display:Off,pause:!f,section:0,value:0),time:(from:'2017-10-18T05:31:04-0600',mode:absolute,to:'2017-10-18T07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/stypes="*4036*201710181*" /stext=" 12:.+((SYSTEM_STATE.+slice.+state.+changed )|(ment ac)|(multiple cpu faults)|(system.+state.+changed )|(\[timeout)|(PRM\|1\|D)|(kpr)|(kdp)|(train st.+moving)|(\|lc)|(penalty))"</v>
      </c>
      <c r="U37" s="9" t="str">
        <f>MID(B37,13,4)</f>
        <v>4036</v>
      </c>
      <c r="V37" s="31">
        <f>A37-utc_offset/24</f>
        <v>43026.537777777776</v>
      </c>
      <c r="W37" s="45" t="str">
        <f>DetSubdiv(C37)</f>
        <v>NW</v>
      </c>
      <c r="X37" s="22">
        <f>VALUE(LEFT(C37,LEN(C37)-3))</f>
        <v>805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{"issue":{"subject":"","project_id":79,"tracker_id":40,"status_id":1,"priority_id":2,"assigned_to_id":338,"start_date":"2017-10-18","description":"","custom_fields":[{"id":1,"name":"Subdivision","value":"NW"},{"id":4,"name":"Milepost","value":"5.9048"},{"id":17,"name":"Train ID","value":"805-18"},{"id":16,"name":"Locomotive ID","value":"4036"},{"id":130,"name":"Impact","value":""},{"id":150,"name":"Time of Event (Mountain Time)","value":"06:54:24"},{"id":151,"name":"Denver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/c/Users/stu/AppData/Local/Temp/OnboardLogs/RTDC4036 --include="*4036*201710181*"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"%USERPROFILE%\AppData\Local\Temp\OnboardLogs"\RTDC4036\*4036*201710181* &gt;&gt; 2017-10-18-SliceDisagreementCheck.txt</v>
      </c>
      <c r="AE37" s="145" t="str">
        <f t="shared" si="1"/>
        <v>start /low /b %USERPROFILE%\Documents\GitHub\eaglep3\Utilities\DownloadLogsFromS3.py --loco 4036 --day 2017-10-18</v>
      </c>
      <c r="AF37" s="1"/>
    </row>
    <row r="38" spans="1:32" x14ac:dyDescent="0.3">
      <c r="A38" s="31">
        <v>43026.704004629632</v>
      </c>
      <c r="B38" s="30" t="s">
        <v>403</v>
      </c>
      <c r="C38" s="30" t="s">
        <v>583</v>
      </c>
      <c r="D38" s="30" t="s">
        <v>49</v>
      </c>
      <c r="E38" s="30" t="s">
        <v>179</v>
      </c>
      <c r="F38" s="42">
        <v>0</v>
      </c>
      <c r="G38" s="42">
        <v>42</v>
      </c>
      <c r="H38" s="42">
        <v>58920</v>
      </c>
      <c r="I38" s="42">
        <v>58971</v>
      </c>
      <c r="J38" s="30" t="s">
        <v>180</v>
      </c>
      <c r="K38" s="42">
        <v>59048</v>
      </c>
      <c r="L38" s="131" t="s">
        <v>50</v>
      </c>
      <c r="M38" s="132">
        <f>CONVERT((I38-K38)/10000,"mi","ft")*IF(L38="Increasing Mileposts (1)",-1,1)</f>
        <v>40.655999999999999</v>
      </c>
      <c r="N38" s="133" t="str">
        <f>VLOOKUP(C38,'Trips&amp;Operators'!$C$1:$G$99911,5,FALSE)</f>
        <v>STAMBAUGH JAMES</v>
      </c>
      <c r="O38" s="176" t="s">
        <v>178</v>
      </c>
      <c r="P38" s="134"/>
      <c r="Q38" s="30"/>
      <c r="R38" s="81" t="str">
        <f>VLOOKUP(C38,'Train Runs'!$A$13:$AE$10048,31,0)</f>
        <v>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 &amp; aws s3 cp s3://rtdc.mdm.uploadarchive.raw/RTDC4036/ "%USERPROFILE%\AppData\Local\Temp\OnboardLogs"\RTDC4036\2017-10-19 --exclude "*" --recursive --include "*20171019*" &amp; "%USERPROFILE%\Documents\GitHub\mrs-test-scripts\Headless Mode &amp; Sideloading\WalkAndUnGZ.bat" "%USERPROFILE%\AppData\Local\Temp\OnboardLogs"\RTDC4036\2017-10-19</v>
      </c>
      <c r="S38" s="84" t="str">
        <f>VLOOKUP(C38,'Train Runs'!$A$13:$AE$10048,22,0)</f>
        <v>https://d0f6bd738d7f1b3e5a7ca70fe4ff75f0.us-east-1.aws.found.io/app/kibana#/discover/Steve-Slow-Train-Analysis-(2080s-and-2083s)?_g=(refreshInterval:(display:Off,pause:!f,section:0,value:0),time:(from:'2017-10-18T15:35:59-0600',mode:absolute,to:'2017-10-18T17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/stypes="*4036*201710182*" /stext=" 22:.+((SYSTEM_STATE.+slice.+state.+changed )|(ment ac)|(multiple cpu faults)|(system.+state.+changed )|(\[timeout)|(PRM\|1\|D)|(kpr)|(kdp)|(train st.+moving)|(\|lc)|(penalty))"</v>
      </c>
      <c r="U38" s="9" t="str">
        <f>MID(B38,13,4)</f>
        <v>4036</v>
      </c>
      <c r="V38" s="31">
        <f>A38-utc_offset/24</f>
        <v>43026.954004629632</v>
      </c>
      <c r="W38" s="45" t="str">
        <f>DetSubdiv(C38)</f>
        <v>NW</v>
      </c>
      <c r="X38" s="22">
        <f>VALUE(LEFT(C38,LEN(C38)-3))</f>
        <v>831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{"issue":{"subject":"","project_id":79,"tracker_id":40,"status_id":1,"priority_id":2,"assigned_to_id":338,"start_date":"2017-10-18","description":"","custom_fields":[{"id":1,"name":"Subdivision","value":"NW"},{"id":4,"name":"Milepost","value":"5.9048"},{"id":17,"name":"Train ID","value":"831-18"},{"id":16,"name":"Locomotive ID","value":"4036"},{"id":130,"name":"Impact","value":""},{"id":150,"name":"Time of Event (Mountain Time)","value":"16:53:46"},{"id":151,"name":"Denver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/c/Users/stu/AppData/Local/Temp/OnboardLogs/RTDC4036 --include="*4036*201710182*"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"%USERPROFILE%\AppData\Local\Temp\OnboardLogs"\RTDC4036\*4036*201710182* &gt;&gt; 2017-10-18-SliceDisagreementCheck.txt</v>
      </c>
      <c r="AE38" s="145" t="str">
        <f t="shared" si="1"/>
        <v>start /low /b %USERPROFILE%\Documents\GitHub\eaglep3\Utilities\DownloadLogsFromS3.py --loco 4036 --day 2017-10-18</v>
      </c>
      <c r="AF38" s="1"/>
    </row>
    <row r="39" spans="1:32" x14ac:dyDescent="0.3">
      <c r="A39" s="31">
        <v>43026.787569444445</v>
      </c>
      <c r="B39" s="30" t="s">
        <v>403</v>
      </c>
      <c r="C39" s="30" t="s">
        <v>588</v>
      </c>
      <c r="D39" s="30" t="s">
        <v>49</v>
      </c>
      <c r="E39" s="30" t="s">
        <v>179</v>
      </c>
      <c r="F39" s="42">
        <v>0</v>
      </c>
      <c r="G39" s="42">
        <v>64</v>
      </c>
      <c r="H39" s="42">
        <v>58852</v>
      </c>
      <c r="I39" s="42">
        <v>58918</v>
      </c>
      <c r="J39" s="30" t="s">
        <v>180</v>
      </c>
      <c r="K39" s="42">
        <v>59048</v>
      </c>
      <c r="L39" s="131" t="s">
        <v>50</v>
      </c>
      <c r="M39" s="132">
        <f>CONVERT((I39-K39)/10000,"mi","ft")*IF(L39="Increasing Mileposts (1)",-1,1)</f>
        <v>68.64</v>
      </c>
      <c r="N39" s="133" t="str">
        <f>VLOOKUP(C39,'Trips&amp;Operators'!$C$1:$G$99911,5,FALSE)</f>
        <v>STAMBAUGH JAMES</v>
      </c>
      <c r="O39" s="176" t="s">
        <v>178</v>
      </c>
      <c r="P39" s="134"/>
      <c r="Q39" s="30"/>
      <c r="R39" s="81" t="str">
        <f>VLOOKUP(C39,'Train Runs'!$A$13:$AE$10048,31,0)</f>
        <v>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 &amp; aws s3 cp s3://rtdc.mdm.uploadarchive.raw/RTDC4036/ "%USERPROFILE%\AppData\Local\Temp\OnboardLogs"\RTDC4036\2017-10-19 --exclude "*" --recursive --include "*20171019*" &amp; "%USERPROFILE%\Documents\GitHub\mrs-test-scripts\Headless Mode &amp; Sideloading\WalkAndUnGZ.bat" "%USERPROFILE%\AppData\Local\Temp\OnboardLogs"\RTDC4036\2017-10-19</v>
      </c>
      <c r="S39" s="84" t="str">
        <f>VLOOKUP(C39,'Train Runs'!$A$13:$AE$10048,22,0)</f>
        <v>https://d0f6bd738d7f1b3e5a7ca70fe4ff75f0.us-east-1.aws.found.io/app/kibana#/discover/Steve-Slow-Train-Analysis-(2080s-and-2083s)?_g=(refreshInterval:(display:Off,pause:!f,section:0,value:0),time:(from:'2017-10-18T17:35:26-0600',mode:absolute,to:'2017-10-18T19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/stypes="*4036*201710190*" /stext=" 00:.+((SYSTEM_STATE.+slice.+state.+changed )|(ment ac)|(multiple cpu faults)|(system.+state.+changed )|(\[timeout)|(PRM\|1\|D)|(kpr)|(kdp)|(train st.+moving)|(\|lc)|(penalty))"</v>
      </c>
      <c r="U39" s="9" t="str">
        <f>MID(B39,13,4)</f>
        <v>4036</v>
      </c>
      <c r="V39" s="31">
        <f>A39-utc_offset/24</f>
        <v>43027.037569444445</v>
      </c>
      <c r="W39" s="45" t="str">
        <f>DetSubdiv(C39)</f>
        <v>NW</v>
      </c>
      <c r="X39" s="22">
        <f>VALUE(LEFT(C39,LEN(C39)-3))</f>
        <v>839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{"issue":{"subject":"","project_id":79,"tracker_id":40,"status_id":1,"priority_id":2,"assigned_to_id":338,"start_date":"2017-10-18","description":"","custom_fields":[{"id":1,"name":"Subdivision","value":"NW"},{"id":4,"name":"Milepost","value":"5.9048"},{"id":17,"name":"Train ID","value":"839-18"},{"id":16,"name":"Locomotive ID","value":"4036"},{"id":130,"name":"Impact","value":""},{"id":150,"name":"Time of Event (Mountain Time)","value":"18:54:06"},{"id":151,"name":"Denver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/c/Users/stu/AppData/Local/Temp/OnboardLogs/RTDC4036 --include="*4036*201710190*"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"%USERPROFILE%\AppData\Local\Temp\OnboardLogs"\RTDC4036\*4036*201710190* &gt;&gt; 2017-10-18-SliceDisagreementCheck.txt</v>
      </c>
      <c r="AE39" s="145" t="str">
        <f t="shared" si="1"/>
        <v>start /low /b %USERPROFILE%\Documents\GitHub\eaglep3\Utilities\DownloadLogsFromS3.py --loco 4036 --day 2017-10-19</v>
      </c>
      <c r="AF39" s="1"/>
    </row>
    <row r="40" spans="1:32" x14ac:dyDescent="0.3">
      <c r="A40" s="31">
        <v>43026.890682870369</v>
      </c>
      <c r="B40" s="30" t="s">
        <v>549</v>
      </c>
      <c r="C40" s="30" t="s">
        <v>590</v>
      </c>
      <c r="D40" s="30" t="s">
        <v>49</v>
      </c>
      <c r="E40" s="30" t="s">
        <v>179</v>
      </c>
      <c r="F40" s="42">
        <v>0</v>
      </c>
      <c r="G40" s="42">
        <v>32</v>
      </c>
      <c r="H40" s="42">
        <v>58978</v>
      </c>
      <c r="I40" s="42">
        <v>58990</v>
      </c>
      <c r="J40" s="30" t="s">
        <v>180</v>
      </c>
      <c r="K40" s="42">
        <v>59048</v>
      </c>
      <c r="L40" s="131" t="s">
        <v>50</v>
      </c>
      <c r="M40" s="132">
        <f>CONVERT((I40-K40)/10000,"mi","ft")*IF(L40="Increasing Mileposts (1)",-1,1)</f>
        <v>30.623999999999999</v>
      </c>
      <c r="N40" s="133" t="str">
        <f>VLOOKUP(C40,'Trips&amp;Operators'!$C$1:$G$99911,5,FALSE)</f>
        <v>STAMBAUGH JAMES</v>
      </c>
      <c r="O40" s="176" t="s">
        <v>178</v>
      </c>
      <c r="P40" s="134"/>
      <c r="Q40" s="30"/>
      <c r="R40" s="81" t="str">
        <f>VLOOKUP(C40,'Train Runs'!$A$13:$AE$10048,31,0)</f>
        <v>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 &amp; 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</v>
      </c>
      <c r="S40" s="84" t="str">
        <f>VLOOKUP(C40,'Train Runs'!$A$13:$AE$10048,22,0)</f>
        <v>https://d0f6bd738d7f1b3e5a7ca70fe4ff75f0.us-east-1.aws.found.io/app/kibana#/discover/Steve-Slow-Train-Analysis-(2080s-and-2083s)?_g=(refreshInterval:(display:Off,pause:!f,section:0,value:0),time:(from:'2017-10-18T20:05:08-0600',mode:absolute,to:'2017-10-18T22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/stypes="*4018*201710190*" /stext=" 03:.+((SYSTEM_STATE.+slice.+state.+changed )|(ment ac)|(multiple cpu faults)|(system.+state.+changed )|(\[timeout)|(PRM\|1\|D)|(kpr)|(kdp)|(train st.+moving)|(\|lc)|(penalty))"</v>
      </c>
      <c r="U40" s="9" t="str">
        <f>MID(B40,13,4)</f>
        <v>4018</v>
      </c>
      <c r="V40" s="31">
        <f>A40-utc_offset/24</f>
        <v>43027.140682870369</v>
      </c>
      <c r="W40" s="45" t="str">
        <f>DetSubdiv(C40)</f>
        <v>NW</v>
      </c>
      <c r="X40" s="22">
        <f>VALUE(LEFT(C40,LEN(C40)-3))</f>
        <v>845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{"issue":{"subject":"","project_id":79,"tracker_id":40,"status_id":1,"priority_id":2,"assigned_to_id":338,"start_date":"2017-10-18","description":"","custom_fields":[{"id":1,"name":"Subdivision","value":"NW"},{"id":4,"name":"Milepost","value":"5.9048"},{"id":17,"name":"Train ID","value":"845-18"},{"id":16,"name":"Locomotive ID","value":"4018"},{"id":130,"name":"Impact","value":""},{"id":150,"name":"Time of Event (Mountain Time)","value":"21:22:35"},{"id":151,"name":"Denver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/c/Users/stu/AppData/Local/Temp/OnboardLogs/RTDC4018 --include="*4018*201710190*"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"%USERPROFILE%\AppData\Local\Temp\OnboardLogs"\RTDC4018\*4018*201710190* &gt;&gt; 2017-10-18-SliceDisagreementCheck.txt</v>
      </c>
      <c r="AE40" s="145" t="str">
        <f t="shared" si="1"/>
        <v>start /low /b %USERPROFILE%\Documents\GitHub\eaglep3\Utilities\DownloadLogsFromS3.py --loco 4018 --day 2017-10-19</v>
      </c>
      <c r="AF40" s="1"/>
    </row>
    <row r="41" spans="1:32" x14ac:dyDescent="0.3">
      <c r="A41" s="31">
        <v>43027.094259259262</v>
      </c>
      <c r="B41" s="30" t="s">
        <v>424</v>
      </c>
      <c r="C41" s="30" t="s">
        <v>592</v>
      </c>
      <c r="D41" s="30" t="s">
        <v>95</v>
      </c>
      <c r="E41" s="30" t="s">
        <v>192</v>
      </c>
      <c r="F41" s="42">
        <v>450</v>
      </c>
      <c r="G41" s="42">
        <v>505</v>
      </c>
      <c r="H41" s="42">
        <v>14150</v>
      </c>
      <c r="I41" s="42">
        <v>15612</v>
      </c>
      <c r="J41" s="30" t="s">
        <v>193</v>
      </c>
      <c r="K41" s="42">
        <v>13572</v>
      </c>
      <c r="L41" s="131" t="s">
        <v>50</v>
      </c>
      <c r="M41" s="132">
        <f>CONVERT((I41-K41)/10000,"mi","ft")*IF(L41="Increasing Mileposts (1)",-1,1)</f>
        <v>-1077.1199999999999</v>
      </c>
      <c r="N41" s="133">
        <f>VLOOKUP(C41,'Trips&amp;Operators'!$C$1:$G$99911,5,FALSE)</f>
        <v>0</v>
      </c>
      <c r="O41" s="176" t="s">
        <v>178</v>
      </c>
      <c r="P41" s="134"/>
      <c r="Q41" s="30"/>
      <c r="R41" s="81" t="e">
        <f>VLOOKUP(C41,'Train Runs'!$A$13:$AE$10048,31,0)</f>
        <v>#N/A</v>
      </c>
      <c r="S41" s="84" t="e">
        <f>VLOOKUP(C41,'Train Runs'!$A$13:$AE$10048,22,0)</f>
        <v>#N/A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/stypes="*4002*201710190*" /stext=" 08:.+((SYSTEM_STATE.+slice.+state.+changed )|(ment ac)|(multiple cpu faults)|(system.+state.+changed )|(\[timeout)|(PRM\|1\|D)|(kpr)|(kdp)|(train st.+moving)|(\|lc)|(penalty))"</v>
      </c>
      <c r="U41" s="9" t="str">
        <f>MID(B41,13,4)</f>
        <v>4002</v>
      </c>
      <c r="V41" s="31">
        <f>A41-utc_offset/24</f>
        <v>43027.344259259262</v>
      </c>
      <c r="W41" s="45" t="str">
        <f>DetSubdiv(C41)</f>
        <v>Other</v>
      </c>
      <c r="X41" s="22">
        <f>VALUE(LEFT(C41,LEN(C41)-3))</f>
        <v>311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{"issue":{"subject":"","project_id":79,"tracker_id":40,"status_id":1,"priority_id":2,"assigned_to_id":338,"start_date":"2017-10-19","description":"","custom_fields":[{"id":1,"name":"Subdivision","value":"Other"},{"id":4,"name":"Milepost","value":"1.3572"},{"id":17,"name":"Train ID","value":"311-18"},{"id":16,"name":"Locomotive ID","value":"4002"},{"id":130,"name":"Impact","value":""},{"id":150,"name":"Time of Event (Mountain Time)","value":"02:15:44"},{"id":151,"name":"Denver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/c/Users/stu/AppData/Local/Temp/OnboardLogs/RTDC4002 --include="*4002*201710190*"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"%USERPROFILE%\AppData\Local\Temp\OnboardLogs"\RTDC4002\*4002*201710190* &gt;&gt; 2017-10-18-SliceDisagreementCheck.txt</v>
      </c>
      <c r="AE41" s="145" t="str">
        <f t="shared" si="1"/>
        <v>start /low /b %USERPROFILE%\Documents\GitHub\eaglep3\Utilities\DownloadLogsFromS3.py --loco 4002 --day 2017-10-19</v>
      </c>
      <c r="AF41" s="1"/>
    </row>
    <row r="42" spans="1:32" x14ac:dyDescent="0.3">
      <c r="A42" s="31">
        <v>43026.12909722222</v>
      </c>
      <c r="B42" s="30" t="s">
        <v>423</v>
      </c>
      <c r="C42" s="30" t="s">
        <v>544</v>
      </c>
      <c r="D42" s="30" t="s">
        <v>49</v>
      </c>
      <c r="E42" s="30" t="s">
        <v>179</v>
      </c>
      <c r="F42" s="42">
        <v>0</v>
      </c>
      <c r="G42" s="42">
        <v>43</v>
      </c>
      <c r="H42" s="42">
        <v>149</v>
      </c>
      <c r="I42" s="42">
        <v>112</v>
      </c>
      <c r="J42" s="30" t="s">
        <v>180</v>
      </c>
      <c r="K42" s="42">
        <v>1</v>
      </c>
      <c r="L42" s="131" t="s">
        <v>51</v>
      </c>
      <c r="M42" s="132">
        <f>CONVERT((I42-K42)/10000,"mi","ft")*IF(L42="Increasing Mileposts (1)",-1,1)</f>
        <v>58.607999999999997</v>
      </c>
      <c r="N42" s="133" t="str">
        <f>VLOOKUP(C42,'Trips&amp;Operators'!$C$1:$G$99911,5,FALSE)</f>
        <v>BONDS REYNALDO</v>
      </c>
      <c r="O42" s="176" t="s">
        <v>178</v>
      </c>
      <c r="P42" s="134"/>
      <c r="Q42" s="30"/>
      <c r="R42" s="81" t="str">
        <f>VLOOKUP(C42,'Train Runs'!$A$13:$AE$10048,31,0)</f>
        <v>aws s3 cp s3://rtdc.mdm.uploadarchive.raw/RTDC4001/ "%USERPROFILE%\AppData\Local\Temp\OnboardLogs"\RTDC4001\2017-10-18 --exclude "*" --recursive --include "*20171018*" &amp; "%USERPROFILE%\Documents\GitHub\mrs-test-scripts\Headless Mode &amp; Sideloading\WalkAndUnGZ.bat" "%USERPROFILE%\AppData\Local\Temp\OnboardLogs"\RTDC4001\2017-10-18 &amp; aws s3 cp s3://rtdc.mdm.uploadarchive.raw/RTDC4001/ "%USERPROFILE%\AppData\Local\Temp\OnboardLogs"\RTDC4001\2017-10-19 --exclude "*" --recursive --include "*20171019*" &amp; "%USERPROFILE%\Documents\GitHub\mrs-test-scripts\Headless Mode &amp; Sideloading\WalkAndUnGZ.bat" "%USERPROFILE%\AppData\Local\Temp\OnboardLogs"\RTDC4001\2017-10-19</v>
      </c>
      <c r="S42" s="84" t="str">
        <f>VLOOKUP(C42,'Train Runs'!$A$13:$AE$10048,22,0)</f>
        <v>https://d0f6bd738d7f1b3e5a7ca70fe4ff75f0.us-east-1.aws.found.io/app/kibana#/discover/Steve-Slow-Train-Analysis-(2080s-and-2083s)?_g=(refreshInterval:(display:Off,pause:!f,section:0,value:0),time:(from:'2017-10-18T01:52:48-0600',mode:absolute,to:'2017-10-18T04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/stypes="*4001*201710180*" /stext=" 09:.+((SYSTEM_STATE.+slice.+state.+changed )|(ment ac)|(multiple cpu faults)|(system.+state.+changed )|(\[timeout)|(PRM\|1\|D)|(kpr)|(kdp)|(train st.+moving)|(\|lc)|(penalty))"</v>
      </c>
      <c r="U42" s="9" t="str">
        <f>MID(B42,13,4)</f>
        <v>4001</v>
      </c>
      <c r="V42" s="31">
        <f>A42-utc_offset/24</f>
        <v>43026.37909722222</v>
      </c>
      <c r="W42" s="45" t="str">
        <f>DetSubdiv(C42)</f>
        <v>Other</v>
      </c>
      <c r="X42" s="22">
        <f>VALUE(LEFT(C42,LEN(C42)-3))</f>
        <v>300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{"issue":{"subject":"","project_id":79,"tracker_id":40,"status_id":1,"priority_id":2,"assigned_to_id":338,"start_date":"2017-10-18","description":"","custom_fields":[{"id":1,"name":"Subdivision","value":"Other"},{"id":4,"name":"Milepost","value":"0.0001"},{"id":17,"name":"Train ID","value":"300-18"},{"id":16,"name":"Locomotive ID","value":"4001"},{"id":130,"name":"Impact","value":""},{"id":150,"name":"Time of Event (Mountain Time)","value":"03:05:54"},{"id":151,"name":"Denver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/c/Users/stu/AppData/Local/Temp/OnboardLogs/RTDC4001 --include="*4001*201710180*"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"%USERPROFILE%\AppData\Local\Temp\OnboardLogs"\RTDC4001\*4001*201710180* &gt;&gt; 2017-10-18-SliceDisagreementCheck.txt</v>
      </c>
      <c r="AE42" s="145" t="str">
        <f t="shared" si="1"/>
        <v>start /low /b %USERPROFILE%\Documents\GitHub\eaglep3\Utilities\DownloadLogsFromS3.py --loco 4001 --day 2017-10-18</v>
      </c>
      <c r="AF42" s="1"/>
    </row>
    <row r="43" spans="1:32" x14ac:dyDescent="0.3">
      <c r="A43" s="31">
        <v>43026.642581018517</v>
      </c>
      <c r="B43" s="30" t="s">
        <v>412</v>
      </c>
      <c r="C43" s="30" t="s">
        <v>579</v>
      </c>
      <c r="D43" s="30" t="s">
        <v>49</v>
      </c>
      <c r="E43" s="30" t="s">
        <v>179</v>
      </c>
      <c r="F43" s="42">
        <v>0</v>
      </c>
      <c r="G43" s="42">
        <v>146</v>
      </c>
      <c r="H43" s="42">
        <v>1149</v>
      </c>
      <c r="I43" s="42">
        <v>1013</v>
      </c>
      <c r="J43" s="30" t="s">
        <v>180</v>
      </c>
      <c r="K43" s="42">
        <v>575</v>
      </c>
      <c r="L43" s="131" t="s">
        <v>51</v>
      </c>
      <c r="M43" s="132">
        <f>CONVERT((I43-K43)/10000,"mi","ft")*IF(L43="Increasing Mileposts (1)",-1,1)</f>
        <v>231.26400000000001</v>
      </c>
      <c r="N43" s="133" t="str">
        <f>VLOOKUP(C43,'Trips&amp;Operators'!$C$1:$G$99911,5,FALSE)</f>
        <v>STAMBAUGH JAMES</v>
      </c>
      <c r="O43" s="176" t="s">
        <v>178</v>
      </c>
      <c r="P43" s="134"/>
      <c r="Q43" s="30"/>
      <c r="R43" s="81" t="str">
        <f>VLOOKUP(C43,'Train Runs'!$A$13:$AE$10048,31,0)</f>
        <v>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 &amp; aws s3 cp s3://rtdc.mdm.uploadarchive.raw/RTDC4035/ "%USERPROFILE%\AppData\Local\Temp\OnboardLogs"\RTDC4035\2017-10-19 --exclude "*" --recursive --include "*20171019*" &amp; "%USERPROFILE%\Documents\GitHub\mrs-test-scripts\Headless Mode &amp; Sideloading\WalkAndUnGZ.bat" "%USERPROFILE%\AppData\Local\Temp\OnboardLogs"\RTDC4035\2017-10-19</v>
      </c>
      <c r="S43" s="84" t="str">
        <f>VLOOKUP(C43,'Train Runs'!$A$13:$AE$10048,22,0)</f>
        <v>https://d0f6bd738d7f1b3e5a7ca70fe4ff75f0.us-east-1.aws.found.io/app/kibana#/discover/Steve-Slow-Train-Analysis-(2080s-and-2083s)?_g=(refreshInterval:(display:Off,pause:!f,section:0,value:0),time:(from:'2017-10-18T14:13:59-0600',mode:absolute,to:'2017-10-18T16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/stypes="*4035*201710182*" /stext=" 21:.+((SYSTEM_STATE.+slice.+state.+changed )|(ment ac)|(multiple cpu faults)|(system.+state.+changed )|(\[timeout)|(PRM\|1\|D)|(kpr)|(kdp)|(train st.+moving)|(\|lc)|(penalty))"</v>
      </c>
      <c r="U43" s="9" t="str">
        <f>MID(B43,13,4)</f>
        <v>4035</v>
      </c>
      <c r="V43" s="31">
        <f>A43-utc_offset/24</f>
        <v>43026.892581018517</v>
      </c>
      <c r="W43" s="45" t="str">
        <f>DetSubdiv(C43)</f>
        <v>Other</v>
      </c>
      <c r="X43" s="22">
        <f>VALUE(LEFT(C43,LEN(C43)-3))</f>
        <v>904</v>
      </c>
      <c r="Y43" s="96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{"issue":{"subject":"","project_id":79,"tracker_id":40,"status_id":1,"priority_id":2,"assigned_to_id":338,"start_date":"2017-10-18","description":"","custom_fields":[{"id":1,"name":"Subdivision","value":"Other"},{"id":4,"name":"Milepost","value":"0.0575"},{"id":17,"name":"Train ID","value":"904-18"},{"id":16,"name":"Locomotive ID","value":"4035"},{"id":130,"name":"Impact","value":""},{"id":150,"name":"Time of Event (Mountain Time)","value":"15:25:19"},{"id":151,"name":"Denver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3" s="159"/>
      <c r="AA43" s="47"/>
      <c r="AB43" s="47"/>
      <c r="AC43" s="115" t="str">
        <f>"grep -hrE -A400 ""Enforcement Action"" "&amp;"/c/Users/stu/AppData/Local/Temp/OnboardLogs"&amp;"/RTDC"&amp;U43&amp;"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/c/Users/stu/AppData/Local/Temp/OnboardLogs/RTDC4035 --include="*4035*201710182*"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"%USERPROFILE%\AppData\Local\Temp\OnboardLogs"\RTDC4035\*4035*201710182* &gt;&gt; 2017-10-18-SliceDisagreementCheck.txt</v>
      </c>
      <c r="AE43" s="145" t="str">
        <f t="shared" si="1"/>
        <v>start /low /b %USERPROFILE%\Documents\GitHub\eaglep3\Utilities\DownloadLogsFromS3.py --loco 4035 --day 2017-10-18</v>
      </c>
      <c r="AF43" s="1"/>
    </row>
    <row r="44" spans="1:32" x14ac:dyDescent="0.3">
      <c r="A44" s="31">
        <v>43026.643252314818</v>
      </c>
      <c r="B44" s="30" t="s">
        <v>412</v>
      </c>
      <c r="C44" s="30" t="s">
        <v>579</v>
      </c>
      <c r="D44" s="30" t="s">
        <v>49</v>
      </c>
      <c r="E44" s="30" t="s">
        <v>179</v>
      </c>
      <c r="F44" s="42">
        <v>0</v>
      </c>
      <c r="G44" s="42">
        <v>43</v>
      </c>
      <c r="H44" s="42">
        <v>715</v>
      </c>
      <c r="I44" s="42">
        <v>680</v>
      </c>
      <c r="J44" s="30" t="s">
        <v>180</v>
      </c>
      <c r="K44" s="42">
        <v>575</v>
      </c>
      <c r="L44" s="131" t="s">
        <v>51</v>
      </c>
      <c r="M44" s="132">
        <f>CONVERT((I44-K44)/10000,"mi","ft")*IF(L44="Increasing Mileposts (1)",-1,1)</f>
        <v>55.44</v>
      </c>
      <c r="N44" s="133" t="str">
        <f>VLOOKUP(C44,'Trips&amp;Operators'!$C$1:$G$99911,5,FALSE)</f>
        <v>STAMBAUGH JAMES</v>
      </c>
      <c r="O44" s="176" t="s">
        <v>178</v>
      </c>
      <c r="P44" s="134"/>
      <c r="Q44" s="30"/>
      <c r="R44" s="81" t="str">
        <f>VLOOKUP(C44,'Train Runs'!$A$13:$AE$10048,31,0)</f>
        <v>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 &amp; aws s3 cp s3://rtdc.mdm.uploadarchive.raw/RTDC4035/ "%USERPROFILE%\AppData\Local\Temp\OnboardLogs"\RTDC4035\2017-10-19 --exclude "*" --recursive --include "*20171019*" &amp; "%USERPROFILE%\Documents\GitHub\mrs-test-scripts\Headless Mode &amp; Sideloading\WalkAndUnGZ.bat" "%USERPROFILE%\AppData\Local\Temp\OnboardLogs"\RTDC4035\2017-10-19</v>
      </c>
      <c r="S44" s="84" t="str">
        <f>VLOOKUP(C44,'Train Runs'!$A$13:$AE$10048,22,0)</f>
        <v>https://d0f6bd738d7f1b3e5a7ca70fe4ff75f0.us-east-1.aws.found.io/app/kibana#/discover/Steve-Slow-Train-Analysis-(2080s-and-2083s)?_g=(refreshInterval:(display:Off,pause:!f,section:0,value:0),time:(from:'2017-10-18T14:13:59-0600',mode:absolute,to:'2017-10-18T16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44" s="86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/stypes="*4035*201710182*" /stext=" 21:.+((SYSTEM_STATE.+slice.+state.+changed )|(ment ac)|(multiple cpu faults)|(system.+state.+changed )|(\[timeout)|(PRM\|1\|D)|(kpr)|(kdp)|(train st.+moving)|(\|lc)|(penalty))"</v>
      </c>
      <c r="U44" s="9" t="str">
        <f>MID(B44,13,4)</f>
        <v>4035</v>
      </c>
      <c r="V44" s="31">
        <f>A44-utc_offset/24</f>
        <v>43026.893252314818</v>
      </c>
      <c r="W44" s="45" t="str">
        <f>DetSubdiv(C44)</f>
        <v>Other</v>
      </c>
      <c r="X44" s="22">
        <f>VALUE(LEFT(C44,LEN(C44)-3))</f>
        <v>904</v>
      </c>
      <c r="Y44" s="96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{"issue":{"subject":"","project_id":79,"tracker_id":40,"status_id":1,"priority_id":2,"assigned_to_id":338,"start_date":"2017-10-18","description":"","custom_fields":[{"id":1,"name":"Subdivision","value":"Other"},{"id":4,"name":"Milepost","value":"0.0575"},{"id":17,"name":"Train ID","value":"904-18"},{"id":16,"name":"Locomotive ID","value":"4035"},{"id":130,"name":"Impact","value":""},{"id":150,"name":"Time of Event (Mountain Time)","value":"15:26:17"},{"id":151,"name":"Denver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4" s="159"/>
      <c r="AA44" s="47"/>
      <c r="AB44" s="47"/>
      <c r="AC44" s="115" t="str">
        <f>"grep -hrE -A400 ""Enforcement Action"" "&amp;"/c/Users/stu/AppData/Local/Temp/OnboardLogs"&amp;"/RTDC"&amp;U44&amp;"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/c/Users/stu/AppData/Local/Temp/OnboardLogs/RTDC4035 --include="*4035*201710182*"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"%USERPROFILE%\AppData\Local\Temp\OnboardLogs"\RTDC4035\*4035*201710182* &gt;&gt; 2017-10-18-SliceDisagreementCheck.txt</v>
      </c>
      <c r="AE44" s="145" t="str">
        <f t="shared" si="1"/>
        <v>start /low /b %USERPROFILE%\Documents\GitHub\eaglep3\Utilities\DownloadLogsFromS3.py --loco 4035 --day 2017-10-18</v>
      </c>
      <c r="AF44" s="1"/>
    </row>
    <row r="45" spans="1:32" x14ac:dyDescent="0.3">
      <c r="A45" s="31">
        <v>43026.690729166665</v>
      </c>
      <c r="B45" s="30" t="s">
        <v>397</v>
      </c>
      <c r="C45" s="30" t="s">
        <v>571</v>
      </c>
      <c r="D45" s="30" t="s">
        <v>49</v>
      </c>
      <c r="E45" s="30" t="s">
        <v>185</v>
      </c>
      <c r="F45" s="42">
        <v>0</v>
      </c>
      <c r="G45" s="42">
        <v>361</v>
      </c>
      <c r="H45" s="42">
        <v>94970</v>
      </c>
      <c r="I45" s="42">
        <v>93819</v>
      </c>
      <c r="J45" s="30" t="s">
        <v>186</v>
      </c>
      <c r="K45" s="42">
        <v>94854</v>
      </c>
      <c r="L45" s="131" t="s">
        <v>51</v>
      </c>
      <c r="M45" s="132">
        <f>CONVERT((I45-K45)/10000,"mi","ft")*IF(L45="Increasing Mileposts (1)",-1,1)</f>
        <v>-546.48</v>
      </c>
      <c r="N45" s="133" t="str">
        <f>VLOOKUP(C45,'Trips&amp;Operators'!$C$1:$G$99911,5,FALSE)</f>
        <v>ROBINSON KADDIBA</v>
      </c>
      <c r="O45" s="176" t="s">
        <v>178</v>
      </c>
      <c r="P45" s="134"/>
      <c r="Q45" s="30"/>
      <c r="R45" s="81" t="str">
        <f>VLOOKUP(C45,'Train Runs'!$A$13:$AE$10048,31,0)</f>
        <v>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 &amp; 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</v>
      </c>
      <c r="S45" s="84" t="str">
        <f>VLOOKUP(C45,'Train Runs'!$A$13:$AE$10048,22,0)</f>
        <v>https://d0f6bd738d7f1b3e5a7ca70fe4ff75f0.us-east-1.aws.found.io/app/kibana#/discover/Steve-Slow-Train-Analysis-(2080s-and-2083s)?_g=(refreshInterval:(display:Off,pause:!f,section:0,value:0),time:(from:'2017-10-18T12:59:45-0600',mode:absolute,to:'2017-10-18T15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45" s="86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/stypes="*4065*201710182*" /stext=" 22:.+((SYSTEM_STATE.+slice.+state.+changed )|(ment ac)|(multiple cpu faults)|(system.+state.+changed )|(\[timeout)|(PRM\|1\|D)|(kpr)|(kdp)|(train st.+moving)|(\|lc)|(penalty))"</v>
      </c>
      <c r="U45" s="9" t="str">
        <f>MID(B45,13,4)</f>
        <v>4065</v>
      </c>
      <c r="V45" s="31">
        <f>A45-utc_offset/24</f>
        <v>43026.940729166665</v>
      </c>
      <c r="W45" s="45" t="str">
        <f>DetSubdiv(C45)</f>
        <v>Shuttle/Test</v>
      </c>
      <c r="X45" s="22">
        <f>VALUE(LEFT(C45,LEN(C45)-3))</f>
        <v>76</v>
      </c>
      <c r="Y45" s="96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Shuttle/Test"},{"id":4,"name":"Milepost","value":"9.4854"},{"id":17,"name":"Train ID","value":"76-18"},{"id":16,"name":"Locomotive ID","value":"4065"},{"id":130,"name":"Impact","value":""},{"id":150,"name":"Time of Event (Mountain Time)","value":"16:34:39"},{"id":151,"name":"Denver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5" s="159"/>
      <c r="AA45" s="47"/>
      <c r="AB45" s="47"/>
      <c r="AC45" s="115" t="str">
        <f>"grep -hrE -A400 ""Enforcement Action"" "&amp;"/c/Users/stu/AppData/Local/Temp/OnboardLogs"&amp;"/RTDC"&amp;U45&amp;"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/c/Users/stu/AppData/Local/Temp/OnboardLogs/RTDC4065 --include="*4065*201710182*"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"%USERPROFILE%\AppData\Local\Temp\OnboardLogs"\RTDC4065\*4065*201710182* &gt;&gt; 2017-10-18-SliceDisagreementCheck.txt</v>
      </c>
      <c r="AE45" s="145" t="str">
        <f t="shared" si="1"/>
        <v>start /low /b %USERPROFILE%\Documents\GitHub\eaglep3\Utilities\DownloadLogsFromS3.py --loco 4065 --day 2017-10-18</v>
      </c>
      <c r="AF45" s="1"/>
    </row>
    <row r="46" spans="1:32" x14ac:dyDescent="0.3">
      <c r="A46" s="31">
        <v>43026.680034722223</v>
      </c>
      <c r="B46" s="30" t="s">
        <v>396</v>
      </c>
      <c r="C46" s="30" t="s">
        <v>582</v>
      </c>
      <c r="D46" s="30" t="s">
        <v>49</v>
      </c>
      <c r="E46" s="30" t="s">
        <v>192</v>
      </c>
      <c r="F46" s="42">
        <v>150</v>
      </c>
      <c r="G46" s="42">
        <v>274</v>
      </c>
      <c r="H46" s="42">
        <v>108757</v>
      </c>
      <c r="I46" s="42">
        <v>109199</v>
      </c>
      <c r="J46" s="30" t="s">
        <v>193</v>
      </c>
      <c r="K46" s="42">
        <v>109599</v>
      </c>
      <c r="L46" s="131" t="s">
        <v>50</v>
      </c>
      <c r="M46" s="132">
        <f>CONVERT((I46-K46)/10000,"mi","ft")*IF(L46="Increasing Mileposts (1)",-1,1)</f>
        <v>211.2</v>
      </c>
      <c r="N46" s="133" t="str">
        <f>VLOOKUP(C46,'Trips&amp;Operators'!$C$1:$G$99911,5,FALSE)</f>
        <v>ROBINSON KADDIBA</v>
      </c>
      <c r="O46" s="176" t="s">
        <v>178</v>
      </c>
      <c r="P46" s="134"/>
      <c r="Q46" s="30"/>
      <c r="R46" s="81" t="str">
        <f>VLOOKUP(C46,'Train Runs'!$A$13:$AE$10048,31,0)</f>
        <v>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 &amp; 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</v>
      </c>
      <c r="S46" s="84" t="str">
        <f>VLOOKUP(C46,'Train Runs'!$A$13:$AE$10048,22,0)</f>
        <v>https://d0f6bd738d7f1b3e5a7ca70fe4ff75f0.us-east-1.aws.found.io/app/kibana#/discover/Steve-Slow-Train-Analysis-(2080s-and-2083s)?_g=(refreshInterval:(display:Off,pause:!f,section:0,value:0),time:(from:'2017-10-18T12:26:42-0600',mode:absolute,to:'2017-10-18T14:58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46" s="86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/stypes="*4066*201710182*" /stext=" 22:.+((SYSTEM_STATE.+slice.+state.+changed )|(ment ac)|(multiple cpu faults)|(system.+state.+changed )|(\[timeout)|(PRM\|1\|D)|(kpr)|(kdp)|(train st.+moving)|(\|lc)|(penalty))"</v>
      </c>
      <c r="U46" s="9" t="str">
        <f>MID(B46,13,4)</f>
        <v>4066</v>
      </c>
      <c r="V46" s="31">
        <f>A46-utc_offset/24</f>
        <v>43026.930034722223</v>
      </c>
      <c r="W46" s="45" t="str">
        <f>DetSubdiv(C46)</f>
        <v>Shuttle/Test</v>
      </c>
      <c r="X46" s="22">
        <f>VALUE(LEFT(C46,LEN(C46)-3))</f>
        <v>77</v>
      </c>
      <c r="Y46" s="96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Shuttle/Test"},{"id":4,"name":"Milepost","value":"10.9599"},{"id":17,"name":"Train ID","value":"77-18"},{"id":16,"name":"Locomotive ID","value":"4066"},{"id":130,"name":"Impact","value":""},{"id":150,"name":"Time of Event (Mountain Time)","value":"16:19:15"},{"id":151,"name":"Denver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6" s="159"/>
      <c r="AA46" s="47"/>
      <c r="AB46" s="47"/>
      <c r="AC46" s="115" t="str">
        <f>"grep -hrE -A400 ""Enforcement Action"" "&amp;"/c/Users/stu/AppData/Local/Temp/OnboardLogs"&amp;"/RTDC"&amp;U46&amp;"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/c/Users/stu/AppData/Local/Temp/OnboardLogs/RTDC4066 --include="*4066*201710182*"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"%USERPROFILE%\AppData\Local\Temp\OnboardLogs"\RTDC4066\*4066*201710182* &gt;&gt; 2017-10-18-SliceDisagreementCheck.txt</v>
      </c>
      <c r="AE46" s="145" t="str">
        <f t="shared" si="1"/>
        <v>start /low /b %USERPROFILE%\Documents\GitHub\eaglep3\Utilities\DownloadLogsFromS3.py --loco 4066 --day 2017-10-18</v>
      </c>
      <c r="AF46" s="1"/>
    </row>
    <row r="47" spans="1:32" x14ac:dyDescent="0.3">
      <c r="A47" s="31">
        <v>43026.484155092592</v>
      </c>
      <c r="B47" s="30" t="s">
        <v>396</v>
      </c>
      <c r="C47" s="30" t="s">
        <v>558</v>
      </c>
      <c r="D47" s="30" t="s">
        <v>49</v>
      </c>
      <c r="E47" s="30" t="s">
        <v>192</v>
      </c>
      <c r="F47" s="42">
        <v>150</v>
      </c>
      <c r="G47" s="42">
        <v>273</v>
      </c>
      <c r="H47" s="42">
        <v>108785</v>
      </c>
      <c r="I47" s="42">
        <v>109243</v>
      </c>
      <c r="J47" s="30" t="s">
        <v>193</v>
      </c>
      <c r="K47" s="42">
        <v>109686</v>
      </c>
      <c r="L47" s="131" t="s">
        <v>50</v>
      </c>
      <c r="M47" s="132">
        <f>CONVERT((I47-K47)/10000,"mi","ft")*IF(L47="Increasing Mileposts (1)",-1,1)</f>
        <v>233.904</v>
      </c>
      <c r="N47" s="133" t="str">
        <f>VLOOKUP(C47,'Trips&amp;Operators'!$C$1:$G$99911,5,FALSE)</f>
        <v>ROMERO CHAD</v>
      </c>
      <c r="O47" s="176" t="s">
        <v>178</v>
      </c>
      <c r="P47" s="134"/>
      <c r="Q47" s="30"/>
      <c r="R47" s="81" t="str">
        <f>VLOOKUP(C47,'Train Runs'!$A$13:$AE$10048,31,0)</f>
        <v>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 &amp; 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</v>
      </c>
      <c r="S47" s="84" t="str">
        <f>VLOOKUP(C47,'Train Runs'!$A$13:$AE$10048,22,0)</f>
        <v>https://d0f6bd738d7f1b3e5a7ca70fe4ff75f0.us-east-1.aws.found.io/app/kibana#/discover/Steve-Slow-Train-Analysis-(2080s-and-2083s)?_g=(refreshInterval:(display:Off,pause:!f,section:0,value:0),time:(from:'2017-10-18T07:58:39-0600',mode:absolute,to:'2017-10-18T10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47" s="86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/stypes="*4066*201710181*" /stext=" 17:.+((SYSTEM_STATE.+slice.+state.+changed )|(ment ac)|(multiple cpu faults)|(system.+state.+changed )|(\[timeout)|(PRM\|1\|D)|(kpr)|(kdp)|(train st.+moving)|(\|lc)|(penalty))"</v>
      </c>
      <c r="U47" s="9" t="str">
        <f>MID(B47,13,4)</f>
        <v>4066</v>
      </c>
      <c r="V47" s="31">
        <f>A47-utc_offset/24</f>
        <v>43026.734155092592</v>
      </c>
      <c r="W47" s="45" t="str">
        <f>DetSubdiv(C47)</f>
        <v>Shuttle/Test</v>
      </c>
      <c r="X47" s="22">
        <f>VALUE(LEFT(C47,LEN(C47)-3))</f>
        <v>61</v>
      </c>
      <c r="Y47" s="96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Shuttle/Test"},{"id":4,"name":"Milepost","value":"10.9686"},{"id":17,"name":"Train ID","value":"61-18"},{"id":16,"name":"Locomotive ID","value":"4066"},{"id":130,"name":"Impact","value":""},{"id":150,"name":"Time of Event (Mountain Time)","value":"11:37:11"},{"id":151,"name":"Denver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7" s="159"/>
      <c r="AA47" s="47"/>
      <c r="AB47" s="47"/>
      <c r="AC47" s="115" t="str">
        <f>"grep -hrE -A400 ""Enforcement Action"" "&amp;"/c/Users/stu/AppData/Local/Temp/OnboardLogs"&amp;"/RTDC"&amp;U47&amp;" --include=""*"&amp;U47&amp;"*"&amp;TEXT(A47-utc_offset/24,"YYYYMMDD")&amp;LEFT(TEXT(A47-utc_offset/24,"HH"),1)&amp;"*"" | grep -E ""((Enforcement Ac)|(PRM))"" -"</f>
        <v>grep -hrE -A400 "Enforcement Action" /c/Users/stu/AppData/Local/Temp/OnboardLogs/RTDC4066 --include="*4066*201710181*"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"%USERPROFILE%\AppData\Local\Temp\OnboardLogs"\RTDC4066\*4066*201710181* &gt;&gt; 2017-10-18-SliceDisagreementCheck.txt</v>
      </c>
      <c r="AE47" s="145" t="str">
        <f t="shared" si="1"/>
        <v>start /low /b %USERPROFILE%\Documents\GitHub\eaglep3\Utilities\DownloadLogsFromS3.py --loco 4066 --day 2017-10-18</v>
      </c>
      <c r="AF47" s="1"/>
    </row>
    <row r="48" spans="1:32" x14ac:dyDescent="0.3">
      <c r="A48" s="31">
        <v>43026.585636574076</v>
      </c>
      <c r="B48" s="30" t="s">
        <v>397</v>
      </c>
      <c r="C48" s="30" t="s">
        <v>571</v>
      </c>
      <c r="D48" s="30" t="s">
        <v>95</v>
      </c>
      <c r="E48" s="30" t="s">
        <v>572</v>
      </c>
      <c r="F48" s="42">
        <v>0</v>
      </c>
      <c r="G48" s="42">
        <v>3</v>
      </c>
      <c r="H48" s="42">
        <v>112103</v>
      </c>
      <c r="I48" s="42">
        <v>112071</v>
      </c>
      <c r="J48" s="30" t="s">
        <v>573</v>
      </c>
      <c r="K48" s="42">
        <v>112154</v>
      </c>
      <c r="L48" s="131" t="s">
        <v>51</v>
      </c>
      <c r="M48" s="132">
        <f>CONVERT((I48-K48)/10000,"mi","ft")*IF(L48="Increasing Mileposts (1)",-1,1)</f>
        <v>-43.823999999999998</v>
      </c>
      <c r="N48" s="133" t="str">
        <f>VLOOKUP(C48,'Trips&amp;Operators'!$C$1:$G$99911,5,FALSE)</f>
        <v>ROBINSON KADDIBA</v>
      </c>
      <c r="O48" s="176" t="s">
        <v>178</v>
      </c>
      <c r="P48" s="134"/>
      <c r="Q48" s="30"/>
      <c r="R48" s="81" t="str">
        <f>VLOOKUP(C48,'Train Runs'!$A$13:$AE$10048,31,0)</f>
        <v>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 &amp; 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</v>
      </c>
      <c r="S48" s="84" t="str">
        <f>VLOOKUP(C48,'Train Runs'!$A$13:$AE$10048,22,0)</f>
        <v>https://d0f6bd738d7f1b3e5a7ca70fe4ff75f0.us-east-1.aws.found.io/app/kibana#/discover/Steve-Slow-Train-Analysis-(2080s-and-2083s)?_g=(refreshInterval:(display:Off,pause:!f,section:0,value:0),time:(from:'2017-10-18T12:59:45-0600',mode:absolute,to:'2017-10-18T15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48" s="86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/stypes="*4065*201710182*" /stext=" 20:.+((SYSTEM_STATE.+slice.+state.+changed )|(ment ac)|(multiple cpu faults)|(system.+state.+changed )|(\[timeout)|(PRM\|1\|D)|(kpr)|(kdp)|(train st.+moving)|(\|lc)|(penalty))"</v>
      </c>
      <c r="U48" s="9" t="str">
        <f>MID(B48,13,4)</f>
        <v>4065</v>
      </c>
      <c r="V48" s="31">
        <f>A48-utc_offset/24</f>
        <v>43026.835636574076</v>
      </c>
      <c r="W48" s="45" t="str">
        <f>DetSubdiv(C48)</f>
        <v>Shuttle/Test</v>
      </c>
      <c r="X48" s="22">
        <f>VALUE(LEFT(C48,LEN(C48)-3))</f>
        <v>76</v>
      </c>
      <c r="Y48" s="96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Shuttle/Test"},{"id":4,"name":"Milepost","value":"11.2154"},{"id":17,"name":"Train ID","value":"76-18"},{"id":16,"name":"Locomotive ID","value":"4065"},{"id":130,"name":"Impact","value":""},{"id":150,"name":"Time of Event (Mountain Time)","value":"14:03:19"},{"id":151,"name":"Denver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8" s="159"/>
      <c r="AA48" s="47"/>
      <c r="AB48" s="47"/>
      <c r="AC48" s="115" t="str">
        <f>"grep -hrE -A400 ""Enforcement Action"" "&amp;"/c/Users/stu/AppData/Local/Temp/OnboardLogs"&amp;"/RTDC"&amp;U48&amp;" --include=""*"&amp;U48&amp;"*"&amp;TEXT(A48-utc_offset/24,"YYYYMMDD")&amp;LEFT(TEXT(A48-utc_offset/24,"HH"),1)&amp;"*"" | grep -E ""((Enforcement Ac)|(PRM))"" -"</f>
        <v>grep -hrE -A400 "Enforcement Action" /c/Users/stu/AppData/Local/Temp/OnboardLogs/RTDC4065 --include="*4065*201710182*"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"%USERPROFILE%\AppData\Local\Temp\OnboardLogs"\RTDC4065\*4065*201710182* &gt;&gt; 2017-10-18-SliceDisagreementCheck.txt</v>
      </c>
      <c r="AE48" s="145" t="str">
        <f t="shared" si="1"/>
        <v>start /low /b %USERPROFILE%\Documents\GitHub\eaglep3\Utilities\DownloadLogsFromS3.py --loco 4065 --day 2017-10-18</v>
      </c>
      <c r="AF48" s="1"/>
    </row>
    <row r="49" spans="1:32" x14ac:dyDescent="0.3">
      <c r="A49" s="31">
        <v>43026.586076388892</v>
      </c>
      <c r="B49" s="30" t="s">
        <v>397</v>
      </c>
      <c r="C49" s="30" t="s">
        <v>571</v>
      </c>
      <c r="D49" s="30" t="s">
        <v>95</v>
      </c>
      <c r="E49" s="30" t="s">
        <v>572</v>
      </c>
      <c r="F49" s="42">
        <v>0</v>
      </c>
      <c r="G49" s="42">
        <v>4</v>
      </c>
      <c r="H49" s="42">
        <v>112069</v>
      </c>
      <c r="I49" s="42">
        <v>112054</v>
      </c>
      <c r="J49" s="30" t="s">
        <v>573</v>
      </c>
      <c r="K49" s="42">
        <v>112154</v>
      </c>
      <c r="L49" s="131" t="s">
        <v>51</v>
      </c>
      <c r="M49" s="132">
        <f>CONVERT((I49-K49)/10000,"mi","ft")*IF(L49="Increasing Mileposts (1)",-1,1)</f>
        <v>-52.8</v>
      </c>
      <c r="N49" s="133" t="str">
        <f>VLOOKUP(C49,'Trips&amp;Operators'!$C$1:$G$99911,5,FALSE)</f>
        <v>ROBINSON KADDIBA</v>
      </c>
      <c r="O49" s="176" t="s">
        <v>178</v>
      </c>
      <c r="P49" s="134"/>
      <c r="Q49" s="30"/>
      <c r="R49" s="81" t="str">
        <f>VLOOKUP(C49,'Train Runs'!$A$13:$AE$10048,31,0)</f>
        <v>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 &amp; 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</v>
      </c>
      <c r="S49" s="84" t="str">
        <f>VLOOKUP(C49,'Train Runs'!$A$13:$AE$10048,22,0)</f>
        <v>https://d0f6bd738d7f1b3e5a7ca70fe4ff75f0.us-east-1.aws.found.io/app/kibana#/discover/Steve-Slow-Train-Analysis-(2080s-and-2083s)?_g=(refreshInterval:(display:Off,pause:!f,section:0,value:0),time:(from:'2017-10-18T12:59:45-0600',mode:absolute,to:'2017-10-18T15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49" s="86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/stypes="*4065*201710182*" /stext=" 20:.+((SYSTEM_STATE.+slice.+state.+changed )|(ment ac)|(multiple cpu faults)|(system.+state.+changed )|(\[timeout)|(PRM\|1\|D)|(kpr)|(kdp)|(train st.+moving)|(\|lc)|(penalty))"</v>
      </c>
      <c r="U49" s="9" t="str">
        <f>MID(B49,13,4)</f>
        <v>4065</v>
      </c>
      <c r="V49" s="31">
        <f>A49-utc_offset/24</f>
        <v>43026.836076388892</v>
      </c>
      <c r="W49" s="45" t="str">
        <f>DetSubdiv(C49)</f>
        <v>Shuttle/Test</v>
      </c>
      <c r="X49" s="22">
        <f>VALUE(LEFT(C49,LEN(C49)-3))</f>
        <v>76</v>
      </c>
      <c r="Y49" s="96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Shuttle/Test"},{"id":4,"name":"Milepost","value":"11.2154"},{"id":17,"name":"Train ID","value":"76-18"},{"id":16,"name":"Locomotive ID","value":"4065"},{"id":130,"name":"Impact","value":""},{"id":150,"name":"Time of Event (Mountain Time)","value":"14:03:57"},{"id":151,"name":"Denver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9" s="159"/>
      <c r="AA49" s="47"/>
      <c r="AB49" s="47"/>
      <c r="AC49" s="115" t="str">
        <f>"grep -hrE -A400 ""Enforcement Action"" "&amp;"/c/Users/stu/AppData/Local/Temp/OnboardLogs"&amp;"/RTDC"&amp;U49&amp;" --include=""*"&amp;U49&amp;"*"&amp;TEXT(A49-utc_offset/24,"YYYYMMDD")&amp;LEFT(TEXT(A49-utc_offset/24,"HH"),1)&amp;"*"" | grep -E ""((Enforcement Ac)|(PRM))"" -"</f>
        <v>grep -hrE -A400 "Enforcement Action" /c/Users/stu/AppData/Local/Temp/OnboardLogs/RTDC4065 --include="*4065*201710182*"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"%USERPROFILE%\AppData\Local\Temp\OnboardLogs"\RTDC4065\*4065*201710182* &gt;&gt; 2017-10-18-SliceDisagreementCheck.txt</v>
      </c>
      <c r="AE49" s="145" t="str">
        <f t="shared" si="1"/>
        <v>start /low /b %USERPROFILE%\Documents\GitHub\eaglep3\Utilities\DownloadLogsFromS3.py --loco 4065 --day 2017-10-18</v>
      </c>
      <c r="AF49" s="1"/>
    </row>
    <row r="50" spans="1:32" x14ac:dyDescent="0.3">
      <c r="A50" s="31">
        <v>43026.466423611113</v>
      </c>
      <c r="B50" s="30" t="s">
        <v>423</v>
      </c>
      <c r="C50" s="30" t="s">
        <v>562</v>
      </c>
      <c r="D50" s="30" t="s">
        <v>49</v>
      </c>
      <c r="E50" s="30" t="s">
        <v>179</v>
      </c>
      <c r="F50" s="42">
        <v>0</v>
      </c>
      <c r="G50" s="42">
        <v>50</v>
      </c>
      <c r="H50" s="42">
        <v>176</v>
      </c>
      <c r="I50" s="42">
        <v>118</v>
      </c>
      <c r="J50" s="30" t="s">
        <v>180</v>
      </c>
      <c r="K50" s="42">
        <v>1</v>
      </c>
      <c r="L50" s="131" t="s">
        <v>51</v>
      </c>
      <c r="M50" s="132">
        <f>CONVERT((I50-K50)/10000,"mi","ft")*IF(L50="Increasing Mileposts (1)",-1,1)</f>
        <v>61.776000000000003</v>
      </c>
      <c r="N50" s="133" t="str">
        <f>VLOOKUP(C50,'Trips&amp;Operators'!$C$1:$G$99911,5,FALSE)</f>
        <v>NEWELL JAMES</v>
      </c>
      <c r="O50" s="176" t="s">
        <v>178</v>
      </c>
      <c r="P50" s="134"/>
      <c r="Q50" s="30"/>
      <c r="R50" s="81" t="str">
        <f>VLOOKUP(C50,'Train Runs'!$A$13:$AE$10048,31,0)</f>
        <v>aws s3 cp s3://rtdc.mdm.uploadarchive.raw/RTDC4002/ "%USERPROFILE%\AppData\Local\Temp\OnboardLogs"\RTDC4002\2017-10-18 --exclude "*" --recursive --include "*20171018*" &amp; "%USERPROFILE%\Documents\GitHub\mrs-test-scripts\Headless Mode &amp; Sideloading\WalkAndUnGZ.bat" "%USERPROFILE%\AppData\Local\Temp\OnboardLogs"\RTDC4002\2017-10-18 &amp; aws s3 cp s3://rtdc.mdm.uploadarchive.raw/RTDC4002/ "%USERPROFILE%\AppData\Local\Temp\OnboardLogs"\RTDC4002\2017-10-19 --exclude "*" --recursive --include "*20171019*" &amp; "%USERPROFILE%\Documents\GitHub\mrs-test-scripts\Headless Mode &amp; Sideloading\WalkAndUnGZ.bat" "%USERPROFILE%\AppData\Local\Temp\OnboardLogs"\RTDC4002\2017-10-19</v>
      </c>
      <c r="S50" s="84" t="str">
        <f>VLOOKUP(C50,'Train Runs'!$A$13:$AE$10048,22,0)</f>
        <v>https://d0f6bd738d7f1b3e5a7ca70fe4ff75f0.us-east-1.aws.found.io/app/kibana#/discover/Steve-Slow-Train-Analysis-(2080s-and-2083s)?_g=(refreshInterval:(display:Off,pause:!f,section:0,value:0),time:(from:'2017-10-18T10:01:40-0600',mode:absolute,to:'2017-10-18T12:11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50" s="86" t="str">
        <f>astrogrep_path&amp;" /e /r /s /spath="&amp;search_path&amp;" /stypes=""*"&amp;U50&amp;"*"&amp;TEXT(A50-utc_offset/24,"YYYYMMDD")&amp;LEFT(TEXT(A50-utc_offset/24,"HH"),1)&amp;"*"" /stext="" "&amp;TEXT(A50-utc_offset/24,"HH")&amp;search_regexp&amp;""""</f>
        <v>"C:\Program Files (x86)\AstroGrep\AstroGrep.exe" /e /r /s /spath="%USERPROFILE%\AppData\Local\Temp\OnboardLogs" /stypes="*4001*201710181*" /stext=" 17:.+((SYSTEM_STATE.+slice.+state.+changed )|(ment ac)|(multiple cpu faults)|(system.+state.+changed )|(\[timeout)|(PRM\|1\|D)|(kpr)|(kdp)|(train st.+moving)|(\|lc)|(penalty))"</v>
      </c>
      <c r="U50" s="9" t="str">
        <f>MID(B50,13,4)</f>
        <v>4001</v>
      </c>
      <c r="V50" s="31">
        <f>A50-utc_offset/24</f>
        <v>43026.716423611113</v>
      </c>
      <c r="W50" s="45" t="str">
        <f>DetSubdiv(C50)</f>
        <v>Shuttle/Test</v>
      </c>
      <c r="X50" s="22">
        <f>VALUE(LEFT(C50,LEN(C50)-3))</f>
        <v>66</v>
      </c>
      <c r="Y50" s="96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Shuttle/Test"},{"id":4,"name":"Milepost","value":"0.0001"},{"id":17,"name":"Train ID","value":"66-18"},{"id":16,"name":"Locomotive ID","value":"4001"},{"id":130,"name":"Impact","value":""},{"id":150,"name":"Time of Event (Mountain Time)","value":"11:11:39"},{"id":151,"name":"Denver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0" s="159"/>
      <c r="AA50" s="47"/>
      <c r="AB50" s="47"/>
      <c r="AC50" s="115" t="str">
        <f>"grep -hrE -A400 ""Enforcement Action"" "&amp;"/c/Users/stu/AppData/Local/Temp/OnboardLogs"&amp;"/RTDC"&amp;U50&amp;" --include=""*"&amp;U50&amp;"*"&amp;TEXT(A50-utc_offset/24,"YYYYMMDD")&amp;LEFT(TEXT(A50-utc_offset/24,"HH"),1)&amp;"*"" | grep -E ""((Enforcement Ac)|(PRM))"" -"</f>
        <v>grep -hrE -A400 "Enforcement Action" /c/Users/stu/AppData/Local/Temp/OnboardLogs/RTDC4001 --include="*4001*201710181*"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"%USERPROFILE%\AppData\Local\Temp\OnboardLogs"\RTDC4001\*4001*201710181* &gt;&gt; 2017-10-18-SliceDisagreementCheck.txt</v>
      </c>
      <c r="AE50" s="145" t="str">
        <f t="shared" si="1"/>
        <v>start /low /b %USERPROFILE%\Documents\GitHub\eaglep3\Utilities\DownloadLogsFromS3.py --loco 4001 --day 2017-10-18</v>
      </c>
      <c r="AF50" s="1"/>
    </row>
    <row r="51" spans="1:32" x14ac:dyDescent="0.3">
      <c r="A51" s="31">
        <v>43026.411620370367</v>
      </c>
      <c r="B51" s="30" t="s">
        <v>559</v>
      </c>
      <c r="C51" s="30" t="s">
        <v>560</v>
      </c>
      <c r="D51" s="30" t="s">
        <v>49</v>
      </c>
      <c r="E51" s="30" t="s">
        <v>179</v>
      </c>
      <c r="F51" s="42">
        <v>0</v>
      </c>
      <c r="G51" s="42">
        <v>8</v>
      </c>
      <c r="H51" s="42">
        <v>828</v>
      </c>
      <c r="I51" s="42">
        <v>0</v>
      </c>
      <c r="J51" s="30" t="s">
        <v>180</v>
      </c>
      <c r="K51" s="42">
        <v>826</v>
      </c>
      <c r="L51" s="131" t="s">
        <v>51</v>
      </c>
      <c r="M51" s="132">
        <f>CONVERT((I51-K51)/10000,"mi","ft")*IF(L51="Increasing Mileposts (1)",-1,1)</f>
        <v>-436.12799999999999</v>
      </c>
      <c r="N51" s="133" t="str">
        <f>VLOOKUP(C51,'Trips&amp;Operators'!$C$1:$G$99911,5,FALSE)</f>
        <v>LAMAR NEKESHA</v>
      </c>
      <c r="O51" s="176" t="s">
        <v>178</v>
      </c>
      <c r="P51" s="134"/>
      <c r="Q51" s="30"/>
      <c r="R51" s="81" t="str">
        <f>VLOOKUP(C51,'Train Runs'!$A$13:$AE$10048,31,0)</f>
        <v>aws s3 cp s3://rtdc.mdm.uploadarchive.raw/RTDC4005/ "%USERPROFILE%\AppData\Local\Temp\OnboardLogs"\RTDC4005\2017-10-18 --exclude "*" --recursive --include "*20171018*" &amp; "%USERPROFILE%\Documents\GitHub\mrs-test-scripts\Headless Mode &amp; Sideloading\WalkAndUnGZ.bat" "%USERPROFILE%\AppData\Local\Temp\OnboardLogs"\RTDC4005\2017-10-18 &amp; aws s3 cp s3://rtdc.mdm.uploadarchive.raw/RTDC4005/ "%USERPROFILE%\AppData\Local\Temp\OnboardLogs"\RTDC4005\2017-10-19 --exclude "*" --recursive --include "*20171019*" &amp; "%USERPROFILE%\Documents\GitHub\mrs-test-scripts\Headless Mode &amp; Sideloading\WalkAndUnGZ.bat" "%USERPROFILE%\AppData\Local\Temp\OnboardLogs"\RTDC4005\2017-10-19</v>
      </c>
      <c r="S51" s="84" t="str">
        <f>VLOOKUP(C51,'Train Runs'!$A$13:$AE$10048,22,0)</f>
        <v>https://d0f6bd738d7f1b3e5a7ca70fe4ff75f0.us-east-1.aws.found.io/app/kibana#/discover/Steve-Slow-Train-Analysis-(2080s-and-2083s)?_g=(refreshInterval:(display:Off,pause:!f,section:0,value:0),time:(from:'2017-10-18T08:39:27-0600',mode:absolute,to:'2017-10-18T10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51" s="86" t="str">
        <f>astrogrep_path&amp;" /e /r /s /spath="&amp;search_path&amp;" /stypes=""*"&amp;U51&amp;"*"&amp;TEXT(A51-utc_offset/24,"YYYYMMDD")&amp;LEFT(TEXT(A51-utc_offset/24,"HH"),1)&amp;"*"" /stext="" "&amp;TEXT(A51-utc_offset/24,"HH")&amp;search_regexp&amp;""""</f>
        <v>"C:\Program Files (x86)\AstroGrep\AstroGrep.exe" /e /r /s /spath="%USERPROFILE%\AppData\Local\Temp\OnboardLogs" /stypes="*4005*201710181*" /stext=" 15:.+((SYSTEM_STATE.+slice.+state.+changed )|(ment ac)|(multiple cpu faults)|(system.+state.+changed )|(\[timeout)|(PRM\|1\|D)|(kpr)|(kdp)|(train st.+moving)|(\|lc)|(penalty))"</v>
      </c>
      <c r="U51" s="9" t="str">
        <f>MID(B51,13,4)</f>
        <v>4005</v>
      </c>
      <c r="V51" s="31">
        <f>A51-utc_offset/24</f>
        <v>43026.661620370367</v>
      </c>
      <c r="W51" s="45" t="str">
        <f>DetSubdiv(C51)</f>
        <v>Shuttle/Test</v>
      </c>
      <c r="X51" s="22">
        <f>VALUE(LEFT(C51,LEN(C51)-3))</f>
        <v>54</v>
      </c>
      <c r="Y51" s="96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Shuttle/Test"},{"id":4,"name":"Milepost","value":"0.0826"},{"id":17,"name":"Train ID","value":"54-18"},{"id":16,"name":"Locomotive ID","value":"4005"},{"id":130,"name":"Impact","value":""},{"id":150,"name":"Time of Event (Mountain Time)","value":"09:52:44"},{"id":151,"name":"Denver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1" s="159"/>
      <c r="AA51" s="47"/>
      <c r="AB51" s="47"/>
      <c r="AC51" s="115" t="str">
        <f>"grep -hrE -A400 ""Enforcement Action"" "&amp;"/c/Users/stu/AppData/Local/Temp/OnboardLogs"&amp;"/RTDC"&amp;U51&amp;" --include=""*"&amp;U51&amp;"*"&amp;TEXT(A51-utc_offset/24,"YYYYMMDD")&amp;LEFT(TEXT(A51-utc_offset/24,"HH"),1)&amp;"*"" | grep -E ""((Enforcement Ac)|(PRM))"" -"</f>
        <v>grep -hrE -A400 "Enforcement Action" /c/Users/stu/AppData/Local/Temp/OnboardLogs/RTDC4005 --include="*4005*201710181*"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"%USERPROFILE%\AppData\Local\Temp\OnboardLogs"\RTDC4005\*4005*201710181* &gt;&gt; 2017-10-18-SliceDisagreementCheck.txt</v>
      </c>
      <c r="AE51" s="145" t="str">
        <f t="shared" si="1"/>
        <v>start /low /b %USERPROFILE%\Documents\GitHub\eaglep3\Utilities\DownloadLogsFromS3.py --loco 4005 --day 2017-10-18</v>
      </c>
      <c r="AF51" s="1"/>
    </row>
    <row r="52" spans="1:32" x14ac:dyDescent="0.3">
      <c r="A52" s="31">
        <v>43026.488483796296</v>
      </c>
      <c r="B52" s="30" t="s">
        <v>565</v>
      </c>
      <c r="C52" s="30" t="s">
        <v>566</v>
      </c>
      <c r="D52" s="30" t="s">
        <v>49</v>
      </c>
      <c r="E52" s="30" t="s">
        <v>179</v>
      </c>
      <c r="F52" s="42">
        <v>0</v>
      </c>
      <c r="G52" s="42">
        <v>13</v>
      </c>
      <c r="H52" s="42">
        <v>837</v>
      </c>
      <c r="I52" s="42">
        <v>826</v>
      </c>
      <c r="J52" s="30" t="s">
        <v>180</v>
      </c>
      <c r="K52" s="42">
        <v>826</v>
      </c>
      <c r="L52" s="131" t="s">
        <v>51</v>
      </c>
      <c r="M52" s="132">
        <f>CONVERT((I52-K52)/10000,"mi","ft")*IF(L52="Increasing Mileposts (1)",-1,1)</f>
        <v>0</v>
      </c>
      <c r="N52" s="133" t="str">
        <f>VLOOKUP(C52,'Trips&amp;Operators'!$C$1:$G$99911,5,FALSE)</f>
        <v>NELSON ARIANE</v>
      </c>
      <c r="O52" s="176" t="s">
        <v>178</v>
      </c>
      <c r="P52" s="134"/>
      <c r="Q52" s="30"/>
      <c r="R52" s="81" t="str">
        <f>VLOOKUP(C52,'Train Runs'!$A$13:$AE$10048,31,0)</f>
        <v>aws s3 cp s3://rtdc.mdm.uploadarchive.raw/RTDC4007/ "%USERPROFILE%\AppData\Local\Temp\OnboardLogs"\RTDC4007\2017-10-18 --exclude "*" --recursive --include "*20171018*" &amp; "%USERPROFILE%\Documents\GitHub\mrs-test-scripts\Headless Mode &amp; Sideloading\WalkAndUnGZ.bat" "%USERPROFILE%\AppData\Local\Temp\OnboardLogs"\RTDC4007\2017-10-18 &amp; aws s3 cp s3://rtdc.mdm.uploadarchive.raw/RTDC4007/ "%USERPROFILE%\AppData\Local\Temp\OnboardLogs"\RTDC4007\2017-10-19 --exclude "*" --recursive --include "*20171019*" &amp; "%USERPROFILE%\Documents\GitHub\mrs-test-scripts\Headless Mode &amp; Sideloading\WalkAndUnGZ.bat" "%USERPROFILE%\AppData\Local\Temp\OnboardLogs"\RTDC4007\2017-10-19</v>
      </c>
      <c r="S52" s="84" t="str">
        <f>VLOOKUP(C52,'Train Runs'!$A$13:$AE$10048,22,0)</f>
        <v>https://d0f6bd738d7f1b3e5a7ca70fe4ff75f0.us-east-1.aws.found.io/app/kibana#/discover/Steve-Slow-Train-Analysis-(2080s-and-2083s)?_g=(refreshInterval:(display:Off,pause:!f,section:0,value:0),time:(from:'2017-10-18T10:29:07-0600',mode:absolute,to:'2017-10-18T12:43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2" s="86" t="str">
        <f>astrogrep_path&amp;" /e /r /s /spath="&amp;search_path&amp;" /stypes=""*"&amp;U52&amp;"*"&amp;TEXT(A52-utc_offset/24,"YYYYMMDD")&amp;LEFT(TEXT(A52-utc_offset/24,"HH"),1)&amp;"*"" /stext="" "&amp;TEXT(A52-utc_offset/24,"HH")&amp;search_regexp&amp;""""</f>
        <v>"C:\Program Files (x86)\AstroGrep\AstroGrep.exe" /e /r /s /spath="%USERPROFILE%\AppData\Local\Temp\OnboardLogs" /stypes="*4007*201710181*" /stext=" 17:.+((SYSTEM_STATE.+slice.+state.+changed )|(ment ac)|(multiple cpu faults)|(system.+state.+changed )|(\[timeout)|(PRM\|1\|D)|(kpr)|(kdp)|(train st.+moving)|(\|lc)|(penalty))"</v>
      </c>
      <c r="U52" s="9" t="str">
        <f>MID(B52,13,4)</f>
        <v>4007</v>
      </c>
      <c r="V52" s="31">
        <f>A52-utc_offset/24</f>
        <v>43026.738483796296</v>
      </c>
      <c r="W52" s="45" t="str">
        <f>DetSubdiv(C52)</f>
        <v>Shuttle/Test</v>
      </c>
      <c r="X52" s="22">
        <f>VALUE(LEFT(C52,LEN(C52)-3))</f>
        <v>70</v>
      </c>
      <c r="Y52" s="96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Shuttle/Test"},{"id":4,"name":"Milepost","value":"0.0826"},{"id":17,"name":"Train ID","value":"70-18"},{"id":16,"name":"Locomotive ID","value":"4007"},{"id":130,"name":"Impact","value":""},{"id":150,"name":"Time of Event (Mountain Time)","value":"11:43:25"},{"id":151,"name":"Denver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2" s="159"/>
      <c r="AA52" s="47"/>
      <c r="AB52" s="47"/>
      <c r="AC52" s="115" t="str">
        <f>"grep -hrE -A400 ""Enforcement Action"" "&amp;"/c/Users/stu/AppData/Local/Temp/OnboardLogs"&amp;"/RTDC"&amp;U52&amp;" --include=""*"&amp;U52&amp;"*"&amp;TEXT(A52-utc_offset/24,"YYYYMMDD")&amp;LEFT(TEXT(A52-utc_offset/24,"HH"),1)&amp;"*"" | grep -E ""((Enforcement Ac)|(PRM))"" -"</f>
        <v>grep -hrE -A400 "Enforcement Action" /c/Users/stu/AppData/Local/Temp/OnboardLogs/RTDC4007 --include="*4007*201710181*"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"%USERPROFILE%\AppData\Local\Temp\OnboardLogs"\RTDC4007\*4007*201710181* &gt;&gt; 2017-10-18-SliceDisagreementCheck.txt</v>
      </c>
      <c r="AE52" s="145" t="str">
        <f t="shared" si="1"/>
        <v>start /low /b %USERPROFILE%\Documents\GitHub\eaglep3\Utilities\DownloadLogsFromS3.py --loco 4007 --day 2017-10-18</v>
      </c>
      <c r="AF52" s="1"/>
    </row>
    <row r="53" spans="1:32" x14ac:dyDescent="0.3">
      <c r="A53" s="31">
        <v>43026.132025462961</v>
      </c>
      <c r="B53" s="30" t="s">
        <v>457</v>
      </c>
      <c r="C53" s="30" t="s">
        <v>545</v>
      </c>
      <c r="D53" s="30" t="s">
        <v>95</v>
      </c>
      <c r="E53" s="30" t="s">
        <v>179</v>
      </c>
      <c r="F53" s="42">
        <v>0</v>
      </c>
      <c r="G53" s="42">
        <v>6</v>
      </c>
      <c r="H53" s="42">
        <v>839</v>
      </c>
      <c r="I53" s="42">
        <v>0</v>
      </c>
      <c r="J53" s="30" t="s">
        <v>180</v>
      </c>
      <c r="K53" s="42">
        <v>839</v>
      </c>
      <c r="L53" s="131" t="s">
        <v>51</v>
      </c>
      <c r="M53" s="132">
        <f>CONVERT((I53-K53)/10000,"mi","ft")*IF(L53="Increasing Mileposts (1)",-1,1)</f>
        <v>-442.99200000000002</v>
      </c>
      <c r="N53" s="133" t="str">
        <f>VLOOKUP(C53,'Trips&amp;Operators'!$C$1:$G$99911,5,FALSE)</f>
        <v>ROCHA YAOTL</v>
      </c>
      <c r="O53" s="176" t="s">
        <v>178</v>
      </c>
      <c r="P53" s="134"/>
      <c r="Q53" s="30"/>
      <c r="R53" s="81" t="str">
        <f>VLOOKUP(C53,'Train Runs'!$A$13:$AE$10048,31,0)</f>
        <v>aws s3 cp s3://rtdc.mdm.uploadarchive.raw/RTDC4029/ "%USERPROFILE%\AppData\Local\Temp\OnboardLogs"\RTDC4029\2017-10-18 --exclude "*" --recursive --include "*20171018*" &amp; "%USERPROFILE%\Documents\GitHub\mrs-test-scripts\Headless Mode &amp; Sideloading\WalkAndUnGZ.bat" "%USERPROFILE%\AppData\Local\Temp\OnboardLogs"\RTDC4029\2017-10-18 &amp; aws s3 cp s3://rtdc.mdm.uploadarchive.raw/RTDC4029/ "%USERPROFILE%\AppData\Local\Temp\OnboardLogs"\RTDC4029\2017-10-19 --exclude "*" --recursive --include "*20171019*" &amp; "%USERPROFILE%\Documents\GitHub\mrs-test-scripts\Headless Mode &amp; Sideloading\WalkAndUnGZ.bat" "%USERPROFILE%\AppData\Local\Temp\OnboardLogs"\RTDC4029\2017-10-19</v>
      </c>
      <c r="S53" s="84" t="str">
        <f>VLOOKUP(C53,'Train Runs'!$A$13:$AE$10048,22,0)</f>
        <v>https://d0f6bd738d7f1b3e5a7ca70fe4ff75f0.us-east-1.aws.found.io/app/kibana#/discover/Steve-Slow-Train-Analysis-(2080s-and-2083s)?_g=(refreshInterval:(display:Off,pause:!f,section:0,value:0),time:(from:'2017-10-18T01:56:29-0600',mode:absolute,to:'2017-10-18T04:10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53" s="86" t="str">
        <f>astrogrep_path&amp;" /e /r /s /spath="&amp;search_path&amp;" /stypes=""*"&amp;U53&amp;"*"&amp;TEXT(A53-utc_offset/24,"YYYYMMDD")&amp;LEFT(TEXT(A53-utc_offset/24,"HH"),1)&amp;"*"" /stext="" "&amp;TEXT(A53-utc_offset/24,"HH")&amp;search_regexp&amp;""""</f>
        <v>"C:\Program Files (x86)\AstroGrep\AstroGrep.exe" /e /r /s /spath="%USERPROFILE%\AppData\Local\Temp\OnboardLogs" /stypes="*4029*201710180*" /stext=" 09:.+((SYSTEM_STATE.+slice.+state.+changed )|(ment ac)|(multiple cpu faults)|(system.+state.+changed )|(\[timeout)|(PRM\|1\|D)|(kpr)|(kdp)|(train st.+moving)|(\|lc)|(penalty))"</v>
      </c>
      <c r="U53" s="9" t="str">
        <f>MID(B53,13,4)</f>
        <v>4029</v>
      </c>
      <c r="V53" s="31">
        <f>A53-utc_offset/24</f>
        <v>43026.382025462961</v>
      </c>
      <c r="W53" s="45" t="str">
        <f>DetSubdiv(C53)</f>
        <v>Shuttle/Test</v>
      </c>
      <c r="X53" s="22">
        <f>VALUE(LEFT(C53,LEN(C53)-3))</f>
        <v>60</v>
      </c>
      <c r="Y53" s="96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Shuttle/Test"},{"id":4,"name":"Milepost","value":"0.0839"},{"id":17,"name":"Train ID","value":"60-18"},{"id":16,"name":"Locomotive ID","value":"4029"},{"id":130,"name":"Impact","value":""},{"id":150,"name":"Time of Event (Mountain Time)","value":"03:10:07"},{"id":151,"name":"Denver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3" s="159"/>
      <c r="AA53" s="47"/>
      <c r="AB53" s="47"/>
      <c r="AC53" s="115" t="str">
        <f>"grep -hrE -A400 ""Enforcement Action"" "&amp;"/c/Users/stu/AppData/Local/Temp/OnboardLogs"&amp;"/RTDC"&amp;U53&amp;" --include=""*"&amp;U53&amp;"*"&amp;TEXT(A53-utc_offset/24,"YYYYMMDD")&amp;LEFT(TEXT(A53-utc_offset/24,"HH"),1)&amp;"*"" | grep -E ""((Enforcement Ac)|(PRM))"" -"</f>
        <v>grep -hrE -A400 "Enforcement Action" /c/Users/stu/AppData/Local/Temp/OnboardLogs/RTDC4029 --include="*4029*201710180*"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"%USERPROFILE%\AppData\Local\Temp\OnboardLogs"\RTDC4029\*4029*201710180* &gt;&gt; 2017-10-18-SliceDisagreementCheck.txt</v>
      </c>
      <c r="AE53" s="145" t="str">
        <f t="shared" si="1"/>
        <v>start /low /b %USERPROFILE%\Documents\GitHub\eaglep3\Utilities\DownloadLogsFromS3.py --loco 4029 --day 2017-10-18</v>
      </c>
      <c r="AF53" s="1"/>
    </row>
    <row r="54" spans="1:32" x14ac:dyDescent="0.3">
      <c r="A54" s="31">
        <v>43026.390520833331</v>
      </c>
      <c r="B54" s="30" t="s">
        <v>396</v>
      </c>
      <c r="C54" s="30" t="s">
        <v>558</v>
      </c>
      <c r="D54" s="30" t="s">
        <v>95</v>
      </c>
      <c r="E54" s="30" t="s">
        <v>179</v>
      </c>
      <c r="F54" s="42">
        <v>0</v>
      </c>
      <c r="G54" s="42">
        <v>5</v>
      </c>
      <c r="H54" s="42">
        <v>112547</v>
      </c>
      <c r="I54" s="42">
        <v>0</v>
      </c>
      <c r="J54" s="30" t="s">
        <v>180</v>
      </c>
      <c r="K54" s="42">
        <v>112547</v>
      </c>
      <c r="L54" s="131" t="s">
        <v>50</v>
      </c>
      <c r="M54" s="132">
        <f>CONVERT((I54-K54)/10000,"mi","ft")*IF(L54="Increasing Mileposts (1)",-1,1)</f>
        <v>59424.815999999999</v>
      </c>
      <c r="N54" s="133" t="str">
        <f>VLOOKUP(C54,'Trips&amp;Operators'!$C$1:$G$99911,5,FALSE)</f>
        <v>ROMERO CHAD</v>
      </c>
      <c r="O54" s="176" t="s">
        <v>178</v>
      </c>
      <c r="P54" s="134"/>
      <c r="Q54" s="30"/>
      <c r="R54" s="81" t="str">
        <f>VLOOKUP(C54,'Train Runs'!$A$13:$AE$10048,31,0)</f>
        <v>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 &amp; 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</v>
      </c>
      <c r="S54" s="84" t="str">
        <f>VLOOKUP(C54,'Train Runs'!$A$13:$AE$10048,22,0)</f>
        <v>https://d0f6bd738d7f1b3e5a7ca70fe4ff75f0.us-east-1.aws.found.io/app/kibana#/discover/Steve-Slow-Train-Analysis-(2080s-and-2083s)?_g=(refreshInterval:(display:Off,pause:!f,section:0,value:0),time:(from:'2017-10-18T07:58:39-0600',mode:absolute,to:'2017-10-18T10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54" s="86" t="str">
        <f>astrogrep_path&amp;" /e /r /s /spath="&amp;search_path&amp;" /stypes=""*"&amp;U54&amp;"*"&amp;TEXT(A54-utc_offset/24,"YYYYMMDD")&amp;LEFT(TEXT(A54-utc_offset/24,"HH"),1)&amp;"*"" /stext="" "&amp;TEXT(A54-utc_offset/24,"HH")&amp;search_regexp&amp;""""</f>
        <v>"C:\Program Files (x86)\AstroGrep\AstroGrep.exe" /e /r /s /spath="%USERPROFILE%\AppData\Local\Temp\OnboardLogs" /stypes="*4066*201710181*" /stext=" 15:.+((SYSTEM_STATE.+slice.+state.+changed )|(ment ac)|(multiple cpu faults)|(system.+state.+changed )|(\[timeout)|(PRM\|1\|D)|(kpr)|(kdp)|(train st.+moving)|(\|lc)|(penalty))"</v>
      </c>
      <c r="U54" s="9" t="str">
        <f>MID(B54,13,4)</f>
        <v>4066</v>
      </c>
      <c r="V54" s="31">
        <f>A54-utc_offset/24</f>
        <v>43026.640520833331</v>
      </c>
      <c r="W54" s="45" t="str">
        <f>DetSubdiv(C54)</f>
        <v>Shuttle/Test</v>
      </c>
      <c r="X54" s="22">
        <f>VALUE(LEFT(C54,LEN(C54)-3))</f>
        <v>61</v>
      </c>
      <c r="Y54" s="96" t="str">
        <f>"echo {""issue"":{""subject"":"""&amp;P54&amp;""",""project_id"":79,""tracker_id"":40,""status_id"":"&amp;redmine_status&amp;",""priority_id"":"&amp;redmine_priority&amp;",""assigned_to_id"":"&amp;redmine_assignee&amp;",""start_date"":"""&amp;TEXT(A54,"YYYY-mm-dd")&amp;""",""description"":"""&amp;Z54&amp;""",""custom_fields"":[{""id"":1,""name"":""Subdivision"",""value"":"""&amp;W54&amp;"""},{""id"":4,""name"":""Milepost"",""value"":"""&amp;K54/10000&amp;"""},{""id"":17,""name"":""Train ID"",""value"":"""&amp;C54&amp;"""},{""id"":16,""name"":""Locomotive ID"",""value"":"""&amp;U54&amp;"""},{""id"":130,""name"":""Impact"",""value"":"""&amp;AA54&amp;"""},{""id"":150,""name"":""Time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Assigned"",""value"":"""&amp;AB54&amp;"""}]}}"&amp;"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Shuttle/Test"},{"id":4,"name":"Milepost","value":"11.2547"},{"id":17,"name":"Train ID","value":"61-18"},{"id":16,"name":"Locomotive ID","value":"4066"},{"id":130,"name":"Impact","value":""},{"id":150,"name":"Time of Event (Mountain Time)","value":"09:22:21"},{"id":151,"name":"Denver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4" s="159"/>
      <c r="AA54" s="47"/>
      <c r="AB54" s="47"/>
      <c r="AC54" s="115" t="str">
        <f>"grep -hrE -A400 ""Enforcement Action"" "&amp;"/c/Users/stu/AppData/Local/Temp/OnboardLogs"&amp;"/RTDC"&amp;U54&amp;" --include=""*"&amp;U54&amp;"*"&amp;TEXT(A54-utc_offset/24,"YYYYMMDD")&amp;LEFT(TEXT(A54-utc_offset/24,"HH"),1)&amp;"*"" | grep -E ""((Enforcement Ac)|(PRM))"" -"</f>
        <v>grep -hrE -A400 "Enforcement Action" /c/Users/stu/AppData/Local/Temp/OnboardLogs/RTDC4066 --include="*4066*201710181*"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"%USERPROFILE%\AppData\Local\Temp\OnboardLogs"\RTDC4066\*4066*201710181* &gt;&gt; 2017-10-18-SliceDisagreementCheck.txt</v>
      </c>
      <c r="AE54" s="145" t="str">
        <f t="shared" si="1"/>
        <v>start /low /b %USERPROFILE%\Documents\GitHub\eaglep3\Utilities\DownloadLogsFromS3.py --loco 4066 --day 2017-10-18</v>
      </c>
      <c r="AF54" s="1"/>
    </row>
    <row r="55" spans="1:32" x14ac:dyDescent="0.3">
      <c r="A55" s="31">
        <v>43026.642511574071</v>
      </c>
      <c r="B55" s="30" t="s">
        <v>396</v>
      </c>
      <c r="C55" s="30" t="s">
        <v>578</v>
      </c>
      <c r="D55" s="30" t="s">
        <v>95</v>
      </c>
      <c r="E55" s="30" t="s">
        <v>179</v>
      </c>
      <c r="F55" s="42">
        <v>0</v>
      </c>
      <c r="G55" s="42">
        <v>2</v>
      </c>
      <c r="H55" s="42">
        <v>112547</v>
      </c>
      <c r="I55" s="42">
        <v>0</v>
      </c>
      <c r="J55" s="30" t="s">
        <v>180</v>
      </c>
      <c r="K55" s="42">
        <v>112547</v>
      </c>
      <c r="L55" s="131" t="s">
        <v>50</v>
      </c>
      <c r="M55" s="132">
        <f>CONVERT((I55-K55)/10000,"mi","ft")*IF(L55="Increasing Mileposts (1)",-1,1)</f>
        <v>59424.815999999999</v>
      </c>
      <c r="N55" s="133" t="str">
        <f>VLOOKUP(C55,'Trips&amp;Operators'!$C$1:$G$99911,5,FALSE)</f>
        <v>MAGEE KENYA</v>
      </c>
      <c r="O55" s="176" t="s">
        <v>178</v>
      </c>
      <c r="P55" s="134"/>
      <c r="Q55" s="30"/>
      <c r="R55" s="81" t="str">
        <f>VLOOKUP(C55,'Train Runs'!$A$13:$AE$10048,31,0)</f>
        <v>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 &amp; 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</v>
      </c>
      <c r="S55" s="84" t="str">
        <f>VLOOKUP(C55,'Train Runs'!$A$13:$AE$10048,22,0)</f>
        <v>https://d0f6bd738d7f1b3e5a7ca70fe4ff75f0.us-east-1.aws.found.io/app/kibana#/discover/Steve-Slow-Train-Analysis-(2080s-and-2083s)?_g=(refreshInterval:(display:Off,pause:!f,section:0,value:0),time:(from:'2017-10-18T13:41:59-0600',mode:absolute,to:'2017-10-18T16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55" s="86" t="str">
        <f>astrogrep_path&amp;" /e /r /s /spath="&amp;search_path&amp;" /stypes=""*"&amp;U55&amp;"*"&amp;TEXT(A55-utc_offset/24,"YYYYMMDD")&amp;LEFT(TEXT(A55-utc_offset/24,"HH"),1)&amp;"*"" /stext="" "&amp;TEXT(A55-utc_offset/24,"HH")&amp;search_regexp&amp;""""</f>
        <v>"C:\Program Files (x86)\AstroGrep\AstroGrep.exe" /e /r /s /spath="%USERPROFILE%\AppData\Local\Temp\OnboardLogs" /stypes="*4066*201710182*" /stext=" 21:.+((SYSTEM_STATE.+slice.+state.+changed )|(ment ac)|(multiple cpu faults)|(system.+state.+changed )|(\[timeout)|(PRM\|1\|D)|(kpr)|(kdp)|(train st.+moving)|(\|lc)|(penalty))"</v>
      </c>
      <c r="U55" s="9" t="str">
        <f>MID(B55,13,4)</f>
        <v>4066</v>
      </c>
      <c r="V55" s="31">
        <f>A55-utc_offset/24</f>
        <v>43026.892511574071</v>
      </c>
      <c r="W55" s="45" t="str">
        <f>DetSubdiv(C55)</f>
        <v>Shuttle/Test</v>
      </c>
      <c r="X55" s="22">
        <f>VALUE(LEFT(C55,LEN(C55)-3))</f>
        <v>74</v>
      </c>
      <c r="Y55" s="96" t="str">
        <f>"echo {""issue"":{""subject"":"""&amp;P55&amp;""",""project_id"":79,""tracker_id"":40,""status_id"":"&amp;redmine_status&amp;",""priority_id"":"&amp;redmine_priority&amp;",""assigned_to_id"":"&amp;redmine_assignee&amp;",""start_date"":"""&amp;TEXT(A55,"YYYY-mm-dd")&amp;""",""description"":"""&amp;Z55&amp;""",""custom_fields"":[{""id"":1,""name"":""Subdivision"",""value"":"""&amp;W55&amp;"""},{""id"":4,""name"":""Milepost"",""value"":"""&amp;K55/10000&amp;"""},{""id"":17,""name"":""Train ID"",""value"":"""&amp;C55&amp;"""},{""id"":16,""name"":""Locomotive ID"",""value"":"""&amp;U55&amp;"""},{""id"":130,""name"":""Impact"",""value"":"""&amp;AA55&amp;"""},{""id"":150,""name"":""Time of Event (Mountain Time)"",""value"":"""&amp;TEXT(A55,"hh:mm:ss")&amp;"""},{""id"":151,""name"":""Denver Issue ID"",""value"":"""&amp;"""},{""id"":178,""name"":""Operational Impact"",""value"":"""&amp;redmine_op_impact&amp;"""},{""id"":179,""name"":""Denver Segment Assigned"",""value"":"""&amp;AB55&amp;"""}]}}"&amp;"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Shuttle/Test"},{"id":4,"name":"Milepost","value":"11.2547"},{"id":17,"name":"Train ID","value":"74-18"},{"id":16,"name":"Locomotive ID","value":"4066"},{"id":130,"name":"Impact","value":""},{"id":150,"name":"Time of Event (Mountain Time)","value":"15:25:13"},{"id":151,"name":"Denver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5" s="159"/>
      <c r="AA55" s="47"/>
      <c r="AB55" s="47"/>
      <c r="AC55" s="115" t="str">
        <f>"grep -hrE -A400 ""Enforcement Action"" "&amp;"/c/Users/stu/AppData/Local/Temp/OnboardLogs"&amp;"/RTDC"&amp;U55&amp;" --include=""*"&amp;U55&amp;"*"&amp;TEXT(A55-utc_offset/24,"YYYYMMDD")&amp;LEFT(TEXT(A55-utc_offset/24,"HH"),1)&amp;"*"" | grep -E ""((Enforcement Ac)|(PRM))"" -"</f>
        <v>grep -hrE -A400 "Enforcement Action" /c/Users/stu/AppData/Local/Temp/OnboardLogs/RTDC4066 --include="*4066*201710182*"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"%USERPROFILE%\AppData\Local\Temp\OnboardLogs"\RTDC4066\*4066*201710182* &gt;&gt; 2017-10-18-SliceDisagreementCheck.txt</v>
      </c>
      <c r="AE55" s="145" t="str">
        <f t="shared" si="1"/>
        <v>start /low /b %USERPROFILE%\Documents\GitHub\eaglep3\Utilities\DownloadLogsFromS3.py --loco 4066 --day 2017-10-18</v>
      </c>
      <c r="AF55" s="1"/>
    </row>
    <row r="56" spans="1:32" x14ac:dyDescent="0.3">
      <c r="A56" s="31">
        <v>43026.682141203702</v>
      </c>
      <c r="B56" s="30" t="s">
        <v>396</v>
      </c>
      <c r="C56" s="30" t="s">
        <v>582</v>
      </c>
      <c r="D56" s="30" t="s">
        <v>49</v>
      </c>
      <c r="E56" s="30" t="s">
        <v>179</v>
      </c>
      <c r="F56" s="42">
        <v>0</v>
      </c>
      <c r="G56" s="42">
        <v>7</v>
      </c>
      <c r="H56" s="42">
        <v>112521</v>
      </c>
      <c r="I56" s="42">
        <v>112524</v>
      </c>
      <c r="J56" s="30" t="s">
        <v>180</v>
      </c>
      <c r="K56" s="42">
        <v>112547</v>
      </c>
      <c r="L56" s="131" t="s">
        <v>50</v>
      </c>
      <c r="M56" s="132">
        <f>CONVERT((I56-K56)/10000,"mi","ft")*IF(L56="Increasing Mileposts (1)",-1,1)</f>
        <v>12.144</v>
      </c>
      <c r="N56" s="133" t="str">
        <f>VLOOKUP(C56,'Trips&amp;Operators'!$C$1:$G$99911,5,FALSE)</f>
        <v>ROBINSON KADDIBA</v>
      </c>
      <c r="O56" s="176" t="s">
        <v>178</v>
      </c>
      <c r="P56" s="134"/>
      <c r="Q56" s="30"/>
      <c r="R56" s="81" t="str">
        <f>VLOOKUP(C56,'Train Runs'!$A$13:$AE$10048,31,0)</f>
        <v>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 &amp; 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</v>
      </c>
      <c r="S56" s="84" t="str">
        <f>VLOOKUP(C56,'Train Runs'!$A$13:$AE$10048,22,0)</f>
        <v>https://d0f6bd738d7f1b3e5a7ca70fe4ff75f0.us-east-1.aws.found.io/app/kibana#/discover/Steve-Slow-Train-Analysis-(2080s-and-2083s)?_g=(refreshInterval:(display:Off,pause:!f,section:0,value:0),time:(from:'2017-10-18T12:26:42-0600',mode:absolute,to:'2017-10-18T14:58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56" s="86" t="str">
        <f>astrogrep_path&amp;" /e /r /s /spath="&amp;search_path&amp;" /stypes=""*"&amp;U56&amp;"*"&amp;TEXT(A56-utc_offset/24,"YYYYMMDD")&amp;LEFT(TEXT(A56-utc_offset/24,"HH"),1)&amp;"*"" /stext="" "&amp;TEXT(A56-utc_offset/24,"HH")&amp;search_regexp&amp;""""</f>
        <v>"C:\Program Files (x86)\AstroGrep\AstroGrep.exe" /e /r /s /spath="%USERPROFILE%\AppData\Local\Temp\OnboardLogs" /stypes="*4066*201710182*" /stext=" 22:.+((SYSTEM_STATE.+slice.+state.+changed )|(ment ac)|(multiple cpu faults)|(system.+state.+changed )|(\[timeout)|(PRM\|1\|D)|(kpr)|(kdp)|(train st.+moving)|(\|lc)|(penalty))"</v>
      </c>
      <c r="U56" s="9" t="str">
        <f>MID(B56,13,4)</f>
        <v>4066</v>
      </c>
      <c r="V56" s="31">
        <f>A56-utc_offset/24</f>
        <v>43026.932141203702</v>
      </c>
      <c r="W56" s="45" t="str">
        <f>DetSubdiv(C56)</f>
        <v>Shuttle/Test</v>
      </c>
      <c r="X56" s="22">
        <f>VALUE(LEFT(C56,LEN(C56)-3))</f>
        <v>77</v>
      </c>
      <c r="Y56" s="96" t="str">
        <f>"echo {""issue"":{""subject"":"""&amp;P56&amp;""",""project_id"":79,""tracker_id"":40,""status_id"":"&amp;redmine_status&amp;",""priority_id"":"&amp;redmine_priority&amp;",""assigned_to_id"":"&amp;redmine_assignee&amp;",""start_date"":"""&amp;TEXT(A56,"YYYY-mm-dd")&amp;""",""description"":"""&amp;Z56&amp;""",""custom_fields"":[{""id"":1,""name"":""Subdivision"",""value"":"""&amp;W56&amp;"""},{""id"":4,""name"":""Milepost"",""value"":"""&amp;K56/10000&amp;"""},{""id"":17,""name"":""Train ID"",""value"":"""&amp;C56&amp;"""},{""id"":16,""name"":""Locomotive ID"",""value"":"""&amp;U56&amp;"""},{""id"":130,""name"":""Impact"",""value"":"""&amp;AA56&amp;"""},{""id"":150,""name"":""Time of Event (Mountain Time)"",""value"":"""&amp;TEXT(A56,"hh:mm:ss")&amp;"""},{""id"":151,""name"":""Denver Issue ID"",""value"":"""&amp;"""},{""id"":178,""name"":""Operational Impact"",""value"":"""&amp;redmine_op_impact&amp;"""},{""id"":179,""name"":""Denver Segment Assigned"",""value"":"""&amp;AB56&amp;"""}]}}"&amp;"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Shuttle/Test"},{"id":4,"name":"Milepost","value":"11.2547"},{"id":17,"name":"Train ID","value":"77-18"},{"id":16,"name":"Locomotive ID","value":"4066"},{"id":130,"name":"Impact","value":""},{"id":150,"name":"Time of Event (Mountain Time)","value":"16:22:17"},{"id":151,"name":"Denver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6" s="159"/>
      <c r="AA56" s="47"/>
      <c r="AB56" s="47"/>
      <c r="AC56" s="115" t="str">
        <f>"grep -hrE -A400 ""Enforcement Action"" "&amp;"/c/Users/stu/AppData/Local/Temp/OnboardLogs"&amp;"/RTDC"&amp;U56&amp;" --include=""*"&amp;U56&amp;"*"&amp;TEXT(A56-utc_offset/24,"YYYYMMDD")&amp;LEFT(TEXT(A56-utc_offset/24,"HH"),1)&amp;"*"" | grep -E ""((Enforcement Ac)|(PRM))"" -"</f>
        <v>grep -hrE -A400 "Enforcement Action" /c/Users/stu/AppData/Local/Temp/OnboardLogs/RTDC4066 --include="*4066*201710182*"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"%USERPROFILE%\AppData\Local\Temp\OnboardLogs"\RTDC4066\*4066*201710182* &gt;&gt; 2017-10-18-SliceDisagreementCheck.txt</v>
      </c>
      <c r="AE56" s="145" t="str">
        <f t="shared" si="1"/>
        <v>start /low /b %USERPROFILE%\Documents\GitHub\eaglep3\Utilities\DownloadLogsFromS3.py --loco 4066 --day 2017-10-18</v>
      </c>
      <c r="AF56" s="1"/>
    </row>
    <row r="57" spans="1:32" x14ac:dyDescent="0.3">
      <c r="A57" s="31">
        <v>43026.486886574072</v>
      </c>
      <c r="B57" s="30" t="s">
        <v>396</v>
      </c>
      <c r="C57" s="30" t="s">
        <v>558</v>
      </c>
      <c r="D57" s="30" t="s">
        <v>95</v>
      </c>
      <c r="E57" s="30" t="s">
        <v>179</v>
      </c>
      <c r="F57" s="42">
        <v>0</v>
      </c>
      <c r="G57" s="42">
        <v>6</v>
      </c>
      <c r="H57" s="42">
        <v>112612</v>
      </c>
      <c r="I57" s="42">
        <v>112612</v>
      </c>
      <c r="J57" s="30" t="s">
        <v>180</v>
      </c>
      <c r="K57" s="42">
        <v>112612</v>
      </c>
      <c r="L57" s="131" t="s">
        <v>50</v>
      </c>
      <c r="M57" s="132">
        <f>CONVERT((I57-K57)/10000,"mi","ft")*IF(L57="Increasing Mileposts (1)",-1,1)</f>
        <v>0</v>
      </c>
      <c r="N57" s="133" t="str">
        <f>VLOOKUP(C57,'Trips&amp;Operators'!$C$1:$G$99911,5,FALSE)</f>
        <v>ROMERO CHAD</v>
      </c>
      <c r="O57" s="176" t="s">
        <v>178</v>
      </c>
      <c r="P57" s="134"/>
      <c r="Q57" s="30"/>
      <c r="R57" s="81" t="str">
        <f>VLOOKUP(C57,'Train Runs'!$A$13:$AE$10048,31,0)</f>
        <v>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 &amp; 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</v>
      </c>
      <c r="S57" s="84" t="str">
        <f>VLOOKUP(C57,'Train Runs'!$A$13:$AE$10048,22,0)</f>
        <v>https://d0f6bd738d7f1b3e5a7ca70fe4ff75f0.us-east-1.aws.found.io/app/kibana#/discover/Steve-Slow-Train-Analysis-(2080s-and-2083s)?_g=(refreshInterval:(display:Off,pause:!f,section:0,value:0),time:(from:'2017-10-18T07:58:39-0600',mode:absolute,to:'2017-10-18T10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57" s="86" t="str">
        <f>astrogrep_path&amp;" /e /r /s /spath="&amp;search_path&amp;" /stypes=""*"&amp;U57&amp;"*"&amp;TEXT(A57-utc_offset/24,"YYYYMMDD")&amp;LEFT(TEXT(A57-utc_offset/24,"HH"),1)&amp;"*"" /stext="" "&amp;TEXT(A57-utc_offset/24,"HH")&amp;search_regexp&amp;""""</f>
        <v>"C:\Program Files (x86)\AstroGrep\AstroGrep.exe" /e /r /s /spath="%USERPROFILE%\AppData\Local\Temp\OnboardLogs" /stypes="*4066*201710181*" /stext=" 17:.+((SYSTEM_STATE.+slice.+state.+changed )|(ment ac)|(multiple cpu faults)|(system.+state.+changed )|(\[timeout)|(PRM\|1\|D)|(kpr)|(kdp)|(train st.+moving)|(\|lc)|(penalty))"</v>
      </c>
      <c r="U57" s="9" t="str">
        <f>MID(B57,13,4)</f>
        <v>4066</v>
      </c>
      <c r="V57" s="31">
        <f>A57-utc_offset/24</f>
        <v>43026.736886574072</v>
      </c>
      <c r="W57" s="45" t="str">
        <f>DetSubdiv(C57)</f>
        <v>Shuttle/Test</v>
      </c>
      <c r="X57" s="22">
        <f>VALUE(LEFT(C57,LEN(C57)-3))</f>
        <v>61</v>
      </c>
      <c r="Y57" s="96" t="str">
        <f>"echo {""issue"":{""subject"":"""&amp;P57&amp;""",""project_id"":79,""tracker_id"":40,""status_id"":"&amp;redmine_status&amp;",""priority_id"":"&amp;redmine_priority&amp;",""assigned_to_id"":"&amp;redmine_assignee&amp;",""start_date"":"""&amp;TEXT(A57,"YYYY-mm-dd")&amp;""",""description"":"""&amp;Z57&amp;""",""custom_fields"":[{""id"":1,""name"":""Subdivision"",""value"":"""&amp;W57&amp;"""},{""id"":4,""name"":""Milepost"",""value"":"""&amp;K57/10000&amp;"""},{""id"":17,""name"":""Train ID"",""value"":"""&amp;C57&amp;"""},{""id"":16,""name"":""Locomotive ID"",""value"":"""&amp;U57&amp;"""},{""id"":130,""name"":""Impact"",""value"":"""&amp;AA57&amp;"""},{""id"":150,""name"":""Time of Event (Mountain Time)"",""value"":"""&amp;TEXT(A57,"hh:mm:ss")&amp;"""},{""id"":151,""name"":""Denver Issue ID"",""value"":"""&amp;"""},{""id"":178,""name"":""Operational Impact"",""value"":"""&amp;redmine_op_impact&amp;"""},{""id"":179,""name"":""Denver Segment Assigned"",""value"":"""&amp;AB57&amp;"""}]}}"&amp;"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Shuttle/Test"},{"id":4,"name":"Milepost","value":"11.2612"},{"id":17,"name":"Train ID","value":"61-18"},{"id":16,"name":"Locomotive ID","value":"4066"},{"id":130,"name":"Impact","value":""},{"id":150,"name":"Time of Event (Mountain Time)","value":"11:41:07"},{"id":151,"name":"Denver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7" s="159"/>
      <c r="AA57" s="47"/>
      <c r="AB57" s="47"/>
      <c r="AC57" s="115" t="str">
        <f>"grep -hrE -A400 ""Enforcement Action"" "&amp;"/c/Users/stu/AppData/Local/Temp/OnboardLogs"&amp;"/RTDC"&amp;U57&amp;" --include=""*"&amp;U57&amp;"*"&amp;TEXT(A57-utc_offset/24,"YYYYMMDD")&amp;LEFT(TEXT(A57-utc_offset/24,"HH"),1)&amp;"*"" | grep -E ""((Enforcement Ac)|(PRM))"" -"</f>
        <v>grep -hrE -A400 "Enforcement Action" /c/Users/stu/AppData/Local/Temp/OnboardLogs/RTDC4066 --include="*4066*201710181*"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"%USERPROFILE%\AppData\Local\Temp\OnboardLogs"\RTDC4066\*4066*201710181* &gt;&gt; 2017-10-18-SliceDisagreementCheck.txt</v>
      </c>
      <c r="AE57" s="145" t="str">
        <f t="shared" si="1"/>
        <v>start /low /b %USERPROFILE%\Documents\GitHub\eaglep3\Utilities\DownloadLogsFromS3.py --loco 4066 --day 2017-10-18</v>
      </c>
      <c r="AF57" s="1"/>
    </row>
    <row r="58" spans="1:32" x14ac:dyDescent="0.3">
      <c r="A58" s="31">
        <v>43026.522824074076</v>
      </c>
      <c r="B58" s="30" t="s">
        <v>396</v>
      </c>
      <c r="C58" s="30" t="s">
        <v>567</v>
      </c>
      <c r="D58" s="30" t="s">
        <v>49</v>
      </c>
      <c r="E58" s="30" t="s">
        <v>179</v>
      </c>
      <c r="F58" s="42">
        <v>0</v>
      </c>
      <c r="G58" s="42">
        <v>13</v>
      </c>
      <c r="H58" s="42">
        <v>112599</v>
      </c>
      <c r="I58" s="42">
        <v>112612</v>
      </c>
      <c r="J58" s="30" t="s">
        <v>180</v>
      </c>
      <c r="K58" s="42">
        <v>112612</v>
      </c>
      <c r="L58" s="131" t="s">
        <v>50</v>
      </c>
      <c r="M58" s="132">
        <f>CONVERT((I58-K58)/10000,"mi","ft")*IF(L58="Increasing Mileposts (1)",-1,1)</f>
        <v>0</v>
      </c>
      <c r="N58" s="133" t="str">
        <f>VLOOKUP(C58,'Trips&amp;Operators'!$C$1:$G$99911,5,FALSE)</f>
        <v>BROWN JACOB</v>
      </c>
      <c r="O58" s="176" t="s">
        <v>178</v>
      </c>
      <c r="P58" s="134"/>
      <c r="Q58" s="30"/>
      <c r="R58" s="81" t="str">
        <f>VLOOKUP(C58,'Train Runs'!$A$13:$AE$10048,31,0)</f>
        <v>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 &amp; 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</v>
      </c>
      <c r="S58" s="84" t="str">
        <f>VLOOKUP(C58,'Train Runs'!$A$13:$AE$10048,22,0)</f>
        <v>https://d0f6bd738d7f1b3e5a7ca70fe4ff75f0.us-east-1.aws.found.io/app/kibana#/discover/Steve-Slow-Train-Analysis-(2080s-and-2083s)?_g=(refreshInterval:(display:Off,pause:!f,section:0,value:0),time:(from:'2017-10-18T09:11:11-0600',mode:absolute,to:'2017-10-18T11:44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58" s="86" t="str">
        <f>astrogrep_path&amp;" /e /r /s /spath="&amp;search_path&amp;" /stypes=""*"&amp;U58&amp;"*"&amp;TEXT(A58-utc_offset/24,"YYYYMMDD")&amp;LEFT(TEXT(A58-utc_offset/24,"HH"),1)&amp;"*"" /stext="" "&amp;TEXT(A58-utc_offset/24,"HH")&amp;search_regexp&amp;""""</f>
        <v>"C:\Program Files (x86)\AstroGrep\AstroGrep.exe" /e /r /s /spath="%USERPROFILE%\AppData\Local\Temp\OnboardLogs" /stypes="*4066*201710181*" /stext=" 18:.+((SYSTEM_STATE.+slice.+state.+changed )|(ment ac)|(multiple cpu faults)|(system.+state.+changed )|(\[timeout)|(PRM\|1\|D)|(kpr)|(kdp)|(train st.+moving)|(\|lc)|(penalty))"</v>
      </c>
      <c r="U58" s="9" t="str">
        <f>MID(B58,13,4)</f>
        <v>4066</v>
      </c>
      <c r="V58" s="31">
        <f>A58-utc_offset/24</f>
        <v>43026.772824074076</v>
      </c>
      <c r="W58" s="45" t="str">
        <f>DetSubdiv(C58)</f>
        <v>Shuttle/Test</v>
      </c>
      <c r="X58" s="22">
        <f>VALUE(LEFT(C58,LEN(C58)-3))</f>
        <v>63</v>
      </c>
      <c r="Y58" s="96" t="str">
        <f>"echo {""issue"":{""subject"":"""&amp;P58&amp;""",""project_id"":79,""tracker_id"":40,""status_id"":"&amp;redmine_status&amp;",""priority_id"":"&amp;redmine_priority&amp;",""assigned_to_id"":"&amp;redmine_assignee&amp;",""start_date"":"""&amp;TEXT(A58,"YYYY-mm-dd")&amp;""",""description"":"""&amp;Z58&amp;""",""custom_fields"":[{""id"":1,""name"":""Subdivision"",""value"":"""&amp;W58&amp;"""},{""id"":4,""name"":""Milepost"",""value"":"""&amp;K58/10000&amp;"""},{""id"":17,""name"":""Train ID"",""value"":"""&amp;C58&amp;"""},{""id"":16,""name"":""Locomotive ID"",""value"":"""&amp;U58&amp;"""},{""id"":130,""name"":""Impact"",""value"":"""&amp;AA58&amp;"""},{""id"":150,""name"":""Time of Event (Mountain Time)"",""value"":"""&amp;TEXT(A58,"hh:mm:ss")&amp;"""},{""id"":151,""name"":""Denver Issue ID"",""value"":"""&amp;"""},{""id"":178,""name"":""Operational Impact"",""value"":"""&amp;redmine_op_impact&amp;"""},{""id"":179,""name"":""Denver Segment Assigned"",""value"":"""&amp;AB58&amp;"""}]}}"&amp;"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Shuttle/Test"},{"id":4,"name":"Milepost","value":"11.2612"},{"id":17,"name":"Train ID","value":"63-18"},{"id":16,"name":"Locomotive ID","value":"4066"},{"id":130,"name":"Impact","value":""},{"id":150,"name":"Time of Event (Mountain Time)","value":"12:32:52"},{"id":151,"name":"Denver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8" s="159"/>
      <c r="AA58" s="47"/>
      <c r="AB58" s="47"/>
      <c r="AC58" s="115" t="str">
        <f>"grep -hrE -A400 ""Enforcement Action"" "&amp;"/c/Users/stu/AppData/Local/Temp/OnboardLogs"&amp;"/RTDC"&amp;U58&amp;" --include=""*"&amp;U58&amp;"*"&amp;TEXT(A58-utc_offset/24,"YYYYMMDD")&amp;LEFT(TEXT(A58-utc_offset/24,"HH"),1)&amp;"*"" | grep -E ""((Enforcement Ac)|(PRM))"" -"</f>
        <v>grep -hrE -A400 "Enforcement Action" /c/Users/stu/AppData/Local/Temp/OnboardLogs/RTDC4066 --include="*4066*201710181*"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"%USERPROFILE%\AppData\Local\Temp\OnboardLogs"\RTDC4066\*4066*201710181* &gt;&gt; 2017-10-18-SliceDisagreementCheck.txt</v>
      </c>
      <c r="AE58" s="145" t="str">
        <f t="shared" si="1"/>
        <v>start /low /b %USERPROFILE%\Documents\GitHub\eaglep3\Utilities\DownloadLogsFromS3.py --loco 4066 --day 2017-10-18</v>
      </c>
      <c r="AF58" s="1"/>
    </row>
  </sheetData>
  <autoFilter ref="A6:AC41">
    <sortState ref="A7:AC58">
      <sortCondition ref="W7:W58"/>
      <sortCondition ref="E7:E58"/>
      <sortCondition ref="K7:K58"/>
      <sortCondition ref="F7:F58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9:O1048576">
    <cfRule type="cellIs" dxfId="5" priority="42" operator="equal">
      <formula>"Y"</formula>
    </cfRule>
  </conditionalFormatting>
  <conditionalFormatting sqref="O2:O3">
    <cfRule type="cellIs" dxfId="4" priority="33" operator="equal">
      <formula>"Y"</formula>
    </cfRule>
  </conditionalFormatting>
  <conditionalFormatting sqref="A7:N58">
    <cfRule type="expression" dxfId="3" priority="26">
      <formula>$O7="Y"</formula>
    </cfRule>
  </conditionalFormatting>
  <conditionalFormatting sqref="O7:O58">
    <cfRule type="cellIs" dxfId="2" priority="2" operator="equal">
      <formula>"Y"</formula>
    </cfRule>
  </conditionalFormatting>
  <conditionalFormatting sqref="O7:P58">
    <cfRule type="expression" dxfId="1" priority="1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AA7:AA58</xm:sqref>
        </x14:dataValidation>
        <x14:dataValidation type="list" allowBlank="1" showInputMessage="1" showErrorMessage="1">
          <x14:formula1>
            <xm:f>'Redmine List Values'!$C$2:$C$15</xm:f>
          </x14:formula1>
          <xm:sqref>AB7:AB58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6" t="str">
        <f>"Trips that did not appear in PTC Data "&amp;TEXT(Variables!$A$2,"YYYY-mm-dd")</f>
        <v>Trips that did not appear in PTC Data 2017-10-18</v>
      </c>
      <c r="C1" s="226"/>
      <c r="D1" s="226"/>
      <c r="E1" s="226"/>
      <c r="F1" s="226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>
        <v>849</v>
      </c>
      <c r="B3" s="42" t="str">
        <f>A3&amp;"-"&amp;IF(DAY(Variables!$A$2)&lt;10,0,"")&amp;DAY(Variables!$A$2)</f>
        <v>849-18</v>
      </c>
      <c r="C3" s="135"/>
      <c r="D3" s="227" t="str">
        <f>VLOOKUP(B3,'Trips&amp;Operators'!$C$1:$H$1072,6,FALSE)</f>
        <v>4018</v>
      </c>
      <c r="E3" s="30"/>
      <c r="F3" s="21" t="str">
        <f>VLOOKUP(B3,'Trips&amp;Operators'!$C$2:$E$9912,3,FALSE)</f>
        <v>STAMBAUGH</v>
      </c>
      <c r="G3" s="21" t="str">
        <f>VLOOKUP(B3,'Trips&amp;Operators'!$C$1:$F$9912,4,FALSE)</f>
        <v>JAMES</v>
      </c>
      <c r="H3" s="29" t="str">
        <f>VLOOKUP(B3,'Trips&amp;Operators'!$C$1:$H$9912,5,FALSE)</f>
        <v>STAMBAUGH JAMES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22849-18%22)),sort:!(Time.ISO8601,asc))</v>
      </c>
      <c r="J3" s="30" t="str">
        <f>VLOOKUP(B3,'Train Runs'!$A$13:$A$100045,1,FALSE)</f>
        <v>849-18</v>
      </c>
    </row>
    <row r="4" spans="1:10" x14ac:dyDescent="0.3">
      <c r="A4" s="198"/>
      <c r="B4" s="42" t="str">
        <f>A4&amp;"-"&amp;IF(DAY(Variables!$A$2)&lt;10,0,"")&amp;DAY(Variables!$A$2)</f>
        <v>-18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" s="30" t="e">
        <f>VLOOKUP(B4,'Train Runs'!$A$13:$A$100045,1,FALSE)</f>
        <v>#N/A</v>
      </c>
    </row>
    <row r="5" spans="1:10" x14ac:dyDescent="0.3">
      <c r="A5" s="198"/>
      <c r="B5" s="42" t="str">
        <f>A5&amp;"-"&amp;IF(DAY(Variables!$A$2)&lt;10,0,"")&amp;DAY(Variables!$A$2)</f>
        <v>-18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" s="30" t="e">
        <f>VLOOKUP(B5,'Train Runs'!$A$13:$A$100045,1,FALSE)</f>
        <v>#N/A</v>
      </c>
    </row>
    <row r="6" spans="1:10" x14ac:dyDescent="0.3">
      <c r="A6" s="198"/>
      <c r="B6" s="42" t="str">
        <f>A6&amp;"-"&amp;IF(DAY(Variables!$A$2)&lt;10,0,"")&amp;DAY(Variables!$A$2)</f>
        <v>-18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" s="30" t="e">
        <f>VLOOKUP(B6,'Train Runs'!$A$13:$A$100045,1,FALSE)</f>
        <v>#N/A</v>
      </c>
    </row>
    <row r="7" spans="1:10" x14ac:dyDescent="0.3">
      <c r="A7" s="198"/>
      <c r="B7" s="42" t="str">
        <f>A7&amp;"-"&amp;IF(DAY(Variables!$A$2)&lt;10,0,"")&amp;DAY(Variables!$A$2)</f>
        <v>-18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" s="30" t="e">
        <f>VLOOKUP(B7,'Train Runs'!$A$13:$A$100045,1,FALSE)</f>
        <v>#N/A</v>
      </c>
    </row>
    <row r="8" spans="1:10" x14ac:dyDescent="0.3">
      <c r="A8" s="198"/>
      <c r="B8" s="42" t="str">
        <f>A8&amp;"-"&amp;IF(DAY(Variables!$A$2)&lt;10,0,"")&amp;DAY(Variables!$A$2)</f>
        <v>-18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" s="30" t="e">
        <f>VLOOKUP(B8,'Train Runs'!$A$13:$A$100045,1,FALSE)</f>
        <v>#N/A</v>
      </c>
    </row>
    <row r="9" spans="1:10" x14ac:dyDescent="0.3">
      <c r="A9" s="198"/>
      <c r="B9" s="42" t="str">
        <f>A9&amp;"-"&amp;IF(DAY(Variables!$A$2)&lt;10,0,"")&amp;DAY(Variables!$A$2)</f>
        <v>-18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" s="30" t="e">
        <f>VLOOKUP(B9,'Train Runs'!$A$13:$A$100045,1,FALSE)</f>
        <v>#N/A</v>
      </c>
    </row>
    <row r="10" spans="1:10" x14ac:dyDescent="0.3">
      <c r="A10" s="198"/>
      <c r="B10" s="42" t="str">
        <f>A10&amp;"-"&amp;IF(DAY(Variables!$A$2)&lt;10,0,"")&amp;DAY(Variables!$A$2)</f>
        <v>-18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" s="30" t="e">
        <f>VLOOKUP(B10,'Train Runs'!$A$13:$A$100045,1,FALSE)</f>
        <v>#N/A</v>
      </c>
    </row>
    <row r="11" spans="1:10" x14ac:dyDescent="0.3">
      <c r="A11" s="198"/>
      <c r="B11" s="42" t="str">
        <f>A11&amp;"-"&amp;IF(DAY(Variables!$A$2)&lt;10,0,"")&amp;DAY(Variables!$A$2)</f>
        <v>-18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" s="30" t="e">
        <f>VLOOKUP(B11,'Train Runs'!$A$13:$A$100045,1,FALSE)</f>
        <v>#N/A</v>
      </c>
    </row>
    <row r="12" spans="1:10" x14ac:dyDescent="0.3">
      <c r="A12" s="198"/>
      <c r="B12" s="42" t="str">
        <f>A12&amp;"-"&amp;IF(DAY(Variables!$A$2)&lt;10,0,"")&amp;DAY(Variables!$A$2)</f>
        <v>-18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" s="30" t="e">
        <f>VLOOKUP(B12,'Train Runs'!$A$13:$A$100045,1,FALSE)</f>
        <v>#N/A</v>
      </c>
    </row>
    <row r="13" spans="1:10" x14ac:dyDescent="0.3">
      <c r="A13" s="198"/>
      <c r="B13" s="42" t="str">
        <f>A13&amp;"-"&amp;IF(DAY(Variables!$A$2)&lt;10,0,"")&amp;DAY(Variables!$A$2)</f>
        <v>-18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" s="30" t="e">
        <f>VLOOKUP(B13,'Train Runs'!$A$13:$A$100045,1,FALSE)</f>
        <v>#N/A</v>
      </c>
    </row>
    <row r="14" spans="1:10" x14ac:dyDescent="0.3">
      <c r="A14" s="198"/>
      <c r="B14" s="42" t="str">
        <f>A14&amp;"-"&amp;IF(DAY(Variables!$A$2)&lt;10,0,"")&amp;DAY(Variables!$A$2)</f>
        <v>-18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4" s="30" t="e">
        <f>VLOOKUP(B14,'Train Runs'!$A$13:$A$100045,1,FALSE)</f>
        <v>#N/A</v>
      </c>
    </row>
    <row r="15" spans="1:10" x14ac:dyDescent="0.3">
      <c r="A15" s="198"/>
      <c r="B15" s="42" t="str">
        <f>A15&amp;"-"&amp;IF(DAY(Variables!$A$2)&lt;10,0,"")&amp;DAY(Variables!$A$2)</f>
        <v>-18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5" s="30" t="e">
        <f>VLOOKUP(B15,'Train Runs'!$A$13:$A$100045,1,FALSE)</f>
        <v>#N/A</v>
      </c>
    </row>
    <row r="16" spans="1:10" x14ac:dyDescent="0.3">
      <c r="A16" s="198"/>
      <c r="B16" s="42" t="str">
        <f>A16&amp;"-"&amp;IF(DAY(Variables!$A$2)&lt;10,0,"")&amp;DAY(Variables!$A$2)</f>
        <v>-18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6" s="30" t="e">
        <f>VLOOKUP(B16,'Train Runs'!$A$13:$A$100045,1,FALSE)</f>
        <v>#N/A</v>
      </c>
    </row>
    <row r="17" spans="1:10" x14ac:dyDescent="0.3">
      <c r="A17" s="198"/>
      <c r="B17" s="42" t="str">
        <f>A17&amp;"-"&amp;IF(DAY(Variables!$A$2)&lt;10,0,"")&amp;DAY(Variables!$A$2)</f>
        <v>-18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7" s="30" t="e">
        <f>VLOOKUP(B17,'Train Runs'!$A$13:$A$100045,1,FALSE)</f>
        <v>#N/A</v>
      </c>
    </row>
    <row r="18" spans="1:10" x14ac:dyDescent="0.3">
      <c r="A18" s="198"/>
      <c r="B18" s="42" t="str">
        <f>A18&amp;"-"&amp;IF(DAY(Variables!$A$2)&lt;10,0,"")&amp;DAY(Variables!$A$2)</f>
        <v>-18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8" s="30" t="e">
        <f>VLOOKUP(B18,'Train Runs'!$A$13:$A$100045,1,FALSE)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9"/>
  <sheetViews>
    <sheetView topLeftCell="A7" workbookViewId="0">
      <selection sqref="A1:F279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43026.037928240738</v>
      </c>
      <c r="B2" s="20" t="s">
        <v>430</v>
      </c>
      <c r="C2" s="20" t="s">
        <v>519</v>
      </c>
      <c r="D2" s="138">
        <v>3510000</v>
      </c>
      <c r="E2" s="20" t="s">
        <v>440</v>
      </c>
      <c r="F2" s="20" t="s">
        <v>441</v>
      </c>
      <c r="G2" s="8" t="str">
        <f>E2&amp;" "&amp;F2</f>
        <v>BARRON PERLA</v>
      </c>
      <c r="H2" t="str">
        <f>MID(B2,13,4)</f>
        <v>4030</v>
      </c>
    </row>
    <row r="3" spans="1:8" x14ac:dyDescent="0.3">
      <c r="A3" s="8">
        <v>43026.047418981485</v>
      </c>
      <c r="B3" s="20" t="s">
        <v>407</v>
      </c>
      <c r="C3" s="20" t="s">
        <v>520</v>
      </c>
      <c r="D3" s="138">
        <v>890000</v>
      </c>
      <c r="E3" s="20" t="s">
        <v>358</v>
      </c>
      <c r="F3" s="20" t="s">
        <v>359</v>
      </c>
      <c r="G3" s="8" t="str">
        <f t="shared" ref="G3:G66" si="0">E3&amp;" "&amp;F3</f>
        <v>LOZA FIDEL</v>
      </c>
      <c r="H3" s="20" t="str">
        <f t="shared" ref="H3:H66" si="1">MID(B3,13,4)</f>
        <v>4052</v>
      </c>
    </row>
    <row r="4" spans="1:8" x14ac:dyDescent="0.3">
      <c r="A4" s="8">
        <v>43026.054548611108</v>
      </c>
      <c r="B4" s="20" t="s">
        <v>463</v>
      </c>
      <c r="C4" s="20" t="s">
        <v>501</v>
      </c>
      <c r="D4" s="138">
        <v>3310000</v>
      </c>
      <c r="E4" s="20" t="s">
        <v>384</v>
      </c>
      <c r="F4" s="20" t="s">
        <v>385</v>
      </c>
      <c r="G4" s="8" t="str">
        <f t="shared" si="0"/>
        <v>ANDERS STEVEN</v>
      </c>
      <c r="H4" s="20" t="str">
        <f t="shared" si="1"/>
        <v>4009</v>
      </c>
    </row>
    <row r="5" spans="1:8" x14ac:dyDescent="0.3">
      <c r="A5" s="8">
        <v>43026.068530092591</v>
      </c>
      <c r="B5" s="20" t="s">
        <v>459</v>
      </c>
      <c r="C5" s="20" t="s">
        <v>521</v>
      </c>
      <c r="D5" s="138">
        <v>3280000</v>
      </c>
      <c r="E5" s="20" t="s">
        <v>517</v>
      </c>
      <c r="F5" s="20" t="s">
        <v>518</v>
      </c>
      <c r="G5" s="8" t="str">
        <f t="shared" si="0"/>
        <v>BIRKHOLZ NADINE</v>
      </c>
      <c r="H5" s="20" t="str">
        <f t="shared" si="1"/>
        <v>4050</v>
      </c>
    </row>
    <row r="6" spans="1:8" x14ac:dyDescent="0.3">
      <c r="A6" s="8">
        <v>43026.068564814814</v>
      </c>
      <c r="B6" s="20" t="s">
        <v>463</v>
      </c>
      <c r="C6" s="20" t="s">
        <v>501</v>
      </c>
      <c r="D6" s="138">
        <v>3310000</v>
      </c>
      <c r="E6" s="20" t="s">
        <v>384</v>
      </c>
      <c r="F6" s="20" t="s">
        <v>385</v>
      </c>
      <c r="G6" s="8" t="str">
        <f t="shared" si="0"/>
        <v>ANDERS STEVEN</v>
      </c>
      <c r="H6" s="20" t="str">
        <f t="shared" si="1"/>
        <v>4009</v>
      </c>
    </row>
    <row r="7" spans="1:8" x14ac:dyDescent="0.3">
      <c r="A7" s="8">
        <v>43026.093055555553</v>
      </c>
      <c r="B7" s="20" t="s">
        <v>466</v>
      </c>
      <c r="C7" s="20" t="s">
        <v>522</v>
      </c>
      <c r="D7" s="138">
        <v>3310000</v>
      </c>
      <c r="E7" s="20" t="s">
        <v>384</v>
      </c>
      <c r="F7" s="20" t="s">
        <v>385</v>
      </c>
      <c r="G7" s="8" t="str">
        <f t="shared" si="0"/>
        <v>ANDERS STEVEN</v>
      </c>
      <c r="H7" s="20" t="str">
        <f t="shared" si="1"/>
        <v>4010</v>
      </c>
    </row>
    <row r="8" spans="1:8" x14ac:dyDescent="0.3">
      <c r="A8" s="8">
        <v>43026.120555555557</v>
      </c>
      <c r="B8" s="20" t="s">
        <v>423</v>
      </c>
      <c r="C8" s="20" t="s">
        <v>544</v>
      </c>
      <c r="D8" s="138">
        <v>940000</v>
      </c>
      <c r="E8" s="20" t="s">
        <v>502</v>
      </c>
      <c r="F8" s="20" t="s">
        <v>503</v>
      </c>
      <c r="G8" s="8" t="str">
        <f t="shared" si="0"/>
        <v>BONDS REYNALDO</v>
      </c>
      <c r="H8" s="20" t="str">
        <f t="shared" si="1"/>
        <v>4001</v>
      </c>
    </row>
    <row r="9" spans="1:8" ht="15" thickBot="1" x14ac:dyDescent="0.35">
      <c r="A9" s="24">
        <v>43026.122997685183</v>
      </c>
      <c r="B9" s="20" t="s">
        <v>457</v>
      </c>
      <c r="C9" s="20" t="s">
        <v>545</v>
      </c>
      <c r="D9" s="138">
        <v>900000</v>
      </c>
      <c r="E9" s="20" t="s">
        <v>382</v>
      </c>
      <c r="F9" s="20" t="s">
        <v>383</v>
      </c>
      <c r="G9" s="8" t="str">
        <f t="shared" si="0"/>
        <v>ROCHA YAOTL</v>
      </c>
      <c r="H9" s="20" t="str">
        <f t="shared" si="1"/>
        <v>4029</v>
      </c>
    </row>
    <row r="10" spans="1:8" x14ac:dyDescent="0.3">
      <c r="A10" s="8">
        <v>43026.133229166669</v>
      </c>
      <c r="B10" s="20" t="s">
        <v>432</v>
      </c>
      <c r="C10" s="20" t="s">
        <v>546</v>
      </c>
      <c r="D10" s="138">
        <v>940000</v>
      </c>
      <c r="E10" s="20" t="s">
        <v>502</v>
      </c>
      <c r="F10" s="20" t="s">
        <v>503</v>
      </c>
      <c r="G10" s="8" t="str">
        <f t="shared" si="0"/>
        <v>BONDS REYNALDO</v>
      </c>
      <c r="H10" s="20" t="str">
        <f t="shared" si="1"/>
        <v>4026</v>
      </c>
    </row>
    <row r="11" spans="1:8" x14ac:dyDescent="0.3">
      <c r="A11" s="8">
        <v>43026.137546296297</v>
      </c>
      <c r="B11" s="20" t="s">
        <v>424</v>
      </c>
      <c r="C11" s="20" t="s">
        <v>593</v>
      </c>
      <c r="D11" s="138">
        <v>1110000</v>
      </c>
      <c r="E11" s="20" t="s">
        <v>469</v>
      </c>
      <c r="F11" s="20" t="s">
        <v>470</v>
      </c>
      <c r="G11" s="8" t="str">
        <f t="shared" si="0"/>
        <v>STARKS ANGELINA</v>
      </c>
      <c r="H11" s="20" t="str">
        <f t="shared" si="1"/>
        <v>4002</v>
      </c>
    </row>
    <row r="12" spans="1:8" x14ac:dyDescent="0.3">
      <c r="A12" s="8">
        <v>43026.137569444443</v>
      </c>
      <c r="B12" s="20" t="s">
        <v>461</v>
      </c>
      <c r="C12" s="20" t="s">
        <v>594</v>
      </c>
      <c r="D12" s="138">
        <v>3120000</v>
      </c>
      <c r="E12" s="20" t="s">
        <v>595</v>
      </c>
      <c r="F12" s="20" t="s">
        <v>596</v>
      </c>
      <c r="G12" s="8" t="str">
        <f t="shared" si="0"/>
        <v>THOMPSON LESTER</v>
      </c>
      <c r="H12" s="20" t="str">
        <f t="shared" si="1"/>
        <v>4019</v>
      </c>
    </row>
    <row r="13" spans="1:8" x14ac:dyDescent="0.3">
      <c r="A13" s="8">
        <v>43026.140648148146</v>
      </c>
      <c r="B13" s="20" t="s">
        <v>423</v>
      </c>
      <c r="C13" s="20" t="s">
        <v>597</v>
      </c>
      <c r="D13" s="138">
        <v>1110000</v>
      </c>
      <c r="E13" s="20" t="s">
        <v>469</v>
      </c>
      <c r="F13" s="20" t="s">
        <v>470</v>
      </c>
      <c r="G13" s="8" t="str">
        <f t="shared" si="0"/>
        <v>STARKS ANGELINA</v>
      </c>
      <c r="H13" s="20" t="str">
        <f t="shared" si="1"/>
        <v>4001</v>
      </c>
    </row>
    <row r="14" spans="1:8" x14ac:dyDescent="0.3">
      <c r="A14" s="8">
        <v>43026.151296296295</v>
      </c>
      <c r="B14" s="20" t="s">
        <v>460</v>
      </c>
      <c r="C14" s="20" t="s">
        <v>598</v>
      </c>
      <c r="D14" s="138">
        <v>3120000</v>
      </c>
      <c r="E14" s="20" t="s">
        <v>595</v>
      </c>
      <c r="F14" s="20" t="s">
        <v>596</v>
      </c>
      <c r="G14" s="8" t="str">
        <f t="shared" si="0"/>
        <v>THOMPSON LESTER</v>
      </c>
      <c r="H14" s="20" t="str">
        <f t="shared" si="1"/>
        <v>4020</v>
      </c>
    </row>
    <row r="15" spans="1:8" x14ac:dyDescent="0.3">
      <c r="A15" s="8">
        <v>43026.16033564815</v>
      </c>
      <c r="B15" s="20" t="s">
        <v>599</v>
      </c>
      <c r="C15" s="20" t="s">
        <v>600</v>
      </c>
      <c r="D15" s="138">
        <v>1830000</v>
      </c>
      <c r="E15" s="20" t="s">
        <v>373</v>
      </c>
      <c r="F15" s="20" t="s">
        <v>374</v>
      </c>
      <c r="G15" s="8" t="str">
        <f t="shared" si="0"/>
        <v>YORK EDGAR</v>
      </c>
      <c r="H15" s="20" t="str">
        <f t="shared" si="1"/>
        <v>4039</v>
      </c>
    </row>
    <row r="16" spans="1:8" x14ac:dyDescent="0.3">
      <c r="A16" s="8">
        <v>43026.167696759258</v>
      </c>
      <c r="B16" s="20" t="s">
        <v>601</v>
      </c>
      <c r="C16" s="20" t="s">
        <v>602</v>
      </c>
      <c r="D16" s="138">
        <v>2730000</v>
      </c>
      <c r="E16" s="20" t="s">
        <v>464</v>
      </c>
      <c r="F16" s="20" t="s">
        <v>465</v>
      </c>
      <c r="G16" s="8" t="str">
        <f t="shared" si="0"/>
        <v>YANG JAN</v>
      </c>
      <c r="H16" s="20" t="str">
        <f t="shared" si="1"/>
        <v>4043</v>
      </c>
    </row>
    <row r="17" spans="1:8" x14ac:dyDescent="0.3">
      <c r="A17" s="8">
        <v>43026.170289351852</v>
      </c>
      <c r="B17" s="20" t="s">
        <v>379</v>
      </c>
      <c r="C17" s="20" t="s">
        <v>603</v>
      </c>
      <c r="D17" s="138">
        <v>1830000</v>
      </c>
      <c r="E17" s="20" t="s">
        <v>373</v>
      </c>
      <c r="F17" s="20" t="s">
        <v>374</v>
      </c>
      <c r="G17" s="8" t="str">
        <f t="shared" si="0"/>
        <v>YORK EDGAR</v>
      </c>
      <c r="H17" s="20" t="str">
        <f t="shared" si="1"/>
        <v>4040</v>
      </c>
    </row>
    <row r="18" spans="1:8" x14ac:dyDescent="0.3">
      <c r="A18" s="8">
        <v>43026.17386574074</v>
      </c>
      <c r="B18" s="20" t="s">
        <v>431</v>
      </c>
      <c r="C18" s="20" t="s">
        <v>604</v>
      </c>
      <c r="D18" s="138">
        <v>940000</v>
      </c>
      <c r="E18" s="20" t="s">
        <v>502</v>
      </c>
      <c r="F18" s="20" t="s">
        <v>503</v>
      </c>
      <c r="G18" s="8" t="str">
        <f t="shared" si="0"/>
        <v>BONDS REYNALDO</v>
      </c>
      <c r="H18" s="20" t="str">
        <f t="shared" si="1"/>
        <v>4025</v>
      </c>
    </row>
    <row r="19" spans="1:8" x14ac:dyDescent="0.3">
      <c r="A19" s="8">
        <v>43026.182592592595</v>
      </c>
      <c r="B19" s="20" t="s">
        <v>605</v>
      </c>
      <c r="C19" s="20" t="s">
        <v>606</v>
      </c>
      <c r="D19" s="138">
        <v>2730000</v>
      </c>
      <c r="E19" s="20" t="s">
        <v>464</v>
      </c>
      <c r="F19" s="20" t="s">
        <v>465</v>
      </c>
      <c r="G19" s="8" t="str">
        <f t="shared" si="0"/>
        <v>YANG JAN</v>
      </c>
      <c r="H19" s="20" t="str">
        <f t="shared" si="1"/>
        <v>4044</v>
      </c>
    </row>
    <row r="20" spans="1:8" x14ac:dyDescent="0.3">
      <c r="A20" s="8">
        <v>43026.185011574074</v>
      </c>
      <c r="B20" s="20" t="s">
        <v>380</v>
      </c>
      <c r="C20" s="20" t="s">
        <v>607</v>
      </c>
      <c r="D20" s="138">
        <v>1990000</v>
      </c>
      <c r="E20" s="20" t="s">
        <v>608</v>
      </c>
      <c r="F20" s="20" t="s">
        <v>609</v>
      </c>
      <c r="G20" s="8" t="str">
        <f t="shared" si="0"/>
        <v>DAVIS WENDY</v>
      </c>
      <c r="H20" s="20" t="str">
        <f t="shared" si="1"/>
        <v>4063</v>
      </c>
    </row>
    <row r="21" spans="1:8" x14ac:dyDescent="0.3">
      <c r="A21" s="8">
        <v>43026.193715277775</v>
      </c>
      <c r="B21" s="20" t="s">
        <v>461</v>
      </c>
      <c r="C21" s="20" t="s">
        <v>610</v>
      </c>
      <c r="D21" s="138">
        <v>3120000</v>
      </c>
      <c r="E21" s="20" t="s">
        <v>595</v>
      </c>
      <c r="F21" s="20" t="s">
        <v>596</v>
      </c>
      <c r="G21" s="8" t="str">
        <f t="shared" si="0"/>
        <v>THOMPSON LESTER</v>
      </c>
      <c r="H21" s="20" t="str">
        <f t="shared" si="1"/>
        <v>4019</v>
      </c>
    </row>
    <row r="22" spans="1:8" x14ac:dyDescent="0.3">
      <c r="A22" s="26">
        <v>43026.195</v>
      </c>
      <c r="B22" s="20" t="s">
        <v>381</v>
      </c>
      <c r="C22" s="20" t="s">
        <v>611</v>
      </c>
      <c r="D22" s="138">
        <v>1990000</v>
      </c>
      <c r="E22" s="20" t="s">
        <v>608</v>
      </c>
      <c r="F22" s="20" t="s">
        <v>609</v>
      </c>
      <c r="G22" s="8" t="str">
        <f t="shared" si="0"/>
        <v>DAVIS WENDY</v>
      </c>
      <c r="H22" s="20" t="str">
        <f t="shared" si="1"/>
        <v>4064</v>
      </c>
    </row>
    <row r="23" spans="1:8" x14ac:dyDescent="0.3">
      <c r="A23" s="8">
        <v>43026.195740740739</v>
      </c>
      <c r="B23" s="20" t="s">
        <v>390</v>
      </c>
      <c r="C23" s="20" t="s">
        <v>612</v>
      </c>
      <c r="D23" s="138">
        <v>1230000</v>
      </c>
      <c r="E23" s="20" t="s">
        <v>467</v>
      </c>
      <c r="F23" s="20" t="s">
        <v>468</v>
      </c>
      <c r="G23" s="8" t="str">
        <f t="shared" si="0"/>
        <v>YANAI IAN</v>
      </c>
      <c r="H23" s="20" t="str">
        <f t="shared" si="1"/>
        <v>4055</v>
      </c>
    </row>
    <row r="24" spans="1:8" x14ac:dyDescent="0.3">
      <c r="A24" s="8">
        <v>43026.200821759259</v>
      </c>
      <c r="B24" s="20" t="s">
        <v>403</v>
      </c>
      <c r="C24" s="20" t="s">
        <v>613</v>
      </c>
      <c r="D24" s="138">
        <v>3090000</v>
      </c>
      <c r="E24" s="20" t="s">
        <v>442</v>
      </c>
      <c r="F24" s="20" t="s">
        <v>443</v>
      </c>
      <c r="G24" s="8" t="str">
        <f t="shared" si="0"/>
        <v>LAMAR NEKESHA</v>
      </c>
      <c r="H24" s="20" t="str">
        <f t="shared" si="1"/>
        <v>4036</v>
      </c>
    </row>
    <row r="25" spans="1:8" x14ac:dyDescent="0.3">
      <c r="A25" s="8">
        <v>43026.202546296299</v>
      </c>
      <c r="B25" s="20" t="s">
        <v>599</v>
      </c>
      <c r="C25" s="20" t="s">
        <v>614</v>
      </c>
      <c r="D25" s="138">
        <v>1830000</v>
      </c>
      <c r="E25" s="20" t="s">
        <v>373</v>
      </c>
      <c r="F25" s="20" t="s">
        <v>374</v>
      </c>
      <c r="G25" s="8" t="str">
        <f t="shared" si="0"/>
        <v>YORK EDGAR</v>
      </c>
      <c r="H25" s="20" t="str">
        <f t="shared" si="1"/>
        <v>4039</v>
      </c>
    </row>
    <row r="26" spans="1:8" x14ac:dyDescent="0.3">
      <c r="A26" s="8">
        <v>43026.203043981484</v>
      </c>
      <c r="B26" s="20" t="s">
        <v>432</v>
      </c>
      <c r="C26" s="20" t="s">
        <v>615</v>
      </c>
      <c r="D26" s="138">
        <v>940000</v>
      </c>
      <c r="E26" s="20" t="s">
        <v>502</v>
      </c>
      <c r="F26" s="20" t="s">
        <v>503</v>
      </c>
      <c r="G26" s="8" t="str">
        <f t="shared" si="0"/>
        <v>BONDS REYNALDO</v>
      </c>
      <c r="H26" s="20" t="str">
        <f t="shared" si="1"/>
        <v>4026</v>
      </c>
    </row>
    <row r="27" spans="1:8" x14ac:dyDescent="0.3">
      <c r="A27" s="8">
        <v>43026.210451388892</v>
      </c>
      <c r="B27" s="20" t="s">
        <v>580</v>
      </c>
      <c r="C27" s="20" t="s">
        <v>616</v>
      </c>
      <c r="D27" s="138">
        <v>1230000</v>
      </c>
      <c r="E27" s="20" t="s">
        <v>467</v>
      </c>
      <c r="F27" s="20" t="s">
        <v>468</v>
      </c>
      <c r="G27" s="8" t="str">
        <f t="shared" si="0"/>
        <v>YANAI IAN</v>
      </c>
      <c r="H27" s="20" t="str">
        <f t="shared" si="1"/>
        <v>4056</v>
      </c>
    </row>
    <row r="28" spans="1:8" x14ac:dyDescent="0.3">
      <c r="A28" s="8">
        <v>43026.211643518516</v>
      </c>
      <c r="B28" s="20" t="s">
        <v>412</v>
      </c>
      <c r="C28" s="20" t="s">
        <v>617</v>
      </c>
      <c r="D28" s="138">
        <v>3090000</v>
      </c>
      <c r="E28" s="20" t="s">
        <v>442</v>
      </c>
      <c r="F28" s="20" t="s">
        <v>443</v>
      </c>
      <c r="G28" s="8" t="str">
        <f t="shared" si="0"/>
        <v>LAMAR NEKESHA</v>
      </c>
      <c r="H28" s="20" t="str">
        <f t="shared" si="1"/>
        <v>4035</v>
      </c>
    </row>
    <row r="29" spans="1:8" x14ac:dyDescent="0.3">
      <c r="A29" s="8">
        <v>43026.219537037039</v>
      </c>
      <c r="B29" s="20" t="s">
        <v>389</v>
      </c>
      <c r="C29" s="20" t="s">
        <v>618</v>
      </c>
      <c r="D29" s="138">
        <v>3000000</v>
      </c>
      <c r="E29" s="20" t="s">
        <v>619</v>
      </c>
      <c r="F29" s="20" t="s">
        <v>620</v>
      </c>
      <c r="G29" s="8" t="str">
        <f t="shared" si="0"/>
        <v>FORTUNATO FRANK</v>
      </c>
      <c r="H29" s="20" t="str">
        <f t="shared" si="1"/>
        <v>4061</v>
      </c>
    </row>
    <row r="30" spans="1:8" x14ac:dyDescent="0.3">
      <c r="A30" s="8">
        <v>43026.22179398148</v>
      </c>
      <c r="B30" s="20" t="s">
        <v>601</v>
      </c>
      <c r="C30" s="20" t="s">
        <v>621</v>
      </c>
      <c r="D30" s="138">
        <v>2730000</v>
      </c>
      <c r="E30" s="20" t="s">
        <v>464</v>
      </c>
      <c r="F30" s="20" t="s">
        <v>465</v>
      </c>
      <c r="G30" s="8" t="str">
        <f t="shared" si="0"/>
        <v>YANG JAN</v>
      </c>
      <c r="H30" s="20" t="str">
        <f t="shared" si="1"/>
        <v>4043</v>
      </c>
    </row>
    <row r="31" spans="1:8" x14ac:dyDescent="0.3">
      <c r="A31" s="8">
        <v>43026.227326388886</v>
      </c>
      <c r="B31" s="20" t="s">
        <v>380</v>
      </c>
      <c r="C31" s="20" t="s">
        <v>547</v>
      </c>
      <c r="D31" s="138">
        <v>1990000</v>
      </c>
      <c r="E31" s="20" t="s">
        <v>608</v>
      </c>
      <c r="F31" s="20" t="s">
        <v>609</v>
      </c>
      <c r="G31" s="8" t="str">
        <f t="shared" si="0"/>
        <v>DAVIS WENDY</v>
      </c>
      <c r="H31" s="20" t="str">
        <f t="shared" si="1"/>
        <v>4063</v>
      </c>
    </row>
    <row r="32" spans="1:8" x14ac:dyDescent="0.3">
      <c r="A32" s="8">
        <v>43026.228518518517</v>
      </c>
      <c r="B32" s="20" t="s">
        <v>460</v>
      </c>
      <c r="C32" s="20" t="s">
        <v>548</v>
      </c>
      <c r="D32" s="138">
        <v>3120000</v>
      </c>
      <c r="E32" s="20" t="s">
        <v>595</v>
      </c>
      <c r="F32" s="20" t="s">
        <v>596</v>
      </c>
      <c r="G32" s="8" t="str">
        <f t="shared" si="0"/>
        <v>THOMPSON LESTER</v>
      </c>
      <c r="H32" s="20" t="str">
        <f t="shared" si="1"/>
        <v>4020</v>
      </c>
    </row>
    <row r="33" spans="1:8" x14ac:dyDescent="0.3">
      <c r="A33" s="8">
        <v>43026.232106481482</v>
      </c>
      <c r="B33" s="20" t="s">
        <v>563</v>
      </c>
      <c r="C33" s="20" t="s">
        <v>622</v>
      </c>
      <c r="D33" s="138">
        <v>3000000</v>
      </c>
      <c r="E33" s="20" t="s">
        <v>619</v>
      </c>
      <c r="F33" s="20" t="s">
        <v>620</v>
      </c>
      <c r="G33" s="8" t="str">
        <f t="shared" si="0"/>
        <v>FORTUNATO FRANK</v>
      </c>
      <c r="H33" s="20" t="str">
        <f t="shared" si="1"/>
        <v>4062</v>
      </c>
    </row>
    <row r="34" spans="1:8" x14ac:dyDescent="0.3">
      <c r="A34" s="8">
        <v>43026.23364583333</v>
      </c>
      <c r="B34" s="20" t="s">
        <v>403</v>
      </c>
      <c r="C34" s="20" t="s">
        <v>623</v>
      </c>
      <c r="D34" s="138">
        <v>3090000</v>
      </c>
      <c r="E34" s="20" t="s">
        <v>442</v>
      </c>
      <c r="F34" s="20" t="s">
        <v>443</v>
      </c>
      <c r="G34" s="8" t="str">
        <f t="shared" si="0"/>
        <v>LAMAR NEKESHA</v>
      </c>
      <c r="H34" s="20" t="str">
        <f t="shared" si="1"/>
        <v>4036</v>
      </c>
    </row>
    <row r="35" spans="1:8" x14ac:dyDescent="0.3">
      <c r="A35" s="8">
        <v>43026.239432870374</v>
      </c>
      <c r="B35" s="20" t="s">
        <v>576</v>
      </c>
      <c r="C35" s="20" t="s">
        <v>624</v>
      </c>
      <c r="D35" s="138">
        <v>1100000</v>
      </c>
      <c r="E35" s="20" t="s">
        <v>625</v>
      </c>
      <c r="F35" s="20" t="s">
        <v>626</v>
      </c>
      <c r="G35" s="8" t="str">
        <f t="shared" si="0"/>
        <v>GEBRETEKLE DAGNEW</v>
      </c>
      <c r="H35" s="20" t="str">
        <f t="shared" si="1"/>
        <v>4017</v>
      </c>
    </row>
    <row r="36" spans="1:8" x14ac:dyDescent="0.3">
      <c r="A36" s="8">
        <v>43026.244039351855</v>
      </c>
      <c r="B36" s="20" t="s">
        <v>379</v>
      </c>
      <c r="C36" s="20" t="s">
        <v>627</v>
      </c>
      <c r="D36" s="138">
        <v>1830000</v>
      </c>
      <c r="E36" s="20" t="s">
        <v>373</v>
      </c>
      <c r="F36" s="20" t="s">
        <v>374</v>
      </c>
      <c r="G36" s="8" t="str">
        <f t="shared" si="0"/>
        <v>YORK EDGAR</v>
      </c>
      <c r="H36" s="20" t="str">
        <f t="shared" si="1"/>
        <v>4040</v>
      </c>
    </row>
    <row r="37" spans="1:8" x14ac:dyDescent="0.3">
      <c r="A37" s="8">
        <v>43026.246006944442</v>
      </c>
      <c r="B37" s="20" t="s">
        <v>431</v>
      </c>
      <c r="C37" s="20" t="s">
        <v>551</v>
      </c>
      <c r="D37" s="138">
        <v>940000</v>
      </c>
      <c r="E37" s="20" t="s">
        <v>502</v>
      </c>
      <c r="F37" s="20" t="s">
        <v>503</v>
      </c>
      <c r="G37" s="8" t="str">
        <f t="shared" si="0"/>
        <v>BONDS REYNALDO</v>
      </c>
      <c r="H37" s="20" t="str">
        <f t="shared" si="1"/>
        <v>4025</v>
      </c>
    </row>
    <row r="38" spans="1:8" x14ac:dyDescent="0.3">
      <c r="A38" s="8">
        <v>43026.246030092596</v>
      </c>
      <c r="B38" s="20" t="s">
        <v>390</v>
      </c>
      <c r="C38" s="20" t="s">
        <v>552</v>
      </c>
      <c r="D38" s="138">
        <v>1230000</v>
      </c>
      <c r="E38" s="20" t="s">
        <v>467</v>
      </c>
      <c r="F38" s="20" t="s">
        <v>468</v>
      </c>
      <c r="G38" s="8" t="str">
        <f t="shared" si="0"/>
        <v>YANAI IAN</v>
      </c>
      <c r="H38" s="20" t="str">
        <f t="shared" si="1"/>
        <v>4055</v>
      </c>
    </row>
    <row r="39" spans="1:8" x14ac:dyDescent="0.3">
      <c r="A39" s="8">
        <v>43026.247453703705</v>
      </c>
      <c r="B39" s="20" t="s">
        <v>412</v>
      </c>
      <c r="C39" s="20" t="s">
        <v>628</v>
      </c>
      <c r="D39" s="138">
        <v>3090000</v>
      </c>
      <c r="E39" s="20" t="s">
        <v>442</v>
      </c>
      <c r="F39" s="20" t="s">
        <v>443</v>
      </c>
      <c r="G39" s="8" t="str">
        <f t="shared" si="0"/>
        <v>LAMAR NEKESHA</v>
      </c>
      <c r="H39" s="20" t="str">
        <f t="shared" si="1"/>
        <v>4035</v>
      </c>
    </row>
    <row r="40" spans="1:8" x14ac:dyDescent="0.3">
      <c r="A40" s="8">
        <v>43026.251250000001</v>
      </c>
      <c r="B40" s="25" t="s">
        <v>549</v>
      </c>
      <c r="C40" s="20" t="s">
        <v>550</v>
      </c>
      <c r="D40" s="138">
        <v>1100000</v>
      </c>
      <c r="E40" s="20" t="s">
        <v>625</v>
      </c>
      <c r="F40" s="20" t="s">
        <v>626</v>
      </c>
      <c r="G40" s="8" t="str">
        <f t="shared" si="0"/>
        <v>GEBRETEKLE DAGNEW</v>
      </c>
      <c r="H40" s="20" t="str">
        <f t="shared" si="1"/>
        <v>4018</v>
      </c>
    </row>
    <row r="41" spans="1:8" x14ac:dyDescent="0.3">
      <c r="A41" s="8">
        <v>43026.256261574075</v>
      </c>
      <c r="B41" s="20" t="s">
        <v>605</v>
      </c>
      <c r="C41" s="20" t="s">
        <v>629</v>
      </c>
      <c r="D41" s="138">
        <v>2730000</v>
      </c>
      <c r="E41" s="20" t="s">
        <v>464</v>
      </c>
      <c r="F41" s="20" t="s">
        <v>465</v>
      </c>
      <c r="G41" s="8" t="str">
        <f t="shared" si="0"/>
        <v>YANG JAN</v>
      </c>
      <c r="H41" s="20" t="str">
        <f t="shared" si="1"/>
        <v>4044</v>
      </c>
    </row>
    <row r="42" spans="1:8" x14ac:dyDescent="0.3">
      <c r="A42" s="8">
        <v>43026.266493055555</v>
      </c>
      <c r="B42" s="20" t="s">
        <v>389</v>
      </c>
      <c r="C42" s="20" t="s">
        <v>630</v>
      </c>
      <c r="D42" s="138">
        <v>3000000</v>
      </c>
      <c r="E42" s="20" t="s">
        <v>619</v>
      </c>
      <c r="F42" s="20" t="s">
        <v>620</v>
      </c>
      <c r="G42" s="8" t="str">
        <f t="shared" si="0"/>
        <v>FORTUNATO FRANK</v>
      </c>
      <c r="H42" s="20" t="str">
        <f t="shared" si="1"/>
        <v>4061</v>
      </c>
    </row>
    <row r="43" spans="1:8" x14ac:dyDescent="0.3">
      <c r="A43" s="8">
        <v>43026.267581018517</v>
      </c>
      <c r="B43" s="20" t="s">
        <v>381</v>
      </c>
      <c r="C43" s="20" t="s">
        <v>554</v>
      </c>
      <c r="D43" s="138">
        <v>1990000</v>
      </c>
      <c r="E43" s="20" t="s">
        <v>608</v>
      </c>
      <c r="F43" s="20" t="s">
        <v>609</v>
      </c>
      <c r="G43" s="8" t="str">
        <f t="shared" si="0"/>
        <v>DAVIS WENDY</v>
      </c>
      <c r="H43" s="20" t="str">
        <f t="shared" si="1"/>
        <v>4064</v>
      </c>
    </row>
    <row r="44" spans="1:8" x14ac:dyDescent="0.3">
      <c r="A44" s="8">
        <v>43026.268530092595</v>
      </c>
      <c r="B44" s="20" t="s">
        <v>461</v>
      </c>
      <c r="C44" s="20" t="s">
        <v>555</v>
      </c>
      <c r="D44" s="138">
        <v>3120000</v>
      </c>
      <c r="E44" s="20" t="s">
        <v>595</v>
      </c>
      <c r="F44" s="20" t="s">
        <v>596</v>
      </c>
      <c r="G44" s="8" t="str">
        <f t="shared" si="0"/>
        <v>THOMPSON LESTER</v>
      </c>
      <c r="H44" s="20" t="str">
        <f t="shared" si="1"/>
        <v>4019</v>
      </c>
    </row>
    <row r="45" spans="1:8" x14ac:dyDescent="0.3">
      <c r="A45" s="8">
        <v>43026.270902777775</v>
      </c>
      <c r="B45" s="20" t="s">
        <v>576</v>
      </c>
      <c r="C45" s="20" t="s">
        <v>631</v>
      </c>
      <c r="D45" s="138">
        <v>1100000</v>
      </c>
      <c r="E45" s="20" t="s">
        <v>625</v>
      </c>
      <c r="F45" s="20" t="s">
        <v>626</v>
      </c>
      <c r="G45" s="8" t="str">
        <f t="shared" si="0"/>
        <v>GEBRETEKLE DAGNEW</v>
      </c>
      <c r="H45" s="20" t="str">
        <f t="shared" si="1"/>
        <v>4017</v>
      </c>
    </row>
    <row r="46" spans="1:8" x14ac:dyDescent="0.3">
      <c r="A46" s="8">
        <v>43026.271921296298</v>
      </c>
      <c r="B46" s="20" t="s">
        <v>403</v>
      </c>
      <c r="C46" s="20" t="s">
        <v>553</v>
      </c>
      <c r="D46" s="138">
        <v>3090000</v>
      </c>
      <c r="E46" s="20" t="s">
        <v>442</v>
      </c>
      <c r="F46" s="20" t="s">
        <v>443</v>
      </c>
      <c r="G46" s="8" t="str">
        <f t="shared" si="0"/>
        <v>LAMAR NEKESHA</v>
      </c>
      <c r="H46" s="20" t="str">
        <f t="shared" si="1"/>
        <v>4036</v>
      </c>
    </row>
    <row r="47" spans="1:8" x14ac:dyDescent="0.3">
      <c r="A47" s="8">
        <v>43026.276747685188</v>
      </c>
      <c r="B47" s="20" t="s">
        <v>432</v>
      </c>
      <c r="C47" s="20" t="s">
        <v>632</v>
      </c>
      <c r="D47" s="138">
        <v>940000</v>
      </c>
      <c r="E47" s="20" t="s">
        <v>502</v>
      </c>
      <c r="F47" s="20" t="s">
        <v>503</v>
      </c>
      <c r="G47" s="8" t="str">
        <f t="shared" si="0"/>
        <v>BONDS REYNALDO</v>
      </c>
      <c r="H47" s="20" t="str">
        <f t="shared" si="1"/>
        <v>4026</v>
      </c>
    </row>
    <row r="48" spans="1:8" x14ac:dyDescent="0.3">
      <c r="A48" s="8">
        <v>43026.287997685184</v>
      </c>
      <c r="B48" s="20" t="s">
        <v>580</v>
      </c>
      <c r="C48" s="20" t="s">
        <v>633</v>
      </c>
      <c r="D48" s="138">
        <v>3260000</v>
      </c>
      <c r="E48" s="20" t="s">
        <v>634</v>
      </c>
      <c r="F48" s="20" t="s">
        <v>635</v>
      </c>
      <c r="G48" s="8" t="str">
        <f t="shared" si="0"/>
        <v>PAGE MARCUS</v>
      </c>
      <c r="H48" s="20" t="str">
        <f t="shared" si="1"/>
        <v>4056</v>
      </c>
    </row>
    <row r="49" spans="1:8" x14ac:dyDescent="0.3">
      <c r="A49" s="8">
        <v>43026.288495370369</v>
      </c>
      <c r="B49" s="20" t="s">
        <v>599</v>
      </c>
      <c r="C49" s="20" t="s">
        <v>636</v>
      </c>
      <c r="D49" s="138">
        <v>1830000</v>
      </c>
      <c r="E49" s="20" t="s">
        <v>373</v>
      </c>
      <c r="F49" s="20" t="s">
        <v>374</v>
      </c>
      <c r="G49" s="8" t="str">
        <f t="shared" si="0"/>
        <v>YORK EDGAR</v>
      </c>
      <c r="H49" s="20" t="str">
        <f t="shared" si="1"/>
        <v>4039</v>
      </c>
    </row>
    <row r="50" spans="1:8" x14ac:dyDescent="0.3">
      <c r="A50" s="8">
        <v>43026.289340277777</v>
      </c>
      <c r="B50" s="20" t="s">
        <v>412</v>
      </c>
      <c r="C50" s="20" t="s">
        <v>637</v>
      </c>
      <c r="D50" s="138">
        <v>3090000</v>
      </c>
      <c r="E50" s="20" t="s">
        <v>442</v>
      </c>
      <c r="F50" s="20" t="s">
        <v>443</v>
      </c>
      <c r="G50" s="8" t="str">
        <f t="shared" si="0"/>
        <v>LAMAR NEKESHA</v>
      </c>
      <c r="H50" s="20" t="str">
        <f t="shared" si="1"/>
        <v>4035</v>
      </c>
    </row>
    <row r="51" spans="1:8" x14ac:dyDescent="0.3">
      <c r="A51" s="8">
        <v>43026.290127314816</v>
      </c>
      <c r="B51" s="20" t="s">
        <v>549</v>
      </c>
      <c r="C51" s="20" t="s">
        <v>638</v>
      </c>
      <c r="D51" s="138">
        <v>1100000</v>
      </c>
      <c r="E51" s="20" t="s">
        <v>625</v>
      </c>
      <c r="F51" s="20" t="s">
        <v>626</v>
      </c>
      <c r="G51" s="8" t="str">
        <f t="shared" si="0"/>
        <v>GEBRETEKLE DAGNEW</v>
      </c>
      <c r="H51" s="20" t="str">
        <f t="shared" si="1"/>
        <v>4018</v>
      </c>
    </row>
    <row r="52" spans="1:8" x14ac:dyDescent="0.3">
      <c r="A52" s="8">
        <v>43026.294212962966</v>
      </c>
      <c r="B52" s="20" t="s">
        <v>601</v>
      </c>
      <c r="C52" s="20" t="s">
        <v>639</v>
      </c>
      <c r="D52" s="138">
        <v>2730000</v>
      </c>
      <c r="E52" s="20" t="s">
        <v>464</v>
      </c>
      <c r="F52" s="20" t="s">
        <v>465</v>
      </c>
      <c r="G52" s="8" t="str">
        <f t="shared" si="0"/>
        <v>YANG JAN</v>
      </c>
      <c r="H52" s="20" t="str">
        <f t="shared" si="1"/>
        <v>4043</v>
      </c>
    </row>
    <row r="53" spans="1:8" x14ac:dyDescent="0.3">
      <c r="A53" s="8">
        <v>43026.300208333334</v>
      </c>
      <c r="B53" s="20" t="s">
        <v>460</v>
      </c>
      <c r="C53" s="20" t="s">
        <v>557</v>
      </c>
      <c r="D53" s="138">
        <v>3120000</v>
      </c>
      <c r="E53" s="20" t="s">
        <v>595</v>
      </c>
      <c r="F53" s="20" t="s">
        <v>596</v>
      </c>
      <c r="G53" s="8" t="str">
        <f t="shared" si="0"/>
        <v>THOMPSON LESTER</v>
      </c>
      <c r="H53" s="20" t="str">
        <f t="shared" si="1"/>
        <v>4020</v>
      </c>
    </row>
    <row r="54" spans="1:8" x14ac:dyDescent="0.3">
      <c r="A54" s="8">
        <v>43026.305231481485</v>
      </c>
      <c r="B54" s="20" t="s">
        <v>380</v>
      </c>
      <c r="C54" s="20" t="s">
        <v>640</v>
      </c>
      <c r="D54" s="138">
        <v>1990000</v>
      </c>
      <c r="E54" s="20" t="s">
        <v>608</v>
      </c>
      <c r="F54" s="20" t="s">
        <v>609</v>
      </c>
      <c r="G54" s="8" t="str">
        <f t="shared" si="0"/>
        <v>DAVIS WENDY</v>
      </c>
      <c r="H54" s="20" t="str">
        <f t="shared" si="1"/>
        <v>4063</v>
      </c>
    </row>
    <row r="55" spans="1:8" x14ac:dyDescent="0.3">
      <c r="A55" s="8">
        <v>43026.308379629627</v>
      </c>
      <c r="B55" s="20" t="s">
        <v>563</v>
      </c>
      <c r="C55" s="20" t="s">
        <v>641</v>
      </c>
      <c r="D55" s="138">
        <v>1260000</v>
      </c>
      <c r="E55" s="20" t="s">
        <v>642</v>
      </c>
      <c r="F55" s="20" t="s">
        <v>643</v>
      </c>
      <c r="G55" s="8" t="str">
        <f t="shared" si="0"/>
        <v>ACKERMAN JARED</v>
      </c>
      <c r="H55" s="20" t="str">
        <f t="shared" si="1"/>
        <v>4062</v>
      </c>
    </row>
    <row r="56" spans="1:8" x14ac:dyDescent="0.3">
      <c r="A56" s="8">
        <v>43026.309201388889</v>
      </c>
      <c r="B56" s="20" t="s">
        <v>576</v>
      </c>
      <c r="C56" s="20" t="s">
        <v>644</v>
      </c>
      <c r="D56" s="138">
        <v>1100000</v>
      </c>
      <c r="E56" s="20" t="s">
        <v>625</v>
      </c>
      <c r="F56" s="20" t="s">
        <v>626</v>
      </c>
      <c r="G56" s="8" t="str">
        <f t="shared" si="0"/>
        <v>GEBRETEKLE DAGNEW</v>
      </c>
      <c r="H56" s="20" t="str">
        <f t="shared" si="1"/>
        <v>4017</v>
      </c>
    </row>
    <row r="57" spans="1:8" x14ac:dyDescent="0.3">
      <c r="A57" s="8">
        <v>43026.317210648151</v>
      </c>
      <c r="B57" s="20" t="s">
        <v>403</v>
      </c>
      <c r="C57" s="20" t="s">
        <v>556</v>
      </c>
      <c r="D57" s="138">
        <v>3090000</v>
      </c>
      <c r="E57" s="20" t="s">
        <v>442</v>
      </c>
      <c r="F57" s="20" t="s">
        <v>443</v>
      </c>
      <c r="G57" s="8" t="str">
        <f t="shared" si="0"/>
        <v>LAMAR NEKESHA</v>
      </c>
      <c r="H57" s="20" t="str">
        <f t="shared" si="1"/>
        <v>4036</v>
      </c>
    </row>
    <row r="58" spans="1:8" x14ac:dyDescent="0.3">
      <c r="A58" s="8">
        <v>43026.317291666666</v>
      </c>
      <c r="B58" s="20" t="s">
        <v>379</v>
      </c>
      <c r="C58" s="20" t="s">
        <v>645</v>
      </c>
      <c r="D58" s="138">
        <v>1830000</v>
      </c>
      <c r="E58" s="20" t="s">
        <v>373</v>
      </c>
      <c r="F58" s="20" t="s">
        <v>374</v>
      </c>
      <c r="G58" s="8" t="str">
        <f t="shared" si="0"/>
        <v>YORK EDGAR</v>
      </c>
      <c r="H58" s="20" t="str">
        <f t="shared" si="1"/>
        <v>4040</v>
      </c>
    </row>
    <row r="59" spans="1:8" x14ac:dyDescent="0.3">
      <c r="A59" s="8">
        <v>43026.318854166668</v>
      </c>
      <c r="B59" s="20" t="s">
        <v>431</v>
      </c>
      <c r="C59" s="20" t="s">
        <v>646</v>
      </c>
      <c r="D59" s="138">
        <v>940000</v>
      </c>
      <c r="E59" s="20" t="s">
        <v>502</v>
      </c>
      <c r="F59" s="20" t="s">
        <v>503</v>
      </c>
      <c r="G59" s="8" t="str">
        <f t="shared" si="0"/>
        <v>BONDS REYNALDO</v>
      </c>
      <c r="H59" s="20" t="str">
        <f t="shared" si="1"/>
        <v>4025</v>
      </c>
    </row>
    <row r="60" spans="1:8" x14ac:dyDescent="0.3">
      <c r="A60" s="8">
        <v>43026.320254629631</v>
      </c>
      <c r="B60" s="20" t="s">
        <v>403</v>
      </c>
      <c r="C60" s="20" t="s">
        <v>556</v>
      </c>
      <c r="D60" s="138">
        <v>3090000</v>
      </c>
      <c r="E60" s="20" t="s">
        <v>442</v>
      </c>
      <c r="F60" s="20" t="s">
        <v>443</v>
      </c>
      <c r="G60" s="8" t="str">
        <f t="shared" si="0"/>
        <v>LAMAR NEKESHA</v>
      </c>
      <c r="H60" s="20" t="str">
        <f t="shared" si="1"/>
        <v>4036</v>
      </c>
    </row>
    <row r="61" spans="1:8" x14ac:dyDescent="0.3">
      <c r="A61" s="8">
        <v>43026.328645833331</v>
      </c>
      <c r="B61" s="20" t="s">
        <v>390</v>
      </c>
      <c r="C61" s="20" t="s">
        <v>647</v>
      </c>
      <c r="D61" s="138">
        <v>3260000</v>
      </c>
      <c r="E61" s="20" t="s">
        <v>634</v>
      </c>
      <c r="F61" s="20" t="s">
        <v>635</v>
      </c>
      <c r="G61" s="8" t="str">
        <f t="shared" si="0"/>
        <v>PAGE MARCUS</v>
      </c>
      <c r="H61" s="20" t="str">
        <f t="shared" si="1"/>
        <v>4055</v>
      </c>
    </row>
    <row r="62" spans="1:8" x14ac:dyDescent="0.3">
      <c r="A62" s="8">
        <v>43026.329155092593</v>
      </c>
      <c r="B62" s="20" t="s">
        <v>605</v>
      </c>
      <c r="C62" s="20" t="s">
        <v>648</v>
      </c>
      <c r="D62" s="138">
        <v>2730000</v>
      </c>
      <c r="E62" s="20" t="s">
        <v>464</v>
      </c>
      <c r="F62" s="20" t="s">
        <v>465</v>
      </c>
      <c r="G62" s="8" t="str">
        <f t="shared" si="0"/>
        <v>YANG JAN</v>
      </c>
      <c r="H62" s="20" t="str">
        <f t="shared" si="1"/>
        <v>4044</v>
      </c>
    </row>
    <row r="63" spans="1:8" x14ac:dyDescent="0.3">
      <c r="A63" s="8">
        <v>43026.331805555557</v>
      </c>
      <c r="B63" s="20" t="s">
        <v>412</v>
      </c>
      <c r="C63" s="20" t="s">
        <v>649</v>
      </c>
      <c r="D63" s="138">
        <v>3090000</v>
      </c>
      <c r="E63" s="20" t="s">
        <v>442</v>
      </c>
      <c r="F63" s="20" t="s">
        <v>443</v>
      </c>
      <c r="G63" s="8" t="str">
        <f t="shared" si="0"/>
        <v>LAMAR NEKESHA</v>
      </c>
      <c r="H63" s="20" t="str">
        <f t="shared" si="1"/>
        <v>4035</v>
      </c>
    </row>
    <row r="64" spans="1:8" x14ac:dyDescent="0.3">
      <c r="A64" s="26">
        <v>43026.332025462965</v>
      </c>
      <c r="B64" s="20" t="s">
        <v>549</v>
      </c>
      <c r="C64" s="20" t="s">
        <v>650</v>
      </c>
      <c r="D64" s="138">
        <v>1100000</v>
      </c>
      <c r="E64" s="20" t="s">
        <v>625</v>
      </c>
      <c r="F64" s="20" t="s">
        <v>626</v>
      </c>
      <c r="G64" s="8" t="str">
        <f t="shared" si="0"/>
        <v>GEBRETEKLE DAGNEW</v>
      </c>
      <c r="H64" s="20" t="str">
        <f t="shared" si="1"/>
        <v>4018</v>
      </c>
    </row>
    <row r="65" spans="1:8" x14ac:dyDescent="0.3">
      <c r="A65" s="8">
        <v>43026.339814814812</v>
      </c>
      <c r="B65" s="20" t="s">
        <v>461</v>
      </c>
      <c r="C65" s="20" t="s">
        <v>651</v>
      </c>
      <c r="D65" s="138">
        <v>3120000</v>
      </c>
      <c r="E65" s="20" t="s">
        <v>595</v>
      </c>
      <c r="F65" s="20" t="s">
        <v>596</v>
      </c>
      <c r="G65" s="8" t="str">
        <f t="shared" si="0"/>
        <v>THOMPSON LESTER</v>
      </c>
      <c r="H65" s="20" t="str">
        <f t="shared" si="1"/>
        <v>4019</v>
      </c>
    </row>
    <row r="66" spans="1:8" x14ac:dyDescent="0.3">
      <c r="A66" s="8">
        <v>43026.341620370367</v>
      </c>
      <c r="B66" s="20" t="s">
        <v>381</v>
      </c>
      <c r="C66" s="20" t="s">
        <v>652</v>
      </c>
      <c r="D66" s="138">
        <v>900000</v>
      </c>
      <c r="E66" s="20" t="s">
        <v>382</v>
      </c>
      <c r="F66" s="20" t="s">
        <v>383</v>
      </c>
      <c r="G66" s="8" t="str">
        <f t="shared" si="0"/>
        <v>ROCHA YAOTL</v>
      </c>
      <c r="H66" s="20" t="str">
        <f t="shared" si="1"/>
        <v>4064</v>
      </c>
    </row>
    <row r="67" spans="1:8" x14ac:dyDescent="0.3">
      <c r="A67" s="8">
        <v>43026.347118055557</v>
      </c>
      <c r="B67" s="20" t="s">
        <v>389</v>
      </c>
      <c r="C67" s="20" t="s">
        <v>653</v>
      </c>
      <c r="D67" s="138">
        <v>1260000</v>
      </c>
      <c r="E67" s="20" t="s">
        <v>642</v>
      </c>
      <c r="F67" s="20" t="s">
        <v>643</v>
      </c>
      <c r="G67" s="8" t="str">
        <f t="shared" ref="G67:G130" si="2">E67&amp;" "&amp;F67</f>
        <v>ACKERMAN JARED</v>
      </c>
      <c r="H67" s="20" t="str">
        <f t="shared" ref="H67:H130" si="3">MID(B67,13,4)</f>
        <v>4061</v>
      </c>
    </row>
    <row r="68" spans="1:8" x14ac:dyDescent="0.3">
      <c r="A68" s="8">
        <v>43026.350173611114</v>
      </c>
      <c r="B68" s="20" t="s">
        <v>599</v>
      </c>
      <c r="C68" s="20" t="s">
        <v>654</v>
      </c>
      <c r="D68" s="138">
        <v>1830000</v>
      </c>
      <c r="E68" s="20" t="s">
        <v>373</v>
      </c>
      <c r="F68" s="20" t="s">
        <v>374</v>
      </c>
      <c r="G68" s="8" t="str">
        <f t="shared" si="2"/>
        <v>YORK EDGAR</v>
      </c>
      <c r="H68" s="20" t="str">
        <f t="shared" si="3"/>
        <v>4039</v>
      </c>
    </row>
    <row r="69" spans="1:8" x14ac:dyDescent="0.3">
      <c r="A69" s="8">
        <v>43026.351064814815</v>
      </c>
      <c r="B69" s="20" t="s">
        <v>576</v>
      </c>
      <c r="C69" s="20" t="s">
        <v>655</v>
      </c>
      <c r="D69" s="138">
        <v>1100000</v>
      </c>
      <c r="E69" s="20" t="s">
        <v>625</v>
      </c>
      <c r="F69" s="20" t="s">
        <v>626</v>
      </c>
      <c r="G69" s="8" t="str">
        <f t="shared" si="2"/>
        <v>GEBRETEKLE DAGNEW</v>
      </c>
      <c r="H69" s="20" t="str">
        <f t="shared" si="3"/>
        <v>4017</v>
      </c>
    </row>
    <row r="70" spans="1:8" x14ac:dyDescent="0.3">
      <c r="A70" s="8">
        <v>43026.351469907408</v>
      </c>
      <c r="B70" s="20" t="s">
        <v>432</v>
      </c>
      <c r="C70" s="20" t="s">
        <v>656</v>
      </c>
      <c r="D70" s="138">
        <v>940000</v>
      </c>
      <c r="E70" s="20" t="s">
        <v>502</v>
      </c>
      <c r="F70" s="20" t="s">
        <v>503</v>
      </c>
      <c r="G70" s="8" t="str">
        <f t="shared" si="2"/>
        <v>BONDS REYNALDO</v>
      </c>
      <c r="H70" s="20" t="str">
        <f t="shared" si="3"/>
        <v>4026</v>
      </c>
    </row>
    <row r="71" spans="1:8" x14ac:dyDescent="0.3">
      <c r="A71" s="8">
        <v>43026.352719907409</v>
      </c>
      <c r="B71" s="20" t="s">
        <v>403</v>
      </c>
      <c r="C71" s="20" t="s">
        <v>657</v>
      </c>
      <c r="D71" s="138">
        <v>3090000</v>
      </c>
      <c r="E71" s="20" t="s">
        <v>442</v>
      </c>
      <c r="F71" s="20" t="s">
        <v>443</v>
      </c>
      <c r="G71" s="8" t="str">
        <f t="shared" si="2"/>
        <v>LAMAR NEKESHA</v>
      </c>
      <c r="H71" s="20" t="str">
        <f t="shared" si="3"/>
        <v>4036</v>
      </c>
    </row>
    <row r="72" spans="1:8" x14ac:dyDescent="0.3">
      <c r="A72" s="8">
        <v>43026.360335648147</v>
      </c>
      <c r="B72" s="20" t="s">
        <v>580</v>
      </c>
      <c r="C72" s="20" t="s">
        <v>658</v>
      </c>
      <c r="D72" s="138">
        <v>1230000</v>
      </c>
      <c r="E72" s="20" t="s">
        <v>467</v>
      </c>
      <c r="F72" s="20" t="s">
        <v>468</v>
      </c>
      <c r="G72" s="8" t="str">
        <f t="shared" si="2"/>
        <v>YANAI IAN</v>
      </c>
      <c r="H72" s="20" t="str">
        <f t="shared" si="3"/>
        <v>4056</v>
      </c>
    </row>
    <row r="73" spans="1:8" x14ac:dyDescent="0.3">
      <c r="A73" s="8">
        <v>43026.368067129632</v>
      </c>
      <c r="B73" s="20" t="s">
        <v>601</v>
      </c>
      <c r="C73" s="20" t="s">
        <v>659</v>
      </c>
      <c r="D73" s="138">
        <v>2730000</v>
      </c>
      <c r="E73" s="20" t="s">
        <v>464</v>
      </c>
      <c r="F73" s="20" t="s">
        <v>465</v>
      </c>
      <c r="G73" s="8" t="str">
        <f t="shared" si="2"/>
        <v>YANG JAN</v>
      </c>
      <c r="H73" s="20" t="str">
        <f t="shared" si="3"/>
        <v>4043</v>
      </c>
    </row>
    <row r="74" spans="1:8" x14ac:dyDescent="0.3">
      <c r="A74" s="8">
        <v>43026.373576388891</v>
      </c>
      <c r="B74" s="20" t="s">
        <v>549</v>
      </c>
      <c r="C74" s="20" t="s">
        <v>660</v>
      </c>
      <c r="D74" s="138">
        <v>1100000</v>
      </c>
      <c r="E74" s="20" t="s">
        <v>625</v>
      </c>
      <c r="F74" s="20" t="s">
        <v>626</v>
      </c>
      <c r="G74" s="8" t="str">
        <f t="shared" si="2"/>
        <v>GEBRETEKLE DAGNEW</v>
      </c>
      <c r="H74" s="20" t="str">
        <f t="shared" si="3"/>
        <v>4018</v>
      </c>
    </row>
    <row r="75" spans="1:8" x14ac:dyDescent="0.3">
      <c r="A75" s="8">
        <v>43026.37394675926</v>
      </c>
      <c r="B75" s="20" t="s">
        <v>460</v>
      </c>
      <c r="C75" s="20" t="s">
        <v>661</v>
      </c>
      <c r="D75" s="138">
        <v>3120000</v>
      </c>
      <c r="E75" s="20" t="s">
        <v>595</v>
      </c>
      <c r="F75" s="20" t="s">
        <v>596</v>
      </c>
      <c r="G75" s="8" t="str">
        <f t="shared" si="2"/>
        <v>THOMPSON LESTER</v>
      </c>
      <c r="H75" s="20" t="str">
        <f t="shared" si="3"/>
        <v>4020</v>
      </c>
    </row>
    <row r="76" spans="1:8" x14ac:dyDescent="0.3">
      <c r="A76" s="8">
        <v>43026.374803240738</v>
      </c>
      <c r="B76" s="20" t="s">
        <v>396</v>
      </c>
      <c r="C76" s="20" t="s">
        <v>558</v>
      </c>
      <c r="D76" s="138">
        <v>2470000</v>
      </c>
      <c r="E76" s="20" t="s">
        <v>504</v>
      </c>
      <c r="F76" s="20" t="s">
        <v>505</v>
      </c>
      <c r="G76" s="8" t="str">
        <f t="shared" si="2"/>
        <v>ROMERO CHAD</v>
      </c>
      <c r="H76" s="20" t="str">
        <f t="shared" si="3"/>
        <v>4066</v>
      </c>
    </row>
    <row r="77" spans="1:8" x14ac:dyDescent="0.3">
      <c r="A77" s="8">
        <v>43026.381550925929</v>
      </c>
      <c r="B77" s="20" t="s">
        <v>380</v>
      </c>
      <c r="C77" s="20" t="s">
        <v>662</v>
      </c>
      <c r="D77" s="138">
        <v>900000</v>
      </c>
      <c r="E77" s="20" t="s">
        <v>382</v>
      </c>
      <c r="F77" s="20" t="s">
        <v>383</v>
      </c>
      <c r="G77" s="8" t="str">
        <f t="shared" si="2"/>
        <v>ROCHA YAOTL</v>
      </c>
      <c r="H77" s="20" t="str">
        <f t="shared" si="3"/>
        <v>4063</v>
      </c>
    </row>
    <row r="78" spans="1:8" x14ac:dyDescent="0.3">
      <c r="A78" s="8">
        <v>43026.382395833331</v>
      </c>
      <c r="B78" s="20" t="s">
        <v>563</v>
      </c>
      <c r="C78" s="20" t="s">
        <v>663</v>
      </c>
      <c r="D78" s="138">
        <v>3000000</v>
      </c>
      <c r="E78" s="20" t="s">
        <v>619</v>
      </c>
      <c r="F78" s="20" t="s">
        <v>620</v>
      </c>
      <c r="G78" s="8" t="str">
        <f t="shared" si="2"/>
        <v>FORTUNATO FRANK</v>
      </c>
      <c r="H78" s="20" t="str">
        <f t="shared" si="3"/>
        <v>4062</v>
      </c>
    </row>
    <row r="79" spans="1:8" x14ac:dyDescent="0.3">
      <c r="A79" s="8">
        <v>43026.390381944446</v>
      </c>
      <c r="B79" s="20" t="s">
        <v>431</v>
      </c>
      <c r="C79" s="20" t="s">
        <v>664</v>
      </c>
      <c r="D79" s="138">
        <v>940000</v>
      </c>
      <c r="E79" s="20" t="s">
        <v>502</v>
      </c>
      <c r="F79" s="20" t="s">
        <v>503</v>
      </c>
      <c r="G79" s="8" t="str">
        <f t="shared" si="2"/>
        <v>BONDS REYNALDO</v>
      </c>
      <c r="H79" s="20" t="str">
        <f t="shared" si="3"/>
        <v>4025</v>
      </c>
    </row>
    <row r="80" spans="1:8" x14ac:dyDescent="0.3">
      <c r="A80" s="8">
        <v>43026.391412037039</v>
      </c>
      <c r="B80" s="20" t="s">
        <v>379</v>
      </c>
      <c r="C80" s="20" t="s">
        <v>665</v>
      </c>
      <c r="D80" s="138">
        <v>1830000</v>
      </c>
      <c r="E80" s="20" t="s">
        <v>373</v>
      </c>
      <c r="F80" s="20" t="s">
        <v>374</v>
      </c>
      <c r="G80" s="8" t="str">
        <f t="shared" si="2"/>
        <v>YORK EDGAR</v>
      </c>
      <c r="H80" s="20" t="str">
        <f t="shared" si="3"/>
        <v>4040</v>
      </c>
    </row>
    <row r="81" spans="1:8" x14ac:dyDescent="0.3">
      <c r="A81" s="8">
        <v>43026.392002314817</v>
      </c>
      <c r="B81" s="20" t="s">
        <v>390</v>
      </c>
      <c r="C81" s="20" t="s">
        <v>666</v>
      </c>
      <c r="D81" s="138">
        <v>1230000</v>
      </c>
      <c r="E81" s="20" t="s">
        <v>467</v>
      </c>
      <c r="F81" s="20" t="s">
        <v>468</v>
      </c>
      <c r="G81" s="8" t="str">
        <f t="shared" si="2"/>
        <v>YANAI IAN</v>
      </c>
      <c r="H81" s="20" t="str">
        <f t="shared" si="3"/>
        <v>4055</v>
      </c>
    </row>
    <row r="82" spans="1:8" x14ac:dyDescent="0.3">
      <c r="A82" s="8">
        <v>43026.392256944448</v>
      </c>
      <c r="B82" s="20" t="s">
        <v>397</v>
      </c>
      <c r="C82" s="20" t="s">
        <v>545</v>
      </c>
      <c r="D82" s="138">
        <v>2470000</v>
      </c>
      <c r="E82" s="20" t="s">
        <v>504</v>
      </c>
      <c r="F82" s="20" t="s">
        <v>505</v>
      </c>
      <c r="G82" s="8" t="str">
        <f t="shared" si="2"/>
        <v>ROMERO CHAD</v>
      </c>
      <c r="H82" s="20" t="str">
        <f t="shared" si="3"/>
        <v>4065</v>
      </c>
    </row>
    <row r="83" spans="1:8" x14ac:dyDescent="0.3">
      <c r="A83" s="8">
        <v>43026.392812500002</v>
      </c>
      <c r="B83" s="20" t="s">
        <v>576</v>
      </c>
      <c r="C83" s="20" t="s">
        <v>667</v>
      </c>
      <c r="D83" s="138">
        <v>1100000</v>
      </c>
      <c r="E83" s="20" t="s">
        <v>625</v>
      </c>
      <c r="F83" s="20" t="s">
        <v>626</v>
      </c>
      <c r="G83" s="8" t="str">
        <f t="shared" si="2"/>
        <v>GEBRETEKLE DAGNEW</v>
      </c>
      <c r="H83" s="20" t="str">
        <f t="shared" si="3"/>
        <v>4017</v>
      </c>
    </row>
    <row r="84" spans="1:8" x14ac:dyDescent="0.3">
      <c r="A84" s="8">
        <v>43026.402083333334</v>
      </c>
      <c r="B84" s="20" t="s">
        <v>605</v>
      </c>
      <c r="C84" s="20" t="s">
        <v>668</v>
      </c>
      <c r="D84" s="138">
        <v>2730000</v>
      </c>
      <c r="E84" s="20" t="s">
        <v>464</v>
      </c>
      <c r="F84" s="20" t="s">
        <v>465</v>
      </c>
      <c r="G84" s="8" t="str">
        <f t="shared" si="2"/>
        <v>YANG JAN</v>
      </c>
      <c r="H84" s="20" t="str">
        <f t="shared" si="3"/>
        <v>4044</v>
      </c>
    </row>
    <row r="85" spans="1:8" x14ac:dyDescent="0.3">
      <c r="A85" s="8">
        <v>43026.403310185182</v>
      </c>
      <c r="B85" s="20" t="s">
        <v>559</v>
      </c>
      <c r="C85" s="20" t="s">
        <v>560</v>
      </c>
      <c r="D85" s="138">
        <v>3090000</v>
      </c>
      <c r="E85" s="20" t="s">
        <v>442</v>
      </c>
      <c r="F85" s="20" t="s">
        <v>443</v>
      </c>
      <c r="G85" s="8" t="str">
        <f t="shared" si="2"/>
        <v>LAMAR NEKESHA</v>
      </c>
      <c r="H85" s="20" t="str">
        <f t="shared" si="3"/>
        <v>4005</v>
      </c>
    </row>
    <row r="86" spans="1:8" x14ac:dyDescent="0.3">
      <c r="A86" s="8">
        <v>43026.412314814814</v>
      </c>
      <c r="B86" s="20" t="s">
        <v>389</v>
      </c>
      <c r="C86" s="20" t="s">
        <v>561</v>
      </c>
      <c r="D86" s="138">
        <v>3000000</v>
      </c>
      <c r="E86" s="20" t="s">
        <v>619</v>
      </c>
      <c r="F86" s="20" t="s">
        <v>620</v>
      </c>
      <c r="G86" s="8" t="str">
        <f t="shared" si="2"/>
        <v>FORTUNATO FRANK</v>
      </c>
      <c r="H86" s="20" t="str">
        <f t="shared" si="3"/>
        <v>4061</v>
      </c>
    </row>
    <row r="87" spans="1:8" x14ac:dyDescent="0.3">
      <c r="A87" s="8">
        <v>43026.412569444445</v>
      </c>
      <c r="B87" s="20" t="s">
        <v>381</v>
      </c>
      <c r="C87" s="20" t="s">
        <v>669</v>
      </c>
      <c r="D87" s="138">
        <v>1990000</v>
      </c>
      <c r="E87" s="20" t="s">
        <v>608</v>
      </c>
      <c r="F87" s="20" t="s">
        <v>609</v>
      </c>
      <c r="G87" s="8" t="str">
        <f t="shared" si="2"/>
        <v>DAVIS WENDY</v>
      </c>
      <c r="H87" s="20" t="str">
        <f t="shared" si="3"/>
        <v>4064</v>
      </c>
    </row>
    <row r="88" spans="1:8" x14ac:dyDescent="0.3">
      <c r="A88" s="8">
        <v>43026.413703703707</v>
      </c>
      <c r="B88" s="20" t="s">
        <v>461</v>
      </c>
      <c r="C88" s="20" t="s">
        <v>670</v>
      </c>
      <c r="D88" s="138">
        <v>3120000</v>
      </c>
      <c r="E88" s="20" t="s">
        <v>595</v>
      </c>
      <c r="F88" s="20" t="s">
        <v>596</v>
      </c>
      <c r="G88" s="8" t="str">
        <f t="shared" si="2"/>
        <v>THOMPSON LESTER</v>
      </c>
      <c r="H88" s="20" t="str">
        <f t="shared" si="3"/>
        <v>4019</v>
      </c>
    </row>
    <row r="89" spans="1:8" x14ac:dyDescent="0.3">
      <c r="A89" s="8">
        <v>43026.415648148148</v>
      </c>
      <c r="B89" s="20" t="s">
        <v>549</v>
      </c>
      <c r="C89" s="20" t="s">
        <v>671</v>
      </c>
      <c r="D89" s="138">
        <v>1100000</v>
      </c>
      <c r="E89" s="20" t="s">
        <v>625</v>
      </c>
      <c r="F89" s="20" t="s">
        <v>626</v>
      </c>
      <c r="G89" s="8" t="str">
        <f t="shared" si="2"/>
        <v>GEBRETEKLE DAGNEW</v>
      </c>
      <c r="H89" s="20" t="str">
        <f t="shared" si="3"/>
        <v>4018</v>
      </c>
    </row>
    <row r="90" spans="1:8" x14ac:dyDescent="0.3">
      <c r="A90" s="8">
        <v>43026.418622685182</v>
      </c>
      <c r="B90" s="20" t="s">
        <v>672</v>
      </c>
      <c r="C90" s="20" t="s">
        <v>673</v>
      </c>
      <c r="D90" s="138">
        <v>1110000</v>
      </c>
      <c r="E90" s="20" t="s">
        <v>469</v>
      </c>
      <c r="F90" s="20" t="s">
        <v>470</v>
      </c>
      <c r="G90" s="8" t="str">
        <f t="shared" si="2"/>
        <v>STARKS ANGELINA</v>
      </c>
      <c r="H90" s="20" t="str">
        <f t="shared" si="3"/>
        <v>4006</v>
      </c>
    </row>
    <row r="91" spans="1:8" x14ac:dyDescent="0.3">
      <c r="A91" s="8">
        <v>43026.420300925929</v>
      </c>
      <c r="B91" s="20" t="s">
        <v>672</v>
      </c>
      <c r="C91" s="20" t="s">
        <v>673</v>
      </c>
      <c r="D91" s="138">
        <v>1110000</v>
      </c>
      <c r="E91" s="20" t="s">
        <v>469</v>
      </c>
      <c r="F91" s="20" t="s">
        <v>470</v>
      </c>
      <c r="G91" s="8" t="str">
        <f t="shared" si="2"/>
        <v>STARKS ANGELINA</v>
      </c>
      <c r="H91" s="20" t="str">
        <f t="shared" si="3"/>
        <v>4006</v>
      </c>
    </row>
    <row r="92" spans="1:8" x14ac:dyDescent="0.3">
      <c r="A92" s="8">
        <v>43026.422372685185</v>
      </c>
      <c r="B92" s="20" t="s">
        <v>672</v>
      </c>
      <c r="C92" s="20" t="s">
        <v>673</v>
      </c>
      <c r="D92" s="138">
        <v>1110000</v>
      </c>
      <c r="E92" s="20" t="s">
        <v>469</v>
      </c>
      <c r="F92" s="20" t="s">
        <v>470</v>
      </c>
      <c r="G92" s="8" t="str">
        <f t="shared" si="2"/>
        <v>STARKS ANGELINA</v>
      </c>
      <c r="H92" s="20" t="str">
        <f t="shared" si="3"/>
        <v>4006</v>
      </c>
    </row>
    <row r="93" spans="1:8" x14ac:dyDescent="0.3">
      <c r="A93" s="8">
        <v>43026.423217592594</v>
      </c>
      <c r="B93" s="20" t="s">
        <v>599</v>
      </c>
      <c r="C93" s="20" t="s">
        <v>674</v>
      </c>
      <c r="D93" s="138">
        <v>1830000</v>
      </c>
      <c r="E93" s="20" t="s">
        <v>373</v>
      </c>
      <c r="F93" s="20" t="s">
        <v>374</v>
      </c>
      <c r="G93" s="8" t="str">
        <f t="shared" si="2"/>
        <v>YORK EDGAR</v>
      </c>
      <c r="H93" s="20" t="str">
        <f t="shared" si="3"/>
        <v>4039</v>
      </c>
    </row>
    <row r="94" spans="1:8" x14ac:dyDescent="0.3">
      <c r="A94" s="8">
        <v>43026.425324074073</v>
      </c>
      <c r="B94" s="20" t="s">
        <v>432</v>
      </c>
      <c r="C94" s="20" t="s">
        <v>675</v>
      </c>
      <c r="D94" s="138">
        <v>3090000</v>
      </c>
      <c r="E94" s="20" t="s">
        <v>442</v>
      </c>
      <c r="F94" s="20" t="s">
        <v>443</v>
      </c>
      <c r="G94" s="8" t="str">
        <f t="shared" si="2"/>
        <v>LAMAR NEKESHA</v>
      </c>
      <c r="H94" s="20" t="str">
        <f t="shared" si="3"/>
        <v>4026</v>
      </c>
    </row>
    <row r="95" spans="1:8" x14ac:dyDescent="0.3">
      <c r="A95" s="8">
        <v>43026.426192129627</v>
      </c>
      <c r="B95" s="20" t="s">
        <v>396</v>
      </c>
      <c r="C95" s="20" t="s">
        <v>567</v>
      </c>
      <c r="D95" s="138">
        <v>2270000</v>
      </c>
      <c r="E95" s="20" t="s">
        <v>676</v>
      </c>
      <c r="F95" s="20" t="s">
        <v>677</v>
      </c>
      <c r="G95" s="8" t="str">
        <f t="shared" si="2"/>
        <v>BROWN JACOB</v>
      </c>
      <c r="H95" s="20" t="str">
        <f t="shared" si="3"/>
        <v>4066</v>
      </c>
    </row>
    <row r="96" spans="1:8" x14ac:dyDescent="0.3">
      <c r="A96" s="8">
        <v>43026.434363425928</v>
      </c>
      <c r="B96" s="20" t="s">
        <v>580</v>
      </c>
      <c r="C96" s="20" t="s">
        <v>678</v>
      </c>
      <c r="D96" s="138">
        <v>1230000</v>
      </c>
      <c r="E96" s="20" t="s">
        <v>467</v>
      </c>
      <c r="F96" s="20" t="s">
        <v>468</v>
      </c>
      <c r="G96" s="8" t="str">
        <f t="shared" si="2"/>
        <v>YANAI IAN</v>
      </c>
      <c r="H96" s="20" t="str">
        <f t="shared" si="3"/>
        <v>4056</v>
      </c>
    </row>
    <row r="97" spans="1:8" x14ac:dyDescent="0.3">
      <c r="A97" s="8">
        <v>43026.434652777774</v>
      </c>
      <c r="B97" s="20" t="s">
        <v>576</v>
      </c>
      <c r="C97" s="20" t="s">
        <v>679</v>
      </c>
      <c r="D97" s="138">
        <v>1100000</v>
      </c>
      <c r="E97" s="20" t="s">
        <v>625</v>
      </c>
      <c r="F97" s="20" t="s">
        <v>626</v>
      </c>
      <c r="G97" s="8" t="str">
        <f t="shared" si="2"/>
        <v>GEBRETEKLE DAGNEW</v>
      </c>
      <c r="H97" s="20" t="str">
        <f t="shared" si="3"/>
        <v>4017</v>
      </c>
    </row>
    <row r="98" spans="1:8" x14ac:dyDescent="0.3">
      <c r="A98" s="8">
        <v>43026.44090277778</v>
      </c>
      <c r="B98" s="20" t="s">
        <v>601</v>
      </c>
      <c r="C98" s="20" t="s">
        <v>680</v>
      </c>
      <c r="D98" s="138">
        <v>2730000</v>
      </c>
      <c r="E98" s="20" t="s">
        <v>464</v>
      </c>
      <c r="F98" s="20" t="s">
        <v>465</v>
      </c>
      <c r="G98" s="8" t="str">
        <f t="shared" si="2"/>
        <v>YANG JAN</v>
      </c>
      <c r="H98" s="20" t="str">
        <f t="shared" si="3"/>
        <v>4043</v>
      </c>
    </row>
    <row r="99" spans="1:8" x14ac:dyDescent="0.3">
      <c r="A99" s="8">
        <v>43026.443738425929</v>
      </c>
      <c r="B99" s="20" t="s">
        <v>460</v>
      </c>
      <c r="C99" s="20" t="s">
        <v>681</v>
      </c>
      <c r="D99" s="138">
        <v>1780000</v>
      </c>
      <c r="E99" s="20" t="s">
        <v>506</v>
      </c>
      <c r="F99" s="20" t="s">
        <v>507</v>
      </c>
      <c r="G99" s="8" t="str">
        <f t="shared" si="2"/>
        <v>DE LA ROSA ALEX</v>
      </c>
      <c r="H99" s="20" t="str">
        <f t="shared" si="3"/>
        <v>4020</v>
      </c>
    </row>
    <row r="100" spans="1:8" x14ac:dyDescent="0.3">
      <c r="A100" s="8">
        <v>43026.444907407407</v>
      </c>
      <c r="B100" s="20" t="s">
        <v>380</v>
      </c>
      <c r="C100" s="20" t="s">
        <v>682</v>
      </c>
      <c r="D100" s="138">
        <v>1990000</v>
      </c>
      <c r="E100" s="20" t="s">
        <v>608</v>
      </c>
      <c r="F100" s="20" t="s">
        <v>609</v>
      </c>
      <c r="G100" s="8" t="str">
        <f t="shared" si="2"/>
        <v>DAVIS WENDY</v>
      </c>
      <c r="H100" s="20" t="str">
        <f t="shared" si="3"/>
        <v>4063</v>
      </c>
    </row>
    <row r="101" spans="1:8" x14ac:dyDescent="0.3">
      <c r="A101" s="8">
        <v>43026.445555555554</v>
      </c>
      <c r="B101" s="20" t="s">
        <v>559</v>
      </c>
      <c r="C101" s="20" t="s">
        <v>683</v>
      </c>
      <c r="D101" s="138">
        <v>2040000</v>
      </c>
      <c r="E101" s="20" t="s">
        <v>515</v>
      </c>
      <c r="F101" s="20" t="s">
        <v>516</v>
      </c>
      <c r="G101" s="8" t="str">
        <f t="shared" si="2"/>
        <v>MOSES BRADLEY</v>
      </c>
      <c r="H101" s="20" t="str">
        <f t="shared" si="3"/>
        <v>4005</v>
      </c>
    </row>
    <row r="102" spans="1:8" x14ac:dyDescent="0.3">
      <c r="A102" s="8">
        <v>43026.446111111109</v>
      </c>
      <c r="B102" s="20" t="s">
        <v>559</v>
      </c>
      <c r="C102" s="20" t="s">
        <v>683</v>
      </c>
      <c r="D102" s="138">
        <v>2040000</v>
      </c>
      <c r="E102" s="20" t="s">
        <v>515</v>
      </c>
      <c r="F102" s="20" t="s">
        <v>516</v>
      </c>
      <c r="G102" s="8" t="str">
        <f t="shared" si="2"/>
        <v>MOSES BRADLEY</v>
      </c>
      <c r="H102" s="20" t="str">
        <f t="shared" si="3"/>
        <v>4005</v>
      </c>
    </row>
    <row r="103" spans="1:8" x14ac:dyDescent="0.3">
      <c r="A103" s="8">
        <v>43026.446909722225</v>
      </c>
      <c r="B103" s="20" t="s">
        <v>559</v>
      </c>
      <c r="C103" s="20" t="s">
        <v>683</v>
      </c>
      <c r="D103" s="138">
        <v>2040000</v>
      </c>
      <c r="E103" s="20" t="s">
        <v>515</v>
      </c>
      <c r="F103" s="20" t="s">
        <v>516</v>
      </c>
      <c r="G103" s="8" t="str">
        <f t="shared" si="2"/>
        <v>MOSES BRADLEY</v>
      </c>
      <c r="H103" s="20" t="str">
        <f t="shared" si="3"/>
        <v>4005</v>
      </c>
    </row>
    <row r="104" spans="1:8" x14ac:dyDescent="0.3">
      <c r="A104" s="8">
        <v>43026.449583333335</v>
      </c>
      <c r="B104" s="20" t="s">
        <v>397</v>
      </c>
      <c r="C104" s="20" t="s">
        <v>684</v>
      </c>
      <c r="D104" s="138">
        <v>2270000</v>
      </c>
      <c r="E104" s="20" t="s">
        <v>676</v>
      </c>
      <c r="F104" s="20" t="s">
        <v>677</v>
      </c>
      <c r="G104" s="8" t="str">
        <f t="shared" si="2"/>
        <v>BROWN JACOB</v>
      </c>
      <c r="H104" s="20" t="str">
        <f t="shared" si="3"/>
        <v>4065</v>
      </c>
    </row>
    <row r="105" spans="1:8" x14ac:dyDescent="0.3">
      <c r="A105" s="8">
        <v>43026.453842592593</v>
      </c>
      <c r="B105" s="20" t="s">
        <v>563</v>
      </c>
      <c r="C105" s="20" t="s">
        <v>564</v>
      </c>
      <c r="D105" s="138">
        <v>3000000</v>
      </c>
      <c r="E105" s="20" t="s">
        <v>619</v>
      </c>
      <c r="F105" s="20" t="s">
        <v>620</v>
      </c>
      <c r="G105" s="8" t="str">
        <f t="shared" si="2"/>
        <v>FORTUNATO FRANK</v>
      </c>
      <c r="H105" s="20" t="str">
        <f t="shared" si="3"/>
        <v>4062</v>
      </c>
    </row>
    <row r="106" spans="1:8" x14ac:dyDescent="0.3">
      <c r="A106" s="8">
        <v>43026.457268518519</v>
      </c>
      <c r="B106" s="20" t="s">
        <v>549</v>
      </c>
      <c r="C106" s="20" t="s">
        <v>685</v>
      </c>
      <c r="D106" s="138">
        <v>1100000</v>
      </c>
      <c r="E106" s="20" t="s">
        <v>625</v>
      </c>
      <c r="F106" s="20" t="s">
        <v>626</v>
      </c>
      <c r="G106" s="8" t="str">
        <f t="shared" si="2"/>
        <v>GEBRETEKLE DAGNEW</v>
      </c>
      <c r="H106" s="20" t="str">
        <f t="shared" si="3"/>
        <v>4018</v>
      </c>
    </row>
    <row r="107" spans="1:8" x14ac:dyDescent="0.3">
      <c r="A107" s="8">
        <v>43026.458379629628</v>
      </c>
      <c r="B107" s="20" t="s">
        <v>424</v>
      </c>
      <c r="C107" s="20" t="s">
        <v>684</v>
      </c>
      <c r="D107" s="138">
        <v>1810000</v>
      </c>
      <c r="E107" s="20" t="s">
        <v>508</v>
      </c>
      <c r="F107" s="20" t="s">
        <v>361</v>
      </c>
      <c r="G107" s="8" t="str">
        <f t="shared" si="2"/>
        <v>NEWELL JAMES</v>
      </c>
      <c r="H107" s="20" t="str">
        <f t="shared" si="3"/>
        <v>4002</v>
      </c>
    </row>
    <row r="108" spans="1:8" x14ac:dyDescent="0.3">
      <c r="A108" s="8">
        <v>43026.45890046296</v>
      </c>
      <c r="B108" s="20" t="s">
        <v>424</v>
      </c>
      <c r="C108" s="20" t="s">
        <v>562</v>
      </c>
      <c r="D108" s="138">
        <v>1810000</v>
      </c>
      <c r="E108" s="20" t="s">
        <v>508</v>
      </c>
      <c r="F108" s="20" t="s">
        <v>361</v>
      </c>
      <c r="G108" s="8" t="str">
        <f t="shared" si="2"/>
        <v>NEWELL JAMES</v>
      </c>
      <c r="H108" s="20" t="str">
        <f t="shared" si="3"/>
        <v>4002</v>
      </c>
    </row>
    <row r="109" spans="1:8" x14ac:dyDescent="0.3">
      <c r="A109" s="8">
        <v>43026.459814814814</v>
      </c>
      <c r="B109" s="20" t="s">
        <v>424</v>
      </c>
      <c r="C109" s="20" t="s">
        <v>562</v>
      </c>
      <c r="D109" s="138">
        <v>1810000</v>
      </c>
      <c r="E109" s="20" t="s">
        <v>508</v>
      </c>
      <c r="F109" s="20" t="s">
        <v>361</v>
      </c>
      <c r="G109" s="8" t="str">
        <f t="shared" si="2"/>
        <v>NEWELL JAMES</v>
      </c>
      <c r="H109" s="20" t="str">
        <f t="shared" si="3"/>
        <v>4002</v>
      </c>
    </row>
    <row r="110" spans="1:8" x14ac:dyDescent="0.3">
      <c r="A110" s="8">
        <v>43026.463113425925</v>
      </c>
      <c r="B110" s="20" t="s">
        <v>390</v>
      </c>
      <c r="C110" s="20" t="s">
        <v>686</v>
      </c>
      <c r="D110" s="138">
        <v>1230000</v>
      </c>
      <c r="E110" s="20" t="s">
        <v>467</v>
      </c>
      <c r="F110" s="20" t="s">
        <v>468</v>
      </c>
      <c r="G110" s="8" t="str">
        <f t="shared" si="2"/>
        <v>YANAI IAN</v>
      </c>
      <c r="H110" s="20" t="str">
        <f t="shared" si="3"/>
        <v>4055</v>
      </c>
    </row>
    <row r="111" spans="1:8" x14ac:dyDescent="0.3">
      <c r="A111" s="8">
        <v>43026.463888888888</v>
      </c>
      <c r="B111" s="20" t="s">
        <v>423</v>
      </c>
      <c r="C111" s="20" t="s">
        <v>684</v>
      </c>
      <c r="D111" s="138">
        <v>1810000</v>
      </c>
      <c r="E111" s="20" t="s">
        <v>508</v>
      </c>
      <c r="F111" s="20" t="s">
        <v>361</v>
      </c>
      <c r="G111" s="8" t="str">
        <f t="shared" si="2"/>
        <v>NEWELL JAMES</v>
      </c>
      <c r="H111" s="20" t="str">
        <f t="shared" si="3"/>
        <v>4001</v>
      </c>
    </row>
    <row r="112" spans="1:8" x14ac:dyDescent="0.3">
      <c r="A112" s="8">
        <v>43026.464363425926</v>
      </c>
      <c r="B112" s="20" t="s">
        <v>431</v>
      </c>
      <c r="C112" s="20" t="s">
        <v>687</v>
      </c>
      <c r="D112" s="138">
        <v>3090000</v>
      </c>
      <c r="E112" s="20" t="s">
        <v>442</v>
      </c>
      <c r="F112" s="20" t="s">
        <v>443</v>
      </c>
      <c r="G112" s="8" t="str">
        <f t="shared" si="2"/>
        <v>LAMAR NEKESHA</v>
      </c>
      <c r="H112" s="20" t="str">
        <f t="shared" si="3"/>
        <v>4025</v>
      </c>
    </row>
    <row r="113" spans="1:8" x14ac:dyDescent="0.3">
      <c r="A113" s="8">
        <v>43026.464409722219</v>
      </c>
      <c r="B113" s="20" t="s">
        <v>423</v>
      </c>
      <c r="C113" s="20" t="s">
        <v>562</v>
      </c>
      <c r="D113" s="138">
        <v>1810000</v>
      </c>
      <c r="E113" s="20" t="s">
        <v>508</v>
      </c>
      <c r="F113" s="20" t="s">
        <v>361</v>
      </c>
      <c r="G113" s="8" t="str">
        <f t="shared" si="2"/>
        <v>NEWELL JAMES</v>
      </c>
      <c r="H113" s="20" t="str">
        <f t="shared" si="3"/>
        <v>4001</v>
      </c>
    </row>
    <row r="114" spans="1:8" x14ac:dyDescent="0.3">
      <c r="A114" s="8">
        <v>43026.466446759259</v>
      </c>
      <c r="B114" s="20" t="s">
        <v>379</v>
      </c>
      <c r="C114" s="20" t="s">
        <v>688</v>
      </c>
      <c r="D114" s="138">
        <v>1770000</v>
      </c>
      <c r="E114" s="20" t="s">
        <v>511</v>
      </c>
      <c r="F114" s="20" t="s">
        <v>512</v>
      </c>
      <c r="G114" s="8" t="str">
        <f t="shared" si="2"/>
        <v>BRUDER RICHARD</v>
      </c>
      <c r="H114" s="20" t="str">
        <f t="shared" si="3"/>
        <v>4040</v>
      </c>
    </row>
    <row r="115" spans="1:8" x14ac:dyDescent="0.3">
      <c r="A115" s="8">
        <v>43026.470335648148</v>
      </c>
      <c r="B115" s="20" t="s">
        <v>396</v>
      </c>
      <c r="C115" s="20" t="s">
        <v>558</v>
      </c>
      <c r="D115" s="138">
        <v>2470000</v>
      </c>
      <c r="E115" s="20" t="s">
        <v>504</v>
      </c>
      <c r="F115" s="20" t="s">
        <v>505</v>
      </c>
      <c r="G115" s="8" t="str">
        <f t="shared" si="2"/>
        <v>ROMERO CHAD</v>
      </c>
      <c r="H115" s="20" t="str">
        <f t="shared" si="3"/>
        <v>4066</v>
      </c>
    </row>
    <row r="116" spans="1:8" x14ac:dyDescent="0.3">
      <c r="A116" s="8">
        <v>43026.472500000003</v>
      </c>
      <c r="B116" s="20" t="s">
        <v>424</v>
      </c>
      <c r="C116" s="20" t="s">
        <v>689</v>
      </c>
      <c r="D116" s="138">
        <v>880000</v>
      </c>
      <c r="E116" s="20" t="s">
        <v>409</v>
      </c>
      <c r="F116" s="20" t="s">
        <v>391</v>
      </c>
      <c r="G116" s="8" t="str">
        <f t="shared" si="2"/>
        <v>STEWART MICHAEL</v>
      </c>
      <c r="H116" s="20" t="str">
        <f t="shared" si="3"/>
        <v>4002</v>
      </c>
    </row>
    <row r="117" spans="1:8" x14ac:dyDescent="0.3">
      <c r="A117" s="8">
        <v>43026.475925925923</v>
      </c>
      <c r="B117" s="20" t="s">
        <v>576</v>
      </c>
      <c r="C117" s="20" t="s">
        <v>690</v>
      </c>
      <c r="D117" s="138">
        <v>1100000</v>
      </c>
      <c r="E117" s="20" t="s">
        <v>625</v>
      </c>
      <c r="F117" s="20" t="s">
        <v>626</v>
      </c>
      <c r="G117" s="8" t="str">
        <f t="shared" si="2"/>
        <v>GEBRETEKLE DAGNEW</v>
      </c>
      <c r="H117" s="20" t="str">
        <f t="shared" si="3"/>
        <v>4017</v>
      </c>
    </row>
    <row r="118" spans="1:8" x14ac:dyDescent="0.3">
      <c r="A118" s="8">
        <v>43026.476122685184</v>
      </c>
      <c r="B118" s="20" t="s">
        <v>672</v>
      </c>
      <c r="C118" s="20" t="s">
        <v>691</v>
      </c>
      <c r="D118" s="138">
        <v>1830000</v>
      </c>
      <c r="E118" s="20" t="s">
        <v>373</v>
      </c>
      <c r="F118" s="20" t="s">
        <v>374</v>
      </c>
      <c r="G118" s="8" t="str">
        <f t="shared" si="2"/>
        <v>YORK EDGAR</v>
      </c>
      <c r="H118" s="20" t="str">
        <f t="shared" si="3"/>
        <v>4006</v>
      </c>
    </row>
    <row r="119" spans="1:8" x14ac:dyDescent="0.3">
      <c r="A119" s="8">
        <v>43026.479201388887</v>
      </c>
      <c r="B119" s="20" t="s">
        <v>565</v>
      </c>
      <c r="C119" s="20" t="s">
        <v>566</v>
      </c>
      <c r="D119" s="138">
        <v>2450000</v>
      </c>
      <c r="E119" s="20" t="s">
        <v>509</v>
      </c>
      <c r="F119" s="20" t="s">
        <v>510</v>
      </c>
      <c r="G119" s="8" t="str">
        <f t="shared" si="2"/>
        <v>NELSON ARIANE</v>
      </c>
      <c r="H119" s="20" t="str">
        <f t="shared" si="3"/>
        <v>4007</v>
      </c>
    </row>
    <row r="120" spans="1:8" x14ac:dyDescent="0.3">
      <c r="A120" s="8">
        <v>43026.484178240738</v>
      </c>
      <c r="B120" s="20" t="s">
        <v>461</v>
      </c>
      <c r="C120" s="20" t="s">
        <v>692</v>
      </c>
      <c r="D120" s="138">
        <v>1780000</v>
      </c>
      <c r="E120" s="20" t="s">
        <v>506</v>
      </c>
      <c r="F120" s="20" t="s">
        <v>507</v>
      </c>
      <c r="G120" s="8" t="str">
        <f t="shared" si="2"/>
        <v>DE LA ROSA ALEX</v>
      </c>
      <c r="H120" s="20" t="str">
        <f t="shared" si="3"/>
        <v>4019</v>
      </c>
    </row>
    <row r="121" spans="1:8" x14ac:dyDescent="0.3">
      <c r="A121" s="8">
        <v>43026.486250000002</v>
      </c>
      <c r="B121" s="20" t="s">
        <v>381</v>
      </c>
      <c r="C121" s="20" t="s">
        <v>693</v>
      </c>
      <c r="D121" s="138">
        <v>2970000</v>
      </c>
      <c r="E121" s="20" t="s">
        <v>446</v>
      </c>
      <c r="F121" s="20" t="s">
        <v>447</v>
      </c>
      <c r="G121" s="8" t="str">
        <f t="shared" si="2"/>
        <v>GUZMAN DANNY</v>
      </c>
      <c r="H121" s="20" t="str">
        <f t="shared" si="3"/>
        <v>4064</v>
      </c>
    </row>
    <row r="122" spans="1:8" x14ac:dyDescent="0.3">
      <c r="A122" s="8">
        <v>43026.488518518519</v>
      </c>
      <c r="B122" s="25" t="s">
        <v>397</v>
      </c>
      <c r="C122" s="20" t="s">
        <v>545</v>
      </c>
      <c r="D122" s="138">
        <v>2470000</v>
      </c>
      <c r="E122" s="20" t="s">
        <v>504</v>
      </c>
      <c r="F122" s="20" t="s">
        <v>505</v>
      </c>
      <c r="G122" s="8" t="str">
        <f t="shared" si="2"/>
        <v>ROMERO CHAD</v>
      </c>
      <c r="H122" s="20" t="str">
        <f t="shared" si="3"/>
        <v>4065</v>
      </c>
    </row>
    <row r="123" spans="1:8" x14ac:dyDescent="0.3">
      <c r="A123" s="8">
        <v>43026.495810185188</v>
      </c>
      <c r="B123" s="20" t="s">
        <v>432</v>
      </c>
      <c r="C123" s="20" t="s">
        <v>694</v>
      </c>
      <c r="D123" s="138">
        <v>1300000</v>
      </c>
      <c r="E123" s="20" t="s">
        <v>473</v>
      </c>
      <c r="F123" s="20" t="s">
        <v>474</v>
      </c>
      <c r="G123" s="8" t="str">
        <f t="shared" si="2"/>
        <v>LEVIN SCOTT</v>
      </c>
      <c r="H123" s="20" t="str">
        <f t="shared" si="3"/>
        <v>4026</v>
      </c>
    </row>
    <row r="124" spans="1:8" x14ac:dyDescent="0.3">
      <c r="A124" s="8">
        <v>43026.497430555559</v>
      </c>
      <c r="B124" s="20" t="s">
        <v>389</v>
      </c>
      <c r="C124" s="20" t="s">
        <v>695</v>
      </c>
      <c r="D124" s="138">
        <v>3000000</v>
      </c>
      <c r="E124" s="20" t="s">
        <v>619</v>
      </c>
      <c r="F124" s="20" t="s">
        <v>620</v>
      </c>
      <c r="G124" s="8" t="str">
        <f t="shared" si="2"/>
        <v>FORTUNATO FRANK</v>
      </c>
      <c r="H124" s="20" t="str">
        <f t="shared" si="3"/>
        <v>4061</v>
      </c>
    </row>
    <row r="125" spans="1:8" x14ac:dyDescent="0.3">
      <c r="A125" s="8">
        <v>43026.498483796298</v>
      </c>
      <c r="B125" s="20" t="s">
        <v>549</v>
      </c>
      <c r="C125" s="20" t="s">
        <v>696</v>
      </c>
      <c r="D125" s="138">
        <v>1100000</v>
      </c>
      <c r="E125" s="20" t="s">
        <v>625</v>
      </c>
      <c r="F125" s="20" t="s">
        <v>626</v>
      </c>
      <c r="G125" s="8" t="str">
        <f t="shared" si="2"/>
        <v>GEBRETEKLE DAGNEW</v>
      </c>
      <c r="H125" s="20" t="str">
        <f t="shared" si="3"/>
        <v>4018</v>
      </c>
    </row>
    <row r="126" spans="1:8" x14ac:dyDescent="0.3">
      <c r="A126" s="8">
        <v>43026.502534722225</v>
      </c>
      <c r="B126" s="20" t="s">
        <v>448</v>
      </c>
      <c r="C126" s="20" t="s">
        <v>697</v>
      </c>
      <c r="D126" s="138">
        <v>3090000</v>
      </c>
      <c r="E126" s="20" t="s">
        <v>442</v>
      </c>
      <c r="F126" s="20" t="s">
        <v>443</v>
      </c>
      <c r="G126" s="8" t="str">
        <f t="shared" si="2"/>
        <v>LAMAR NEKESHA</v>
      </c>
      <c r="H126" s="20" t="str">
        <f t="shared" si="3"/>
        <v>4008</v>
      </c>
    </row>
    <row r="127" spans="1:8" x14ac:dyDescent="0.3">
      <c r="A127" s="8">
        <v>43026.504942129628</v>
      </c>
      <c r="B127" s="20" t="s">
        <v>396</v>
      </c>
      <c r="C127" s="20" t="s">
        <v>567</v>
      </c>
      <c r="D127" s="138">
        <v>2270000</v>
      </c>
      <c r="E127" s="20" t="s">
        <v>676</v>
      </c>
      <c r="F127" s="20" t="s">
        <v>677</v>
      </c>
      <c r="G127" s="8" t="str">
        <f t="shared" si="2"/>
        <v>BROWN JACOB</v>
      </c>
      <c r="H127" s="20" t="str">
        <f t="shared" si="3"/>
        <v>4066</v>
      </c>
    </row>
    <row r="128" spans="1:8" x14ac:dyDescent="0.3">
      <c r="A128" s="8">
        <v>43026.505358796298</v>
      </c>
      <c r="B128" s="20" t="s">
        <v>580</v>
      </c>
      <c r="C128" s="20" t="s">
        <v>698</v>
      </c>
      <c r="D128" s="138">
        <v>2350000</v>
      </c>
      <c r="E128" s="20" t="s">
        <v>699</v>
      </c>
      <c r="F128" s="20" t="s">
        <v>700</v>
      </c>
      <c r="G128" s="8" t="str">
        <f t="shared" si="2"/>
        <v>BERLING GARY</v>
      </c>
      <c r="H128" s="20" t="str">
        <f t="shared" si="3"/>
        <v>4056</v>
      </c>
    </row>
    <row r="129" spans="1:8" x14ac:dyDescent="0.3">
      <c r="A129" s="8">
        <v>43026.505497685182</v>
      </c>
      <c r="B129" s="20" t="s">
        <v>599</v>
      </c>
      <c r="C129" s="20" t="s">
        <v>701</v>
      </c>
      <c r="D129" s="138">
        <v>1770000</v>
      </c>
      <c r="E129" s="20" t="s">
        <v>511</v>
      </c>
      <c r="F129" s="20" t="s">
        <v>512</v>
      </c>
      <c r="G129" s="8" t="str">
        <f t="shared" si="2"/>
        <v>BRUDER RICHARD</v>
      </c>
      <c r="H129" s="20" t="str">
        <f t="shared" si="3"/>
        <v>4039</v>
      </c>
    </row>
    <row r="130" spans="1:8" x14ac:dyDescent="0.3">
      <c r="A130" s="8">
        <v>43026.514444444445</v>
      </c>
      <c r="B130" s="20" t="s">
        <v>423</v>
      </c>
      <c r="C130" s="20" t="s">
        <v>568</v>
      </c>
      <c r="D130" s="138">
        <v>880000</v>
      </c>
      <c r="E130" s="20" t="s">
        <v>409</v>
      </c>
      <c r="F130" s="20" t="s">
        <v>391</v>
      </c>
      <c r="G130" s="8" t="str">
        <f t="shared" si="2"/>
        <v>STEWART MICHAEL</v>
      </c>
      <c r="H130" s="20" t="str">
        <f t="shared" si="3"/>
        <v>4001</v>
      </c>
    </row>
    <row r="131" spans="1:8" x14ac:dyDescent="0.3">
      <c r="A131" s="8">
        <v>43026.515497685185</v>
      </c>
      <c r="B131" s="20" t="s">
        <v>460</v>
      </c>
      <c r="C131" s="20" t="s">
        <v>702</v>
      </c>
      <c r="D131" s="138">
        <v>1810000</v>
      </c>
      <c r="E131" s="20" t="s">
        <v>508</v>
      </c>
      <c r="F131" s="20" t="s">
        <v>361</v>
      </c>
      <c r="G131" s="8" t="str">
        <f t="shared" ref="G131:G194" si="4">E131&amp;" "&amp;F131</f>
        <v>NEWELL JAMES</v>
      </c>
      <c r="H131" s="20" t="str">
        <f t="shared" ref="H131:H194" si="5">MID(B131,13,4)</f>
        <v>4020</v>
      </c>
    </row>
    <row r="132" spans="1:8" x14ac:dyDescent="0.3">
      <c r="A132" s="8">
        <v>43026.517523148148</v>
      </c>
      <c r="B132" s="20" t="s">
        <v>576</v>
      </c>
      <c r="C132" s="20" t="s">
        <v>703</v>
      </c>
      <c r="D132" s="138">
        <v>1100000</v>
      </c>
      <c r="E132" s="20" t="s">
        <v>625</v>
      </c>
      <c r="F132" s="20" t="s">
        <v>626</v>
      </c>
      <c r="G132" s="8" t="str">
        <f t="shared" si="4"/>
        <v>GEBRETEKLE DAGNEW</v>
      </c>
      <c r="H132" s="20" t="str">
        <f t="shared" si="5"/>
        <v>4017</v>
      </c>
    </row>
    <row r="133" spans="1:8" x14ac:dyDescent="0.3">
      <c r="A133" s="8">
        <v>43026.517789351848</v>
      </c>
      <c r="B133" s="20" t="s">
        <v>380</v>
      </c>
      <c r="C133" s="20" t="s">
        <v>704</v>
      </c>
      <c r="D133" s="138">
        <v>2970000</v>
      </c>
      <c r="E133" s="20" t="s">
        <v>446</v>
      </c>
      <c r="F133" s="20" t="s">
        <v>447</v>
      </c>
      <c r="G133" s="8" t="str">
        <f t="shared" si="4"/>
        <v>GUZMAN DANNY</v>
      </c>
      <c r="H133" s="20" t="str">
        <f t="shared" si="5"/>
        <v>4063</v>
      </c>
    </row>
    <row r="134" spans="1:8" x14ac:dyDescent="0.3">
      <c r="A134" s="8">
        <v>43026.526053240741</v>
      </c>
      <c r="B134" s="20" t="s">
        <v>397</v>
      </c>
      <c r="C134" s="20" t="s">
        <v>567</v>
      </c>
      <c r="D134" s="138">
        <v>2270000</v>
      </c>
      <c r="E134" s="20" t="s">
        <v>676</v>
      </c>
      <c r="F134" s="20" t="s">
        <v>677</v>
      </c>
      <c r="G134" s="8" t="str">
        <f t="shared" si="4"/>
        <v>BROWN JACOB</v>
      </c>
      <c r="H134" s="20" t="str">
        <f t="shared" si="5"/>
        <v>4065</v>
      </c>
    </row>
    <row r="135" spans="1:8" x14ac:dyDescent="0.3">
      <c r="A135" s="8">
        <v>43026.52716435185</v>
      </c>
      <c r="B135" s="20" t="s">
        <v>397</v>
      </c>
      <c r="C135" s="20" t="s">
        <v>684</v>
      </c>
      <c r="D135" s="138">
        <v>2270000</v>
      </c>
      <c r="E135" s="20" t="s">
        <v>676</v>
      </c>
      <c r="F135" s="20" t="s">
        <v>677</v>
      </c>
      <c r="G135" s="8" t="str">
        <f t="shared" si="4"/>
        <v>BROWN JACOB</v>
      </c>
      <c r="H135" s="20" t="str">
        <f t="shared" si="5"/>
        <v>4065</v>
      </c>
    </row>
    <row r="136" spans="1:8" x14ac:dyDescent="0.3">
      <c r="A136" s="8">
        <v>43026.529178240744</v>
      </c>
      <c r="B136" s="20" t="s">
        <v>563</v>
      </c>
      <c r="C136" s="20" t="s">
        <v>705</v>
      </c>
      <c r="D136" s="138">
        <v>2420000</v>
      </c>
      <c r="E136" s="20" t="s">
        <v>706</v>
      </c>
      <c r="F136" s="20" t="s">
        <v>707</v>
      </c>
      <c r="G136" s="8" t="str">
        <f t="shared" si="4"/>
        <v>HOLCOMB KAMDEN</v>
      </c>
      <c r="H136" s="20" t="str">
        <f t="shared" si="5"/>
        <v>4062</v>
      </c>
    </row>
    <row r="137" spans="1:8" x14ac:dyDescent="0.3">
      <c r="A137" s="8">
        <v>43026.529513888891</v>
      </c>
      <c r="B137" s="20" t="s">
        <v>605</v>
      </c>
      <c r="C137" s="20" t="s">
        <v>708</v>
      </c>
      <c r="D137" s="138">
        <v>2040000</v>
      </c>
      <c r="E137" s="20" t="s">
        <v>515</v>
      </c>
      <c r="F137" s="20" t="s">
        <v>516</v>
      </c>
      <c r="G137" s="8" t="str">
        <f t="shared" si="4"/>
        <v>MOSES BRADLEY</v>
      </c>
      <c r="H137" s="20" t="str">
        <f t="shared" si="5"/>
        <v>4044</v>
      </c>
    </row>
    <row r="138" spans="1:8" x14ac:dyDescent="0.3">
      <c r="A138" s="8">
        <v>43026.534305555557</v>
      </c>
      <c r="B138" s="20" t="s">
        <v>431</v>
      </c>
      <c r="C138" s="20" t="s">
        <v>709</v>
      </c>
      <c r="D138" s="138">
        <v>1300000</v>
      </c>
      <c r="E138" s="20" t="s">
        <v>473</v>
      </c>
      <c r="F138" s="20" t="s">
        <v>474</v>
      </c>
      <c r="G138" s="8" t="str">
        <f t="shared" si="4"/>
        <v>LEVIN SCOTT</v>
      </c>
      <c r="H138" s="20" t="str">
        <f t="shared" si="5"/>
        <v>4025</v>
      </c>
    </row>
    <row r="139" spans="1:8" x14ac:dyDescent="0.3">
      <c r="A139" s="8">
        <v>43026.537037037036</v>
      </c>
      <c r="B139" s="20" t="s">
        <v>379</v>
      </c>
      <c r="C139" s="20" t="s">
        <v>710</v>
      </c>
      <c r="D139" s="138">
        <v>1770000</v>
      </c>
      <c r="E139" s="20" t="s">
        <v>511</v>
      </c>
      <c r="F139" s="20" t="s">
        <v>512</v>
      </c>
      <c r="G139" s="8" t="str">
        <f t="shared" si="4"/>
        <v>BRUDER RICHARD</v>
      </c>
      <c r="H139" s="20" t="str">
        <f t="shared" si="5"/>
        <v>4040</v>
      </c>
    </row>
    <row r="140" spans="1:8" x14ac:dyDescent="0.3">
      <c r="A140" s="8">
        <v>43026.544108796297</v>
      </c>
      <c r="B140" s="20" t="s">
        <v>549</v>
      </c>
      <c r="C140" s="20" t="s">
        <v>569</v>
      </c>
      <c r="D140" s="138">
        <v>1180000</v>
      </c>
      <c r="E140" s="20" t="s">
        <v>471</v>
      </c>
      <c r="F140" s="20" t="s">
        <v>472</v>
      </c>
      <c r="G140" s="8" t="str">
        <f t="shared" si="4"/>
        <v>LEVERE CRAIG</v>
      </c>
      <c r="H140" s="20" t="str">
        <f t="shared" si="5"/>
        <v>4018</v>
      </c>
    </row>
    <row r="141" spans="1:8" x14ac:dyDescent="0.3">
      <c r="A141" s="8">
        <v>43026.547407407408</v>
      </c>
      <c r="B141" s="20" t="s">
        <v>390</v>
      </c>
      <c r="C141" s="20" t="s">
        <v>711</v>
      </c>
      <c r="D141" s="138">
        <v>2350000</v>
      </c>
      <c r="E141" s="20" t="s">
        <v>699</v>
      </c>
      <c r="F141" s="20" t="s">
        <v>700</v>
      </c>
      <c r="G141" s="8" t="str">
        <f t="shared" si="4"/>
        <v>BERLING GARY</v>
      </c>
      <c r="H141" s="20" t="str">
        <f t="shared" si="5"/>
        <v>4055</v>
      </c>
    </row>
    <row r="142" spans="1:8" x14ac:dyDescent="0.3">
      <c r="A142" s="8">
        <v>43026.547615740739</v>
      </c>
      <c r="B142" s="20" t="s">
        <v>461</v>
      </c>
      <c r="C142" s="20" t="s">
        <v>570</v>
      </c>
      <c r="D142" s="138">
        <v>1810000</v>
      </c>
      <c r="E142" s="20" t="s">
        <v>508</v>
      </c>
      <c r="F142" s="20" t="s">
        <v>361</v>
      </c>
      <c r="G142" s="8" t="str">
        <f t="shared" si="4"/>
        <v>NEWELL JAMES</v>
      </c>
      <c r="H142" s="20" t="str">
        <f t="shared" si="5"/>
        <v>4019</v>
      </c>
    </row>
    <row r="143" spans="1:8" x14ac:dyDescent="0.3">
      <c r="A143" s="8">
        <v>43026.550138888888</v>
      </c>
      <c r="B143" s="20" t="s">
        <v>424</v>
      </c>
      <c r="C143" s="20" t="s">
        <v>712</v>
      </c>
      <c r="D143" s="138">
        <v>880000</v>
      </c>
      <c r="E143" s="20" t="s">
        <v>409</v>
      </c>
      <c r="F143" s="20" t="s">
        <v>391</v>
      </c>
      <c r="G143" s="8" t="str">
        <f t="shared" si="4"/>
        <v>STEWART MICHAEL</v>
      </c>
      <c r="H143" s="20" t="str">
        <f t="shared" si="5"/>
        <v>4002</v>
      </c>
    </row>
    <row r="144" spans="1:8" x14ac:dyDescent="0.3">
      <c r="A144" s="8">
        <v>43026.550219907411</v>
      </c>
      <c r="B144" s="20" t="s">
        <v>462</v>
      </c>
      <c r="C144" s="20" t="s">
        <v>713</v>
      </c>
      <c r="D144" s="138">
        <v>2040000</v>
      </c>
      <c r="E144" s="20" t="s">
        <v>515</v>
      </c>
      <c r="F144" s="20" t="s">
        <v>516</v>
      </c>
      <c r="G144" s="8" t="str">
        <f t="shared" si="4"/>
        <v>MOSES BRADLEY</v>
      </c>
      <c r="H144" s="20" t="str">
        <f t="shared" si="5"/>
        <v>4059</v>
      </c>
    </row>
    <row r="145" spans="1:8" x14ac:dyDescent="0.3">
      <c r="A145" s="8">
        <v>43026.553587962961</v>
      </c>
      <c r="B145" s="20" t="s">
        <v>549</v>
      </c>
      <c r="C145" s="20" t="s">
        <v>569</v>
      </c>
      <c r="D145" s="138">
        <v>1180000</v>
      </c>
      <c r="E145" s="20" t="s">
        <v>471</v>
      </c>
      <c r="F145" s="20" t="s">
        <v>472</v>
      </c>
      <c r="G145" s="8" t="str">
        <f t="shared" si="4"/>
        <v>LEVERE CRAIG</v>
      </c>
      <c r="H145" s="20" t="str">
        <f t="shared" si="5"/>
        <v>4018</v>
      </c>
    </row>
    <row r="146" spans="1:8" x14ac:dyDescent="0.3">
      <c r="A146" s="8">
        <v>43026.558472222219</v>
      </c>
      <c r="B146" s="20" t="s">
        <v>381</v>
      </c>
      <c r="C146" s="20" t="s">
        <v>714</v>
      </c>
      <c r="D146" s="138">
        <v>2970000</v>
      </c>
      <c r="E146" s="20" t="s">
        <v>446</v>
      </c>
      <c r="F146" s="20" t="s">
        <v>447</v>
      </c>
      <c r="G146" s="8" t="str">
        <f t="shared" si="4"/>
        <v>GUZMAN DANNY</v>
      </c>
      <c r="H146" s="20" t="str">
        <f t="shared" si="5"/>
        <v>4064</v>
      </c>
    </row>
    <row r="147" spans="1:8" x14ac:dyDescent="0.3">
      <c r="A147" s="8">
        <v>43026.562673611108</v>
      </c>
      <c r="B147" s="20" t="s">
        <v>396</v>
      </c>
      <c r="C147" s="20" t="s">
        <v>582</v>
      </c>
      <c r="D147" s="138">
        <v>2140000</v>
      </c>
      <c r="E147" s="20" t="s">
        <v>513</v>
      </c>
      <c r="F147" s="20" t="s">
        <v>514</v>
      </c>
      <c r="G147" s="8" t="str">
        <f t="shared" si="4"/>
        <v>ROBINSON KADDIBA</v>
      </c>
      <c r="H147" s="20" t="str">
        <f t="shared" si="5"/>
        <v>4066</v>
      </c>
    </row>
    <row r="148" spans="1:8" x14ac:dyDescent="0.3">
      <c r="A148" s="8">
        <v>43026.565787037034</v>
      </c>
      <c r="B148" s="20" t="s">
        <v>576</v>
      </c>
      <c r="C148" s="20" t="s">
        <v>715</v>
      </c>
      <c r="D148" s="138">
        <v>1180000</v>
      </c>
      <c r="E148" s="20" t="s">
        <v>471</v>
      </c>
      <c r="F148" s="20" t="s">
        <v>472</v>
      </c>
      <c r="G148" s="8" t="str">
        <f t="shared" si="4"/>
        <v>LEVERE CRAIG</v>
      </c>
      <c r="H148" s="20" t="str">
        <f t="shared" si="5"/>
        <v>4017</v>
      </c>
    </row>
    <row r="149" spans="1:8" x14ac:dyDescent="0.3">
      <c r="A149" s="8">
        <v>43026.568032407406</v>
      </c>
      <c r="B149" s="20" t="s">
        <v>576</v>
      </c>
      <c r="C149" s="20" t="s">
        <v>715</v>
      </c>
      <c r="D149" s="138">
        <v>1180000</v>
      </c>
      <c r="E149" s="20" t="s">
        <v>471</v>
      </c>
      <c r="F149" s="20" t="s">
        <v>472</v>
      </c>
      <c r="G149" s="8" t="str">
        <f t="shared" si="4"/>
        <v>LEVERE CRAIG</v>
      </c>
      <c r="H149" s="20" t="str">
        <f t="shared" si="5"/>
        <v>4017</v>
      </c>
    </row>
    <row r="150" spans="1:8" x14ac:dyDescent="0.3">
      <c r="A150" s="8">
        <v>43026.569409722222</v>
      </c>
      <c r="B150" s="20" t="s">
        <v>389</v>
      </c>
      <c r="C150" s="20" t="s">
        <v>716</v>
      </c>
      <c r="D150" s="138">
        <v>2420000</v>
      </c>
      <c r="E150" s="20" t="s">
        <v>706</v>
      </c>
      <c r="F150" s="20" t="s">
        <v>707</v>
      </c>
      <c r="G150" s="8" t="str">
        <f t="shared" si="4"/>
        <v>HOLCOMB KAMDEN</v>
      </c>
      <c r="H150" s="20" t="str">
        <f t="shared" si="5"/>
        <v>4061</v>
      </c>
    </row>
    <row r="151" spans="1:8" x14ac:dyDescent="0.3">
      <c r="A151" s="8">
        <v>43026.569699074076</v>
      </c>
      <c r="B151" s="20" t="s">
        <v>432</v>
      </c>
      <c r="C151" s="20" t="s">
        <v>574</v>
      </c>
      <c r="D151" s="138">
        <v>2040000</v>
      </c>
      <c r="E151" s="20" t="s">
        <v>515</v>
      </c>
      <c r="F151" s="20" t="s">
        <v>516</v>
      </c>
      <c r="G151" s="8" t="str">
        <f t="shared" si="4"/>
        <v>MOSES BRADLEY</v>
      </c>
      <c r="H151" s="20" t="str">
        <f t="shared" si="5"/>
        <v>4026</v>
      </c>
    </row>
    <row r="152" spans="1:8" x14ac:dyDescent="0.3">
      <c r="A152" s="8">
        <v>43026.570289351854</v>
      </c>
      <c r="B152" s="20" t="s">
        <v>389</v>
      </c>
      <c r="C152" s="20" t="s">
        <v>716</v>
      </c>
      <c r="D152" s="138">
        <v>2420000</v>
      </c>
      <c r="E152" s="20" t="s">
        <v>706</v>
      </c>
      <c r="F152" s="20" t="s">
        <v>707</v>
      </c>
      <c r="G152" s="8" t="str">
        <f t="shared" si="4"/>
        <v>HOLCOMB KAMDEN</v>
      </c>
      <c r="H152" s="20" t="str">
        <f t="shared" si="5"/>
        <v>4061</v>
      </c>
    </row>
    <row r="153" spans="1:8" x14ac:dyDescent="0.3">
      <c r="A153" s="8">
        <v>43026.570856481485</v>
      </c>
      <c r="B153" s="20" t="s">
        <v>389</v>
      </c>
      <c r="C153" s="20" t="s">
        <v>716</v>
      </c>
      <c r="D153" s="138">
        <v>2420000</v>
      </c>
      <c r="E153" s="20" t="s">
        <v>706</v>
      </c>
      <c r="F153" s="20" t="s">
        <v>707</v>
      </c>
      <c r="G153" s="8" t="str">
        <f t="shared" si="4"/>
        <v>HOLCOMB KAMDEN</v>
      </c>
      <c r="H153" s="20" t="str">
        <f t="shared" si="5"/>
        <v>4061</v>
      </c>
    </row>
    <row r="154" spans="1:8" x14ac:dyDescent="0.3">
      <c r="A154" s="8">
        <v>43026.571296296293</v>
      </c>
      <c r="B154" s="20" t="s">
        <v>432</v>
      </c>
      <c r="C154" s="20" t="s">
        <v>574</v>
      </c>
      <c r="D154" s="138">
        <v>2040000</v>
      </c>
      <c r="E154" s="20" t="s">
        <v>515</v>
      </c>
      <c r="F154" s="20" t="s">
        <v>516</v>
      </c>
      <c r="G154" s="8" t="str">
        <f t="shared" si="4"/>
        <v>MOSES BRADLEY</v>
      </c>
      <c r="H154" s="20" t="str">
        <f t="shared" si="5"/>
        <v>4026</v>
      </c>
    </row>
    <row r="155" spans="1:8" x14ac:dyDescent="0.3">
      <c r="A155" s="8">
        <v>43026.579444444447</v>
      </c>
      <c r="B155" s="20" t="s">
        <v>599</v>
      </c>
      <c r="C155" s="20" t="s">
        <v>717</v>
      </c>
      <c r="D155" s="138">
        <v>1770000</v>
      </c>
      <c r="E155" s="20" t="s">
        <v>511</v>
      </c>
      <c r="F155" s="20" t="s">
        <v>512</v>
      </c>
      <c r="G155" s="8" t="str">
        <f t="shared" si="4"/>
        <v>BRUDER RICHARD</v>
      </c>
      <c r="H155" s="20" t="str">
        <f t="shared" si="5"/>
        <v>4039</v>
      </c>
    </row>
    <row r="156" spans="1:8" x14ac:dyDescent="0.3">
      <c r="A156" s="8">
        <v>43026.580995370372</v>
      </c>
      <c r="B156" s="20" t="s">
        <v>580</v>
      </c>
      <c r="C156" s="20" t="s">
        <v>718</v>
      </c>
      <c r="D156" s="138">
        <v>2350000</v>
      </c>
      <c r="E156" s="20" t="s">
        <v>699</v>
      </c>
      <c r="F156" s="20" t="s">
        <v>700</v>
      </c>
      <c r="G156" s="8" t="str">
        <f t="shared" si="4"/>
        <v>BERLING GARY</v>
      </c>
      <c r="H156" s="20" t="str">
        <f t="shared" si="5"/>
        <v>4056</v>
      </c>
    </row>
    <row r="157" spans="1:8" x14ac:dyDescent="0.3">
      <c r="A157" s="8">
        <v>43026.583703703705</v>
      </c>
      <c r="B157" s="20" t="s">
        <v>397</v>
      </c>
      <c r="C157" s="20" t="s">
        <v>571</v>
      </c>
      <c r="D157" s="138">
        <v>2140000</v>
      </c>
      <c r="E157" s="20" t="s">
        <v>513</v>
      </c>
      <c r="F157" s="20" t="s">
        <v>514</v>
      </c>
      <c r="G157" s="8" t="str">
        <f t="shared" si="4"/>
        <v>ROBINSON KADDIBA</v>
      </c>
      <c r="H157" s="20" t="str">
        <f t="shared" si="5"/>
        <v>4065</v>
      </c>
    </row>
    <row r="158" spans="1:8" x14ac:dyDescent="0.3">
      <c r="A158" s="8">
        <v>43026.586331018516</v>
      </c>
      <c r="B158" s="20" t="s">
        <v>549</v>
      </c>
      <c r="C158" s="20" t="s">
        <v>719</v>
      </c>
      <c r="D158" s="138">
        <v>1180000</v>
      </c>
      <c r="E158" s="20" t="s">
        <v>471</v>
      </c>
      <c r="F158" s="20" t="s">
        <v>472</v>
      </c>
      <c r="G158" s="8" t="str">
        <f t="shared" si="4"/>
        <v>LEVERE CRAIG</v>
      </c>
      <c r="H158" s="20" t="str">
        <f t="shared" si="5"/>
        <v>4018</v>
      </c>
    </row>
    <row r="159" spans="1:8" x14ac:dyDescent="0.3">
      <c r="A159" s="8">
        <v>43026.587997685187</v>
      </c>
      <c r="B159" s="20" t="s">
        <v>460</v>
      </c>
      <c r="C159" s="20" t="s">
        <v>720</v>
      </c>
      <c r="D159" s="138">
        <v>2370000</v>
      </c>
      <c r="E159" s="20" t="s">
        <v>721</v>
      </c>
      <c r="F159" s="20" t="s">
        <v>722</v>
      </c>
      <c r="G159" s="8" t="str">
        <f t="shared" si="4"/>
        <v>DELGADO DIANAH</v>
      </c>
      <c r="H159" s="20" t="str">
        <f t="shared" si="5"/>
        <v>4020</v>
      </c>
    </row>
    <row r="160" spans="1:8" x14ac:dyDescent="0.3">
      <c r="A160" s="8">
        <v>43026.588113425925</v>
      </c>
      <c r="B160" s="20" t="s">
        <v>397</v>
      </c>
      <c r="C160" s="20" t="s">
        <v>571</v>
      </c>
      <c r="D160" s="138">
        <v>2140000</v>
      </c>
      <c r="E160" s="20" t="s">
        <v>513</v>
      </c>
      <c r="F160" s="20" t="s">
        <v>514</v>
      </c>
      <c r="G160" s="8" t="str">
        <f t="shared" si="4"/>
        <v>ROBINSON KADDIBA</v>
      </c>
      <c r="H160" s="20" t="str">
        <f t="shared" si="5"/>
        <v>4065</v>
      </c>
    </row>
    <row r="161" spans="1:8" x14ac:dyDescent="0.3">
      <c r="A161" s="8">
        <v>43026.588460648149</v>
      </c>
      <c r="B161" s="20" t="s">
        <v>423</v>
      </c>
      <c r="C161" s="20" t="s">
        <v>723</v>
      </c>
      <c r="D161" s="138">
        <v>880000</v>
      </c>
      <c r="E161" s="20" t="s">
        <v>409</v>
      </c>
      <c r="F161" s="20" t="s">
        <v>391</v>
      </c>
      <c r="G161" s="8" t="str">
        <f t="shared" si="4"/>
        <v>STEWART MICHAEL</v>
      </c>
      <c r="H161" s="20" t="str">
        <f t="shared" si="5"/>
        <v>4001</v>
      </c>
    </row>
    <row r="162" spans="1:8" x14ac:dyDescent="0.3">
      <c r="A162" s="8">
        <v>43026.588506944441</v>
      </c>
      <c r="B162" s="20" t="s">
        <v>380</v>
      </c>
      <c r="C162" s="20" t="s">
        <v>724</v>
      </c>
      <c r="D162" s="138">
        <v>2970000</v>
      </c>
      <c r="E162" s="20" t="s">
        <v>446</v>
      </c>
      <c r="F162" s="20" t="s">
        <v>447</v>
      </c>
      <c r="G162" s="8" t="str">
        <f t="shared" si="4"/>
        <v>GUZMAN DANNY</v>
      </c>
      <c r="H162" s="20" t="str">
        <f t="shared" si="5"/>
        <v>4063</v>
      </c>
    </row>
    <row r="163" spans="1:8" x14ac:dyDescent="0.3">
      <c r="A163" s="8">
        <v>43026.600416666668</v>
      </c>
      <c r="B163" s="20" t="s">
        <v>563</v>
      </c>
      <c r="C163" s="20" t="s">
        <v>575</v>
      </c>
      <c r="D163" s="138">
        <v>2420000</v>
      </c>
      <c r="E163" s="20" t="s">
        <v>706</v>
      </c>
      <c r="F163" s="20" t="s">
        <v>707</v>
      </c>
      <c r="G163" s="8" t="str">
        <f t="shared" si="4"/>
        <v>HOLCOMB KAMDEN</v>
      </c>
      <c r="H163" s="20" t="str">
        <f t="shared" si="5"/>
        <v>4062</v>
      </c>
    </row>
    <row r="164" spans="1:8" x14ac:dyDescent="0.3">
      <c r="A164" s="8">
        <v>43026.602025462962</v>
      </c>
      <c r="B164" s="20" t="s">
        <v>576</v>
      </c>
      <c r="C164" s="20" t="s">
        <v>577</v>
      </c>
      <c r="D164" s="138">
        <v>1180000</v>
      </c>
      <c r="E164" s="20" t="s">
        <v>471</v>
      </c>
      <c r="F164" s="20" t="s">
        <v>472</v>
      </c>
      <c r="G164" s="8" t="str">
        <f t="shared" si="4"/>
        <v>LEVERE CRAIG</v>
      </c>
      <c r="H164" s="20" t="str">
        <f t="shared" si="5"/>
        <v>4017</v>
      </c>
    </row>
    <row r="165" spans="1:8" x14ac:dyDescent="0.3">
      <c r="A165" s="8">
        <v>43026.609965277778</v>
      </c>
      <c r="B165" s="20" t="s">
        <v>379</v>
      </c>
      <c r="C165" s="20" t="s">
        <v>725</v>
      </c>
      <c r="D165" s="138">
        <v>1770000</v>
      </c>
      <c r="E165" s="20" t="s">
        <v>511</v>
      </c>
      <c r="F165" s="20" t="s">
        <v>512</v>
      </c>
      <c r="G165" s="8" t="str">
        <f t="shared" si="4"/>
        <v>BRUDER RICHARD</v>
      </c>
      <c r="H165" s="20" t="str">
        <f t="shared" si="5"/>
        <v>4040</v>
      </c>
    </row>
    <row r="166" spans="1:8" x14ac:dyDescent="0.3">
      <c r="A166" s="8">
        <v>43026.610671296294</v>
      </c>
      <c r="B166" s="20" t="s">
        <v>431</v>
      </c>
      <c r="C166" s="20" t="s">
        <v>726</v>
      </c>
      <c r="D166" s="138">
        <v>2040000</v>
      </c>
      <c r="E166" s="20" t="s">
        <v>515</v>
      </c>
      <c r="F166" s="20" t="s">
        <v>516</v>
      </c>
      <c r="G166" s="8" t="str">
        <f t="shared" si="4"/>
        <v>MOSES BRADLEY</v>
      </c>
      <c r="H166" s="20" t="str">
        <f t="shared" si="5"/>
        <v>4025</v>
      </c>
    </row>
    <row r="167" spans="1:8" x14ac:dyDescent="0.3">
      <c r="A167" s="8">
        <v>43026.612037037034</v>
      </c>
      <c r="B167" s="20" t="s">
        <v>396</v>
      </c>
      <c r="C167" s="20" t="s">
        <v>578</v>
      </c>
      <c r="D167" s="138">
        <v>2610000</v>
      </c>
      <c r="E167" s="20" t="s">
        <v>727</v>
      </c>
      <c r="F167" s="20" t="s">
        <v>728</v>
      </c>
      <c r="G167" s="8" t="str">
        <f t="shared" si="4"/>
        <v>MAGEE KENYA</v>
      </c>
      <c r="H167" s="20" t="str">
        <f t="shared" si="5"/>
        <v>4066</v>
      </c>
    </row>
    <row r="168" spans="1:8" x14ac:dyDescent="0.3">
      <c r="A168" s="8">
        <v>43026.613298611112</v>
      </c>
      <c r="B168" s="20" t="s">
        <v>396</v>
      </c>
      <c r="C168" s="20" t="s">
        <v>578</v>
      </c>
      <c r="D168" s="138">
        <v>2610000</v>
      </c>
      <c r="E168" s="20" t="s">
        <v>727</v>
      </c>
      <c r="F168" s="20" t="s">
        <v>728</v>
      </c>
      <c r="G168" s="8" t="str">
        <f t="shared" si="4"/>
        <v>MAGEE KENYA</v>
      </c>
      <c r="H168" s="20" t="str">
        <f t="shared" si="5"/>
        <v>4066</v>
      </c>
    </row>
    <row r="169" spans="1:8" x14ac:dyDescent="0.3">
      <c r="A169" s="8">
        <v>43026.619293981479</v>
      </c>
      <c r="B169" s="20" t="s">
        <v>390</v>
      </c>
      <c r="C169" s="20" t="s">
        <v>729</v>
      </c>
      <c r="D169" s="138">
        <v>2350000</v>
      </c>
      <c r="E169" s="20" t="s">
        <v>699</v>
      </c>
      <c r="F169" s="20" t="s">
        <v>700</v>
      </c>
      <c r="G169" s="8" t="str">
        <f t="shared" si="4"/>
        <v>BERLING GARY</v>
      </c>
      <c r="H169" s="20" t="str">
        <f t="shared" si="5"/>
        <v>4055</v>
      </c>
    </row>
    <row r="170" spans="1:8" x14ac:dyDescent="0.3">
      <c r="A170" s="8">
        <v>43026.620694444442</v>
      </c>
      <c r="B170" s="20" t="s">
        <v>461</v>
      </c>
      <c r="C170" s="20" t="s">
        <v>730</v>
      </c>
      <c r="D170" s="138">
        <v>2370000</v>
      </c>
      <c r="E170" s="20" t="s">
        <v>721</v>
      </c>
      <c r="F170" s="20" t="s">
        <v>722</v>
      </c>
      <c r="G170" s="8" t="str">
        <f t="shared" si="4"/>
        <v>DELGADO DIANAH</v>
      </c>
      <c r="H170" s="20" t="str">
        <f t="shared" si="5"/>
        <v>4019</v>
      </c>
    </row>
    <row r="171" spans="1:8" x14ac:dyDescent="0.3">
      <c r="A171" s="8">
        <v>43026.621296296296</v>
      </c>
      <c r="B171" s="20" t="s">
        <v>424</v>
      </c>
      <c r="C171" s="20" t="s">
        <v>731</v>
      </c>
      <c r="D171" s="138">
        <v>880000</v>
      </c>
      <c r="E171" s="20" t="s">
        <v>409</v>
      </c>
      <c r="F171" s="20" t="s">
        <v>391</v>
      </c>
      <c r="G171" s="8" t="str">
        <f t="shared" si="4"/>
        <v>STEWART MICHAEL</v>
      </c>
      <c r="H171" s="20" t="str">
        <f t="shared" si="5"/>
        <v>4002</v>
      </c>
    </row>
    <row r="172" spans="1:8" x14ac:dyDescent="0.3">
      <c r="A172" s="8">
        <v>43026.627650462964</v>
      </c>
      <c r="B172" s="20" t="s">
        <v>549</v>
      </c>
      <c r="C172" s="20" t="s">
        <v>732</v>
      </c>
      <c r="D172" s="138">
        <v>1180000</v>
      </c>
      <c r="E172" s="20" t="s">
        <v>471</v>
      </c>
      <c r="F172" s="20" t="s">
        <v>472</v>
      </c>
      <c r="G172" s="8" t="str">
        <f t="shared" si="4"/>
        <v>LEVERE CRAIG</v>
      </c>
      <c r="H172" s="20" t="str">
        <f t="shared" si="5"/>
        <v>4018</v>
      </c>
    </row>
    <row r="173" spans="1:8" x14ac:dyDescent="0.3">
      <c r="A173" s="8">
        <v>43026.630972222221</v>
      </c>
      <c r="B173" s="20" t="s">
        <v>381</v>
      </c>
      <c r="C173" s="20" t="s">
        <v>733</v>
      </c>
      <c r="D173" s="138">
        <v>2970000</v>
      </c>
      <c r="E173" s="20" t="s">
        <v>446</v>
      </c>
      <c r="F173" s="20" t="s">
        <v>447</v>
      </c>
      <c r="G173" s="8" t="str">
        <f t="shared" si="4"/>
        <v>GUZMAN DANNY</v>
      </c>
      <c r="H173" s="20" t="str">
        <f t="shared" si="5"/>
        <v>4064</v>
      </c>
    </row>
    <row r="174" spans="1:8" x14ac:dyDescent="0.3">
      <c r="A174" s="8">
        <v>43026.635949074072</v>
      </c>
      <c r="B174" s="20" t="s">
        <v>412</v>
      </c>
      <c r="C174" s="20" t="s">
        <v>579</v>
      </c>
      <c r="D174" s="138">
        <v>2000000</v>
      </c>
      <c r="E174" s="20" t="s">
        <v>370</v>
      </c>
      <c r="F174" s="20" t="s">
        <v>361</v>
      </c>
      <c r="G174" s="8" t="str">
        <f t="shared" si="4"/>
        <v>STAMBAUGH JAMES</v>
      </c>
      <c r="H174" s="20" t="str">
        <f t="shared" si="5"/>
        <v>4035</v>
      </c>
    </row>
    <row r="175" spans="1:8" x14ac:dyDescent="0.3">
      <c r="A175" s="8">
        <v>43026.641493055555</v>
      </c>
      <c r="B175" s="20" t="s">
        <v>389</v>
      </c>
      <c r="C175" s="20" t="s">
        <v>734</v>
      </c>
      <c r="D175" s="138">
        <v>2420000</v>
      </c>
      <c r="E175" s="20" t="s">
        <v>706</v>
      </c>
      <c r="F175" s="20" t="s">
        <v>707</v>
      </c>
      <c r="G175" s="8" t="str">
        <f t="shared" si="4"/>
        <v>HOLCOMB KAMDEN</v>
      </c>
      <c r="H175" s="20" t="str">
        <f t="shared" si="5"/>
        <v>4061</v>
      </c>
    </row>
    <row r="176" spans="1:8" x14ac:dyDescent="0.3">
      <c r="A176" s="8">
        <v>43026.642071759263</v>
      </c>
      <c r="B176" s="20" t="s">
        <v>432</v>
      </c>
      <c r="C176" s="20" t="s">
        <v>735</v>
      </c>
      <c r="D176" s="138">
        <v>1300000</v>
      </c>
      <c r="E176" s="20" t="s">
        <v>473</v>
      </c>
      <c r="F176" s="20" t="s">
        <v>474</v>
      </c>
      <c r="G176" s="8" t="str">
        <f t="shared" si="4"/>
        <v>LEVIN SCOTT</v>
      </c>
      <c r="H176" s="20" t="str">
        <f t="shared" si="5"/>
        <v>4026</v>
      </c>
    </row>
    <row r="177" spans="1:8" x14ac:dyDescent="0.3">
      <c r="A177" s="8">
        <v>43026.643750000003</v>
      </c>
      <c r="B177" s="20" t="s">
        <v>576</v>
      </c>
      <c r="C177" s="20" t="s">
        <v>736</v>
      </c>
      <c r="D177" s="138">
        <v>1180000</v>
      </c>
      <c r="E177" s="20" t="s">
        <v>471</v>
      </c>
      <c r="F177" s="20" t="s">
        <v>472</v>
      </c>
      <c r="G177" s="8" t="str">
        <f t="shared" si="4"/>
        <v>LEVERE CRAIG</v>
      </c>
      <c r="H177" s="20" t="str">
        <f t="shared" si="5"/>
        <v>4017</v>
      </c>
    </row>
    <row r="178" spans="1:8" x14ac:dyDescent="0.3">
      <c r="A178" s="8">
        <v>43026.644097222219</v>
      </c>
      <c r="B178" s="20" t="s">
        <v>397</v>
      </c>
      <c r="C178" s="20" t="s">
        <v>737</v>
      </c>
      <c r="D178" s="138">
        <v>2610000</v>
      </c>
      <c r="E178" s="20" t="s">
        <v>727</v>
      </c>
      <c r="F178" s="20" t="s">
        <v>728</v>
      </c>
      <c r="G178" s="8" t="str">
        <f t="shared" si="4"/>
        <v>MAGEE KENYA</v>
      </c>
      <c r="H178" s="20" t="str">
        <f t="shared" si="5"/>
        <v>4065</v>
      </c>
    </row>
    <row r="179" spans="1:8" x14ac:dyDescent="0.3">
      <c r="A179" s="8">
        <v>43026.649733796294</v>
      </c>
      <c r="B179" s="20" t="s">
        <v>403</v>
      </c>
      <c r="C179" s="20" t="s">
        <v>738</v>
      </c>
      <c r="D179" s="138">
        <v>2000000</v>
      </c>
      <c r="E179" s="20" t="s">
        <v>370</v>
      </c>
      <c r="F179" s="20" t="s">
        <v>361</v>
      </c>
      <c r="G179" s="8" t="str">
        <f t="shared" si="4"/>
        <v>STAMBAUGH JAMES</v>
      </c>
      <c r="H179" s="20" t="str">
        <f t="shared" si="5"/>
        <v>4036</v>
      </c>
    </row>
    <row r="180" spans="1:8" x14ac:dyDescent="0.3">
      <c r="A180" s="8">
        <v>43026.651041666664</v>
      </c>
      <c r="B180" s="20" t="s">
        <v>599</v>
      </c>
      <c r="C180" s="20" t="s">
        <v>739</v>
      </c>
      <c r="D180" s="138">
        <v>1770000</v>
      </c>
      <c r="E180" s="20" t="s">
        <v>511</v>
      </c>
      <c r="F180" s="20" t="s">
        <v>512</v>
      </c>
      <c r="G180" s="8" t="str">
        <f t="shared" si="4"/>
        <v>BRUDER RICHARD</v>
      </c>
      <c r="H180" s="20" t="str">
        <f t="shared" si="5"/>
        <v>4039</v>
      </c>
    </row>
    <row r="181" spans="1:8" x14ac:dyDescent="0.3">
      <c r="A181" s="8">
        <v>43026.653217592589</v>
      </c>
      <c r="B181" s="20" t="s">
        <v>580</v>
      </c>
      <c r="C181" s="20" t="s">
        <v>581</v>
      </c>
      <c r="D181" s="138">
        <v>2350000</v>
      </c>
      <c r="E181" s="20" t="s">
        <v>699</v>
      </c>
      <c r="F181" s="20" t="s">
        <v>700</v>
      </c>
      <c r="G181" s="8" t="str">
        <f t="shared" si="4"/>
        <v>BERLING GARY</v>
      </c>
      <c r="H181" s="20" t="str">
        <f t="shared" si="5"/>
        <v>4056</v>
      </c>
    </row>
    <row r="182" spans="1:8" x14ac:dyDescent="0.3">
      <c r="A182" s="8">
        <v>43026.661319444444</v>
      </c>
      <c r="B182" s="20" t="s">
        <v>423</v>
      </c>
      <c r="C182" s="20" t="s">
        <v>740</v>
      </c>
      <c r="D182" s="138">
        <v>880000</v>
      </c>
      <c r="E182" s="20" t="s">
        <v>409</v>
      </c>
      <c r="F182" s="20" t="s">
        <v>391</v>
      </c>
      <c r="G182" s="8" t="str">
        <f t="shared" si="4"/>
        <v>STEWART MICHAEL</v>
      </c>
      <c r="H182" s="20" t="str">
        <f t="shared" si="5"/>
        <v>4001</v>
      </c>
    </row>
    <row r="183" spans="1:8" x14ac:dyDescent="0.3">
      <c r="A183" s="8">
        <v>43026.661400462966</v>
      </c>
      <c r="B183" s="20" t="s">
        <v>460</v>
      </c>
      <c r="C183" s="20" t="s">
        <v>741</v>
      </c>
      <c r="D183" s="138">
        <v>1780000</v>
      </c>
      <c r="E183" s="20" t="s">
        <v>506</v>
      </c>
      <c r="F183" s="20" t="s">
        <v>507</v>
      </c>
      <c r="G183" s="8" t="str">
        <f t="shared" si="4"/>
        <v>DE LA ROSA ALEX</v>
      </c>
      <c r="H183" s="20" t="str">
        <f t="shared" si="5"/>
        <v>4020</v>
      </c>
    </row>
    <row r="184" spans="1:8" x14ac:dyDescent="0.3">
      <c r="A184" s="8">
        <v>43026.662546296298</v>
      </c>
      <c r="B184" s="20" t="s">
        <v>380</v>
      </c>
      <c r="C184" s="20" t="s">
        <v>742</v>
      </c>
      <c r="D184" s="138">
        <v>2970000</v>
      </c>
      <c r="E184" s="20" t="s">
        <v>446</v>
      </c>
      <c r="F184" s="20" t="s">
        <v>447</v>
      </c>
      <c r="G184" s="8" t="str">
        <f t="shared" si="4"/>
        <v>GUZMAN DANNY</v>
      </c>
      <c r="H184" s="20" t="str">
        <f t="shared" si="5"/>
        <v>4063</v>
      </c>
    </row>
    <row r="185" spans="1:8" x14ac:dyDescent="0.3">
      <c r="A185" s="8">
        <v>43026.6643287037</v>
      </c>
      <c r="B185" s="20" t="s">
        <v>412</v>
      </c>
      <c r="C185" s="20" t="s">
        <v>743</v>
      </c>
      <c r="D185" s="138">
        <v>2000000</v>
      </c>
      <c r="E185" s="20" t="s">
        <v>370</v>
      </c>
      <c r="F185" s="20" t="s">
        <v>361</v>
      </c>
      <c r="G185" s="8" t="str">
        <f t="shared" si="4"/>
        <v>STAMBAUGH JAMES</v>
      </c>
      <c r="H185" s="20" t="str">
        <f t="shared" si="5"/>
        <v>4035</v>
      </c>
    </row>
    <row r="186" spans="1:8" x14ac:dyDescent="0.3">
      <c r="A186" s="8">
        <v>43026.665509259263</v>
      </c>
      <c r="B186" s="20" t="s">
        <v>396</v>
      </c>
      <c r="C186" s="20" t="s">
        <v>582</v>
      </c>
      <c r="D186" s="138">
        <v>2140000</v>
      </c>
      <c r="E186" s="20" t="s">
        <v>513</v>
      </c>
      <c r="F186" s="20" t="s">
        <v>514</v>
      </c>
      <c r="G186" s="8" t="str">
        <f t="shared" si="4"/>
        <v>ROBINSON KADDIBA</v>
      </c>
      <c r="H186" s="20" t="str">
        <f t="shared" si="5"/>
        <v>4066</v>
      </c>
    </row>
    <row r="187" spans="1:8" x14ac:dyDescent="0.3">
      <c r="A187" s="8">
        <v>43026.671076388891</v>
      </c>
      <c r="B187" s="20" t="s">
        <v>549</v>
      </c>
      <c r="C187" s="20" t="s">
        <v>744</v>
      </c>
      <c r="D187" s="138">
        <v>1180000</v>
      </c>
      <c r="E187" s="20" t="s">
        <v>471</v>
      </c>
      <c r="F187" s="20" t="s">
        <v>472</v>
      </c>
      <c r="G187" s="8" t="str">
        <f t="shared" si="4"/>
        <v>LEVERE CRAIG</v>
      </c>
      <c r="H187" s="20" t="str">
        <f t="shared" si="5"/>
        <v>4018</v>
      </c>
    </row>
    <row r="188" spans="1:8" x14ac:dyDescent="0.3">
      <c r="A188" s="8">
        <v>43026.674560185187</v>
      </c>
      <c r="B188" s="20" t="s">
        <v>563</v>
      </c>
      <c r="C188" s="20" t="s">
        <v>745</v>
      </c>
      <c r="D188" s="138">
        <v>2420000</v>
      </c>
      <c r="E188" s="20" t="s">
        <v>706</v>
      </c>
      <c r="F188" s="20" t="s">
        <v>707</v>
      </c>
      <c r="G188" s="8" t="str">
        <f t="shared" si="4"/>
        <v>HOLCOMB KAMDEN</v>
      </c>
      <c r="H188" s="20" t="str">
        <f t="shared" si="5"/>
        <v>4062</v>
      </c>
    </row>
    <row r="189" spans="1:8" x14ac:dyDescent="0.3">
      <c r="A189" s="8">
        <v>43026.676296296297</v>
      </c>
      <c r="B189" s="20" t="s">
        <v>431</v>
      </c>
      <c r="C189" s="20" t="s">
        <v>746</v>
      </c>
      <c r="D189" s="138">
        <v>1300000</v>
      </c>
      <c r="E189" s="20" t="s">
        <v>473</v>
      </c>
      <c r="F189" s="20" t="s">
        <v>474</v>
      </c>
      <c r="G189" s="8" t="str">
        <f t="shared" si="4"/>
        <v>LEVIN SCOTT</v>
      </c>
      <c r="H189" s="20" t="str">
        <f t="shared" si="5"/>
        <v>4025</v>
      </c>
    </row>
    <row r="190" spans="1:8" x14ac:dyDescent="0.3">
      <c r="A190" s="8">
        <v>43026.682210648149</v>
      </c>
      <c r="B190" s="20" t="s">
        <v>379</v>
      </c>
      <c r="C190" s="20" t="s">
        <v>747</v>
      </c>
      <c r="D190" s="138">
        <v>1770000</v>
      </c>
      <c r="E190" s="20" t="s">
        <v>511</v>
      </c>
      <c r="F190" s="20" t="s">
        <v>512</v>
      </c>
      <c r="G190" s="8" t="str">
        <f t="shared" si="4"/>
        <v>BRUDER RICHARD</v>
      </c>
      <c r="H190" s="20" t="str">
        <f t="shared" si="5"/>
        <v>4040</v>
      </c>
    </row>
    <row r="191" spans="1:8" x14ac:dyDescent="0.3">
      <c r="A191" s="8">
        <v>43026.684293981481</v>
      </c>
      <c r="B191" s="20" t="s">
        <v>397</v>
      </c>
      <c r="C191" s="20" t="s">
        <v>571</v>
      </c>
      <c r="D191" s="138">
        <v>2140000</v>
      </c>
      <c r="E191" s="20" t="s">
        <v>513</v>
      </c>
      <c r="F191" s="20" t="s">
        <v>514</v>
      </c>
      <c r="G191" s="8" t="str">
        <f t="shared" si="4"/>
        <v>ROBINSON KADDIBA</v>
      </c>
      <c r="H191" s="20" t="str">
        <f t="shared" si="5"/>
        <v>4065</v>
      </c>
    </row>
    <row r="192" spans="1:8" x14ac:dyDescent="0.3">
      <c r="A192" s="8">
        <v>43026.685798611114</v>
      </c>
      <c r="B192" s="20" t="s">
        <v>576</v>
      </c>
      <c r="C192" s="20" t="s">
        <v>748</v>
      </c>
      <c r="D192" s="138">
        <v>1180000</v>
      </c>
      <c r="E192" s="20" t="s">
        <v>471</v>
      </c>
      <c r="F192" s="20" t="s">
        <v>472</v>
      </c>
      <c r="G192" s="8" t="str">
        <f t="shared" si="4"/>
        <v>LEVERE CRAIG</v>
      </c>
      <c r="H192" s="20" t="str">
        <f t="shared" si="5"/>
        <v>4017</v>
      </c>
    </row>
    <row r="193" spans="1:8" x14ac:dyDescent="0.3">
      <c r="A193" s="8">
        <v>43026.691296296296</v>
      </c>
      <c r="B193" s="20" t="s">
        <v>390</v>
      </c>
      <c r="C193" s="20" t="s">
        <v>584</v>
      </c>
      <c r="D193" s="138">
        <v>2350000</v>
      </c>
      <c r="E193" s="20" t="s">
        <v>699</v>
      </c>
      <c r="F193" s="20" t="s">
        <v>700</v>
      </c>
      <c r="G193" s="8" t="str">
        <f t="shared" si="4"/>
        <v>BERLING GARY</v>
      </c>
      <c r="H193" s="20" t="str">
        <f t="shared" si="5"/>
        <v>4055</v>
      </c>
    </row>
    <row r="194" spans="1:8" x14ac:dyDescent="0.3">
      <c r="A194" s="8">
        <v>43026.692152777781</v>
      </c>
      <c r="B194" s="20" t="s">
        <v>403</v>
      </c>
      <c r="C194" s="20" t="s">
        <v>583</v>
      </c>
      <c r="D194" s="138">
        <v>2000000</v>
      </c>
      <c r="E194" s="20" t="s">
        <v>370</v>
      </c>
      <c r="F194" s="20" t="s">
        <v>361</v>
      </c>
      <c r="G194" s="8" t="str">
        <f t="shared" si="4"/>
        <v>STAMBAUGH JAMES</v>
      </c>
      <c r="H194" s="20" t="str">
        <f t="shared" si="5"/>
        <v>4036</v>
      </c>
    </row>
    <row r="195" spans="1:8" x14ac:dyDescent="0.3">
      <c r="A195" s="8">
        <v>43026.69358796296</v>
      </c>
      <c r="B195" s="20" t="s">
        <v>424</v>
      </c>
      <c r="C195" s="20" t="s">
        <v>749</v>
      </c>
      <c r="D195" s="138">
        <v>880000</v>
      </c>
      <c r="E195" s="20" t="s">
        <v>409</v>
      </c>
      <c r="F195" s="20" t="s">
        <v>391</v>
      </c>
      <c r="G195" s="8" t="str">
        <f t="shared" ref="G195:G258" si="6">E195&amp;" "&amp;F195</f>
        <v>STEWART MICHAEL</v>
      </c>
      <c r="H195" s="20" t="str">
        <f t="shared" ref="H195:H258" si="7">MID(B195,13,4)</f>
        <v>4002</v>
      </c>
    </row>
    <row r="196" spans="1:8" x14ac:dyDescent="0.3">
      <c r="A196" s="8">
        <v>43026.694351851853</v>
      </c>
      <c r="B196" s="20" t="s">
        <v>458</v>
      </c>
      <c r="C196" s="20" t="s">
        <v>697</v>
      </c>
      <c r="D196" s="138">
        <v>2370000</v>
      </c>
      <c r="E196" s="20" t="s">
        <v>721</v>
      </c>
      <c r="F196" s="20" t="s">
        <v>722</v>
      </c>
      <c r="G196" s="8" t="str">
        <f t="shared" si="6"/>
        <v>DELGADO DIANAH</v>
      </c>
      <c r="H196" s="20" t="str">
        <f t="shared" si="7"/>
        <v>4060</v>
      </c>
    </row>
    <row r="197" spans="1:8" x14ac:dyDescent="0.3">
      <c r="A197" s="8">
        <v>43026.695104166669</v>
      </c>
      <c r="B197" s="20" t="s">
        <v>461</v>
      </c>
      <c r="C197" s="20" t="s">
        <v>750</v>
      </c>
      <c r="D197" s="138">
        <v>1780000</v>
      </c>
      <c r="E197" s="20" t="s">
        <v>506</v>
      </c>
      <c r="F197" s="20" t="s">
        <v>507</v>
      </c>
      <c r="G197" s="8" t="str">
        <f t="shared" si="6"/>
        <v>DE LA ROSA ALEX</v>
      </c>
      <c r="H197" s="20" t="str">
        <f t="shared" si="7"/>
        <v>4019</v>
      </c>
    </row>
    <row r="198" spans="1:8" x14ac:dyDescent="0.3">
      <c r="A198" s="8">
        <v>43026.69635416667</v>
      </c>
      <c r="B198" s="20" t="s">
        <v>430</v>
      </c>
      <c r="C198" s="20" t="s">
        <v>751</v>
      </c>
      <c r="D198" s="138">
        <v>1810000</v>
      </c>
      <c r="E198" s="20" t="s">
        <v>508</v>
      </c>
      <c r="F198" s="20" t="s">
        <v>361</v>
      </c>
      <c r="G198" s="8" t="str">
        <f t="shared" si="6"/>
        <v>NEWELL JAMES</v>
      </c>
      <c r="H198" s="20" t="str">
        <f t="shared" si="7"/>
        <v>4030</v>
      </c>
    </row>
    <row r="199" spans="1:8" x14ac:dyDescent="0.3">
      <c r="A199" s="8">
        <v>43026.703657407408</v>
      </c>
      <c r="B199" s="20" t="s">
        <v>381</v>
      </c>
      <c r="C199" s="20" t="s">
        <v>752</v>
      </c>
      <c r="D199" s="138">
        <v>2970000</v>
      </c>
      <c r="E199" s="20" t="s">
        <v>446</v>
      </c>
      <c r="F199" s="20" t="s">
        <v>447</v>
      </c>
      <c r="G199" s="8" t="str">
        <f t="shared" si="6"/>
        <v>GUZMAN DANNY</v>
      </c>
      <c r="H199" s="20" t="str">
        <f t="shared" si="7"/>
        <v>4064</v>
      </c>
    </row>
    <row r="200" spans="1:8" x14ac:dyDescent="0.3">
      <c r="A200" s="8">
        <v>43026.705648148149</v>
      </c>
      <c r="B200" s="20" t="s">
        <v>412</v>
      </c>
      <c r="C200" s="20" t="s">
        <v>585</v>
      </c>
      <c r="D200" s="138">
        <v>2000000</v>
      </c>
      <c r="E200" s="20" t="s">
        <v>370</v>
      </c>
      <c r="F200" s="20" t="s">
        <v>361</v>
      </c>
      <c r="G200" s="8" t="str">
        <f t="shared" si="6"/>
        <v>STAMBAUGH JAMES</v>
      </c>
      <c r="H200" s="20" t="str">
        <f t="shared" si="7"/>
        <v>4035</v>
      </c>
    </row>
    <row r="201" spans="1:8" x14ac:dyDescent="0.3">
      <c r="A201" s="8">
        <v>43026.709062499998</v>
      </c>
      <c r="B201" s="20" t="s">
        <v>549</v>
      </c>
      <c r="C201" s="20" t="s">
        <v>753</v>
      </c>
      <c r="D201" s="138">
        <v>1180000</v>
      </c>
      <c r="E201" s="20" t="s">
        <v>471</v>
      </c>
      <c r="F201" s="20" t="s">
        <v>472</v>
      </c>
      <c r="G201" s="8" t="str">
        <f t="shared" si="6"/>
        <v>LEVERE CRAIG</v>
      </c>
      <c r="H201" s="20" t="str">
        <f t="shared" si="7"/>
        <v>4018</v>
      </c>
    </row>
    <row r="202" spans="1:8" x14ac:dyDescent="0.3">
      <c r="A202" s="26">
        <v>43026.710752314815</v>
      </c>
      <c r="B202" s="20" t="s">
        <v>389</v>
      </c>
      <c r="C202" s="20" t="s">
        <v>754</v>
      </c>
      <c r="D202" s="138">
        <v>2420000</v>
      </c>
      <c r="E202" s="20" t="s">
        <v>706</v>
      </c>
      <c r="F202" s="20" t="s">
        <v>707</v>
      </c>
      <c r="G202" s="8" t="str">
        <f t="shared" si="6"/>
        <v>HOLCOMB KAMDEN</v>
      </c>
      <c r="H202" s="20" t="str">
        <f t="shared" si="7"/>
        <v>4061</v>
      </c>
    </row>
    <row r="203" spans="1:8" x14ac:dyDescent="0.3">
      <c r="A203" s="8">
        <v>43026.713877314818</v>
      </c>
      <c r="B203" s="20" t="s">
        <v>462</v>
      </c>
      <c r="C203" s="20" t="s">
        <v>697</v>
      </c>
      <c r="D203" s="138">
        <v>2370000</v>
      </c>
      <c r="E203" s="20" t="s">
        <v>721</v>
      </c>
      <c r="F203" s="20" t="s">
        <v>722</v>
      </c>
      <c r="G203" s="8" t="str">
        <f t="shared" si="6"/>
        <v>DELGADO DIANAH</v>
      </c>
      <c r="H203" s="20" t="str">
        <f t="shared" si="7"/>
        <v>4059</v>
      </c>
    </row>
    <row r="204" spans="1:8" x14ac:dyDescent="0.3">
      <c r="A204" s="8">
        <v>43026.715219907404</v>
      </c>
      <c r="B204" s="20" t="s">
        <v>432</v>
      </c>
      <c r="C204" s="20" t="s">
        <v>755</v>
      </c>
      <c r="D204" s="138">
        <v>1300000</v>
      </c>
      <c r="E204" s="20" t="s">
        <v>473</v>
      </c>
      <c r="F204" s="20" t="s">
        <v>474</v>
      </c>
      <c r="G204" s="8" t="str">
        <f t="shared" si="6"/>
        <v>LEVIN SCOTT</v>
      </c>
      <c r="H204" s="20" t="str">
        <f t="shared" si="7"/>
        <v>4026</v>
      </c>
    </row>
    <row r="205" spans="1:8" x14ac:dyDescent="0.3">
      <c r="A205" s="8">
        <v>43026.720150462963</v>
      </c>
      <c r="B205" s="20" t="s">
        <v>458</v>
      </c>
      <c r="C205" s="20" t="s">
        <v>756</v>
      </c>
      <c r="D205" s="138">
        <v>2350000</v>
      </c>
      <c r="E205" s="20" t="s">
        <v>699</v>
      </c>
      <c r="F205" s="20" t="s">
        <v>700</v>
      </c>
      <c r="G205" s="8" t="str">
        <f t="shared" si="6"/>
        <v>BERLING GARY</v>
      </c>
      <c r="H205" s="20" t="str">
        <f t="shared" si="7"/>
        <v>4060</v>
      </c>
    </row>
    <row r="206" spans="1:8" x14ac:dyDescent="0.3">
      <c r="A206" s="8">
        <v>43026.724224537036</v>
      </c>
      <c r="B206" s="20" t="s">
        <v>599</v>
      </c>
      <c r="C206" s="20" t="s">
        <v>757</v>
      </c>
      <c r="D206" s="138">
        <v>1770000</v>
      </c>
      <c r="E206" s="20" t="s">
        <v>511</v>
      </c>
      <c r="F206" s="20" t="s">
        <v>512</v>
      </c>
      <c r="G206" s="8" t="str">
        <f t="shared" si="6"/>
        <v>BRUDER RICHARD</v>
      </c>
      <c r="H206" s="20" t="str">
        <f t="shared" si="7"/>
        <v>4039</v>
      </c>
    </row>
    <row r="207" spans="1:8" x14ac:dyDescent="0.3">
      <c r="A207" s="8">
        <v>43026.724872685183</v>
      </c>
      <c r="B207" s="20" t="s">
        <v>458</v>
      </c>
      <c r="C207" s="20" t="s">
        <v>756</v>
      </c>
      <c r="D207" s="138">
        <v>3130000</v>
      </c>
      <c r="E207" s="20" t="s">
        <v>758</v>
      </c>
      <c r="F207" s="20" t="s">
        <v>759</v>
      </c>
      <c r="G207" s="8" t="str">
        <f t="shared" si="6"/>
        <v>ZEWDU DEREJE</v>
      </c>
      <c r="H207" s="20" t="str">
        <f t="shared" si="7"/>
        <v>4060</v>
      </c>
    </row>
    <row r="208" spans="1:8" x14ac:dyDescent="0.3">
      <c r="A208" s="8">
        <v>43026.728043981479</v>
      </c>
      <c r="B208" s="20" t="s">
        <v>576</v>
      </c>
      <c r="C208" s="20" t="s">
        <v>760</v>
      </c>
      <c r="D208" s="138">
        <v>1180000</v>
      </c>
      <c r="E208" s="20" t="s">
        <v>471</v>
      </c>
      <c r="F208" s="20" t="s">
        <v>472</v>
      </c>
      <c r="G208" s="8" t="str">
        <f t="shared" si="6"/>
        <v>LEVERE CRAIG</v>
      </c>
      <c r="H208" s="20" t="str">
        <f t="shared" si="7"/>
        <v>4017</v>
      </c>
    </row>
    <row r="209" spans="1:8" x14ac:dyDescent="0.3">
      <c r="A209" s="8">
        <v>43026.731192129628</v>
      </c>
      <c r="B209" s="20" t="s">
        <v>580</v>
      </c>
      <c r="C209" s="20" t="s">
        <v>697</v>
      </c>
      <c r="D209" s="138">
        <v>2450000</v>
      </c>
      <c r="E209" s="20" t="s">
        <v>509</v>
      </c>
      <c r="F209" s="20" t="s">
        <v>510</v>
      </c>
      <c r="G209" s="8" t="str">
        <f t="shared" si="6"/>
        <v>NELSON ARIANE</v>
      </c>
      <c r="H209" s="20" t="str">
        <f t="shared" si="7"/>
        <v>4056</v>
      </c>
    </row>
    <row r="210" spans="1:8" x14ac:dyDescent="0.3">
      <c r="A210" s="8">
        <v>43026.733391203707</v>
      </c>
      <c r="B210" s="20" t="s">
        <v>403</v>
      </c>
      <c r="C210" s="20" t="s">
        <v>761</v>
      </c>
      <c r="D210" s="138">
        <v>2000000</v>
      </c>
      <c r="E210" s="20" t="s">
        <v>370</v>
      </c>
      <c r="F210" s="20" t="s">
        <v>361</v>
      </c>
      <c r="G210" s="8" t="str">
        <f t="shared" si="6"/>
        <v>STAMBAUGH JAMES</v>
      </c>
      <c r="H210" s="20" t="str">
        <f t="shared" si="7"/>
        <v>4036</v>
      </c>
    </row>
    <row r="211" spans="1:8" x14ac:dyDescent="0.3">
      <c r="A211" s="8">
        <v>43026.735497685186</v>
      </c>
      <c r="B211" s="20" t="s">
        <v>423</v>
      </c>
      <c r="C211" s="20" t="s">
        <v>762</v>
      </c>
      <c r="D211" s="138">
        <v>880000</v>
      </c>
      <c r="E211" s="20" t="s">
        <v>409</v>
      </c>
      <c r="F211" s="20" t="s">
        <v>391</v>
      </c>
      <c r="G211" s="8" t="str">
        <f t="shared" si="6"/>
        <v>STEWART MICHAEL</v>
      </c>
      <c r="H211" s="20" t="str">
        <f t="shared" si="7"/>
        <v>4001</v>
      </c>
    </row>
    <row r="212" spans="1:8" x14ac:dyDescent="0.3">
      <c r="A212" s="8">
        <v>43026.736284722225</v>
      </c>
      <c r="B212" s="20" t="s">
        <v>380</v>
      </c>
      <c r="C212" s="20" t="s">
        <v>763</v>
      </c>
      <c r="D212" s="138">
        <v>2970000</v>
      </c>
      <c r="E212" s="20" t="s">
        <v>446</v>
      </c>
      <c r="F212" s="20" t="s">
        <v>447</v>
      </c>
      <c r="G212" s="8" t="str">
        <f t="shared" si="6"/>
        <v>GUZMAN DANNY</v>
      </c>
      <c r="H212" s="20" t="str">
        <f t="shared" si="7"/>
        <v>4063</v>
      </c>
    </row>
    <row r="213" spans="1:8" x14ac:dyDescent="0.3">
      <c r="A213" s="8">
        <v>43026.737233796295</v>
      </c>
      <c r="B213" s="20" t="s">
        <v>460</v>
      </c>
      <c r="C213" s="20" t="s">
        <v>764</v>
      </c>
      <c r="D213" s="138">
        <v>1200000</v>
      </c>
      <c r="E213" s="20" t="s">
        <v>765</v>
      </c>
      <c r="F213" s="20" t="s">
        <v>766</v>
      </c>
      <c r="G213" s="8" t="str">
        <f t="shared" si="6"/>
        <v>CUSHING HARRY</v>
      </c>
      <c r="H213" s="20" t="str">
        <f t="shared" si="7"/>
        <v>4020</v>
      </c>
    </row>
    <row r="214" spans="1:8" x14ac:dyDescent="0.3">
      <c r="A214" s="8">
        <v>43026.740682870368</v>
      </c>
      <c r="B214" s="20" t="s">
        <v>457</v>
      </c>
      <c r="C214" s="20" t="s">
        <v>751</v>
      </c>
      <c r="D214" s="138">
        <v>3310000</v>
      </c>
      <c r="E214" s="20" t="s">
        <v>384</v>
      </c>
      <c r="F214" s="20" t="s">
        <v>385</v>
      </c>
      <c r="G214" s="8" t="str">
        <f t="shared" si="6"/>
        <v>ANDERS STEVEN</v>
      </c>
      <c r="H214" s="20" t="str">
        <f t="shared" si="7"/>
        <v>4029</v>
      </c>
    </row>
    <row r="215" spans="1:8" x14ac:dyDescent="0.3">
      <c r="A215" s="8">
        <v>43026.747708333336</v>
      </c>
      <c r="B215" s="20" t="s">
        <v>412</v>
      </c>
      <c r="C215" s="20" t="s">
        <v>767</v>
      </c>
      <c r="D215" s="138">
        <v>2000000</v>
      </c>
      <c r="E215" s="20" t="s">
        <v>370</v>
      </c>
      <c r="F215" s="20" t="s">
        <v>361</v>
      </c>
      <c r="G215" s="8" t="str">
        <f t="shared" si="6"/>
        <v>STAMBAUGH JAMES</v>
      </c>
      <c r="H215" s="20" t="str">
        <f t="shared" si="7"/>
        <v>4035</v>
      </c>
    </row>
    <row r="216" spans="1:8" x14ac:dyDescent="0.3">
      <c r="A216" s="8">
        <v>43026.748726851853</v>
      </c>
      <c r="B216" s="20" t="s">
        <v>563</v>
      </c>
      <c r="C216" s="20" t="s">
        <v>768</v>
      </c>
      <c r="D216" s="138">
        <v>2420000</v>
      </c>
      <c r="E216" s="20" t="s">
        <v>706</v>
      </c>
      <c r="F216" s="20" t="s">
        <v>707</v>
      </c>
      <c r="G216" s="8" t="str">
        <f t="shared" si="6"/>
        <v>HOLCOMB KAMDEN</v>
      </c>
      <c r="H216" s="20" t="str">
        <f t="shared" si="7"/>
        <v>4062</v>
      </c>
    </row>
    <row r="217" spans="1:8" x14ac:dyDescent="0.3">
      <c r="A217" s="8">
        <v>43026.751631944448</v>
      </c>
      <c r="B217" s="20" t="s">
        <v>431</v>
      </c>
      <c r="C217" s="20" t="s">
        <v>769</v>
      </c>
      <c r="D217" s="138">
        <v>1300000</v>
      </c>
      <c r="E217" s="20" t="s">
        <v>473</v>
      </c>
      <c r="F217" s="20" t="s">
        <v>474</v>
      </c>
      <c r="G217" s="8" t="str">
        <f t="shared" si="6"/>
        <v>LEVIN SCOTT</v>
      </c>
      <c r="H217" s="20" t="str">
        <f t="shared" si="7"/>
        <v>4025</v>
      </c>
    </row>
    <row r="218" spans="1:8" x14ac:dyDescent="0.3">
      <c r="A218" s="8">
        <v>43026.752083333333</v>
      </c>
      <c r="B218" s="20" t="s">
        <v>549</v>
      </c>
      <c r="C218" s="20" t="s">
        <v>770</v>
      </c>
      <c r="D218" s="138">
        <v>1180000</v>
      </c>
      <c r="E218" s="20" t="s">
        <v>471</v>
      </c>
      <c r="F218" s="20" t="s">
        <v>472</v>
      </c>
      <c r="G218" s="8" t="str">
        <f t="shared" si="6"/>
        <v>LEVERE CRAIG</v>
      </c>
      <c r="H218" s="20" t="str">
        <f t="shared" si="7"/>
        <v>4018</v>
      </c>
    </row>
    <row r="219" spans="1:8" x14ac:dyDescent="0.3">
      <c r="A219" s="8">
        <v>43026.757870370369</v>
      </c>
      <c r="B219" s="20" t="s">
        <v>379</v>
      </c>
      <c r="C219" s="20" t="s">
        <v>586</v>
      </c>
      <c r="D219" s="138">
        <v>890000</v>
      </c>
      <c r="E219" s="20" t="s">
        <v>358</v>
      </c>
      <c r="F219" s="20" t="s">
        <v>359</v>
      </c>
      <c r="G219" s="8" t="str">
        <f t="shared" si="6"/>
        <v>LOZA FIDEL</v>
      </c>
      <c r="H219" s="20" t="str">
        <f t="shared" si="7"/>
        <v>4040</v>
      </c>
    </row>
    <row r="220" spans="1:8" x14ac:dyDescent="0.3">
      <c r="A220" s="8">
        <v>43026.762418981481</v>
      </c>
      <c r="B220" s="20" t="s">
        <v>430</v>
      </c>
      <c r="C220" s="20" t="s">
        <v>751</v>
      </c>
      <c r="D220" s="138">
        <v>2350000</v>
      </c>
      <c r="E220" s="20" t="s">
        <v>699</v>
      </c>
      <c r="F220" s="20" t="s">
        <v>700</v>
      </c>
      <c r="G220" s="8" t="str">
        <f t="shared" si="6"/>
        <v>BERLING GARY</v>
      </c>
      <c r="H220" s="20" t="str">
        <f t="shared" si="7"/>
        <v>4030</v>
      </c>
    </row>
    <row r="221" spans="1:8" x14ac:dyDescent="0.3">
      <c r="A221" s="8">
        <v>43026.767604166664</v>
      </c>
      <c r="B221" s="20" t="s">
        <v>462</v>
      </c>
      <c r="C221" s="20" t="s">
        <v>589</v>
      </c>
      <c r="D221" s="138">
        <v>3130000</v>
      </c>
      <c r="E221" s="20" t="s">
        <v>758</v>
      </c>
      <c r="F221" s="20" t="s">
        <v>759</v>
      </c>
      <c r="G221" s="8" t="str">
        <f t="shared" si="6"/>
        <v>ZEWDU DEREJE</v>
      </c>
      <c r="H221" s="20" t="str">
        <f t="shared" si="7"/>
        <v>4059</v>
      </c>
    </row>
    <row r="222" spans="1:8" x14ac:dyDescent="0.3">
      <c r="A222" s="8">
        <v>43026.769236111111</v>
      </c>
      <c r="B222" s="20" t="s">
        <v>576</v>
      </c>
      <c r="C222" s="20" t="s">
        <v>771</v>
      </c>
      <c r="D222" s="138">
        <v>1180000</v>
      </c>
      <c r="E222" s="20" t="s">
        <v>471</v>
      </c>
      <c r="F222" s="20" t="s">
        <v>472</v>
      </c>
      <c r="G222" s="8" t="str">
        <f t="shared" si="6"/>
        <v>LEVERE CRAIG</v>
      </c>
      <c r="H222" s="20" t="str">
        <f t="shared" si="7"/>
        <v>4017</v>
      </c>
    </row>
    <row r="223" spans="1:8" x14ac:dyDescent="0.3">
      <c r="A223" s="8">
        <v>43026.771377314813</v>
      </c>
      <c r="B223" s="20" t="s">
        <v>424</v>
      </c>
      <c r="C223" s="20" t="s">
        <v>772</v>
      </c>
      <c r="D223" s="138">
        <v>3310000</v>
      </c>
      <c r="E223" s="20" t="s">
        <v>384</v>
      </c>
      <c r="F223" s="20" t="s">
        <v>385</v>
      </c>
      <c r="G223" s="8" t="str">
        <f t="shared" si="6"/>
        <v>ANDERS STEVEN</v>
      </c>
      <c r="H223" s="20" t="str">
        <f t="shared" si="7"/>
        <v>4002</v>
      </c>
    </row>
    <row r="224" spans="1:8" x14ac:dyDescent="0.3">
      <c r="A224" s="8">
        <v>43026.774930555555</v>
      </c>
      <c r="B224" t="s">
        <v>403</v>
      </c>
      <c r="C224" t="s">
        <v>588</v>
      </c>
      <c r="D224" s="138">
        <v>2000000</v>
      </c>
      <c r="E224" t="s">
        <v>370</v>
      </c>
      <c r="F224" s="20" t="s">
        <v>361</v>
      </c>
      <c r="G224" s="8" t="str">
        <f t="shared" si="6"/>
        <v>STAMBAUGH JAMES</v>
      </c>
      <c r="H224" s="20" t="str">
        <f t="shared" si="7"/>
        <v>4036</v>
      </c>
    </row>
    <row r="225" spans="1:8" x14ac:dyDescent="0.3">
      <c r="A225" s="8">
        <v>43026.775127314817</v>
      </c>
      <c r="B225" t="s">
        <v>461</v>
      </c>
      <c r="C225" t="s">
        <v>773</v>
      </c>
      <c r="D225" s="138">
        <v>1200000</v>
      </c>
      <c r="E225" t="s">
        <v>765</v>
      </c>
      <c r="F225" s="20" t="s">
        <v>766</v>
      </c>
      <c r="G225" s="8" t="str">
        <f t="shared" si="6"/>
        <v>CUSHING HARRY</v>
      </c>
      <c r="H225" s="20" t="str">
        <f t="shared" si="7"/>
        <v>4019</v>
      </c>
    </row>
    <row r="226" spans="1:8" x14ac:dyDescent="0.3">
      <c r="A226" s="8">
        <v>43026.776273148149</v>
      </c>
      <c r="B226" t="s">
        <v>461</v>
      </c>
      <c r="C226" t="s">
        <v>773</v>
      </c>
      <c r="D226" s="138">
        <v>1200000</v>
      </c>
      <c r="E226" t="s">
        <v>765</v>
      </c>
      <c r="F226" s="20" t="s">
        <v>766</v>
      </c>
      <c r="G226" s="8" t="str">
        <f t="shared" si="6"/>
        <v>CUSHING HARRY</v>
      </c>
      <c r="H226" s="20" t="str">
        <f t="shared" si="7"/>
        <v>4019</v>
      </c>
    </row>
    <row r="227" spans="1:8" x14ac:dyDescent="0.3">
      <c r="A227" s="8">
        <v>43026.777384259258</v>
      </c>
      <c r="B227" t="s">
        <v>461</v>
      </c>
      <c r="C227" t="s">
        <v>773</v>
      </c>
      <c r="D227" s="138">
        <v>1200000</v>
      </c>
      <c r="E227" t="s">
        <v>765</v>
      </c>
      <c r="F227" s="20" t="s">
        <v>766</v>
      </c>
      <c r="G227" s="8" t="str">
        <f t="shared" si="6"/>
        <v>CUSHING HARRY</v>
      </c>
      <c r="H227" s="20" t="str">
        <f t="shared" si="7"/>
        <v>4019</v>
      </c>
    </row>
    <row r="228" spans="1:8" x14ac:dyDescent="0.3">
      <c r="A228" s="8">
        <v>43026.779189814813</v>
      </c>
      <c r="B228" t="s">
        <v>381</v>
      </c>
      <c r="C228" t="s">
        <v>774</v>
      </c>
      <c r="D228" s="138">
        <v>2970000</v>
      </c>
      <c r="E228" t="s">
        <v>446</v>
      </c>
      <c r="F228" s="20" t="s">
        <v>447</v>
      </c>
      <c r="G228" s="8" t="str">
        <f t="shared" si="6"/>
        <v>GUZMAN DANNY</v>
      </c>
      <c r="H228" s="20" t="str">
        <f t="shared" si="7"/>
        <v>4064</v>
      </c>
    </row>
    <row r="229" spans="1:8" x14ac:dyDescent="0.3">
      <c r="A229" s="8">
        <v>43026.780138888891</v>
      </c>
      <c r="B229" t="s">
        <v>389</v>
      </c>
      <c r="C229" t="s">
        <v>775</v>
      </c>
      <c r="D229" s="138">
        <v>2420000</v>
      </c>
      <c r="E229" t="s">
        <v>706</v>
      </c>
      <c r="F229" s="20" t="s">
        <v>707</v>
      </c>
      <c r="G229" s="8" t="str">
        <f t="shared" si="6"/>
        <v>HOLCOMB KAMDEN</v>
      </c>
      <c r="H229" s="20" t="str">
        <f t="shared" si="7"/>
        <v>4061</v>
      </c>
    </row>
    <row r="230" spans="1:8" x14ac:dyDescent="0.3">
      <c r="A230" s="8">
        <v>43026.788761574076</v>
      </c>
      <c r="B230" t="s">
        <v>432</v>
      </c>
      <c r="C230" t="s">
        <v>776</v>
      </c>
      <c r="D230" s="138">
        <v>3220000</v>
      </c>
      <c r="E230" t="s">
        <v>444</v>
      </c>
      <c r="F230" s="20" t="s">
        <v>445</v>
      </c>
      <c r="G230" s="8" t="str">
        <f t="shared" si="6"/>
        <v>RESPASS AARON</v>
      </c>
      <c r="H230" s="20" t="str">
        <f t="shared" si="7"/>
        <v>4026</v>
      </c>
    </row>
    <row r="231" spans="1:8" x14ac:dyDescent="0.3">
      <c r="A231" s="8">
        <v>43026.788831018515</v>
      </c>
      <c r="B231" t="s">
        <v>412</v>
      </c>
      <c r="C231" t="s">
        <v>777</v>
      </c>
      <c r="D231" s="138">
        <v>2000000</v>
      </c>
      <c r="E231" t="s">
        <v>370</v>
      </c>
      <c r="F231" s="20" t="s">
        <v>361</v>
      </c>
      <c r="G231" s="8" t="str">
        <f t="shared" si="6"/>
        <v>STAMBAUGH JAMES</v>
      </c>
      <c r="H231" s="20" t="str">
        <f t="shared" si="7"/>
        <v>4035</v>
      </c>
    </row>
    <row r="232" spans="1:8" x14ac:dyDescent="0.3">
      <c r="A232" s="8">
        <v>43026.793310185189</v>
      </c>
      <c r="B232" t="s">
        <v>549</v>
      </c>
      <c r="C232" t="s">
        <v>778</v>
      </c>
      <c r="D232" s="138">
        <v>3280000</v>
      </c>
      <c r="E232" t="s">
        <v>517</v>
      </c>
      <c r="F232" s="20" t="s">
        <v>518</v>
      </c>
      <c r="G232" s="8" t="str">
        <f t="shared" si="6"/>
        <v>BIRKHOLZ NADINE</v>
      </c>
      <c r="H232" s="20" t="str">
        <f t="shared" si="7"/>
        <v>4018</v>
      </c>
    </row>
    <row r="233" spans="1:8" x14ac:dyDescent="0.3">
      <c r="A233" s="8">
        <v>43026.798726851855</v>
      </c>
      <c r="B233" t="s">
        <v>599</v>
      </c>
      <c r="C233" t="s">
        <v>779</v>
      </c>
      <c r="D233" s="138">
        <v>890000</v>
      </c>
      <c r="E233" t="s">
        <v>358</v>
      </c>
      <c r="F233" s="20" t="s">
        <v>359</v>
      </c>
      <c r="G233" s="8" t="str">
        <f t="shared" si="6"/>
        <v>LOZA FIDEL</v>
      </c>
      <c r="H233" s="20" t="str">
        <f t="shared" si="7"/>
        <v>4039</v>
      </c>
    </row>
    <row r="234" spans="1:8" x14ac:dyDescent="0.3">
      <c r="A234" s="8">
        <v>43026.798900462964</v>
      </c>
      <c r="B234" t="s">
        <v>424</v>
      </c>
      <c r="C234" t="s">
        <v>772</v>
      </c>
      <c r="D234" s="138">
        <v>3310000</v>
      </c>
      <c r="E234" t="s">
        <v>384</v>
      </c>
      <c r="F234" s="20" t="s">
        <v>385</v>
      </c>
      <c r="G234" s="8" t="str">
        <f t="shared" si="6"/>
        <v>ANDERS STEVEN</v>
      </c>
      <c r="H234" s="20" t="str">
        <f t="shared" si="7"/>
        <v>4002</v>
      </c>
    </row>
    <row r="235" spans="1:8" x14ac:dyDescent="0.3">
      <c r="A235" s="8">
        <v>43026.809212962966</v>
      </c>
      <c r="B235" t="s">
        <v>423</v>
      </c>
      <c r="C235" t="s">
        <v>780</v>
      </c>
      <c r="D235" s="138">
        <v>3310000</v>
      </c>
      <c r="E235" t="s">
        <v>384</v>
      </c>
      <c r="F235" s="20" t="s">
        <v>385</v>
      </c>
      <c r="G235" s="8" t="str">
        <f t="shared" si="6"/>
        <v>ANDERS STEVEN</v>
      </c>
      <c r="H235" s="20" t="str">
        <f t="shared" si="7"/>
        <v>4001</v>
      </c>
    </row>
    <row r="236" spans="1:8" x14ac:dyDescent="0.3">
      <c r="A236" s="8">
        <v>43026.810995370368</v>
      </c>
      <c r="B236" t="s">
        <v>460</v>
      </c>
      <c r="C236" t="s">
        <v>781</v>
      </c>
      <c r="D236" s="138">
        <v>2680000</v>
      </c>
      <c r="E236" t="s">
        <v>364</v>
      </c>
      <c r="F236" s="20" t="s">
        <v>365</v>
      </c>
      <c r="G236" s="8" t="str">
        <f t="shared" si="6"/>
        <v>DUNCAN SHEILA</v>
      </c>
      <c r="H236" s="20" t="str">
        <f t="shared" si="7"/>
        <v>4020</v>
      </c>
    </row>
    <row r="237" spans="1:8" x14ac:dyDescent="0.3">
      <c r="A237" s="8">
        <v>43026.811192129629</v>
      </c>
      <c r="B237" t="s">
        <v>576</v>
      </c>
      <c r="C237" t="s">
        <v>782</v>
      </c>
      <c r="D237" s="138">
        <v>3280000</v>
      </c>
      <c r="E237" t="s">
        <v>517</v>
      </c>
      <c r="F237" s="20" t="s">
        <v>518</v>
      </c>
      <c r="G237" s="8" t="str">
        <f t="shared" si="6"/>
        <v>BIRKHOLZ NADINE</v>
      </c>
      <c r="H237" s="20" t="str">
        <f t="shared" si="7"/>
        <v>4017</v>
      </c>
    </row>
    <row r="238" spans="1:8" x14ac:dyDescent="0.3">
      <c r="A238" s="8">
        <v>43026.819189814814</v>
      </c>
      <c r="B238" t="s">
        <v>563</v>
      </c>
      <c r="C238" t="s">
        <v>783</v>
      </c>
      <c r="D238" s="138">
        <v>2420000</v>
      </c>
      <c r="E238" t="s">
        <v>706</v>
      </c>
      <c r="F238" s="20" t="s">
        <v>707</v>
      </c>
      <c r="G238" s="8" t="str">
        <f t="shared" si="6"/>
        <v>HOLCOMB KAMDEN</v>
      </c>
      <c r="H238" s="20" t="str">
        <f t="shared" si="7"/>
        <v>4062</v>
      </c>
    </row>
    <row r="239" spans="1:8" x14ac:dyDescent="0.3">
      <c r="A239" s="8">
        <v>43026.829479166663</v>
      </c>
      <c r="B239" t="s">
        <v>431</v>
      </c>
      <c r="C239" t="s">
        <v>784</v>
      </c>
      <c r="D239" s="138">
        <v>3220000</v>
      </c>
      <c r="E239" t="s">
        <v>444</v>
      </c>
      <c r="F239" s="20" t="s">
        <v>445</v>
      </c>
      <c r="G239" s="8" t="str">
        <f t="shared" si="6"/>
        <v>RESPASS AARON</v>
      </c>
      <c r="H239" s="20" t="str">
        <f t="shared" si="7"/>
        <v>4025</v>
      </c>
    </row>
    <row r="240" spans="1:8" x14ac:dyDescent="0.3">
      <c r="A240" s="8">
        <v>43026.831597222219</v>
      </c>
      <c r="B240" t="s">
        <v>379</v>
      </c>
      <c r="C240" t="s">
        <v>785</v>
      </c>
      <c r="D240" s="138">
        <v>890000</v>
      </c>
      <c r="E240" t="s">
        <v>358</v>
      </c>
      <c r="F240" s="20" t="s">
        <v>359</v>
      </c>
      <c r="G240" s="8" t="str">
        <f t="shared" si="6"/>
        <v>LOZA FIDEL</v>
      </c>
      <c r="H240" s="20" t="str">
        <f t="shared" si="7"/>
        <v>4040</v>
      </c>
    </row>
    <row r="241" spans="1:8" x14ac:dyDescent="0.3">
      <c r="A241" s="8">
        <v>43026.8362037037</v>
      </c>
      <c r="B241" t="s">
        <v>549</v>
      </c>
      <c r="C241" t="s">
        <v>786</v>
      </c>
      <c r="D241" s="138">
        <v>3280000</v>
      </c>
      <c r="E241" t="s">
        <v>517</v>
      </c>
      <c r="F241" s="20" t="s">
        <v>518</v>
      </c>
      <c r="G241" s="8" t="str">
        <f t="shared" si="6"/>
        <v>BIRKHOLZ NADINE</v>
      </c>
      <c r="H241" s="20" t="str">
        <f t="shared" si="7"/>
        <v>4018</v>
      </c>
    </row>
    <row r="242" spans="1:8" x14ac:dyDescent="0.3">
      <c r="A242" s="8">
        <v>43026.84574074074</v>
      </c>
      <c r="B242" t="s">
        <v>461</v>
      </c>
      <c r="C242" t="s">
        <v>787</v>
      </c>
      <c r="D242" s="138">
        <v>2680000</v>
      </c>
      <c r="E242" t="s">
        <v>364</v>
      </c>
      <c r="F242" s="20" t="s">
        <v>365</v>
      </c>
      <c r="G242" s="8" t="str">
        <f t="shared" si="6"/>
        <v>DUNCAN SHEILA</v>
      </c>
      <c r="H242" s="20" t="str">
        <f t="shared" si="7"/>
        <v>4019</v>
      </c>
    </row>
    <row r="243" spans="1:8" x14ac:dyDescent="0.3">
      <c r="A243" s="8">
        <v>43026.851944444446</v>
      </c>
      <c r="B243" t="s">
        <v>576</v>
      </c>
      <c r="C243" t="s">
        <v>788</v>
      </c>
      <c r="D243" s="138">
        <v>3280000</v>
      </c>
      <c r="E243" t="s">
        <v>517</v>
      </c>
      <c r="F243" s="20" t="s">
        <v>518</v>
      </c>
      <c r="G243" s="8" t="str">
        <f t="shared" si="6"/>
        <v>BIRKHOLZ NADINE</v>
      </c>
      <c r="H243" s="20" t="str">
        <f t="shared" si="7"/>
        <v>4017</v>
      </c>
    </row>
    <row r="244" spans="1:8" x14ac:dyDescent="0.3">
      <c r="A244" s="8">
        <v>43026.852488425924</v>
      </c>
      <c r="B244" t="s">
        <v>424</v>
      </c>
      <c r="C244" t="s">
        <v>789</v>
      </c>
      <c r="D244" s="138">
        <v>3310000</v>
      </c>
      <c r="E244" t="s">
        <v>384</v>
      </c>
      <c r="F244" s="20" t="s">
        <v>385</v>
      </c>
      <c r="G244" s="8" t="str">
        <f t="shared" si="6"/>
        <v>ANDERS STEVEN</v>
      </c>
      <c r="H244" s="20" t="str">
        <f t="shared" si="7"/>
        <v>4002</v>
      </c>
    </row>
    <row r="245" spans="1:8" x14ac:dyDescent="0.3">
      <c r="A245" s="8">
        <v>43026.870393518519</v>
      </c>
      <c r="B245" t="s">
        <v>432</v>
      </c>
      <c r="C245" t="s">
        <v>790</v>
      </c>
      <c r="D245" s="138">
        <v>3220000</v>
      </c>
      <c r="E245" t="s">
        <v>444</v>
      </c>
      <c r="F245" s="20" t="s">
        <v>445</v>
      </c>
      <c r="G245" s="8" t="str">
        <f t="shared" si="6"/>
        <v>RESPASS AARON</v>
      </c>
      <c r="H245" s="20" t="str">
        <f t="shared" si="7"/>
        <v>4026</v>
      </c>
    </row>
    <row r="246" spans="1:8" x14ac:dyDescent="0.3">
      <c r="A246" s="8">
        <v>43026.871481481481</v>
      </c>
      <c r="B246" t="s">
        <v>599</v>
      </c>
      <c r="C246" t="s">
        <v>791</v>
      </c>
      <c r="D246" s="138">
        <v>890000</v>
      </c>
      <c r="E246" t="s">
        <v>358</v>
      </c>
      <c r="F246" s="20" t="s">
        <v>359</v>
      </c>
      <c r="G246" s="8" t="str">
        <f t="shared" si="6"/>
        <v>LOZA FIDEL</v>
      </c>
      <c r="H246" s="20" t="str">
        <f t="shared" si="7"/>
        <v>4039</v>
      </c>
    </row>
    <row r="247" spans="1:8" x14ac:dyDescent="0.3">
      <c r="A247" s="8">
        <v>43026.879675925928</v>
      </c>
      <c r="B247" t="s">
        <v>549</v>
      </c>
      <c r="C247" t="s">
        <v>590</v>
      </c>
      <c r="D247" s="138">
        <v>2000000</v>
      </c>
      <c r="E247" t="s">
        <v>370</v>
      </c>
      <c r="F247" s="20" t="s">
        <v>361</v>
      </c>
      <c r="G247" s="8" t="str">
        <f t="shared" si="6"/>
        <v>STAMBAUGH JAMES</v>
      </c>
      <c r="H247" s="20" t="str">
        <f t="shared" si="7"/>
        <v>4018</v>
      </c>
    </row>
    <row r="248" spans="1:8" x14ac:dyDescent="0.3">
      <c r="A248" s="8">
        <v>43026.887175925927</v>
      </c>
      <c r="B248" t="s">
        <v>423</v>
      </c>
      <c r="C248" t="s">
        <v>792</v>
      </c>
      <c r="D248" s="138">
        <v>3310000</v>
      </c>
      <c r="E248" t="s">
        <v>384</v>
      </c>
      <c r="F248" s="20" t="s">
        <v>385</v>
      </c>
      <c r="G248" s="8" t="str">
        <f t="shared" si="6"/>
        <v>ANDERS STEVEN</v>
      </c>
      <c r="H248" s="20" t="str">
        <f t="shared" si="7"/>
        <v>4001</v>
      </c>
    </row>
    <row r="249" spans="1:8" x14ac:dyDescent="0.3">
      <c r="A249" s="8">
        <v>43026.889456018522</v>
      </c>
      <c r="B249" t="s">
        <v>460</v>
      </c>
      <c r="C249" t="s">
        <v>793</v>
      </c>
      <c r="D249" s="138">
        <v>2680000</v>
      </c>
      <c r="E249" t="s">
        <v>364</v>
      </c>
      <c r="F249" s="20" t="s">
        <v>365</v>
      </c>
      <c r="G249" s="8" t="str">
        <f t="shared" si="6"/>
        <v>DUNCAN SHEILA</v>
      </c>
      <c r="H249" s="20" t="str">
        <f t="shared" si="7"/>
        <v>4020</v>
      </c>
    </row>
    <row r="250" spans="1:8" x14ac:dyDescent="0.3">
      <c r="A250" s="8">
        <v>43026.893761574072</v>
      </c>
      <c r="B250" t="s">
        <v>576</v>
      </c>
      <c r="C250" t="s">
        <v>794</v>
      </c>
      <c r="D250" s="138">
        <v>2000000</v>
      </c>
      <c r="E250" t="s">
        <v>370</v>
      </c>
      <c r="F250" s="20" t="s">
        <v>361</v>
      </c>
      <c r="G250" s="8" t="str">
        <f t="shared" si="6"/>
        <v>STAMBAUGH JAMES</v>
      </c>
      <c r="H250" s="20" t="str">
        <f t="shared" si="7"/>
        <v>4017</v>
      </c>
    </row>
    <row r="251" spans="1:8" x14ac:dyDescent="0.3">
      <c r="A251" s="8">
        <v>43026.912395833337</v>
      </c>
      <c r="B251" t="s">
        <v>431</v>
      </c>
      <c r="C251" t="s">
        <v>591</v>
      </c>
      <c r="D251" s="138">
        <v>3220000</v>
      </c>
      <c r="E251" t="s">
        <v>444</v>
      </c>
      <c r="F251" s="20" t="s">
        <v>445</v>
      </c>
      <c r="G251" s="8" t="str">
        <f t="shared" si="6"/>
        <v>RESPASS AARON</v>
      </c>
      <c r="H251" s="20" t="str">
        <f t="shared" si="7"/>
        <v>4025</v>
      </c>
    </row>
    <row r="252" spans="1:8" x14ac:dyDescent="0.3">
      <c r="A252" s="8">
        <v>43026.912881944445</v>
      </c>
      <c r="B252" t="s">
        <v>379</v>
      </c>
      <c r="C252" t="s">
        <v>795</v>
      </c>
      <c r="D252" s="138">
        <v>890000</v>
      </c>
      <c r="E252" t="s">
        <v>358</v>
      </c>
      <c r="F252" s="20" t="s">
        <v>359</v>
      </c>
      <c r="G252" s="8" t="str">
        <f t="shared" si="6"/>
        <v>LOZA FIDEL</v>
      </c>
      <c r="H252" s="20" t="str">
        <f t="shared" si="7"/>
        <v>4040</v>
      </c>
    </row>
    <row r="253" spans="1:8" x14ac:dyDescent="0.3">
      <c r="A253" s="8">
        <v>43026.92150462963</v>
      </c>
      <c r="B253" t="s">
        <v>549</v>
      </c>
      <c r="C253" t="s">
        <v>794</v>
      </c>
      <c r="D253" s="138">
        <v>2000000</v>
      </c>
      <c r="E253" t="s">
        <v>370</v>
      </c>
      <c r="F253" s="20" t="s">
        <v>361</v>
      </c>
      <c r="G253" s="8" t="str">
        <f t="shared" si="6"/>
        <v>STAMBAUGH JAMES</v>
      </c>
      <c r="H253" s="20" t="str">
        <f t="shared" si="7"/>
        <v>4018</v>
      </c>
    </row>
    <row r="254" spans="1:8" x14ac:dyDescent="0.3">
      <c r="A254" s="8">
        <v>43026.922581018516</v>
      </c>
      <c r="B254" t="s">
        <v>549</v>
      </c>
      <c r="C254" t="s">
        <v>796</v>
      </c>
      <c r="D254" s="138">
        <v>2000000</v>
      </c>
      <c r="E254" t="s">
        <v>370</v>
      </c>
      <c r="F254" s="20" t="s">
        <v>361</v>
      </c>
      <c r="G254" s="8" t="str">
        <f t="shared" si="6"/>
        <v>STAMBAUGH JAMES</v>
      </c>
      <c r="H254" s="20" t="str">
        <f t="shared" si="7"/>
        <v>4018</v>
      </c>
    </row>
    <row r="255" spans="1:8" x14ac:dyDescent="0.3">
      <c r="A255" s="8">
        <v>43026.928298611114</v>
      </c>
      <c r="B255" t="s">
        <v>461</v>
      </c>
      <c r="C255" t="s">
        <v>797</v>
      </c>
      <c r="D255" s="138">
        <v>2680000</v>
      </c>
      <c r="E255" t="s">
        <v>364</v>
      </c>
      <c r="F255" s="20" t="s">
        <v>365</v>
      </c>
      <c r="G255" s="8" t="str">
        <f t="shared" si="6"/>
        <v>DUNCAN SHEILA</v>
      </c>
      <c r="H255" s="20" t="str">
        <f t="shared" si="7"/>
        <v>4019</v>
      </c>
    </row>
    <row r="256" spans="1:8" x14ac:dyDescent="0.3">
      <c r="A256" s="8">
        <v>43026.933692129627</v>
      </c>
      <c r="B256" t="s">
        <v>576</v>
      </c>
      <c r="C256" t="s">
        <v>798</v>
      </c>
      <c r="D256" s="138">
        <v>2000000</v>
      </c>
      <c r="E256" t="s">
        <v>370</v>
      </c>
      <c r="F256" s="20" t="s">
        <v>361</v>
      </c>
      <c r="G256" s="8" t="str">
        <f t="shared" si="6"/>
        <v>STAMBAUGH JAMES</v>
      </c>
      <c r="H256" s="20" t="str">
        <f t="shared" si="7"/>
        <v>4017</v>
      </c>
    </row>
    <row r="257" spans="1:8" x14ac:dyDescent="0.3">
      <c r="A257" s="8">
        <v>43026.934953703705</v>
      </c>
      <c r="B257" t="s">
        <v>424</v>
      </c>
      <c r="C257" t="s">
        <v>799</v>
      </c>
      <c r="D257" s="138">
        <v>3310000</v>
      </c>
      <c r="E257" t="s">
        <v>384</v>
      </c>
      <c r="F257" s="20" t="s">
        <v>385</v>
      </c>
      <c r="G257" s="8" t="str">
        <f t="shared" si="6"/>
        <v>ANDERS STEVEN</v>
      </c>
      <c r="H257" s="20" t="str">
        <f t="shared" si="7"/>
        <v>4002</v>
      </c>
    </row>
    <row r="258" spans="1:8" x14ac:dyDescent="0.3">
      <c r="A258" s="8">
        <v>43026.954155092593</v>
      </c>
      <c r="B258" t="s">
        <v>432</v>
      </c>
      <c r="C258" t="s">
        <v>800</v>
      </c>
      <c r="D258" s="138">
        <v>3220000</v>
      </c>
      <c r="E258" t="s">
        <v>444</v>
      </c>
      <c r="F258" s="20" t="s">
        <v>445</v>
      </c>
      <c r="G258" s="8" t="str">
        <f t="shared" si="6"/>
        <v>RESPASS AARON</v>
      </c>
      <c r="H258" s="20" t="str">
        <f t="shared" si="7"/>
        <v>4026</v>
      </c>
    </row>
    <row r="259" spans="1:8" x14ac:dyDescent="0.3">
      <c r="A259" s="8">
        <v>43026.954340277778</v>
      </c>
      <c r="B259" t="s">
        <v>599</v>
      </c>
      <c r="C259" t="s">
        <v>801</v>
      </c>
      <c r="D259" s="138">
        <v>890000</v>
      </c>
      <c r="E259" t="s">
        <v>358</v>
      </c>
      <c r="F259" s="20" t="s">
        <v>359</v>
      </c>
      <c r="G259" s="8" t="str">
        <f t="shared" ref="G259:G273" si="8">E259&amp;" "&amp;F259</f>
        <v>LOZA FIDEL</v>
      </c>
      <c r="H259" s="20" t="str">
        <f t="shared" ref="H259:H273" si="9">MID(B259,13,4)</f>
        <v>4039</v>
      </c>
    </row>
    <row r="260" spans="1:8" x14ac:dyDescent="0.3">
      <c r="A260" s="8">
        <v>43026.962638888886</v>
      </c>
      <c r="B260" t="s">
        <v>549</v>
      </c>
      <c r="C260" t="s">
        <v>802</v>
      </c>
      <c r="D260" s="138">
        <v>2000000</v>
      </c>
      <c r="E260" t="s">
        <v>370</v>
      </c>
      <c r="F260" s="20" t="s">
        <v>361</v>
      </c>
      <c r="G260" s="8" t="str">
        <f t="shared" si="8"/>
        <v>STAMBAUGH JAMES</v>
      </c>
      <c r="H260" s="20" t="str">
        <f t="shared" si="9"/>
        <v>4018</v>
      </c>
    </row>
    <row r="261" spans="1:8" x14ac:dyDescent="0.3">
      <c r="A261" s="8">
        <v>43026.963368055556</v>
      </c>
      <c r="B261" t="s">
        <v>460</v>
      </c>
      <c r="C261" t="s">
        <v>803</v>
      </c>
      <c r="D261" s="138">
        <v>2680000</v>
      </c>
      <c r="E261" t="s">
        <v>364</v>
      </c>
      <c r="F261" s="20" t="s">
        <v>365</v>
      </c>
      <c r="G261" s="8" t="str">
        <f t="shared" si="8"/>
        <v>DUNCAN SHEILA</v>
      </c>
      <c r="H261" s="20" t="str">
        <f t="shared" si="9"/>
        <v>4020</v>
      </c>
    </row>
    <row r="262" spans="1:8" x14ac:dyDescent="0.3">
      <c r="A262" s="8">
        <v>43026.974120370367</v>
      </c>
      <c r="B262" t="s">
        <v>423</v>
      </c>
      <c r="C262" t="s">
        <v>799</v>
      </c>
      <c r="D262" s="138">
        <v>3310000</v>
      </c>
      <c r="E262" t="s">
        <v>384</v>
      </c>
      <c r="F262" s="20" t="s">
        <v>385</v>
      </c>
      <c r="G262" s="8" t="str">
        <f t="shared" si="8"/>
        <v>ANDERS STEVEN</v>
      </c>
      <c r="H262" s="20" t="str">
        <f t="shared" si="9"/>
        <v>4001</v>
      </c>
    </row>
    <row r="263" spans="1:8" x14ac:dyDescent="0.3">
      <c r="A263" s="8">
        <v>43026.974675925929</v>
      </c>
      <c r="B263" t="s">
        <v>576</v>
      </c>
      <c r="C263" t="s">
        <v>804</v>
      </c>
      <c r="D263" s="138">
        <v>2000000</v>
      </c>
      <c r="E263" t="s">
        <v>370</v>
      </c>
      <c r="F263" s="20" t="s">
        <v>361</v>
      </c>
      <c r="G263" s="8" t="str">
        <f t="shared" si="8"/>
        <v>STAMBAUGH JAMES</v>
      </c>
      <c r="H263" s="20" t="str">
        <f t="shared" si="9"/>
        <v>4017</v>
      </c>
    </row>
    <row r="264" spans="1:8" x14ac:dyDescent="0.3">
      <c r="A264" s="8">
        <v>43026.975381944445</v>
      </c>
      <c r="B264" t="s">
        <v>423</v>
      </c>
      <c r="C264" t="s">
        <v>799</v>
      </c>
      <c r="D264" s="138">
        <v>3310000</v>
      </c>
      <c r="E264" t="s">
        <v>384</v>
      </c>
      <c r="F264" s="20" t="s">
        <v>385</v>
      </c>
      <c r="G264" s="8" t="str">
        <f t="shared" si="8"/>
        <v>ANDERS STEVEN</v>
      </c>
      <c r="H264" s="20" t="str">
        <f t="shared" si="9"/>
        <v>4001</v>
      </c>
    </row>
    <row r="265" spans="1:8" x14ac:dyDescent="0.3">
      <c r="A265" s="8">
        <v>43026.985069444447</v>
      </c>
      <c r="B265" t="s">
        <v>423</v>
      </c>
      <c r="C265" t="s">
        <v>799</v>
      </c>
      <c r="D265" s="138">
        <v>3310000</v>
      </c>
      <c r="E265" t="s">
        <v>384</v>
      </c>
      <c r="F265" s="20" t="s">
        <v>385</v>
      </c>
      <c r="G265" s="8" t="str">
        <f t="shared" si="8"/>
        <v>ANDERS STEVEN</v>
      </c>
      <c r="H265" s="20" t="str">
        <f t="shared" si="9"/>
        <v>4001</v>
      </c>
    </row>
    <row r="266" spans="1:8" x14ac:dyDescent="0.3">
      <c r="A266" s="8">
        <v>43026.985613425924</v>
      </c>
      <c r="B266" t="s">
        <v>423</v>
      </c>
      <c r="C266" t="s">
        <v>805</v>
      </c>
      <c r="D266" s="138">
        <v>3310000</v>
      </c>
      <c r="E266" t="s">
        <v>384</v>
      </c>
      <c r="F266" s="20" t="s">
        <v>385</v>
      </c>
      <c r="G266" s="8" t="str">
        <f t="shared" si="8"/>
        <v>ANDERS STEVEN</v>
      </c>
      <c r="H266" s="20" t="str">
        <f t="shared" si="9"/>
        <v>4001</v>
      </c>
    </row>
    <row r="267" spans="1:8" x14ac:dyDescent="0.3">
      <c r="A267" s="8">
        <v>43026.995486111111</v>
      </c>
      <c r="B267" t="s">
        <v>431</v>
      </c>
      <c r="C267" t="s">
        <v>806</v>
      </c>
      <c r="D267" s="138">
        <v>3220000</v>
      </c>
      <c r="E267" t="s">
        <v>444</v>
      </c>
      <c r="F267" s="20" t="s">
        <v>445</v>
      </c>
      <c r="G267" s="8" t="str">
        <f t="shared" si="8"/>
        <v>RESPASS AARON</v>
      </c>
      <c r="H267" s="20" t="str">
        <f t="shared" si="9"/>
        <v>4025</v>
      </c>
    </row>
    <row r="268" spans="1:8" x14ac:dyDescent="0.3">
      <c r="A268" s="8">
        <v>43026.998240740744</v>
      </c>
      <c r="B268" t="s">
        <v>379</v>
      </c>
      <c r="C268" t="s">
        <v>807</v>
      </c>
      <c r="D268" s="138">
        <v>890000</v>
      </c>
      <c r="E268" t="s">
        <v>358</v>
      </c>
      <c r="F268" s="20" t="s">
        <v>359</v>
      </c>
      <c r="G268" s="8" t="str">
        <f t="shared" si="8"/>
        <v>LOZA FIDEL</v>
      </c>
      <c r="H268" s="20" t="str">
        <f t="shared" si="9"/>
        <v>4040</v>
      </c>
    </row>
    <row r="269" spans="1:8" x14ac:dyDescent="0.3">
      <c r="A269" s="8">
        <v>43027.005752314813</v>
      </c>
      <c r="B269" t="s">
        <v>461</v>
      </c>
      <c r="C269" t="s">
        <v>808</v>
      </c>
      <c r="D269" s="138">
        <v>2680000</v>
      </c>
      <c r="E269" t="s">
        <v>364</v>
      </c>
      <c r="F269" s="20" t="s">
        <v>365</v>
      </c>
      <c r="G269" s="8" t="str">
        <f t="shared" si="8"/>
        <v>DUNCAN SHEILA</v>
      </c>
      <c r="H269" s="20" t="str">
        <f t="shared" si="9"/>
        <v>4019</v>
      </c>
    </row>
    <row r="270" spans="1:8" x14ac:dyDescent="0.3">
      <c r="A270" s="8">
        <v>43027.011979166666</v>
      </c>
      <c r="B270" t="s">
        <v>424</v>
      </c>
      <c r="C270" t="s">
        <v>809</v>
      </c>
      <c r="D270" s="138">
        <v>3310000</v>
      </c>
      <c r="E270" t="s">
        <v>384</v>
      </c>
      <c r="F270" s="20" t="s">
        <v>385</v>
      </c>
      <c r="G270" s="8" t="str">
        <f t="shared" si="8"/>
        <v>ANDERS STEVEN</v>
      </c>
      <c r="H270" s="20" t="str">
        <f t="shared" si="9"/>
        <v>4002</v>
      </c>
    </row>
    <row r="271" spans="1:8" x14ac:dyDescent="0.3">
      <c r="A271" s="8">
        <v>43027.025312500002</v>
      </c>
      <c r="B271" t="s">
        <v>458</v>
      </c>
      <c r="C271" t="s">
        <v>810</v>
      </c>
      <c r="D271" s="138">
        <v>2540000</v>
      </c>
      <c r="E271" t="s">
        <v>398</v>
      </c>
      <c r="F271" s="20" t="s">
        <v>399</v>
      </c>
      <c r="G271" s="8" t="str">
        <f t="shared" si="8"/>
        <v>MCREYNOLDS KYLE</v>
      </c>
      <c r="H271" s="20" t="str">
        <f t="shared" si="9"/>
        <v>4060</v>
      </c>
    </row>
    <row r="272" spans="1:8" x14ac:dyDescent="0.3">
      <c r="A272" s="8">
        <v>43027.025520833333</v>
      </c>
      <c r="B272" t="s">
        <v>432</v>
      </c>
      <c r="C272" t="s">
        <v>811</v>
      </c>
      <c r="D272" s="138">
        <v>3220000</v>
      </c>
      <c r="E272" t="s">
        <v>444</v>
      </c>
      <c r="F272" s="20" t="s">
        <v>445</v>
      </c>
      <c r="G272" s="8" t="str">
        <f t="shared" si="8"/>
        <v>RESPASS AARON</v>
      </c>
      <c r="H272" s="20" t="str">
        <f t="shared" si="9"/>
        <v>4026</v>
      </c>
    </row>
    <row r="273" spans="1:8" x14ac:dyDescent="0.3">
      <c r="A273" s="8">
        <v>43027.038159722222</v>
      </c>
      <c r="B273" t="s">
        <v>599</v>
      </c>
      <c r="C273" t="s">
        <v>812</v>
      </c>
      <c r="D273" s="138">
        <v>890000</v>
      </c>
      <c r="E273" t="s">
        <v>358</v>
      </c>
      <c r="F273" s="20" t="s">
        <v>359</v>
      </c>
      <c r="G273" s="8" t="str">
        <f t="shared" si="8"/>
        <v>LOZA FIDEL</v>
      </c>
      <c r="H273" s="20" t="str">
        <f t="shared" si="9"/>
        <v>4039</v>
      </c>
    </row>
    <row r="274" spans="1:8" x14ac:dyDescent="0.3">
      <c r="A274" s="8">
        <v>43027.046354166669</v>
      </c>
      <c r="B274" t="s">
        <v>460</v>
      </c>
      <c r="C274" t="s">
        <v>813</v>
      </c>
      <c r="D274" s="138">
        <v>2680000</v>
      </c>
      <c r="E274" t="s">
        <v>364</v>
      </c>
      <c r="F274" s="20" t="s">
        <v>365</v>
      </c>
    </row>
    <row r="275" spans="1:8" x14ac:dyDescent="0.3">
      <c r="A275" s="8">
        <v>43027.049861111111</v>
      </c>
      <c r="B275" t="s">
        <v>423</v>
      </c>
      <c r="C275" t="s">
        <v>814</v>
      </c>
      <c r="D275" s="138">
        <v>3310000</v>
      </c>
      <c r="E275" t="s">
        <v>384</v>
      </c>
      <c r="F275" s="20" t="s">
        <v>385</v>
      </c>
    </row>
    <row r="276" spans="1:8" x14ac:dyDescent="0.3">
      <c r="A276" s="8">
        <v>43027.069328703707</v>
      </c>
      <c r="B276" t="s">
        <v>379</v>
      </c>
      <c r="C276" t="s">
        <v>815</v>
      </c>
      <c r="D276" s="138">
        <v>890000</v>
      </c>
      <c r="E276" t="s">
        <v>358</v>
      </c>
      <c r="F276" s="20" t="s">
        <v>359</v>
      </c>
    </row>
    <row r="277" spans="1:8" x14ac:dyDescent="0.3">
      <c r="A277" s="8">
        <v>43027.089432870373</v>
      </c>
      <c r="B277" t="s">
        <v>424</v>
      </c>
      <c r="C277" t="s">
        <v>592</v>
      </c>
      <c r="D277" s="138">
        <v>3310000</v>
      </c>
      <c r="E277" t="s">
        <v>384</v>
      </c>
      <c r="F277" s="20" t="s">
        <v>385</v>
      </c>
    </row>
    <row r="278" spans="1:8" x14ac:dyDescent="0.3">
      <c r="A278" s="8">
        <v>43027.114016203705</v>
      </c>
      <c r="B278" t="s">
        <v>462</v>
      </c>
      <c r="C278" t="s">
        <v>816</v>
      </c>
      <c r="D278" s="138">
        <v>900000</v>
      </c>
      <c r="E278" t="s">
        <v>382</v>
      </c>
      <c r="F278" s="20" t="s">
        <v>383</v>
      </c>
    </row>
    <row r="279" spans="1:8" x14ac:dyDescent="0.3">
      <c r="A279" s="8">
        <v>43027.114305555559</v>
      </c>
      <c r="B279" t="s">
        <v>408</v>
      </c>
      <c r="C279" t="s">
        <v>817</v>
      </c>
      <c r="D279" s="138">
        <v>1830000</v>
      </c>
      <c r="E279" t="s">
        <v>373</v>
      </c>
      <c r="F279" s="20" t="s">
        <v>374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157</v>
      </c>
      <c r="K1" s="218" t="s">
        <v>155</v>
      </c>
      <c r="L1" s="218" t="s">
        <v>150</v>
      </c>
      <c r="M1" s="218" t="s">
        <v>160</v>
      </c>
      <c r="N1" s="218" t="s">
        <v>342</v>
      </c>
      <c r="O1" s="218" t="s">
        <v>154</v>
      </c>
      <c r="P1" s="218" t="s">
        <v>161</v>
      </c>
      <c r="Q1" s="218" t="s">
        <v>343</v>
      </c>
      <c r="R1" s="218" t="s">
        <v>158</v>
      </c>
      <c r="S1"/>
      <c r="T1"/>
    </row>
    <row r="2" spans="1:20" x14ac:dyDescent="0.3">
      <c r="A2" s="196">
        <v>51.29</v>
      </c>
      <c r="B2" s="196">
        <v>0.06</v>
      </c>
      <c r="C2" s="196">
        <v>22.72</v>
      </c>
      <c r="D2" s="8">
        <v>43026</v>
      </c>
      <c r="E2" s="196">
        <v>0.32</v>
      </c>
      <c r="F2" s="196" t="s">
        <v>394</v>
      </c>
      <c r="G2" s="196">
        <v>266.95</v>
      </c>
      <c r="H2" s="196">
        <v>0</v>
      </c>
      <c r="I2" s="196">
        <v>0</v>
      </c>
      <c r="J2" s="196">
        <v>1013.69</v>
      </c>
      <c r="K2" s="196" t="s">
        <v>395</v>
      </c>
      <c r="L2" s="196">
        <v>51.29</v>
      </c>
      <c r="M2" s="196">
        <v>1508306400</v>
      </c>
      <c r="N2" s="196">
        <v>0</v>
      </c>
      <c r="O2" s="196">
        <v>2.64</v>
      </c>
      <c r="P2" s="196">
        <v>176</v>
      </c>
      <c r="Q2" s="196">
        <v>5.35</v>
      </c>
      <c r="R2" s="196">
        <v>2.1</v>
      </c>
      <c r="S2"/>
      <c r="T2"/>
    </row>
    <row r="3" spans="1:20" x14ac:dyDescent="0.3">
      <c r="A3" s="196">
        <v>51.1</v>
      </c>
      <c r="B3" s="196">
        <v>7.0000000000000007E-2</v>
      </c>
      <c r="C3" s="196">
        <v>22.09</v>
      </c>
      <c r="D3" s="8">
        <v>43026.041666666664</v>
      </c>
      <c r="E3" s="196">
        <v>0.32</v>
      </c>
      <c r="F3" s="196" t="s">
        <v>394</v>
      </c>
      <c r="G3" s="196">
        <v>265.83</v>
      </c>
      <c r="H3" s="196">
        <v>0</v>
      </c>
      <c r="I3" s="196">
        <v>0</v>
      </c>
      <c r="J3" s="196">
        <v>1014.46</v>
      </c>
      <c r="K3" s="196" t="s">
        <v>395</v>
      </c>
      <c r="L3" s="196">
        <v>51.1</v>
      </c>
      <c r="M3" s="196">
        <v>1508310000</v>
      </c>
      <c r="N3" s="196">
        <v>0</v>
      </c>
      <c r="O3" s="196">
        <v>2.4300000000000002</v>
      </c>
      <c r="P3" s="196">
        <v>183</v>
      </c>
      <c r="Q3" s="196">
        <v>5.46</v>
      </c>
      <c r="R3" s="196">
        <v>2.08</v>
      </c>
      <c r="S3"/>
      <c r="T3"/>
    </row>
    <row r="4" spans="1:20" x14ac:dyDescent="0.3">
      <c r="A4" s="196">
        <v>51.77</v>
      </c>
      <c r="B4" s="196">
        <v>0.04</v>
      </c>
      <c r="C4" s="196">
        <v>22.06</v>
      </c>
      <c r="D4" s="8">
        <v>43026.083333333336</v>
      </c>
      <c r="E4" s="196">
        <v>0.31</v>
      </c>
      <c r="F4" s="196" t="s">
        <v>394</v>
      </c>
      <c r="G4" s="196">
        <v>264.82</v>
      </c>
      <c r="H4" s="196">
        <v>0</v>
      </c>
      <c r="I4" s="196">
        <v>0</v>
      </c>
      <c r="J4" s="196">
        <v>1013.21</v>
      </c>
      <c r="K4" s="196" t="s">
        <v>395</v>
      </c>
      <c r="L4" s="196">
        <v>51.77</v>
      </c>
      <c r="M4" s="196">
        <v>1508313600</v>
      </c>
      <c r="N4" s="196">
        <v>0</v>
      </c>
      <c r="O4" s="196">
        <v>3.06</v>
      </c>
      <c r="P4" s="196">
        <v>196</v>
      </c>
      <c r="Q4" s="196">
        <v>4.78</v>
      </c>
      <c r="R4" s="196">
        <v>1.84</v>
      </c>
      <c r="S4"/>
      <c r="T4"/>
    </row>
    <row r="5" spans="1:20" x14ac:dyDescent="0.3">
      <c r="A5" s="196">
        <v>52.47</v>
      </c>
      <c r="B5" s="196">
        <v>0.06</v>
      </c>
      <c r="C5" s="196">
        <v>21.91</v>
      </c>
      <c r="D5" s="8">
        <v>43026.125</v>
      </c>
      <c r="E5" s="196">
        <v>0.3</v>
      </c>
      <c r="F5" s="196" t="s">
        <v>394</v>
      </c>
      <c r="G5" s="196">
        <v>264.2</v>
      </c>
      <c r="H5" s="196">
        <v>0</v>
      </c>
      <c r="I5" s="196">
        <v>0</v>
      </c>
      <c r="J5" s="196">
        <v>1013.09</v>
      </c>
      <c r="K5" s="196" t="s">
        <v>395</v>
      </c>
      <c r="L5" s="196">
        <v>52.47</v>
      </c>
      <c r="M5" s="196">
        <v>1508317200</v>
      </c>
      <c r="N5" s="196">
        <v>0</v>
      </c>
      <c r="O5" s="196">
        <v>2.92</v>
      </c>
      <c r="P5" s="196">
        <v>206</v>
      </c>
      <c r="Q5" s="196">
        <v>5.52</v>
      </c>
      <c r="R5" s="196">
        <v>2.17</v>
      </c>
      <c r="S5"/>
      <c r="T5"/>
    </row>
    <row r="6" spans="1:20" x14ac:dyDescent="0.3">
      <c r="A6" s="196">
        <v>52.82</v>
      </c>
      <c r="B6" s="196">
        <v>0.12</v>
      </c>
      <c r="C6" s="196">
        <v>21.49</v>
      </c>
      <c r="D6" s="8">
        <v>43026.166666666664</v>
      </c>
      <c r="E6" s="196">
        <v>0.28999999999999998</v>
      </c>
      <c r="F6" s="196" t="s">
        <v>394</v>
      </c>
      <c r="G6" s="196">
        <v>263.82</v>
      </c>
      <c r="H6" s="196">
        <v>0</v>
      </c>
      <c r="I6" s="196">
        <v>0</v>
      </c>
      <c r="J6" s="196">
        <v>1012.9</v>
      </c>
      <c r="K6" s="196" t="s">
        <v>395</v>
      </c>
      <c r="L6" s="196">
        <v>52.82</v>
      </c>
      <c r="M6" s="196">
        <v>1508320800</v>
      </c>
      <c r="N6" s="196">
        <v>0</v>
      </c>
      <c r="O6" s="196">
        <v>2.78</v>
      </c>
      <c r="P6" s="196">
        <v>208</v>
      </c>
      <c r="Q6" s="196">
        <v>4.71</v>
      </c>
      <c r="R6" s="196">
        <v>1.78</v>
      </c>
      <c r="S6"/>
      <c r="T6"/>
    </row>
    <row r="7" spans="1:20" x14ac:dyDescent="0.3">
      <c r="A7" s="196">
        <v>53.79</v>
      </c>
      <c r="B7" s="196">
        <v>7.0000000000000007E-2</v>
      </c>
      <c r="C7" s="196">
        <v>20.11</v>
      </c>
      <c r="D7" s="8">
        <v>43026.208333333336</v>
      </c>
      <c r="E7" s="196">
        <v>0.26</v>
      </c>
      <c r="F7" s="196" t="s">
        <v>394</v>
      </c>
      <c r="G7" s="196">
        <v>263.58</v>
      </c>
      <c r="H7" s="196">
        <v>0</v>
      </c>
      <c r="I7" s="196">
        <v>0</v>
      </c>
      <c r="J7" s="196">
        <v>1013.41</v>
      </c>
      <c r="K7" s="196" t="s">
        <v>395</v>
      </c>
      <c r="L7" s="196">
        <v>53.79</v>
      </c>
      <c r="M7" s="196">
        <v>1508324400</v>
      </c>
      <c r="N7" s="196">
        <v>0</v>
      </c>
      <c r="O7" s="196">
        <v>3.29</v>
      </c>
      <c r="P7" s="196">
        <v>193</v>
      </c>
      <c r="Q7" s="196">
        <v>4.8499999999999996</v>
      </c>
      <c r="R7" s="196">
        <v>1.18</v>
      </c>
      <c r="S7"/>
      <c r="T7"/>
    </row>
    <row r="8" spans="1:20" x14ac:dyDescent="0.3">
      <c r="A8" s="196">
        <v>54.07</v>
      </c>
      <c r="B8" s="196">
        <v>0.15</v>
      </c>
      <c r="C8" s="196">
        <v>19.84</v>
      </c>
      <c r="D8" s="8">
        <v>43026.25</v>
      </c>
      <c r="E8" s="196">
        <v>0.26</v>
      </c>
      <c r="F8" s="196" t="s">
        <v>394</v>
      </c>
      <c r="G8" s="196">
        <v>267.95999999999998</v>
      </c>
      <c r="H8" s="196">
        <v>0</v>
      </c>
      <c r="I8" s="196">
        <v>0</v>
      </c>
      <c r="J8" s="196">
        <v>1014.62</v>
      </c>
      <c r="K8" s="196" t="s">
        <v>395</v>
      </c>
      <c r="L8" s="196">
        <v>54.07</v>
      </c>
      <c r="M8" s="196">
        <v>1508328000</v>
      </c>
      <c r="N8" s="196">
        <v>0</v>
      </c>
      <c r="O8" s="196">
        <v>3.29</v>
      </c>
      <c r="P8" s="196">
        <v>201</v>
      </c>
      <c r="Q8" s="196">
        <v>7.3</v>
      </c>
      <c r="R8" s="196">
        <v>2.39</v>
      </c>
      <c r="S8"/>
      <c r="T8"/>
    </row>
    <row r="9" spans="1:20" x14ac:dyDescent="0.3">
      <c r="A9" s="196">
        <v>56.12</v>
      </c>
      <c r="B9" s="196">
        <v>0.18</v>
      </c>
      <c r="C9" s="196">
        <v>18.41</v>
      </c>
      <c r="D9" s="8">
        <v>43026.291666666664</v>
      </c>
      <c r="E9" s="196">
        <v>0.23</v>
      </c>
      <c r="F9" s="196" t="s">
        <v>394</v>
      </c>
      <c r="G9" s="196">
        <v>268.45999999999998</v>
      </c>
      <c r="H9" s="196">
        <v>0</v>
      </c>
      <c r="I9" s="196">
        <v>0</v>
      </c>
      <c r="J9" s="196">
        <v>1015.67</v>
      </c>
      <c r="K9" s="196" t="s">
        <v>395</v>
      </c>
      <c r="L9" s="196">
        <v>56.12</v>
      </c>
      <c r="M9" s="196">
        <v>1508331600</v>
      </c>
      <c r="N9" s="196">
        <v>0</v>
      </c>
      <c r="O9" s="196">
        <v>3.72</v>
      </c>
      <c r="P9" s="196">
        <v>205</v>
      </c>
      <c r="Q9" s="196">
        <v>6.83</v>
      </c>
      <c r="R9" s="196">
        <v>2</v>
      </c>
      <c r="S9"/>
      <c r="T9"/>
    </row>
    <row r="10" spans="1:20" x14ac:dyDescent="0.3">
      <c r="A10" s="196">
        <v>55.04</v>
      </c>
      <c r="B10" s="196">
        <v>0.19</v>
      </c>
      <c r="C10" s="196">
        <v>19.45</v>
      </c>
      <c r="D10" s="8">
        <v>43026.333333333336</v>
      </c>
      <c r="E10" s="196">
        <v>0.25</v>
      </c>
      <c r="F10" s="196" t="s">
        <v>413</v>
      </c>
      <c r="G10" s="196">
        <v>268.58999999999997</v>
      </c>
      <c r="H10" s="196">
        <v>0</v>
      </c>
      <c r="I10" s="196">
        <v>0</v>
      </c>
      <c r="J10" s="196">
        <v>1016.27</v>
      </c>
      <c r="K10" s="196" t="s">
        <v>395</v>
      </c>
      <c r="L10" s="196">
        <v>55.04</v>
      </c>
      <c r="M10" s="196">
        <v>1508335200</v>
      </c>
      <c r="N10" s="196">
        <v>0</v>
      </c>
      <c r="O10" s="196">
        <v>4.3899999999999997</v>
      </c>
      <c r="P10" s="196">
        <v>161</v>
      </c>
      <c r="Q10" s="196">
        <v>5.55</v>
      </c>
      <c r="R10" s="196">
        <v>1.75</v>
      </c>
      <c r="S10"/>
      <c r="T10"/>
    </row>
    <row r="11" spans="1:20" x14ac:dyDescent="0.3">
      <c r="A11" s="196">
        <v>54.65</v>
      </c>
      <c r="B11" s="196">
        <v>0.19</v>
      </c>
      <c r="C11" s="196">
        <v>21.41</v>
      </c>
      <c r="D11" s="8">
        <v>43026.375</v>
      </c>
      <c r="E11" s="196">
        <v>0.27</v>
      </c>
      <c r="F11" s="196" t="s">
        <v>413</v>
      </c>
      <c r="G11" s="196">
        <v>268.73</v>
      </c>
      <c r="H11" s="196">
        <v>0</v>
      </c>
      <c r="I11" s="196">
        <v>0</v>
      </c>
      <c r="J11" s="196">
        <v>1018.04</v>
      </c>
      <c r="K11" s="196" t="s">
        <v>395</v>
      </c>
      <c r="L11" s="196">
        <v>54.65</v>
      </c>
      <c r="M11" s="196">
        <v>1508338800</v>
      </c>
      <c r="N11" s="196">
        <v>1</v>
      </c>
      <c r="O11" s="196">
        <v>4.3600000000000003</v>
      </c>
      <c r="P11" s="196">
        <v>204</v>
      </c>
      <c r="Q11" s="196">
        <v>4.0199999999999996</v>
      </c>
      <c r="R11" s="196">
        <v>1.2</v>
      </c>
      <c r="S11"/>
      <c r="T11"/>
    </row>
    <row r="12" spans="1:20" x14ac:dyDescent="0.3">
      <c r="A12" s="196">
        <v>56.85</v>
      </c>
      <c r="B12" s="196">
        <v>0.14000000000000001</v>
      </c>
      <c r="C12" s="196">
        <v>24.33</v>
      </c>
      <c r="D12" s="8">
        <v>43026.416666666664</v>
      </c>
      <c r="E12" s="196">
        <v>0.28000000000000003</v>
      </c>
      <c r="F12" s="196" t="s">
        <v>413</v>
      </c>
      <c r="G12" s="196">
        <v>268.73</v>
      </c>
      <c r="H12" s="196">
        <v>0</v>
      </c>
      <c r="I12" s="196">
        <v>0</v>
      </c>
      <c r="J12" s="196">
        <v>1017.51</v>
      </c>
      <c r="K12" s="196" t="s">
        <v>395</v>
      </c>
      <c r="L12" s="196">
        <v>56.85</v>
      </c>
      <c r="M12" s="196">
        <v>1508342400</v>
      </c>
      <c r="N12" s="196">
        <v>2</v>
      </c>
      <c r="O12" s="196">
        <v>4.62</v>
      </c>
      <c r="P12" s="196">
        <v>187</v>
      </c>
      <c r="Q12" s="196">
        <v>4.8899999999999997</v>
      </c>
      <c r="R12" s="196">
        <v>1.38</v>
      </c>
      <c r="S12"/>
      <c r="T12"/>
    </row>
    <row r="13" spans="1:20" x14ac:dyDescent="0.3">
      <c r="A13" s="196">
        <v>63.93</v>
      </c>
      <c r="B13" s="196">
        <v>0.14000000000000001</v>
      </c>
      <c r="C13" s="196">
        <v>25.72</v>
      </c>
      <c r="D13" s="8">
        <v>43026.458333333336</v>
      </c>
      <c r="E13" s="196">
        <v>0.23</v>
      </c>
      <c r="F13" s="196" t="s">
        <v>413</v>
      </c>
      <c r="G13" s="196">
        <v>268.74</v>
      </c>
      <c r="H13" s="196">
        <v>0</v>
      </c>
      <c r="I13" s="196">
        <v>0</v>
      </c>
      <c r="J13" s="196">
        <v>1017.15</v>
      </c>
      <c r="K13" s="196" t="s">
        <v>395</v>
      </c>
      <c r="L13" s="196">
        <v>63.93</v>
      </c>
      <c r="M13" s="196">
        <v>1508346000</v>
      </c>
      <c r="N13" s="196">
        <v>3</v>
      </c>
      <c r="O13" s="196">
        <v>3.31</v>
      </c>
      <c r="P13" s="196">
        <v>122</v>
      </c>
      <c r="Q13" s="196">
        <v>4.9000000000000004</v>
      </c>
      <c r="R13" s="196">
        <v>0.74</v>
      </c>
      <c r="S13"/>
      <c r="T13"/>
    </row>
    <row r="14" spans="1:20" x14ac:dyDescent="0.3">
      <c r="A14" s="196">
        <v>70.959999999999994</v>
      </c>
      <c r="B14" s="196">
        <v>0.14000000000000001</v>
      </c>
      <c r="C14" s="196">
        <v>20.68</v>
      </c>
      <c r="D14" s="8">
        <v>43026.5</v>
      </c>
      <c r="E14" s="196">
        <v>0.15</v>
      </c>
      <c r="F14" s="196" t="s">
        <v>413</v>
      </c>
      <c r="G14" s="196">
        <v>265.39</v>
      </c>
      <c r="H14" s="196">
        <v>0</v>
      </c>
      <c r="I14" s="196">
        <v>0</v>
      </c>
      <c r="J14" s="196">
        <v>1016.53</v>
      </c>
      <c r="K14" s="196" t="s">
        <v>395</v>
      </c>
      <c r="L14" s="196">
        <v>70.959999999999994</v>
      </c>
      <c r="M14" s="196">
        <v>1508349600</v>
      </c>
      <c r="N14" s="196">
        <v>4</v>
      </c>
      <c r="O14" s="196">
        <v>3.2</v>
      </c>
      <c r="P14" s="196">
        <v>120</v>
      </c>
      <c r="Q14" s="196">
        <v>4.78</v>
      </c>
      <c r="R14" s="196">
        <v>0.61</v>
      </c>
      <c r="S14"/>
      <c r="T14"/>
    </row>
    <row r="15" spans="1:20" x14ac:dyDescent="0.3">
      <c r="A15" s="196">
        <v>73.489999999999995</v>
      </c>
      <c r="B15" s="196">
        <v>0.14000000000000001</v>
      </c>
      <c r="C15" s="196">
        <v>16.95</v>
      </c>
      <c r="D15" s="8">
        <v>43026.541666666664</v>
      </c>
      <c r="E15" s="196">
        <v>0.12</v>
      </c>
      <c r="F15" s="196" t="s">
        <v>413</v>
      </c>
      <c r="G15" s="196">
        <v>267.05</v>
      </c>
      <c r="H15" s="196">
        <v>0</v>
      </c>
      <c r="I15" s="196">
        <v>0</v>
      </c>
      <c r="J15" s="196">
        <v>1015.73</v>
      </c>
      <c r="K15" s="196" t="s">
        <v>395</v>
      </c>
      <c r="L15" s="196">
        <v>73.489999999999995</v>
      </c>
      <c r="M15" s="196">
        <v>1508353200</v>
      </c>
      <c r="N15" s="196">
        <v>4</v>
      </c>
      <c r="O15" s="196">
        <v>4.82</v>
      </c>
      <c r="P15" s="196">
        <v>194</v>
      </c>
      <c r="Q15" s="196">
        <v>5.48</v>
      </c>
      <c r="R15" s="196">
        <v>0.89</v>
      </c>
      <c r="S15"/>
      <c r="T15"/>
    </row>
    <row r="16" spans="1:20" x14ac:dyDescent="0.3">
      <c r="A16" s="196">
        <v>75.849999999999994</v>
      </c>
      <c r="B16" s="196">
        <v>0.06</v>
      </c>
      <c r="C16" s="196">
        <v>15.19</v>
      </c>
      <c r="D16" s="8">
        <v>43026.583333333336</v>
      </c>
      <c r="E16" s="196">
        <v>0.1</v>
      </c>
      <c r="F16" s="196" t="s">
        <v>413</v>
      </c>
      <c r="G16" s="196">
        <v>270.06</v>
      </c>
      <c r="H16" s="196">
        <v>0</v>
      </c>
      <c r="I16" s="196">
        <v>0</v>
      </c>
      <c r="J16" s="196">
        <v>1014.84</v>
      </c>
      <c r="K16" s="196" t="s">
        <v>395</v>
      </c>
      <c r="L16" s="196">
        <v>75.849999999999994</v>
      </c>
      <c r="M16" s="196">
        <v>1508356800</v>
      </c>
      <c r="N16" s="196">
        <v>4</v>
      </c>
      <c r="O16" s="196">
        <v>9.26</v>
      </c>
      <c r="P16" s="196">
        <v>211</v>
      </c>
      <c r="Q16" s="196">
        <v>5.37</v>
      </c>
      <c r="R16" s="196">
        <v>0.57999999999999996</v>
      </c>
      <c r="S16"/>
      <c r="T16"/>
    </row>
    <row r="17" spans="1:20" x14ac:dyDescent="0.3">
      <c r="A17" s="196">
        <v>76.66</v>
      </c>
      <c r="B17" s="196">
        <v>0.08</v>
      </c>
      <c r="C17" s="196">
        <v>13.45</v>
      </c>
      <c r="D17" s="8">
        <v>43026.625</v>
      </c>
      <c r="E17" s="196">
        <v>0.09</v>
      </c>
      <c r="F17" s="196" t="s">
        <v>413</v>
      </c>
      <c r="G17" s="196">
        <v>273.26</v>
      </c>
      <c r="H17" s="196">
        <v>0</v>
      </c>
      <c r="I17" s="196">
        <v>0</v>
      </c>
      <c r="J17" s="196">
        <v>1014.06</v>
      </c>
      <c r="K17" s="196" t="s">
        <v>395</v>
      </c>
      <c r="L17" s="196">
        <v>76.66</v>
      </c>
      <c r="M17" s="196">
        <v>1508360400</v>
      </c>
      <c r="N17" s="196">
        <v>3</v>
      </c>
      <c r="O17" s="196">
        <v>9.0299999999999994</v>
      </c>
      <c r="P17" s="196">
        <v>81</v>
      </c>
      <c r="Q17" s="196">
        <v>5.68</v>
      </c>
      <c r="R17" s="196">
        <v>1.27</v>
      </c>
      <c r="S17"/>
      <c r="T17"/>
    </row>
    <row r="18" spans="1:20" x14ac:dyDescent="0.3">
      <c r="A18" s="196">
        <v>76.97</v>
      </c>
      <c r="B18" s="196">
        <v>0.04</v>
      </c>
      <c r="C18" s="196">
        <v>13.59</v>
      </c>
      <c r="D18" s="8">
        <v>43026.666666666664</v>
      </c>
      <c r="E18" s="196">
        <v>0.09</v>
      </c>
      <c r="F18" s="196" t="s">
        <v>413</v>
      </c>
      <c r="G18" s="196">
        <v>276.63</v>
      </c>
      <c r="H18" s="196">
        <v>0</v>
      </c>
      <c r="I18" s="196">
        <v>0</v>
      </c>
      <c r="J18" s="196">
        <v>1013.52</v>
      </c>
      <c r="K18" s="196" t="s">
        <v>395</v>
      </c>
      <c r="L18" s="196">
        <v>76.97</v>
      </c>
      <c r="M18" s="196">
        <v>1508364000</v>
      </c>
      <c r="N18" s="196">
        <v>2</v>
      </c>
      <c r="O18" s="196">
        <v>9.2100000000000009</v>
      </c>
      <c r="P18" s="196">
        <v>127</v>
      </c>
      <c r="Q18" s="196">
        <v>7.27</v>
      </c>
      <c r="R18" s="196">
        <v>2.16</v>
      </c>
      <c r="S18"/>
      <c r="T18"/>
    </row>
    <row r="19" spans="1:20" x14ac:dyDescent="0.3">
      <c r="A19" s="196">
        <v>75.89</v>
      </c>
      <c r="B19" s="196">
        <v>0.04</v>
      </c>
      <c r="C19" s="196">
        <v>13.63</v>
      </c>
      <c r="D19" s="8">
        <v>43026.708333333336</v>
      </c>
      <c r="E19" s="196">
        <v>0.09</v>
      </c>
      <c r="F19" s="196" t="s">
        <v>413</v>
      </c>
      <c r="G19" s="196">
        <v>280.3</v>
      </c>
      <c r="H19" s="196">
        <v>0</v>
      </c>
      <c r="I19" s="196">
        <v>0</v>
      </c>
      <c r="J19" s="196">
        <v>1013.5</v>
      </c>
      <c r="K19" s="196" t="s">
        <v>395</v>
      </c>
      <c r="L19" s="196">
        <v>75.89</v>
      </c>
      <c r="M19" s="196">
        <v>1508367600</v>
      </c>
      <c r="N19" s="196">
        <v>1</v>
      </c>
      <c r="O19" s="196">
        <v>4.79</v>
      </c>
      <c r="P19" s="196">
        <v>124</v>
      </c>
      <c r="Q19" s="196">
        <v>6.89</v>
      </c>
      <c r="R19" s="196">
        <v>2.89</v>
      </c>
      <c r="S19"/>
      <c r="T19"/>
    </row>
    <row r="20" spans="1:20" x14ac:dyDescent="0.3">
      <c r="A20" s="196">
        <v>72.14</v>
      </c>
      <c r="B20" s="196">
        <v>0.03</v>
      </c>
      <c r="C20" s="196">
        <v>16.66</v>
      </c>
      <c r="D20" s="8">
        <v>43026.75</v>
      </c>
      <c r="E20" s="196">
        <v>0.12</v>
      </c>
      <c r="F20" s="196" t="s">
        <v>413</v>
      </c>
      <c r="G20" s="196">
        <v>281.32</v>
      </c>
      <c r="H20" s="196">
        <v>0</v>
      </c>
      <c r="I20" s="196">
        <v>0</v>
      </c>
      <c r="J20" s="196">
        <v>1014.35</v>
      </c>
      <c r="K20" s="196" t="s">
        <v>395</v>
      </c>
      <c r="L20" s="196">
        <v>72.14</v>
      </c>
      <c r="M20" s="196">
        <v>1508371200</v>
      </c>
      <c r="N20" s="196">
        <v>0</v>
      </c>
      <c r="O20" s="196">
        <v>3.82</v>
      </c>
      <c r="P20" s="196">
        <v>118</v>
      </c>
      <c r="Q20" s="196">
        <v>3.52</v>
      </c>
      <c r="R20" s="196">
        <v>1.64</v>
      </c>
      <c r="S20"/>
      <c r="T20"/>
    </row>
    <row r="21" spans="1:20" x14ac:dyDescent="0.3">
      <c r="A21" s="196">
        <v>62.84</v>
      </c>
      <c r="B21" s="196">
        <v>0.03</v>
      </c>
      <c r="C21" s="196">
        <v>21.8</v>
      </c>
      <c r="D21" s="8">
        <v>43026.791666666664</v>
      </c>
      <c r="E21" s="196">
        <v>0.21</v>
      </c>
      <c r="F21" s="196" t="s">
        <v>394</v>
      </c>
      <c r="G21" s="196">
        <v>283.05</v>
      </c>
      <c r="H21" s="196">
        <v>0</v>
      </c>
      <c r="I21" s="196">
        <v>0</v>
      </c>
      <c r="J21" s="196">
        <v>1015.46</v>
      </c>
      <c r="K21" s="196" t="s">
        <v>395</v>
      </c>
      <c r="L21" s="196">
        <v>62.84</v>
      </c>
      <c r="M21" s="196">
        <v>1508374800</v>
      </c>
      <c r="N21" s="196">
        <v>0</v>
      </c>
      <c r="O21" s="196">
        <v>3.41</v>
      </c>
      <c r="P21" s="196">
        <v>143</v>
      </c>
      <c r="Q21" s="196">
        <v>2.42</v>
      </c>
      <c r="R21" s="196">
        <v>0.88</v>
      </c>
      <c r="S21"/>
      <c r="T21"/>
    </row>
    <row r="22" spans="1:20" x14ac:dyDescent="0.3">
      <c r="A22" s="196">
        <v>57.55</v>
      </c>
      <c r="B22" s="196">
        <v>0.03</v>
      </c>
      <c r="C22" s="196">
        <v>23.72</v>
      </c>
      <c r="D22" s="8">
        <v>43026.833333333336</v>
      </c>
      <c r="E22" s="196">
        <v>0.27</v>
      </c>
      <c r="F22" s="196" t="s">
        <v>394</v>
      </c>
      <c r="G22" s="196">
        <v>284.07</v>
      </c>
      <c r="H22" s="196">
        <v>0</v>
      </c>
      <c r="I22" s="196">
        <v>0</v>
      </c>
      <c r="J22" s="196">
        <v>1016.47</v>
      </c>
      <c r="K22" s="196" t="s">
        <v>395</v>
      </c>
      <c r="L22" s="196">
        <v>57.55</v>
      </c>
      <c r="M22" s="196">
        <v>1508378400</v>
      </c>
      <c r="N22" s="196">
        <v>0</v>
      </c>
      <c r="O22" s="196">
        <v>3.13</v>
      </c>
      <c r="P22" s="196">
        <v>173</v>
      </c>
      <c r="Q22" s="196">
        <v>3.2</v>
      </c>
      <c r="R22" s="196">
        <v>1.22</v>
      </c>
      <c r="S22"/>
      <c r="T22"/>
    </row>
    <row r="23" spans="1:20" x14ac:dyDescent="0.3">
      <c r="A23" s="196">
        <v>54.19</v>
      </c>
      <c r="B23" s="196">
        <v>0.02</v>
      </c>
      <c r="C23" s="196">
        <v>24</v>
      </c>
      <c r="D23" s="8">
        <v>43026.875</v>
      </c>
      <c r="E23" s="196">
        <v>0.31</v>
      </c>
      <c r="F23" s="196" t="s">
        <v>394</v>
      </c>
      <c r="G23" s="196">
        <v>284.52</v>
      </c>
      <c r="H23" s="196">
        <v>0</v>
      </c>
      <c r="I23" s="196">
        <v>0</v>
      </c>
      <c r="J23" s="196">
        <v>1017.11</v>
      </c>
      <c r="K23" s="196" t="s">
        <v>395</v>
      </c>
      <c r="L23" s="196">
        <v>54.19</v>
      </c>
      <c r="M23" s="196">
        <v>1508382000</v>
      </c>
      <c r="N23" s="196">
        <v>0</v>
      </c>
      <c r="O23" s="196">
        <v>4.9800000000000004</v>
      </c>
      <c r="P23" s="196">
        <v>181</v>
      </c>
      <c r="Q23" s="196">
        <v>3.22</v>
      </c>
      <c r="R23" s="196">
        <v>1.17</v>
      </c>
      <c r="S23"/>
      <c r="T23"/>
    </row>
    <row r="24" spans="1:20" x14ac:dyDescent="0.3">
      <c r="A24" s="196">
        <v>52.53</v>
      </c>
      <c r="B24" s="196">
        <v>0.04</v>
      </c>
      <c r="C24" s="196">
        <v>23.88</v>
      </c>
      <c r="D24" s="8">
        <v>43026.916666666664</v>
      </c>
      <c r="E24" s="196">
        <v>0.32</v>
      </c>
      <c r="F24" s="196" t="s">
        <v>394</v>
      </c>
      <c r="G24" s="196">
        <v>284.18</v>
      </c>
      <c r="H24" s="196">
        <v>0</v>
      </c>
      <c r="I24" s="196">
        <v>0</v>
      </c>
      <c r="J24" s="196">
        <v>1016.62</v>
      </c>
      <c r="K24" s="196" t="s">
        <v>395</v>
      </c>
      <c r="L24" s="196">
        <v>52.53</v>
      </c>
      <c r="M24" s="196">
        <v>1508385600</v>
      </c>
      <c r="N24" s="196">
        <v>0</v>
      </c>
      <c r="O24" s="196">
        <v>3.79</v>
      </c>
      <c r="P24" s="196">
        <v>183</v>
      </c>
      <c r="Q24" s="196">
        <v>3.26</v>
      </c>
      <c r="R24" s="196">
        <v>1.25</v>
      </c>
      <c r="S24"/>
      <c r="T24"/>
    </row>
    <row r="25" spans="1:20" x14ac:dyDescent="0.3">
      <c r="A25" s="196">
        <v>51.17</v>
      </c>
      <c r="B25" s="196">
        <v>0.02</v>
      </c>
      <c r="C25" s="196">
        <v>23.8</v>
      </c>
      <c r="D25" s="8">
        <v>43026.958333333336</v>
      </c>
      <c r="E25" s="196">
        <v>0.34</v>
      </c>
      <c r="F25" s="196" t="s">
        <v>394</v>
      </c>
      <c r="G25" s="196">
        <v>283.27999999999997</v>
      </c>
      <c r="H25" s="196">
        <v>0</v>
      </c>
      <c r="I25" s="196">
        <v>0</v>
      </c>
      <c r="J25" s="196">
        <v>1016.6</v>
      </c>
      <c r="K25" s="196" t="s">
        <v>395</v>
      </c>
      <c r="L25" s="196">
        <v>51.17</v>
      </c>
      <c r="M25" s="196">
        <v>1508389200</v>
      </c>
      <c r="N25" s="196">
        <v>0</v>
      </c>
      <c r="O25" s="196">
        <v>2.86</v>
      </c>
      <c r="P25" s="196">
        <v>168</v>
      </c>
      <c r="Q25" s="196">
        <v>4.07</v>
      </c>
      <c r="R25" s="196">
        <v>1.61</v>
      </c>
      <c r="S25"/>
      <c r="T25"/>
    </row>
    <row r="26" spans="1:20" x14ac:dyDescent="0.3">
      <c r="A26" s="196">
        <v>49.1</v>
      </c>
      <c r="B26" s="196">
        <v>0.02</v>
      </c>
      <c r="C26" s="196">
        <v>24.02</v>
      </c>
      <c r="D26" s="8">
        <v>43027</v>
      </c>
      <c r="E26" s="196">
        <v>0.37</v>
      </c>
      <c r="F26" s="196" t="s">
        <v>394</v>
      </c>
      <c r="G26" s="196">
        <v>283.05</v>
      </c>
      <c r="H26" s="196">
        <v>0</v>
      </c>
      <c r="I26" s="196">
        <v>0</v>
      </c>
      <c r="J26" s="196">
        <v>1015.16</v>
      </c>
      <c r="K26" s="196" t="s">
        <v>395</v>
      </c>
      <c r="L26" s="196">
        <v>49.1</v>
      </c>
      <c r="M26" s="196">
        <v>1508392800</v>
      </c>
      <c r="N26" s="196">
        <v>0</v>
      </c>
      <c r="O26" s="196">
        <v>5.99</v>
      </c>
      <c r="P26" s="196">
        <v>197</v>
      </c>
      <c r="Q26" s="196">
        <v>3.84</v>
      </c>
      <c r="R26" s="196">
        <v>1.94</v>
      </c>
      <c r="S26"/>
      <c r="T26"/>
    </row>
    <row r="27" spans="1:20" x14ac:dyDescent="0.3">
      <c r="A27" s="196">
        <v>48.36</v>
      </c>
      <c r="B27" s="196">
        <v>0.02</v>
      </c>
      <c r="C27" s="196">
        <v>23.41</v>
      </c>
      <c r="D27" s="8">
        <v>43027.041666666664</v>
      </c>
      <c r="E27" s="196">
        <v>0.37</v>
      </c>
      <c r="F27" s="196" t="s">
        <v>394</v>
      </c>
      <c r="G27" s="196">
        <v>280.95999999999998</v>
      </c>
      <c r="H27" s="196">
        <v>0</v>
      </c>
      <c r="I27" s="196">
        <v>0</v>
      </c>
      <c r="J27" s="196">
        <v>1015.4</v>
      </c>
      <c r="K27" s="196" t="s">
        <v>395</v>
      </c>
      <c r="L27" s="196">
        <v>48.36</v>
      </c>
      <c r="M27" s="196">
        <v>1508396400</v>
      </c>
      <c r="N27" s="196">
        <v>0</v>
      </c>
      <c r="O27" s="196">
        <v>5.44</v>
      </c>
      <c r="P27" s="196">
        <v>190</v>
      </c>
      <c r="Q27" s="196">
        <v>4.05</v>
      </c>
      <c r="R27" s="196">
        <v>1.77</v>
      </c>
      <c r="S27"/>
      <c r="T27"/>
    </row>
    <row r="28" spans="1:20" x14ac:dyDescent="0.3">
      <c r="A28" s="196">
        <v>46.98</v>
      </c>
      <c r="B28" s="196">
        <v>0.02</v>
      </c>
      <c r="C28" s="196">
        <v>24.27</v>
      </c>
      <c r="D28" s="8">
        <v>43027.083333333336</v>
      </c>
      <c r="E28" s="196">
        <v>0.41</v>
      </c>
      <c r="F28" s="196" t="s">
        <v>394</v>
      </c>
      <c r="G28" s="196">
        <v>278.16000000000003</v>
      </c>
      <c r="H28" s="196">
        <v>0</v>
      </c>
      <c r="I28" s="196">
        <v>0</v>
      </c>
      <c r="J28" s="196">
        <v>1015.45</v>
      </c>
      <c r="K28" s="196" t="s">
        <v>395</v>
      </c>
      <c r="L28" s="196">
        <v>46.98</v>
      </c>
      <c r="M28" s="196">
        <v>1508400000</v>
      </c>
      <c r="N28" s="196">
        <v>0</v>
      </c>
      <c r="O28" s="196">
        <v>9.68</v>
      </c>
      <c r="P28" s="196">
        <v>209</v>
      </c>
      <c r="Q28" s="196">
        <v>2.86</v>
      </c>
      <c r="R28" s="196">
        <v>1.38</v>
      </c>
      <c r="S28"/>
      <c r="T28"/>
    </row>
    <row r="29" spans="1:20" x14ac:dyDescent="0.3">
      <c r="A29" s="196">
        <v>45.13</v>
      </c>
      <c r="B29" s="196">
        <v>0.02</v>
      </c>
      <c r="C29" s="196">
        <v>23.97</v>
      </c>
      <c r="D29" s="8">
        <v>43027.125</v>
      </c>
      <c r="E29" s="196">
        <v>0.43</v>
      </c>
      <c r="F29" s="196" t="s">
        <v>394</v>
      </c>
      <c r="G29" s="196">
        <v>275.42</v>
      </c>
      <c r="H29" s="196">
        <v>0</v>
      </c>
      <c r="I29" s="196">
        <v>0</v>
      </c>
      <c r="J29" s="196">
        <v>1014.01</v>
      </c>
      <c r="K29" s="196" t="s">
        <v>395</v>
      </c>
      <c r="L29" s="196">
        <v>45.13</v>
      </c>
      <c r="M29" s="196">
        <v>1508403600</v>
      </c>
      <c r="N29" s="196">
        <v>0</v>
      </c>
      <c r="O29" s="196">
        <v>10</v>
      </c>
      <c r="P29" s="196">
        <v>220</v>
      </c>
      <c r="Q29" s="196">
        <v>2.2400000000000002</v>
      </c>
      <c r="R29" s="196">
        <v>1.26</v>
      </c>
      <c r="S29"/>
      <c r="T29"/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topLeftCell="A13" workbookViewId="0">
      <selection activeCell="C18" sqref="C18:C37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43026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346</v>
      </c>
      <c r="AE2" s="56" t="s">
        <v>349</v>
      </c>
      <c r="AF2" s="56" t="s">
        <v>350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347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341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348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377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351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997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998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999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1000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1001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1002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1003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1004</v>
      </c>
      <c r="J25" s="140" t="s">
        <v>144</v>
      </c>
      <c r="M25" s="154" t="b">
        <v>1</v>
      </c>
    </row>
    <row r="26" spans="3:24" x14ac:dyDescent="0.3">
      <c r="C26" t="s">
        <v>1005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%USERPROFILE%\Documents\GitHub\eaglep3-reporting\EC\2017-10-18-refined-times.txt</v>
      </c>
    </row>
    <row r="27" spans="3:24" x14ac:dyDescent="0.3">
      <c r="C27" t="s">
        <v>1006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%USERPROFILE%\Documents\GitHub\eaglep3-reporting\EC\2017-10-18-Enforcements.txt</v>
      </c>
    </row>
    <row r="28" spans="3:24" x14ac:dyDescent="0.3">
      <c r="C28" t="s">
        <v>1007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%USERPROFILE%\Documents\GitHub\eaglep3-reporting\EC\2017-10-18-Runs-refined.txt</v>
      </c>
    </row>
    <row r="29" spans="3:24" x14ac:dyDescent="0.3">
      <c r="C29" t="s">
        <v>1008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%USERPROFILE%\Documents\GitHub\eaglep3-reporting\EC\2017-10-18-Trips.txt</v>
      </c>
    </row>
    <row r="30" spans="3:24" x14ac:dyDescent="0.3">
      <c r="C30" t="s">
        <v>1009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%USERPROFILE%\Documents\GitHub\eaglep3-reporting\EC\2017-10-18-Weather.txt</v>
      </c>
    </row>
    <row r="31" spans="3:24" x14ac:dyDescent="0.3">
      <c r="C31" t="s">
        <v>1010</v>
      </c>
      <c r="J31" s="140" t="s">
        <v>190</v>
      </c>
      <c r="M31" s="154" t="s">
        <v>191</v>
      </c>
    </row>
    <row r="32" spans="3:24" x14ac:dyDescent="0.3">
      <c r="C32" t="s">
        <v>1011</v>
      </c>
    </row>
    <row r="33" spans="3:3" x14ac:dyDescent="0.3">
      <c r="C33" t="s">
        <v>1012</v>
      </c>
    </row>
    <row r="34" spans="3:3" x14ac:dyDescent="0.3">
      <c r="C34" t="s">
        <v>1013</v>
      </c>
    </row>
    <row r="35" spans="3:3" x14ac:dyDescent="0.3">
      <c r="C35" t="s">
        <v>1014</v>
      </c>
    </row>
    <row r="36" spans="3:3" x14ac:dyDescent="0.3">
      <c r="C36" t="s">
        <v>1015</v>
      </c>
    </row>
    <row r="37" spans="3:3" x14ac:dyDescent="0.3">
      <c r="C37" t="s">
        <v>1016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402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2017-10-19T15:23:47Z</dcterms:modified>
</cp:coreProperties>
</file>