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Trips'!$A$2:$J$58</definedName>
    <definedName name="_xlnm._FilterDatabase" localSheetId="0" hidden="1">'Train Runs'!$A$12:$AG$280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21" i="1" l="1"/>
  <c r="X149" i="1" l="1"/>
  <c r="X150" i="1"/>
  <c r="X151" i="1"/>
  <c r="X152" i="1"/>
  <c r="X153" i="1"/>
  <c r="X154" i="1"/>
  <c r="X155" i="1"/>
  <c r="X156" i="1"/>
  <c r="X157" i="1"/>
  <c r="X158" i="1"/>
  <c r="X159" i="1"/>
  <c r="X160" i="1"/>
  <c r="K152" i="1"/>
  <c r="M152" i="1"/>
  <c r="N152" i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M153" i="1"/>
  <c r="N153" i="1" s="1"/>
  <c r="V153" i="1"/>
  <c r="Y153" i="1"/>
  <c r="Z153" i="1"/>
  <c r="AA153" i="1" s="1"/>
  <c r="AB153" i="1"/>
  <c r="AC153" i="1"/>
  <c r="AD153" i="1"/>
  <c r="T153" i="1" s="1"/>
  <c r="AE153" i="1"/>
  <c r="AF153" i="1"/>
  <c r="AH153" i="1"/>
  <c r="AM153" i="1"/>
  <c r="AN153" i="1"/>
  <c r="K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54" i="1"/>
  <c r="AM154" i="1"/>
  <c r="AN154" i="1"/>
  <c r="K155" i="1"/>
  <c r="M155" i="1"/>
  <c r="N155" i="1" s="1"/>
  <c r="V155" i="1"/>
  <c r="Y155" i="1"/>
  <c r="AA155" i="1" s="1"/>
  <c r="Z155" i="1"/>
  <c r="AB155" i="1"/>
  <c r="AC155" i="1"/>
  <c r="AD155" i="1"/>
  <c r="T155" i="1" s="1"/>
  <c r="AE155" i="1"/>
  <c r="AF155" i="1"/>
  <c r="AH155" i="1"/>
  <c r="AM155" i="1"/>
  <c r="AN155" i="1"/>
  <c r="K156" i="1"/>
  <c r="M156" i="1"/>
  <c r="N156" i="1"/>
  <c r="V156" i="1"/>
  <c r="Y156" i="1"/>
  <c r="Z156" i="1"/>
  <c r="AA156" i="1" s="1"/>
  <c r="AB156" i="1"/>
  <c r="AC156" i="1"/>
  <c r="AD156" i="1"/>
  <c r="T156" i="1" s="1"/>
  <c r="AE156" i="1"/>
  <c r="AF156" i="1"/>
  <c r="AH156" i="1"/>
  <c r="AM156" i="1"/>
  <c r="AN156" i="1"/>
  <c r="K157" i="1"/>
  <c r="M157" i="1"/>
  <c r="N157" i="1"/>
  <c r="V157" i="1"/>
  <c r="Y157" i="1"/>
  <c r="AA157" i="1" s="1"/>
  <c r="Z157" i="1"/>
  <c r="AB157" i="1"/>
  <c r="AC157" i="1"/>
  <c r="AD157" i="1"/>
  <c r="T157" i="1" s="1"/>
  <c r="AE157" i="1"/>
  <c r="AF157" i="1"/>
  <c r="AH157" i="1"/>
  <c r="AM157" i="1"/>
  <c r="AN157" i="1"/>
  <c r="K158" i="1"/>
  <c r="M158" i="1"/>
  <c r="N158" i="1"/>
  <c r="V158" i="1"/>
  <c r="Y158" i="1"/>
  <c r="Z158" i="1"/>
  <c r="AA158" i="1"/>
  <c r="AB158" i="1"/>
  <c r="AC158" i="1"/>
  <c r="AD158" i="1"/>
  <c r="T158" i="1" s="1"/>
  <c r="AE158" i="1"/>
  <c r="AF158" i="1"/>
  <c r="AH158" i="1"/>
  <c r="AM158" i="1"/>
  <c r="AN158" i="1"/>
  <c r="K150" i="1"/>
  <c r="M150" i="1"/>
  <c r="N150" i="1"/>
  <c r="V150" i="1"/>
  <c r="Y150" i="1"/>
  <c r="Z150" i="1"/>
  <c r="AA150" i="1" s="1"/>
  <c r="AB150" i="1"/>
  <c r="AC150" i="1"/>
  <c r="AD150" i="1"/>
  <c r="T150" i="1" s="1"/>
  <c r="AE150" i="1"/>
  <c r="AF150" i="1"/>
  <c r="AH150" i="1"/>
  <c r="AM150" i="1"/>
  <c r="AN150" i="1"/>
  <c r="X174" i="1"/>
  <c r="X175" i="1"/>
  <c r="X176" i="1"/>
  <c r="X177" i="1"/>
  <c r="X178" i="1"/>
  <c r="X179" i="1"/>
  <c r="X180" i="1"/>
  <c r="X113" i="1"/>
  <c r="P64" i="1"/>
  <c r="K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AM15" i="1"/>
  <c r="AN15" i="1"/>
  <c r="K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M24" i="1"/>
  <c r="N24" i="1" s="1"/>
  <c r="V24" i="1"/>
  <c r="Y24" i="1"/>
  <c r="AA24" i="1" s="1"/>
  <c r="Z24" i="1"/>
  <c r="AB24" i="1"/>
  <c r="AC24" i="1"/>
  <c r="AD24" i="1"/>
  <c r="T24" i="1" s="1"/>
  <c r="AE24" i="1"/>
  <c r="AF24" i="1"/>
  <c r="AH24" i="1"/>
  <c r="AM24" i="1"/>
  <c r="AN24" i="1"/>
  <c r="K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M33" i="1"/>
  <c r="N33" i="1" s="1"/>
  <c r="V33" i="1"/>
  <c r="Y33" i="1"/>
  <c r="AA33" i="1" s="1"/>
  <c r="Z33" i="1"/>
  <c r="AB33" i="1"/>
  <c r="AC33" i="1"/>
  <c r="AD33" i="1"/>
  <c r="T33" i="1" s="1"/>
  <c r="AE33" i="1"/>
  <c r="AF33" i="1"/>
  <c r="AH33" i="1"/>
  <c r="AM33" i="1"/>
  <c r="AN33" i="1"/>
  <c r="K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M41" i="1"/>
  <c r="N41" i="1" s="1"/>
  <c r="T41" i="1"/>
  <c r="V41" i="1"/>
  <c r="X41" i="1"/>
  <c r="Y41" i="1"/>
  <c r="Z41" i="1"/>
  <c r="AB41" i="1"/>
  <c r="AC41" i="1"/>
  <c r="AD41" i="1"/>
  <c r="AE41" i="1"/>
  <c r="AF41" i="1"/>
  <c r="AH41" i="1"/>
  <c r="AM41" i="1"/>
  <c r="AN41" i="1"/>
  <c r="K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M49" i="1"/>
  <c r="N49" i="1" s="1"/>
  <c r="V49" i="1"/>
  <c r="Y49" i="1"/>
  <c r="Z49" i="1"/>
  <c r="AB49" i="1"/>
  <c r="AC49" i="1"/>
  <c r="AD49" i="1"/>
  <c r="T49" i="1" s="1"/>
  <c r="AE49" i="1"/>
  <c r="AF49" i="1"/>
  <c r="AH49" i="1"/>
  <c r="AM49" i="1"/>
  <c r="AN49" i="1"/>
  <c r="K50" i="1"/>
  <c r="M50" i="1"/>
  <c r="N50" i="1" s="1"/>
  <c r="V50" i="1"/>
  <c r="Y50" i="1"/>
  <c r="Z50" i="1"/>
  <c r="AB50" i="1"/>
  <c r="AC50" i="1"/>
  <c r="AD50" i="1"/>
  <c r="T50" i="1" s="1"/>
  <c r="AE50" i="1"/>
  <c r="R19" i="3" s="1"/>
  <c r="AF50" i="1"/>
  <c r="AH50" i="1"/>
  <c r="AM50" i="1"/>
  <c r="AN50" i="1"/>
  <c r="K51" i="1"/>
  <c r="M51" i="1"/>
  <c r="N51" i="1" s="1"/>
  <c r="V51" i="1"/>
  <c r="S13" i="3" s="1"/>
  <c r="Y51" i="1"/>
  <c r="Z51" i="1"/>
  <c r="AB51" i="1"/>
  <c r="AC51" i="1"/>
  <c r="AD51" i="1"/>
  <c r="AE51" i="1"/>
  <c r="AF51" i="1"/>
  <c r="AH51" i="1"/>
  <c r="AM51" i="1"/>
  <c r="AN51" i="1"/>
  <c r="K52" i="1"/>
  <c r="M52" i="1"/>
  <c r="N52" i="1" s="1"/>
  <c r="V52" i="1"/>
  <c r="Y52" i="1"/>
  <c r="AA52" i="1" s="1"/>
  <c r="Z52" i="1"/>
  <c r="AB52" i="1"/>
  <c r="AC52" i="1"/>
  <c r="AD52" i="1"/>
  <c r="T52" i="1" s="1"/>
  <c r="AE52" i="1"/>
  <c r="AF52" i="1"/>
  <c r="AH52" i="1"/>
  <c r="AM52" i="1"/>
  <c r="AN52" i="1"/>
  <c r="K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M54" i="1"/>
  <c r="N54" i="1" s="1"/>
  <c r="V54" i="1"/>
  <c r="Y54" i="1"/>
  <c r="Z54" i="1"/>
  <c r="AB54" i="1"/>
  <c r="AC54" i="1"/>
  <c r="AD54" i="1"/>
  <c r="AE54" i="1"/>
  <c r="R20" i="3" s="1"/>
  <c r="AF54" i="1"/>
  <c r="AH54" i="1"/>
  <c r="AM54" i="1"/>
  <c r="AN54" i="1"/>
  <c r="K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M64" i="1"/>
  <c r="V64" i="1"/>
  <c r="Y64" i="1"/>
  <c r="Z64" i="1"/>
  <c r="AB64" i="1"/>
  <c r="AC64" i="1"/>
  <c r="AD64" i="1"/>
  <c r="AE64" i="1"/>
  <c r="AF64" i="1"/>
  <c r="AH64" i="1"/>
  <c r="AM64" i="1"/>
  <c r="AN64" i="1"/>
  <c r="K65" i="1"/>
  <c r="M65" i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K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M70" i="1"/>
  <c r="N70" i="1"/>
  <c r="V70" i="1"/>
  <c r="Y70" i="1"/>
  <c r="Z70" i="1"/>
  <c r="AB70" i="1"/>
  <c r="AC70" i="1"/>
  <c r="AD70" i="1"/>
  <c r="AE70" i="1"/>
  <c r="AF70" i="1"/>
  <c r="AH70" i="1"/>
  <c r="AM70" i="1"/>
  <c r="AN70" i="1"/>
  <c r="K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M81" i="1"/>
  <c r="P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M82" i="1"/>
  <c r="V82" i="1"/>
  <c r="Y82" i="1"/>
  <c r="Z82" i="1"/>
  <c r="AB82" i="1"/>
  <c r="AC82" i="1"/>
  <c r="AD82" i="1"/>
  <c r="AE82" i="1"/>
  <c r="AF82" i="1"/>
  <c r="AH82" i="1"/>
  <c r="AM82" i="1"/>
  <c r="AN82" i="1"/>
  <c r="K83" i="1"/>
  <c r="M83" i="1"/>
  <c r="N83" i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M86" i="1"/>
  <c r="N86" i="1" s="1"/>
  <c r="V86" i="1"/>
  <c r="Y86" i="1"/>
  <c r="Z86" i="1"/>
  <c r="AB86" i="1"/>
  <c r="AC86" i="1"/>
  <c r="AD86" i="1"/>
  <c r="X87" i="1" s="1"/>
  <c r="AE86" i="1"/>
  <c r="AF86" i="1"/>
  <c r="AH86" i="1"/>
  <c r="AM86" i="1"/>
  <c r="AN86" i="1"/>
  <c r="K87" i="1"/>
  <c r="M87" i="1"/>
  <c r="N87" i="1" s="1"/>
  <c r="V87" i="1"/>
  <c r="S29" i="3" s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M88" i="1"/>
  <c r="N88" i="1" s="1"/>
  <c r="V88" i="1"/>
  <c r="S22" i="3" s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M96" i="1"/>
  <c r="N96" i="1" s="1"/>
  <c r="V96" i="1"/>
  <c r="S23" i="3" s="1"/>
  <c r="Y96" i="1"/>
  <c r="Z96" i="1"/>
  <c r="AB96" i="1"/>
  <c r="AC96" i="1"/>
  <c r="AD96" i="1"/>
  <c r="X96" i="1" s="1"/>
  <c r="AE96" i="1"/>
  <c r="AF96" i="1"/>
  <c r="AH96" i="1"/>
  <c r="AM96" i="1"/>
  <c r="AN96" i="1"/>
  <c r="K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M98" i="1"/>
  <c r="N98" i="1" s="1"/>
  <c r="V98" i="1"/>
  <c r="Y98" i="1"/>
  <c r="Z98" i="1"/>
  <c r="AB98" i="1"/>
  <c r="AC98" i="1"/>
  <c r="AD98" i="1"/>
  <c r="AE98" i="1"/>
  <c r="R8" i="3" s="1"/>
  <c r="AF98" i="1"/>
  <c r="AH98" i="1"/>
  <c r="AM98" i="1"/>
  <c r="AN98" i="1"/>
  <c r="K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M100" i="1"/>
  <c r="N100" i="1"/>
  <c r="V100" i="1"/>
  <c r="S24" i="3" s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M102" i="1"/>
  <c r="N102" i="1" s="1"/>
  <c r="V102" i="1"/>
  <c r="S25" i="3" s="1"/>
  <c r="Y102" i="1"/>
  <c r="Z102" i="1"/>
  <c r="AB102" i="1"/>
  <c r="AC102" i="1"/>
  <c r="AD102" i="1"/>
  <c r="AE102" i="1"/>
  <c r="AF102" i="1"/>
  <c r="AH102" i="1"/>
  <c r="AM102" i="1"/>
  <c r="AN102" i="1"/>
  <c r="K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12" i="1"/>
  <c r="AM112" i="1"/>
  <c r="AN112" i="1"/>
  <c r="K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M115" i="1"/>
  <c r="N115" i="1" s="1"/>
  <c r="V115" i="1"/>
  <c r="S11" i="3" s="1"/>
  <c r="Y115" i="1"/>
  <c r="Z115" i="1"/>
  <c r="AB115" i="1"/>
  <c r="AC115" i="1"/>
  <c r="AD115" i="1"/>
  <c r="X115" i="1" s="1"/>
  <c r="AE115" i="1"/>
  <c r="AF115" i="1"/>
  <c r="AH115" i="1"/>
  <c r="AM115" i="1"/>
  <c r="AN115" i="1"/>
  <c r="K116" i="1"/>
  <c r="M116" i="1"/>
  <c r="N116" i="1" s="1"/>
  <c r="V116" i="1"/>
  <c r="Y116" i="1"/>
  <c r="Z116" i="1"/>
  <c r="AB116" i="1"/>
  <c r="AC116" i="1"/>
  <c r="AD116" i="1"/>
  <c r="T116" i="1" s="1"/>
  <c r="AE116" i="1"/>
  <c r="R26" i="3" s="1"/>
  <c r="AF116" i="1"/>
  <c r="AH116" i="1"/>
  <c r="AM116" i="1"/>
  <c r="AN116" i="1"/>
  <c r="K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AM118" i="1"/>
  <c r="AN118" i="1"/>
  <c r="K119" i="1"/>
  <c r="M119" i="1"/>
  <c r="N119" i="1" s="1"/>
  <c r="T119" i="1"/>
  <c r="V119" i="1"/>
  <c r="Y119" i="1"/>
  <c r="Z119" i="1"/>
  <c r="AA119" i="1" s="1"/>
  <c r="AB119" i="1"/>
  <c r="AC119" i="1"/>
  <c r="AD119" i="1"/>
  <c r="AE119" i="1"/>
  <c r="AF119" i="1"/>
  <c r="AH119" i="1"/>
  <c r="AM119" i="1"/>
  <c r="AN119" i="1"/>
  <c r="K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M121" i="1"/>
  <c r="N121" i="1" s="1"/>
  <c r="V121" i="1"/>
  <c r="Y121" i="1"/>
  <c r="Z121" i="1"/>
  <c r="AB121" i="1"/>
  <c r="AC121" i="1"/>
  <c r="AD121" i="1"/>
  <c r="AE121" i="1"/>
  <c r="R30" i="3" s="1"/>
  <c r="AF121" i="1"/>
  <c r="AH121" i="1"/>
  <c r="AM121" i="1"/>
  <c r="AN121" i="1"/>
  <c r="K122" i="1"/>
  <c r="M122" i="1"/>
  <c r="N122" i="1" s="1"/>
  <c r="V122" i="1"/>
  <c r="S9" i="3" s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M124" i="1"/>
  <c r="N124" i="1" s="1"/>
  <c r="V124" i="1"/>
  <c r="S12" i="3" s="1"/>
  <c r="Y124" i="1"/>
  <c r="Z124" i="1"/>
  <c r="AB124" i="1"/>
  <c r="AC124" i="1"/>
  <c r="AD124" i="1"/>
  <c r="AE124" i="1"/>
  <c r="AF124" i="1"/>
  <c r="AH124" i="1"/>
  <c r="AM124" i="1"/>
  <c r="AN124" i="1"/>
  <c r="K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M126" i="1"/>
  <c r="N126" i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M130" i="1"/>
  <c r="N130" i="1"/>
  <c r="V130" i="1"/>
  <c r="Y130" i="1"/>
  <c r="Z130" i="1"/>
  <c r="AB130" i="1"/>
  <c r="AC130" i="1"/>
  <c r="AD130" i="1"/>
  <c r="AE130" i="1"/>
  <c r="AF130" i="1"/>
  <c r="AH130" i="1"/>
  <c r="AM130" i="1"/>
  <c r="AN130" i="1"/>
  <c r="K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AM132" i="1"/>
  <c r="AN132" i="1"/>
  <c r="K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AN138" i="1"/>
  <c r="K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M143" i="1"/>
  <c r="N143" i="1" s="1"/>
  <c r="T143" i="1"/>
  <c r="V143" i="1"/>
  <c r="Y143" i="1"/>
  <c r="Z143" i="1"/>
  <c r="AA143" i="1"/>
  <c r="AB143" i="1"/>
  <c r="AC143" i="1"/>
  <c r="AD143" i="1"/>
  <c r="AE143" i="1"/>
  <c r="AF143" i="1"/>
  <c r="AH143" i="1"/>
  <c r="AM143" i="1"/>
  <c r="AN143" i="1"/>
  <c r="K144" i="1"/>
  <c r="M144" i="1"/>
  <c r="N144" i="1" s="1"/>
  <c r="T144" i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59" i="1"/>
  <c r="AM159" i="1"/>
  <c r="AN159" i="1"/>
  <c r="K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M210" i="1"/>
  <c r="N210" i="1" s="1"/>
  <c r="T210" i="1"/>
  <c r="V210" i="1"/>
  <c r="Y210" i="1"/>
  <c r="Z210" i="1"/>
  <c r="AB210" i="1"/>
  <c r="AC210" i="1"/>
  <c r="AD210" i="1"/>
  <c r="AE210" i="1"/>
  <c r="AF210" i="1"/>
  <c r="AH163" i="1"/>
  <c r="AM163" i="1"/>
  <c r="AN163" i="1"/>
  <c r="K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164" i="1"/>
  <c r="AM164" i="1"/>
  <c r="AN164" i="1"/>
  <c r="K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8" i="1"/>
  <c r="AM168" i="1"/>
  <c r="AN168" i="1"/>
  <c r="K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23" i="1"/>
  <c r="M223" i="1"/>
  <c r="N223" i="1" s="1"/>
  <c r="V223" i="1"/>
  <c r="Y223" i="1"/>
  <c r="Z223" i="1"/>
  <c r="AB223" i="1"/>
  <c r="AC223" i="1"/>
  <c r="AD223" i="1"/>
  <c r="AE223" i="1"/>
  <c r="AF223" i="1"/>
  <c r="AH170" i="1"/>
  <c r="AM170" i="1"/>
  <c r="AN170" i="1"/>
  <c r="K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AM171" i="1"/>
  <c r="AN171" i="1"/>
  <c r="K225" i="1"/>
  <c r="M225" i="1"/>
  <c r="N225" i="1" s="1"/>
  <c r="V225" i="1"/>
  <c r="X225" i="1"/>
  <c r="Y225" i="1"/>
  <c r="Z225" i="1"/>
  <c r="AB225" i="1"/>
  <c r="AC225" i="1"/>
  <c r="AD225" i="1"/>
  <c r="T225" i="1" s="1"/>
  <c r="AE225" i="1"/>
  <c r="AF225" i="1"/>
  <c r="AH172" i="1"/>
  <c r="AM172" i="1"/>
  <c r="AN172" i="1"/>
  <c r="K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M227" i="1"/>
  <c r="N227" i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K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M231" i="1"/>
  <c r="P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M233" i="1"/>
  <c r="N233" i="1" s="1"/>
  <c r="V233" i="1"/>
  <c r="Y233" i="1"/>
  <c r="Z233" i="1"/>
  <c r="AB233" i="1"/>
  <c r="AC233" i="1"/>
  <c r="AD233" i="1"/>
  <c r="T233" i="1" s="1"/>
  <c r="AE233" i="1"/>
  <c r="AF233" i="1"/>
  <c r="AH179" i="1"/>
  <c r="AM179" i="1"/>
  <c r="AN179" i="1"/>
  <c r="K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0" i="1"/>
  <c r="AM180" i="1"/>
  <c r="AN180" i="1"/>
  <c r="K235" i="1"/>
  <c r="M235" i="1"/>
  <c r="N235" i="1" s="1"/>
  <c r="V235" i="1"/>
  <c r="Y235" i="1"/>
  <c r="Z235" i="1"/>
  <c r="AB235" i="1"/>
  <c r="AC235" i="1"/>
  <c r="AD235" i="1"/>
  <c r="AE235" i="1"/>
  <c r="AF235" i="1"/>
  <c r="AH181" i="1"/>
  <c r="AM181" i="1"/>
  <c r="AN181" i="1"/>
  <c r="K159" i="1"/>
  <c r="M159" i="1"/>
  <c r="N159" i="1" s="1"/>
  <c r="T159" i="1"/>
  <c r="V159" i="1"/>
  <c r="Y159" i="1"/>
  <c r="Z159" i="1"/>
  <c r="AA159" i="1"/>
  <c r="AB159" i="1"/>
  <c r="AC159" i="1"/>
  <c r="AD159" i="1"/>
  <c r="AE159" i="1"/>
  <c r="R36" i="3" s="1"/>
  <c r="AF159" i="1"/>
  <c r="AH182" i="1"/>
  <c r="AM182" i="1"/>
  <c r="AN182" i="1"/>
  <c r="K160" i="1"/>
  <c r="M160" i="1"/>
  <c r="N160" i="1" s="1"/>
  <c r="T160" i="1"/>
  <c r="V160" i="1"/>
  <c r="S45" i="3" s="1"/>
  <c r="Y160" i="1"/>
  <c r="Z160" i="1"/>
  <c r="AB160" i="1"/>
  <c r="AC160" i="1"/>
  <c r="AD160" i="1"/>
  <c r="AE160" i="1"/>
  <c r="AF160" i="1"/>
  <c r="AH183" i="1"/>
  <c r="AM183" i="1"/>
  <c r="AN183" i="1"/>
  <c r="K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4" i="1"/>
  <c r="AM184" i="1"/>
  <c r="AN184" i="1"/>
  <c r="K162" i="1"/>
  <c r="M162" i="1"/>
  <c r="N162" i="1" s="1"/>
  <c r="V162" i="1"/>
  <c r="Y162" i="1"/>
  <c r="Z162" i="1"/>
  <c r="AB162" i="1"/>
  <c r="AC162" i="1"/>
  <c r="AD162" i="1"/>
  <c r="AE162" i="1"/>
  <c r="R46" i="3" s="1"/>
  <c r="AF162" i="1"/>
  <c r="AH185" i="1"/>
  <c r="AM185" i="1"/>
  <c r="AN185" i="1"/>
  <c r="K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6" i="1"/>
  <c r="AM186" i="1"/>
  <c r="AN186" i="1"/>
  <c r="K164" i="1"/>
  <c r="M164" i="1"/>
  <c r="N164" i="1" s="1"/>
  <c r="V164" i="1"/>
  <c r="Y164" i="1"/>
  <c r="Z164" i="1"/>
  <c r="AB164" i="1"/>
  <c r="AC164" i="1"/>
  <c r="AD164" i="1"/>
  <c r="T164" i="1" s="1"/>
  <c r="AE164" i="1"/>
  <c r="R47" i="3" s="1"/>
  <c r="AF164" i="1"/>
  <c r="AH187" i="1"/>
  <c r="AM187" i="1"/>
  <c r="AN187" i="1"/>
  <c r="K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8" i="1"/>
  <c r="AM188" i="1"/>
  <c r="AN188" i="1"/>
  <c r="K166" i="1"/>
  <c r="M166" i="1"/>
  <c r="N166" i="1" s="1"/>
  <c r="V166" i="1"/>
  <c r="Y166" i="1"/>
  <c r="Z166" i="1"/>
  <c r="AB166" i="1"/>
  <c r="AC166" i="1"/>
  <c r="AD166" i="1"/>
  <c r="AE166" i="1"/>
  <c r="AF166" i="1"/>
  <c r="AH189" i="1"/>
  <c r="AM189" i="1"/>
  <c r="AN189" i="1"/>
  <c r="K167" i="1"/>
  <c r="M167" i="1"/>
  <c r="N167" i="1" s="1"/>
  <c r="T167" i="1"/>
  <c r="V167" i="1"/>
  <c r="Y167" i="1"/>
  <c r="Z167" i="1"/>
  <c r="AB167" i="1"/>
  <c r="AC167" i="1"/>
  <c r="AD167" i="1"/>
  <c r="AE167" i="1"/>
  <c r="AF167" i="1"/>
  <c r="AH190" i="1"/>
  <c r="AM190" i="1"/>
  <c r="AN190" i="1"/>
  <c r="K168" i="1"/>
  <c r="M168" i="1"/>
  <c r="N168" i="1" s="1"/>
  <c r="V168" i="1"/>
  <c r="S48" i="3" s="1"/>
  <c r="Y168" i="1"/>
  <c r="Z168" i="1"/>
  <c r="AB168" i="1"/>
  <c r="AC168" i="1"/>
  <c r="AD168" i="1"/>
  <c r="X168" i="1" s="1"/>
  <c r="AE168" i="1"/>
  <c r="R48" i="3" s="1"/>
  <c r="AF168" i="1"/>
  <c r="AH191" i="1"/>
  <c r="AM191" i="1"/>
  <c r="AN191" i="1"/>
  <c r="K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2" i="1"/>
  <c r="AM192" i="1"/>
  <c r="AN192" i="1"/>
  <c r="K170" i="1"/>
  <c r="M170" i="1"/>
  <c r="N170" i="1" s="1"/>
  <c r="V170" i="1"/>
  <c r="Y170" i="1"/>
  <c r="Z170" i="1"/>
  <c r="AB170" i="1"/>
  <c r="AC170" i="1"/>
  <c r="AD170" i="1"/>
  <c r="AE170" i="1"/>
  <c r="AF170" i="1"/>
  <c r="AH193" i="1"/>
  <c r="AM193" i="1"/>
  <c r="AN193" i="1"/>
  <c r="K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4" i="1"/>
  <c r="AM194" i="1"/>
  <c r="AN194" i="1"/>
  <c r="K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95" i="1"/>
  <c r="AM195" i="1"/>
  <c r="AN195" i="1"/>
  <c r="K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6" i="1"/>
  <c r="AM196" i="1"/>
  <c r="AN196" i="1"/>
  <c r="K174" i="1"/>
  <c r="M174" i="1"/>
  <c r="N174" i="1" s="1"/>
  <c r="V174" i="1"/>
  <c r="Y174" i="1"/>
  <c r="Z174" i="1"/>
  <c r="AB174" i="1"/>
  <c r="AC174" i="1"/>
  <c r="AD174" i="1"/>
  <c r="AE174" i="1"/>
  <c r="AF174" i="1"/>
  <c r="AH197" i="1"/>
  <c r="AM197" i="1"/>
  <c r="AN197" i="1"/>
  <c r="AH198" i="1"/>
  <c r="AM198" i="1"/>
  <c r="AN198" i="1"/>
  <c r="K175" i="1"/>
  <c r="M175" i="1"/>
  <c r="N175" i="1" s="1"/>
  <c r="V175" i="1"/>
  <c r="S38" i="3" s="1"/>
  <c r="Y175" i="1"/>
  <c r="Z175" i="1"/>
  <c r="AB175" i="1"/>
  <c r="AC175" i="1"/>
  <c r="AD175" i="1"/>
  <c r="AE175" i="1"/>
  <c r="R38" i="3" s="1"/>
  <c r="AF175" i="1"/>
  <c r="AH199" i="1"/>
  <c r="AM199" i="1"/>
  <c r="AN199" i="1"/>
  <c r="K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00" i="1"/>
  <c r="AM200" i="1"/>
  <c r="AN200" i="1"/>
  <c r="K177" i="1"/>
  <c r="M177" i="1"/>
  <c r="N177" i="1" s="1"/>
  <c r="V177" i="1"/>
  <c r="Y177" i="1"/>
  <c r="Z177" i="1"/>
  <c r="AB177" i="1"/>
  <c r="AC177" i="1"/>
  <c r="AD177" i="1"/>
  <c r="AE177" i="1"/>
  <c r="AF177" i="1"/>
  <c r="AH201" i="1"/>
  <c r="AM201" i="1"/>
  <c r="AN201" i="1"/>
  <c r="K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02" i="1"/>
  <c r="AM202" i="1"/>
  <c r="AN202" i="1"/>
  <c r="K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3" i="1"/>
  <c r="AM203" i="1"/>
  <c r="AN203" i="1"/>
  <c r="K180" i="1"/>
  <c r="M180" i="1"/>
  <c r="N180" i="1" s="1"/>
  <c r="V180" i="1"/>
  <c r="S49" i="3" s="1"/>
  <c r="Y180" i="1"/>
  <c r="Z180" i="1"/>
  <c r="AB180" i="1"/>
  <c r="AC180" i="1"/>
  <c r="AD180" i="1"/>
  <c r="T180" i="1" s="1"/>
  <c r="AE180" i="1"/>
  <c r="R49" i="3" s="1"/>
  <c r="AF180" i="1"/>
  <c r="AH204" i="1"/>
  <c r="AM204" i="1"/>
  <c r="AN204" i="1"/>
  <c r="K181" i="1"/>
  <c r="M181" i="1"/>
  <c r="N181" i="1" s="1"/>
  <c r="V181" i="1"/>
  <c r="S34" i="3" s="1"/>
  <c r="Y181" i="1"/>
  <c r="Z181" i="1"/>
  <c r="AB181" i="1"/>
  <c r="AC181" i="1"/>
  <c r="AD181" i="1"/>
  <c r="AE181" i="1"/>
  <c r="R34" i="3" s="1"/>
  <c r="AF181" i="1"/>
  <c r="AH205" i="1"/>
  <c r="AM205" i="1"/>
  <c r="AN205" i="1"/>
  <c r="K182" i="1"/>
  <c r="M182" i="1"/>
  <c r="N182" i="1" s="1"/>
  <c r="T182" i="1"/>
  <c r="V182" i="1"/>
  <c r="Y182" i="1"/>
  <c r="Z182" i="1"/>
  <c r="AB182" i="1"/>
  <c r="AC182" i="1"/>
  <c r="AD182" i="1"/>
  <c r="AE182" i="1"/>
  <c r="AF182" i="1"/>
  <c r="AH206" i="1"/>
  <c r="AM206" i="1"/>
  <c r="AN206" i="1"/>
  <c r="K183" i="1"/>
  <c r="M183" i="1"/>
  <c r="N183" i="1" s="1"/>
  <c r="T183" i="1"/>
  <c r="V183" i="1"/>
  <c r="S39" i="3" s="1"/>
  <c r="Y183" i="1"/>
  <c r="Z183" i="1"/>
  <c r="AB183" i="1"/>
  <c r="AC183" i="1"/>
  <c r="AD183" i="1"/>
  <c r="AE183" i="1"/>
  <c r="R39" i="3" s="1"/>
  <c r="AF183" i="1"/>
  <c r="AH207" i="1"/>
  <c r="AM207" i="1"/>
  <c r="AN207" i="1"/>
  <c r="K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08" i="1"/>
  <c r="AM208" i="1"/>
  <c r="AN208" i="1"/>
  <c r="K185" i="1"/>
  <c r="M185" i="1"/>
  <c r="N185" i="1" s="1"/>
  <c r="V185" i="1"/>
  <c r="Y185" i="1"/>
  <c r="Z185" i="1"/>
  <c r="AB185" i="1"/>
  <c r="AC185" i="1"/>
  <c r="AD185" i="1"/>
  <c r="AE185" i="1"/>
  <c r="R40" i="3" s="1"/>
  <c r="AF185" i="1"/>
  <c r="AH209" i="1"/>
  <c r="AM209" i="1"/>
  <c r="AN209" i="1"/>
  <c r="K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0" i="1"/>
  <c r="AM210" i="1"/>
  <c r="AN210" i="1"/>
  <c r="K187" i="1"/>
  <c r="M187" i="1"/>
  <c r="N187" i="1" s="1"/>
  <c r="V187" i="1"/>
  <c r="Y187" i="1"/>
  <c r="Z187" i="1"/>
  <c r="AB187" i="1"/>
  <c r="AC187" i="1"/>
  <c r="AD187" i="1"/>
  <c r="AE187" i="1"/>
  <c r="AF187" i="1"/>
  <c r="AH211" i="1"/>
  <c r="AM211" i="1"/>
  <c r="AN211" i="1"/>
  <c r="K188" i="1"/>
  <c r="M188" i="1"/>
  <c r="N188" i="1" s="1"/>
  <c r="V188" i="1"/>
  <c r="S50" i="3" s="1"/>
  <c r="Y188" i="1"/>
  <c r="Z188" i="1"/>
  <c r="AB188" i="1"/>
  <c r="AC188" i="1"/>
  <c r="AD188" i="1"/>
  <c r="T188" i="1" s="1"/>
  <c r="AE188" i="1"/>
  <c r="R50" i="3" s="1"/>
  <c r="AF188" i="1"/>
  <c r="AH212" i="1"/>
  <c r="AM212" i="1"/>
  <c r="AN212" i="1"/>
  <c r="K189" i="1"/>
  <c r="M189" i="1"/>
  <c r="N189" i="1" s="1"/>
  <c r="V189" i="1"/>
  <c r="S41" i="3" s="1"/>
  <c r="Y189" i="1"/>
  <c r="Z189" i="1"/>
  <c r="AB189" i="1"/>
  <c r="AC189" i="1"/>
  <c r="AD189" i="1"/>
  <c r="AE189" i="1"/>
  <c r="R41" i="3" s="1"/>
  <c r="AF189" i="1"/>
  <c r="AH213" i="1"/>
  <c r="AM213" i="1"/>
  <c r="AN213" i="1"/>
  <c r="K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4" i="1"/>
  <c r="AM214" i="1"/>
  <c r="AN214" i="1"/>
  <c r="K191" i="1"/>
  <c r="M191" i="1"/>
  <c r="N191" i="1" s="1"/>
  <c r="V191" i="1"/>
  <c r="S32" i="3" s="1"/>
  <c r="Y191" i="1"/>
  <c r="Z191" i="1"/>
  <c r="AB191" i="1"/>
  <c r="AC191" i="1"/>
  <c r="AD191" i="1"/>
  <c r="X191" i="1" s="1"/>
  <c r="AE191" i="1"/>
  <c r="R32" i="3" s="1"/>
  <c r="AF191" i="1"/>
  <c r="AH215" i="1"/>
  <c r="AM215" i="1"/>
  <c r="AN215" i="1"/>
  <c r="K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16" i="1"/>
  <c r="AM216" i="1"/>
  <c r="AN216" i="1"/>
  <c r="K193" i="1"/>
  <c r="M193" i="1"/>
  <c r="N193" i="1" s="1"/>
  <c r="V193" i="1"/>
  <c r="Y193" i="1"/>
  <c r="Z193" i="1"/>
  <c r="AB193" i="1"/>
  <c r="AC193" i="1"/>
  <c r="AD193" i="1"/>
  <c r="AE193" i="1"/>
  <c r="R42" i="3" s="1"/>
  <c r="AF193" i="1"/>
  <c r="AH217" i="1"/>
  <c r="AM217" i="1"/>
  <c r="AN217" i="1"/>
  <c r="K194" i="1"/>
  <c r="M194" i="1"/>
  <c r="N194" i="1" s="1"/>
  <c r="T194" i="1"/>
  <c r="V194" i="1"/>
  <c r="S51" i="3" s="1"/>
  <c r="Y194" i="1"/>
  <c r="Z194" i="1"/>
  <c r="AB194" i="1"/>
  <c r="AC194" i="1"/>
  <c r="AD194" i="1"/>
  <c r="AE194" i="1"/>
  <c r="R51" i="3" s="1"/>
  <c r="AF194" i="1"/>
  <c r="AH218" i="1"/>
  <c r="AM218" i="1"/>
  <c r="AN218" i="1"/>
  <c r="K195" i="1"/>
  <c r="M195" i="1"/>
  <c r="N195" i="1" s="1"/>
  <c r="T195" i="1"/>
  <c r="V195" i="1"/>
  <c r="Y195" i="1"/>
  <c r="Z195" i="1"/>
  <c r="AB195" i="1"/>
  <c r="AC195" i="1"/>
  <c r="AD195" i="1"/>
  <c r="AE195" i="1"/>
  <c r="AF195" i="1"/>
  <c r="AH219" i="1"/>
  <c r="AM219" i="1"/>
  <c r="AN219" i="1"/>
  <c r="K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20" i="1"/>
  <c r="AM220" i="1"/>
  <c r="AN220" i="1"/>
  <c r="K197" i="1"/>
  <c r="M197" i="1"/>
  <c r="N197" i="1" s="1"/>
  <c r="V197" i="1"/>
  <c r="S43" i="3" s="1"/>
  <c r="Y197" i="1"/>
  <c r="Z197" i="1"/>
  <c r="AA197" i="1" s="1"/>
  <c r="AB197" i="1"/>
  <c r="AC197" i="1"/>
  <c r="AD197" i="1"/>
  <c r="AE197" i="1"/>
  <c r="R33" i="3" s="1"/>
  <c r="AF197" i="1"/>
  <c r="AH221" i="1"/>
  <c r="AM221" i="1"/>
  <c r="AN221" i="1"/>
  <c r="K198" i="1"/>
  <c r="M198" i="1"/>
  <c r="N198" i="1" s="1"/>
  <c r="V198" i="1"/>
  <c r="Y198" i="1"/>
  <c r="Z198" i="1"/>
  <c r="AB198" i="1"/>
  <c r="AC198" i="1"/>
  <c r="AD198" i="1"/>
  <c r="AE198" i="1"/>
  <c r="AF198" i="1"/>
  <c r="AH222" i="1"/>
  <c r="AM222" i="1"/>
  <c r="AN222" i="1"/>
  <c r="K199" i="1"/>
  <c r="M199" i="1"/>
  <c r="N199" i="1" s="1"/>
  <c r="V199" i="1"/>
  <c r="S44" i="3" s="1"/>
  <c r="Y199" i="1"/>
  <c r="Z199" i="1"/>
  <c r="AB199" i="1"/>
  <c r="AC199" i="1"/>
  <c r="AD199" i="1"/>
  <c r="T199" i="1" s="1"/>
  <c r="AE199" i="1"/>
  <c r="R44" i="3" s="1"/>
  <c r="AF199" i="1"/>
  <c r="AH223" i="1"/>
  <c r="AM223" i="1"/>
  <c r="AN223" i="1"/>
  <c r="K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4" i="1"/>
  <c r="AM224" i="1"/>
  <c r="AN224" i="1"/>
  <c r="K201" i="1"/>
  <c r="M201" i="1"/>
  <c r="N201" i="1" s="1"/>
  <c r="V201" i="1"/>
  <c r="Y201" i="1"/>
  <c r="Z201" i="1"/>
  <c r="AB201" i="1"/>
  <c r="AC201" i="1"/>
  <c r="AD201" i="1"/>
  <c r="AE201" i="1"/>
  <c r="AF201" i="1"/>
  <c r="AH225" i="1"/>
  <c r="AM225" i="1"/>
  <c r="AN225" i="1"/>
  <c r="K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26" i="1"/>
  <c r="AM226" i="1"/>
  <c r="AN226" i="1"/>
  <c r="K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7" i="1"/>
  <c r="AM227" i="1"/>
  <c r="AN227" i="1"/>
  <c r="K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8" i="1"/>
  <c r="AM228" i="1"/>
  <c r="AN228" i="1"/>
  <c r="K205" i="1"/>
  <c r="M205" i="1"/>
  <c r="N205" i="1" s="1"/>
  <c r="V205" i="1"/>
  <c r="Y205" i="1"/>
  <c r="Z205" i="1"/>
  <c r="AB205" i="1"/>
  <c r="AC205" i="1"/>
  <c r="AD205" i="1"/>
  <c r="AE205" i="1"/>
  <c r="AF205" i="1"/>
  <c r="AH229" i="1"/>
  <c r="AM229" i="1"/>
  <c r="AN229" i="1"/>
  <c r="K217" i="1"/>
  <c r="M217" i="1"/>
  <c r="N217" i="1" s="1"/>
  <c r="V217" i="1"/>
  <c r="S53" i="3" s="1"/>
  <c r="Y217" i="1"/>
  <c r="Z217" i="1"/>
  <c r="AB217" i="1"/>
  <c r="AC217" i="1"/>
  <c r="AD217" i="1"/>
  <c r="T217" i="1" s="1"/>
  <c r="AE217" i="1"/>
  <c r="R53" i="3" s="1"/>
  <c r="AF217" i="1"/>
  <c r="AH230" i="1"/>
  <c r="AM230" i="1"/>
  <c r="AN230" i="1"/>
  <c r="K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31" i="1"/>
  <c r="AM231" i="1"/>
  <c r="AN231" i="1"/>
  <c r="K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2" i="1"/>
  <c r="AM232" i="1"/>
  <c r="AN232" i="1"/>
  <c r="K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3" i="1"/>
  <c r="AM233" i="1"/>
  <c r="AN233" i="1"/>
  <c r="K221" i="1"/>
  <c r="M221" i="1"/>
  <c r="V221" i="1"/>
  <c r="Y221" i="1"/>
  <c r="Z221" i="1"/>
  <c r="AB221" i="1"/>
  <c r="AC221" i="1"/>
  <c r="AD221" i="1"/>
  <c r="T221" i="1" s="1"/>
  <c r="AE221" i="1"/>
  <c r="AF221" i="1"/>
  <c r="AH234" i="1"/>
  <c r="AM234" i="1"/>
  <c r="AN234" i="1"/>
  <c r="K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5" i="1"/>
  <c r="AM235" i="1"/>
  <c r="AN235" i="1"/>
  <c r="M53" i="3"/>
  <c r="U53" i="3"/>
  <c r="T53" i="3" s="1"/>
  <c r="V53" i="3"/>
  <c r="X53" i="3"/>
  <c r="M36" i="3"/>
  <c r="S36" i="3"/>
  <c r="U36" i="3"/>
  <c r="V36" i="3"/>
  <c r="X36" i="3"/>
  <c r="AC36" i="3"/>
  <c r="M10" i="3"/>
  <c r="R10" i="3"/>
  <c r="S10" i="3"/>
  <c r="U10" i="3"/>
  <c r="AC10" i="3" s="1"/>
  <c r="V10" i="3"/>
  <c r="X10" i="3"/>
  <c r="M45" i="3"/>
  <c r="R45" i="3"/>
  <c r="U45" i="3"/>
  <c r="AC45" i="3" s="1"/>
  <c r="V45" i="3"/>
  <c r="X45" i="3"/>
  <c r="M37" i="3"/>
  <c r="R37" i="3"/>
  <c r="S37" i="3"/>
  <c r="U37" i="3"/>
  <c r="T37" i="3" s="1"/>
  <c r="V37" i="3"/>
  <c r="X37" i="3"/>
  <c r="M46" i="3"/>
  <c r="S46" i="3"/>
  <c r="U46" i="3"/>
  <c r="AC46" i="3" s="1"/>
  <c r="V46" i="3"/>
  <c r="X46" i="3"/>
  <c r="M16" i="3"/>
  <c r="R16" i="3"/>
  <c r="S16" i="3"/>
  <c r="U16" i="3"/>
  <c r="AC16" i="3" s="1"/>
  <c r="V16" i="3"/>
  <c r="X16" i="3"/>
  <c r="M47" i="3"/>
  <c r="S47" i="3"/>
  <c r="U47" i="3"/>
  <c r="AC47" i="3" s="1"/>
  <c r="V47" i="3"/>
  <c r="X47" i="3"/>
  <c r="M18" i="3"/>
  <c r="R18" i="3"/>
  <c r="S18" i="3"/>
  <c r="U18" i="3"/>
  <c r="T18" i="3" s="1"/>
  <c r="V18" i="3"/>
  <c r="X18" i="3"/>
  <c r="M48" i="3"/>
  <c r="U48" i="3"/>
  <c r="AD48" i="3" s="1"/>
  <c r="V48" i="3"/>
  <c r="X48" i="3"/>
  <c r="M13" i="3"/>
  <c r="R13" i="3"/>
  <c r="U13" i="3"/>
  <c r="AC13" i="3" s="1"/>
  <c r="V13" i="3"/>
  <c r="X13" i="3"/>
  <c r="M17" i="3"/>
  <c r="R17" i="3"/>
  <c r="U17" i="3"/>
  <c r="AC17" i="3" s="1"/>
  <c r="V17" i="3"/>
  <c r="X17" i="3"/>
  <c r="M15" i="3"/>
  <c r="R15" i="3"/>
  <c r="S15" i="3"/>
  <c r="U15" i="3"/>
  <c r="T15" i="3" s="1"/>
  <c r="V15" i="3"/>
  <c r="X15" i="3"/>
  <c r="M19" i="3"/>
  <c r="S19" i="3"/>
  <c r="U19" i="3"/>
  <c r="AD19" i="3" s="1"/>
  <c r="V19" i="3"/>
  <c r="X19" i="3"/>
  <c r="M20" i="3"/>
  <c r="S20" i="3"/>
  <c r="U20" i="3"/>
  <c r="AC20" i="3" s="1"/>
  <c r="V20" i="3"/>
  <c r="X20" i="3"/>
  <c r="M21" i="3"/>
  <c r="R21" i="3"/>
  <c r="S21" i="3"/>
  <c r="U21" i="3"/>
  <c r="AC21" i="3" s="1"/>
  <c r="V21" i="3"/>
  <c r="X21" i="3"/>
  <c r="M38" i="3"/>
  <c r="U38" i="3"/>
  <c r="T38" i="3" s="1"/>
  <c r="V38" i="3"/>
  <c r="X38" i="3"/>
  <c r="M27" i="3"/>
  <c r="R27" i="3"/>
  <c r="S27" i="3"/>
  <c r="U27" i="3"/>
  <c r="AC27" i="3" s="1"/>
  <c r="V27" i="3"/>
  <c r="X27" i="3"/>
  <c r="M28" i="3"/>
  <c r="R28" i="3"/>
  <c r="U28" i="3"/>
  <c r="AC28" i="3" s="1"/>
  <c r="V28" i="3"/>
  <c r="X28" i="3"/>
  <c r="M29" i="3"/>
  <c r="R29" i="3"/>
  <c r="U29" i="3"/>
  <c r="AC29" i="3" s="1"/>
  <c r="V29" i="3"/>
  <c r="X29" i="3"/>
  <c r="M49" i="3"/>
  <c r="U49" i="3"/>
  <c r="T49" i="3" s="1"/>
  <c r="V49" i="3"/>
  <c r="X49" i="3"/>
  <c r="M34" i="3"/>
  <c r="U34" i="3"/>
  <c r="V34" i="3"/>
  <c r="X34" i="3"/>
  <c r="M22" i="3"/>
  <c r="R22" i="3"/>
  <c r="U22" i="3"/>
  <c r="AC22" i="3" s="1"/>
  <c r="V22" i="3"/>
  <c r="X22" i="3"/>
  <c r="M39" i="3"/>
  <c r="U39" i="3"/>
  <c r="AC39" i="3" s="1"/>
  <c r="V39" i="3"/>
  <c r="X39" i="3"/>
  <c r="M23" i="3"/>
  <c r="R23" i="3"/>
  <c r="U23" i="3"/>
  <c r="T23" i="3" s="1"/>
  <c r="V23" i="3"/>
  <c r="X23" i="3"/>
  <c r="M8" i="3"/>
  <c r="S8" i="3"/>
  <c r="U8" i="3"/>
  <c r="V8" i="3"/>
  <c r="X8" i="3"/>
  <c r="M24" i="3"/>
  <c r="R24" i="3"/>
  <c r="U24" i="3"/>
  <c r="AC24" i="3" s="1"/>
  <c r="V24" i="3"/>
  <c r="X24" i="3"/>
  <c r="M40" i="3"/>
  <c r="S40" i="3"/>
  <c r="U40" i="3"/>
  <c r="T40" i="3" s="1"/>
  <c r="V40" i="3"/>
  <c r="X40" i="3"/>
  <c r="M25" i="3"/>
  <c r="R25" i="3"/>
  <c r="U25" i="3"/>
  <c r="T25" i="3" s="1"/>
  <c r="V25" i="3"/>
  <c r="X25" i="3"/>
  <c r="AD36" i="3"/>
  <c r="M14" i="3"/>
  <c r="R14" i="3"/>
  <c r="S14" i="3"/>
  <c r="U14" i="3"/>
  <c r="V14" i="3"/>
  <c r="X14" i="3"/>
  <c r="M11" i="3"/>
  <c r="R11" i="3"/>
  <c r="U11" i="3"/>
  <c r="AC11" i="3" s="1"/>
  <c r="V11" i="3"/>
  <c r="X11" i="3"/>
  <c r="M50" i="3"/>
  <c r="U50" i="3"/>
  <c r="V50" i="3"/>
  <c r="X50" i="3"/>
  <c r="M41" i="3"/>
  <c r="U41" i="3"/>
  <c r="T41" i="3" s="1"/>
  <c r="V41" i="3"/>
  <c r="X41" i="3"/>
  <c r="M32" i="3"/>
  <c r="U32" i="3"/>
  <c r="V32" i="3"/>
  <c r="X32" i="3"/>
  <c r="M30" i="3"/>
  <c r="S30" i="3"/>
  <c r="U30" i="3"/>
  <c r="AC30" i="3" s="1"/>
  <c r="V30" i="3"/>
  <c r="X30" i="3"/>
  <c r="M26" i="3"/>
  <c r="S26" i="3"/>
  <c r="U26" i="3"/>
  <c r="T26" i="3" s="1"/>
  <c r="V26" i="3"/>
  <c r="X26" i="3"/>
  <c r="M42" i="3"/>
  <c r="S42" i="3"/>
  <c r="U42" i="3"/>
  <c r="T42" i="3" s="1"/>
  <c r="V42" i="3"/>
  <c r="X42" i="3"/>
  <c r="M35" i="3"/>
  <c r="S35" i="3"/>
  <c r="U35" i="3"/>
  <c r="V35" i="3"/>
  <c r="X35" i="3"/>
  <c r="M51" i="3"/>
  <c r="U51" i="3"/>
  <c r="AC51" i="3" s="1"/>
  <c r="V51" i="3"/>
  <c r="X51" i="3"/>
  <c r="M9" i="3"/>
  <c r="R9" i="3"/>
  <c r="U9" i="3"/>
  <c r="T9" i="3" s="1"/>
  <c r="V9" i="3"/>
  <c r="X9" i="3"/>
  <c r="M33" i="3"/>
  <c r="S33" i="3"/>
  <c r="U33" i="3"/>
  <c r="T33" i="3" s="1"/>
  <c r="V33" i="3"/>
  <c r="X33" i="3"/>
  <c r="M12" i="3"/>
  <c r="R12" i="3"/>
  <c r="U12" i="3"/>
  <c r="V12" i="3"/>
  <c r="X12" i="3"/>
  <c r="M31" i="3"/>
  <c r="U31" i="3"/>
  <c r="AC31" i="3" s="1"/>
  <c r="V31" i="3"/>
  <c r="X31" i="3"/>
  <c r="M43" i="3"/>
  <c r="U43" i="3"/>
  <c r="V43" i="3"/>
  <c r="X43" i="3"/>
  <c r="AD51" i="3"/>
  <c r="M44" i="3"/>
  <c r="U44" i="3"/>
  <c r="T44" i="3" s="1"/>
  <c r="V44" i="3"/>
  <c r="X44" i="3"/>
  <c r="M7" i="3"/>
  <c r="R7" i="3"/>
  <c r="S7" i="3"/>
  <c r="U7" i="3"/>
  <c r="V7" i="3"/>
  <c r="X7" i="3"/>
  <c r="AG154" i="1"/>
  <c r="AG158" i="1"/>
  <c r="AG153" i="1"/>
  <c r="AG157" i="1"/>
  <c r="AG152" i="1"/>
  <c r="AG156" i="1"/>
  <c r="AG155" i="1"/>
  <c r="AG150" i="1"/>
  <c r="AG105" i="1"/>
  <c r="AG20" i="1"/>
  <c r="AG36" i="1"/>
  <c r="AG15" i="1"/>
  <c r="AG31" i="1"/>
  <c r="AG47" i="1"/>
  <c r="AG22" i="1"/>
  <c r="AG38" i="1"/>
  <c r="AG17" i="1"/>
  <c r="AG33" i="1"/>
  <c r="AG49" i="1"/>
  <c r="AG66" i="1"/>
  <c r="AG82" i="1"/>
  <c r="AG64" i="1"/>
  <c r="AG80" i="1"/>
  <c r="AG63" i="1"/>
  <c r="AG79" i="1"/>
  <c r="AG90" i="1"/>
  <c r="AG106" i="1"/>
  <c r="AG121" i="1"/>
  <c r="AG93" i="1"/>
  <c r="AG109" i="1"/>
  <c r="AG77" i="1"/>
  <c r="AG92" i="1"/>
  <c r="AG108" i="1"/>
  <c r="AG53" i="1"/>
  <c r="AG91" i="1"/>
  <c r="AG107" i="1"/>
  <c r="AG124" i="1"/>
  <c r="AG140" i="1"/>
  <c r="AG123" i="1"/>
  <c r="AG139" i="1"/>
  <c r="AG120" i="1"/>
  <c r="AG138" i="1"/>
  <c r="AG141" i="1"/>
  <c r="AG229" i="1"/>
  <c r="AG168" i="1"/>
  <c r="AG183" i="1"/>
  <c r="AG129" i="1"/>
  <c r="AG228" i="1"/>
  <c r="AG167" i="1"/>
  <c r="AG182" i="1"/>
  <c r="AG198" i="1"/>
  <c r="AG209" i="1"/>
  <c r="AG231" i="1"/>
  <c r="AG170" i="1"/>
  <c r="AG185" i="1"/>
  <c r="AG208" i="1"/>
  <c r="AG184" i="1"/>
  <c r="AG133" i="1"/>
  <c r="AG203" i="1"/>
  <c r="AG221" i="1"/>
  <c r="AG176" i="1"/>
  <c r="AG201" i="1"/>
  <c r="AG173" i="1"/>
  <c r="AG28" i="1"/>
  <c r="AG44" i="1"/>
  <c r="AG23" i="1"/>
  <c r="AG39" i="1"/>
  <c r="AG14" i="1"/>
  <c r="AG30" i="1"/>
  <c r="AG46" i="1"/>
  <c r="AG25" i="1"/>
  <c r="AG41" i="1"/>
  <c r="AG58" i="1"/>
  <c r="AG74" i="1"/>
  <c r="AG56" i="1"/>
  <c r="AG72" i="1"/>
  <c r="AG55" i="1"/>
  <c r="AG71" i="1"/>
  <c r="AG69" i="1"/>
  <c r="AG98" i="1"/>
  <c r="AG113" i="1"/>
  <c r="AG73" i="1"/>
  <c r="AG101" i="1"/>
  <c r="AG116" i="1"/>
  <c r="AG100" i="1"/>
  <c r="AG115" i="1"/>
  <c r="AG81" i="1"/>
  <c r="AG99" i="1"/>
  <c r="AG114" i="1"/>
  <c r="AG132" i="1"/>
  <c r="AG148" i="1"/>
  <c r="AG131" i="1"/>
  <c r="AG147" i="1"/>
  <c r="AG130" i="1"/>
  <c r="AG146" i="1"/>
  <c r="AG215" i="1"/>
  <c r="AG160" i="1"/>
  <c r="AG175" i="1"/>
  <c r="AG191" i="1"/>
  <c r="AG214" i="1"/>
  <c r="AG159" i="1"/>
  <c r="AG190" i="1"/>
  <c r="AG137" i="1"/>
  <c r="AG223" i="1"/>
  <c r="AG162" i="1"/>
  <c r="AG177" i="1"/>
  <c r="AG193" i="1"/>
  <c r="AG230" i="1"/>
  <c r="AG219" i="1"/>
  <c r="AG180" i="1"/>
  <c r="AG222" i="1"/>
  <c r="AG226" i="1"/>
  <c r="AG199" i="1"/>
  <c r="AG207" i="1"/>
  <c r="AG205" i="1"/>
  <c r="AG16" i="1"/>
  <c r="AG32" i="1"/>
  <c r="AG48" i="1"/>
  <c r="AG27" i="1"/>
  <c r="AG43" i="1"/>
  <c r="AG18" i="1"/>
  <c r="AG34" i="1"/>
  <c r="AG50" i="1"/>
  <c r="AG29" i="1"/>
  <c r="AG45" i="1"/>
  <c r="AG62" i="1"/>
  <c r="AG78" i="1"/>
  <c r="AG60" i="1"/>
  <c r="AG76" i="1"/>
  <c r="AG59" i="1"/>
  <c r="AG75" i="1"/>
  <c r="AG86" i="1"/>
  <c r="AG102" i="1"/>
  <c r="AG117" i="1"/>
  <c r="AG89" i="1"/>
  <c r="AG61" i="1"/>
  <c r="AG88" i="1"/>
  <c r="AG104" i="1"/>
  <c r="AG119" i="1"/>
  <c r="AG87" i="1"/>
  <c r="AG103" i="1"/>
  <c r="AG118" i="1"/>
  <c r="AG136" i="1"/>
  <c r="AG35" i="1"/>
  <c r="AG21" i="1"/>
  <c r="AG52" i="1"/>
  <c r="AG83" i="1"/>
  <c r="AG112" i="1"/>
  <c r="AG128" i="1"/>
  <c r="AG134" i="1"/>
  <c r="AG179" i="1"/>
  <c r="AG149" i="1"/>
  <c r="AG125" i="1"/>
  <c r="AG220" i="1"/>
  <c r="AG24" i="1"/>
  <c r="AG51" i="1"/>
  <c r="AG37" i="1"/>
  <c r="AG68" i="1"/>
  <c r="AG94" i="1"/>
  <c r="AG65" i="1"/>
  <c r="AG144" i="1"/>
  <c r="AG143" i="1"/>
  <c r="AG142" i="1"/>
  <c r="AG233" i="1"/>
  <c r="AG187" i="1"/>
  <c r="AG232" i="1"/>
  <c r="AG186" i="1"/>
  <c r="AG213" i="1"/>
  <c r="AG174" i="1"/>
  <c r="AG216" i="1"/>
  <c r="AG165" i="1"/>
  <c r="AG212" i="1"/>
  <c r="AG145" i="1"/>
  <c r="AG40" i="1"/>
  <c r="AG26" i="1"/>
  <c r="AG54" i="1"/>
  <c r="AG84" i="1"/>
  <c r="AG110" i="1"/>
  <c r="AG85" i="1"/>
  <c r="AG95" i="1"/>
  <c r="AG122" i="1"/>
  <c r="AG206" i="1"/>
  <c r="AG151" i="1"/>
  <c r="AG164" i="1"/>
  <c r="AG195" i="1"/>
  <c r="AG163" i="1"/>
  <c r="AG194" i="1"/>
  <c r="AG227" i="1"/>
  <c r="AG181" i="1"/>
  <c r="AG169" i="1"/>
  <c r="AG196" i="1"/>
  <c r="AG161" i="1"/>
  <c r="AG234" i="1"/>
  <c r="AG19" i="1"/>
  <c r="AG42" i="1"/>
  <c r="AG70" i="1"/>
  <c r="AG67" i="1"/>
  <c r="AG57" i="1"/>
  <c r="AG96" i="1"/>
  <c r="AG111" i="1"/>
  <c r="AG127" i="1"/>
  <c r="AG126" i="1"/>
  <c r="AG211" i="1"/>
  <c r="AG210" i="1"/>
  <c r="AG171" i="1"/>
  <c r="AG235" i="1"/>
  <c r="AG204" i="1"/>
  <c r="AG192" i="1"/>
  <c r="AG172" i="1"/>
  <c r="AG202" i="1"/>
  <c r="AG189" i="1"/>
  <c r="AG218" i="1"/>
  <c r="AG188" i="1"/>
  <c r="AG97" i="1"/>
  <c r="AG135" i="1"/>
  <c r="AG225" i="1"/>
  <c r="AG224" i="1"/>
  <c r="AG178" i="1"/>
  <c r="AG166" i="1"/>
  <c r="AG197" i="1"/>
  <c r="AG217" i="1"/>
  <c r="AG200" i="1"/>
  <c r="W19" i="3"/>
  <c r="W14" i="3"/>
  <c r="W7" i="3"/>
  <c r="W10" i="3"/>
  <c r="W28" i="3"/>
  <c r="W30" i="3"/>
  <c r="W45" i="3"/>
  <c r="W29" i="3"/>
  <c r="W25" i="3"/>
  <c r="W44" i="3"/>
  <c r="W15" i="3"/>
  <c r="W33" i="3"/>
  <c r="W36" i="3"/>
  <c r="W27" i="3"/>
  <c r="W32" i="3"/>
  <c r="W51" i="3"/>
  <c r="W16" i="3"/>
  <c r="W22" i="3"/>
  <c r="W31" i="3"/>
  <c r="W47" i="3"/>
  <c r="W39" i="3"/>
  <c r="W41" i="3"/>
  <c r="W53" i="3"/>
  <c r="W38" i="3"/>
  <c r="W48" i="3"/>
  <c r="W8" i="3"/>
  <c r="W12" i="3"/>
  <c r="W43" i="3"/>
  <c r="W20" i="3"/>
  <c r="W11" i="3"/>
  <c r="W9" i="3"/>
  <c r="W21" i="3"/>
  <c r="W23" i="3"/>
  <c r="W18" i="3"/>
  <c r="W46" i="3"/>
  <c r="W34" i="3"/>
  <c r="W35" i="3"/>
  <c r="W50" i="3"/>
  <c r="W13" i="3"/>
  <c r="W24" i="3"/>
  <c r="W40" i="3"/>
  <c r="W17" i="3"/>
  <c r="W26" i="3"/>
  <c r="W42" i="3"/>
  <c r="W37" i="3"/>
  <c r="W49" i="3"/>
  <c r="AA152" i="1" l="1"/>
  <c r="S155" i="1"/>
  <c r="AI155" i="1"/>
  <c r="U155" i="1"/>
  <c r="S156" i="1"/>
  <c r="AI156" i="1"/>
  <c r="U156" i="1"/>
  <c r="AI152" i="1"/>
  <c r="U152" i="1"/>
  <c r="S152" i="1" s="1"/>
  <c r="U157" i="1"/>
  <c r="S157" i="1" s="1"/>
  <c r="AI157" i="1"/>
  <c r="U153" i="1"/>
  <c r="S153" i="1" s="1"/>
  <c r="AI153" i="1"/>
  <c r="U158" i="1"/>
  <c r="S158" i="1"/>
  <c r="AI158" i="1"/>
  <c r="U154" i="1"/>
  <c r="S154" i="1" s="1"/>
  <c r="AI154" i="1"/>
  <c r="W157" i="1"/>
  <c r="W156" i="1"/>
  <c r="W155" i="1"/>
  <c r="W153" i="1"/>
  <c r="W152" i="1"/>
  <c r="W158" i="1"/>
  <c r="W154" i="1"/>
  <c r="AI150" i="1"/>
  <c r="U150" i="1"/>
  <c r="S150" i="1" s="1"/>
  <c r="W150" i="1"/>
  <c r="S31" i="3"/>
  <c r="AD16" i="3"/>
  <c r="X195" i="1"/>
  <c r="T191" i="1"/>
  <c r="X183" i="1"/>
  <c r="X119" i="1"/>
  <c r="X104" i="1"/>
  <c r="T96" i="1"/>
  <c r="AA95" i="1"/>
  <c r="X53" i="1"/>
  <c r="AD37" i="3"/>
  <c r="AA98" i="1"/>
  <c r="AA96" i="1"/>
  <c r="AA64" i="1"/>
  <c r="X114" i="1"/>
  <c r="AC37" i="3"/>
  <c r="X116" i="1"/>
  <c r="AA79" i="1"/>
  <c r="AA75" i="1"/>
  <c r="AA53" i="1"/>
  <c r="W53" i="1" s="1"/>
  <c r="T53" i="1"/>
  <c r="AA44" i="1"/>
  <c r="AA39" i="1"/>
  <c r="X88" i="1"/>
  <c r="AD39" i="3"/>
  <c r="AD20" i="3"/>
  <c r="X198" i="1"/>
  <c r="AA179" i="1"/>
  <c r="W179" i="1" s="1"/>
  <c r="AD27" i="3"/>
  <c r="T29" i="3"/>
  <c r="T45" i="3"/>
  <c r="AA91" i="1"/>
  <c r="AA67" i="1"/>
  <c r="X56" i="1"/>
  <c r="X86" i="1"/>
  <c r="AC42" i="3"/>
  <c r="AA172" i="1"/>
  <c r="AA207" i="1"/>
  <c r="AD53" i="3"/>
  <c r="AD40" i="3"/>
  <c r="AE27" i="3"/>
  <c r="T17" i="3"/>
  <c r="AC48" i="3"/>
  <c r="X205" i="1"/>
  <c r="AA167" i="1"/>
  <c r="AA163" i="1"/>
  <c r="AA210" i="1"/>
  <c r="W210" i="1" s="1"/>
  <c r="AA122" i="1"/>
  <c r="AA99" i="1"/>
  <c r="AA90" i="1"/>
  <c r="AA88" i="1"/>
  <c r="W88" i="1" s="1"/>
  <c r="AA83" i="1"/>
  <c r="X72" i="1"/>
  <c r="AA72" i="1"/>
  <c r="AA63" i="1"/>
  <c r="W63" i="1" s="1"/>
  <c r="AA59" i="1"/>
  <c r="AA40" i="1"/>
  <c r="AA36" i="1"/>
  <c r="AA20" i="1"/>
  <c r="W20" i="1" s="1"/>
  <c r="AA16" i="1"/>
  <c r="X89" i="1"/>
  <c r="X85" i="1"/>
  <c r="R43" i="3"/>
  <c r="AD47" i="3"/>
  <c r="AE51" i="3"/>
  <c r="AC26" i="3"/>
  <c r="S28" i="3"/>
  <c r="AC19" i="3"/>
  <c r="AC15" i="3"/>
  <c r="S17" i="3"/>
  <c r="AA205" i="1"/>
  <c r="W205" i="1" s="1"/>
  <c r="T205" i="1"/>
  <c r="AA202" i="1"/>
  <c r="T175" i="1"/>
  <c r="T168" i="1"/>
  <c r="U168" i="1" s="1"/>
  <c r="S168" i="1" s="1"/>
  <c r="AA164" i="1"/>
  <c r="AA228" i="1"/>
  <c r="W228" i="1" s="1"/>
  <c r="AA216" i="1"/>
  <c r="AA214" i="1"/>
  <c r="W214" i="1" s="1"/>
  <c r="AA151" i="1"/>
  <c r="AA135" i="1"/>
  <c r="W135" i="1" s="1"/>
  <c r="AA131" i="1"/>
  <c r="AA113" i="1"/>
  <c r="W113" i="1" s="1"/>
  <c r="AA112" i="1"/>
  <c r="T112" i="1"/>
  <c r="U112" i="1" s="1"/>
  <c r="S112" i="1" s="1"/>
  <c r="AA111" i="1"/>
  <c r="AA106" i="1"/>
  <c r="W106" i="1" s="1"/>
  <c r="AA104" i="1"/>
  <c r="T104" i="1"/>
  <c r="U104" i="1" s="1"/>
  <c r="S104" i="1" s="1"/>
  <c r="AA103" i="1"/>
  <c r="X84" i="1"/>
  <c r="X81" i="1"/>
  <c r="AA76" i="1"/>
  <c r="W76" i="1" s="1"/>
  <c r="AA71" i="1"/>
  <c r="AA68" i="1"/>
  <c r="W68" i="1" s="1"/>
  <c r="X65" i="1"/>
  <c r="AA60" i="1"/>
  <c r="W60" i="1" s="1"/>
  <c r="AA55" i="1"/>
  <c r="X52" i="1"/>
  <c r="X48" i="1"/>
  <c r="X40" i="1"/>
  <c r="AA28" i="1"/>
  <c r="X25" i="1"/>
  <c r="AA23" i="1"/>
  <c r="X17" i="1"/>
  <c r="AD41" i="3"/>
  <c r="AD28" i="3"/>
  <c r="X187" i="1"/>
  <c r="T211" i="1"/>
  <c r="U211" i="1" s="1"/>
  <c r="S211" i="1" s="1"/>
  <c r="X208" i="1"/>
  <c r="X128" i="1"/>
  <c r="X76" i="1"/>
  <c r="X73" i="1"/>
  <c r="X68" i="1"/>
  <c r="X60" i="1"/>
  <c r="X57" i="1"/>
  <c r="X32" i="1"/>
  <c r="AE43" i="3"/>
  <c r="R31" i="3"/>
  <c r="AD49" i="3"/>
  <c r="AD45" i="3"/>
  <c r="AC32" i="3"/>
  <c r="AD29" i="3"/>
  <c r="AC49" i="3"/>
  <c r="T21" i="3"/>
  <c r="AE19" i="3"/>
  <c r="T47" i="3"/>
  <c r="AC53" i="3"/>
  <c r="AA217" i="1"/>
  <c r="W217" i="1" s="1"/>
  <c r="AA190" i="1"/>
  <c r="AA182" i="1"/>
  <c r="W182" i="1" s="1"/>
  <c r="AA178" i="1"/>
  <c r="AA171" i="1"/>
  <c r="W171" i="1" s="1"/>
  <c r="X233" i="1"/>
  <c r="AA141" i="1"/>
  <c r="W141" i="1" s="1"/>
  <c r="X140" i="1"/>
  <c r="AA107" i="1"/>
  <c r="W107" i="1" s="1"/>
  <c r="AA85" i="1"/>
  <c r="AA74" i="1"/>
  <c r="W74" i="1" s="1"/>
  <c r="AA58" i="1"/>
  <c r="AA56" i="1"/>
  <c r="W56" i="1" s="1"/>
  <c r="X37" i="1"/>
  <c r="AA35" i="1"/>
  <c r="W35" i="1" s="1"/>
  <c r="AA31" i="1"/>
  <c r="AA27" i="1"/>
  <c r="W27" i="1" s="1"/>
  <c r="AA17" i="1"/>
  <c r="AA87" i="1"/>
  <c r="W87" i="1" s="1"/>
  <c r="AA82" i="1"/>
  <c r="T73" i="1"/>
  <c r="U73" i="1" s="1"/>
  <c r="S73" i="1" s="1"/>
  <c r="AA66" i="1"/>
  <c r="T57" i="1"/>
  <c r="AA34" i="1"/>
  <c r="AA32" i="1"/>
  <c r="X24" i="1"/>
  <c r="X21" i="1"/>
  <c r="R35" i="3"/>
  <c r="AA222" i="1"/>
  <c r="W222" i="1" s="1"/>
  <c r="AA203" i="1"/>
  <c r="AA194" i="1"/>
  <c r="W194" i="1" s="1"/>
  <c r="T187" i="1"/>
  <c r="AA186" i="1"/>
  <c r="X172" i="1"/>
  <c r="AA233" i="1"/>
  <c r="W233" i="1" s="1"/>
  <c r="AA227" i="1"/>
  <c r="AA140" i="1"/>
  <c r="W140" i="1" s="1"/>
  <c r="X132" i="1"/>
  <c r="AA97" i="1"/>
  <c r="W97" i="1" s="1"/>
  <c r="AA84" i="1"/>
  <c r="W84" i="1" s="1"/>
  <c r="AA78" i="1"/>
  <c r="X77" i="1"/>
  <c r="AA73" i="1"/>
  <c r="W73" i="1" s="1"/>
  <c r="AA62" i="1"/>
  <c r="X61" i="1"/>
  <c r="AA57" i="1"/>
  <c r="AA50" i="1"/>
  <c r="W50" i="1" s="1"/>
  <c r="AA48" i="1"/>
  <c r="W48" i="1" s="1"/>
  <c r="X20" i="1"/>
  <c r="X36" i="1"/>
  <c r="AA30" i="1"/>
  <c r="W30" i="1" s="1"/>
  <c r="X29" i="1"/>
  <c r="AA21" i="1"/>
  <c r="AA19" i="1"/>
  <c r="X16" i="1"/>
  <c r="AA219" i="1"/>
  <c r="W219" i="1" s="1"/>
  <c r="AA204" i="1"/>
  <c r="AA201" i="1"/>
  <c r="X200" i="1"/>
  <c r="X164" i="1"/>
  <c r="AA232" i="1"/>
  <c r="X229" i="1"/>
  <c r="AA224" i="1"/>
  <c r="W224" i="1" s="1"/>
  <c r="AA215" i="1"/>
  <c r="AA211" i="1"/>
  <c r="AA148" i="1"/>
  <c r="W148" i="1" s="1"/>
  <c r="AA146" i="1"/>
  <c r="W146" i="1" s="1"/>
  <c r="AA142" i="1"/>
  <c r="AA139" i="1"/>
  <c r="AA136" i="1"/>
  <c r="W136" i="1" s="1"/>
  <c r="AA134" i="1"/>
  <c r="AA130" i="1"/>
  <c r="AA120" i="1"/>
  <c r="AA105" i="1"/>
  <c r="W105" i="1" s="1"/>
  <c r="AA89" i="1"/>
  <c r="W89" i="1" s="1"/>
  <c r="X80" i="1"/>
  <c r="T77" i="1"/>
  <c r="AA70" i="1"/>
  <c r="W70" i="1" s="1"/>
  <c r="X69" i="1"/>
  <c r="AA65" i="1"/>
  <c r="X64" i="1"/>
  <c r="T61" i="1"/>
  <c r="U61" i="1" s="1"/>
  <c r="S61" i="1" s="1"/>
  <c r="AA46" i="1"/>
  <c r="W46" i="1" s="1"/>
  <c r="X45" i="1"/>
  <c r="AA221" i="1"/>
  <c r="X220" i="1"/>
  <c r="X202" i="1"/>
  <c r="AA198" i="1"/>
  <c r="AA191" i="1"/>
  <c r="AA189" i="1"/>
  <c r="AA183" i="1"/>
  <c r="AA181" i="1"/>
  <c r="AA175" i="1"/>
  <c r="AA174" i="1"/>
  <c r="W174" i="1" s="1"/>
  <c r="AA168" i="1"/>
  <c r="W168" i="1" s="1"/>
  <c r="AA166" i="1"/>
  <c r="AA160" i="1"/>
  <c r="AA235" i="1"/>
  <c r="AA229" i="1"/>
  <c r="AA223" i="1"/>
  <c r="X206" i="1"/>
  <c r="AA147" i="1"/>
  <c r="W147" i="1" s="1"/>
  <c r="X144" i="1"/>
  <c r="AA144" i="1"/>
  <c r="T115" i="1"/>
  <c r="AA184" i="1"/>
  <c r="W184" i="1" s="1"/>
  <c r="AA169" i="1"/>
  <c r="AA230" i="1"/>
  <c r="AA225" i="1"/>
  <c r="W225" i="1" s="1"/>
  <c r="T215" i="1"/>
  <c r="U215" i="1" s="1"/>
  <c r="S215" i="1" s="1"/>
  <c r="AA213" i="1"/>
  <c r="X207" i="1"/>
  <c r="T123" i="1"/>
  <c r="U123" i="1" s="1"/>
  <c r="S123" i="1" s="1"/>
  <c r="X123" i="1"/>
  <c r="X121" i="1"/>
  <c r="T121" i="1"/>
  <c r="X122" i="1"/>
  <c r="AA220" i="1"/>
  <c r="W220" i="1" s="1"/>
  <c r="AA218" i="1"/>
  <c r="AA199" i="1"/>
  <c r="AA195" i="1"/>
  <c r="W195" i="1" s="1"/>
  <c r="AA193" i="1"/>
  <c r="W193" i="1" s="1"/>
  <c r="AA187" i="1"/>
  <c r="AA185" i="1"/>
  <c r="AA177" i="1"/>
  <c r="W177" i="1" s="1"/>
  <c r="AA170" i="1"/>
  <c r="W170" i="1" s="1"/>
  <c r="AA162" i="1"/>
  <c r="AA231" i="1"/>
  <c r="W231" i="1" s="1"/>
  <c r="AA209" i="1"/>
  <c r="W209" i="1" s="1"/>
  <c r="AA206" i="1"/>
  <c r="W206" i="1" s="1"/>
  <c r="X148" i="1"/>
  <c r="T136" i="1"/>
  <c r="X136" i="1"/>
  <c r="AA127" i="1"/>
  <c r="W127" i="1" s="1"/>
  <c r="T124" i="1"/>
  <c r="X124" i="1"/>
  <c r="T84" i="1"/>
  <c r="T48" i="1"/>
  <c r="U48" i="1" s="1"/>
  <c r="S48" i="1" s="1"/>
  <c r="T32" i="1"/>
  <c r="X108" i="1"/>
  <c r="X107" i="1"/>
  <c r="X100" i="1"/>
  <c r="X99" i="1"/>
  <c r="X92" i="1"/>
  <c r="X91" i="1"/>
  <c r="AA81" i="1"/>
  <c r="W81" i="1" s="1"/>
  <c r="T80" i="1"/>
  <c r="AA77" i="1"/>
  <c r="W77" i="1" s="1"/>
  <c r="T76" i="1"/>
  <c r="T72" i="1"/>
  <c r="U72" i="1" s="1"/>
  <c r="S72" i="1" s="1"/>
  <c r="T68" i="1"/>
  <c r="T64" i="1"/>
  <c r="U64" i="1" s="1"/>
  <c r="T60" i="1"/>
  <c r="T56" i="1"/>
  <c r="U56" i="1" s="1"/>
  <c r="S56" i="1" s="1"/>
  <c r="X49" i="1"/>
  <c r="X44" i="1"/>
  <c r="AA37" i="1"/>
  <c r="T36" i="1"/>
  <c r="U36" i="1" s="1"/>
  <c r="S36" i="1" s="1"/>
  <c r="X33" i="1"/>
  <c r="X28" i="1"/>
  <c r="AA14" i="1"/>
  <c r="AA208" i="1"/>
  <c r="AA145" i="1"/>
  <c r="AA138" i="1"/>
  <c r="W138" i="1" s="1"/>
  <c r="AA132" i="1"/>
  <c r="AA128" i="1"/>
  <c r="AA126" i="1"/>
  <c r="AA117" i="1"/>
  <c r="W117" i="1" s="1"/>
  <c r="AA116" i="1"/>
  <c r="AA110" i="1"/>
  <c r="W110" i="1" s="1"/>
  <c r="AA109" i="1"/>
  <c r="AA102" i="1"/>
  <c r="W102" i="1" s="1"/>
  <c r="AA101" i="1"/>
  <c r="AA94" i="1"/>
  <c r="AA93" i="1"/>
  <c r="AA86" i="1"/>
  <c r="W86" i="1" s="1"/>
  <c r="AA54" i="1"/>
  <c r="AA51" i="1"/>
  <c r="W51" i="1" s="1"/>
  <c r="AA45" i="1"/>
  <c r="AA41" i="1"/>
  <c r="W41" i="1" s="1"/>
  <c r="AA38" i="1"/>
  <c r="AA29" i="1"/>
  <c r="W29" i="1" s="1"/>
  <c r="AA25" i="1"/>
  <c r="AA22" i="1"/>
  <c r="W22" i="1" s="1"/>
  <c r="AA18" i="1"/>
  <c r="AA133" i="1"/>
  <c r="W133" i="1" s="1"/>
  <c r="AA124" i="1"/>
  <c r="AA123" i="1"/>
  <c r="W123" i="1" s="1"/>
  <c r="AA121" i="1"/>
  <c r="X118" i="1"/>
  <c r="AA115" i="1"/>
  <c r="X111" i="1"/>
  <c r="AA108" i="1"/>
  <c r="X103" i="1"/>
  <c r="AA100" i="1"/>
  <c r="X95" i="1"/>
  <c r="AA92" i="1"/>
  <c r="AA49" i="1"/>
  <c r="W49" i="1" s="1"/>
  <c r="AA42" i="1"/>
  <c r="W42" i="1" s="1"/>
  <c r="AA26" i="1"/>
  <c r="AI233" i="1"/>
  <c r="U220" i="1"/>
  <c r="S220" i="1" s="1"/>
  <c r="AI229" i="1"/>
  <c r="U205" i="1"/>
  <c r="S205" i="1" s="1"/>
  <c r="AI212" i="1"/>
  <c r="U188" i="1"/>
  <c r="S188" i="1" s="1"/>
  <c r="AI196" i="1"/>
  <c r="U173" i="1"/>
  <c r="S173" i="1" s="1"/>
  <c r="AI180" i="1"/>
  <c r="U234" i="1"/>
  <c r="S234" i="1" s="1"/>
  <c r="AI160" i="1"/>
  <c r="U207" i="1"/>
  <c r="S207" i="1" s="1"/>
  <c r="AI145" i="1"/>
  <c r="U145" i="1"/>
  <c r="S145" i="1" s="1"/>
  <c r="AI225" i="1"/>
  <c r="AI224" i="1"/>
  <c r="U200" i="1"/>
  <c r="S200" i="1" s="1"/>
  <c r="AI223" i="1"/>
  <c r="U199" i="1"/>
  <c r="S199" i="1" s="1"/>
  <c r="AI216" i="1"/>
  <c r="U192" i="1"/>
  <c r="S192" i="1" s="1"/>
  <c r="AI200" i="1"/>
  <c r="U176" i="1"/>
  <c r="S176" i="1" s="1"/>
  <c r="AI184" i="1"/>
  <c r="U161" i="1"/>
  <c r="S161" i="1" s="1"/>
  <c r="AI173" i="1"/>
  <c r="U226" i="1"/>
  <c r="S226" i="1" s="1"/>
  <c r="AI165" i="1"/>
  <c r="U212" i="1"/>
  <c r="S212" i="1" s="1"/>
  <c r="AI234" i="1"/>
  <c r="U221" i="1"/>
  <c r="S221" i="1" s="1"/>
  <c r="AI230" i="1"/>
  <c r="U217" i="1"/>
  <c r="S217" i="1" s="1"/>
  <c r="U222" i="1"/>
  <c r="S222" i="1" s="1"/>
  <c r="AI235" i="1"/>
  <c r="U218" i="1"/>
  <c r="S218" i="1" s="1"/>
  <c r="AI231" i="1"/>
  <c r="U203" i="1"/>
  <c r="S203" i="1" s="1"/>
  <c r="AI227" i="1"/>
  <c r="AI220" i="1"/>
  <c r="U196" i="1"/>
  <c r="S196" i="1" s="1"/>
  <c r="AI204" i="1"/>
  <c r="U180" i="1"/>
  <c r="S180" i="1" s="1"/>
  <c r="AI188" i="1"/>
  <c r="U165" i="1"/>
  <c r="S165" i="1" s="1"/>
  <c r="AI133" i="1"/>
  <c r="U133" i="1"/>
  <c r="S133" i="1" s="1"/>
  <c r="AI125" i="1"/>
  <c r="U125" i="1"/>
  <c r="S125" i="1" s="1"/>
  <c r="U219" i="1"/>
  <c r="S219" i="1" s="1"/>
  <c r="AI232" i="1"/>
  <c r="U204" i="1"/>
  <c r="S204" i="1" s="1"/>
  <c r="AI228" i="1"/>
  <c r="AI208" i="1"/>
  <c r="U184" i="1"/>
  <c r="S184" i="1" s="1"/>
  <c r="AI192" i="1"/>
  <c r="U169" i="1"/>
  <c r="S169" i="1" s="1"/>
  <c r="AI176" i="1"/>
  <c r="U230" i="1"/>
  <c r="S230" i="1" s="1"/>
  <c r="AI169" i="1"/>
  <c r="U216" i="1"/>
  <c r="S216" i="1" s="1"/>
  <c r="U208" i="1"/>
  <c r="S208" i="1" s="1"/>
  <c r="AI161" i="1"/>
  <c r="AI221" i="1"/>
  <c r="AI217" i="1"/>
  <c r="AI213" i="1"/>
  <c r="AI209" i="1"/>
  <c r="AI205" i="1"/>
  <c r="AI201" i="1"/>
  <c r="AI197" i="1"/>
  <c r="AI193" i="1"/>
  <c r="AI189" i="1"/>
  <c r="AI185" i="1"/>
  <c r="AI181" i="1"/>
  <c r="AI177" i="1"/>
  <c r="AI174" i="1"/>
  <c r="AI170" i="1"/>
  <c r="AI166" i="1"/>
  <c r="AI162" i="1"/>
  <c r="AI149" i="1"/>
  <c r="U149" i="1"/>
  <c r="S149" i="1" s="1"/>
  <c r="AI137" i="1"/>
  <c r="U137" i="1"/>
  <c r="S137" i="1" s="1"/>
  <c r="U202" i="1"/>
  <c r="S202" i="1" s="1"/>
  <c r="AI226" i="1"/>
  <c r="AI222" i="1"/>
  <c r="U194" i="1"/>
  <c r="S194" i="1" s="1"/>
  <c r="AI218" i="1"/>
  <c r="U190" i="1"/>
  <c r="S190" i="1" s="1"/>
  <c r="AI214" i="1"/>
  <c r="U186" i="1"/>
  <c r="S186" i="1" s="1"/>
  <c r="AI210" i="1"/>
  <c r="W186" i="1"/>
  <c r="U182" i="1"/>
  <c r="S182" i="1" s="1"/>
  <c r="AI206" i="1"/>
  <c r="U178" i="1"/>
  <c r="S178" i="1" s="1"/>
  <c r="AI202" i="1"/>
  <c r="AI198" i="1"/>
  <c r="U171" i="1"/>
  <c r="S171" i="1" s="1"/>
  <c r="AI194" i="1"/>
  <c r="U167" i="1"/>
  <c r="S167" i="1" s="1"/>
  <c r="AI190" i="1"/>
  <c r="U163" i="1"/>
  <c r="S163" i="1" s="1"/>
  <c r="AI186" i="1"/>
  <c r="U159" i="1"/>
  <c r="S159" i="1" s="1"/>
  <c r="AI182" i="1"/>
  <c r="U232" i="1"/>
  <c r="S232" i="1" s="1"/>
  <c r="AI178" i="1"/>
  <c r="W232" i="1"/>
  <c r="U228" i="1"/>
  <c r="S228" i="1" s="1"/>
  <c r="U224" i="1"/>
  <c r="S224" i="1" s="1"/>
  <c r="AI171" i="1"/>
  <c r="U214" i="1"/>
  <c r="S214" i="1" s="1"/>
  <c r="AI167" i="1"/>
  <c r="U210" i="1"/>
  <c r="S210" i="1" s="1"/>
  <c r="AI163" i="1"/>
  <c r="AI129" i="1"/>
  <c r="U129" i="1"/>
  <c r="S129" i="1" s="1"/>
  <c r="U195" i="1"/>
  <c r="S195" i="1" s="1"/>
  <c r="AI219" i="1"/>
  <c r="U191" i="1"/>
  <c r="S191" i="1" s="1"/>
  <c r="AI215" i="1"/>
  <c r="U187" i="1"/>
  <c r="S187" i="1" s="1"/>
  <c r="AI211" i="1"/>
  <c r="U183" i="1"/>
  <c r="S183" i="1" s="1"/>
  <c r="AI207" i="1"/>
  <c r="U179" i="1"/>
  <c r="S179" i="1" s="1"/>
  <c r="AI203" i="1"/>
  <c r="U175" i="1"/>
  <c r="S175" i="1" s="1"/>
  <c r="AI199" i="1"/>
  <c r="U172" i="1"/>
  <c r="S172" i="1" s="1"/>
  <c r="AI195" i="1"/>
  <c r="AI191" i="1"/>
  <c r="U164" i="1"/>
  <c r="S164" i="1" s="1"/>
  <c r="AI187" i="1"/>
  <c r="U160" i="1"/>
  <c r="S160" i="1" s="1"/>
  <c r="AI183" i="1"/>
  <c r="U233" i="1"/>
  <c r="S233" i="1" s="1"/>
  <c r="AI179" i="1"/>
  <c r="U229" i="1"/>
  <c r="S229" i="1" s="1"/>
  <c r="AI175" i="1"/>
  <c r="U225" i="1"/>
  <c r="S225" i="1" s="1"/>
  <c r="AI172" i="1"/>
  <c r="AI168" i="1"/>
  <c r="AI164" i="1"/>
  <c r="AI141" i="1"/>
  <c r="U141" i="1"/>
  <c r="S141" i="1" s="1"/>
  <c r="AI151" i="1"/>
  <c r="AI146" i="1"/>
  <c r="AI142" i="1"/>
  <c r="AI138" i="1"/>
  <c r="AI134" i="1"/>
  <c r="AI130" i="1"/>
  <c r="AI126" i="1"/>
  <c r="AI120" i="1"/>
  <c r="U120" i="1"/>
  <c r="S120" i="1" s="1"/>
  <c r="U206" i="1"/>
  <c r="S206" i="1" s="1"/>
  <c r="AI159" i="1"/>
  <c r="U147" i="1"/>
  <c r="S147" i="1" s="1"/>
  <c r="AI147" i="1"/>
  <c r="U143" i="1"/>
  <c r="S143" i="1" s="1"/>
  <c r="AI143" i="1"/>
  <c r="W143" i="1"/>
  <c r="U139" i="1"/>
  <c r="S139" i="1" s="1"/>
  <c r="AI139" i="1"/>
  <c r="W139" i="1"/>
  <c r="U135" i="1"/>
  <c r="S135" i="1" s="1"/>
  <c r="AI135" i="1"/>
  <c r="U131" i="1"/>
  <c r="S131" i="1" s="1"/>
  <c r="AI131" i="1"/>
  <c r="U127" i="1"/>
  <c r="S127" i="1" s="1"/>
  <c r="AI127" i="1"/>
  <c r="AI123" i="1"/>
  <c r="U122" i="1"/>
  <c r="S122" i="1" s="1"/>
  <c r="AI122" i="1"/>
  <c r="U148" i="1"/>
  <c r="S148" i="1" s="1"/>
  <c r="AI148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8" i="1"/>
  <c r="S128" i="1" s="1"/>
  <c r="AI128" i="1"/>
  <c r="U124" i="1"/>
  <c r="S124" i="1" s="1"/>
  <c r="AI124" i="1"/>
  <c r="U118" i="1"/>
  <c r="S118" i="1" s="1"/>
  <c r="AI118" i="1"/>
  <c r="AI114" i="1"/>
  <c r="U114" i="1"/>
  <c r="S114" i="1" s="1"/>
  <c r="AI111" i="1"/>
  <c r="U111" i="1"/>
  <c r="S111" i="1" s="1"/>
  <c r="AI107" i="1"/>
  <c r="U107" i="1"/>
  <c r="S107" i="1" s="1"/>
  <c r="AI103" i="1"/>
  <c r="U103" i="1"/>
  <c r="S103" i="1" s="1"/>
  <c r="AI99" i="1"/>
  <c r="U99" i="1"/>
  <c r="S99" i="1" s="1"/>
  <c r="AI95" i="1"/>
  <c r="U95" i="1"/>
  <c r="S95" i="1" s="1"/>
  <c r="AI91" i="1"/>
  <c r="U91" i="1"/>
  <c r="S91" i="1" s="1"/>
  <c r="AI87" i="1"/>
  <c r="U87" i="1"/>
  <c r="S87" i="1" s="1"/>
  <c r="AI81" i="1"/>
  <c r="U81" i="1"/>
  <c r="S81" i="1" s="1"/>
  <c r="AI65" i="1"/>
  <c r="U65" i="1"/>
  <c r="AI53" i="1"/>
  <c r="U53" i="1"/>
  <c r="S53" i="1" s="1"/>
  <c r="AI119" i="1"/>
  <c r="U119" i="1"/>
  <c r="S119" i="1" s="1"/>
  <c r="AI115" i="1"/>
  <c r="U115" i="1"/>
  <c r="S115" i="1" s="1"/>
  <c r="AI112" i="1"/>
  <c r="AI108" i="1"/>
  <c r="U108" i="1"/>
  <c r="S108" i="1" s="1"/>
  <c r="AI104" i="1"/>
  <c r="AI100" i="1"/>
  <c r="U100" i="1"/>
  <c r="S100" i="1" s="1"/>
  <c r="AI96" i="1"/>
  <c r="U96" i="1"/>
  <c r="S96" i="1" s="1"/>
  <c r="AI92" i="1"/>
  <c r="U92" i="1"/>
  <c r="S92" i="1" s="1"/>
  <c r="AI88" i="1"/>
  <c r="U88" i="1"/>
  <c r="S88" i="1" s="1"/>
  <c r="U85" i="1"/>
  <c r="S85" i="1" s="1"/>
  <c r="AI85" i="1"/>
  <c r="AI77" i="1"/>
  <c r="U77" i="1"/>
  <c r="S77" i="1" s="1"/>
  <c r="AI61" i="1"/>
  <c r="U116" i="1"/>
  <c r="S116" i="1" s="1"/>
  <c r="AI116" i="1"/>
  <c r="U109" i="1"/>
  <c r="S109" i="1" s="1"/>
  <c r="AI109" i="1"/>
  <c r="U105" i="1"/>
  <c r="S105" i="1" s="1"/>
  <c r="AI105" i="1"/>
  <c r="U101" i="1"/>
  <c r="S101" i="1" s="1"/>
  <c r="AI101" i="1"/>
  <c r="U97" i="1"/>
  <c r="S97" i="1" s="1"/>
  <c r="AI97" i="1"/>
  <c r="U93" i="1"/>
  <c r="S93" i="1" s="1"/>
  <c r="AI93" i="1"/>
  <c r="U89" i="1"/>
  <c r="S89" i="1" s="1"/>
  <c r="AI89" i="1"/>
  <c r="AI73" i="1"/>
  <c r="AI57" i="1"/>
  <c r="U57" i="1"/>
  <c r="S57" i="1" s="1"/>
  <c r="U121" i="1"/>
  <c r="S121" i="1" s="1"/>
  <c r="AI121" i="1"/>
  <c r="AI117" i="1"/>
  <c r="AI113" i="1"/>
  <c r="AI110" i="1"/>
  <c r="AI106" i="1"/>
  <c r="AI102" i="1"/>
  <c r="AI98" i="1"/>
  <c r="AI94" i="1"/>
  <c r="AI90" i="1"/>
  <c r="AI86" i="1"/>
  <c r="AI69" i="1"/>
  <c r="U69" i="1"/>
  <c r="S69" i="1" s="1"/>
  <c r="U83" i="1"/>
  <c r="S83" i="1" s="1"/>
  <c r="AI83" i="1"/>
  <c r="U79" i="1"/>
  <c r="S79" i="1" s="1"/>
  <c r="AI79" i="1"/>
  <c r="U75" i="1"/>
  <c r="S75" i="1" s="1"/>
  <c r="AI75" i="1"/>
  <c r="U71" i="1"/>
  <c r="S71" i="1" s="1"/>
  <c r="W71" i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W55" i="1"/>
  <c r="AI55" i="1"/>
  <c r="U84" i="1"/>
  <c r="S84" i="1" s="1"/>
  <c r="AI84" i="1"/>
  <c r="AI80" i="1"/>
  <c r="U80" i="1"/>
  <c r="S80" i="1" s="1"/>
  <c r="AI76" i="1"/>
  <c r="U76" i="1"/>
  <c r="S76" i="1" s="1"/>
  <c r="AI72" i="1"/>
  <c r="AI68" i="1"/>
  <c r="U68" i="1"/>
  <c r="S68" i="1" s="1"/>
  <c r="AI64" i="1"/>
  <c r="AI60" i="1"/>
  <c r="U60" i="1"/>
  <c r="S60" i="1" s="1"/>
  <c r="AI56" i="1"/>
  <c r="U52" i="1"/>
  <c r="S52" i="1" s="1"/>
  <c r="AI52" i="1"/>
  <c r="AI82" i="1"/>
  <c r="AI78" i="1"/>
  <c r="AI74" i="1"/>
  <c r="AI70" i="1"/>
  <c r="AI66" i="1"/>
  <c r="AI62" i="1"/>
  <c r="AI58" i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U50" i="1"/>
  <c r="S50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AI48" i="1"/>
  <c r="U44" i="1"/>
  <c r="S44" i="1" s="1"/>
  <c r="AI44" i="1"/>
  <c r="U40" i="1"/>
  <c r="S40" i="1" s="1"/>
  <c r="AI40" i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204" i="1"/>
  <c r="W203" i="1"/>
  <c r="W201" i="1"/>
  <c r="W197" i="1"/>
  <c r="W190" i="1"/>
  <c r="W167" i="1"/>
  <c r="W159" i="1"/>
  <c r="W221" i="1"/>
  <c r="W198" i="1"/>
  <c r="W202" i="1"/>
  <c r="W178" i="1"/>
  <c r="W163" i="1"/>
  <c r="W218" i="1"/>
  <c r="W199" i="1"/>
  <c r="X219" i="1"/>
  <c r="X204" i="1"/>
  <c r="T201" i="1"/>
  <c r="U201" i="1" s="1"/>
  <c r="S201" i="1" s="1"/>
  <c r="X201" i="1"/>
  <c r="AA196" i="1"/>
  <c r="W196" i="1" s="1"/>
  <c r="X194" i="1"/>
  <c r="T193" i="1"/>
  <c r="U193" i="1" s="1"/>
  <c r="S193" i="1" s="1"/>
  <c r="X193" i="1"/>
  <c r="W181" i="1"/>
  <c r="AA180" i="1"/>
  <c r="W180" i="1" s="1"/>
  <c r="T177" i="1"/>
  <c r="U177" i="1" s="1"/>
  <c r="S177" i="1" s="1"/>
  <c r="W166" i="1"/>
  <c r="AA165" i="1"/>
  <c r="W165" i="1" s="1"/>
  <c r="W164" i="1"/>
  <c r="X163" i="1"/>
  <c r="T162" i="1"/>
  <c r="U162" i="1" s="1"/>
  <c r="S162" i="1" s="1"/>
  <c r="X162" i="1"/>
  <c r="X228" i="1"/>
  <c r="T227" i="1"/>
  <c r="U227" i="1" s="1"/>
  <c r="S227" i="1" s="1"/>
  <c r="X227" i="1"/>
  <c r="X214" i="1"/>
  <c r="T213" i="1"/>
  <c r="U213" i="1" s="1"/>
  <c r="S213" i="1" s="1"/>
  <c r="X213" i="1"/>
  <c r="W114" i="1"/>
  <c r="W99" i="1"/>
  <c r="W98" i="1"/>
  <c r="W91" i="1"/>
  <c r="W90" i="1"/>
  <c r="W185" i="1"/>
  <c r="W183" i="1"/>
  <c r="X182" i="1"/>
  <c r="T181" i="1"/>
  <c r="U181" i="1" s="1"/>
  <c r="S181" i="1" s="1"/>
  <c r="X181" i="1"/>
  <c r="W169" i="1"/>
  <c r="X167" i="1"/>
  <c r="T166" i="1"/>
  <c r="U166" i="1" s="1"/>
  <c r="S166" i="1" s="1"/>
  <c r="X166" i="1"/>
  <c r="W230" i="1"/>
  <c r="W229" i="1"/>
  <c r="W223" i="1"/>
  <c r="W216" i="1"/>
  <c r="W215" i="1"/>
  <c r="X221" i="1"/>
  <c r="X217" i="1"/>
  <c r="X199" i="1"/>
  <c r="T198" i="1"/>
  <c r="U198" i="1" s="1"/>
  <c r="S198" i="1" s="1"/>
  <c r="T197" i="1"/>
  <c r="U197" i="1" s="1"/>
  <c r="S197" i="1" s="1"/>
  <c r="X197" i="1"/>
  <c r="W189" i="1"/>
  <c r="AA188" i="1"/>
  <c r="W188" i="1" s="1"/>
  <c r="W187" i="1"/>
  <c r="X186" i="1"/>
  <c r="T185" i="1"/>
  <c r="U185" i="1" s="1"/>
  <c r="S185" i="1" s="1"/>
  <c r="X185" i="1"/>
  <c r="AA173" i="1"/>
  <c r="W173" i="1" s="1"/>
  <c r="W172" i="1"/>
  <c r="X171" i="1"/>
  <c r="T170" i="1"/>
  <c r="U170" i="1" s="1"/>
  <c r="S170" i="1" s="1"/>
  <c r="X170" i="1"/>
  <c r="W235" i="1"/>
  <c r="AA234" i="1"/>
  <c r="W234" i="1" s="1"/>
  <c r="X232" i="1"/>
  <c r="T231" i="1"/>
  <c r="U231" i="1" s="1"/>
  <c r="S231" i="1" s="1"/>
  <c r="X231" i="1"/>
  <c r="X224" i="1"/>
  <c r="T223" i="1"/>
  <c r="U223" i="1" s="1"/>
  <c r="S223" i="1" s="1"/>
  <c r="X223" i="1"/>
  <c r="W211" i="1"/>
  <c r="X210" i="1"/>
  <c r="T209" i="1"/>
  <c r="U209" i="1" s="1"/>
  <c r="S209" i="1" s="1"/>
  <c r="X209" i="1"/>
  <c r="W151" i="1"/>
  <c r="X139" i="1"/>
  <c r="T138" i="1"/>
  <c r="U138" i="1" s="1"/>
  <c r="S138" i="1" s="1"/>
  <c r="X138" i="1"/>
  <c r="W131" i="1"/>
  <c r="W129" i="1"/>
  <c r="W122" i="1"/>
  <c r="X222" i="1"/>
  <c r="X218" i="1"/>
  <c r="X203" i="1"/>
  <c r="AA200" i="1"/>
  <c r="W200" i="1" s="1"/>
  <c r="AA192" i="1"/>
  <c r="W192" i="1" s="1"/>
  <c r="W191" i="1"/>
  <c r="X190" i="1"/>
  <c r="T189" i="1"/>
  <c r="U189" i="1" s="1"/>
  <c r="S189" i="1" s="1"/>
  <c r="X189" i="1"/>
  <c r="AA176" i="1"/>
  <c r="W176" i="1" s="1"/>
  <c r="W175" i="1"/>
  <c r="T174" i="1"/>
  <c r="U174" i="1" s="1"/>
  <c r="S174" i="1" s="1"/>
  <c r="W162" i="1"/>
  <c r="AA161" i="1"/>
  <c r="W161" i="1" s="1"/>
  <c r="W160" i="1"/>
  <c r="T235" i="1"/>
  <c r="U235" i="1" s="1"/>
  <c r="S235" i="1" s="1"/>
  <c r="X235" i="1"/>
  <c r="W227" i="1"/>
  <c r="AA226" i="1"/>
  <c r="W226" i="1" s="1"/>
  <c r="W213" i="1"/>
  <c r="AA212" i="1"/>
  <c r="W212" i="1" s="1"/>
  <c r="W207" i="1"/>
  <c r="W130" i="1"/>
  <c r="X196" i="1"/>
  <c r="X192" i="1"/>
  <c r="X188" i="1"/>
  <c r="X184" i="1"/>
  <c r="X173" i="1"/>
  <c r="X169" i="1"/>
  <c r="X165" i="1"/>
  <c r="X161" i="1"/>
  <c r="X234" i="1"/>
  <c r="X230" i="1"/>
  <c r="X226" i="1"/>
  <c r="X216" i="1"/>
  <c r="X212" i="1"/>
  <c r="T151" i="1"/>
  <c r="U151" i="1" s="1"/>
  <c r="S151" i="1" s="1"/>
  <c r="W142" i="1"/>
  <c r="X131" i="1"/>
  <c r="T130" i="1"/>
  <c r="U130" i="1" s="1"/>
  <c r="S130" i="1" s="1"/>
  <c r="X130" i="1"/>
  <c r="W124" i="1"/>
  <c r="W119" i="1"/>
  <c r="W208" i="1"/>
  <c r="W145" i="1"/>
  <c r="W144" i="1"/>
  <c r="X143" i="1"/>
  <c r="T142" i="1"/>
  <c r="U142" i="1" s="1"/>
  <c r="S142" i="1" s="1"/>
  <c r="X142" i="1"/>
  <c r="W134" i="1"/>
  <c r="W132" i="1"/>
  <c r="W126" i="1"/>
  <c r="AA125" i="1"/>
  <c r="W125" i="1" s="1"/>
  <c r="W121" i="1"/>
  <c r="AA149" i="1"/>
  <c r="W149" i="1" s="1"/>
  <c r="X147" i="1"/>
  <c r="T146" i="1"/>
  <c r="U146" i="1" s="1"/>
  <c r="S146" i="1" s="1"/>
  <c r="X146" i="1"/>
  <c r="AA137" i="1"/>
  <c r="W137" i="1" s="1"/>
  <c r="X135" i="1"/>
  <c r="T134" i="1"/>
  <c r="U134" i="1" s="1"/>
  <c r="S134" i="1" s="1"/>
  <c r="X134" i="1"/>
  <c r="W128" i="1"/>
  <c r="X127" i="1"/>
  <c r="T126" i="1"/>
  <c r="U126" i="1" s="1"/>
  <c r="S126" i="1" s="1"/>
  <c r="X126" i="1"/>
  <c r="W120" i="1"/>
  <c r="X145" i="1"/>
  <c r="X141" i="1"/>
  <c r="X137" i="1"/>
  <c r="X133" i="1"/>
  <c r="X129" i="1"/>
  <c r="X125" i="1"/>
  <c r="W112" i="1"/>
  <c r="W104" i="1"/>
  <c r="W96" i="1"/>
  <c r="W83" i="1"/>
  <c r="W79" i="1"/>
  <c r="W75" i="1"/>
  <c r="W67" i="1"/>
  <c r="W59" i="1"/>
  <c r="W118" i="1"/>
  <c r="W116" i="1"/>
  <c r="W111" i="1"/>
  <c r="W109" i="1"/>
  <c r="W103" i="1"/>
  <c r="W101" i="1"/>
  <c r="W95" i="1"/>
  <c r="W94" i="1"/>
  <c r="W93" i="1"/>
  <c r="W115" i="1"/>
  <c r="W108" i="1"/>
  <c r="W100" i="1"/>
  <c r="W92" i="1"/>
  <c r="X117" i="1"/>
  <c r="T117" i="1"/>
  <c r="U117" i="1" s="1"/>
  <c r="S117" i="1" s="1"/>
  <c r="T113" i="1"/>
  <c r="U113" i="1" s="1"/>
  <c r="S113" i="1" s="1"/>
  <c r="X110" i="1"/>
  <c r="T110" i="1"/>
  <c r="U110" i="1" s="1"/>
  <c r="S110" i="1" s="1"/>
  <c r="X106" i="1"/>
  <c r="T106" i="1"/>
  <c r="U106" i="1" s="1"/>
  <c r="S106" i="1" s="1"/>
  <c r="X102" i="1"/>
  <c r="T102" i="1"/>
  <c r="U102" i="1" s="1"/>
  <c r="S102" i="1" s="1"/>
  <c r="X98" i="1"/>
  <c r="T98" i="1"/>
  <c r="U98" i="1" s="1"/>
  <c r="S98" i="1" s="1"/>
  <c r="X94" i="1"/>
  <c r="T94" i="1"/>
  <c r="U94" i="1" s="1"/>
  <c r="S94" i="1" s="1"/>
  <c r="X90" i="1"/>
  <c r="T90" i="1"/>
  <c r="U90" i="1" s="1"/>
  <c r="S90" i="1" s="1"/>
  <c r="T86" i="1"/>
  <c r="U86" i="1" s="1"/>
  <c r="S86" i="1" s="1"/>
  <c r="W85" i="1"/>
  <c r="T78" i="1"/>
  <c r="U78" i="1" s="1"/>
  <c r="S78" i="1" s="1"/>
  <c r="X78" i="1"/>
  <c r="T62" i="1"/>
  <c r="U62" i="1" s="1"/>
  <c r="S62" i="1" s="1"/>
  <c r="X62" i="1"/>
  <c r="W58" i="1"/>
  <c r="W57" i="1"/>
  <c r="T74" i="1"/>
  <c r="U74" i="1" s="1"/>
  <c r="S74" i="1" s="1"/>
  <c r="X74" i="1"/>
  <c r="W72" i="1"/>
  <c r="AA69" i="1"/>
  <c r="W69" i="1" s="1"/>
  <c r="T58" i="1"/>
  <c r="U58" i="1" s="1"/>
  <c r="S58" i="1" s="1"/>
  <c r="X58" i="1"/>
  <c r="W82" i="1"/>
  <c r="T70" i="1"/>
  <c r="U70" i="1" s="1"/>
  <c r="S70" i="1" s="1"/>
  <c r="X70" i="1"/>
  <c r="W66" i="1"/>
  <c r="W65" i="1"/>
  <c r="W54" i="1"/>
  <c r="W45" i="1"/>
  <c r="W44" i="1"/>
  <c r="W39" i="1"/>
  <c r="W38" i="1"/>
  <c r="W28" i="1"/>
  <c r="W25" i="1"/>
  <c r="W23" i="1"/>
  <c r="W19" i="1"/>
  <c r="W18" i="1"/>
  <c r="W15" i="1"/>
  <c r="X120" i="1"/>
  <c r="X109" i="1"/>
  <c r="X105" i="1"/>
  <c r="X101" i="1"/>
  <c r="X97" i="1"/>
  <c r="X93" i="1"/>
  <c r="T82" i="1"/>
  <c r="U82" i="1" s="1"/>
  <c r="X82" i="1"/>
  <c r="W80" i="1"/>
  <c r="W78" i="1"/>
  <c r="T66" i="1"/>
  <c r="U66" i="1" s="1"/>
  <c r="S66" i="1" s="1"/>
  <c r="X66" i="1"/>
  <c r="W64" i="1"/>
  <c r="W62" i="1"/>
  <c r="AA61" i="1"/>
  <c r="W61" i="1" s="1"/>
  <c r="X55" i="1"/>
  <c r="T54" i="1"/>
  <c r="U54" i="1" s="1"/>
  <c r="S54" i="1" s="1"/>
  <c r="X54" i="1"/>
  <c r="W52" i="1"/>
  <c r="T51" i="1"/>
  <c r="U51" i="1" s="1"/>
  <c r="S51" i="1" s="1"/>
  <c r="X51" i="1"/>
  <c r="W47" i="1"/>
  <c r="W36" i="1"/>
  <c r="W33" i="1"/>
  <c r="W31" i="1"/>
  <c r="X83" i="1"/>
  <c r="X79" i="1"/>
  <c r="X75" i="1"/>
  <c r="X71" i="1"/>
  <c r="X67" i="1"/>
  <c r="X63" i="1"/>
  <c r="X59" i="1"/>
  <c r="W40" i="1"/>
  <c r="W37" i="1"/>
  <c r="W34" i="1"/>
  <c r="W24" i="1"/>
  <c r="W21" i="1"/>
  <c r="W17" i="1"/>
  <c r="W16" i="1"/>
  <c r="W14" i="1"/>
  <c r="W43" i="1"/>
  <c r="W32" i="1"/>
  <c r="W26" i="1"/>
  <c r="X50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C43" i="3"/>
  <c r="T43" i="3"/>
  <c r="AC12" i="3"/>
  <c r="AD43" i="3"/>
  <c r="AE39" i="3"/>
  <c r="AC25" i="3"/>
  <c r="AE35" i="3"/>
  <c r="AE31" i="3"/>
  <c r="AD17" i="3"/>
  <c r="AD13" i="3"/>
  <c r="AD35" i="3"/>
  <c r="AD33" i="3"/>
  <c r="AE23" i="3"/>
  <c r="AD15" i="3"/>
  <c r="AD12" i="3"/>
  <c r="AC44" i="3"/>
  <c r="AD44" i="3"/>
  <c r="AC40" i="3"/>
  <c r="AC8" i="3"/>
  <c r="AD32" i="3"/>
  <c r="AD31" i="3"/>
  <c r="T39" i="3"/>
  <c r="AC34" i="3"/>
  <c r="AD25" i="3"/>
  <c r="AD21" i="3"/>
  <c r="AE11" i="3"/>
  <c r="AD9" i="3"/>
  <c r="AD24" i="3"/>
  <c r="AD23" i="3"/>
  <c r="AE15" i="3"/>
  <c r="AD11" i="3"/>
  <c r="AD8" i="3"/>
  <c r="AC7" i="3"/>
  <c r="AC33" i="3"/>
  <c r="AE47" i="3"/>
  <c r="AC50" i="3"/>
  <c r="T50" i="3"/>
  <c r="AC14" i="3"/>
  <c r="AC23" i="3"/>
  <c r="AC38" i="3"/>
  <c r="AC18" i="3"/>
  <c r="AC9" i="3"/>
  <c r="AC35" i="3"/>
  <c r="AC41" i="3"/>
  <c r="Y49" i="3"/>
  <c r="Y38" i="3"/>
  <c r="Y15" i="3"/>
  <c r="Y18" i="3"/>
  <c r="Y37" i="3"/>
  <c r="Y53" i="3"/>
  <c r="Y44" i="3"/>
  <c r="Y33" i="3"/>
  <c r="Y42" i="3"/>
  <c r="Y41" i="3"/>
  <c r="Y25" i="3"/>
  <c r="Y23" i="3"/>
  <c r="Y26" i="3"/>
  <c r="Y39" i="3"/>
  <c r="Y29" i="3"/>
  <c r="Y21" i="3"/>
  <c r="Y17" i="3"/>
  <c r="Y47" i="3"/>
  <c r="Y45" i="3"/>
  <c r="Y9" i="3"/>
  <c r="Y40" i="3"/>
  <c r="Y31" i="3"/>
  <c r="Y30" i="3"/>
  <c r="Y11" i="3"/>
  <c r="Y24" i="3"/>
  <c r="Y22" i="3"/>
  <c r="Y28" i="3"/>
  <c r="Y20" i="3"/>
  <c r="Y13" i="3"/>
  <c r="Y16" i="3"/>
  <c r="Y10" i="3"/>
  <c r="Y43" i="3"/>
  <c r="Y50" i="3"/>
  <c r="Y51" i="3"/>
  <c r="Y7" i="3"/>
  <c r="Y12" i="3"/>
  <c r="Y35" i="3"/>
  <c r="Y32" i="3"/>
  <c r="Y14" i="3"/>
  <c r="Y8" i="3"/>
  <c r="Y34" i="3"/>
  <c r="Y27" i="3"/>
  <c r="Y19" i="3"/>
  <c r="Y48" i="3"/>
  <c r="Y46" i="3"/>
  <c r="Y36" i="3"/>
  <c r="AE42" i="3"/>
  <c r="T30" i="3"/>
  <c r="AE38" i="3"/>
  <c r="AE30" i="3"/>
  <c r="T22" i="3"/>
  <c r="AE26" i="3"/>
  <c r="T28" i="3"/>
  <c r="AE22" i="3"/>
  <c r="T20" i="3"/>
  <c r="AE18" i="3"/>
  <c r="T13" i="3"/>
  <c r="AE14" i="3"/>
  <c r="T16" i="3"/>
  <c r="AE10" i="3"/>
  <c r="T10" i="3"/>
  <c r="AE53" i="3"/>
  <c r="T7" i="3"/>
  <c r="AD50" i="3"/>
  <c r="T35" i="3"/>
  <c r="AD42" i="3"/>
  <c r="AE41" i="3"/>
  <c r="T32" i="3"/>
  <c r="AD38" i="3"/>
  <c r="AE37" i="3"/>
  <c r="T14" i="3"/>
  <c r="AD34" i="3"/>
  <c r="AE33" i="3"/>
  <c r="T8" i="3"/>
  <c r="AD30" i="3"/>
  <c r="AE29" i="3"/>
  <c r="T34" i="3"/>
  <c r="AD26" i="3"/>
  <c r="AE25" i="3"/>
  <c r="T27" i="3"/>
  <c r="AD22" i="3"/>
  <c r="AE21" i="3"/>
  <c r="T19" i="3"/>
  <c r="AD18" i="3"/>
  <c r="AE17" i="3"/>
  <c r="T48" i="3"/>
  <c r="AD14" i="3"/>
  <c r="AE13" i="3"/>
  <c r="T46" i="3"/>
  <c r="AD10" i="3"/>
  <c r="AE9" i="3"/>
  <c r="T36" i="3"/>
  <c r="AE50" i="3"/>
  <c r="T31" i="3"/>
  <c r="AE46" i="3"/>
  <c r="T51" i="3"/>
  <c r="T11" i="3"/>
  <c r="AE34" i="3"/>
  <c r="T24" i="3"/>
  <c r="AE49" i="3"/>
  <c r="T12" i="3"/>
  <c r="AD46" i="3"/>
  <c r="AE45" i="3"/>
  <c r="AE48" i="3"/>
  <c r="AE44" i="3"/>
  <c r="AE40" i="3"/>
  <c r="AE36" i="3"/>
  <c r="AE32" i="3"/>
  <c r="AE28" i="3"/>
  <c r="AE24" i="3"/>
  <c r="AE20" i="3"/>
  <c r="AE16" i="3"/>
  <c r="AE12" i="3"/>
  <c r="AE8" i="3"/>
  <c r="X52" i="3"/>
  <c r="AG13" i="1"/>
  <c r="W52" i="3"/>
  <c r="S64" i="1" l="1"/>
  <c r="AD13" i="1"/>
  <c r="X14" i="1" s="1"/>
  <c r="R52" i="3"/>
  <c r="M52" i="3"/>
  <c r="U52" i="3"/>
  <c r="AD52" i="3" l="1"/>
  <c r="Y52" i="3"/>
  <c r="Z13" i="1" l="1"/>
  <c r="Y13" i="1"/>
  <c r="O2" i="3" l="1"/>
  <c r="M28" i="5" l="1"/>
  <c r="M23" i="5" l="1"/>
  <c r="S52" i="3" l="1"/>
  <c r="V52" i="3"/>
  <c r="AE52" i="3" s="1"/>
  <c r="AC52" i="3"/>
  <c r="AD7" i="3"/>
  <c r="AN13" i="1"/>
  <c r="AE7" i="3" l="1"/>
  <c r="K13" i="1" l="1"/>
  <c r="M13" i="1"/>
  <c r="N13" i="1" s="1"/>
  <c r="AB13" i="1"/>
  <c r="AC13" i="1"/>
  <c r="AE13" i="1"/>
  <c r="AM13" i="1"/>
  <c r="AI13" i="1" l="1"/>
  <c r="X13" i="1"/>
  <c r="AA13" i="1"/>
  <c r="W13" i="1" s="1"/>
  <c r="T13" i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3" i="6" l="1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3" i="6" l="1"/>
  <c r="F3" i="6"/>
  <c r="G3" i="6"/>
  <c r="J3" i="6"/>
  <c r="B4" i="6"/>
  <c r="B55" i="9"/>
  <c r="B56" i="9"/>
  <c r="B57" i="9"/>
  <c r="B58" i="9"/>
  <c r="B59" i="9"/>
  <c r="B60" i="9"/>
  <c r="B61" i="9"/>
  <c r="B62" i="9"/>
  <c r="C63" i="9" s="1"/>
  <c r="F4" i="6" l="1"/>
  <c r="I4" i="6"/>
  <c r="G4" i="6"/>
  <c r="J4" i="6"/>
  <c r="B5" i="6"/>
  <c r="C61" i="9"/>
  <c r="C57" i="9"/>
  <c r="C59" i="9"/>
  <c r="C62" i="9"/>
  <c r="C60" i="9"/>
  <c r="C58" i="9"/>
  <c r="C56" i="9"/>
  <c r="G5" i="6" l="1"/>
  <c r="I5" i="6"/>
  <c r="J5" i="6"/>
  <c r="F5" i="6"/>
  <c r="B6" i="6"/>
  <c r="B50" i="9"/>
  <c r="B51" i="9"/>
  <c r="B52" i="9"/>
  <c r="B53" i="9"/>
  <c r="B54" i="9"/>
  <c r="F6" i="6" l="1"/>
  <c r="G6" i="6"/>
  <c r="I6" i="6"/>
  <c r="J6" i="6"/>
  <c r="B7" i="6"/>
  <c r="C52" i="9"/>
  <c r="C54" i="9"/>
  <c r="C55" i="9"/>
  <c r="C53" i="9"/>
  <c r="C51" i="9"/>
  <c r="G7" i="6" l="1"/>
  <c r="I7" i="6"/>
  <c r="J7" i="6"/>
  <c r="F7" i="6"/>
  <c r="B8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9" i="6" l="1"/>
  <c r="F8" i="6"/>
  <c r="G8" i="6"/>
  <c r="I8" i="6"/>
  <c r="J8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9" i="6" l="1"/>
  <c r="I9" i="6"/>
  <c r="J9" i="6"/>
  <c r="F9" i="6"/>
  <c r="B10" i="6"/>
  <c r="V13" i="1"/>
  <c r="B31" i="9"/>
  <c r="B32" i="9"/>
  <c r="C33" i="9" s="1"/>
  <c r="F10" i="6" l="1"/>
  <c r="G10" i="6"/>
  <c r="I10" i="6"/>
  <c r="J10" i="6"/>
  <c r="B11" i="6"/>
  <c r="C32" i="9"/>
  <c r="G11" i="6" l="1"/>
  <c r="I11" i="6"/>
  <c r="F11" i="6"/>
  <c r="H11" i="6"/>
  <c r="J11" i="6"/>
  <c r="B12" i="6"/>
  <c r="G3" i="4"/>
  <c r="G4" i="4"/>
  <c r="G5" i="4"/>
  <c r="G6" i="4"/>
  <c r="G7" i="4"/>
  <c r="L216" i="1" s="1"/>
  <c r="G8" i="4"/>
  <c r="L206" i="1" s="1"/>
  <c r="G9" i="4"/>
  <c r="L223" i="1" s="1"/>
  <c r="G10" i="4"/>
  <c r="G11" i="4"/>
  <c r="L208" i="1" s="1"/>
  <c r="G12" i="4"/>
  <c r="L224" i="1" s="1"/>
  <c r="G13" i="4"/>
  <c r="L15" i="1" s="1"/>
  <c r="G14" i="4"/>
  <c r="L210" i="1" s="1"/>
  <c r="G15" i="4"/>
  <c r="L212" i="1" s="1"/>
  <c r="G16" i="4"/>
  <c r="L17" i="1" s="1"/>
  <c r="G17" i="4"/>
  <c r="L14" i="1" s="1"/>
  <c r="G18" i="4"/>
  <c r="L213" i="1" s="1"/>
  <c r="G19" i="4"/>
  <c r="L19" i="1" s="1"/>
  <c r="G20" i="4"/>
  <c r="L16" i="1" s="1"/>
  <c r="G21" i="4"/>
  <c r="L21" i="1" s="1"/>
  <c r="G22" i="4"/>
  <c r="L217" i="1" s="1"/>
  <c r="G23" i="4"/>
  <c r="L214" i="1" s="1"/>
  <c r="G24" i="4"/>
  <c r="L23" i="1" s="1"/>
  <c r="G25" i="4"/>
  <c r="L159" i="1" s="1"/>
  <c r="G26" i="4"/>
  <c r="L20" i="1" s="1"/>
  <c r="G27" i="4"/>
  <c r="L18" i="1" s="1"/>
  <c r="G28" i="4"/>
  <c r="L25" i="1" s="1"/>
  <c r="G29" i="4"/>
  <c r="L215" i="1" s="1"/>
  <c r="G30" i="4"/>
  <c r="L22" i="1" s="1"/>
  <c r="G31" i="4"/>
  <c r="L27" i="1" s="1"/>
  <c r="G32" i="4"/>
  <c r="L29" i="1" s="1"/>
  <c r="G33" i="4"/>
  <c r="L160" i="1" s="1"/>
  <c r="G34" i="4"/>
  <c r="L31" i="1" s="1"/>
  <c r="G35" i="4"/>
  <c r="L24" i="1" s="1"/>
  <c r="G36" i="4"/>
  <c r="L218" i="1" s="1"/>
  <c r="G37" i="4"/>
  <c r="L26" i="1" s="1"/>
  <c r="G38" i="4"/>
  <c r="L161" i="1" s="1"/>
  <c r="G39" i="4"/>
  <c r="L33" i="1" s="1"/>
  <c r="G40" i="4"/>
  <c r="L28" i="1" s="1"/>
  <c r="G41" i="4"/>
  <c r="L162" i="1" s="1"/>
  <c r="G42" i="4"/>
  <c r="L35" i="1" s="1"/>
  <c r="G43" i="4"/>
  <c r="L163" i="1" s="1"/>
  <c r="G44" i="4"/>
  <c r="L30" i="1" s="1"/>
  <c r="G45" i="4"/>
  <c r="L37" i="1" s="1"/>
  <c r="G46" i="4"/>
  <c r="G47" i="4"/>
  <c r="L34" i="1" s="1"/>
  <c r="G48" i="4"/>
  <c r="L32" i="1" s="1"/>
  <c r="G49" i="4"/>
  <c r="L39" i="1" s="1"/>
  <c r="G50" i="4"/>
  <c r="L166" i="1" s="1"/>
  <c r="G51" i="4"/>
  <c r="L165" i="1" s="1"/>
  <c r="G52" i="4"/>
  <c r="L36" i="1" s="1"/>
  <c r="G53" i="4"/>
  <c r="L41" i="1" s="1"/>
  <c r="G54" i="4"/>
  <c r="L43" i="1" s="1"/>
  <c r="G55" i="4"/>
  <c r="L167" i="1" s="1"/>
  <c r="G56" i="4"/>
  <c r="L38" i="1" s="1"/>
  <c r="G57" i="4"/>
  <c r="L45" i="1" s="1"/>
  <c r="G58" i="4"/>
  <c r="G59" i="4"/>
  <c r="L40" i="1" s="1"/>
  <c r="G60" i="4"/>
  <c r="L47" i="1" s="1"/>
  <c r="G61" i="4"/>
  <c r="L42" i="1" s="1"/>
  <c r="G62" i="4"/>
  <c r="L170" i="1" s="1"/>
  <c r="G63" i="4"/>
  <c r="L169" i="1" s="1"/>
  <c r="G64" i="4"/>
  <c r="L49" i="1" s="1"/>
  <c r="G65" i="4"/>
  <c r="L44" i="1" s="1"/>
  <c r="G66" i="4"/>
  <c r="L219" i="1" s="1"/>
  <c r="G67" i="4"/>
  <c r="L51" i="1" s="1"/>
  <c r="G68" i="4"/>
  <c r="L171" i="1" s="1"/>
  <c r="G69" i="4"/>
  <c r="L48" i="1" s="1"/>
  <c r="G70" i="4"/>
  <c r="L46" i="1" s="1"/>
  <c r="G71" i="4"/>
  <c r="L53" i="1" s="1"/>
  <c r="G72" i="4"/>
  <c r="G73" i="4"/>
  <c r="L55" i="1" s="1"/>
  <c r="G74" i="4"/>
  <c r="L227" i="1" s="1"/>
  <c r="G75" i="4"/>
  <c r="L57" i="1" s="1"/>
  <c r="G76" i="4"/>
  <c r="L172" i="1" s="1"/>
  <c r="G77" i="4"/>
  <c r="L52" i="1" s="1"/>
  <c r="G78" i="4"/>
  <c r="L59" i="1" s="1"/>
  <c r="G79" i="4"/>
  <c r="L54" i="1" s="1"/>
  <c r="G80" i="4"/>
  <c r="L173" i="1" s="1"/>
  <c r="G81" i="4"/>
  <c r="L61" i="1" s="1"/>
  <c r="G82" i="4"/>
  <c r="L56" i="1" s="1"/>
  <c r="G83" i="4"/>
  <c r="L63" i="1" s="1"/>
  <c r="G84" i="4"/>
  <c r="L228" i="1" s="1"/>
  <c r="G85" i="4"/>
  <c r="L174" i="1" s="1"/>
  <c r="G86" i="4"/>
  <c r="L58" i="1" s="1"/>
  <c r="G87" i="4"/>
  <c r="L66" i="1" s="1"/>
  <c r="G88" i="4"/>
  <c r="G89" i="4"/>
  <c r="L62" i="1" s="1"/>
  <c r="G90" i="4"/>
  <c r="L60" i="1" s="1"/>
  <c r="G91" i="4"/>
  <c r="L68" i="1" s="1"/>
  <c r="G92" i="4"/>
  <c r="L175" i="1" s="1"/>
  <c r="G93" i="4"/>
  <c r="G94" i="4"/>
  <c r="L230" i="1" s="1"/>
  <c r="G95" i="4"/>
  <c r="L70" i="1" s="1"/>
  <c r="G96" i="4"/>
  <c r="L72" i="1" s="1"/>
  <c r="G97" i="4"/>
  <c r="L176" i="1" s="1"/>
  <c r="G98" i="4"/>
  <c r="L67" i="1" s="1"/>
  <c r="G99" i="4"/>
  <c r="L74" i="1" s="1"/>
  <c r="G100" i="4"/>
  <c r="L69" i="1" s="1"/>
  <c r="G101" i="4"/>
  <c r="L76" i="1" s="1"/>
  <c r="G102" i="4"/>
  <c r="G103" i="4"/>
  <c r="L229" i="1" s="1"/>
  <c r="G104" i="4"/>
  <c r="L71" i="1" s="1"/>
  <c r="G105" i="4"/>
  <c r="L177" i="1" s="1"/>
  <c r="G106" i="4"/>
  <c r="L78" i="1" s="1"/>
  <c r="G107" i="4"/>
  <c r="L73" i="1" s="1"/>
  <c r="G108" i="4"/>
  <c r="L80" i="1" s="1"/>
  <c r="G109" i="4"/>
  <c r="L77" i="1" s="1"/>
  <c r="G110" i="4"/>
  <c r="L83" i="1" s="1"/>
  <c r="G111" i="4"/>
  <c r="L75" i="1" s="1"/>
  <c r="G112" i="4"/>
  <c r="L178" i="1" s="1"/>
  <c r="G113" i="4"/>
  <c r="L85" i="1" s="1"/>
  <c r="G114" i="4"/>
  <c r="L179" i="1" s="1"/>
  <c r="G115" i="4"/>
  <c r="L87" i="1" s="1"/>
  <c r="G116" i="4"/>
  <c r="L79" i="1" s="1"/>
  <c r="G117" i="4"/>
  <c r="G118" i="4"/>
  <c r="G119" i="4"/>
  <c r="L89" i="1" s="1"/>
  <c r="G120" i="4"/>
  <c r="L180" i="1" s="1"/>
  <c r="G121" i="4"/>
  <c r="L84" i="1" s="1"/>
  <c r="G122" i="4"/>
  <c r="L91" i="1" s="1"/>
  <c r="G123" i="4"/>
  <c r="G124" i="4"/>
  <c r="G125" i="4"/>
  <c r="L86" i="1" s="1"/>
  <c r="G126" i="4"/>
  <c r="G127" i="4"/>
  <c r="L93" i="1" s="1"/>
  <c r="G128" i="4"/>
  <c r="L95" i="1" s="1"/>
  <c r="G129" i="4"/>
  <c r="L88" i="1" s="1"/>
  <c r="G130" i="4"/>
  <c r="L181" i="1" s="1"/>
  <c r="G131" i="4"/>
  <c r="L90" i="1" s="1"/>
  <c r="G132" i="4"/>
  <c r="L92" i="1" s="1"/>
  <c r="G133" i="4"/>
  <c r="L97" i="1" s="1"/>
  <c r="G134" i="4"/>
  <c r="L182" i="1" s="1"/>
  <c r="G135" i="4"/>
  <c r="L99" i="1" s="1"/>
  <c r="G136" i="4"/>
  <c r="L101" i="1" s="1"/>
  <c r="G137" i="4"/>
  <c r="L94" i="1" s="1"/>
  <c r="G138" i="4"/>
  <c r="G139" i="4"/>
  <c r="L183" i="1" s="1"/>
  <c r="G140" i="4"/>
  <c r="L103" i="1" s="1"/>
  <c r="G141" i="4"/>
  <c r="G142" i="4"/>
  <c r="L105" i="1" s="1"/>
  <c r="G143" i="4"/>
  <c r="L184" i="1" s="1"/>
  <c r="G144" i="4"/>
  <c r="L100" i="1" s="1"/>
  <c r="G145" i="4"/>
  <c r="L107" i="1" s="1"/>
  <c r="G146" i="4"/>
  <c r="L220" i="1" s="1"/>
  <c r="G147" i="4"/>
  <c r="G148" i="4"/>
  <c r="L102" i="1" s="1"/>
  <c r="G149" i="4"/>
  <c r="L109" i="1" s="1"/>
  <c r="G150" i="4"/>
  <c r="L186" i="1" s="1"/>
  <c r="G151" i="4"/>
  <c r="L104" i="1" s="1"/>
  <c r="G152" i="4"/>
  <c r="L106" i="1" s="1"/>
  <c r="G153" i="4"/>
  <c r="L185" i="1" s="1"/>
  <c r="G154" i="4"/>
  <c r="L111" i="1" s="1"/>
  <c r="G155" i="4"/>
  <c r="L113" i="1" s="1"/>
  <c r="G156" i="4"/>
  <c r="L188" i="1" s="1"/>
  <c r="G157" i="4"/>
  <c r="L121" i="1" s="1"/>
  <c r="G158" i="4"/>
  <c r="L187" i="1" s="1"/>
  <c r="G159" i="4"/>
  <c r="L108" i="1" s="1"/>
  <c r="G160" i="4"/>
  <c r="G161" i="4"/>
  <c r="L110" i="1" s="1"/>
  <c r="G162" i="4"/>
  <c r="L117" i="1" s="1"/>
  <c r="G163" i="4"/>
  <c r="L190" i="1" s="1"/>
  <c r="G164" i="4"/>
  <c r="L112" i="1" s="1"/>
  <c r="G165" i="4"/>
  <c r="L189" i="1" s="1"/>
  <c r="G166" i="4"/>
  <c r="L119" i="1" s="1"/>
  <c r="G167" i="4"/>
  <c r="G168" i="4"/>
  <c r="L114" i="1" s="1"/>
  <c r="G169" i="4"/>
  <c r="L231" i="1" s="1"/>
  <c r="G170" i="4"/>
  <c r="G171" i="4"/>
  <c r="L192" i="1" s="1"/>
  <c r="G172" i="4"/>
  <c r="L191" i="1" s="1"/>
  <c r="G173" i="4"/>
  <c r="G174" i="4"/>
  <c r="L123" i="1" s="1"/>
  <c r="G175" i="4"/>
  <c r="L118" i="1" s="1"/>
  <c r="G176" i="4"/>
  <c r="L125" i="1" s="1"/>
  <c r="G177" i="4"/>
  <c r="L120" i="1" s="1"/>
  <c r="G178" i="4"/>
  <c r="L194" i="1" s="1"/>
  <c r="G179" i="4"/>
  <c r="L193" i="1" s="1"/>
  <c r="G180" i="4"/>
  <c r="L127" i="1" s="1"/>
  <c r="G181" i="4"/>
  <c r="L235" i="1" s="1"/>
  <c r="G182" i="4"/>
  <c r="L129" i="1" s="1"/>
  <c r="G183" i="4"/>
  <c r="G184" i="4"/>
  <c r="L196" i="1" s="1"/>
  <c r="G185" i="4"/>
  <c r="L124" i="1" s="1"/>
  <c r="G186" i="4"/>
  <c r="L195" i="1" s="1"/>
  <c r="G187" i="4"/>
  <c r="L131" i="1" s="1"/>
  <c r="G188" i="4"/>
  <c r="L126" i="1" s="1"/>
  <c r="G189" i="4"/>
  <c r="L133" i="1" s="1"/>
  <c r="G190" i="4"/>
  <c r="L232" i="1" s="1"/>
  <c r="G191" i="4"/>
  <c r="L198" i="1" s="1"/>
  <c r="G192" i="4"/>
  <c r="L128" i="1" s="1"/>
  <c r="G193" i="4"/>
  <c r="L197" i="1" s="1"/>
  <c r="G194" i="4"/>
  <c r="L207" i="1" s="1"/>
  <c r="G195" i="4"/>
  <c r="L130" i="1" s="1"/>
  <c r="G196" i="4"/>
  <c r="L135" i="1" s="1"/>
  <c r="G197" i="4"/>
  <c r="L200" i="1" s="1"/>
  <c r="G198" i="4"/>
  <c r="L132" i="1" s="1"/>
  <c r="G199" i="4"/>
  <c r="L221" i="1" s="1"/>
  <c r="G200" i="4"/>
  <c r="L209" i="1" s="1"/>
  <c r="G201" i="4"/>
  <c r="L134" i="1" s="1"/>
  <c r="G202" i="4"/>
  <c r="L137" i="1" s="1"/>
  <c r="G203" i="4"/>
  <c r="L199" i="1" s="1"/>
  <c r="G204" i="4"/>
  <c r="L211" i="1" s="1"/>
  <c r="G205" i="4"/>
  <c r="L136" i="1" s="1"/>
  <c r="G206" i="4"/>
  <c r="G207" i="4"/>
  <c r="G208" i="4"/>
  <c r="L139" i="1" s="1"/>
  <c r="G209" i="4"/>
  <c r="L202" i="1" s="1"/>
  <c r="G210" i="4"/>
  <c r="L138" i="1" s="1"/>
  <c r="G211" i="4"/>
  <c r="G212" i="4"/>
  <c r="G213" i="4"/>
  <c r="L141" i="1" s="1"/>
  <c r="G214" i="4"/>
  <c r="L201" i="1" s="1"/>
  <c r="G215" i="4"/>
  <c r="L140" i="1" s="1"/>
  <c r="G216" i="4"/>
  <c r="L143" i="1" s="1"/>
  <c r="G217" i="4"/>
  <c r="L204" i="1" s="1"/>
  <c r="G218" i="4"/>
  <c r="L145" i="1" s="1"/>
  <c r="G219" i="4"/>
  <c r="L142" i="1" s="1"/>
  <c r="G220" i="4"/>
  <c r="L203" i="1" s="1"/>
  <c r="G221" i="4"/>
  <c r="L147" i="1" s="1"/>
  <c r="G222" i="4"/>
  <c r="L144" i="1" s="1"/>
  <c r="G223" i="4"/>
  <c r="L205" i="1" s="1"/>
  <c r="G224" i="4"/>
  <c r="L146" i="1" s="1"/>
  <c r="G225" i="4"/>
  <c r="L149" i="1" s="1"/>
  <c r="G226" i="4"/>
  <c r="L222" i="1" s="1"/>
  <c r="G227" i="4"/>
  <c r="L148" i="1" s="1"/>
  <c r="G228" i="4"/>
  <c r="L151" i="1" s="1"/>
  <c r="G229" i="4"/>
  <c r="L153" i="1" s="1"/>
  <c r="G230" i="4"/>
  <c r="L150" i="1" s="1"/>
  <c r="G231" i="4"/>
  <c r="L152" i="1" s="1"/>
  <c r="G232" i="4"/>
  <c r="L155" i="1" s="1"/>
  <c r="G233" i="4"/>
  <c r="L157" i="1" s="1"/>
  <c r="G234" i="4"/>
  <c r="L154" i="1" s="1"/>
  <c r="G235" i="4"/>
  <c r="G236" i="4"/>
  <c r="L156" i="1" s="1"/>
  <c r="G237" i="4"/>
  <c r="L158" i="1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9" i="3" l="1"/>
  <c r="L122" i="1"/>
  <c r="L226" i="1"/>
  <c r="L225" i="1"/>
  <c r="N23" i="3"/>
  <c r="L96" i="1"/>
  <c r="N48" i="3"/>
  <c r="L168" i="1"/>
  <c r="N47" i="3"/>
  <c r="L164" i="1"/>
  <c r="N11" i="3"/>
  <c r="L115" i="1"/>
  <c r="N19" i="3"/>
  <c r="L50" i="1"/>
  <c r="L233" i="1"/>
  <c r="L234" i="1"/>
  <c r="N26" i="3"/>
  <c r="L116" i="1"/>
  <c r="N8" i="3"/>
  <c r="L98" i="1"/>
  <c r="L82" i="1"/>
  <c r="L81" i="1"/>
  <c r="L64" i="1"/>
  <c r="L65" i="1"/>
  <c r="N50" i="3"/>
  <c r="N44" i="3"/>
  <c r="N42" i="3"/>
  <c r="N32" i="3"/>
  <c r="N25" i="3"/>
  <c r="N24" i="3"/>
  <c r="N49" i="3"/>
  <c r="N38" i="3"/>
  <c r="N18" i="3"/>
  <c r="N16" i="3"/>
  <c r="N10" i="3"/>
  <c r="N39" i="3"/>
  <c r="N29" i="3"/>
  <c r="N28" i="3"/>
  <c r="N20" i="3"/>
  <c r="N17" i="3"/>
  <c r="N13" i="3"/>
  <c r="N51" i="3"/>
  <c r="N35" i="3"/>
  <c r="N14" i="3"/>
  <c r="N34" i="3"/>
  <c r="N27" i="3"/>
  <c r="N21" i="3"/>
  <c r="N37" i="3"/>
  <c r="N53" i="3"/>
  <c r="N7" i="3"/>
  <c r="N33" i="3"/>
  <c r="N43" i="3"/>
  <c r="N31" i="3"/>
  <c r="N12" i="3"/>
  <c r="N41" i="3"/>
  <c r="N30" i="3"/>
  <c r="N40" i="3"/>
  <c r="N22" i="3"/>
  <c r="N15" i="3"/>
  <c r="N46" i="3"/>
  <c r="N45" i="3"/>
  <c r="N36" i="3"/>
  <c r="N52" i="3"/>
  <c r="H8" i="6"/>
  <c r="H10" i="6"/>
  <c r="H5" i="6"/>
  <c r="H9" i="6"/>
  <c r="H3" i="6"/>
  <c r="H6" i="6"/>
  <c r="H7" i="6"/>
  <c r="H4" i="6"/>
  <c r="F12" i="6"/>
  <c r="I12" i="6"/>
  <c r="G12" i="6"/>
  <c r="H12" i="6"/>
  <c r="J12" i="6"/>
  <c r="B13" i="6"/>
  <c r="L13" i="1"/>
  <c r="G13" i="6" l="1"/>
  <c r="I13" i="6"/>
  <c r="J13" i="6"/>
  <c r="F13" i="6"/>
  <c r="H13" i="6"/>
  <c r="B14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4" i="6" l="1"/>
  <c r="G14" i="6"/>
  <c r="I14" i="6"/>
  <c r="J14" i="6"/>
  <c r="H14" i="6"/>
  <c r="B15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5" i="6" l="1"/>
  <c r="H15" i="6"/>
  <c r="J15" i="6"/>
  <c r="I15" i="6"/>
  <c r="F15" i="6"/>
  <c r="B16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7" i="6" l="1"/>
  <c r="F16" i="6"/>
  <c r="G16" i="6"/>
  <c r="I16" i="6"/>
  <c r="H16" i="6"/>
  <c r="J16" i="6"/>
  <c r="M30" i="5"/>
  <c r="M29" i="5"/>
  <c r="M27" i="5"/>
  <c r="G17" i="6" l="1"/>
  <c r="I17" i="6"/>
  <c r="J17" i="6"/>
  <c r="H17" i="6"/>
  <c r="F17" i="6"/>
  <c r="B18" i="6"/>
  <c r="M26" i="5"/>
  <c r="B19" i="6" l="1"/>
  <c r="F18" i="6"/>
  <c r="G18" i="6"/>
  <c r="H18" i="6"/>
  <c r="J18" i="6"/>
  <c r="I18" i="6"/>
  <c r="AH13" i="1"/>
  <c r="J7" i="1"/>
  <c r="G19" i="6" l="1"/>
  <c r="F19" i="6"/>
  <c r="H19" i="6"/>
  <c r="J19" i="6"/>
  <c r="I19" i="6"/>
  <c r="B20" i="6"/>
  <c r="X6" i="1"/>
  <c r="W6" i="1"/>
  <c r="V6" i="1"/>
  <c r="S6" i="1"/>
  <c r="R2" i="1"/>
  <c r="I2" i="1"/>
  <c r="O6" i="1"/>
  <c r="N6" i="1"/>
  <c r="M6" i="1"/>
  <c r="J6" i="1"/>
  <c r="B21" i="6" l="1"/>
  <c r="I20" i="6"/>
  <c r="G20" i="6"/>
  <c r="H20" i="6"/>
  <c r="J20" i="6"/>
  <c r="F20" i="6"/>
  <c r="P3" i="5"/>
  <c r="G21" i="6" l="1"/>
  <c r="I21" i="6"/>
  <c r="J21" i="6"/>
  <c r="F21" i="6"/>
  <c r="H21" i="6"/>
  <c r="B22" i="6"/>
  <c r="M18" i="5"/>
  <c r="T52" i="3" l="1"/>
  <c r="B23" i="6"/>
  <c r="F22" i="6"/>
  <c r="G22" i="6"/>
  <c r="I22" i="6"/>
  <c r="J22" i="6"/>
  <c r="H22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3" i="6" l="1"/>
  <c r="I23" i="6"/>
  <c r="J23" i="6"/>
  <c r="F23" i="6"/>
  <c r="H23" i="6"/>
  <c r="B24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5" i="6" l="1"/>
  <c r="F24" i="6"/>
  <c r="G24" i="6"/>
  <c r="I24" i="6"/>
  <c r="H24" i="6"/>
  <c r="J24" i="6"/>
  <c r="G259" i="4"/>
  <c r="G260" i="4"/>
  <c r="G261" i="4"/>
  <c r="G262" i="4"/>
  <c r="G263" i="4"/>
  <c r="G264" i="4"/>
  <c r="G265" i="4"/>
  <c r="B26" i="6" l="1"/>
  <c r="G25" i="6"/>
  <c r="I25" i="6"/>
  <c r="H25" i="6"/>
  <c r="J25" i="6"/>
  <c r="F25" i="6"/>
  <c r="M14" i="5"/>
  <c r="M13" i="5"/>
  <c r="M12" i="5"/>
  <c r="M11" i="5"/>
  <c r="M10" i="5"/>
  <c r="M9" i="5"/>
  <c r="M8" i="5"/>
  <c r="M7" i="5"/>
  <c r="M6" i="5"/>
  <c r="M5" i="5"/>
  <c r="M4" i="5"/>
  <c r="M3" i="5"/>
  <c r="F26" i="6" l="1"/>
  <c r="G26" i="6"/>
  <c r="I26" i="6"/>
  <c r="J26" i="6"/>
  <c r="H26" i="6"/>
  <c r="B27" i="6"/>
  <c r="U13" i="1"/>
  <c r="S13" i="1" s="1"/>
  <c r="O3" i="3"/>
  <c r="H27" i="6" l="1"/>
  <c r="I27" i="6"/>
  <c r="F27" i="6"/>
  <c r="G27" i="6"/>
  <c r="J27" i="6"/>
  <c r="B28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9" i="6" l="1"/>
  <c r="F29" i="6" s="1"/>
  <c r="F28" i="6"/>
  <c r="G28" i="6"/>
  <c r="I28" i="6"/>
  <c r="H28" i="6"/>
  <c r="J28" i="6"/>
  <c r="J8" i="1"/>
  <c r="J4" i="1"/>
  <c r="S8" i="1"/>
  <c r="S4" i="1"/>
  <c r="J29" i="6" l="1"/>
  <c r="I29" i="6"/>
  <c r="G29" i="6"/>
  <c r="H29" i="6"/>
  <c r="B30" i="6"/>
  <c r="S9" i="1"/>
  <c r="J9" i="1"/>
  <c r="B31" i="6" l="1"/>
  <c r="H30" i="6"/>
  <c r="J30" i="6"/>
  <c r="F30" i="6"/>
  <c r="G30" i="6"/>
  <c r="I30" i="6"/>
  <c r="S11" i="1"/>
  <c r="A11" i="1"/>
  <c r="B32" i="6" l="1"/>
  <c r="F31" i="6"/>
  <c r="I31" i="6"/>
  <c r="J31" i="6"/>
  <c r="G31" i="6"/>
  <c r="H31" i="6"/>
  <c r="B1" i="6"/>
  <c r="A5" i="3"/>
  <c r="B33" i="6" l="1"/>
  <c r="G32" i="6"/>
  <c r="H32" i="6"/>
  <c r="F32" i="6"/>
  <c r="I32" i="6"/>
  <c r="J32" i="6"/>
  <c r="G33" i="6" l="1"/>
  <c r="H33" i="6"/>
  <c r="I33" i="6"/>
  <c r="J33" i="6"/>
  <c r="F33" i="6"/>
  <c r="B34" i="6"/>
  <c r="H34" i="6" l="1"/>
  <c r="F34" i="6"/>
  <c r="G34" i="6"/>
  <c r="I34" i="6"/>
  <c r="J34" i="6"/>
  <c r="B35" i="6"/>
  <c r="B36" i="6" l="1"/>
  <c r="G35" i="6"/>
  <c r="H35" i="6"/>
  <c r="I35" i="6"/>
  <c r="J35" i="6"/>
  <c r="F35" i="6"/>
  <c r="B37" i="6" l="1"/>
  <c r="I36" i="6"/>
  <c r="G36" i="6"/>
  <c r="F36" i="6"/>
  <c r="H36" i="6"/>
  <c r="J36" i="6"/>
  <c r="G37" i="6" l="1"/>
  <c r="F37" i="6"/>
  <c r="H37" i="6"/>
  <c r="I37" i="6"/>
  <c r="J37" i="6"/>
  <c r="B38" i="6"/>
  <c r="H38" i="6" l="1"/>
  <c r="J38" i="6"/>
  <c r="F38" i="6"/>
  <c r="G38" i="6"/>
  <c r="I38" i="6"/>
  <c r="B39" i="6"/>
  <c r="B40" i="6" l="1"/>
  <c r="F39" i="6"/>
  <c r="G39" i="6"/>
  <c r="I39" i="6"/>
  <c r="H39" i="6"/>
  <c r="J39" i="6"/>
  <c r="F40" i="6" l="1"/>
  <c r="G40" i="6"/>
  <c r="J40" i="6"/>
  <c r="H40" i="6"/>
  <c r="I40" i="6"/>
  <c r="B41" i="6"/>
  <c r="G41" i="6" l="1"/>
  <c r="J41" i="6"/>
  <c r="F41" i="6"/>
  <c r="H41" i="6"/>
  <c r="I41" i="6"/>
  <c r="B42" i="6"/>
  <c r="B43" i="6" l="1"/>
  <c r="F42" i="6"/>
  <c r="G42" i="6"/>
  <c r="H42" i="6"/>
  <c r="I42" i="6"/>
  <c r="J42" i="6"/>
  <c r="B44" i="6" l="1"/>
  <c r="J43" i="6"/>
  <c r="F43" i="6"/>
  <c r="I43" i="6"/>
  <c r="G43" i="6"/>
  <c r="H43" i="6"/>
  <c r="B45" i="6" l="1"/>
  <c r="G44" i="6"/>
  <c r="H44" i="6"/>
  <c r="F44" i="6"/>
  <c r="I44" i="6"/>
  <c r="J44" i="6"/>
  <c r="G45" i="6" l="1"/>
  <c r="I45" i="6"/>
  <c r="J45" i="6"/>
  <c r="F45" i="6"/>
  <c r="H45" i="6"/>
  <c r="B46" i="6"/>
  <c r="B47" i="6" l="1"/>
  <c r="J46" i="6"/>
  <c r="F46" i="6"/>
  <c r="H46" i="6"/>
  <c r="G46" i="6"/>
  <c r="I46" i="6"/>
  <c r="B48" i="6" l="1"/>
  <c r="H47" i="6"/>
  <c r="F47" i="6"/>
  <c r="I47" i="6"/>
  <c r="J47" i="6"/>
  <c r="G47" i="6"/>
  <c r="B50" i="6" l="1"/>
  <c r="B49" i="6"/>
  <c r="G48" i="6"/>
  <c r="H48" i="6"/>
  <c r="F48" i="6"/>
  <c r="I48" i="6"/>
  <c r="J48" i="6"/>
  <c r="G49" i="6" l="1"/>
  <c r="H49" i="6"/>
  <c r="I49" i="6"/>
  <c r="J49" i="6"/>
  <c r="F49" i="6"/>
  <c r="H50" i="6"/>
  <c r="J50" i="6"/>
  <c r="G50" i="6"/>
  <c r="I50" i="6"/>
  <c r="F5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<sst xmlns="http://schemas.openxmlformats.org/spreadsheetml/2006/main" count="2930" uniqueCount="1040">
  <si>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</si>
  <si>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</si>
  <si>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</si>
  <si>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</si>
  <si>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</si>
  <si>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</si>
  <si>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</si>
  <si>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</si>
  <si>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</si>
  <si>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</si>
  <si>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</si>
  <si>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</si>
  <si>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</si>
  <si>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</si>
  <si>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</si>
  <si>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</si>
  <si>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</si>
  <si>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</si>
  <si>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</si>
  <si>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</si>
  <si>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</si>
  <si>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</si>
  <si>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</si>
  <si>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</si>
  <si>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</si>
  <si>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</si>
  <si>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</si>
  <si>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</si>
  <si>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</si>
  <si>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</si>
  <si>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</si>
  <si>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</si>
  <si>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</si>
  <si>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</si>
  <si>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</si>
  <si>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</si>
  <si>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</si>
  <si>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</si>
  <si>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</si>
  <si>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</si>
  <si>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</si>
  <si>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</si>
  <si>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</si>
  <si>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</si>
  <si>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</si>
  <si>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</si>
  <si>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</si>
  <si>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</si>
  <si>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</si>
  <si>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</si>
  <si>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</si>
  <si>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</si>
  <si>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</si>
  <si>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</si>
  <si>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</si>
  <si>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</si>
  <si>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</si>
  <si>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</si>
  <si>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</si>
  <si>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</si>
  <si>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</si>
  <si>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</si>
  <si>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</si>
  <si>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</si>
  <si>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</si>
  <si>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</si>
  <si>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</si>
  <si>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</si>
  <si>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</si>
  <si>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</si>
  <si>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</si>
  <si>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</si>
  <si>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</si>
  <si>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</si>
  <si>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</si>
  <si>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</si>
  <si>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</si>
  <si>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</si>
  <si>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</si>
  <si>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</si>
  <si>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</si>
  <si>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</si>
  <si>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</si>
  <si>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</si>
  <si>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</si>
  <si>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</si>
  <si>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</si>
  <si>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</si>
  <si>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</si>
  <si>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</si>
  <si>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</si>
  <si>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</si>
  <si>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</si>
  <si>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</si>
  <si>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</si>
  <si>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</si>
  <si>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</si>
  <si>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</si>
  <si>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</si>
  <si>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</si>
  <si>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</si>
  <si>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</si>
  <si>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</si>
  <si>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</si>
  <si>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</si>
  <si>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</si>
  <si>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</si>
  <si>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</si>
  <si>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</si>
  <si>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</si>
  <si>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</si>
  <si>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</si>
  <si>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</si>
  <si>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</si>
  <si>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</si>
  <si>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</si>
  <si>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</si>
  <si>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</si>
  <si>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</si>
  <si>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</si>
  <si>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</si>
  <si>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</si>
  <si>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</si>
  <si>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</si>
  <si>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</si>
  <si>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</si>
  <si>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</si>
  <si>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</si>
  <si>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</si>
  <si>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</si>
  <si>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</si>
  <si>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</si>
  <si>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</si>
  <si>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</si>
  <si>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</si>
  <si>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</si>
  <si>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</si>
  <si>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</si>
  <si>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</si>
  <si>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</si>
  <si>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</si>
  <si>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</si>
  <si>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</si>
  <si>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</si>
  <si>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</si>
  <si>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</si>
  <si>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</si>
  <si>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</si>
  <si>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</si>
  <si>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</si>
  <si>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</si>
  <si>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</si>
  <si>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</si>
  <si>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</si>
  <si>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</si>
  <si>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</si>
  <si>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</si>
  <si>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</si>
  <si>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</si>
  <si>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</si>
  <si>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</si>
  <si>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</si>
  <si>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</si>
  <si>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</si>
  <si>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</si>
  <si>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</si>
  <si>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</si>
  <si>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</si>
  <si>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</si>
  <si>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</si>
  <si>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</si>
  <si>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</si>
  <si>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</si>
  <si>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</si>
  <si>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</si>
  <si>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</si>
  <si>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</si>
  <si>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</si>
  <si>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</si>
  <si>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</si>
  <si>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</si>
  <si>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</si>
  <si>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</si>
  <si>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</si>
  <si>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</si>
  <si>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</si>
  <si>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</si>
  <si>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</si>
  <si>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</si>
  <si>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</si>
  <si>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</si>
  <si>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</si>
  <si>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</si>
  <si>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</si>
  <si>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</si>
  <si>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</si>
  <si>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</si>
  <si>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</si>
  <si>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</si>
  <si>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</si>
  <si>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</si>
  <si>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</si>
  <si>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</si>
  <si>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</si>
  <si>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</si>
  <si>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</si>
  <si>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</si>
  <si>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</si>
  <si>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</si>
  <si>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</si>
  <si>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</si>
  <si>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</si>
  <si>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</si>
  <si>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</si>
  <si>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</si>
  <si>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</si>
  <si>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</si>
  <si>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</si>
  <si>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</si>
  <si>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</si>
  <si>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</si>
  <si>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</si>
  <si>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</si>
  <si>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</si>
  <si>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</si>
  <si>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</si>
  <si>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</si>
  <si>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</si>
  <si>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</si>
  <si>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</si>
  <si>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</si>
  <si>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</si>
  <si>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</si>
  <si>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</si>
  <si>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</si>
  <si>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</si>
  <si>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</si>
  <si>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</si>
  <si>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</si>
  <si>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</si>
  <si>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</si>
  <si>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</si>
  <si>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</si>
  <si>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</si>
  <si>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</si>
  <si>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</si>
  <si>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</si>
  <si>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</si>
  <si>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</si>
  <si>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</si>
  <si>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</si>
  <si>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</si>
  <si>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</si>
  <si>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</si>
  <si>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</si>
  <si>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</si>
  <si>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</si>
  <si>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</si>
  <si>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</si>
  <si>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</si>
  <si>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</si>
  <si>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</si>
  <si>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</si>
  <si>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</si>
  <si>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</si>
  <si>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</si>
  <si>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</si>
  <si>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</si>
  <si>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</si>
  <si>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</si>
  <si>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</si>
  <si>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</si>
  <si>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</si>
  <si>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</si>
  <si>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</si>
  <si>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</si>
  <si>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</si>
  <si>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</si>
  <si>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</si>
  <si>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</si>
  <si>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</si>
  <si>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</si>
  <si>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</si>
  <si>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</si>
  <si>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</si>
  <si>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</si>
  <si>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</si>
  <si>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</si>
  <si>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</si>
  <si>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</si>
  <si>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</si>
  <si>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</si>
  <si>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</si>
  <si>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</si>
  <si>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</si>
  <si>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</si>
  <si>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</si>
  <si>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</si>
  <si>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</si>
  <si>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</si>
  <si>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</si>
  <si>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</si>
  <si>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</si>
  <si>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</si>
  <si>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</si>
  <si>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</si>
  <si>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</si>
  <si>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</si>
  <si>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</si>
  <si>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</si>
  <si>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</si>
  <si>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</si>
  <si>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</si>
  <si>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</si>
  <si>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</si>
  <si>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</si>
  <si>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</si>
  <si>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</si>
  <si>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</si>
  <si>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</si>
  <si>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</si>
  <si>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</si>
  <si>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</si>
  <si>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</si>
  <si>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</si>
  <si>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</si>
  <si>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</si>
  <si>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</si>
  <si>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</si>
  <si>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</si>
  <si>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</si>
  <si>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</si>
  <si>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</si>
  <si>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</si>
  <si>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</si>
  <si>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</si>
  <si>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</si>
  <si>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</si>
  <si>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</si>
  <si>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</si>
  <si>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</si>
  <si>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</si>
  <si>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</si>
  <si>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</si>
  <si>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</si>
  <si>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</si>
  <si>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</si>
  <si>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</si>
  <si>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204:458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</si>
  <si>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</si>
  <si>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</si>
  <si>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</si>
  <si>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</si>
  <si>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</si>
  <si>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</si>
  <si>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</si>
  <si>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</si>
  <si>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</si>
  <si>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</si>
  <si>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</si>
  <si>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</si>
  <si>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</si>
  <si>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</si>
  <si>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</si>
  <si>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</si>
  <si>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</si>
  <si>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</si>
  <si>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</si>
  <si>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</si>
  <si>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</si>
  <si>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</si>
  <si>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</si>
  <si>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</si>
  <si>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</si>
  <si>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</si>
  <si>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</si>
  <si>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</si>
  <si>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</si>
  <si>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</si>
  <si>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</si>
  <si>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</si>
  <si>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</si>
  <si>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</si>
  <si>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</si>
  <si>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</si>
  <si>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</si>
  <si>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</si>
  <si>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</si>
  <si>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</si>
  <si>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</si>
  <si>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</si>
  <si>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</si>
  <si>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</si>
  <si>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</si>
  <si>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</si>
  <si>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</si>
  <si>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</si>
  <si>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</si>
  <si>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</si>
  <si>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</si>
  <si>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</si>
  <si>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</si>
  <si>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</si>
  <si>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</si>
  <si>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</si>
  <si>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</si>
  <si>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</si>
  <si>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</si>
  <si>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</si>
  <si>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</si>
  <si>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</si>
  <si>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</si>
  <si>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</si>
  <si>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</si>
  <si>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</si>
  <si>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</si>
  <si>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</si>
  <si>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</si>
  <si>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</si>
  <si>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</si>
  <si>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</si>
  <si>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</si>
  <si>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</si>
  <si>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</si>
  <si>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</si>
  <si>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</si>
  <si>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</si>
  <si>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</si>
  <si>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</si>
  <si>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</si>
  <si>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</si>
  <si>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</si>
  <si>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</si>
  <si>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</si>
  <si>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</si>
  <si>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</si>
  <si>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</si>
  <si>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</si>
  <si>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M - F = 49 trips</t>
  </si>
  <si>
    <t>Sat - Sun = 35 Trips</t>
  </si>
  <si>
    <t>204:467</t>
  </si>
  <si>
    <t>204:156</t>
  </si>
  <si>
    <t>rtdc.l.rtdc.4001:itc</t>
  </si>
  <si>
    <t>rtdc.l.rtdc.4002:itc</t>
  </si>
  <si>
    <t>204:233289</t>
  </si>
  <si>
    <t>204:444</t>
  </si>
  <si>
    <t>204:233307</t>
  </si>
  <si>
    <t>rtdc.l.rtdc.4016:itc</t>
  </si>
  <si>
    <t>rtdc.l.rtdc.4046:itc</t>
  </si>
  <si>
    <t>rtdc.l.rtdc.4045:itc</t>
  </si>
  <si>
    <t>rtdc.l.rtdc.4055:itc</t>
  </si>
  <si>
    <t>rtdc.l.rtdc.4056:itc</t>
  </si>
  <si>
    <t>204:233303</t>
  </si>
  <si>
    <t>204:232971</t>
  </si>
  <si>
    <t>204:136</t>
  </si>
  <si>
    <t>204:232996</t>
  </si>
  <si>
    <t>rtdc.l.rtdc.4015:itc</t>
  </si>
  <si>
    <t>204:232994</t>
  </si>
  <si>
    <t>204:233302</t>
  </si>
  <si>
    <t>204:232969</t>
  </si>
  <si>
    <t>204:232985</t>
  </si>
  <si>
    <t>204:233291</t>
  </si>
  <si>
    <t>204:233295</t>
  </si>
  <si>
    <t>204:232987</t>
  </si>
  <si>
    <t>204:232993</t>
  </si>
  <si>
    <t>204:233019</t>
  </si>
  <si>
    <t>204:440</t>
  </si>
  <si>
    <t>204:232991</t>
  </si>
  <si>
    <t>300:58624</t>
  </si>
  <si>
    <t>300:58636</t>
  </si>
  <si>
    <t>204:469</t>
  </si>
  <si>
    <t>HAITHCOX</t>
  </si>
  <si>
    <t>204:233301</t>
  </si>
  <si>
    <t>204:233334</t>
  </si>
  <si>
    <t>204:232975</t>
  </si>
  <si>
    <t>300:58956</t>
  </si>
  <si>
    <t>204:442</t>
  </si>
  <si>
    <t>rtdc.l.rtdc.4006:itc</t>
  </si>
  <si>
    <t>rtdc.l.rtdc.4030:itc</t>
  </si>
  <si>
    <t>BONDS</t>
  </si>
  <si>
    <t>REYNALDO</t>
  </si>
  <si>
    <t>STARKS</t>
  </si>
  <si>
    <t>ANGELINA</t>
  </si>
  <si>
    <t>rtdc.l.rtdc.4005:itc</t>
  </si>
  <si>
    <t>HELVIE</t>
  </si>
  <si>
    <t>ADAM</t>
  </si>
  <si>
    <t>STORY</t>
  </si>
  <si>
    <t>SAMANTHA</t>
  </si>
  <si>
    <t>clear-night</t>
  </si>
  <si>
    <t>Clear</t>
  </si>
  <si>
    <t>clear-day</t>
  </si>
  <si>
    <t>204:232959</t>
  </si>
  <si>
    <t>204:232982</t>
  </si>
  <si>
    <t>204:232981</t>
  </si>
  <si>
    <t>204:233310</t>
  </si>
  <si>
    <t>204:138</t>
  </si>
  <si>
    <t>204:160</t>
  </si>
  <si>
    <t>204:233284</t>
  </si>
  <si>
    <t>204:232965</t>
  </si>
  <si>
    <t>300:58600</t>
  </si>
  <si>
    <t>300:58952</t>
  </si>
  <si>
    <t>rtdc.l.rtdc.4031:itc</t>
  </si>
  <si>
    <t>rtdc.l.rtdc.4032:itc</t>
  </si>
  <si>
    <t>rtdc.l.rtdc.4024:itc</t>
  </si>
  <si>
    <t>rtdc.l.rtdc.4023:itc</t>
  </si>
  <si>
    <t>238-13</t>
  </si>
  <si>
    <t>SPECTOR</t>
  </si>
  <si>
    <t>LOZA</t>
  </si>
  <si>
    <t>FIDEL</t>
  </si>
  <si>
    <t>STEWART</t>
  </si>
  <si>
    <t>LEVIN</t>
  </si>
  <si>
    <t>SCOTT</t>
  </si>
  <si>
    <t>241-13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</si>
  <si>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</si>
  <si>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</si>
  <si>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</si>
  <si>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</si>
  <si>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</si>
  <si>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</si>
  <si>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</si>
  <si>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</si>
  <si>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204:429</t>
  </si>
  <si>
    <t>204:233314</t>
  </si>
  <si>
    <t>204:232980</t>
  </si>
  <si>
    <t>204:233274</t>
  </si>
  <si>
    <t>204:233005</t>
  </si>
  <si>
    <t>204:232989</t>
  </si>
  <si>
    <t>204:163</t>
  </si>
  <si>
    <t>204:438</t>
  </si>
  <si>
    <t>204:233298</t>
  </si>
  <si>
    <t>204:433</t>
  </si>
  <si>
    <t>204:232992</t>
  </si>
  <si>
    <t>204:233372</t>
  </si>
  <si>
    <t>204:233065</t>
  </si>
  <si>
    <t>204:232964</t>
  </si>
  <si>
    <t>300:23306</t>
  </si>
  <si>
    <t>300:58939</t>
  </si>
  <si>
    <t>300:58626</t>
  </si>
  <si>
    <t>204:981</t>
  </si>
  <si>
    <t>300:58929</t>
  </si>
  <si>
    <t>300:58623</t>
  </si>
  <si>
    <t>rtdc.l.rtdc.4010:itc</t>
  </si>
  <si>
    <t>rtdc.l.rtdc.4011:itc</t>
  </si>
  <si>
    <t>rtdc.l.rtdc.4003:itc</t>
  </si>
  <si>
    <t>rtdc.l.rtdc.4009:itc</t>
  </si>
  <si>
    <t>244-14</t>
  </si>
  <si>
    <t>WENDY</t>
  </si>
  <si>
    <t>rtdc.l.rtdc.4004:itc</t>
  </si>
  <si>
    <t>BEAM</t>
  </si>
  <si>
    <t>ROSS</t>
  </si>
  <si>
    <t>GEBRETEKLE</t>
  </si>
  <si>
    <t>DAGNEW</t>
  </si>
  <si>
    <t>DE LA ROSA</t>
  </si>
  <si>
    <t>ALEX</t>
  </si>
  <si>
    <t>DELGADO</t>
  </si>
  <si>
    <t>DIANAH</t>
  </si>
  <si>
    <t>HOLCOMB</t>
  </si>
  <si>
    <t>KAMDEN</t>
  </si>
  <si>
    <t>STAMBAUGH</t>
  </si>
  <si>
    <t>BERLING</t>
  </si>
  <si>
    <t>GARY</t>
  </si>
  <si>
    <t>JACKSON</t>
  </si>
  <si>
    <t>WILLIAM</t>
  </si>
  <si>
    <t>242-14</t>
  </si>
  <si>
    <t>309-14</t>
  </si>
  <si>
    <t>311-14</t>
  </si>
  <si>
    <t>313-14</t>
  </si>
  <si>
    <t>uvIndex</t>
  </si>
  <si>
    <t>windGust</t>
  </si>
  <si>
    <t>204:233006</t>
  </si>
  <si>
    <t>204:232984</t>
  </si>
  <si>
    <t>204:475</t>
  </si>
  <si>
    <t>204:232973</t>
  </si>
  <si>
    <t>204:478</t>
  </si>
  <si>
    <t>204:502</t>
  </si>
  <si>
    <t>204:232998</t>
  </si>
  <si>
    <t>204:455</t>
  </si>
  <si>
    <t>204:232979</t>
  </si>
  <si>
    <t>204:233328</t>
  </si>
  <si>
    <t>204:233278</t>
  </si>
  <si>
    <t>204:464</t>
  </si>
  <si>
    <t>204:233383</t>
  </si>
  <si>
    <t>204:233067</t>
  </si>
  <si>
    <t>204:134</t>
  </si>
  <si>
    <t>204:233272</t>
  </si>
  <si>
    <t>204:233327</t>
  </si>
  <si>
    <t>204:233000</t>
  </si>
  <si>
    <t>204:233317</t>
  </si>
  <si>
    <t>204:233288</t>
  </si>
  <si>
    <t>204:232983</t>
  </si>
  <si>
    <t>204:232950</t>
  </si>
  <si>
    <t>204:233407</t>
  </si>
  <si>
    <t>204:232957</t>
  </si>
  <si>
    <t>204:233361</t>
  </si>
  <si>
    <t>300:23304</t>
  </si>
  <si>
    <t>204:471</t>
  </si>
  <si>
    <t>300:58984</t>
  </si>
  <si>
    <t>300:58679</t>
  </si>
  <si>
    <t>204:684</t>
  </si>
  <si>
    <t>204:682</t>
  </si>
  <si>
    <t>300:58666</t>
  </si>
  <si>
    <t>204:691</t>
  </si>
  <si>
    <t>204:967</t>
  </si>
  <si>
    <t>204:652</t>
  </si>
  <si>
    <t>204:988</t>
  </si>
  <si>
    <t>Minor onboard in-route failure caused comm outage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</si>
  <si>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</si>
  <si>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</si>
  <si>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</si>
  <si>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</si>
  <si>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</si>
  <si>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</si>
  <si>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</si>
  <si>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</si>
  <si>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308-15</t>
  </si>
  <si>
    <t>rtdc.l.rtdc.4058:itc</t>
  </si>
  <si>
    <t>901-15</t>
  </si>
  <si>
    <t>rtdc.l.rtdc.4057:itc</t>
  </si>
  <si>
    <t>800-15</t>
  </si>
  <si>
    <t>117-15</t>
  </si>
  <si>
    <t>801-15</t>
  </si>
  <si>
    <t>802-15</t>
  </si>
  <si>
    <t>803-15</t>
  </si>
  <si>
    <t>116-15</t>
  </si>
  <si>
    <t>805-15</t>
  </si>
  <si>
    <t>rtdc.l.rtdc.4041:itc</t>
  </si>
  <si>
    <t>118-15</t>
  </si>
  <si>
    <t>809-15</t>
  </si>
  <si>
    <t>139-15</t>
  </si>
  <si>
    <t>140-15</t>
  </si>
  <si>
    <t>138-15</t>
  </si>
  <si>
    <t>142-15</t>
  </si>
  <si>
    <t>144-15</t>
  </si>
  <si>
    <t>816-15</t>
  </si>
  <si>
    <t>169-15</t>
  </si>
  <si>
    <t>173-15</t>
  </si>
  <si>
    <t>821-15</t>
  </si>
  <si>
    <t>822-15</t>
  </si>
  <si>
    <t>174-15</t>
  </si>
  <si>
    <t>824-15</t>
  </si>
  <si>
    <t>rtdc.l.rtdc.4053:itc</t>
  </si>
  <si>
    <t>182-15</t>
  </si>
  <si>
    <t>184-15</t>
  </si>
  <si>
    <t>186-15</t>
  </si>
  <si>
    <t>826-15</t>
  </si>
  <si>
    <t>188-15</t>
  </si>
  <si>
    <t>197-15</t>
  </si>
  <si>
    <t>201-15</t>
  </si>
  <si>
    <t>829-15</t>
  </si>
  <si>
    <t>830-15</t>
  </si>
  <si>
    <t>832-15</t>
  </si>
  <si>
    <t>207-15</t>
  </si>
  <si>
    <t>202-15</t>
  </si>
  <si>
    <t>834-15</t>
  </si>
  <si>
    <t>835-15</t>
  </si>
  <si>
    <t>208-15</t>
  </si>
  <si>
    <t>838-15</t>
  </si>
  <si>
    <t>210-15</t>
  </si>
  <si>
    <t>840-15</t>
  </si>
  <si>
    <t>222-15</t>
  </si>
  <si>
    <t>300-15</t>
  </si>
  <si>
    <t>51-15</t>
  </si>
  <si>
    <t>101-15</t>
  </si>
  <si>
    <t>302-15</t>
  </si>
  <si>
    <t>52-15</t>
  </si>
  <si>
    <t>103-15</t>
  </si>
  <si>
    <t>304-15</t>
  </si>
  <si>
    <t>306-15</t>
  </si>
  <si>
    <t>105-15</t>
  </si>
  <si>
    <t>102-15</t>
  </si>
  <si>
    <t>107-15</t>
  </si>
  <si>
    <t>104-15</t>
  </si>
  <si>
    <t>109-15</t>
  </si>
  <si>
    <t>310-15</t>
  </si>
  <si>
    <t>111-15</t>
  </si>
  <si>
    <t>108-15</t>
  </si>
  <si>
    <t>106-15</t>
  </si>
  <si>
    <t>113-15</t>
  </si>
  <si>
    <t>312-15</t>
  </si>
  <si>
    <t>110-15</t>
  </si>
  <si>
    <t>115-15</t>
  </si>
  <si>
    <t>119-15</t>
  </si>
  <si>
    <t>112-15</t>
  </si>
  <si>
    <t>902-15</t>
  </si>
  <si>
    <t>YANG</t>
  </si>
  <si>
    <t>JAN</t>
  </si>
  <si>
    <t>114-15</t>
  </si>
  <si>
    <t>121-15</t>
  </si>
  <si>
    <t>123-15</t>
  </si>
  <si>
    <t>804-15</t>
  </si>
  <si>
    <t>125-15</t>
  </si>
  <si>
    <t>122-15</t>
  </si>
  <si>
    <t>120-15</t>
  </si>
  <si>
    <t>127-15</t>
  </si>
  <si>
    <t>807-15</t>
  </si>
  <si>
    <t>806-15</t>
  </si>
  <si>
    <t>124-15</t>
  </si>
  <si>
    <t>129-15</t>
  </si>
  <si>
    <t>131-15</t>
  </si>
  <si>
    <t>808-15</t>
  </si>
  <si>
    <t>126-15</t>
  </si>
  <si>
    <t>133-15</t>
  </si>
  <si>
    <t>128-15</t>
  </si>
  <si>
    <t>135-15</t>
  </si>
  <si>
    <t>130-15</t>
  </si>
  <si>
    <t>811-15</t>
  </si>
  <si>
    <t>810-15</t>
  </si>
  <si>
    <t>137-15</t>
  </si>
  <si>
    <t>132-15</t>
  </si>
  <si>
    <t>903-15</t>
  </si>
  <si>
    <t>812-15</t>
  </si>
  <si>
    <t>136-15</t>
  </si>
  <si>
    <t>134-15</t>
  </si>
  <si>
    <t>141-15</t>
  </si>
  <si>
    <t>143-15</t>
  </si>
  <si>
    <t>55-15</t>
  </si>
  <si>
    <t>145-15</t>
  </si>
  <si>
    <t>813-15</t>
  </si>
  <si>
    <t>147-15</t>
  </si>
  <si>
    <t>814-15</t>
  </si>
  <si>
    <t>149-15</t>
  </si>
  <si>
    <t>151-15</t>
  </si>
  <si>
    <t>60-15</t>
  </si>
  <si>
    <t>ROCHA</t>
  </si>
  <si>
    <t>YAOTL</t>
  </si>
  <si>
    <t>815-15</t>
  </si>
  <si>
    <t>146-15</t>
  </si>
  <si>
    <t>153-15</t>
  </si>
  <si>
    <t>150-15</t>
  </si>
  <si>
    <t>148-15</t>
  </si>
  <si>
    <t>155-15</t>
  </si>
  <si>
    <t>152-15</t>
  </si>
  <si>
    <t>62-15</t>
  </si>
  <si>
    <t>157-15</t>
  </si>
  <si>
    <t>159-15</t>
  </si>
  <si>
    <t>817-15</t>
  </si>
  <si>
    <t>154-15</t>
  </si>
  <si>
    <t>161-15</t>
  </si>
  <si>
    <t>156-15</t>
  </si>
  <si>
    <t>163-15</t>
  </si>
  <si>
    <t>YORK</t>
  </si>
  <si>
    <t>EDGAR</t>
  </si>
  <si>
    <t>61-15</t>
  </si>
  <si>
    <t>158-15</t>
  </si>
  <si>
    <t>818-15</t>
  </si>
  <si>
    <t>165-15</t>
  </si>
  <si>
    <t>160-15</t>
  </si>
  <si>
    <t>167-15</t>
  </si>
  <si>
    <t>164-15</t>
  </si>
  <si>
    <t>162-15</t>
  </si>
  <si>
    <t>819-15</t>
  </si>
  <si>
    <t>171-15</t>
  </si>
  <si>
    <t>820-15</t>
  </si>
  <si>
    <t>166-15</t>
  </si>
  <si>
    <t>168-15</t>
  </si>
  <si>
    <t>175-15</t>
  </si>
  <si>
    <t>170-15</t>
  </si>
  <si>
    <t>177-15</t>
  </si>
  <si>
    <t>53-15</t>
  </si>
  <si>
    <t>172-15</t>
  </si>
  <si>
    <t>179-15</t>
  </si>
  <si>
    <t>181-15</t>
  </si>
  <si>
    <t>176-15</t>
  </si>
  <si>
    <t>178-15</t>
  </si>
  <si>
    <t>183-15</t>
  </si>
  <si>
    <t>823-15</t>
  </si>
  <si>
    <t>185-15</t>
  </si>
  <si>
    <t>187-15</t>
  </si>
  <si>
    <t>180-15</t>
  </si>
  <si>
    <t>189-15</t>
  </si>
  <si>
    <t>191-15</t>
  </si>
  <si>
    <t>825-15</t>
  </si>
  <si>
    <t>193-15</t>
  </si>
  <si>
    <t>904-15</t>
  </si>
  <si>
    <t>195-15</t>
  </si>
  <si>
    <t>827-15</t>
  </si>
  <si>
    <t>190-15</t>
  </si>
  <si>
    <t>192-15</t>
  </si>
  <si>
    <t>199-15</t>
  </si>
  <si>
    <t>828-15</t>
  </si>
  <si>
    <t>194-15</t>
  </si>
  <si>
    <t>196-15</t>
  </si>
  <si>
    <t>203-15</t>
  </si>
  <si>
    <t>831-15</t>
  </si>
  <si>
    <t>198-15</t>
  </si>
  <si>
    <t>205-15</t>
  </si>
  <si>
    <t>200-15</t>
  </si>
  <si>
    <t>73-15</t>
  </si>
  <si>
    <t>833-15</t>
  </si>
  <si>
    <t>209-15</t>
  </si>
  <si>
    <t>204-15</t>
  </si>
  <si>
    <t>211-15</t>
  </si>
  <si>
    <t>206-15</t>
  </si>
  <si>
    <t>213-15</t>
  </si>
  <si>
    <t>78-15</t>
  </si>
  <si>
    <t>215-15</t>
  </si>
  <si>
    <t>837-15</t>
  </si>
  <si>
    <t>836-15</t>
  </si>
  <si>
    <t>217-15</t>
  </si>
  <si>
    <t>PERKINS</t>
  </si>
  <si>
    <t>DARREN</t>
  </si>
  <si>
    <t>212-15</t>
  </si>
  <si>
    <t>219-15</t>
  </si>
  <si>
    <t>75-15</t>
  </si>
  <si>
    <t>839-15</t>
  </si>
  <si>
    <t>214-15</t>
  </si>
  <si>
    <t>301-15</t>
  </si>
  <si>
    <t>216-15</t>
  </si>
  <si>
    <t>221-15</t>
  </si>
  <si>
    <t>841-15</t>
  </si>
  <si>
    <t>218-15</t>
  </si>
  <si>
    <t>906-15</t>
  </si>
  <si>
    <t>303-15</t>
  </si>
  <si>
    <t>220-15</t>
  </si>
  <si>
    <t>223-15</t>
  </si>
  <si>
    <t>305-15</t>
  </si>
  <si>
    <t>225-15</t>
  </si>
  <si>
    <t>843-15</t>
  </si>
  <si>
    <t>224-15</t>
  </si>
  <si>
    <t>77-15</t>
  </si>
  <si>
    <t>227-15</t>
  </si>
  <si>
    <t>842-15</t>
  </si>
  <si>
    <t>226-15</t>
  </si>
  <si>
    <t>229-15</t>
  </si>
  <si>
    <t>845-15</t>
  </si>
  <si>
    <t>231-15</t>
  </si>
  <si>
    <t>228-15</t>
  </si>
  <si>
    <t>844-15</t>
  </si>
  <si>
    <t>233-15</t>
  </si>
  <si>
    <t>230-15</t>
  </si>
  <si>
    <t>847-15</t>
  </si>
  <si>
    <t>232-15</t>
  </si>
  <si>
    <t>235-15</t>
  </si>
  <si>
    <t>908-15</t>
  </si>
  <si>
    <t>234-15</t>
  </si>
  <si>
    <t>237-15</t>
  </si>
  <si>
    <t>239-15</t>
  </si>
  <si>
    <t>236-15</t>
  </si>
  <si>
    <t>partly-cloudy-day</t>
  </si>
  <si>
    <t>Partly Cloudy</t>
  </si>
  <si>
    <t>Mostly Cloudy</t>
  </si>
  <si>
    <t>partly-cloudy-night</t>
  </si>
  <si>
    <t>204:819</t>
  </si>
  <si>
    <t>204:233312</t>
  </si>
  <si>
    <t>204:132</t>
  </si>
  <si>
    <t>204:233270</t>
  </si>
  <si>
    <t>204:232963</t>
  </si>
  <si>
    <t>204:233315</t>
  </si>
  <si>
    <t>204:232967</t>
  </si>
  <si>
    <t>204:233268</t>
  </si>
  <si>
    <t>204:233286</t>
  </si>
  <si>
    <t>204:473</t>
  </si>
  <si>
    <t>204:233234</t>
  </si>
  <si>
    <t>204:189</t>
  </si>
  <si>
    <t>204:232946</t>
  </si>
  <si>
    <t>204:36778</t>
  </si>
  <si>
    <t>204:36779</t>
  </si>
  <si>
    <t>204:233285</t>
  </si>
  <si>
    <t>204:508</t>
  </si>
  <si>
    <t>204:233324</t>
  </si>
  <si>
    <t>204:233096</t>
  </si>
  <si>
    <t>204:118</t>
  </si>
  <si>
    <t>204:233402</t>
  </si>
  <si>
    <t>204:233108</t>
  </si>
  <si>
    <t>204:114</t>
  </si>
  <si>
    <t>204:209</t>
  </si>
  <si>
    <t>204:233321</t>
  </si>
  <si>
    <t>204:165</t>
  </si>
  <si>
    <t>204:233008</t>
  </si>
  <si>
    <t>204:287</t>
  </si>
  <si>
    <t>204:422</t>
  </si>
  <si>
    <t>204:233347</t>
  </si>
  <si>
    <t>204:233034</t>
  </si>
  <si>
    <t>204:112</t>
  </si>
  <si>
    <t>204:233038</t>
  </si>
  <si>
    <t>204:205</t>
  </si>
  <si>
    <t>204:233323</t>
  </si>
  <si>
    <t>204:484</t>
  </si>
  <si>
    <t>204:233215</t>
  </si>
  <si>
    <t>204:233071</t>
  </si>
  <si>
    <t>204:599</t>
  </si>
  <si>
    <t>204:233406</t>
  </si>
  <si>
    <t>204:233093</t>
  </si>
  <si>
    <t>204:233382</t>
  </si>
  <si>
    <t>204:528</t>
  </si>
  <si>
    <t>204:233049</t>
  </si>
  <si>
    <t>204:109</t>
  </si>
  <si>
    <t>204:157</t>
  </si>
  <si>
    <t>204:233059</t>
  </si>
  <si>
    <t>204:233070</t>
  </si>
  <si>
    <t>204:411</t>
  </si>
  <si>
    <t>204:110</t>
  </si>
  <si>
    <t>204:232988</t>
  </si>
  <si>
    <t>204:1148</t>
  </si>
  <si>
    <t>204:233316</t>
  </si>
  <si>
    <t>204:233306</t>
  </si>
  <si>
    <t>204:233002</t>
  </si>
  <si>
    <t>300:19679</t>
  </si>
  <si>
    <t>300:23358</t>
  </si>
  <si>
    <t>300:23302</t>
  </si>
  <si>
    <t>300:23375</t>
  </si>
  <si>
    <t>204:393</t>
  </si>
  <si>
    <t>300:23301</t>
  </si>
  <si>
    <t>300:23747</t>
  </si>
  <si>
    <t>300:19258</t>
  </si>
  <si>
    <t>300:5344</t>
  </si>
  <si>
    <t>300:23447</t>
  </si>
  <si>
    <t>300:23235</t>
  </si>
  <si>
    <t>204:3525</t>
  </si>
  <si>
    <t>204:3220</t>
  </si>
  <si>
    <t>204:1160</t>
  </si>
  <si>
    <t>204:3272</t>
  </si>
  <si>
    <t>204:1460</t>
  </si>
  <si>
    <t>204:3577</t>
  </si>
  <si>
    <t>300:30585</t>
  </si>
  <si>
    <t>300:39402</t>
  </si>
  <si>
    <t>300:22960</t>
  </si>
  <si>
    <t>300:22973</t>
  </si>
  <si>
    <t>204:1171</t>
  </si>
  <si>
    <t>300:24224</t>
  </si>
  <si>
    <t>300:23394</t>
  </si>
  <si>
    <t>204:865</t>
  </si>
  <si>
    <t>204:1473</t>
  </si>
  <si>
    <t>204:448</t>
  </si>
  <si>
    <t>300:5043</t>
  </si>
  <si>
    <t>204:1805</t>
  </si>
  <si>
    <t>204:1136</t>
  </si>
  <si>
    <t>300:5251</t>
  </si>
  <si>
    <t>300:23540</t>
  </si>
  <si>
    <t>204:2232</t>
  </si>
  <si>
    <t>300:58702</t>
  </si>
  <si>
    <t>204:621</t>
  </si>
  <si>
    <t>204:911</t>
  </si>
  <si>
    <t>300:58901</t>
  </si>
  <si>
    <t>300:58698</t>
  </si>
  <si>
    <t>204:740</t>
  </si>
  <si>
    <t>204:974</t>
  </si>
  <si>
    <t>300:58916</t>
  </si>
  <si>
    <t>300:58604</t>
  </si>
  <si>
    <t>204:689</t>
  </si>
  <si>
    <t>204:1030</t>
  </si>
  <si>
    <t>300:59005</t>
  </si>
  <si>
    <t>300:58685</t>
  </si>
  <si>
    <t>204:642</t>
  </si>
  <si>
    <t>300:58937</t>
  </si>
  <si>
    <t>204:677</t>
  </si>
  <si>
    <t>204:920</t>
  </si>
  <si>
    <t>204:148</t>
  </si>
  <si>
    <t>300:58935</t>
  </si>
  <si>
    <t>204:687</t>
  </si>
  <si>
    <t>204:971</t>
  </si>
  <si>
    <t>300:58922</t>
  </si>
  <si>
    <t>300:58619</t>
  </si>
  <si>
    <t>204:668</t>
  </si>
  <si>
    <t>204:969</t>
  </si>
  <si>
    <t>300:58918</t>
  </si>
  <si>
    <t>204:972</t>
  </si>
  <si>
    <t>300:58602</t>
  </si>
  <si>
    <t>204:694</t>
  </si>
  <si>
    <t>300:58924</t>
  </si>
  <si>
    <t>300:58606</t>
  </si>
  <si>
    <t>204:685</t>
  </si>
  <si>
    <t>204:929</t>
  </si>
  <si>
    <t>300:58933</t>
  </si>
  <si>
    <t>300:58617</t>
  </si>
  <si>
    <t>204:670</t>
  </si>
  <si>
    <t>204:932</t>
  </si>
  <si>
    <t>300:58907</t>
  </si>
  <si>
    <t>204:678</t>
  </si>
  <si>
    <t>300:58899</t>
  </si>
  <si>
    <t>300:58577</t>
  </si>
  <si>
    <t>204:633</t>
  </si>
  <si>
    <t>204:962</t>
  </si>
  <si>
    <t>204:888</t>
  </si>
  <si>
    <t>204:626</t>
  </si>
  <si>
    <t>300:58944</t>
  </si>
  <si>
    <t>300:58625</t>
  </si>
  <si>
    <t>204:638</t>
  </si>
  <si>
    <t>204:904</t>
  </si>
  <si>
    <t>300:58613</t>
  </si>
  <si>
    <t>204:656</t>
  </si>
  <si>
    <t>204:957</t>
  </si>
  <si>
    <t>300:58621</t>
  </si>
  <si>
    <t>204:635</t>
  </si>
  <si>
    <t>204:950</t>
  </si>
  <si>
    <t>300:58941</t>
  </si>
  <si>
    <t>204:925</t>
  </si>
  <si>
    <t>300:58642</t>
  </si>
  <si>
    <t>204:964</t>
  </si>
  <si>
    <t>204:960</t>
  </si>
  <si>
    <t>300:29987</t>
  </si>
  <si>
    <t>300:59001</t>
  </si>
  <si>
    <t>300:23557</t>
  </si>
  <si>
    <t>300:24214</t>
  </si>
  <si>
    <t>300:23332</t>
  </si>
  <si>
    <t>204:673</t>
  </si>
  <si>
    <t>300:24587</t>
  </si>
  <si>
    <t>300:28782</t>
  </si>
  <si>
    <t>start /low /b %USERPROFILE%\Documents\GitHub\eaglep3\Utilities\DownloadLogsFromS3.py --loco 4001 --day 2017-06-15</t>
  </si>
  <si>
    <t>start /low /b %USERPROFILE%\Documents\GitHub\eaglep3\Utilities\DownloadLogsFromS3.py --loco 4023 --day 1969-12-31</t>
  </si>
  <si>
    <t>start /low /b %USERPROFILE%\Documents\GitHub\eaglep3\Utilities\DownloadLogsFromS3.py --loco 4005 --day 2017-06-15</t>
  </si>
  <si>
    <t>start /low /b %USERPROFILE%\Documents\GitHub\eaglep3\Utilities\DownloadLogsFromS3.py --loco 4053 --day 2017-06-16</t>
  </si>
  <si>
    <t>start /low /b %USERPROFILE%\Documents\GitHub\eaglep3\Utilities\DownloadLogsFromS3.py --loco 4001 --day 2017-06-16</t>
  </si>
  <si>
    <t>start /low /b %USERPROFILE%\Documents\GitHub\eaglep3\Utilities\DownloadLogsFromS3.py --loco 4042 --day 2017-06-15</t>
  </si>
  <si>
    <t>start /low /b %USERPROFILE%\Documents\GitHub\eaglep3\Utilities\DownloadLogsFromS3.py --loco 4024 --day 2017-06-15</t>
  </si>
  <si>
    <t>start /low /b %USERPROFILE%\Documents\GitHub\eaglep3\Utilities\DownloadLogsFromS3.py --loco 4006 --day 2017-06-15</t>
  </si>
  <si>
    <t>start /low /b %USERPROFILE%\Documents\GitHub\eaglep3\Utilities\DownloadLogsFromS3.py --loco 4023 --day 2017-06-15</t>
  </si>
  <si>
    <t>start /low /b %USERPROFILE%\Documents\GitHub\eaglep3\Utilities\DownloadLogsFromS3.py --loco 4045 --day 2017-06-15</t>
  </si>
  <si>
    <t>start /low /b %USERPROFILE%\Documents\GitHub\eaglep3\Utilities\DownloadLogsFromS3.py --loco 4041 --day 2017-06-15</t>
  </si>
  <si>
    <t>start /low /b %USERPROFILE%\Documents\GitHub\eaglep3\Utilities\DownloadLogsFromS3.py --loco 4053 --day 2017-06-15</t>
  </si>
  <si>
    <t>start /low /b %USERPROFILE%\Documents\GitHub\eaglep3\Utilities\DownloadLogsFromS3.py --loco 4002 --day 2017-06-15</t>
  </si>
  <si>
    <t>start /low /b %USERPROFILE%\Documents\GitHub\eaglep3\Utilities\DownloadLogsFromS3.py --loco 4013 --day 2017-06-16</t>
  </si>
  <si>
    <t>start /low /b %USERPROFILE%\Documents\GitHub\eaglep3\Utilities\DownloadLogsFromS3.py --loco 4057 --day 2017-06-15</t>
  </si>
  <si>
    <t>start /low /b %USERPROFILE%\Documents\GitHub\eaglep3\Utilities\DownloadLogsFromS3.py --loco 4013 --day 2017-06-15</t>
  </si>
  <si>
    <t>start /low /b %USERPROFILE%\Documents\GitHub\eaglep3\Utilities\DownloadLogsFromS3.py --loco 4058 --day 2017-06-15</t>
  </si>
  <si>
    <t>start /low /b %USERPROFILE%\Documents\GitHub\eaglep3\Utilities\DownloadLogsFromS3.py --loco 4014 --day 2017-06-15</t>
  </si>
  <si>
    <t>start /low /b %USERPROFILE%\Documents\GitHub\eaglep3\Utilities\DownloadLogsFromS3.py --loco 4058 --day 2017-06-16</t>
  </si>
  <si>
    <t>Onboard in-route failure</t>
  </si>
  <si>
    <t>238-15</t>
  </si>
  <si>
    <t>240-15</t>
  </si>
  <si>
    <t>241-15</t>
  </si>
  <si>
    <t>204:233344</t>
  </si>
  <si>
    <t>242-15</t>
  </si>
  <si>
    <t>243-15</t>
  </si>
  <si>
    <t>244-15</t>
  </si>
  <si>
    <t>307-15</t>
  </si>
  <si>
    <t>309-15</t>
  </si>
  <si>
    <t>311-15</t>
  </si>
  <si>
    <t>313-15</t>
  </si>
  <si>
    <t>300-16</t>
  </si>
  <si>
    <t>51-16</t>
  </si>
  <si>
    <t>101-16</t>
  </si>
  <si>
    <t>52-16</t>
  </si>
  <si>
    <t>302-16</t>
  </si>
  <si>
    <t>103-16</t>
  </si>
  <si>
    <t>304-16</t>
  </si>
  <si>
    <t>DUS 28S STOP, cleared after</t>
  </si>
  <si>
    <t>Unhealthy at Chambers due to train stop</t>
  </si>
  <si>
    <t>Had 21 seconds of warning</t>
  </si>
  <si>
    <t>Extended Onboard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</si>
</sst>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83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42901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42901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COUNTIFS($N$13:$N$9328,"&gt;0",$AG$13:$AG$9328,I1)</f>
        <v>142</v>
      </c>
      <c r="K5" s="39"/>
      <c r="L5" s="39"/>
      <c r="M5" s="40">
        <f>AVERAGEIFS($N$13:$N$9328,$AG$13:$AG$9328,I1)</f>
        <v>37.659624412805037</v>
      </c>
      <c r="N5" s="38">
        <f t="array" ref="N5">MIN(IF($AG$13:$AG$9328=I1,IF(ISNUMBER($N$13:$N$9328),IF($N$13:$N$9328&gt;0,$N$13:$N$9328))))</f>
        <v>34.70000000204891</v>
      </c>
      <c r="O5" s="3">
        <f t="array" ref="O5">MAX(IF($AG$13:$AG$9328=I1,IF(ISNUMBER($N$13:$N$9328),IF($N$13:$N$9328&gt;0,$N$13:$N$9328))))</f>
        <v>42.583333334187046</v>
      </c>
      <c r="P5" s="2"/>
      <c r="R5" s="166" t="s">
        <v>17</v>
      </c>
      <c r="S5" s="186">
        <f>COUNTIFS($N$13:$N$9328,"&gt;0",$AG$13:$AG$9328,R1)</f>
        <v>47</v>
      </c>
      <c r="T5" s="187"/>
      <c r="U5" s="187"/>
      <c r="V5" s="183">
        <f>AVERAGEIFS($N$13:$N$9328,$AG$13:$AG$9328,R1)</f>
        <v>15.294326240905225</v>
      </c>
      <c r="W5" s="184">
        <f t="array" ref="W5">MIN(IF($AG$13:$AG$9328=R1,IF(ISNUMBER($N$13:$N$9328),IF($N$13:$N$9328&gt;0,$N$13:$N$9328))))</f>
        <v>12.633333331905305</v>
      </c>
      <c r="X5" s="185">
        <f t="array" ref="X5">MAX(IF($AG$13:$AG$9328=R1,IF(ISNUMBER($N$13:$N$9328),IF($N$13:$N$9328&gt;0,$N$13:$N$9328))))</f>
        <v>22.083333340706304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COUNTIFS($P$13:$P$9328,"&gt;0",$AG$13:$AG$9328,I1)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COUNTIFS($P$13:$P$9328,"&gt;0",$AG$13:$AG$9328,R1)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37.659624412805037</v>
      </c>
      <c r="N8" s="38">
        <f>N5</f>
        <v>34.70000000204891</v>
      </c>
      <c r="O8" s="3">
        <f>O5</f>
        <v>42.583333334187046</v>
      </c>
      <c r="P8" s="2"/>
      <c r="R8" s="166" t="s">
        <v>16</v>
      </c>
      <c r="S8" s="186">
        <f>S5</f>
        <v>47</v>
      </c>
      <c r="T8" s="187"/>
      <c r="U8" s="187"/>
      <c r="V8" s="183">
        <f>V5</f>
        <v>15.294326240905225</v>
      </c>
      <c r="W8" s="184">
        <f>W5</f>
        <v>12.633333331905305</v>
      </c>
      <c r="X8" s="185">
        <f>X5</f>
        <v>22.083333340706304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- 2017-06-15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0.98765432098765427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662</v>
      </c>
      <c r="B13" s="7">
        <v>4024</v>
      </c>
      <c r="C13" s="21" t="s">
        <v>202</v>
      </c>
      <c r="D13" s="21" t="s">
        <v>842</v>
      </c>
      <c r="E13" s="13">
        <v>42901.132280092592</v>
      </c>
      <c r="F13" s="13">
        <v>42901.135601851849</v>
      </c>
      <c r="G13" s="7">
        <v>1</v>
      </c>
      <c r="H13" s="21" t="s">
        <v>458</v>
      </c>
      <c r="I13" s="13">
        <v>42901.161134259259</v>
      </c>
      <c r="J13" s="7">
        <v>0</v>
      </c>
      <c r="K13" s="89" t="str">
        <f t="shared" ref="K13:K44" si="0">IF(ISEVEN(B13),(B13-1)&amp;"/"&amp;B13,B13&amp;"/"&amp;(B13+1))</f>
        <v>4023/4024</v>
      </c>
      <c r="L13" s="21" t="str">
        <f>VLOOKUP(A13,'Trips&amp;Operators'!$C$1:$G$99999,5,FALSE)</f>
        <v>STARKS ANGELINA</v>
      </c>
      <c r="M13" s="6">
        <f t="shared" ref="M13:M44" si="1">I13-F13</f>
        <v>2.5532407409627922E-2</v>
      </c>
      <c r="N13" s="7">
        <f t="shared" ref="N13:N44" si="2">24*60*SUM($M13:$M13)</f>
        <v>36.766666669864208</v>
      </c>
      <c r="O13" s="7"/>
      <c r="P13" s="7"/>
      <c r="Q13" s="22"/>
      <c r="R13" s="170"/>
      <c r="S13" s="213">
        <f t="shared" ref="S13:S44" si="3">SUM(U13:U13)/IF(AG13="EC",12,1)</f>
        <v>1</v>
      </c>
      <c r="T13" s="195" t="str">
        <f t="shared" ref="T13:T44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-15T02:10:29-0600',mode:absolute,to:'2017-06-15T04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" s="197" t="str">
        <f>IF(AA13&lt;VLOOKUP(AG13,Variables!$AC$3:$AD$8,2,FALSE),"Y","N")</f>
        <v>N</v>
      </c>
      <c r="X13" s="197" t="e">
        <f t="shared" ref="X13:X44" si="6">VALUE(LEFT(AD13,4))-VALUE(LEFT(AD12,4))</f>
        <v>#VALUE!</v>
      </c>
      <c r="Y13" s="197">
        <f t="shared" ref="Y13:Y44" si="7">RIGHT(D13,LEN(D13)-4)/10000</f>
        <v>8.1900000000000001E-2</v>
      </c>
      <c r="Z13" s="197">
        <f t="shared" ref="Z13:Z44" si="8">RIGHT(H13,LEN(H13)-4)/10000</f>
        <v>23.330200000000001</v>
      </c>
      <c r="AA13" s="197">
        <f t="shared" ref="AA13:AA44" si="9">ABS(Z13-Y13)</f>
        <v>23.2483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44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/stypes="app*4024*20170615*" /stext=" 09:.+((SYSTEM_STATE.+slice.+state.+changed )|(ment ac)|(multiple cpu faults)|(system.+state.+changed )|(\[timeout)|(PRM\|1\|D)|(kpr)|(kdp)|(train st.+moving)|(\|lc)|(penalty))"</v>
      </c>
      <c r="AG13" s="209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101-15 --locoid 4024 --swversion DE.1.0.9.0 --startMP 204:819 --initTime 2017-06-15T03:10:29 --startdatetime 2017-06-15T03:15:16 --delay 1 --endMP 204:233302 --enddatetime 2017-06-15T03:52:02 --enforcementcount 0 &gt;&gt;C:\Users\stu\Documents\GitHub\eaglep3-reporting\EC\2017-06-15-refined-times.txt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{"issue":{"subject":"","project_id":79,"tracker_id":40,"status_id":1,"priority_id":2,"assigned_to_id":23,"start_date":"2017-06-15","description":"","custom_fields":[{"id":1,"name":"Subdivision","value":"EC"},{"id":4,"name":"Milepost","value":"23.3302"},{"id":17,"name":"Train ID","value":"101-15"},{"id":16,"name":"Locomotive ID","value":"4024"},{"id":130,"name":"Impact","value":""},{"id":150,"name":"Time of Event (Mountain Time)","value":"03:52:02"},{"id":151,"name":"Denver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4024 --day 2017-06-15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09:52:02"},{"id":29,"name":"Sharepoint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669</v>
      </c>
      <c r="B14" s="7">
        <v>4023</v>
      </c>
      <c r="C14" s="21" t="s">
        <v>202</v>
      </c>
      <c r="D14" s="21" t="s">
        <v>455</v>
      </c>
      <c r="E14" s="13">
        <v>42901.172326388885</v>
      </c>
      <c r="F14" s="13">
        <v>42901.175347222219</v>
      </c>
      <c r="G14" s="7">
        <v>3</v>
      </c>
      <c r="H14" s="21" t="s">
        <v>441</v>
      </c>
      <c r="I14" s="13">
        <v>42901.202743055554</v>
      </c>
      <c r="J14" s="7">
        <v>0</v>
      </c>
      <c r="K14" s="89" t="str">
        <f t="shared" si="0"/>
        <v>4023/4024</v>
      </c>
      <c r="L14" s="21" t="str">
        <f>VLOOKUP(A14,'Trips&amp;Operators'!$C$1:$G$99999,5,FALSE)</f>
        <v>STARKS ANGELINA</v>
      </c>
      <c r="M14" s="6">
        <f t="shared" si="1"/>
        <v>2.7395833334594499E-2</v>
      </c>
      <c r="N14" s="7">
        <f t="shared" si="2"/>
        <v>39.450000001816079</v>
      </c>
      <c r="O14" s="7"/>
      <c r="P14" s="7"/>
      <c r="Q14" s="22"/>
      <c r="R14" s="170"/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-15T03:08:09-0600',mode:absolute,to:'2017-06-15T05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23.299600000000002</v>
      </c>
      <c r="Z14" s="197">
        <f t="shared" si="8"/>
        <v>1.5599999999999999E-2</v>
      </c>
      <c r="AA14" s="197">
        <f t="shared" si="9"/>
        <v>23.284000000000002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14" s="74" t="str">
        <f t="shared" si="12"/>
        <v>"C:\Program Files (x86)\AstroGrep\AstroGrep.exe" /e /r /s /spath="%USERPROFILE%\AppData\Local\Temp\OnboardLogs" /stypes="app*4023*20170615*"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102-15 --locoid 4023 --swversion DE.1.0.9.0 --startMP 204:232996 --initTime 2017-06-15T04:08:09 --startdatetime 2017-06-15T04:12:30 --delay 3 --endMP 204:156 --enddatetime 2017-06-15T04:51:57 --enforcementcount 0 &gt;&gt;C:\Users\stu\Documents\GitHub\eaglep3-reporting\EC\2017-06-15-refined-times.txt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{"issue":{"subject":"","project_id":79,"tracker_id":40,"status_id":1,"priority_id":2,"assigned_to_id":23,"start_date":"2017-06-15","description":"","custom_fields":[{"id":1,"name":"Subdivision","value":"EC"},{"id":4,"name":"Milepost","value":"0.0156"},{"id":17,"name":"Train ID","value":"102-15"},{"id":16,"name":"Locomotive ID","value":"4023"},{"id":130,"name":"Impact","value":""},{"id":150,"name":"Time of Event (Mountain Time)","value":"04:51:57"},{"id":151,"name":"Denver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4023 --day 2017-06-15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665</v>
      </c>
      <c r="B15" s="7">
        <v>4046</v>
      </c>
      <c r="C15" s="21" t="s">
        <v>202</v>
      </c>
      <c r="D15" s="21" t="s">
        <v>356</v>
      </c>
      <c r="E15" s="13">
        <v>42901.147569444445</v>
      </c>
      <c r="F15" s="13">
        <v>42901.156469907408</v>
      </c>
      <c r="G15" s="7">
        <v>1</v>
      </c>
      <c r="H15" s="21" t="s">
        <v>579</v>
      </c>
      <c r="I15" s="13">
        <v>42901.182685185187</v>
      </c>
      <c r="J15" s="7">
        <v>0</v>
      </c>
      <c r="K15" s="89" t="str">
        <f t="shared" si="0"/>
        <v>4045/4046</v>
      </c>
      <c r="L15" s="21" t="str">
        <f>VLOOKUP(A15,'Trips&amp;Operators'!$C$1:$G$99999,5,FALSE)</f>
        <v>WILLIAMS DONTE</v>
      </c>
      <c r="M15" s="6">
        <f t="shared" si="1"/>
        <v>2.6215277779556345E-2</v>
      </c>
      <c r="N15" s="7">
        <f t="shared" si="2"/>
        <v>37.750000002561137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-15T02:32:30-0600',mode:absolute,to:'2017-06-15T05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4.4699999999999997E-2</v>
      </c>
      <c r="Z15" s="197">
        <f t="shared" si="8"/>
        <v>23.3278</v>
      </c>
      <c r="AA15" s="197">
        <f t="shared" si="9"/>
        <v>23.283100000000001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15" s="74" t="str">
        <f t="shared" si="12"/>
        <v>"C:\Program Files (x86)\AstroGrep\AstroGrep.exe" /e /r /s /spath="%USERPROFILE%\AppData\Local\Temp\OnboardLogs" /stypes="app*4046*20170615*"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103-15 --locoid 4046 --swversion DE.1.0.9.0 --startMP 204:447 --initTime 2017-06-15T03:32:30 --startdatetime 2017-06-15T03:45:19 --delay 1 --endMP 204:233278 --enddatetime 2017-06-15T04:23:04 --enforcementcount 0 &gt;&gt;C:\Users\stu\Documents\GitHub\eaglep3-reporting\EC\2017-06-15-refined-times.txt</v>
      </c>
      <c r="AI1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{"issue":{"subject":"","project_id":79,"tracker_id":40,"status_id":1,"priority_id":2,"assigned_to_id":23,"start_date":"2017-06-15","description":"","custom_fields":[{"id":1,"name":"Subdivision","value":"EC"},{"id":4,"name":"Milepost","value":"23.3278"},{"id":17,"name":"Train ID","value":"103-15"},{"id":16,"name":"Locomotive ID","value":"4046"},{"id":130,"name":"Impact","value":""},{"id":150,"name":"Time of Event (Mountain Time)","value":"04:23:04"},{"id":151,"name":"Denver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4046 --day 2017-06-15</v>
      </c>
      <c r="AN1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10:23:04"},{"id":29,"name":"Sharepoint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671</v>
      </c>
      <c r="B16" s="7">
        <v>4045</v>
      </c>
      <c r="C16" s="21" t="s">
        <v>202</v>
      </c>
      <c r="D16" s="21" t="s">
        <v>523</v>
      </c>
      <c r="E16" s="13">
        <v>42901.185347222221</v>
      </c>
      <c r="F16" s="13">
        <v>42901.196030092593</v>
      </c>
      <c r="G16" s="7">
        <v>1</v>
      </c>
      <c r="H16" s="21" t="s">
        <v>360</v>
      </c>
      <c r="I16" s="13">
        <v>42901.225601851853</v>
      </c>
      <c r="J16" s="7">
        <v>0</v>
      </c>
      <c r="K16" s="89" t="str">
        <f t="shared" si="0"/>
        <v>4045/4046</v>
      </c>
      <c r="L16" s="21" t="str">
        <f>VLOOKUP(A16,'Trips&amp;Operators'!$C$1:$G$99999,5,FALSE)</f>
        <v>WILLIAMS DONTE</v>
      </c>
      <c r="M16" s="6">
        <f t="shared" si="1"/>
        <v>2.9571759259852115E-2</v>
      </c>
      <c r="N16" s="7">
        <f t="shared" si="2"/>
        <v>42.583333334187046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-15T03:26:54-0600',mode:absolute,to:'2017-06-15T06:24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23.297999999999998</v>
      </c>
      <c r="Z16" s="197">
        <f t="shared" si="8"/>
        <v>1.47E-2</v>
      </c>
      <c r="AA16" s="197">
        <f t="shared" si="9"/>
        <v>23.283299999999997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16" s="74" t="str">
        <f t="shared" si="12"/>
        <v>"C:\Program Files (x86)\AstroGrep\AstroGrep.exe" /e /r /s /spath="%USERPROFILE%\AppData\Local\Temp\OnboardLogs" /stypes="app*4045*20170615*"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104-15 --locoid 4045 --swversion DE.1.0.9.0 --startMP 204:232980 --initTime 2017-06-15T04:26:54 --startdatetime 2017-06-15T04:42:17 --delay 1 --endMP 204:147 --enddatetime 2017-06-15T05:24:52 --enforcementcount 0 &gt;&gt;C:\Users\stu\Documents\GitHub\eaglep3-reporting\EC\2017-06-15-refined-times.txt</v>
      </c>
      <c r="AI1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{"issue":{"subject":"","project_id":79,"tracker_id":40,"status_id":1,"priority_id":2,"assigned_to_id":23,"start_date":"2017-06-15","description":"","custom_fields":[{"id":1,"name":"Subdivision","value":"EC"},{"id":4,"name":"Milepost","value":"0.0147"},{"id":17,"name":"Train ID","value":"104-15"},{"id":16,"name":"Locomotive ID","value":"4045"},{"id":130,"name":"Impact","value":""},{"id":150,"name":"Time of Event (Mountain Time)","value":"05:24:52"},{"id":151,"name":"Denver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4045 --day 2017-06-15</v>
      </c>
      <c r="AN1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11:24:52"},{"id":29,"name":"Sharepoint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668</v>
      </c>
      <c r="B17" s="7">
        <v>4040</v>
      </c>
      <c r="C17" s="21" t="s">
        <v>202</v>
      </c>
      <c r="D17" s="21" t="s">
        <v>576</v>
      </c>
      <c r="E17" s="13">
        <v>42901.167997685188</v>
      </c>
      <c r="F17" s="13">
        <v>42901.177245370367</v>
      </c>
      <c r="G17" s="7">
        <v>1</v>
      </c>
      <c r="H17" s="21" t="s">
        <v>452</v>
      </c>
      <c r="I17" s="13">
        <v>42901.203472222223</v>
      </c>
      <c r="J17" s="7">
        <v>0</v>
      </c>
      <c r="K17" s="89" t="str">
        <f t="shared" si="0"/>
        <v>4039/4040</v>
      </c>
      <c r="L17" s="21" t="str">
        <f>VLOOKUP(A17,'Trips&amp;Operators'!$C$1:$G$99999,5,FALSE)</f>
        <v>BONDS REYNALDO</v>
      </c>
      <c r="M17" s="6">
        <f t="shared" si="1"/>
        <v>2.6226851856335998E-2</v>
      </c>
      <c r="N17" s="7">
        <f t="shared" si="2"/>
        <v>37.766666673123837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-15T03:01:55-0600',mode:absolute,to:'2017-06-15T05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4.5499999999999999E-2</v>
      </c>
      <c r="Z17" s="197">
        <f t="shared" si="8"/>
        <v>23.330300000000001</v>
      </c>
      <c r="AA17" s="197">
        <f t="shared" si="9"/>
        <v>23.284800000000001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17" s="74" t="str">
        <f t="shared" si="12"/>
        <v>"C:\Program Files (x86)\AstroGrep\AstroGrep.exe" /e /r /s /spath="%USERPROFILE%\AppData\Local\Temp\OnboardLogs" /stypes="app*4040*20170615*"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105-15 --locoid 4040 --swversion DE.1.0.9.0 --startMP 204:455 --initTime 2017-06-15T04:01:55 --startdatetime 2017-06-15T04:15:14 --delay 1 --endMP 204:233303 --enddatetime 2017-06-15T04:53:00 --enforcementcount 0 &gt;&gt;C:\Users\stu\Documents\GitHub\eaglep3-reporting\EC\2017-06-15-refined-times.txt</v>
      </c>
      <c r="AI1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{"issue":{"subject":"","project_id":79,"tracker_id":40,"status_id":1,"priority_id":2,"assigned_to_id":23,"start_date":"2017-06-15","description":"","custom_fields":[{"id":1,"name":"Subdivision","value":"EC"},{"id":4,"name":"Milepost","value":"23.3303"},{"id":17,"name":"Train ID","value":"105-15"},{"id":16,"name":"Locomotive ID","value":"4040"},{"id":130,"name":"Impact","value":""},{"id":150,"name":"Time of Event (Mountain Time)","value":"04:53:00"},{"id":151,"name":"Denver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4040 --day 2017-06-15</v>
      </c>
      <c r="AN1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676</v>
      </c>
      <c r="B18" s="7">
        <v>4039</v>
      </c>
      <c r="C18" s="21" t="s">
        <v>202</v>
      </c>
      <c r="D18" s="21" t="s">
        <v>572</v>
      </c>
      <c r="E18" s="13">
        <v>42901.214421296296</v>
      </c>
      <c r="F18" s="13">
        <v>42901.216874999998</v>
      </c>
      <c r="G18" s="7">
        <v>1</v>
      </c>
      <c r="H18" s="21" t="s">
        <v>351</v>
      </c>
      <c r="I18" s="13">
        <v>42901.244027777779</v>
      </c>
      <c r="J18" s="7">
        <v>0</v>
      </c>
      <c r="K18" s="89" t="str">
        <f t="shared" si="0"/>
        <v>4039/4040</v>
      </c>
      <c r="L18" s="21" t="str">
        <f>VLOOKUP(A18,'Trips&amp;Operators'!$C$1:$G$99999,5,FALSE)</f>
        <v>BONDS REYNALDO</v>
      </c>
      <c r="M18" s="6">
        <f t="shared" si="1"/>
        <v>2.715277778042946E-2</v>
      </c>
      <c r="N18" s="7">
        <f t="shared" si="2"/>
        <v>39.100000003818423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-15T04:08:46-0600',mode:absolute,to:'2017-06-15T06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23.2973</v>
      </c>
      <c r="Z18" s="197">
        <f t="shared" si="8"/>
        <v>1.43E-2</v>
      </c>
      <c r="AA18" s="197">
        <f t="shared" si="9"/>
        <v>23.283000000000001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18" s="74" t="str">
        <f t="shared" si="12"/>
        <v>"C:\Program Files (x86)\AstroGrep\AstroGrep.exe" /e /r /s /spath="%USERPROFILE%\AppData\Local\Temp\OnboardLogs" /stypes="app*4039*20170615*"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106-15 --locoid 4039 --swversion DE.1.0.9.0 --startMP 204:232973 --initTime 2017-06-15T05:08:46 --startdatetime 2017-06-15T05:12:18 --delay 1 --endMP 204:143 --enddatetime 2017-06-15T05:51:24 --enforcementcount 0 &gt;&gt;C:\Users\stu\Documents\GitHub\eaglep3-reporting\EC\2017-06-15-refined-times.txt</v>
      </c>
      <c r="AI18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{"issue":{"subject":"","project_id":79,"tracker_id":40,"status_id":1,"priority_id":2,"assigned_to_id":23,"start_date":"2017-06-15","description":"","custom_fields":[{"id":1,"name":"Subdivision","value":"EC"},{"id":4,"name":"Milepost","value":"0.0143"},{"id":17,"name":"Train ID","value":"106-15"},{"id":16,"name":"Locomotive ID","value":"4039"},{"id":130,"name":"Impact","value":""},{"id":150,"name":"Time of Event (Mountain Time)","value":"05:51:24"},{"id":151,"name":"Denver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4039 --day 2017-06-15</v>
      </c>
      <c r="AN18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670</v>
      </c>
      <c r="B19" s="7">
        <v>4022</v>
      </c>
      <c r="C19" s="21" t="s">
        <v>202</v>
      </c>
      <c r="D19" s="21" t="s">
        <v>392</v>
      </c>
      <c r="E19" s="13">
        <v>42901.181932870371</v>
      </c>
      <c r="F19" s="13">
        <v>42901.187719907408</v>
      </c>
      <c r="G19" s="7">
        <v>1</v>
      </c>
      <c r="H19" s="21" t="s">
        <v>843</v>
      </c>
      <c r="I19" s="13">
        <v>42901.212916666664</v>
      </c>
      <c r="J19" s="7">
        <v>0</v>
      </c>
      <c r="K19" s="89" t="str">
        <f t="shared" si="0"/>
        <v>4021/4022</v>
      </c>
      <c r="L19" s="21" t="str">
        <f>VLOOKUP(A19,'Trips&amp;Operators'!$C$1:$G$99999,5,FALSE)</f>
        <v>GEBRETEKLE DAGNEW</v>
      </c>
      <c r="M19" s="6">
        <f t="shared" si="1"/>
        <v>2.5196759255777579E-2</v>
      </c>
      <c r="N19" s="7">
        <f t="shared" si="2"/>
        <v>36.283333328319713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-15T03:21:59-0600',mode:absolute,to:'2017-06-15T06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4.6199999999999998E-2</v>
      </c>
      <c r="Z19" s="197">
        <f t="shared" si="8"/>
        <v>23.331199999999999</v>
      </c>
      <c r="AA19" s="197">
        <f t="shared" si="9"/>
        <v>23.285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19" s="74" t="str">
        <f t="shared" si="12"/>
        <v>"C:\Program Files (x86)\AstroGrep\AstroGrep.exe" /e /r /s /spath="%USERPROFILE%\AppData\Local\Temp\OnboardLogs" /stypes="app*4022*20170615*"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107-15 --locoid 4022 --swversion DE.1.0.9.0 --startMP 204:462 --initTime 2017-06-15T04:21:59 --startdatetime 2017-06-15T04:30:19 --delay 1 --endMP 204:233312 --enddatetime 2017-06-15T05:06:36 --enforcementcount 0 &gt;&gt;C:\Users\stu\Documents\GitHub\eaglep3-reporting\EC\2017-06-15-refined-times.txt</v>
      </c>
      <c r="AI19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{"issue":{"subject":"","project_id":79,"tracker_id":40,"status_id":1,"priority_id":2,"assigned_to_id":23,"start_date":"2017-06-15","description":"","custom_fields":[{"id":1,"name":"Subdivision","value":"EC"},{"id":4,"name":"Milepost","value":"23.3312"},{"id":17,"name":"Train ID","value":"107-15"},{"id":16,"name":"Locomotive ID","value":"4022"},{"id":130,"name":"Impact","value":""},{"id":150,"name":"Time of Event (Mountain Time)","value":"05:06:36"},{"id":151,"name":"Denver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4022 --day 2017-06-15</v>
      </c>
      <c r="AN19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675</v>
      </c>
      <c r="B20" s="7">
        <v>4021</v>
      </c>
      <c r="C20" s="21" t="s">
        <v>202</v>
      </c>
      <c r="D20" s="21" t="s">
        <v>460</v>
      </c>
      <c r="E20" s="13">
        <v>42901.21434027778</v>
      </c>
      <c r="F20" s="13">
        <v>42901.227314814816</v>
      </c>
      <c r="G20" s="7">
        <v>1</v>
      </c>
      <c r="H20" s="21" t="s">
        <v>193</v>
      </c>
      <c r="I20" s="13">
        <v>42901.254247685189</v>
      </c>
      <c r="J20" s="7">
        <v>0</v>
      </c>
      <c r="K20" s="89" t="str">
        <f t="shared" si="0"/>
        <v>4021/4022</v>
      </c>
      <c r="L20" s="21" t="str">
        <f>VLOOKUP(A20,'Trips&amp;Operators'!$C$1:$G$99999,5,FALSE)</f>
        <v>GEBRETEKLE DAGNEW</v>
      </c>
      <c r="M20" s="6">
        <f t="shared" si="1"/>
        <v>2.6932870372547768E-2</v>
      </c>
      <c r="N20" s="7">
        <f t="shared" si="2"/>
        <v>38.783333336468786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-15T04:08:39-0600',mode:absolute,to:'2017-06-15T07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23.298500000000001</v>
      </c>
      <c r="Z20" s="197">
        <f t="shared" si="8"/>
        <v>1.52E-2</v>
      </c>
      <c r="AA20" s="197">
        <f t="shared" si="9"/>
        <v>23.283300000000001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20" s="74" t="str">
        <f t="shared" si="12"/>
        <v>"C:\Program Files (x86)\AstroGrep\AstroGrep.exe" /e /r /s /spath="%USERPROFILE%\AppData\Local\Temp\OnboardLogs" /stypes="app*4021*20170615*"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108-15 --locoid 4021 --swversion DE.1.0.9.0 --startMP 204:232985 --initTime 2017-06-15T05:08:39 --startdatetime 2017-06-15T05:27:20 --delay 1 --endMP 204:152 --enddatetime 2017-06-15T06:06:07 --enforcementcount 0 &gt;&gt;C:\Users\stu\Documents\GitHub\eaglep3-reporting\EC\2017-06-15-refined-times.txt</v>
      </c>
      <c r="AI20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{"issue":{"subject":"","project_id":79,"tracker_id":40,"status_id":1,"priority_id":2,"assigned_to_id":23,"start_date":"2017-06-15","description":"","custom_fields":[{"id":1,"name":"Subdivision","value":"EC"},{"id":4,"name":"Milepost","value":"0.0152"},{"id":17,"name":"Train ID","value":"108-15"},{"id":16,"name":"Locomotive ID","value":"4021"},{"id":130,"name":"Impact","value":""},{"id":150,"name":"Time of Event (Mountain Time)","value":"06:06:07"},{"id":151,"name":"Denver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4021 --day 2017-06-15</v>
      </c>
      <c r="AN20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672</v>
      </c>
      <c r="B21" s="7">
        <v>4002</v>
      </c>
      <c r="C21" s="21" t="s">
        <v>202</v>
      </c>
      <c r="D21" s="21" t="s">
        <v>466</v>
      </c>
      <c r="E21" s="13">
        <v>42901.194131944445</v>
      </c>
      <c r="F21" s="13">
        <v>42901.198101851849</v>
      </c>
      <c r="G21" s="7">
        <v>1</v>
      </c>
      <c r="H21" s="21" t="s">
        <v>472</v>
      </c>
      <c r="I21" s="13">
        <v>42901.223194444443</v>
      </c>
      <c r="J21" s="7">
        <v>0</v>
      </c>
      <c r="K21" s="89" t="str">
        <f t="shared" si="0"/>
        <v>4001/4002</v>
      </c>
      <c r="L21" s="21" t="str">
        <f>VLOOKUP(A21,'Trips&amp;Operators'!$C$1:$G$99999,5,FALSE)</f>
        <v>GUZMAN DANNY</v>
      </c>
      <c r="M21" s="6">
        <f t="shared" si="1"/>
        <v>2.5092592593864538E-2</v>
      </c>
      <c r="N21" s="7">
        <f t="shared" si="2"/>
        <v>36.133333335164934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-15T03:39:33-0600',mode:absolute,to:'2017-06-15T06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4.3999999999999997E-2</v>
      </c>
      <c r="Z21" s="197">
        <f t="shared" si="8"/>
        <v>23.330100000000002</v>
      </c>
      <c r="AA21" s="197">
        <f t="shared" si="9"/>
        <v>23.286100000000001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21" s="74" t="str">
        <f t="shared" si="12"/>
        <v>"C:\Program Files (x86)\AstroGrep\AstroGrep.exe" /e /r /s /spath="%USERPROFILE%\AppData\Local\Temp\OnboardLogs" /stypes="app*4002*20170615*"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109-15 --locoid 4002 --swversion DE.1.0.9.0 --startMP 204:440 --initTime 2017-06-15T04:39:33 --startdatetime 2017-06-15T04:45:16 --delay 1 --endMP 204:233301 --enddatetime 2017-06-15T05:21:24 --enforcementcount 0 &gt;&gt;C:\Users\stu\Documents\GitHub\eaglep3-reporting\EC\2017-06-15-refined-times.txt</v>
      </c>
      <c r="AI21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{"issue":{"subject":"","project_id":79,"tracker_id":40,"status_id":1,"priority_id":2,"assigned_to_id":23,"start_date":"2017-06-15","description":"","custom_fields":[{"id":1,"name":"Subdivision","value":"EC"},{"id":4,"name":"Milepost","value":"23.3301"},{"id":17,"name":"Train ID","value":"109-15"},{"id":16,"name":"Locomotive ID","value":"4002"},{"id":130,"name":"Impact","value":""},{"id":150,"name":"Time of Event (Mountain Time)","value":"05:21:24"},{"id":151,"name":"Denver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4002 --day 2017-06-15</v>
      </c>
      <c r="AN21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679</v>
      </c>
      <c r="B22" s="7">
        <v>4001</v>
      </c>
      <c r="C22" s="21" t="s">
        <v>202</v>
      </c>
      <c r="D22" s="21" t="s">
        <v>453</v>
      </c>
      <c r="E22" s="13">
        <v>42901.225532407407</v>
      </c>
      <c r="F22" s="13">
        <v>42901.237800925926</v>
      </c>
      <c r="G22" s="7">
        <v>1</v>
      </c>
      <c r="H22" s="21" t="s">
        <v>844</v>
      </c>
      <c r="I22" s="13">
        <v>42901.264444444445</v>
      </c>
      <c r="J22" s="7">
        <v>0</v>
      </c>
      <c r="K22" s="89" t="str">
        <f t="shared" si="0"/>
        <v>4001/4002</v>
      </c>
      <c r="L22" s="21" t="str">
        <f>VLOOKUP(A22,'Trips&amp;Operators'!$C$1:$G$99999,5,FALSE)</f>
        <v>GUZMAN DANNY</v>
      </c>
      <c r="M22" s="6">
        <f t="shared" si="1"/>
        <v>2.6643518518540077E-2</v>
      </c>
      <c r="N22" s="7">
        <f t="shared" si="2"/>
        <v>38.366666666697711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-15T04:24:46-0600',mode:absolute,to:'2017-06-15T07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23.2971</v>
      </c>
      <c r="Z22" s="197">
        <f t="shared" si="8"/>
        <v>1.32E-2</v>
      </c>
      <c r="AA22" s="197">
        <f t="shared" si="9"/>
        <v>23.283899999999999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22" s="74" t="str">
        <f t="shared" si="12"/>
        <v>"C:\Program Files (x86)\AstroGrep\AstroGrep.exe" /e /r /s /spath="%USERPROFILE%\AppData\Local\Temp\OnboardLogs" /stypes="app*4001*20170615*"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110-15 --locoid 4001 --swversion DE.1.0.9.0 --startMP 204:232971 --initTime 2017-06-15T05:24:46 --startdatetime 2017-06-15T05:42:26 --delay 1 --endMP 204:132 --enddatetime 2017-06-15T06:20:48 --enforcementcount 0 &gt;&gt;C:\Users\stu\Documents\GitHub\eaglep3-reporting\EC\2017-06-15-refined-times.txt</v>
      </c>
      <c r="AI22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{"issue":{"subject":"","project_id":79,"tracker_id":40,"status_id":1,"priority_id":2,"assigned_to_id":23,"start_date":"2017-06-15","description":"","custom_fields":[{"id":1,"name":"Subdivision","value":"EC"},{"id":4,"name":"Milepost","value":"0.0132"},{"id":17,"name":"Train ID","value":"110-15"},{"id":16,"name":"Locomotive ID","value":"4001"},{"id":130,"name":"Impact","value":""},{"id":150,"name":"Time of Event (Mountain Time)","value":"06:20:48"},{"id":151,"name":"Denver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4001 --day 2017-06-15</v>
      </c>
      <c r="AN22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674</v>
      </c>
      <c r="B23" s="7">
        <v>4024</v>
      </c>
      <c r="C23" s="21" t="s">
        <v>202</v>
      </c>
      <c r="D23" s="21" t="s">
        <v>352</v>
      </c>
      <c r="E23" s="13">
        <v>42901.204664351855</v>
      </c>
      <c r="F23" s="13">
        <v>42901.208518518521</v>
      </c>
      <c r="G23" s="7">
        <v>1</v>
      </c>
      <c r="H23" s="21" t="s">
        <v>843</v>
      </c>
      <c r="I23" s="13">
        <v>42901.23364583333</v>
      </c>
      <c r="J23" s="7">
        <v>0</v>
      </c>
      <c r="K23" s="89" t="str">
        <f t="shared" si="0"/>
        <v>4023/4024</v>
      </c>
      <c r="L23" s="21" t="str">
        <f>VLOOKUP(A23,'Trips&amp;Operators'!$C$1:$G$99999,5,FALSE)</f>
        <v>STARKS ANGELINA</v>
      </c>
      <c r="M23" s="6">
        <f t="shared" si="1"/>
        <v>2.512731480965158E-2</v>
      </c>
      <c r="N23" s="7">
        <f t="shared" si="2"/>
        <v>36.183333325898275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-15T03:54:43-0600',mode:absolute,to:'2017-06-15T06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4.6600000000000003E-2</v>
      </c>
      <c r="Z23" s="197">
        <f t="shared" si="8"/>
        <v>23.331199999999999</v>
      </c>
      <c r="AA23" s="197">
        <f t="shared" si="9"/>
        <v>23.284599999999998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23" s="74" t="str">
        <f t="shared" si="12"/>
        <v>"C:\Program Files (x86)\AstroGrep\AstroGrep.exe" /e /r /s /spath="%USERPROFILE%\AppData\Local\Temp\OnboardLogs" /stypes="app*4024*20170615*"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111-15 --locoid 4024 --swversion DE.1.0.9.0 --startMP 204:466 --initTime 2017-06-15T04:54:43 --startdatetime 2017-06-15T05:00:16 --delay 1 --endMP 204:233312 --enddatetime 2017-06-15T05:36:27 --enforcementcount 0 &gt;&gt;C:\Users\stu\Documents\GitHub\eaglep3-reporting\EC\2017-06-15-refined-times.txt</v>
      </c>
      <c r="AI23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{"issue":{"subject":"","project_id":79,"tracker_id":40,"status_id":1,"priority_id":2,"assigned_to_id":23,"start_date":"2017-06-15","description":"","custom_fields":[{"id":1,"name":"Subdivision","value":"EC"},{"id":4,"name":"Milepost","value":"23.3312"},{"id":17,"name":"Train ID","value":"111-15"},{"id":16,"name":"Locomotive ID","value":"4024"},{"id":130,"name":"Impact","value":""},{"id":150,"name":"Time of Event (Mountain Time)","value":"05:36:27"},{"id":151,"name":"Denver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4024 --day 2017-06-15</v>
      </c>
      <c r="AN23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682</v>
      </c>
      <c r="B24" s="7">
        <v>4023</v>
      </c>
      <c r="C24" s="21" t="s">
        <v>202</v>
      </c>
      <c r="D24" s="21" t="s">
        <v>467</v>
      </c>
      <c r="E24" s="13">
        <v>42901.246377314812</v>
      </c>
      <c r="F24" s="13">
        <v>42901.248090277775</v>
      </c>
      <c r="G24" s="7">
        <v>1</v>
      </c>
      <c r="H24" s="21" t="s">
        <v>349</v>
      </c>
      <c r="I24" s="13">
        <v>42901.275787037041</v>
      </c>
      <c r="J24" s="7">
        <v>0</v>
      </c>
      <c r="K24" s="89" t="str">
        <f t="shared" si="0"/>
        <v>4023/4024</v>
      </c>
      <c r="L24" s="21" t="str">
        <f>VLOOKUP(A24,'Trips&amp;Operators'!$C$1:$G$99999,5,FALSE)</f>
        <v>STARKS ANGELINA</v>
      </c>
      <c r="M24" s="6">
        <f t="shared" si="1"/>
        <v>2.7696759265381843E-2</v>
      </c>
      <c r="N24" s="7">
        <f t="shared" si="2"/>
        <v>39.883333342149854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-15T04:54:47-0600',mode:absolute,to:'2017-06-15T07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23.299099999999999</v>
      </c>
      <c r="Z24" s="197">
        <f t="shared" si="8"/>
        <v>1.4999999999999999E-2</v>
      </c>
      <c r="AA24" s="197">
        <f t="shared" si="9"/>
        <v>23.284099999999999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24" s="74" t="str">
        <f t="shared" si="12"/>
        <v>"C:\Program Files (x86)\AstroGrep\AstroGrep.exe" /e /r /s /spath="%USERPROFILE%\AppData\Local\Temp\OnboardLogs" /stypes="app*4023*20170615*"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112-15 --locoid 4023 --swversion DE.1.0.9.0 --startMP 204:232991 --initTime 2017-06-15T05:54:47 --startdatetime 2017-06-15T05:57:15 --delay 1 --endMP 204:150 --enddatetime 2017-06-15T06:37:08 --enforcementcount 0 &gt;&gt;C:\Users\stu\Documents\GitHub\eaglep3-reporting\EC\2017-06-15-refined-times.txt</v>
      </c>
      <c r="AI24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{"issue":{"subject":"","project_id":79,"tracker_id":40,"status_id":1,"priority_id":2,"assigned_to_id":23,"start_date":"2017-06-15","description":"","custom_fields":[{"id":1,"name":"Subdivision","value":"EC"},{"id":4,"name":"Milepost","value":"0.015"},{"id":17,"name":"Train ID","value":"112-15"},{"id":16,"name":"Locomotive ID","value":"4023"},{"id":130,"name":"Impact","value":""},{"id":150,"name":"Time of Event (Mountain Time)","value":"06:37:08"},{"id":151,"name":"Denver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4023 --day 2017-06-15</v>
      </c>
      <c r="AN24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677</v>
      </c>
      <c r="B25" s="7">
        <v>4006</v>
      </c>
      <c r="C25" s="21" t="s">
        <v>202</v>
      </c>
      <c r="D25" s="21" t="s">
        <v>476</v>
      </c>
      <c r="E25" s="13">
        <v>42901.216643518521</v>
      </c>
      <c r="F25" s="13">
        <v>42901.219039351854</v>
      </c>
      <c r="G25" s="7">
        <v>1</v>
      </c>
      <c r="H25" s="21" t="s">
        <v>452</v>
      </c>
      <c r="I25" s="13">
        <v>42901.243935185186</v>
      </c>
      <c r="J25" s="7">
        <v>0</v>
      </c>
      <c r="K25" s="89" t="str">
        <f t="shared" si="0"/>
        <v>4005/4006</v>
      </c>
      <c r="L25" s="21" t="str">
        <f>VLOOKUP(A25,'Trips&amp;Operators'!$C$1:$G$99999,5,FALSE)</f>
        <v>LOZA FIDEL</v>
      </c>
      <c r="M25" s="6">
        <f t="shared" si="1"/>
        <v>2.4895833332266193E-2</v>
      </c>
      <c r="N25" s="7">
        <f t="shared" si="2"/>
        <v>35.849999998463318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-15T04:11:58-0600',mode:absolute,to:'2017-06-15T06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4.4200000000000003E-2</v>
      </c>
      <c r="Z25" s="197">
        <f t="shared" si="8"/>
        <v>23.330300000000001</v>
      </c>
      <c r="AA25" s="197">
        <f t="shared" si="9"/>
        <v>23.286100000000001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25" s="74" t="str">
        <f t="shared" si="12"/>
        <v>"C:\Program Files (x86)\AstroGrep\AstroGrep.exe" /e /r /s /spath="%USERPROFILE%\AppData\Local\Temp\OnboardLogs" /stypes="app*4006*20170615*"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113-15 --locoid 4006 --swversion DE.1.0.9.0 --startMP 204:442 --initTime 2017-06-15T05:11:58 --startdatetime 2017-06-15T05:15:25 --delay 1 --endMP 204:233303 --enddatetime 2017-06-15T05:51:16 --enforcementcount 0 &gt;&gt;C:\Users\stu\Documents\GitHub\eaglep3-reporting\EC\2017-06-15-refined-times.txt</v>
      </c>
      <c r="AI2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{"issue":{"subject":"","project_id":79,"tracker_id":40,"status_id":1,"priority_id":2,"assigned_to_id":23,"start_date":"2017-06-15","description":"","custom_fields":[{"id":1,"name":"Subdivision","value":"EC"},{"id":4,"name":"Milepost","value":"23.3303"},{"id":17,"name":"Train ID","value":"113-15"},{"id":16,"name":"Locomotive ID","value":"4006"},{"id":130,"name":"Impact","value":""},{"id":150,"name":"Time of Event (Mountain Time)","value":"05:51:16"},{"id":151,"name":"Denver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4006 --day 2017-06-15</v>
      </c>
      <c r="AN2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686</v>
      </c>
      <c r="B26" s="7">
        <v>4005</v>
      </c>
      <c r="C26" s="21" t="s">
        <v>202</v>
      </c>
      <c r="D26" s="21" t="s">
        <v>570</v>
      </c>
      <c r="E26" s="13">
        <v>42901.250381944446</v>
      </c>
      <c r="F26" s="13">
        <v>42901.258576388886</v>
      </c>
      <c r="G26" s="7">
        <v>1</v>
      </c>
      <c r="H26" s="21" t="s">
        <v>420</v>
      </c>
      <c r="I26" s="13">
        <v>42901.284629629627</v>
      </c>
      <c r="J26" s="7">
        <v>0</v>
      </c>
      <c r="K26" s="89" t="str">
        <f t="shared" si="0"/>
        <v>4005/4006</v>
      </c>
      <c r="L26" s="21" t="str">
        <f>VLOOKUP(A26,'Trips&amp;Operators'!$C$1:$G$99999,5,FALSE)</f>
        <v>LOZA FIDEL</v>
      </c>
      <c r="M26" s="6">
        <f t="shared" si="1"/>
        <v>2.6053240741021E-2</v>
      </c>
      <c r="N26" s="7">
        <f t="shared" si="2"/>
        <v>37.51666666707024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-15T05:00:33-0600',mode:absolute,to:'2017-06-15T07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23.298400000000001</v>
      </c>
      <c r="Z26" s="197">
        <f t="shared" si="8"/>
        <v>1.4500000000000001E-2</v>
      </c>
      <c r="AA26" s="197">
        <f t="shared" si="9"/>
        <v>23.283899999999999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26" s="74" t="str">
        <f t="shared" si="12"/>
        <v>"C:\Program Files (x86)\AstroGrep\AstroGrep.exe" /e /r /s /spath="%USERPROFILE%\AppData\Local\Temp\OnboardLogs" /stypes="app*4005*20170615*"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114-15 --locoid 4005 --swversion DE.1.0.9.0 --startMP 204:232984 --initTime 2017-06-15T06:00:33 --startdatetime 2017-06-15T06:12:21 --delay 1 --endMP 204:145 --enddatetime 2017-06-15T06:49:52 --enforcementcount 0 &gt;&gt;C:\Users\stu\Documents\GitHub\eaglep3-reporting\EC\2017-06-15-refined-times.txt</v>
      </c>
      <c r="AI2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{"issue":{"subject":"","project_id":79,"tracker_id":40,"status_id":1,"priority_id":2,"assigned_to_id":23,"start_date":"2017-06-15","description":"","custom_fields":[{"id":1,"name":"Subdivision","value":"EC"},{"id":4,"name":"Milepost","value":"0.0145"},{"id":17,"name":"Train ID","value":"114-15"},{"id":16,"name":"Locomotive ID","value":"4005"},{"id":130,"name":"Impact","value":""},{"id":150,"name":"Time of Event (Mountain Time)","value":"06:49:52"},{"id":151,"name":"Denver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4005 --day 2017-06-15</v>
      </c>
      <c r="AN2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680</v>
      </c>
      <c r="B27" s="7">
        <v>4046</v>
      </c>
      <c r="C27" s="21" t="s">
        <v>202</v>
      </c>
      <c r="D27" s="21" t="s">
        <v>348</v>
      </c>
      <c r="E27" s="13">
        <v>42901.227870370371</v>
      </c>
      <c r="F27" s="13">
        <v>42901.229444444441</v>
      </c>
      <c r="G27" s="7">
        <v>1</v>
      </c>
      <c r="H27" s="21" t="s">
        <v>461</v>
      </c>
      <c r="I27" s="13">
        <v>42901.256516203706</v>
      </c>
      <c r="J27" s="7">
        <v>0</v>
      </c>
      <c r="K27" s="89" t="str">
        <f t="shared" si="0"/>
        <v>4045/4046</v>
      </c>
      <c r="L27" s="21" t="str">
        <f>VLOOKUP(A27,'Trips&amp;Operators'!$C$1:$G$99999,5,FALSE)</f>
        <v>WILLIAMS DONTE</v>
      </c>
      <c r="M27" s="6">
        <f t="shared" si="1"/>
        <v>2.7071759264799766E-2</v>
      </c>
      <c r="N27" s="7">
        <f t="shared" si="2"/>
        <v>38.983333341311663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-15T04:28:08-0600',mode:absolute,to:'2017-06-15T07:09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4.58E-2</v>
      </c>
      <c r="Z27" s="197">
        <f t="shared" si="8"/>
        <v>23.3291</v>
      </c>
      <c r="AA27" s="197">
        <f t="shared" si="9"/>
        <v>23.283300000000001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27" s="74" t="str">
        <f t="shared" si="12"/>
        <v>"C:\Program Files (x86)\AstroGrep\AstroGrep.exe" /e /r /s /spath="%USERPROFILE%\AppData\Local\Temp\OnboardLogs" /stypes="app*4046*20170615*"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115-15 --locoid 4046 --swversion DE.1.0.9.0 --startMP 204:458 --initTime 2017-06-15T05:28:08 --startdatetime 2017-06-15T05:30:24 --delay 1 --endMP 204:233291 --enddatetime 2017-06-15T06:09:23 --enforcementcount 0 &gt;&gt;C:\Users\stu\Documents\GitHub\eaglep3-reporting\EC\2017-06-15-refined-times.txt</v>
      </c>
      <c r="AI2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{"issue":{"subject":"","project_id":79,"tracker_id":40,"status_id":1,"priority_id":2,"assigned_to_id":23,"start_date":"2017-06-15","description":"","custom_fields":[{"id":1,"name":"Subdivision","value":"EC"},{"id":4,"name":"Milepost","value":"23.3291"},{"id":17,"name":"Train ID","value":"115-15"},{"id":16,"name":"Locomotive ID","value":"4046"},{"id":130,"name":"Impact","value":""},{"id":150,"name":"Time of Event (Mountain Time)","value":"06:09:23"},{"id":151,"name":"Denver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4046 --day 2017-06-15</v>
      </c>
      <c r="AN2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12:09:23"},{"id":29,"name":"Sharepoint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623</v>
      </c>
      <c r="B28" s="7">
        <v>4045</v>
      </c>
      <c r="C28" s="21" t="s">
        <v>202</v>
      </c>
      <c r="D28" s="21" t="s">
        <v>455</v>
      </c>
      <c r="E28" s="13">
        <v>42901.259166666663</v>
      </c>
      <c r="F28" s="13">
        <v>42901.26903935185</v>
      </c>
      <c r="G28" s="7">
        <v>1</v>
      </c>
      <c r="H28" s="21" t="s">
        <v>496</v>
      </c>
      <c r="I28" s="13">
        <v>42901.298576388886</v>
      </c>
      <c r="J28" s="7">
        <v>0</v>
      </c>
      <c r="K28" s="89" t="str">
        <f t="shared" si="0"/>
        <v>4045/4046</v>
      </c>
      <c r="L28" s="21" t="str">
        <f>VLOOKUP(A28,'Trips&amp;Operators'!$C$1:$G$99999,5,FALSE)</f>
        <v>WILLIAMS DONTE</v>
      </c>
      <c r="M28" s="6">
        <f t="shared" si="1"/>
        <v>2.9537037036789116E-2</v>
      </c>
      <c r="N28" s="7">
        <f t="shared" si="2"/>
        <v>42.533333332976326</v>
      </c>
      <c r="O28" s="7"/>
      <c r="P28" s="7"/>
      <c r="Q28" s="22"/>
      <c r="R28" s="170"/>
      <c r="S28" s="213">
        <f t="shared" si="3"/>
        <v>1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-15T05:13:12-0600',mode:absolute,to:'2017-06-15T08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97" t="str">
        <f>IF(AA28&lt;VLOOKUP(AG28,Variables!$AC$3:$AD$8,2,FALSE),"Y","N")</f>
        <v>N</v>
      </c>
      <c r="X28" s="197">
        <f t="shared" si="6"/>
        <v>1</v>
      </c>
      <c r="Y28" s="197">
        <f t="shared" si="7"/>
        <v>23.299600000000002</v>
      </c>
      <c r="Z28" s="197">
        <f t="shared" si="8"/>
        <v>1.6E-2</v>
      </c>
      <c r="AA28" s="197">
        <f t="shared" si="9"/>
        <v>23.283600000000003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28" s="74" t="str">
        <f t="shared" si="12"/>
        <v>"C:\Program Files (x86)\AstroGrep\AstroGrep.exe" /e /r /s /spath="%USERPROFILE%\AppData\Local\Temp\OnboardLogs" /stypes="app*4045*20170615*" /stext=" 13:.+((SYSTEM_STATE.+slice.+state.+changed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116-15 --locoid 4045 --swversion DE.1.0.9.0 --startMP 204:232996 --initTime 2017-06-15T06:13:12 --startdatetime 2017-06-15T06:27:25 --delay 1 --endMP 204:160 --enddatetime 2017-06-15T07:09:57 --enforcementcount 0 &gt;&gt;C:\Users\stu\Documents\GitHub\eaglep3-reporting\EC\2017-06-15-refined-times.txt</v>
      </c>
      <c r="AI28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ID","value":"116-15"},{"id":16,"name":"Locomotive ID","value":"4045"},{"id":130,"name":"Impact","value":""},{"id":150,"name":"Time of Event (Mountain Time)","value":"07:09:57"},{"id":151,"name":"Denver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4045 --day 2017-06-15</v>
      </c>
      <c r="AN28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619</v>
      </c>
      <c r="B29" s="7">
        <v>4042</v>
      </c>
      <c r="C29" s="21" t="s">
        <v>202</v>
      </c>
      <c r="D29" s="21" t="s">
        <v>576</v>
      </c>
      <c r="E29" s="13">
        <v>42901.239305555559</v>
      </c>
      <c r="F29" s="13">
        <v>42901.240486111114</v>
      </c>
      <c r="G29" s="7">
        <v>1</v>
      </c>
      <c r="H29" s="21" t="s">
        <v>845</v>
      </c>
      <c r="I29" s="13">
        <v>42901.265405092592</v>
      </c>
      <c r="J29" s="7">
        <v>0</v>
      </c>
      <c r="K29" s="89" t="str">
        <f t="shared" si="0"/>
        <v>4041/4042</v>
      </c>
      <c r="L29" s="21" t="str">
        <f>VLOOKUP(A29,'Trips&amp;Operators'!$C$1:$G$99999,5,FALSE)</f>
        <v>HELVIE ADAM</v>
      </c>
      <c r="M29" s="6">
        <f t="shared" si="1"/>
        <v>2.491898147854954E-2</v>
      </c>
      <c r="N29" s="7">
        <f t="shared" si="2"/>
        <v>35.883333329111338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-15T04:44:36-0600',mode:absolute,to:'2017-06-15T07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4.5499999999999999E-2</v>
      </c>
      <c r="Z29" s="197">
        <f t="shared" si="8"/>
        <v>23.327000000000002</v>
      </c>
      <c r="AA29" s="197">
        <f t="shared" si="9"/>
        <v>23.281500000000001</v>
      </c>
      <c r="AB29" s="54" t="str">
        <f>VLOOKUP(A29,Enforcements!$C$7:$K$13,8,0)</f>
        <v>Bulletin (2)</v>
      </c>
      <c r="AC29" s="51" t="str">
        <f>VLOOKUP(A29,Enforcements!$C$7:$E$13,3,0)</f>
        <v>GRADE CROSSING</v>
      </c>
      <c r="AD29" s="206">
        <f t="shared" si="10"/>
        <v>117</v>
      </c>
      <c r="AE29" s="77" t="str">
        <f t="shared" si="11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29" s="74" t="str">
        <f t="shared" si="12"/>
        <v>"C:\Program Files (x86)\AstroGrep\AstroGrep.exe" /e /r /s /spath="%USERPROFILE%\AppData\Local\Temp\OnboardLogs" /stypes="app*4042*20170615*"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117-15 --locoid 4042 --swversion DE.1.0.9.0 --startMP 204:455 --initTime 2017-06-15T05:44:36 --startdatetime 2017-06-15T05:46:18 --delay 1 --endMP 204:233270 --enddatetime 2017-06-15T06:22:11 --enforcementcount 0 &gt;&gt;C:\Users\stu\Documents\GitHub\eaglep3-reporting\EC\2017-06-15-refined-times.txt</v>
      </c>
      <c r="AI29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{"issue":{"subject":"","project_id":79,"tracker_id":40,"status_id":1,"priority_id":2,"assigned_to_id":23,"start_date":"2017-06-15","description":"","custom_fields":[{"id":1,"name":"Subdivision","value":"EC"},{"id":4,"name":"Milepost","value":"23.327"},{"id":17,"name":"Train ID","value":"117-15"},{"id":16,"name":"Locomotive ID","value":"4042"},{"id":130,"name":"Impact","value":""},{"id":150,"name":"Time of Event (Mountain Time)","value":"06:22:11"},{"id":151,"name":"Denver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4042 --day 2017-06-15</v>
      </c>
      <c r="AN29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626</v>
      </c>
      <c r="B30" s="7">
        <v>4041</v>
      </c>
      <c r="C30" s="21" t="s">
        <v>202</v>
      </c>
      <c r="D30" s="21" t="s">
        <v>498</v>
      </c>
      <c r="E30" s="13">
        <v>42901.275983796295</v>
      </c>
      <c r="F30" s="13">
        <v>42901.279386574075</v>
      </c>
      <c r="G30" s="7">
        <v>2</v>
      </c>
      <c r="H30" s="21" t="s">
        <v>495</v>
      </c>
      <c r="I30" s="13">
        <v>42901.305277777778</v>
      </c>
      <c r="J30" s="7">
        <v>0</v>
      </c>
      <c r="K30" s="89" t="str">
        <f t="shared" si="0"/>
        <v>4041/4042</v>
      </c>
      <c r="L30" s="21" t="str">
        <f>VLOOKUP(A30,'Trips&amp;Operators'!$C$1:$G$99999,5,FALSE)</f>
        <v>HELVIE ADAM</v>
      </c>
      <c r="M30" s="6">
        <f t="shared" si="1"/>
        <v>2.5891203702485655E-2</v>
      </c>
      <c r="N30" s="7">
        <f t="shared" si="2"/>
        <v>37.283333331579342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-15T05:37:25-0600',mode:absolute,to:'2017-06-15T08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23.296500000000002</v>
      </c>
      <c r="Z30" s="197">
        <f t="shared" si="8"/>
        <v>1.38E-2</v>
      </c>
      <c r="AA30" s="197">
        <f t="shared" si="9"/>
        <v>23.282700000000002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30" s="74" t="str">
        <f t="shared" si="12"/>
        <v>"C:\Program Files (x86)\AstroGrep\AstroGrep.exe" /e /r /s /spath="%USERPROFILE%\AppData\Local\Temp\OnboardLogs" /stypes="app*4041*20170615*"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118-15 --locoid 4041 --swversion DE.1.0.9.0 --startMP 204:232965 --initTime 2017-06-15T06:37:25 --startdatetime 2017-06-15T06:42:19 --delay 2 --endMP 204:138 --enddatetime 2017-06-15T07:19:36 --enforcementcount 0 &gt;&gt;C:\Users\stu\Documents\GitHub\eaglep3-reporting\EC\2017-06-15-refined-times.txt</v>
      </c>
      <c r="AI30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{"issue":{"subject":"","project_id":79,"tracker_id":40,"status_id":1,"priority_id":2,"assigned_to_id":23,"start_date":"2017-06-15","description":"","custom_fields":[{"id":1,"name":"Subdivision","value":"EC"},{"id":4,"name":"Milepost","value":"0.0138"},{"id":17,"name":"Train ID","value":"118-15"},{"id":16,"name":"Locomotive ID","value":"4041"},{"id":130,"name":"Impact","value":""},{"id":150,"name":"Time of Event (Mountain Time)","value":"07:19:36"},{"id":151,"name":"Denver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4041 --day 2017-06-15</v>
      </c>
      <c r="AN30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681</v>
      </c>
      <c r="B31" s="7">
        <v>4040</v>
      </c>
      <c r="C31" s="21" t="s">
        <v>202</v>
      </c>
      <c r="D31" s="21" t="s">
        <v>355</v>
      </c>
      <c r="E31" s="13">
        <v>42901.24560185185</v>
      </c>
      <c r="F31" s="13">
        <v>42901.250162037039</v>
      </c>
      <c r="G31" s="7">
        <v>2</v>
      </c>
      <c r="H31" s="21" t="s">
        <v>524</v>
      </c>
      <c r="I31" s="13">
        <v>42901.276134259257</v>
      </c>
      <c r="J31" s="7">
        <v>0</v>
      </c>
      <c r="K31" s="89" t="str">
        <f t="shared" si="0"/>
        <v>4039/4040</v>
      </c>
      <c r="L31" s="21" t="str">
        <f>VLOOKUP(A31,'Trips&amp;Operators'!$C$1:$G$99999,5,FALSE)</f>
        <v>BONDS REYNALDO</v>
      </c>
      <c r="M31" s="6">
        <f t="shared" si="1"/>
        <v>2.5972222218115348E-2</v>
      </c>
      <c r="N31" s="7">
        <f t="shared" si="2"/>
        <v>37.399999994086102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-15T04:53:40-0600',mode:absolute,to:'2017-06-15T07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4.53E-2</v>
      </c>
      <c r="Z31" s="197">
        <f t="shared" si="8"/>
        <v>23.327400000000001</v>
      </c>
      <c r="AA31" s="197">
        <f t="shared" si="9"/>
        <v>23.2821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31" s="74" t="str">
        <f t="shared" si="12"/>
        <v>"C:\Program Files (x86)\AstroGrep\AstroGrep.exe" /e /r /s /spath="%USERPROFILE%\AppData\Local\Temp\OnboardLogs" /stypes="app*4040*20170615*"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119-15 --locoid 4040 --swversion DE.1.0.9.0 --startMP 204:453 --initTime 2017-06-15T05:53:40 --startdatetime 2017-06-15T06:00:14 --delay 2 --endMP 204:233274 --enddatetime 2017-06-15T06:37:38 --enforcementcount 0 &gt;&gt;C:\Users\stu\Documents\GitHub\eaglep3-reporting\EC\2017-06-15-refined-times.txt</v>
      </c>
      <c r="AI31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{"issue":{"subject":"","project_id":79,"tracker_id":40,"status_id":1,"priority_id":2,"assigned_to_id":23,"start_date":"2017-06-15","description":"","custom_fields":[{"id":1,"name":"Subdivision","value":"EC"},{"id":4,"name":"Milepost","value":"23.3274"},{"id":17,"name":"Train ID","value":"119-15"},{"id":16,"name":"Locomotive ID","value":"4040"},{"id":130,"name":"Impact","value":""},{"id":150,"name":"Time of Event (Mountain Time)","value":"06:37:38"},{"id":151,"name":"Denver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2017-06-15</v>
      </c>
      <c r="AN31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692</v>
      </c>
      <c r="B32" s="7">
        <v>4039</v>
      </c>
      <c r="C32" s="21" t="s">
        <v>202</v>
      </c>
      <c r="D32" s="21" t="s">
        <v>534</v>
      </c>
      <c r="E32" s="13">
        <v>42901.287175925929</v>
      </c>
      <c r="F32" s="13">
        <v>42901.289988425924</v>
      </c>
      <c r="G32" s="7">
        <v>1</v>
      </c>
      <c r="H32" s="21" t="s">
        <v>396</v>
      </c>
      <c r="I32" s="13">
        <v>42901.317789351851</v>
      </c>
      <c r="J32" s="7">
        <v>0</v>
      </c>
      <c r="K32" s="89" t="str">
        <f t="shared" si="0"/>
        <v>4039/4040</v>
      </c>
      <c r="L32" s="21" t="str">
        <f>VLOOKUP(A32,'Trips&amp;Operators'!$C$1:$G$99999,5,FALSE)</f>
        <v>BONDS REYNALDO</v>
      </c>
      <c r="M32" s="6">
        <f t="shared" si="1"/>
        <v>2.7800925927294884E-2</v>
      </c>
      <c r="N32" s="7">
        <f t="shared" si="2"/>
        <v>40.033333335304633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-15T05:53:32-0600',mode:absolute,to:'2017-06-15T08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23.296399999999998</v>
      </c>
      <c r="Z32" s="197">
        <f t="shared" si="8"/>
        <v>1.54E-2</v>
      </c>
      <c r="AA32" s="197">
        <f t="shared" si="9"/>
        <v>23.280999999999999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32" s="74" t="str">
        <f t="shared" si="12"/>
        <v>"C:\Program Files (x86)\AstroGrep\AstroGrep.exe" /e /r /s /spath="%USERPROFILE%\AppData\Local\Temp\OnboardLogs" /stypes="app*4039*20170615*"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120-15 --locoid 4039 --swversion DE.1.0.9.0 --startMP 204:232964 --initTime 2017-06-15T06:53:32 --startdatetime 2017-06-15T06:57:35 --delay 1 --endMP 204:154 --enddatetime 2017-06-15T07:37:37 --enforcementcount 0 &gt;&gt;C:\Users\stu\Documents\GitHub\eaglep3-reporting\EC\2017-06-15-refined-times.txt</v>
      </c>
      <c r="AI32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ID","value":"120-15"},{"id":16,"name":"Locomotive ID","value":"4039"},{"id":130,"name":"Impact","value":""},{"id":150,"name":"Time of Event (Mountain Time)","value":"07:37:37"},{"id":151,"name":"Denver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2017-06-15</v>
      </c>
      <c r="AN32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687</v>
      </c>
      <c r="B33" s="7">
        <v>4022</v>
      </c>
      <c r="C33" s="21" t="s">
        <v>202</v>
      </c>
      <c r="D33" s="21" t="s">
        <v>595</v>
      </c>
      <c r="E33" s="13">
        <v>42901.256516203706</v>
      </c>
      <c r="F33" s="13">
        <v>42901.260625000003</v>
      </c>
      <c r="G33" s="7">
        <v>1</v>
      </c>
      <c r="H33" s="21" t="s">
        <v>524</v>
      </c>
      <c r="I33" s="13">
        <v>42901.285555555558</v>
      </c>
      <c r="J33" s="7">
        <v>0</v>
      </c>
      <c r="K33" s="89" t="str">
        <f t="shared" si="0"/>
        <v>4021/4022</v>
      </c>
      <c r="L33" s="21" t="str">
        <f>VLOOKUP(A33,'Trips&amp;Operators'!$C$1:$G$99999,5,FALSE)</f>
        <v>GEBRETEKLE DAGNEW</v>
      </c>
      <c r="M33" s="6">
        <f t="shared" si="1"/>
        <v>2.4930555555329192E-2</v>
      </c>
      <c r="N33" s="7">
        <f t="shared" si="2"/>
        <v>35.899999999674037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-15T05:09:23-0600',mode:absolute,to:'2017-06-15T07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4.7100000000000003E-2</v>
      </c>
      <c r="Z33" s="197">
        <f t="shared" si="8"/>
        <v>23.327400000000001</v>
      </c>
      <c r="AA33" s="197">
        <f t="shared" si="9"/>
        <v>23.2803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33" s="74" t="str">
        <f t="shared" si="12"/>
        <v>"C:\Program Files (x86)\AstroGrep\AstroGrep.exe" /e /r /s /spath="%USERPROFILE%\AppData\Local\Temp\OnboardLogs" /stypes="app*4022*20170615*"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121-15 --locoid 4022 --swversion DE.1.0.9.0 --startMP 204:471 --initTime 2017-06-15T06:09:23 --startdatetime 2017-06-15T06:15:18 --delay 1 --endMP 204:233274 --enddatetime 2017-06-15T06:51:12 --enforcementcount 0 &gt;&gt;C:\Users\stu\Documents\GitHub\eaglep3-reporting\EC\2017-06-15-refined-times.txt</v>
      </c>
      <c r="AI33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{"issue":{"subject":"","project_id":79,"tracker_id":40,"status_id":1,"priority_id":2,"assigned_to_id":23,"start_date":"2017-06-15","description":"","custom_fields":[{"id":1,"name":"Subdivision","value":"EC"},{"id":4,"name":"Milepost","value":"23.3274"},{"id":17,"name":"Train ID","value":"121-15"},{"id":16,"name":"Locomotive ID","value":"4022"},{"id":130,"name":"Impact","value":""},{"id":150,"name":"Time of Event (Mountain Time)","value":"06:51:12"},{"id":151,"name":"Denver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4022 --day 2017-06-15</v>
      </c>
      <c r="AN33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691</v>
      </c>
      <c r="B34" s="7">
        <v>4021</v>
      </c>
      <c r="C34" s="21" t="s">
        <v>202</v>
      </c>
      <c r="D34" s="21" t="s">
        <v>846</v>
      </c>
      <c r="E34" s="13">
        <v>42901.286863425928</v>
      </c>
      <c r="F34" s="13">
        <v>42901.300185185188</v>
      </c>
      <c r="G34" s="7">
        <v>1</v>
      </c>
      <c r="H34" s="21" t="s">
        <v>360</v>
      </c>
      <c r="I34" s="13">
        <v>42901.3278125</v>
      </c>
      <c r="J34" s="7">
        <v>0</v>
      </c>
      <c r="K34" s="89" t="str">
        <f t="shared" si="0"/>
        <v>4021/4022</v>
      </c>
      <c r="L34" s="21" t="str">
        <f>VLOOKUP(A34,'Trips&amp;Operators'!$C$1:$G$99999,5,FALSE)</f>
        <v>GEBRETEKLE DAGNEW</v>
      </c>
      <c r="M34" s="6">
        <f t="shared" si="1"/>
        <v>2.7627314811979886E-2</v>
      </c>
      <c r="N34" s="7">
        <f t="shared" si="2"/>
        <v>39.783333329251036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-15T05:53:05-0600',mode:absolute,to:'2017-06-15T08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23.296299999999999</v>
      </c>
      <c r="Z34" s="197">
        <f t="shared" si="8"/>
        <v>1.47E-2</v>
      </c>
      <c r="AA34" s="197">
        <f t="shared" si="9"/>
        <v>23.281599999999997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34" s="74" t="str">
        <f t="shared" si="12"/>
        <v>"C:\Program Files (x86)\AstroGrep\AstroGrep.exe" /e /r /s /spath="%USERPROFILE%\AppData\Local\Temp\OnboardLogs" /stypes="app*4021*20170615*"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122-15 --locoid 4021 --swversion DE.1.0.9.0 --startMP 204:232963 --initTime 2017-06-15T06:53:05 --startdatetime 2017-06-15T07:12:16 --delay 1 --endMP 204:147 --enddatetime 2017-06-15T07:52:03 --enforcementcount 0 &gt;&gt;C:\Users\stu\Documents\GitHub\eaglep3-reporting\EC\2017-06-15-refined-times.txt</v>
      </c>
      <c r="AI34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{"issue":{"subject":"","project_id":79,"tracker_id":40,"status_id":1,"priority_id":2,"assigned_to_id":23,"start_date":"2017-06-15","description":"","custom_fields":[{"id":1,"name":"Subdivision","value":"EC"},{"id":4,"name":"Milepost","value":"0.0147"},{"id":17,"name":"Train ID","value":"122-15"},{"id":16,"name":"Locomotive ID","value":"4021"},{"id":130,"name":"Impact","value":""},{"id":150,"name":"Time of Event (Mountain Time)","value":"07:52:03"},{"id":151,"name":"Denver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4021 --day 2017-06-15</v>
      </c>
      <c r="AN34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688</v>
      </c>
      <c r="B35" s="7">
        <v>4002</v>
      </c>
      <c r="C35" s="21" t="s">
        <v>202</v>
      </c>
      <c r="D35" s="21" t="s">
        <v>466</v>
      </c>
      <c r="E35" s="13">
        <v>42901.266504629632</v>
      </c>
      <c r="F35" s="13">
        <v>42901.270995370367</v>
      </c>
      <c r="G35" s="7">
        <v>1</v>
      </c>
      <c r="H35" s="21" t="s">
        <v>847</v>
      </c>
      <c r="I35" s="13">
        <v>42901.296481481484</v>
      </c>
      <c r="J35" s="7">
        <v>0</v>
      </c>
      <c r="K35" s="89" t="str">
        <f t="shared" si="0"/>
        <v>4001/4002</v>
      </c>
      <c r="L35" s="21" t="str">
        <f>VLOOKUP(A35,'Trips&amp;Operators'!$C$1:$G$99999,5,FALSE)</f>
        <v>GUZMAN DANNY</v>
      </c>
      <c r="M35" s="6">
        <f t="shared" si="1"/>
        <v>2.5486111117061228E-2</v>
      </c>
      <c r="N35" s="7">
        <f t="shared" si="2"/>
        <v>36.700000008568168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-15T05:23:46-0600',mode:absolute,to:'2017-06-15T08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4.3999999999999997E-2</v>
      </c>
      <c r="Z35" s="197">
        <f t="shared" si="8"/>
        <v>23.331499999999998</v>
      </c>
      <c r="AA35" s="197">
        <f t="shared" si="9"/>
        <v>23.287499999999998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35" s="74" t="str">
        <f t="shared" si="12"/>
        <v>"C:\Program Files (x86)\AstroGrep\AstroGrep.exe" /e /r /s /spath="%USERPROFILE%\AppData\Local\Temp\OnboardLogs" /stypes="app*4002*20170615*"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123-15 --locoid 4002 --swversion DE.1.0.9.0 --startMP 204:440 --initTime 2017-06-15T06:23:46 --startdatetime 2017-06-15T06:30:14 --delay 1 --endMP 204:233315 --enddatetime 2017-06-15T07:06:56 --enforcementcount 0 &gt;&gt;C:\Users\stu\Documents\GitHub\eaglep3-reporting\EC\2017-06-15-refined-times.txt</v>
      </c>
      <c r="AI3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{"issue":{"subject":"","project_id":79,"tracker_id":40,"status_id":1,"priority_id":2,"assigned_to_id":23,"start_date":"2017-06-15","description":"","custom_fields":[{"id":1,"name":"Subdivision","value":"EC"},{"id":4,"name":"Milepost","value":"23.3315"},{"id":17,"name":"Train ID","value":"123-15"},{"id":16,"name":"Locomotive ID","value":"4002"},{"id":130,"name":"Impact","value":""},{"id":150,"name":"Time of Event (Mountain Time)","value":"07:06:56"},{"id":151,"name":"Denver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4002 --day 2017-06-15</v>
      </c>
      <c r="AN3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696</v>
      </c>
      <c r="B36" s="7">
        <v>4001</v>
      </c>
      <c r="C36" s="21" t="s">
        <v>202</v>
      </c>
      <c r="D36" s="21" t="s">
        <v>575</v>
      </c>
      <c r="E36" s="13">
        <v>42901.298460648148</v>
      </c>
      <c r="F36" s="13">
        <v>42901.310601851852</v>
      </c>
      <c r="G36" s="7">
        <v>1</v>
      </c>
      <c r="H36" s="21" t="s">
        <v>349</v>
      </c>
      <c r="I36" s="13">
        <v>42901.337743055556</v>
      </c>
      <c r="J36" s="7">
        <v>0</v>
      </c>
      <c r="K36" s="89" t="str">
        <f t="shared" si="0"/>
        <v>4001/4002</v>
      </c>
      <c r="L36" s="21" t="str">
        <f>VLOOKUP(A36,'Trips&amp;Operators'!$C$1:$G$99999,5,FALSE)</f>
        <v>GUZMAN DANNY</v>
      </c>
      <c r="M36" s="6">
        <f t="shared" si="1"/>
        <v>2.7141203703649808E-2</v>
      </c>
      <c r="N36" s="7">
        <f t="shared" si="2"/>
        <v>39.083333333255723</v>
      </c>
      <c r="O36" s="7"/>
      <c r="P36" s="7"/>
      <c r="Q36" s="22"/>
      <c r="R36" s="170"/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-15T06:09:47-0600',mode:absolute,to:'2017-06-15T09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23.299800000000001</v>
      </c>
      <c r="Z36" s="197">
        <f t="shared" si="8"/>
        <v>1.4999999999999999E-2</v>
      </c>
      <c r="AA36" s="197">
        <f t="shared" si="9"/>
        <v>23.284800000000001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36" s="74" t="str">
        <f t="shared" si="12"/>
        <v>"C:\Program Files (x86)\AstroGrep\AstroGrep.exe" /e /r /s /spath="%USERPROFILE%\AppData\Local\Temp\OnboardLogs" /stypes="app*4001*20170615*"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124-15 --locoid 4001 --swversion DE.1.0.9.0 --startMP 204:232998 --initTime 2017-06-15T07:09:47 --startdatetime 2017-06-15T07:27:16 --delay 1 --endMP 204:150 --enddatetime 2017-06-15T08:06:21 --enforcementcount 0 &gt;&gt;C:\Users\stu\Documents\GitHub\eaglep3-reporting\EC\2017-06-15-refined-times.txt</v>
      </c>
      <c r="AI3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{"issue":{"subject":"","project_id":79,"tracker_id":40,"status_id":1,"priority_id":2,"assigned_to_id":23,"start_date":"2017-06-15","description":"","custom_fields":[{"id":1,"name":"Subdivision","value":"EC"},{"id":4,"name":"Milepost","value":"0.015"},{"id":17,"name":"Train ID","value":"124-15"},{"id":16,"name":"Locomotive ID","value":"4001"},{"id":130,"name":"Impact","value":""},{"id":150,"name":"Time of Event (Mountain Time)","value":"08:06:21"},{"id":151,"name":"Denver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4001 --day 2017-06-15</v>
      </c>
      <c r="AN3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690</v>
      </c>
      <c r="B37" s="7">
        <v>4024</v>
      </c>
      <c r="C37" s="21" t="s">
        <v>202</v>
      </c>
      <c r="D37" s="21" t="s">
        <v>356</v>
      </c>
      <c r="E37" s="13">
        <v>42901.278356481482</v>
      </c>
      <c r="F37" s="13">
        <v>42901.281481481485</v>
      </c>
      <c r="G37" s="7">
        <v>1</v>
      </c>
      <c r="H37" s="21" t="s">
        <v>524</v>
      </c>
      <c r="I37" s="13">
        <v>42901.306331018517</v>
      </c>
      <c r="J37" s="7">
        <v>0</v>
      </c>
      <c r="K37" s="89" t="str">
        <f t="shared" si="0"/>
        <v>4023/4024</v>
      </c>
      <c r="L37" s="21" t="str">
        <f>VLOOKUP(A37,'Trips&amp;Operators'!$C$1:$G$99999,5,FALSE)</f>
        <v>STARKS ANGELINA</v>
      </c>
      <c r="M37" s="6">
        <f t="shared" si="1"/>
        <v>2.4849537032423541E-2</v>
      </c>
      <c r="N37" s="7">
        <f t="shared" si="2"/>
        <v>35.783333326689899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-15T05:40:50-0600',mode:absolute,to:'2017-06-15T08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4.4699999999999997E-2</v>
      </c>
      <c r="Z37" s="197">
        <f t="shared" si="8"/>
        <v>23.327400000000001</v>
      </c>
      <c r="AA37" s="197">
        <f t="shared" si="9"/>
        <v>23.282700000000002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37" s="74" t="str">
        <f t="shared" si="12"/>
        <v>"C:\Program Files (x86)\AstroGrep\AstroGrep.exe" /e /r /s /spath="%USERPROFILE%\AppData\Local\Temp\OnboardLogs" /stypes="app*4024*20170615*"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125-15 --locoid 4024 --swversion DE.1.0.9.0 --startMP 204:447 --initTime 2017-06-15T06:40:50 --startdatetime 2017-06-15T06:45:20 --delay 1 --endMP 204:233274 --enddatetime 2017-06-15T07:21:07 --enforcementcount 0 &gt;&gt;C:\Users\stu\Documents\GitHub\eaglep3-reporting\EC\2017-06-15-refined-times.txt</v>
      </c>
      <c r="AI3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{"issue":{"subject":"","project_id":79,"tracker_id":40,"status_id":1,"priority_id":2,"assigned_to_id":23,"start_date":"2017-06-15","description":"","custom_fields":[{"id":1,"name":"Subdivision","value":"EC"},{"id":4,"name":"Milepost","value":"23.3274"},{"id":17,"name":"Train ID","value":"125-15"},{"id":16,"name":"Locomotive ID","value":"4024"},{"id":130,"name":"Impact","value":""},{"id":150,"name":"Time of Event (Mountain Time)","value":"07:21:07"},{"id":151,"name":"Denver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4024 --day 2017-06-15</v>
      </c>
      <c r="AN3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700</v>
      </c>
      <c r="B38" s="7">
        <v>4023</v>
      </c>
      <c r="C38" s="21" t="s">
        <v>202</v>
      </c>
      <c r="D38" s="21" t="s">
        <v>491</v>
      </c>
      <c r="E38" s="13">
        <v>42901.319189814814</v>
      </c>
      <c r="F38" s="13">
        <v>42901.321006944447</v>
      </c>
      <c r="G38" s="7">
        <v>1</v>
      </c>
      <c r="H38" s="21" t="s">
        <v>495</v>
      </c>
      <c r="I38" s="13">
        <v>42901.349120370367</v>
      </c>
      <c r="J38" s="7">
        <v>0</v>
      </c>
      <c r="K38" s="89" t="str">
        <f t="shared" si="0"/>
        <v>4023/4024</v>
      </c>
      <c r="L38" s="21" t="str">
        <f>VLOOKUP(A38,'Trips&amp;Operators'!$C$1:$G$99999,5,FALSE)</f>
        <v>STARKS ANGELINA</v>
      </c>
      <c r="M38" s="6">
        <f t="shared" si="1"/>
        <v>2.8113425920309965E-2</v>
      </c>
      <c r="N38" s="7">
        <f t="shared" si="2"/>
        <v>40.483333325246349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-15T06:39:38-0600',mode:absolute,to:'2017-06-15T09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23.2959</v>
      </c>
      <c r="Z38" s="197">
        <f t="shared" si="8"/>
        <v>1.38E-2</v>
      </c>
      <c r="AA38" s="197">
        <f t="shared" si="9"/>
        <v>23.2821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38" s="74" t="str">
        <f t="shared" si="12"/>
        <v>"C:\Program Files (x86)\AstroGrep\AstroGrep.exe" /e /r /s /spath="%USERPROFILE%\AppData\Local\Temp\OnboardLogs" /stypes="app*4023*20170615*"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126-15 --locoid 4023 --swversion DE.1.0.9.0 --startMP 204:232959 --initTime 2017-06-15T07:39:38 --startdatetime 2017-06-15T07:42:15 --delay 1 --endMP 204:138 --enddatetime 2017-06-15T08:22:44 --enforcementcount 0 &gt;&gt;C:\Users\stu\Documents\GitHub\eaglep3-reporting\EC\2017-06-15-refined-times.txt</v>
      </c>
      <c r="AI38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{"issue":{"subject":"","project_id":79,"tracker_id":40,"status_id":1,"priority_id":2,"assigned_to_id":23,"start_date":"2017-06-15","description":"","custom_fields":[{"id":1,"name":"Subdivision","value":"EC"},{"id":4,"name":"Milepost","value":"0.0138"},{"id":17,"name":"Train ID","value":"126-15"},{"id":16,"name":"Locomotive ID","value":"4023"},{"id":130,"name":"Impact","value":""},{"id":150,"name":"Time of Event (Mountain Time)","value":"08:22:44"},{"id":151,"name":"Denver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4023 --day 2017-06-15</v>
      </c>
      <c r="AN38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693</v>
      </c>
      <c r="B39" s="7">
        <v>4006</v>
      </c>
      <c r="C39" s="21" t="s">
        <v>202</v>
      </c>
      <c r="D39" s="21" t="s">
        <v>356</v>
      </c>
      <c r="E39" s="13">
        <v>42901.289143518516</v>
      </c>
      <c r="F39" s="13">
        <v>42901.291990740741</v>
      </c>
      <c r="G39" s="7">
        <v>1</v>
      </c>
      <c r="H39" s="21" t="s">
        <v>847</v>
      </c>
      <c r="I39" s="13">
        <v>42901.316736111112</v>
      </c>
      <c r="J39" s="7">
        <v>0</v>
      </c>
      <c r="K39" s="89" t="str">
        <f t="shared" si="0"/>
        <v>4005/4006</v>
      </c>
      <c r="L39" s="21" t="str">
        <f>VLOOKUP(A39,'Trips&amp;Operators'!$C$1:$G$99999,5,FALSE)</f>
        <v>LOZA FIDEL</v>
      </c>
      <c r="M39" s="6">
        <f t="shared" si="1"/>
        <v>2.47453703705105E-2</v>
      </c>
      <c r="N39" s="7">
        <f t="shared" si="2"/>
        <v>35.63333333353512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-15T05:56:22-0600',mode:absolute,to:'2017-06-15T08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4.4699999999999997E-2</v>
      </c>
      <c r="Z39" s="197">
        <f t="shared" si="8"/>
        <v>23.331499999999998</v>
      </c>
      <c r="AA39" s="197">
        <f t="shared" si="9"/>
        <v>23.286799999999999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39" s="74" t="str">
        <f t="shared" si="12"/>
        <v>"C:\Program Files (x86)\AstroGrep\AstroGrep.exe" /e /r /s /spath="%USERPROFILE%\AppData\Local\Temp\OnboardLogs" /stypes="app*4006*20170615*"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127-15 --locoid 4006 --swversion DE.1.0.9.0 --startMP 204:447 --initTime 2017-06-15T06:56:22 --startdatetime 2017-06-15T07:00:28 --delay 1 --endMP 204:233315 --enddatetime 2017-06-15T07:36:06 --enforcementcount 0 &gt;&gt;C:\Users\stu\Documents\GitHub\eaglep3-reporting\EC\2017-06-15-refined-times.txt</v>
      </c>
      <c r="AI39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{"issue":{"subject":"","project_id":79,"tracker_id":40,"status_id":1,"priority_id":2,"assigned_to_id":23,"start_date":"2017-06-15","description":"","custom_fields":[{"id":1,"name":"Subdivision","value":"EC"},{"id":4,"name":"Milepost","value":"23.3315"},{"id":17,"name":"Train ID","value":"127-15"},{"id":16,"name":"Locomotive ID","value":"4006"},{"id":130,"name":"Impact","value":""},{"id":150,"name":"Time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4006 --day 2017-06-15</v>
      </c>
      <c r="AN39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702</v>
      </c>
      <c r="B40" s="7">
        <v>4005</v>
      </c>
      <c r="C40" s="21" t="s">
        <v>202</v>
      </c>
      <c r="D40" s="21" t="s">
        <v>457</v>
      </c>
      <c r="E40" s="13">
        <v>42901.329224537039</v>
      </c>
      <c r="F40" s="13">
        <v>42901.33148148148</v>
      </c>
      <c r="G40" s="7">
        <v>1</v>
      </c>
      <c r="H40" s="21" t="s">
        <v>454</v>
      </c>
      <c r="I40" s="13">
        <v>42901.357256944444</v>
      </c>
      <c r="J40" s="7">
        <v>0</v>
      </c>
      <c r="K40" s="89" t="str">
        <f t="shared" si="0"/>
        <v>4005/4006</v>
      </c>
      <c r="L40" s="21" t="str">
        <f>VLOOKUP(A40,'Trips&amp;Operators'!$C$1:$G$99999,5,FALSE)</f>
        <v>LOZA FIDEL</v>
      </c>
      <c r="M40" s="6">
        <f t="shared" si="1"/>
        <v>2.5775462963792961E-2</v>
      </c>
      <c r="N40" s="7">
        <f t="shared" si="2"/>
        <v>37.116666667861864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-15T06:54:05-0600',mode:absolute,to:'2017-06-15T09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23.299399999999999</v>
      </c>
      <c r="Z40" s="197">
        <f t="shared" si="8"/>
        <v>1.3599999999999999E-2</v>
      </c>
      <c r="AA40" s="197">
        <f t="shared" si="9"/>
        <v>23.285799999999998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40" s="74" t="str">
        <f t="shared" si="12"/>
        <v>"C:\Program Files (x86)\AstroGrep\AstroGrep.exe" /e /r /s /spath="%USERPROFILE%\AppData\Local\Temp\OnboardLogs" /stypes="app*4005*20170615*"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128-15 --locoid 4005 --swversion DE.1.0.9.0 --startMP 204:232994 --initTime 2017-06-15T07:54:05 --startdatetime 2017-06-15T07:57:20 --delay 1 --endMP 204:136 --enddatetime 2017-06-15T08:34:27 --enforcementcount 0 &gt;&gt;C:\Users\stu\Documents\GitHub\eaglep3-reporting\EC\2017-06-15-refined-times.txt</v>
      </c>
      <c r="AI40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{"issue":{"subject":"","project_id":79,"tracker_id":40,"status_id":1,"priority_id":2,"assigned_to_id":23,"start_date":"2017-06-15","description":"","custom_fields":[{"id":1,"name":"Subdivision","value":"EC"},{"id":4,"name":"Milepost","value":"0.0136"},{"id":17,"name":"Train ID","value":"128-15"},{"id":16,"name":"Locomotive ID","value":"4005"},{"id":130,"name":"Impact","value":""},{"id":150,"name":"Time of Event (Mountain Time)","value":"08:34:27"},{"id":151,"name":"Denver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4005 --day 2017-06-15</v>
      </c>
      <c r="AN40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697</v>
      </c>
      <c r="B41" s="7">
        <v>4046</v>
      </c>
      <c r="C41" s="21" t="s">
        <v>202</v>
      </c>
      <c r="D41" s="21" t="s">
        <v>571</v>
      </c>
      <c r="E41" s="13">
        <v>42901.300740740742</v>
      </c>
      <c r="F41" s="13">
        <v>42901.302731481483</v>
      </c>
      <c r="G41" s="7">
        <v>1</v>
      </c>
      <c r="H41" s="21" t="s">
        <v>393</v>
      </c>
      <c r="I41" s="13">
        <v>42901.328252314815</v>
      </c>
      <c r="J41" s="7">
        <v>0</v>
      </c>
      <c r="K41" s="89" t="str">
        <f t="shared" si="0"/>
        <v>4045/4046</v>
      </c>
      <c r="L41" s="21" t="str">
        <f>VLOOKUP(A41,'Trips&amp;Operators'!$C$1:$G$99999,5,FALSE)</f>
        <v>WILLIAMS DONTE</v>
      </c>
      <c r="M41" s="6">
        <f t="shared" si="1"/>
        <v>2.5520833332848269E-2</v>
      </c>
      <c r="N41" s="7">
        <f t="shared" si="2"/>
        <v>36.749999999301508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-15T06:13:04-0600',mode:absolute,to:'2017-06-15T08:52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4.7500000000000001E-2</v>
      </c>
      <c r="Z41" s="197">
        <f t="shared" si="8"/>
        <v>23.3293</v>
      </c>
      <c r="AA41" s="197">
        <f t="shared" si="9"/>
        <v>23.2818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41" s="74" t="str">
        <f t="shared" si="12"/>
        <v>"C:\Program Files (x86)\AstroGrep\AstroGrep.exe" /e /r /s /spath="%USERPROFILE%\AppData\Local\Temp\OnboardLogs" /stypes="app*4046*20170615*"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129-15 --locoid 4046 --swversion DE.1.0.9.0 --startMP 204:475 --initTime 2017-06-15T07:13:04 --startdatetime 2017-06-15T07:15:56 --delay 1 --endMP 204:233293 --enddatetime 2017-06-15T07:52:41 --enforcementcount 0 &gt;&gt;C:\Users\stu\Documents\GitHub\eaglep3-reporting\EC\2017-06-15-refined-times.txt</v>
      </c>
      <c r="AI41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{"issue":{"subject":"","project_id":79,"tracker_id":40,"status_id":1,"priority_id":2,"assigned_to_id":23,"start_date":"2017-06-15","description":"","custom_fields":[{"id":1,"name":"Subdivision","value":"EC"},{"id":4,"name":"Milepost","value":"23.3293"},{"id":17,"name":"Train ID","value":"129-15"},{"id":16,"name":"Locomotive ID","value":"4046"},{"id":130,"name":"Impact","value":""},{"id":150,"name":"Time of Event (Mountain Time)","value":"07:52:41"},{"id":151,"name":"Denver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4046 --day 2017-06-15</v>
      </c>
      <c r="AN41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13:52:41"},{"id":29,"name":"Sharepoint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704</v>
      </c>
      <c r="B42" s="7">
        <v>4045</v>
      </c>
      <c r="C42" s="21" t="s">
        <v>202</v>
      </c>
      <c r="D42" s="21" t="s">
        <v>848</v>
      </c>
      <c r="E42" s="13">
        <v>42901.330659722225</v>
      </c>
      <c r="F42" s="13">
        <v>42901.342037037037</v>
      </c>
      <c r="G42" s="7">
        <v>1</v>
      </c>
      <c r="H42" s="21" t="s">
        <v>349</v>
      </c>
      <c r="I42" s="13">
        <v>42901.370173611111</v>
      </c>
      <c r="J42" s="7">
        <v>0</v>
      </c>
      <c r="K42" s="89" t="str">
        <f t="shared" si="0"/>
        <v>4045/4046</v>
      </c>
      <c r="L42" s="21" t="str">
        <f>VLOOKUP(A42,'Trips&amp;Operators'!$C$1:$G$99999,5,FALSE)</f>
        <v>WILLIAMS DONTE</v>
      </c>
      <c r="M42" s="6">
        <f t="shared" si="1"/>
        <v>2.8136574073869269E-2</v>
      </c>
      <c r="N42" s="7">
        <f t="shared" si="2"/>
        <v>40.516666666371748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-15T06:56:09-0600',mode:absolute,to:'2017-06-15T09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23.296700000000001</v>
      </c>
      <c r="Z42" s="197">
        <f t="shared" si="8"/>
        <v>1.4999999999999999E-2</v>
      </c>
      <c r="AA42" s="197">
        <f t="shared" si="9"/>
        <v>23.281700000000001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42" s="74" t="str">
        <f t="shared" si="12"/>
        <v>"C:\Program Files (x86)\AstroGrep\AstroGrep.exe" /e /r /s /spath="%USERPROFILE%\AppData\Local\Temp\OnboardLogs" /stypes="app*4045*20170615*"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130-15 --locoid 4045 --swversion DE.1.0.9.0 --startMP 204:232967 --initTime 2017-06-15T07:56:09 --startdatetime 2017-06-15T08:12:32 --delay 1 --endMP 204:150 --enddatetime 2017-06-15T08:53:03 --enforcementcount 0 &gt;&gt;C:\Users\stu\Documents\GitHub\eaglep3-reporting\EC\2017-06-15-refined-times.txt</v>
      </c>
      <c r="AI42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{"issue":{"subject":"","project_id":79,"tracker_id":40,"status_id":1,"priority_id":2,"assigned_to_id":23,"start_date":"2017-06-15","description":"","custom_fields":[{"id":1,"name":"Subdivision","value":"EC"},{"id":4,"name":"Milepost","value":"0.015"},{"id":17,"name":"Train ID","value":"130-15"},{"id":16,"name":"Locomotive ID","value":"4045"},{"id":130,"name":"Impact","value":""},{"id":150,"name":"Time of Event (Mountain Time)","value":"08:53:03"},{"id":151,"name":"Denver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4045 --day 2017-06-15</v>
      </c>
      <c r="AN42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698</v>
      </c>
      <c r="B43" s="7">
        <v>4042</v>
      </c>
      <c r="C43" s="21" t="s">
        <v>202</v>
      </c>
      <c r="D43" s="21" t="s">
        <v>198</v>
      </c>
      <c r="E43" s="13">
        <v>42901.310347222221</v>
      </c>
      <c r="F43" s="13">
        <v>42901.312743055554</v>
      </c>
      <c r="G43" s="7">
        <v>1</v>
      </c>
      <c r="H43" s="21" t="s">
        <v>849</v>
      </c>
      <c r="I43" s="13">
        <v>42901.337523148148</v>
      </c>
      <c r="J43" s="7">
        <v>0</v>
      </c>
      <c r="K43" s="89" t="str">
        <f t="shared" si="0"/>
        <v>4041/4042</v>
      </c>
      <c r="L43" s="21" t="str">
        <f>VLOOKUP(A43,'Trips&amp;Operators'!$C$1:$G$99999,5,FALSE)</f>
        <v>HELVIE ADAM</v>
      </c>
      <c r="M43" s="6">
        <f t="shared" si="1"/>
        <v>2.4780092593573499E-2</v>
      </c>
      <c r="N43" s="7">
        <f t="shared" si="2"/>
        <v>35.683333334745839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-15T06:26:54-0600',mode:absolute,to:'2017-06-15T09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4.5699999999999998E-2</v>
      </c>
      <c r="Z43" s="197">
        <f t="shared" si="8"/>
        <v>23.326799999999999</v>
      </c>
      <c r="AA43" s="197">
        <f t="shared" si="9"/>
        <v>23.281099999999999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43" s="74" t="str">
        <f t="shared" si="12"/>
        <v>"C:\Program Files (x86)\AstroGrep\AstroGrep.exe" /e /r /s /spath="%USERPROFILE%\AppData\Local\Temp\OnboardLogs" /stypes="app*4042*20170615*"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131-15 --locoid 4042 --swversion DE.1.0.9.0 --startMP 204:457 --initTime 2017-06-15T07:26:54 --startdatetime 2017-06-15T07:30:21 --delay 1 --endMP 204:233268 --enddatetime 2017-06-15T08:06:02 --enforcementcount 0 &gt;&gt;C:\Users\stu\Documents\GitHub\eaglep3-reporting\EC\2017-06-15-refined-times.txt</v>
      </c>
      <c r="AI43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{"issue":{"subject":"","project_id":79,"tracker_id":40,"status_id":1,"priority_id":2,"assigned_to_id":23,"start_date":"2017-06-15","description":"","custom_fields":[{"id":1,"name":"Subdivision","value":"EC"},{"id":4,"name":"Milepost","value":"23.3268"},{"id":17,"name":"Train ID","value":"131-15"},{"id":16,"name":"Locomotive ID","value":"4042"},{"id":130,"name":"Impact","value":""},{"id":150,"name":"Time of Event (Mountain Time)","value":"08:06:02"},{"id":151,"name":"Denver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4042 --day 2017-06-15</v>
      </c>
      <c r="AN43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708</v>
      </c>
      <c r="B44" s="7">
        <v>4041</v>
      </c>
      <c r="C44" s="21" t="s">
        <v>202</v>
      </c>
      <c r="D44" s="21" t="s">
        <v>526</v>
      </c>
      <c r="E44" s="13">
        <v>42901.349432870367</v>
      </c>
      <c r="F44" s="13">
        <v>42901.352465277778</v>
      </c>
      <c r="G44" s="7">
        <v>1</v>
      </c>
      <c r="H44" s="21" t="s">
        <v>350</v>
      </c>
      <c r="I44" s="13">
        <v>42901.378020833334</v>
      </c>
      <c r="J44" s="7">
        <v>0</v>
      </c>
      <c r="K44" s="89" t="str">
        <f t="shared" si="0"/>
        <v>4041/4042</v>
      </c>
      <c r="L44" s="21" t="str">
        <f>VLOOKUP(A44,'Trips&amp;Operators'!$C$1:$G$99999,5,FALSE)</f>
        <v>HELVIE ADAM</v>
      </c>
      <c r="M44" s="6">
        <f t="shared" si="1"/>
        <v>2.5555555555911269E-2</v>
      </c>
      <c r="N44" s="7">
        <f t="shared" si="2"/>
        <v>36.800000000512227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-15T07:23:11-0600',mode:absolute,to:'2017-06-15T10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23.2989</v>
      </c>
      <c r="Z44" s="197">
        <f t="shared" si="8"/>
        <v>1.49E-2</v>
      </c>
      <c r="AA44" s="197">
        <f t="shared" si="9"/>
        <v>23.283999999999999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44" s="74" t="str">
        <f t="shared" si="12"/>
        <v>"C:\Program Files (x86)\AstroGrep\AstroGrep.exe" /e /r /s /spath="%USERPROFILE%\AppData\Local\Temp\OnboardLogs" /stypes="app*4041*20170615*"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132-15 --locoid 4041 --swversion DE.1.0.9.0 --startMP 204:232989 --initTime 2017-06-15T08:23:11 --startdatetime 2017-06-15T08:27:33 --delay 1 --endMP 204:149 --enddatetime 2017-06-15T09:04:21 --enforcementcount 0 &gt;&gt;C:\Users\stu\Documents\GitHub\eaglep3-reporting\EC\2017-06-15-refined-times.txt</v>
      </c>
      <c r="AI44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{"issue":{"subject":"","project_id":79,"tracker_id":40,"status_id":1,"priority_id":2,"assigned_to_id":23,"start_date":"2017-06-15","description":"","custom_fields":[{"id":1,"name":"Subdivision","value":"EC"},{"id":4,"name":"Milepost","value":"0.0149"},{"id":17,"name":"Train ID","value":"132-15"},{"id":16,"name":"Locomotive ID","value":"4041"},{"id":130,"name":"Impact","value":""},{"id":150,"name":"Time of Event (Mountain Time)","value":"09:04:21"},{"id":151,"name":"Denver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4041 --day 2017-06-15</v>
      </c>
      <c r="AN44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701</v>
      </c>
      <c r="B45" s="7">
        <v>4040</v>
      </c>
      <c r="C45" s="21" t="s">
        <v>202</v>
      </c>
      <c r="D45" s="21" t="s">
        <v>352</v>
      </c>
      <c r="E45" s="13">
        <v>42901.319120370368</v>
      </c>
      <c r="F45" s="13">
        <v>42901.323182870372</v>
      </c>
      <c r="G45" s="7">
        <v>2</v>
      </c>
      <c r="H45" s="21" t="s">
        <v>850</v>
      </c>
      <c r="I45" s="13">
        <v>42901.349189814813</v>
      </c>
      <c r="J45" s="7">
        <v>0</v>
      </c>
      <c r="K45" s="89" t="str">
        <f t="shared" ref="K45:K76" si="22">IF(ISEVEN(B45),(B45-1)&amp;"/"&amp;B45,B45&amp;"/"&amp;(B45+1))</f>
        <v>4039/4040</v>
      </c>
      <c r="L45" s="21" t="str">
        <f>VLOOKUP(A45,'Trips&amp;Operators'!$C$1:$G$99999,5,FALSE)</f>
        <v>BONDS REYNALDO</v>
      </c>
      <c r="M45" s="6">
        <f t="shared" ref="M45:M76" si="23">I45-F45</f>
        <v>2.6006944441178348E-2</v>
      </c>
      <c r="N45" s="7">
        <f t="shared" ref="N45:N63" si="24">24*60*SUM($M45:$M45)</f>
        <v>37.449999995296821</v>
      </c>
      <c r="O45" s="7"/>
      <c r="P45" s="7"/>
      <c r="Q45" s="22"/>
      <c r="R45" s="170"/>
      <c r="S45" s="213">
        <f t="shared" ref="S45:S63" si="25">SUM(U45:U45)/IF(AG45="EC",12,1)</f>
        <v>1</v>
      </c>
      <c r="T45" s="195" t="str">
        <f t="shared" ref="T45:T76" si="26">IF(ISEVEN(LEFT(AD45,4)),"Southbound","NorthBound")</f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-15T06:39:32-0600',mode:absolute,to:'2017-06-15T09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7" t="str">
        <f>IF(AA45&lt;VLOOKUP(AG45,Variables!$AC$3:$AD$8,2,FALSE),"Y","N")</f>
        <v>N</v>
      </c>
      <c r="X45" s="197">
        <f t="shared" ref="X45:X76" si="27">VALUE(LEFT(AD45,4))-VALUE(LEFT(AD44,4))</f>
        <v>1</v>
      </c>
      <c r="Y45" s="197">
        <f t="shared" ref="Y45:Y76" si="28">RIGHT(D45,LEN(D45)-4)/10000</f>
        <v>4.6600000000000003E-2</v>
      </c>
      <c r="Z45" s="197">
        <f t="shared" ref="Z45:Z76" si="29">RIGHT(H45,LEN(H45)-4)/10000</f>
        <v>23.328600000000002</v>
      </c>
      <c r="AA45" s="197">
        <f t="shared" ref="AA45:AA76" si="30">ABS(Z45-Y45)</f>
        <v>23.282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ref="AD45:AD76" si="31">VALUE(LEFT(A45,LEN(A45)-3))</f>
        <v>133</v>
      </c>
      <c r="AE45" s="77" t="str">
        <f t="shared" si="11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45" s="74" t="str">
        <f t="shared" si="12"/>
        <v>"C:\Program Files (x86)\AstroGrep\AstroGrep.exe" /e /r /s /spath="%USERPROFILE%\AppData\Local\Temp\OnboardLogs" /stypes="app*4040*20170615*" /stext=" 14:.+((SYSTEM_STATE.+slice.+state.+changed )|(ment ac)|(multiple cpu faults)|(system.+state.+changed )|(\[timeout)|(PRM\|1\|D)|(kpr)|(kdp)|(train st.+moving)|(\|lc)|(penalty))"</v>
      </c>
      <c r="AG45" s="209" t="str">
        <f t="shared" ref="AG45:AG76" si="32">DetSubdiv(A45)</f>
        <v>EC</v>
      </c>
      <c r="AH45" s="78" t="str">
        <f t="shared" si="18"/>
        <v>"%USERPROFILE%\Documents\GitHub\eaglep3\Utilities\RefineRTDCRunTimes.py" --tripid 133-15 --locoid 4040 --swversion DE.1.0.9.0 --startMP 204:466 --initTime 2017-06-15T07:39:32 --startdatetime 2017-06-15T07:45:23 --delay 2 --endMP 204:233286 --enddatetime 2017-06-15T08:22:50 --enforcementcount 0 &gt;&gt;C:\Users\stu\Documents\GitHub\eaglep3-reporting\EC\2017-06-15-refined-times.txt</v>
      </c>
      <c r="AI4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{"issue":{"subject":"","project_id":79,"tracker_id":40,"status_id":1,"priority_id":2,"assigned_to_id":23,"start_date":"2017-06-15","description":"","custom_fields":[{"id":1,"name":"Subdivision","value":"EC"},{"id":4,"name":"Milepost","value":"23.3286"},{"id":17,"name":"Train ID","value":"133-15"},{"id":16,"name":"Locomotive ID","value":"4040"},{"id":130,"name":"Impact","value":""},{"id":150,"name":"Time of Event (Mountain Time)","value":"08:22:50"},{"id":151,"name":"Denver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4040 --day 2017-06-15</v>
      </c>
      <c r="AN4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712</v>
      </c>
      <c r="B46" s="7">
        <v>4039</v>
      </c>
      <c r="C46" s="21" t="s">
        <v>202</v>
      </c>
      <c r="D46" s="21" t="s">
        <v>459</v>
      </c>
      <c r="E46" s="13">
        <v>42901.360486111109</v>
      </c>
      <c r="F46" s="13">
        <v>42901.362835648149</v>
      </c>
      <c r="G46" s="7">
        <v>1</v>
      </c>
      <c r="H46" s="21" t="s">
        <v>527</v>
      </c>
      <c r="I46" s="13">
        <v>42901.390613425923</v>
      </c>
      <c r="J46" s="7">
        <v>0</v>
      </c>
      <c r="K46" s="89" t="str">
        <f t="shared" si="22"/>
        <v>4039/4040</v>
      </c>
      <c r="L46" s="21" t="str">
        <f>VLOOKUP(A46,'Trips&amp;Operators'!$C$1:$G$99999,5,FALSE)</f>
        <v>BONDS REYNALDO</v>
      </c>
      <c r="M46" s="6">
        <f t="shared" si="23"/>
        <v>2.7777777773735579E-2</v>
      </c>
      <c r="N46" s="7">
        <f t="shared" si="24"/>
        <v>39.999999994179234</v>
      </c>
      <c r="O46" s="7"/>
      <c r="P46" s="7"/>
      <c r="Q46" s="22"/>
      <c r="R46" s="170"/>
      <c r="S46" s="213">
        <f t="shared" si="25"/>
        <v>1</v>
      </c>
      <c r="T46" s="195" t="str">
        <f t="shared" si="26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-15T07:39:06-0600',mode:absolute,to:'2017-06-15T10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7" t="str">
        <f>IF(AA46&lt;VLOOKUP(AG46,Variables!$AC$3:$AD$8,2,FALSE),"Y","N")</f>
        <v>N</v>
      </c>
      <c r="X46" s="197">
        <f t="shared" si="27"/>
        <v>1</v>
      </c>
      <c r="Y46" s="197">
        <f t="shared" si="28"/>
        <v>23.296900000000001</v>
      </c>
      <c r="Z46" s="197">
        <f t="shared" si="29"/>
        <v>1.6299999999999999E-2</v>
      </c>
      <c r="AA46" s="197">
        <f t="shared" si="30"/>
        <v>23.2806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31"/>
        <v>134</v>
      </c>
      <c r="AE46" s="77" t="str">
        <f t="shared" si="11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46" s="74" t="str">
        <f t="shared" si="12"/>
        <v>"C:\Program Files (x86)\AstroGrep\AstroGrep.exe" /e /r /s /spath="%USERPROFILE%\AppData\Local\Temp\OnboardLogs" /stypes="app*4039*20170615*" /stext=" 15:.+((SYSTEM_STATE.+slice.+state.+changed )|(ment ac)|(multiple cpu faults)|(system.+state.+changed )|(\[timeout)|(PRM\|1\|D)|(kpr)|(kdp)|(train st.+moving)|(\|lc)|(penalty))"</v>
      </c>
      <c r="AG46" s="209" t="str">
        <f t="shared" si="32"/>
        <v>EC</v>
      </c>
      <c r="AH46" s="78" t="str">
        <f t="shared" si="18"/>
        <v>"%USERPROFILE%\Documents\GitHub\eaglep3\Utilities\RefineRTDCRunTimes.py" --tripid 134-15 --locoid 4039 --swversion DE.1.0.9.0 --startMP 204:232969 --initTime 2017-06-15T08:39:06 --startdatetime 2017-06-15T08:42:29 --delay 1 --endMP 204:163 --enddatetime 2017-06-15T09:22:29 --enforcementcount 0 &gt;&gt;C:\Users\stu\Documents\GitHub\eaglep3-reporting\EC\2017-06-15-refined-times.txt</v>
      </c>
      <c r="AI4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ID","value":"134-15"},{"id":16,"name":"Locomotive ID","value":"4039"},{"id":130,"name":"Impact","value":""},{"id":150,"name":"Time of Event (Mountain Time)","value":"09:22:29"},{"id":151,"name":"Denver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4039 --day 2017-06-15</v>
      </c>
      <c r="AN4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703</v>
      </c>
      <c r="B47" s="7">
        <v>4022</v>
      </c>
      <c r="C47" s="21" t="s">
        <v>202</v>
      </c>
      <c r="D47" s="21" t="s">
        <v>851</v>
      </c>
      <c r="E47" s="13">
        <v>42901.330428240741</v>
      </c>
      <c r="F47" s="13">
        <v>42901.333831018521</v>
      </c>
      <c r="G47" s="7">
        <v>1</v>
      </c>
      <c r="H47" s="21" t="s">
        <v>437</v>
      </c>
      <c r="I47" s="13">
        <v>42901.359097222223</v>
      </c>
      <c r="J47" s="7">
        <v>0</v>
      </c>
      <c r="K47" s="89" t="str">
        <f t="shared" si="22"/>
        <v>4021/4022</v>
      </c>
      <c r="L47" s="21" t="str">
        <f>VLOOKUP(A47,'Trips&amp;Operators'!$C$1:$G$99999,5,FALSE)</f>
        <v>GEBRETEKLE DAGNEW</v>
      </c>
      <c r="M47" s="6">
        <f t="shared" si="23"/>
        <v>2.5266203701903578E-2</v>
      </c>
      <c r="N47" s="7">
        <f t="shared" si="24"/>
        <v>36.383333330741152</v>
      </c>
      <c r="O47" s="7"/>
      <c r="P47" s="7"/>
      <c r="Q47" s="22"/>
      <c r="R47" s="170"/>
      <c r="S47" s="213">
        <f t="shared" si="25"/>
        <v>1</v>
      </c>
      <c r="T47" s="195" t="str">
        <f t="shared" si="26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-15T06:55:49-0600',mode:absolute,to:'2017-06-15T09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47" s="197" t="str">
        <f>IF(AA47&lt;VLOOKUP(AG47,Variables!$AC$3:$AD$8,2,FALSE),"Y","N")</f>
        <v>N</v>
      </c>
      <c r="X47" s="197">
        <f t="shared" si="27"/>
        <v>1</v>
      </c>
      <c r="Y47" s="197">
        <f t="shared" si="28"/>
        <v>4.7300000000000002E-2</v>
      </c>
      <c r="Z47" s="197">
        <f t="shared" si="29"/>
        <v>23.329699999999999</v>
      </c>
      <c r="AA47" s="197">
        <f t="shared" si="30"/>
        <v>23.282399999999999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31"/>
        <v>135</v>
      </c>
      <c r="AE47" s="77" t="str">
        <f t="shared" si="11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47" s="74" t="str">
        <f t="shared" si="12"/>
        <v>"C:\Program Files (x86)\AstroGrep\AstroGrep.exe" /e /r /s /spath="%USERPROFILE%\AppData\Local\Temp\OnboardLogs" /stypes="app*4022*20170615*" /stext=" 14:.+((SYSTEM_STATE.+slice.+state.+changed )|(ment ac)|(multiple cpu faults)|(system.+state.+changed )|(\[timeout)|(PRM\|1\|D)|(kpr)|(kdp)|(train st.+moving)|(\|lc)|(penalty))"</v>
      </c>
      <c r="AG47" s="209" t="str">
        <f t="shared" si="32"/>
        <v>EC</v>
      </c>
      <c r="AH47" s="78" t="str">
        <f t="shared" si="18"/>
        <v>"%USERPROFILE%\Documents\GitHub\eaglep3\Utilities\RefineRTDCRunTimes.py" --tripid 135-15 --locoid 4022 --swversion DE.1.0.9.0 --startMP 204:473 --initTime 2017-06-15T07:55:49 --startdatetime 2017-06-15T08:00:43 --delay 1 --endMP 204:233297 --enddatetime 2017-06-15T08:37:06 --enforcementcount 0 &gt;&gt;C:\Users\stu\Documents\GitHub\eaglep3-reporting\EC\2017-06-15-refined-times.txt</v>
      </c>
      <c r="AI4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{"issue":{"subject":"","project_id":79,"tracker_id":40,"status_id":1,"priority_id":2,"assigned_to_id":23,"start_date":"2017-06-15","description":"","custom_fields":[{"id":1,"name":"Subdivision","value":"EC"},{"id":4,"name":"Milepost","value":"23.3297"},{"id":17,"name":"Train ID","value":"135-15"},{"id":16,"name":"Locomotive ID","value":"4022"},{"id":130,"name":"Impact","value":""},{"id":150,"name":"Time of Event (Mountain Time)","value":"08:37:06"},{"id":151,"name":"Denver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4022 --day 2017-06-15</v>
      </c>
      <c r="AN4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711</v>
      </c>
      <c r="B48" s="7">
        <v>4021</v>
      </c>
      <c r="C48" s="21" t="s">
        <v>202</v>
      </c>
      <c r="D48" s="21" t="s">
        <v>493</v>
      </c>
      <c r="E48" s="13">
        <v>42901.360208333332</v>
      </c>
      <c r="F48" s="13">
        <v>42901.373113425929</v>
      </c>
      <c r="G48" s="7">
        <v>1</v>
      </c>
      <c r="H48" s="21" t="s">
        <v>350</v>
      </c>
      <c r="I48" s="13">
        <v>42901.40047453704</v>
      </c>
      <c r="J48" s="7">
        <v>0</v>
      </c>
      <c r="K48" s="89" t="str">
        <f t="shared" si="22"/>
        <v>4021/4022</v>
      </c>
      <c r="L48" s="21" t="str">
        <f>VLOOKUP(A48,'Trips&amp;Operators'!$C$1:$G$99999,5,FALSE)</f>
        <v>GEBRETEKLE DAGNEW</v>
      </c>
      <c r="M48" s="6">
        <f t="shared" si="23"/>
        <v>2.73611111115315E-2</v>
      </c>
      <c r="N48" s="7">
        <f t="shared" si="24"/>
        <v>39.40000000060536</v>
      </c>
      <c r="O48" s="7"/>
      <c r="P48" s="7"/>
      <c r="Q48" s="22"/>
      <c r="R48" s="170"/>
      <c r="S48" s="213">
        <f t="shared" si="25"/>
        <v>1</v>
      </c>
      <c r="T48" s="195" t="str">
        <f t="shared" si="26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-15T07:38:42-0600',mode:absolute,to:'2017-06-15T10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8" s="197" t="str">
        <f>IF(AA48&lt;VLOOKUP(AG48,Variables!$AC$3:$AD$8,2,FALSE),"Y","N")</f>
        <v>N</v>
      </c>
      <c r="X48" s="197">
        <f t="shared" si="27"/>
        <v>1</v>
      </c>
      <c r="Y48" s="197">
        <f t="shared" si="28"/>
        <v>23.298100000000002</v>
      </c>
      <c r="Z48" s="197">
        <f t="shared" si="29"/>
        <v>1.49E-2</v>
      </c>
      <c r="AA48" s="197">
        <f t="shared" si="30"/>
        <v>23.283200000000001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31"/>
        <v>136</v>
      </c>
      <c r="AE48" s="77" t="str">
        <f t="shared" si="11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48" s="74" t="str">
        <f t="shared" si="12"/>
        <v>"C:\Program Files (x86)\AstroGrep\AstroGrep.exe" /e /r /s /spath="%USERPROFILE%\AppData\Local\Temp\OnboardLogs" /stypes="app*4021*20170615*" /stext=" 15:.+((SYSTEM_STATE.+slice.+state.+changed )|(ment ac)|(multiple cpu faults)|(system.+state.+changed )|(\[timeout)|(PRM\|1\|D)|(kpr)|(kdp)|(train st.+moving)|(\|lc)|(penalty))"</v>
      </c>
      <c r="AG48" s="209" t="str">
        <f t="shared" si="32"/>
        <v>EC</v>
      </c>
      <c r="AH48" s="78" t="str">
        <f t="shared" si="18"/>
        <v>"%USERPROFILE%\Documents\GitHub\eaglep3\Utilities\RefineRTDCRunTimes.py" --tripid 136-15 --locoid 4021 --swversion DE.1.0.9.0 --startMP 204:232981 --initTime 2017-06-15T08:38:42 --startdatetime 2017-06-15T08:57:17 --delay 1 --endMP 204:149 --enddatetime 2017-06-15T09:36:41 --enforcementcount 0 &gt;&gt;C:\Users\stu\Documents\GitHub\eaglep3-reporting\EC\2017-06-15-refined-times.txt</v>
      </c>
      <c r="AI48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{"issue":{"subject":"","project_id":79,"tracker_id":40,"status_id":1,"priority_id":2,"assigned_to_id":23,"start_date":"2017-06-15","description":"","custom_fields":[{"id":1,"name":"Subdivision","value":"EC"},{"id":4,"name":"Milepost","value":"0.0149"},{"id":17,"name":"Train ID","value":"136-15"},{"id":16,"name":"Locomotive ID","value":"4021"},{"id":130,"name":"Impact","value":""},{"id":150,"name":"Time of Event (Mountain Time)","value":"09:36:41"},{"id":151,"name":"Denver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4021 --day 2017-06-15</v>
      </c>
      <c r="AN48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707</v>
      </c>
      <c r="B49" s="7">
        <v>4002</v>
      </c>
      <c r="C49" s="21" t="s">
        <v>202</v>
      </c>
      <c r="D49" s="21" t="s">
        <v>348</v>
      </c>
      <c r="E49" s="13">
        <v>42901.339409722219</v>
      </c>
      <c r="F49" s="13">
        <v>42901.343946759262</v>
      </c>
      <c r="G49" s="7">
        <v>1</v>
      </c>
      <c r="H49" s="21" t="s">
        <v>852</v>
      </c>
      <c r="I49" s="13">
        <v>42901.368981481479</v>
      </c>
      <c r="J49" s="7">
        <v>0</v>
      </c>
      <c r="K49" s="89" t="str">
        <f t="shared" si="22"/>
        <v>4001/4002</v>
      </c>
      <c r="L49" s="21" t="str">
        <f>VLOOKUP(A49,'Trips&amp;Operators'!$C$1:$G$99999,5,FALSE)</f>
        <v>GUZMAN DANNY</v>
      </c>
      <c r="M49" s="6">
        <f t="shared" si="23"/>
        <v>2.5034722217242233E-2</v>
      </c>
      <c r="N49" s="7">
        <f t="shared" si="24"/>
        <v>36.049999992828816</v>
      </c>
      <c r="O49" s="7"/>
      <c r="P49" s="7"/>
      <c r="Q49" s="22"/>
      <c r="R49" s="170"/>
      <c r="S49" s="213">
        <f t="shared" si="25"/>
        <v>1</v>
      </c>
      <c r="T49" s="195" t="str">
        <f t="shared" si="26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-15T07:08:45-0600',mode:absolute,to:'2017-06-15T09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9" s="197" t="str">
        <f>IF(AA49&lt;VLOOKUP(AG49,Variables!$AC$3:$AD$8,2,FALSE),"Y","N")</f>
        <v>N</v>
      </c>
      <c r="X49" s="197">
        <f t="shared" si="27"/>
        <v>1</v>
      </c>
      <c r="Y49" s="197">
        <f t="shared" si="28"/>
        <v>4.58E-2</v>
      </c>
      <c r="Z49" s="197">
        <f t="shared" si="29"/>
        <v>23.323399999999999</v>
      </c>
      <c r="AA49" s="197">
        <f t="shared" si="30"/>
        <v>23.2776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31"/>
        <v>137</v>
      </c>
      <c r="AE49" s="77" t="str">
        <f t="shared" si="11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49" s="74" t="str">
        <f t="shared" si="12"/>
        <v>"C:\Program Files (x86)\AstroGrep\AstroGrep.exe" /e /r /s /spath="%USERPROFILE%\AppData\Local\Temp\OnboardLogs" /stypes="app*4002*20170615*" /stext=" 14:.+((SYSTEM_STATE.+slice.+state.+changed )|(ment ac)|(multiple cpu faults)|(system.+state.+changed )|(\[timeout)|(PRM\|1\|D)|(kpr)|(kdp)|(train st.+moving)|(\|lc)|(penalty))"</v>
      </c>
      <c r="AG49" s="209" t="str">
        <f t="shared" si="32"/>
        <v>EC</v>
      </c>
      <c r="AH49" s="78" t="str">
        <f t="shared" si="18"/>
        <v>"%USERPROFILE%\Documents\GitHub\eaglep3\Utilities\RefineRTDCRunTimes.py" --tripid 137-15 --locoid 4002 --swversion DE.1.0.9.0 --startMP 204:458 --initTime 2017-06-15T08:08:45 --startdatetime 2017-06-15T08:15:17 --delay 1 --endMP 204:233234 --enddatetime 2017-06-15T08:51:20 --enforcementcount 0 &gt;&gt;C:\Users\stu\Documents\GitHub\eaglep3-reporting\EC\2017-06-15-refined-times.txt</v>
      </c>
      <c r="AI49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{"issue":{"subject":"","project_id":79,"tracker_id":40,"status_id":1,"priority_id":2,"assigned_to_id":23,"start_date":"2017-06-15","description":"","custom_fields":[{"id":1,"name":"Subdivision","value":"EC"},{"id":4,"name":"Milepost","value":"23.3234"},{"id":17,"name":"Train ID","value":"137-15"},{"id":16,"name":"Locomotive ID","value":"4002"},{"id":130,"name":"Impact","value":""},{"id":150,"name":"Time of Event (Mountain Time)","value":"08:51:20"},{"id":151,"name":"Denver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4002 --day 2017-06-15</v>
      </c>
      <c r="AN49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630</v>
      </c>
      <c r="B50" s="7">
        <v>4001</v>
      </c>
      <c r="C50" s="21" t="s">
        <v>202</v>
      </c>
      <c r="D50" s="21" t="s">
        <v>848</v>
      </c>
      <c r="E50" s="13">
        <v>42901.371550925927</v>
      </c>
      <c r="F50" s="13">
        <v>42901.383506944447</v>
      </c>
      <c r="G50" s="7">
        <v>1</v>
      </c>
      <c r="H50" s="21" t="s">
        <v>194</v>
      </c>
      <c r="I50" s="13">
        <v>42901.411134259259</v>
      </c>
      <c r="J50" s="7">
        <v>0</v>
      </c>
      <c r="K50" s="89" t="str">
        <f t="shared" si="22"/>
        <v>4001/4002</v>
      </c>
      <c r="L50" s="21" t="str">
        <f>VLOOKUP(A50,'Trips&amp;Operators'!$C$1:$G$99999,5,FALSE)</f>
        <v>GUZMAN DANNY</v>
      </c>
      <c r="M50" s="6">
        <f t="shared" si="23"/>
        <v>2.7627314811979886E-2</v>
      </c>
      <c r="N50" s="7">
        <f t="shared" si="24"/>
        <v>39.783333329251036</v>
      </c>
      <c r="O50" s="7"/>
      <c r="P50" s="7"/>
      <c r="Q50" s="22"/>
      <c r="R50" s="170"/>
      <c r="S50" s="213">
        <f t="shared" si="25"/>
        <v>1</v>
      </c>
      <c r="T50" s="195" t="str">
        <f t="shared" si="26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-15T07:55:02-0600',mode:absolute,to:'2017-06-15T10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0" s="197" t="str">
        <f>IF(AA50&lt;VLOOKUP(AG50,Variables!$AC$3:$AD$8,2,FALSE),"Y","N")</f>
        <v>N</v>
      </c>
      <c r="X50" s="197">
        <f t="shared" si="27"/>
        <v>1</v>
      </c>
      <c r="Y50" s="197">
        <f t="shared" si="28"/>
        <v>23.296700000000001</v>
      </c>
      <c r="Z50" s="197">
        <f t="shared" si="29"/>
        <v>1.5800000000000002E-2</v>
      </c>
      <c r="AA50" s="197">
        <f t="shared" si="30"/>
        <v>23.280900000000003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31"/>
        <v>138</v>
      </c>
      <c r="AE50" s="77" t="str">
        <f t="shared" si="11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50" s="74" t="str">
        <f t="shared" si="12"/>
        <v>"C:\Program Files (x86)\AstroGrep\AstroGrep.exe" /e /r /s /spath="%USERPROFILE%\AppData\Local\Temp\OnboardLogs" /stypes="app*4001*20170615*" /stext=" 15:.+((SYSTEM_STATE.+slice.+state.+changed )|(ment ac)|(multiple cpu faults)|(system.+state.+changed )|(\[timeout)|(PRM\|1\|D)|(kpr)|(kdp)|(train st.+moving)|(\|lc)|(penalty))"</v>
      </c>
      <c r="AG50" s="209" t="str">
        <f t="shared" si="32"/>
        <v>EC</v>
      </c>
      <c r="AH50" s="78" t="str">
        <f t="shared" si="18"/>
        <v>"%USERPROFILE%\Documents\GitHub\eaglep3\Utilities\RefineRTDCRunTimes.py" --tripid 138-15 --locoid 4001 --swversion DE.1.0.9.0 --startMP 204:232967 --initTime 2017-06-15T08:55:02 --startdatetime 2017-06-15T09:12:15 --delay 1 --endMP 204:158 --enddatetime 2017-06-15T09:52:02 --enforcementcount 0 &gt;&gt;C:\Users\stu\Documents\GitHub\eaglep3-reporting\EC\2017-06-15-refined-times.txt</v>
      </c>
      <c r="AI50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ID","value":"138-15"},{"id":16,"name":"Locomotive ID","value":"4001"},{"id":130,"name":"Impact","value":""},{"id":150,"name":"Time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4001 --day 2017-06-15</v>
      </c>
      <c r="AN50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628</v>
      </c>
      <c r="B51" s="7">
        <v>4024</v>
      </c>
      <c r="C51" s="21" t="s">
        <v>202</v>
      </c>
      <c r="D51" s="21" t="s">
        <v>343</v>
      </c>
      <c r="E51" s="13">
        <v>42901.352881944447</v>
      </c>
      <c r="F51" s="13">
        <v>42901.354432870372</v>
      </c>
      <c r="G51" s="7">
        <v>1</v>
      </c>
      <c r="H51" s="21" t="s">
        <v>458</v>
      </c>
      <c r="I51" s="13">
        <v>42901.380509259259</v>
      </c>
      <c r="J51" s="7">
        <v>0</v>
      </c>
      <c r="K51" s="89" t="str">
        <f t="shared" si="22"/>
        <v>4023/4024</v>
      </c>
      <c r="L51" s="21" t="str">
        <f>VLOOKUP(A51,'Trips&amp;Operators'!$C$1:$G$99999,5,FALSE)</f>
        <v>STARKS ANGELINA</v>
      </c>
      <c r="M51" s="6">
        <f t="shared" si="23"/>
        <v>2.6076388887304347E-2</v>
      </c>
      <c r="N51" s="7">
        <f t="shared" si="24"/>
        <v>37.54999999771826</v>
      </c>
      <c r="O51" s="7"/>
      <c r="P51" s="7"/>
      <c r="Q51" s="22"/>
      <c r="R51" s="170"/>
      <c r="S51" s="213">
        <f t="shared" si="25"/>
        <v>1</v>
      </c>
      <c r="T51" s="195" t="str">
        <f t="shared" si="26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-15T07:28:09-0600',mode:absolute,to:'2017-06-15T10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1" s="197" t="str">
        <f>IF(AA51&lt;VLOOKUP(AG51,Variables!$AC$3:$AD$8,2,FALSE),"Y","N")</f>
        <v>N</v>
      </c>
      <c r="X51" s="197">
        <f t="shared" si="27"/>
        <v>1</v>
      </c>
      <c r="Y51" s="197">
        <f t="shared" si="28"/>
        <v>4.4900000000000002E-2</v>
      </c>
      <c r="Z51" s="197">
        <f t="shared" si="29"/>
        <v>23.330200000000001</v>
      </c>
      <c r="AA51" s="197">
        <f t="shared" si="30"/>
        <v>23.285300000000003</v>
      </c>
      <c r="AB51" s="54" t="str">
        <f>VLOOKUP(A51,Enforcements!$C$7:$K$13,8,0)</f>
        <v>Speed (6)</v>
      </c>
      <c r="AC51" s="51" t="str">
        <f>VLOOKUP(A51,Enforcements!$C$7:$E$13,3,0)</f>
        <v>PERMANENT SPEED RESTRICTION</v>
      </c>
      <c r="AD51" s="206">
        <f t="shared" si="31"/>
        <v>139</v>
      </c>
      <c r="AE51" s="77" t="str">
        <f t="shared" si="11"/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51" s="74" t="str">
        <f t="shared" si="12"/>
        <v>"C:\Program Files (x86)\AstroGrep\AstroGrep.exe" /e /r /s /spath="%USERPROFILE%\AppData\Local\Temp\OnboardLogs" /stypes="app*4024*20170615*" /stext=" 15:.+((SYSTEM_STATE.+slice.+state.+changed )|(ment ac)|(multiple cpu faults)|(system.+state.+changed )|(\[timeout)|(PRM\|1\|D)|(kpr)|(kdp)|(train st.+moving)|(\|lc)|(penalty))"</v>
      </c>
      <c r="AG51" s="209" t="str">
        <f t="shared" si="32"/>
        <v>EC</v>
      </c>
      <c r="AH51" s="78" t="str">
        <f t="shared" si="18"/>
        <v>"%USERPROFILE%\Documents\GitHub\eaglep3\Utilities\RefineRTDCRunTimes.py" --tripid 139-15 --locoid 4024 --swversion DE.1.0.9.0 --startMP 204:449 --initTime 2017-06-15T08:28:09 --startdatetime 2017-06-15T08:30:23 --delay 1 --endMP 204:233302 --enddatetime 2017-06-15T09:07:56 --enforcementcount 0 &gt;&gt;C:\Users\stu\Documents\GitHub\eaglep3-reporting\EC\2017-06-15-refined-times.txt</v>
      </c>
      <c r="AI51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{"issue":{"subject":"","project_id":79,"tracker_id":40,"status_id":1,"priority_id":2,"assigned_to_id":23,"start_date":"2017-06-15","description":"","custom_fields":[{"id":1,"name":"Subdivision","value":"EC"},{"id":4,"name":"Milepost","value":"23.3302"},{"id":17,"name":"Train ID","value":"139-15"},{"id":16,"name":"Locomotive ID","value":"4024"},{"id":130,"name":"Impact","value":""},{"id":150,"name":"Time of Event (Mountain Time)","value":"09:07:56"},{"id":151,"name":"Denver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4024 --day 2017-06-15</v>
      </c>
      <c r="AN51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629</v>
      </c>
      <c r="B52" s="7">
        <v>4023</v>
      </c>
      <c r="C52" s="21" t="s">
        <v>202</v>
      </c>
      <c r="D52" s="21" t="s">
        <v>589</v>
      </c>
      <c r="E52" s="13">
        <v>42901.390509259261</v>
      </c>
      <c r="F52" s="13">
        <v>42901.394016203703</v>
      </c>
      <c r="G52" s="7">
        <v>1</v>
      </c>
      <c r="H52" s="21" t="s">
        <v>357</v>
      </c>
      <c r="I52" s="13">
        <v>42901.421817129631</v>
      </c>
      <c r="J52" s="7">
        <v>0</v>
      </c>
      <c r="K52" s="89" t="str">
        <f t="shared" si="22"/>
        <v>4023/4024</v>
      </c>
      <c r="L52" s="21" t="str">
        <f>VLOOKUP(A52,'Trips&amp;Operators'!$C$1:$G$99999,5,FALSE)</f>
        <v>STARKS ANGELINA</v>
      </c>
      <c r="M52" s="6">
        <f t="shared" si="23"/>
        <v>2.7800925927294884E-2</v>
      </c>
      <c r="N52" s="7">
        <f t="shared" si="24"/>
        <v>40.033333335304633</v>
      </c>
      <c r="O52" s="7"/>
      <c r="P52" s="7"/>
      <c r="Q52" s="22"/>
      <c r="R52" s="170"/>
      <c r="S52" s="213">
        <f t="shared" si="25"/>
        <v>1</v>
      </c>
      <c r="T52" s="195" t="str">
        <f t="shared" si="26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-15T08:22:20-0600',mode:absolute,to:'2017-06-15T11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2" s="197" t="str">
        <f>IF(AA52&lt;VLOOKUP(AG52,Variables!$AC$3:$AD$8,2,FALSE),"Y","N")</f>
        <v>N</v>
      </c>
      <c r="X52" s="197">
        <f t="shared" si="27"/>
        <v>1</v>
      </c>
      <c r="Y52" s="197">
        <f t="shared" si="28"/>
        <v>23.298300000000001</v>
      </c>
      <c r="Z52" s="197">
        <f t="shared" si="29"/>
        <v>1.3899999999999999E-2</v>
      </c>
      <c r="AA52" s="197">
        <f t="shared" si="30"/>
        <v>23.284400000000002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31"/>
        <v>140</v>
      </c>
      <c r="AE52" s="77" t="str">
        <f t="shared" si="11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52" s="74" t="str">
        <f t="shared" si="12"/>
        <v>"C:\Program Files (x86)\AstroGrep\AstroGrep.exe" /e /r /s /spath="%USERPROFILE%\AppData\Local\Temp\OnboardLogs" /stypes="app*4023*20170615*" /stext=" 16:.+((SYSTEM_STATE.+slice.+state.+changed )|(ment ac)|(multiple cpu faults)|(system.+state.+changed )|(\[timeout)|(PRM\|1\|D)|(kpr)|(kdp)|(train st.+moving)|(\|lc)|(penalty))"</v>
      </c>
      <c r="AG52" s="209" t="str">
        <f t="shared" si="32"/>
        <v>EC</v>
      </c>
      <c r="AH52" s="78" t="str">
        <f t="shared" si="18"/>
        <v>"%USERPROFILE%\Documents\GitHub\eaglep3\Utilities\RefineRTDCRunTimes.py" --tripid 140-15 --locoid 4023 --swversion DE.1.0.9.0 --startMP 204:232983 --initTime 2017-06-15T09:22:20 --startdatetime 2017-06-15T09:27:23 --delay 1 --endMP 204:139 --enddatetime 2017-06-15T10:07:25 --enforcementcount 0 &gt;&gt;C:\Users\stu\Documents\GitHub\eaglep3-reporting\EC\2017-06-15-refined-times.txt</v>
      </c>
      <c r="AI52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{"issue":{"subject":"","project_id":79,"tracker_id":40,"status_id":1,"priority_id":2,"assigned_to_id":23,"start_date":"2017-06-15","description":"","custom_fields":[{"id":1,"name":"Subdivision","value":"EC"},{"id":4,"name":"Milepost","value":"0.0139"},{"id":17,"name":"Train ID","value":"140-15"},{"id":16,"name":"Locomotive ID","value":"4023"},{"id":130,"name":"Impact","value":""},{"id":150,"name":"Time of Event (Mountain Time)","value":"10:07:25"},{"id":151,"name":"Denver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4023 --day 2017-06-15</v>
      </c>
      <c r="AN52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713</v>
      </c>
      <c r="B53" s="7">
        <v>4006</v>
      </c>
      <c r="C53" s="21" t="s">
        <v>202</v>
      </c>
      <c r="D53" s="21" t="s">
        <v>576</v>
      </c>
      <c r="E53" s="13">
        <v>42901.360891203702</v>
      </c>
      <c r="F53" s="13">
        <v>42901.364803240744</v>
      </c>
      <c r="G53" s="7">
        <v>1</v>
      </c>
      <c r="H53" s="21" t="s">
        <v>446</v>
      </c>
      <c r="I53" s="13">
        <v>42901.389282407406</v>
      </c>
      <c r="J53" s="7">
        <v>0</v>
      </c>
      <c r="K53" s="89" t="str">
        <f t="shared" si="22"/>
        <v>4005/4006</v>
      </c>
      <c r="L53" s="21" t="str">
        <f>VLOOKUP(A53,'Trips&amp;Operators'!$C$1:$G$99999,5,FALSE)</f>
        <v>LOZA FIDEL</v>
      </c>
      <c r="M53" s="6">
        <f t="shared" si="23"/>
        <v>2.4479166662786156E-2</v>
      </c>
      <c r="N53" s="7">
        <f t="shared" si="24"/>
        <v>35.249999994412065</v>
      </c>
      <c r="O53" s="7"/>
      <c r="P53" s="7"/>
      <c r="Q53" s="22"/>
      <c r="R53" s="170"/>
      <c r="S53" s="213">
        <f t="shared" si="25"/>
        <v>1</v>
      </c>
      <c r="T53" s="195" t="str">
        <f t="shared" si="26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-15T07:39:41-0600',mode:absolute,to:'2017-06-15T10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3" s="197" t="str">
        <f>IF(AA53&lt;VLOOKUP(AG53,Variables!$AC$3:$AD$8,2,FALSE),"Y","N")</f>
        <v>N</v>
      </c>
      <c r="X53" s="197">
        <f t="shared" si="27"/>
        <v>1</v>
      </c>
      <c r="Y53" s="197">
        <f t="shared" si="28"/>
        <v>4.5499999999999999E-2</v>
      </c>
      <c r="Z53" s="197">
        <f t="shared" si="29"/>
        <v>23.3307</v>
      </c>
      <c r="AA53" s="197">
        <f t="shared" si="30"/>
        <v>23.2852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31"/>
        <v>141</v>
      </c>
      <c r="AE53" s="77" t="str">
        <f t="shared" si="11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53" s="74" t="str">
        <f t="shared" si="12"/>
        <v>"C:\Program Files (x86)\AstroGrep\AstroGrep.exe" /e /r /s /spath="%USERPROFILE%\AppData\Local\Temp\OnboardLogs" /stypes="app*4006*20170615*" /stext=" 15:.+((SYSTEM_STATE.+slice.+state.+changed )|(ment ac)|(multiple cpu faults)|(system.+state.+changed )|(\[timeout)|(PRM\|1\|D)|(kpr)|(kdp)|(train st.+moving)|(\|lc)|(penalty))"</v>
      </c>
      <c r="AG53" s="209" t="str">
        <f t="shared" si="32"/>
        <v>EC</v>
      </c>
      <c r="AH53" s="78" t="str">
        <f t="shared" si="18"/>
        <v>"%USERPROFILE%\Documents\GitHub\eaglep3\Utilities\RefineRTDCRunTimes.py" --tripid 141-15 --locoid 4006 --swversion DE.1.0.9.0 --startMP 204:455 --initTime 2017-06-15T08:39:41 --startdatetime 2017-06-15T08:45:19 --delay 1 --endMP 204:233307 --enddatetime 2017-06-15T09:20:34 --enforcementcount 0 &gt;&gt;C:\Users\stu\Documents\GitHub\eaglep3-reporting\EC\2017-06-15-refined-times.txt</v>
      </c>
      <c r="AI53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{"issue":{"subject":"","project_id":79,"tracker_id":40,"status_id":1,"priority_id":2,"assigned_to_id":23,"start_date":"2017-06-15","description":"","custom_fields":[{"id":1,"name":"Subdivision","value":"EC"},{"id":4,"name":"Milepost","value":"23.3307"},{"id":17,"name":"Train ID","value":"141-15"},{"id":16,"name":"Locomotive ID","value":"4006"},{"id":130,"name":"Impact","value":""},{"id":150,"name":"Time of Event (Mountain Time)","value":"09:20:34"},{"id":151,"name":"Denver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4006 --day 2017-06-15</v>
      </c>
      <c r="AN53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631</v>
      </c>
      <c r="B54" s="7">
        <v>4005</v>
      </c>
      <c r="C54" s="21" t="s">
        <v>202</v>
      </c>
      <c r="D54" s="21" t="s">
        <v>492</v>
      </c>
      <c r="E54" s="13">
        <v>42901.394386574073</v>
      </c>
      <c r="F54" s="13">
        <v>42901.404444444444</v>
      </c>
      <c r="G54" s="7">
        <v>1</v>
      </c>
      <c r="H54" s="21" t="s">
        <v>396</v>
      </c>
      <c r="I54" s="13">
        <v>42901.430173611108</v>
      </c>
      <c r="J54" s="7">
        <v>0</v>
      </c>
      <c r="K54" s="89" t="str">
        <f t="shared" si="22"/>
        <v>4005/4006</v>
      </c>
      <c r="L54" s="21" t="str">
        <f>VLOOKUP(A54,'Trips&amp;Operators'!$C$1:$G$99999,5,FALSE)</f>
        <v>LOZA FIDEL</v>
      </c>
      <c r="M54" s="6">
        <f t="shared" si="23"/>
        <v>2.5729166663950309E-2</v>
      </c>
      <c r="N54" s="7">
        <f t="shared" si="24"/>
        <v>37.049999996088445</v>
      </c>
      <c r="O54" s="7"/>
      <c r="P54" s="7"/>
      <c r="Q54" s="22"/>
      <c r="R54" s="170"/>
      <c r="S54" s="213">
        <f t="shared" si="25"/>
        <v>1</v>
      </c>
      <c r="T54" s="195" t="str">
        <f t="shared" si="26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-15T08:27:55-0600',mode:absolute,to:'2017-06-15T11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4" s="197" t="str">
        <f>IF(AA54&lt;VLOOKUP(AG54,Variables!$AC$3:$AD$8,2,FALSE),"Y","N")</f>
        <v>N</v>
      </c>
      <c r="X54" s="197">
        <f t="shared" si="27"/>
        <v>1</v>
      </c>
      <c r="Y54" s="197">
        <f t="shared" si="28"/>
        <v>23.298200000000001</v>
      </c>
      <c r="Z54" s="197">
        <f t="shared" si="29"/>
        <v>1.54E-2</v>
      </c>
      <c r="AA54" s="197">
        <f t="shared" si="30"/>
        <v>23.282800000000002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31"/>
        <v>142</v>
      </c>
      <c r="AE54" s="77" t="str">
        <f t="shared" si="11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54" s="74" t="str">
        <f t="shared" si="12"/>
        <v>"C:\Program Files (x86)\AstroGrep\AstroGrep.exe" /e /r /s /spath="%USERPROFILE%\AppData\Local\Temp\OnboardLogs" /stypes="app*4005*20170615*" /stext=" 16:.+((SYSTEM_STATE.+slice.+state.+changed )|(ment ac)|(multiple cpu faults)|(system.+state.+changed )|(\[timeout)|(PRM\|1\|D)|(kpr)|(kdp)|(train st.+moving)|(\|lc)|(penalty))"</v>
      </c>
      <c r="AG54" s="209" t="str">
        <f t="shared" si="32"/>
        <v>EC</v>
      </c>
      <c r="AH54" s="78" t="str">
        <f t="shared" si="18"/>
        <v>"%USERPROFILE%\Documents\GitHub\eaglep3\Utilities\RefineRTDCRunTimes.py" --tripid 142-15 --locoid 4005 --swversion DE.1.0.9.0 --startMP 204:232982 --initTime 2017-06-15T09:27:55 --startdatetime 2017-06-15T09:42:24 --delay 1 --endMP 204:154 --enddatetime 2017-06-15T10:19:27 --enforcementcount 0 &gt;&gt;C:\Users\stu\Documents\GitHub\eaglep3-reporting\EC\2017-06-15-refined-times.txt</v>
      </c>
      <c r="AI54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ID","value":"142-15"},{"id":16,"name":"Locomotive ID","value":"4005"},{"id":130,"name":"Impact","value":""},{"id":150,"name":"Time of Event (Mountain Time)","value":"10:19:27"},{"id":151,"name":"Denver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4005 --day 2017-06-15</v>
      </c>
      <c r="AN54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16:19:27"},{"id":29,"name":"Sharepoint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714</v>
      </c>
      <c r="B55" s="7">
        <v>4046</v>
      </c>
      <c r="C55" s="21" t="s">
        <v>202</v>
      </c>
      <c r="D55" s="21" t="s">
        <v>353</v>
      </c>
      <c r="E55" s="13">
        <v>42901.371932870374</v>
      </c>
      <c r="F55" s="13">
        <v>42901.375231481485</v>
      </c>
      <c r="G55" s="7">
        <v>1</v>
      </c>
      <c r="H55" s="21" t="s">
        <v>585</v>
      </c>
      <c r="I55" s="13">
        <v>42901.401585648149</v>
      </c>
      <c r="J55" s="7">
        <v>0</v>
      </c>
      <c r="K55" s="89" t="str">
        <f t="shared" si="22"/>
        <v>4045/4046</v>
      </c>
      <c r="L55" s="21" t="str">
        <f>VLOOKUP(A55,'Trips&amp;Operators'!$C$1:$G$99999,5,FALSE)</f>
        <v>WILLIAMS DONTE</v>
      </c>
      <c r="M55" s="6">
        <f t="shared" si="23"/>
        <v>2.6354166664532386E-2</v>
      </c>
      <c r="N55" s="7">
        <f t="shared" si="24"/>
        <v>37.949999996926636</v>
      </c>
      <c r="O55" s="7"/>
      <c r="P55" s="7"/>
      <c r="Q55" s="22"/>
      <c r="R55" s="170"/>
      <c r="S55" s="213">
        <f t="shared" si="25"/>
        <v>1</v>
      </c>
      <c r="T55" s="195" t="str">
        <f t="shared" si="26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-15T07:55:35-0600',mode:absolute,to:'2017-06-15T10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97" t="str">
        <f>IF(AA55&lt;VLOOKUP(AG55,Variables!$AC$3:$AD$8,2,FALSE),"Y","N")</f>
        <v>N</v>
      </c>
      <c r="X55" s="197">
        <f t="shared" si="27"/>
        <v>1</v>
      </c>
      <c r="Y55" s="197">
        <f t="shared" si="28"/>
        <v>4.5100000000000001E-2</v>
      </c>
      <c r="Z55" s="197">
        <f t="shared" si="29"/>
        <v>23.332699999999999</v>
      </c>
      <c r="AA55" s="197">
        <f t="shared" si="30"/>
        <v>23.287599999999998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31"/>
        <v>143</v>
      </c>
      <c r="AE55" s="77" t="str">
        <f t="shared" si="11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55" s="74" t="str">
        <f t="shared" si="12"/>
        <v>"C:\Program Files (x86)\AstroGrep\AstroGrep.exe" /e /r /s /spath="%USERPROFILE%\AppData\Local\Temp\OnboardLogs" /stypes="app*4046*20170615*" /stext=" 15:.+((SYSTEM_STATE.+slice.+state.+changed )|(ment ac)|(multiple cpu faults)|(system.+state.+changed )|(\[timeout)|(PRM\|1\|D)|(kpr)|(kdp)|(train st.+moving)|(\|lc)|(penalty))"</v>
      </c>
      <c r="AG55" s="209" t="str">
        <f t="shared" si="32"/>
        <v>EC</v>
      </c>
      <c r="AH55" s="78" t="str">
        <f t="shared" si="18"/>
        <v>"%USERPROFILE%\Documents\GitHub\eaglep3\Utilities\RefineRTDCRunTimes.py" --tripid 143-15 --locoid 4046 --swversion DE.1.0.9.0 --startMP 204:451 --initTime 2017-06-15T08:55:35 --startdatetime 2017-06-15T09:00:20 --delay 1 --endMP 204:233327 --enddatetime 2017-06-15T09:38:17 --enforcementcount 0 &gt;&gt;C:\Users\stu\Documents\GitHub\eaglep3-reporting\EC\2017-06-15-refined-times.txt</v>
      </c>
      <c r="AI5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{"issue":{"subject":"","project_id":79,"tracker_id":40,"status_id":1,"priority_id":2,"assigned_to_id":23,"start_date":"2017-06-15","description":"","custom_fields":[{"id":1,"name":"Subdivision","value":"EC"},{"id":4,"name":"Milepost","value":"23.3327"},{"id":17,"name":"Train ID","value":"143-15"},{"id":16,"name":"Locomotive ID","value":"4046"},{"id":130,"name":"Impact","value":""},{"id":150,"name":"Time of Event (Mountain Time)","value":"09:38:17"},{"id":151,"name":"Denver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4046 --day 2017-06-15</v>
      </c>
      <c r="AN5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632</v>
      </c>
      <c r="B56" s="7">
        <v>4045</v>
      </c>
      <c r="C56" s="21" t="s">
        <v>202</v>
      </c>
      <c r="D56" s="21" t="s">
        <v>457</v>
      </c>
      <c r="E56" s="13">
        <v>42901.40388888889</v>
      </c>
      <c r="F56" s="13">
        <v>42901.414884259262</v>
      </c>
      <c r="G56" s="7">
        <v>1</v>
      </c>
      <c r="H56" s="21" t="s">
        <v>853</v>
      </c>
      <c r="I56" s="13">
        <v>42901.442650462966</v>
      </c>
      <c r="J56" s="7">
        <v>0</v>
      </c>
      <c r="K56" s="89" t="str">
        <f t="shared" si="22"/>
        <v>4045/4046</v>
      </c>
      <c r="L56" s="21" t="str">
        <f>VLOOKUP(A56,'Trips&amp;Operators'!$C$1:$G$99999,5,FALSE)</f>
        <v>WILLIAMS DONTE</v>
      </c>
      <c r="M56" s="6">
        <f t="shared" si="23"/>
        <v>2.7766203704231884E-2</v>
      </c>
      <c r="N56" s="7">
        <f t="shared" si="24"/>
        <v>39.983333334093913</v>
      </c>
      <c r="O56" s="7"/>
      <c r="P56" s="7"/>
      <c r="Q56" s="22"/>
      <c r="R56" s="170"/>
      <c r="S56" s="213">
        <f t="shared" si="25"/>
        <v>1</v>
      </c>
      <c r="T56" s="195" t="str">
        <f t="shared" si="26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-15T08:41:36-0600',mode:absolute,to:'2017-06-15T11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97" t="str">
        <f>IF(AA56&lt;VLOOKUP(AG56,Variables!$AC$3:$AD$8,2,FALSE),"Y","N")</f>
        <v>N</v>
      </c>
      <c r="X56" s="197">
        <f t="shared" si="27"/>
        <v>1</v>
      </c>
      <c r="Y56" s="197">
        <f t="shared" si="28"/>
        <v>23.299399999999999</v>
      </c>
      <c r="Z56" s="197">
        <f t="shared" si="29"/>
        <v>1.89E-2</v>
      </c>
      <c r="AA56" s="197">
        <f t="shared" si="30"/>
        <v>23.2805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31"/>
        <v>144</v>
      </c>
      <c r="AE56" s="77" t="str">
        <f t="shared" si="11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56" s="74" t="str">
        <f t="shared" si="12"/>
        <v>"C:\Program Files (x86)\AstroGrep\AstroGrep.exe" /e /r /s /spath="%USERPROFILE%\AppData\Local\Temp\OnboardLogs" /stypes="app*4045*20170615*" /stext=" 16:.+((SYSTEM_STATE.+slice.+state.+changed )|(ment ac)|(multiple cpu faults)|(system.+state.+changed )|(\[timeout)|(PRM\|1\|D)|(kpr)|(kdp)|(train st.+moving)|(\|lc)|(penalty))"</v>
      </c>
      <c r="AG56" s="209" t="str">
        <f t="shared" si="32"/>
        <v>EC</v>
      </c>
      <c r="AH56" s="78" t="str">
        <f t="shared" si="18"/>
        <v>"%USERPROFILE%\Documents\GitHub\eaglep3\Utilities\RefineRTDCRunTimes.py" --tripid 144-15 --locoid 4045 --swversion DE.1.0.9.0 --startMP 204:232994 --initTime 2017-06-15T09:41:36 --startdatetime 2017-06-15T09:57:26 --delay 1 --endMP 204:189 --enddatetime 2017-06-15T10:37:25 --enforcementcount 0 &gt;&gt;C:\Users\stu\Documents\GitHub\eaglep3-reporting\EC\2017-06-15-refined-times.txt</v>
      </c>
      <c r="AI5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{"issue":{"subject":"","project_id":79,"tracker_id":40,"status_id":1,"priority_id":2,"assigned_to_id":23,"start_date":"2017-06-15","description":"","custom_fields":[{"id":1,"name":"Subdivision","value":"EC"},{"id":4,"name":"Milepost","value":"0.0189"},{"id":17,"name":"Train ID","value":"144-15"},{"id":16,"name":"Locomotive ID","value":"4045"},{"id":130,"name":"Impact","value":""},{"id":150,"name":"Time of Event (Mountain Time)","value":"10:37:25"},{"id":151,"name":"Denver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4045 --day 2017-06-15</v>
      </c>
      <c r="AN5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716</v>
      </c>
      <c r="B57" s="7">
        <v>4042</v>
      </c>
      <c r="C57" s="21" t="s">
        <v>202</v>
      </c>
      <c r="D57" s="21" t="s">
        <v>576</v>
      </c>
      <c r="E57" s="13">
        <v>42901.381979166668</v>
      </c>
      <c r="F57" s="13">
        <v>42901.385810185187</v>
      </c>
      <c r="G57" s="7">
        <v>1</v>
      </c>
      <c r="H57" s="21" t="s">
        <v>588</v>
      </c>
      <c r="I57" s="13">
        <v>42901.40996527778</v>
      </c>
      <c r="J57" s="7">
        <v>0</v>
      </c>
      <c r="K57" s="89" t="str">
        <f t="shared" si="22"/>
        <v>4041/4042</v>
      </c>
      <c r="L57" s="21" t="str">
        <f>VLOOKUP(A57,'Trips&amp;Operators'!$C$1:$G$99999,5,FALSE)</f>
        <v>HELVIE ADAM</v>
      </c>
      <c r="M57" s="6">
        <f t="shared" si="23"/>
        <v>2.4155092592991423E-2</v>
      </c>
      <c r="N57" s="7">
        <f t="shared" si="24"/>
        <v>34.783333333907649</v>
      </c>
      <c r="O57" s="7"/>
      <c r="P57" s="7"/>
      <c r="Q57" s="22"/>
      <c r="R57" s="170"/>
      <c r="S57" s="213">
        <f t="shared" si="25"/>
        <v>1</v>
      </c>
      <c r="T57" s="195" t="str">
        <f t="shared" si="26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-15T08:10:03-0600',mode:absolute,to:'2017-06-15T10:50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57" s="197" t="str">
        <f>IF(AA57&lt;VLOOKUP(AG57,Variables!$AC$3:$AD$8,2,FALSE),"Y","N")</f>
        <v>N</v>
      </c>
      <c r="X57" s="197">
        <f t="shared" si="27"/>
        <v>1</v>
      </c>
      <c r="Y57" s="197">
        <f t="shared" si="28"/>
        <v>4.5499999999999999E-2</v>
      </c>
      <c r="Z57" s="197">
        <f t="shared" si="29"/>
        <v>23.328800000000001</v>
      </c>
      <c r="AA57" s="197">
        <f t="shared" si="30"/>
        <v>23.283300000000001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31"/>
        <v>145</v>
      </c>
      <c r="AE57" s="77" t="str">
        <f t="shared" si="11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57" s="74" t="str">
        <f t="shared" si="12"/>
        <v>"C:\Program Files (x86)\AstroGrep\AstroGrep.exe" /e /r /s /spath="%USERPROFILE%\AppData\Local\Temp\OnboardLogs" /stypes="app*4042*20170615*" /stext=" 15:.+((SYSTEM_STATE.+slice.+state.+changed )|(ment ac)|(multiple cpu faults)|(system.+state.+changed )|(\[timeout)|(PRM\|1\|D)|(kpr)|(kdp)|(train st.+moving)|(\|lc)|(penalty))"</v>
      </c>
      <c r="AG57" s="209" t="str">
        <f t="shared" si="32"/>
        <v>EC</v>
      </c>
      <c r="AH57" s="78" t="str">
        <f t="shared" si="18"/>
        <v>"%USERPROFILE%\Documents\GitHub\eaglep3\Utilities\RefineRTDCRunTimes.py" --tripid 145-15 --locoid 4042 --swversion DE.1.0.9.0 --startMP 204:455 --initTime 2017-06-15T09:10:03 --startdatetime 2017-06-15T09:15:34 --delay 1 --endMP 204:233288 --enddatetime 2017-06-15T09:50:21 --enforcementcount 0 &gt;&gt;C:\Users\stu\Documents\GitHub\eaglep3-reporting\EC\2017-06-15-refined-times.txt</v>
      </c>
      <c r="AI5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{"issue":{"subject":"","project_id":79,"tracker_id":40,"status_id":1,"priority_id":2,"assigned_to_id":23,"start_date":"2017-06-15","description":"","custom_fields":[{"id":1,"name":"Subdivision","value":"EC"},{"id":4,"name":"Milepost","value":"23.3288"},{"id":17,"name":"Train ID","value":"145-15"},{"id":16,"name":"Locomotive ID","value":"4042"},{"id":130,"name":"Impact","value":""},{"id":150,"name":"Time of Event (Mountain Time)","value":"09:50:21"},{"id":151,"name":"Denver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4042 --day 2017-06-15</v>
      </c>
      <c r="AN5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726</v>
      </c>
      <c r="B58" s="7">
        <v>4041</v>
      </c>
      <c r="C58" s="21" t="s">
        <v>202</v>
      </c>
      <c r="D58" s="21" t="s">
        <v>459</v>
      </c>
      <c r="E58" s="13">
        <v>42901.422824074078</v>
      </c>
      <c r="F58" s="13">
        <v>42901.425173611111</v>
      </c>
      <c r="G58" s="7">
        <v>1</v>
      </c>
      <c r="H58" s="21" t="s">
        <v>194</v>
      </c>
      <c r="I58" s="13">
        <v>42901.451215277775</v>
      </c>
      <c r="J58" s="7">
        <v>0</v>
      </c>
      <c r="K58" s="89" t="str">
        <f t="shared" si="22"/>
        <v>4041/4042</v>
      </c>
      <c r="L58" s="21" t="str">
        <f>VLOOKUP(A58,'Trips&amp;Operators'!$C$1:$G$99999,5,FALSE)</f>
        <v>HELVIE ADAM</v>
      </c>
      <c r="M58" s="6">
        <f t="shared" si="23"/>
        <v>2.6041666664241347E-2</v>
      </c>
      <c r="N58" s="7">
        <f t="shared" si="24"/>
        <v>37.49999999650754</v>
      </c>
      <c r="O58" s="7"/>
      <c r="P58" s="7"/>
      <c r="Q58" s="22"/>
      <c r="R58" s="170"/>
      <c r="S58" s="213">
        <f t="shared" si="25"/>
        <v>1</v>
      </c>
      <c r="T58" s="195" t="str">
        <f t="shared" si="26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-15T09:08:52-0600',mode:absolute,to:'2017-06-15T11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8" s="197" t="str">
        <f>IF(AA58&lt;VLOOKUP(AG58,Variables!$AC$3:$AD$8,2,FALSE),"Y","N")</f>
        <v>N</v>
      </c>
      <c r="X58" s="197">
        <f t="shared" si="27"/>
        <v>1</v>
      </c>
      <c r="Y58" s="197">
        <f t="shared" si="28"/>
        <v>23.296900000000001</v>
      </c>
      <c r="Z58" s="197">
        <f t="shared" si="29"/>
        <v>1.5800000000000002E-2</v>
      </c>
      <c r="AA58" s="197">
        <f t="shared" si="30"/>
        <v>23.281100000000002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31"/>
        <v>146</v>
      </c>
      <c r="AE58" s="77" t="str">
        <f t="shared" si="11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58" s="74" t="str">
        <f t="shared" si="12"/>
        <v>"C:\Program Files (x86)\AstroGrep\AstroGrep.exe" /e /r /s /spath="%USERPROFILE%\AppData\Local\Temp\OnboardLogs" /stypes="app*4041*20170615*" /stext=" 16:.+((SYSTEM_STATE.+slice.+state.+changed )|(ment ac)|(multiple cpu faults)|(system.+state.+changed )|(\[timeout)|(PRM\|1\|D)|(kpr)|(kdp)|(train st.+moving)|(\|lc)|(penalty))"</v>
      </c>
      <c r="AG58" s="209" t="str">
        <f t="shared" si="32"/>
        <v>EC</v>
      </c>
      <c r="AH58" s="78" t="str">
        <f t="shared" si="18"/>
        <v>"%USERPROFILE%\Documents\GitHub\eaglep3\Utilities\RefineRTDCRunTimes.py" --tripid 146-15 --locoid 4041 --swversion DE.1.0.9.0 --startMP 204:232969 --initTime 2017-06-15T10:08:52 --startdatetime 2017-06-15T10:12:15 --delay 1 --endMP 204:158 --enddatetime 2017-06-15T10:49:45 --enforcementcount 0 &gt;&gt;C:\Users\stu\Documents\GitHub\eaglep3-reporting\EC\2017-06-15-refined-times.txt</v>
      </c>
      <c r="AI58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ID","value":"146-15"},{"id":16,"name":"Locomotive ID","value":"4041"},{"id":130,"name":"Impact","value":""},{"id":150,"name":"Time of Event (Mountain Time)","value":"10:49:45"},{"id":151,"name":"Denver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4041 --day 2017-06-15</v>
      </c>
      <c r="AN58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718</v>
      </c>
      <c r="B59" s="7">
        <v>4040</v>
      </c>
      <c r="C59" s="21" t="s">
        <v>202</v>
      </c>
      <c r="D59" s="21" t="s">
        <v>470</v>
      </c>
      <c r="E59" s="13">
        <v>42901.392592592594</v>
      </c>
      <c r="F59" s="13">
        <v>42901.396145833336</v>
      </c>
      <c r="G59" s="7">
        <v>0</v>
      </c>
      <c r="H59" s="21" t="s">
        <v>437</v>
      </c>
      <c r="I59" s="13">
        <v>42901.422280092593</v>
      </c>
      <c r="J59" s="7">
        <v>0</v>
      </c>
      <c r="K59" s="89" t="str">
        <f t="shared" si="22"/>
        <v>4039/4040</v>
      </c>
      <c r="L59" s="21" t="str">
        <f>VLOOKUP(A59,'Trips&amp;Operators'!$C$1:$G$99999,5,FALSE)</f>
        <v>BONDS REYNALDO</v>
      </c>
      <c r="M59" s="6">
        <f t="shared" si="23"/>
        <v>2.6134259256650694E-2</v>
      </c>
      <c r="N59" s="7">
        <f t="shared" si="24"/>
        <v>37.633333329576999</v>
      </c>
      <c r="O59" s="7"/>
      <c r="P59" s="7"/>
      <c r="Q59" s="22"/>
      <c r="R59" s="170"/>
      <c r="S59" s="213">
        <f t="shared" si="25"/>
        <v>1</v>
      </c>
      <c r="T59" s="195" t="str">
        <f t="shared" si="26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-15T08:25:20-0600',mode:absolute,to:'2017-06-15T11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7" t="str">
        <f>IF(AA59&lt;VLOOKUP(AG59,Variables!$AC$3:$AD$8,2,FALSE),"Y","N")</f>
        <v>N</v>
      </c>
      <c r="X59" s="197">
        <f t="shared" si="27"/>
        <v>1</v>
      </c>
      <c r="Y59" s="197">
        <f t="shared" si="28"/>
        <v>4.6899999999999997E-2</v>
      </c>
      <c r="Z59" s="197">
        <f t="shared" si="29"/>
        <v>23.329699999999999</v>
      </c>
      <c r="AA59" s="197">
        <f t="shared" si="30"/>
        <v>23.282799999999998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31"/>
        <v>147</v>
      </c>
      <c r="AE59" s="77" t="str">
        <f t="shared" si="11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59" s="74" t="str">
        <f t="shared" si="12"/>
        <v>"C:\Program Files (x86)\AstroGrep\AstroGrep.exe" /e /r /s /spath="%USERPROFILE%\AppData\Local\Temp\OnboardLogs" /stypes="app*4040*20170615*" /stext=" 16:.+((SYSTEM_STATE.+slice.+state.+changed )|(ment ac)|(multiple cpu faults)|(system.+state.+changed )|(\[timeout)|(PRM\|1\|D)|(kpr)|(kdp)|(train st.+moving)|(\|lc)|(penalty))"</v>
      </c>
      <c r="AG59" s="209" t="str">
        <f t="shared" si="32"/>
        <v>EC</v>
      </c>
      <c r="AH59" s="78" t="str">
        <f t="shared" si="18"/>
        <v>"%USERPROFILE%\Documents\GitHub\eaglep3\Utilities\RefineRTDCRunTimes.py" --tripid 147-15 --locoid 4040 --swversion DE.1.0.9.0 --startMP 204:469 --initTime 2017-06-15T09:25:20 --startdatetime 2017-06-15T09:30:27 --delay 0 --endMP 204:233297 --enddatetime 2017-06-15T10:08:05 --enforcementcount 0 &gt;&gt;C:\Users\stu\Documents\GitHub\eaglep3-reporting\EC\2017-06-15-refined-times.txt</v>
      </c>
      <c r="AI59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{"issue":{"subject":"","project_id":79,"tracker_id":40,"status_id":1,"priority_id":2,"assigned_to_id":23,"start_date":"2017-06-15","description":"","custom_fields":[{"id":1,"name":"Subdivision","value":"EC"},{"id":4,"name":"Milepost","value":"23.3297"},{"id":17,"name":"Train ID","value":"147-15"},{"id":16,"name":"Locomotive ID","value":"4040"},{"id":130,"name":"Impact","value":""},{"id":150,"name":"Time of Event (Mountain Time)","value":"10:08:05"},{"id":151,"name":"Denver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4040 --day 2017-06-15</v>
      </c>
      <c r="AN59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729</v>
      </c>
      <c r="B60" s="7">
        <v>4039</v>
      </c>
      <c r="C60" s="21" t="s">
        <v>202</v>
      </c>
      <c r="D60" s="21" t="s">
        <v>577</v>
      </c>
      <c r="E60" s="13">
        <v>42901.432789351849</v>
      </c>
      <c r="F60" s="13">
        <v>42901.435624999998</v>
      </c>
      <c r="G60" s="7">
        <v>1</v>
      </c>
      <c r="H60" s="21" t="s">
        <v>351</v>
      </c>
      <c r="I60" s="13">
        <v>42901.463020833333</v>
      </c>
      <c r="J60" s="7">
        <v>0</v>
      </c>
      <c r="K60" s="89" t="str">
        <f t="shared" si="22"/>
        <v>4039/4040</v>
      </c>
      <c r="L60" s="21" t="str">
        <f>VLOOKUP(A60,'Trips&amp;Operators'!$C$1:$G$99999,5,FALSE)</f>
        <v>BONDS REYNALDO</v>
      </c>
      <c r="M60" s="6">
        <f t="shared" si="23"/>
        <v>2.7395833334594499E-2</v>
      </c>
      <c r="N60" s="7">
        <f t="shared" si="24"/>
        <v>39.450000001816079</v>
      </c>
      <c r="O60" s="7"/>
      <c r="P60" s="7"/>
      <c r="Q60" s="22"/>
      <c r="R60" s="170"/>
      <c r="S60" s="213">
        <f t="shared" si="25"/>
        <v>1</v>
      </c>
      <c r="T60" s="195" t="str">
        <f t="shared" si="26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-15T09:23:13-0600',mode:absolute,to:'2017-06-15T12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7" t="str">
        <f>IF(AA60&lt;VLOOKUP(AG60,Variables!$AC$3:$AD$8,2,FALSE),"Y","N")</f>
        <v>N</v>
      </c>
      <c r="X60" s="197">
        <f t="shared" si="27"/>
        <v>1</v>
      </c>
      <c r="Y60" s="197">
        <f t="shared" si="28"/>
        <v>23.297899999999998</v>
      </c>
      <c r="Z60" s="197">
        <f t="shared" si="29"/>
        <v>1.43E-2</v>
      </c>
      <c r="AA60" s="197">
        <f t="shared" si="30"/>
        <v>23.2836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31"/>
        <v>148</v>
      </c>
      <c r="AE60" s="77" t="str">
        <f t="shared" si="11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60" s="74" t="str">
        <f t="shared" si="12"/>
        <v>"C:\Program Files (x86)\AstroGrep\AstroGrep.exe" /e /r /s /spath="%USERPROFILE%\AppData\Local\Temp\OnboardLogs" /stypes="app*4039*20170615*" /stext=" 17:.+((SYSTEM_STATE.+slice.+state.+changed )|(ment ac)|(multiple cpu faults)|(system.+state.+changed )|(\[timeout)|(PRM\|1\|D)|(kpr)|(kdp)|(train st.+moving)|(\|lc)|(penalty))"</v>
      </c>
      <c r="AG60" s="209" t="str">
        <f t="shared" si="32"/>
        <v>EC</v>
      </c>
      <c r="AH60" s="78" t="str">
        <f t="shared" si="18"/>
        <v>"%USERPROFILE%\Documents\GitHub\eaglep3\Utilities\RefineRTDCRunTimes.py" --tripid 148-15 --locoid 4039 --swversion DE.1.0.9.0 --startMP 204:232979 --initTime 2017-06-15T10:23:13 --startdatetime 2017-06-15T10:27:18 --delay 1 --endMP 204:143 --enddatetime 2017-06-15T11:06:45 --enforcementcount 0 &gt;&gt;C:\Users\stu\Documents\GitHub\eaglep3-reporting\EC\2017-06-15-refined-times.txt</v>
      </c>
      <c r="AI60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{"issue":{"subject":"","project_id":79,"tracker_id":40,"status_id":1,"priority_id":2,"assigned_to_id":23,"start_date":"2017-06-15","description":"","custom_fields":[{"id":1,"name":"Subdivision","value":"EC"},{"id":4,"name":"Milepost","value":"0.0143"},{"id":17,"name":"Train ID","value":"148-15"},{"id":16,"name":"Locomotive ID","value":"4039"},{"id":130,"name":"Impact","value":""},{"id":150,"name":"Time of Event (Mountain Time)","value":"11:06:45"},{"id":151,"name":"Denver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4039 --day 2017-06-15</v>
      </c>
      <c r="AN60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720</v>
      </c>
      <c r="B61" s="7">
        <v>4022</v>
      </c>
      <c r="C61" s="21" t="s">
        <v>202</v>
      </c>
      <c r="D61" s="21" t="s">
        <v>392</v>
      </c>
      <c r="E61" s="13">
        <v>42901.402418981481</v>
      </c>
      <c r="F61" s="13">
        <v>42901.406423611108</v>
      </c>
      <c r="G61" s="7">
        <v>1</v>
      </c>
      <c r="H61" s="21" t="s">
        <v>584</v>
      </c>
      <c r="I61" s="13">
        <v>42901.430960648147</v>
      </c>
      <c r="J61" s="7">
        <v>0</v>
      </c>
      <c r="K61" s="89" t="str">
        <f t="shared" si="22"/>
        <v>4021/4022</v>
      </c>
      <c r="L61" s="21" t="str">
        <f>VLOOKUP(A61,'Trips&amp;Operators'!$C$1:$G$99999,5,FALSE)</f>
        <v>GEBRETEKLE DAGNEW</v>
      </c>
      <c r="M61" s="6">
        <f t="shared" si="23"/>
        <v>2.453703703940846E-2</v>
      </c>
      <c r="N61" s="7">
        <f t="shared" si="24"/>
        <v>35.333333336748183</v>
      </c>
      <c r="O61" s="7"/>
      <c r="P61" s="7"/>
      <c r="Q61" s="22"/>
      <c r="R61" s="170"/>
      <c r="S61" s="213">
        <f t="shared" si="25"/>
        <v>1</v>
      </c>
      <c r="T61" s="195" t="str">
        <f t="shared" si="26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-15T08:39:29-0600',mode:absolute,to:'2017-06-15T11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1" s="197" t="str">
        <f>IF(AA61&lt;VLOOKUP(AG61,Variables!$AC$3:$AD$8,2,FALSE),"Y","N")</f>
        <v>N</v>
      </c>
      <c r="X61" s="197">
        <f t="shared" si="27"/>
        <v>1</v>
      </c>
      <c r="Y61" s="197">
        <f t="shared" si="28"/>
        <v>4.6199999999999998E-2</v>
      </c>
      <c r="Z61" s="197">
        <f t="shared" si="29"/>
        <v>23.327200000000001</v>
      </c>
      <c r="AA61" s="197">
        <f t="shared" si="30"/>
        <v>23.281000000000002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31"/>
        <v>149</v>
      </c>
      <c r="AE61" s="77" t="str">
        <f t="shared" si="11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61" s="74" t="str">
        <f t="shared" si="12"/>
        <v>"C:\Program Files (x86)\AstroGrep\AstroGrep.exe" /e /r /s /spath="%USERPROFILE%\AppData\Local\Temp\OnboardLogs" /stypes="app*4022*20170615*" /stext=" 16:.+((SYSTEM_STATE.+slice.+state.+changed )|(ment ac)|(multiple cpu faults)|(system.+state.+changed )|(\[timeout)|(PRM\|1\|D)|(kpr)|(kdp)|(train st.+moving)|(\|lc)|(penalty))"</v>
      </c>
      <c r="AG61" s="209" t="str">
        <f t="shared" si="32"/>
        <v>EC</v>
      </c>
      <c r="AH61" s="78" t="str">
        <f t="shared" si="18"/>
        <v>"%USERPROFILE%\Documents\GitHub\eaglep3\Utilities\RefineRTDCRunTimes.py" --tripid 149-15 --locoid 4022 --swversion DE.1.0.9.0 --startMP 204:462 --initTime 2017-06-15T09:39:29 --startdatetime 2017-06-15T09:45:15 --delay 1 --endMP 204:233272 --enddatetime 2017-06-15T10:20:35 --enforcementcount 0 &gt;&gt;C:\Users\stu\Documents\GitHub\eaglep3-reporting\EC\2017-06-15-refined-times.txt</v>
      </c>
      <c r="AI61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{"issue":{"subject":"","project_id":79,"tracker_id":40,"status_id":1,"priority_id":2,"assigned_to_id":23,"start_date":"2017-06-15","description":"","custom_fields":[{"id":1,"name":"Subdivision","value":"EC"},{"id":4,"name":"Milepost","value":"23.3272"},{"id":17,"name":"Train ID","value":"149-15"},{"id":16,"name":"Locomotive ID","value":"4022"},{"id":130,"name":"Impact","value":""},{"id":150,"name":"Time of Event (Mountain Time)","value":"10:20:35"},{"id":151,"name":"Denver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4022 --day 2017-06-15</v>
      </c>
      <c r="AN61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728</v>
      </c>
      <c r="B62" s="7">
        <v>4021</v>
      </c>
      <c r="C62" s="21" t="s">
        <v>202</v>
      </c>
      <c r="D62" s="21" t="s">
        <v>854</v>
      </c>
      <c r="E62" s="13">
        <v>42901.431990740741</v>
      </c>
      <c r="F62" s="13">
        <v>42901.446226851855</v>
      </c>
      <c r="G62" s="7">
        <v>0</v>
      </c>
      <c r="H62" s="21" t="s">
        <v>350</v>
      </c>
      <c r="I62" s="13">
        <v>42901.472141203703</v>
      </c>
      <c r="J62" s="7">
        <v>0</v>
      </c>
      <c r="K62" s="89" t="str">
        <f t="shared" si="22"/>
        <v>4021/4022</v>
      </c>
      <c r="L62" s="21" t="str">
        <f>VLOOKUP(A62,'Trips&amp;Operators'!$C$1:$G$99999,5,FALSE)</f>
        <v>GEBRETEKLE DAGNEW</v>
      </c>
      <c r="M62" s="6">
        <f t="shared" si="23"/>
        <v>2.5914351848769002E-2</v>
      </c>
      <c r="N62" s="7">
        <f t="shared" si="24"/>
        <v>37.316666662227362</v>
      </c>
      <c r="O62" s="7"/>
      <c r="P62" s="7"/>
      <c r="Q62" s="22"/>
      <c r="R62" s="170"/>
      <c r="S62" s="213">
        <f t="shared" si="25"/>
        <v>1</v>
      </c>
      <c r="T62" s="195" t="str">
        <f t="shared" si="26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-15T09:22:04-0600',mode:absolute,to:'2017-06-15T12:19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2" s="197" t="str">
        <f>IF(AA62&lt;VLOOKUP(AG62,Variables!$AC$3:$AD$8,2,FALSE),"Y","N")</f>
        <v>N</v>
      </c>
      <c r="X62" s="197">
        <f t="shared" si="27"/>
        <v>1</v>
      </c>
      <c r="Y62" s="197">
        <f t="shared" si="28"/>
        <v>23.294599999999999</v>
      </c>
      <c r="Z62" s="197">
        <f t="shared" si="29"/>
        <v>1.49E-2</v>
      </c>
      <c r="AA62" s="197">
        <f t="shared" si="30"/>
        <v>23.279699999999998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31"/>
        <v>150</v>
      </c>
      <c r="AE62" s="77" t="str">
        <f t="shared" si="11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62" s="74" t="str">
        <f t="shared" si="12"/>
        <v>"C:\Program Files (x86)\AstroGrep\AstroGrep.exe" /e /r /s /spath="%USERPROFILE%\AppData\Local\Temp\OnboardLogs" /stypes="app*4021*20170615*" /stext=" 17:.+((SYSTEM_STATE.+slice.+state.+changed )|(ment ac)|(multiple cpu faults)|(system.+state.+changed )|(\[timeout)|(PRM\|1\|D)|(kpr)|(kdp)|(train st.+moving)|(\|lc)|(penalty))"</v>
      </c>
      <c r="AG62" s="209" t="str">
        <f t="shared" si="32"/>
        <v>EC</v>
      </c>
      <c r="AH62" s="78" t="str">
        <f t="shared" si="18"/>
        <v>"%USERPROFILE%\Documents\GitHub\eaglep3\Utilities\RefineRTDCRunTimes.py" --tripid 150-15 --locoid 4021 --swversion DE.1.0.9.0 --startMP 204:232946 --initTime 2017-06-15T10:22:04 --startdatetime 2017-06-15T10:42:34 --delay 0 --endMP 204:149 --enddatetime 2017-06-15T11:19:53 --enforcementcount 0 &gt;&gt;C:\Users\stu\Documents\GitHub\eaglep3-reporting\EC\2017-06-15-refined-times.txt</v>
      </c>
      <c r="AI62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{"issue":{"subject":"","project_id":79,"tracker_id":40,"status_id":1,"priority_id":2,"assigned_to_id":23,"start_date":"2017-06-15","description":"","custom_fields":[{"id":1,"name":"Subdivision","value":"EC"},{"id":4,"name":"Milepost","value":"0.0149"},{"id":17,"name":"Train ID","value":"150-15"},{"id":16,"name":"Locomotive ID","value":"4021"},{"id":130,"name":"Impact","value":""},{"id":150,"name":"Time of Event (Mountain Time)","value":"11:19:53"},{"id":151,"name":"Denver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4021 --day 2017-06-15</v>
      </c>
      <c r="AN62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17:19:53"},{"id":29,"name":"Sharepoint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721</v>
      </c>
      <c r="B63" s="7">
        <v>4002</v>
      </c>
      <c r="C63" s="21" t="s">
        <v>202</v>
      </c>
      <c r="D63" s="21" t="s">
        <v>199</v>
      </c>
      <c r="E63" s="13">
        <v>42901.412685185183</v>
      </c>
      <c r="F63" s="13">
        <v>42901.416828703703</v>
      </c>
      <c r="G63" s="7">
        <v>0</v>
      </c>
      <c r="H63" s="21" t="s">
        <v>494</v>
      </c>
      <c r="I63" s="13">
        <v>42901.442256944443</v>
      </c>
      <c r="J63" s="7">
        <v>0</v>
      </c>
      <c r="K63" s="89" t="str">
        <f t="shared" si="22"/>
        <v>4001/4002</v>
      </c>
      <c r="L63" s="21" t="str">
        <f>VLOOKUP(A63,'Trips&amp;Operators'!$C$1:$G$99999,5,FALSE)</f>
        <v>GUZMAN DANNY</v>
      </c>
      <c r="M63" s="6">
        <f t="shared" si="23"/>
        <v>2.5428240740438923E-2</v>
      </c>
      <c r="N63" s="7">
        <f t="shared" si="24"/>
        <v>36.616666666232049</v>
      </c>
      <c r="O63" s="7"/>
      <c r="P63" s="7"/>
      <c r="Q63" s="22"/>
      <c r="R63" s="170"/>
      <c r="S63" s="213">
        <f t="shared" si="25"/>
        <v>1</v>
      </c>
      <c r="T63" s="195" t="str">
        <f t="shared" si="26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-15T08:54:16-0600',mode:absolute,to:'2017-06-15T11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3" s="197" t="str">
        <f>IF(AA63&lt;VLOOKUP(AG63,Variables!$AC$3:$AD$8,2,FALSE),"Y","N")</f>
        <v>N</v>
      </c>
      <c r="X63" s="197">
        <f t="shared" si="27"/>
        <v>1</v>
      </c>
      <c r="Y63" s="197">
        <f t="shared" si="28"/>
        <v>4.5999999999999999E-2</v>
      </c>
      <c r="Z63" s="197">
        <f t="shared" si="29"/>
        <v>23.331</v>
      </c>
      <c r="AA63" s="197">
        <f t="shared" si="30"/>
        <v>23.285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31"/>
        <v>151</v>
      </c>
      <c r="AE63" s="77" t="str">
        <f t="shared" si="11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63" s="74" t="str">
        <f t="shared" si="12"/>
        <v>"C:\Program Files (x86)\AstroGrep\AstroGrep.exe" /e /r /s /spath="%USERPROFILE%\AppData\Local\Temp\OnboardLogs" /stypes="app*4002*20170615*" /stext=" 16:.+((SYSTEM_STATE.+slice.+state.+changed )|(ment ac)|(multiple cpu faults)|(system.+state.+changed )|(\[timeout)|(PRM\|1\|D)|(kpr)|(kdp)|(train st.+moving)|(\|lc)|(penalty))"</v>
      </c>
      <c r="AG63" s="209" t="str">
        <f t="shared" si="32"/>
        <v>EC</v>
      </c>
      <c r="AH63" s="78" t="str">
        <f t="shared" si="18"/>
        <v>"%USERPROFILE%\Documents\GitHub\eaglep3\Utilities\RefineRTDCRunTimes.py" --tripid 151-15 --locoid 4002 --swversion DE.1.0.9.0 --startMP 204:460 --initTime 2017-06-15T09:54:16 --startdatetime 2017-06-15T10:00:14 --delay 0 --endMP 204:233310 --enddatetime 2017-06-15T10:36:51 --enforcementcount 0 &gt;&gt;C:\Users\stu\Documents\GitHub\eaglep3-reporting\EC\2017-06-15-refined-times.txt</v>
      </c>
      <c r="AI63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{"issue":{"subject":"","project_id":79,"tracker_id":40,"status_id":1,"priority_id":2,"assigned_to_id":23,"start_date":"2017-06-15","description":"","custom_fields":[{"id":1,"name":"Subdivision","value":"EC"},{"id":4,"name":"Milepost","value":"23.331"},{"id":17,"name":"Train ID","value":"151-15"},{"id":16,"name":"Locomotive ID","value":"4002"},{"id":130,"name":"Impact","value":""},{"id":150,"name":"Time of Event (Mountain Time)","value":"10:36:51"},{"id":151,"name":"Denver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4002 --day 2017-06-15</v>
      </c>
      <c r="AN63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731</v>
      </c>
      <c r="B64" s="7">
        <v>4001</v>
      </c>
      <c r="C64" s="21" t="s">
        <v>202</v>
      </c>
      <c r="D64" s="21" t="s">
        <v>463</v>
      </c>
      <c r="E64" s="13">
        <v>42901.444895833331</v>
      </c>
      <c r="F64" s="13">
        <v>42901.478055555555</v>
      </c>
      <c r="G64" s="7">
        <v>1</v>
      </c>
      <c r="H64" s="21" t="s">
        <v>855</v>
      </c>
      <c r="I64" s="13">
        <v>42901.484988425924</v>
      </c>
      <c r="J64" s="7">
        <v>0</v>
      </c>
      <c r="K64" s="89" t="str">
        <f t="shared" si="22"/>
        <v>4001/4002</v>
      </c>
      <c r="L64" s="21" t="str">
        <f>VLOOKUP(A64,'Trips&amp;Operators'!$C$1:$G$99999,5,FALSE)</f>
        <v>GUZMAN DANNY</v>
      </c>
      <c r="M64" s="6">
        <f t="shared" si="23"/>
        <v>6.9328703684732318E-3</v>
      </c>
      <c r="N64" s="7"/>
      <c r="O64" s="7"/>
      <c r="P64" s="7">
        <f>24*60*SUM($M64:$M64)</f>
        <v>9.9833333306014538</v>
      </c>
      <c r="Q64" s="22"/>
      <c r="R64" s="170" t="s">
        <v>605</v>
      </c>
      <c r="S64" s="213">
        <f>SUM(U64:U65)/IF(AG64="EC",12,1)</f>
        <v>1</v>
      </c>
      <c r="T64" s="195" t="str">
        <f t="shared" si="26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9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-15T09:40:39-0600',mode:absolute,to:'2017-06-15T12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4" s="197" t="str">
        <f>IF(AA64&lt;VLOOKUP(AG64,Variables!$AC$3:$AD$8,2,FALSE),"Y","N")</f>
        <v>Y</v>
      </c>
      <c r="X64" s="197">
        <f t="shared" si="27"/>
        <v>1</v>
      </c>
      <c r="Y64" s="197">
        <f t="shared" si="28"/>
        <v>23.2987</v>
      </c>
      <c r="Z64" s="197">
        <f t="shared" si="29"/>
        <v>3.6778</v>
      </c>
      <c r="AA64" s="197">
        <f t="shared" si="30"/>
        <v>19.620899999999999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31"/>
        <v>152</v>
      </c>
      <c r="AE64" s="77" t="str">
        <f t="shared" si="11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64" s="74" t="str">
        <f t="shared" si="12"/>
        <v>"C:\Program Files (x86)\AstroGrep\AstroGrep.exe" /e /r /s /spath="%USERPROFILE%\AppData\Local\Temp\OnboardLogs" /stypes="app*4001*20170615*" /stext=" 17:.+((SYSTEM_STATE.+slice.+state.+changed )|(ment ac)|(multiple cpu faults)|(system.+state.+changed )|(\[timeout)|(PRM\|1\|D)|(kpr)|(kdp)|(train st.+moving)|(\|lc)|(penalty))"</v>
      </c>
      <c r="AG64" s="209" t="str">
        <f t="shared" si="32"/>
        <v>EC</v>
      </c>
      <c r="AH64" s="78" t="str">
        <f t="shared" si="18"/>
        <v>"%USERPROFILE%\Documents\GitHub\eaglep3\Utilities\RefineRTDCRunTimes.py" --tripid 152-15 --locoid 4001 --swversion DE.1.0.9.0 --startMP 204:232987 --initTime 2017-06-15T10:40:39 --startdatetime 2017-06-15T11:28:24 --delay 1 --endMP 204:36778 --enddatetime 2017-06-15T11:38:23 --enforcementcount 0 &gt;&gt;C:\Users\stu\Documents\GitHub\eaglep3-reporting\EC\2017-06-15-refined-times.txt</v>
      </c>
      <c r="AI64" s="96" t="str">
        <f t="shared" si="19"/>
        <v>echo {"issue":{"subject":"Minor onboard in-route failure caused comm outage","project_id":79,"tracker_id":40,"status_id":1,"priority_id":2,"assigned_to_id":23,"start_date":"2017-06-15","description":"","custom_fields":[{"id":1,"name":"Subdivision","value":"EC"},{"id":4,"name":"Milepost","value":"3.6778"},{"id":17,"name":"Train ID","value":"152-15"},{"id":16,"name":"Locomotive ID","value":"4001"},{"id":130,"name":"Impact","value":""},{"id":150,"name":"Time of Event (Mountain Time)","value":"11:38:23"},{"id":151,"name":"Denver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4001 --day 2017-06-15</v>
      </c>
      <c r="AN64" s="151" t="str">
        <f t="shared" si="21"/>
        <v>echo {"issue":{"subject":"Minor onboard in-route failure caused comm outage","project_id":30,"tracker_id":4,"status_id":1,"priority_id":1,"assigned_to_id":10,"start_date":"2017-06-15","description":"","custom_fields":[{"id":30,"name":"Category","value":"Issue"},{"id":3,"name":"Functional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731</v>
      </c>
      <c r="B65" s="7">
        <v>4001</v>
      </c>
      <c r="C65" s="21" t="s">
        <v>202</v>
      </c>
      <c r="D65" s="21" t="s">
        <v>856</v>
      </c>
      <c r="E65" s="13">
        <v>42901.477129629631</v>
      </c>
      <c r="F65" s="13">
        <v>42901.478055555555</v>
      </c>
      <c r="G65" s="7">
        <v>1</v>
      </c>
      <c r="H65" s="21" t="s">
        <v>527</v>
      </c>
      <c r="I65" s="13">
        <v>42901.484988425924</v>
      </c>
      <c r="J65" s="7">
        <v>0</v>
      </c>
      <c r="K65" s="89" t="str">
        <f t="shared" si="22"/>
        <v>4001/4002</v>
      </c>
      <c r="L65" s="21" t="str">
        <f>VLOOKUP(A65,'Trips&amp;Operators'!$C$1:$G$99999,5,FALSE)</f>
        <v>GUZMAN DANNY</v>
      </c>
      <c r="M65" s="6">
        <f t="shared" si="23"/>
        <v>6.9328703684732318E-3</v>
      </c>
      <c r="N65" s="7"/>
      <c r="O65" s="7"/>
      <c r="P65" s="7"/>
      <c r="Q65" s="22"/>
      <c r="R65" s="170"/>
      <c r="S65" s="213"/>
      <c r="T65" s="195" t="str">
        <f t="shared" si="26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3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-15T10:27:04-0600',mode:absolute,to:'2017-06-15T12:38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5" s="197" t="str">
        <f>IF(AA65&lt;VLOOKUP(AG65,Variables!$AC$3:$AD$8,2,FALSE),"Y","N")</f>
        <v>Y</v>
      </c>
      <c r="X65" s="197">
        <f t="shared" si="27"/>
        <v>0</v>
      </c>
      <c r="Y65" s="197">
        <f t="shared" si="28"/>
        <v>3.6779000000000002</v>
      </c>
      <c r="Z65" s="197">
        <f t="shared" si="29"/>
        <v>1.6299999999999999E-2</v>
      </c>
      <c r="AA65" s="197">
        <f t="shared" si="30"/>
        <v>3.6616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31"/>
        <v>152</v>
      </c>
      <c r="AE65" s="77" t="str">
        <f t="shared" si="11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65" s="74" t="str">
        <f t="shared" si="12"/>
        <v>"C:\Program Files (x86)\AstroGrep\AstroGrep.exe" /e /r /s /spath="%USERPROFILE%\AppData\Local\Temp\OnboardLogs" /stypes="app*4001*20170615*" /stext=" 17:.+((SYSTEM_STATE.+slice.+state.+changed )|(ment ac)|(multiple cpu faults)|(system.+state.+changed )|(\[timeout)|(PRM\|1\|D)|(kpr)|(kdp)|(train st.+moving)|(\|lc)|(penalty))"</v>
      </c>
      <c r="AG65" s="209" t="str">
        <f t="shared" si="32"/>
        <v>EC</v>
      </c>
      <c r="AH65" s="78" t="str">
        <f t="shared" si="18"/>
        <v>"%USERPROFILE%\Documents\GitHub\eaglep3\Utilities\RefineRTDCRunTimes.py" --tripid 152-15 --locoid 4001 --swversion DE.1.0.9.0 --startMP 204:36779 --initTime 2017-06-15T11:27:04 --startdatetime 2017-06-15T11:28:24 --delay 1 --endMP 204:163 --enddatetime 2017-06-15T11:38:23 --enforcementcount 0 &gt;&gt;C:\Users\stu\Documents\GitHub\eaglep3-reporting\EC\2017-06-15-refined-times.txt</v>
      </c>
      <c r="AI6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ID","value":"152-15"},{"id":16,"name":"Locomotive ID","value":"4001"},{"id":130,"name":"Impact","value":""},{"id":150,"name":"Time of Event (Mountain Time)","value":"11:38:23"},{"id":151,"name":"Denver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4001 --day 2017-06-15</v>
      </c>
      <c r="AN6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17:38:23"},{"id":29,"name":"Sharepoint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727</v>
      </c>
      <c r="B66" s="7">
        <v>4024</v>
      </c>
      <c r="C66" s="21" t="s">
        <v>202</v>
      </c>
      <c r="D66" s="21" t="s">
        <v>392</v>
      </c>
      <c r="E66" s="13">
        <v>42901.424571759257</v>
      </c>
      <c r="F66" s="13">
        <v>42901.427256944444</v>
      </c>
      <c r="G66" s="7">
        <v>1</v>
      </c>
      <c r="H66" s="21" t="s">
        <v>452</v>
      </c>
      <c r="I66" s="13">
        <v>42901.452835648146</v>
      </c>
      <c r="J66" s="7">
        <v>0</v>
      </c>
      <c r="K66" s="89" t="str">
        <f t="shared" si="22"/>
        <v>4023/4024</v>
      </c>
      <c r="L66" s="21" t="str">
        <f>VLOOKUP(A66,'Trips&amp;Operators'!$C$1:$G$99999,5,FALSE)</f>
        <v>DAVIS WENDY</v>
      </c>
      <c r="M66" s="6">
        <f t="shared" si="23"/>
        <v>2.5578703702194616E-2</v>
      </c>
      <c r="N66" s="7">
        <f t="shared" ref="N66:N80" si="33">24*60*SUM($M66:$M66)</f>
        <v>36.833333331160247</v>
      </c>
      <c r="O66" s="7"/>
      <c r="P66" s="7"/>
      <c r="Q66" s="22"/>
      <c r="R66" s="170"/>
      <c r="S66" s="213">
        <f t="shared" ref="S66:S81" si="34">SUM(U66:U66)/IF(AG66="EC",12,1)</f>
        <v>1</v>
      </c>
      <c r="T66" s="195" t="str">
        <f t="shared" si="26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-15T09:11:23-0600',mode:absolute,to:'2017-06-15T11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6" s="197" t="str">
        <f>IF(AA66&lt;VLOOKUP(AG66,Variables!$AC$3:$AD$8,2,FALSE),"Y","N")</f>
        <v>N</v>
      </c>
      <c r="X66" s="197">
        <f t="shared" si="27"/>
        <v>1</v>
      </c>
      <c r="Y66" s="197">
        <f t="shared" si="28"/>
        <v>4.6199999999999998E-2</v>
      </c>
      <c r="Z66" s="197">
        <f t="shared" si="29"/>
        <v>23.330300000000001</v>
      </c>
      <c r="AA66" s="197">
        <f t="shared" si="30"/>
        <v>23.284100000000002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31"/>
        <v>153</v>
      </c>
      <c r="AE66" s="77" t="str">
        <f t="shared" si="11"/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66" s="74" t="str">
        <f t="shared" si="12"/>
        <v>"C:\Program Files (x86)\AstroGrep\AstroGrep.exe" /e /r /s /spath="%USERPROFILE%\AppData\Local\Temp\OnboardLogs" /stypes="app*4024*20170615*" /stext=" 16:.+((SYSTEM_STATE.+slice.+state.+changed )|(ment ac)|(multiple cpu faults)|(system.+state.+changed )|(\[timeout)|(PRM\|1\|D)|(kpr)|(kdp)|(train st.+moving)|(\|lc)|(penalty))"</v>
      </c>
      <c r="AG66" s="209" t="str">
        <f t="shared" si="32"/>
        <v>EC</v>
      </c>
      <c r="AH66" s="78" t="str">
        <f t="shared" si="18"/>
        <v>"%USERPROFILE%\Documents\GitHub\eaglep3\Utilities\RefineRTDCRunTimes.py" --tripid 153-15 --locoid 4024 --swversion DE.1.0.9.0 --startMP 204:462 --initTime 2017-06-15T10:11:23 --startdatetime 2017-06-15T10:15:15 --delay 1 --endMP 204:233303 --enddatetime 2017-06-15T10:52:05 --enforcementcount 0 &gt;&gt;C:\Users\stu\Documents\GitHub\eaglep3-reporting\EC\2017-06-15-refined-times.txt</v>
      </c>
      <c r="AI6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{"issue":{"subject":"","project_id":79,"tracker_id":40,"status_id":1,"priority_id":2,"assigned_to_id":23,"start_date":"2017-06-15","description":"","custom_fields":[{"id":1,"name":"Subdivision","value":"EC"},{"id":4,"name":"Milepost","value":"23.3303"},{"id":17,"name":"Train ID","value":"153-15"},{"id":16,"name":"Locomotive ID","value":"4024"},{"id":130,"name":"Impact","value":""},{"id":150,"name":"Time of Event (Mountain Time)","value":"10:52:05"},{"id":151,"name":"Denver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4024 --day 2017-06-15</v>
      </c>
      <c r="AN6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736</v>
      </c>
      <c r="B67" s="7">
        <v>4023</v>
      </c>
      <c r="C67" s="21" t="s">
        <v>202</v>
      </c>
      <c r="D67" s="21" t="s">
        <v>570</v>
      </c>
      <c r="E67" s="13">
        <v>42901.464513888888</v>
      </c>
      <c r="F67" s="13">
        <v>42901.466805555552</v>
      </c>
      <c r="G67" s="7">
        <v>1</v>
      </c>
      <c r="H67" s="21" t="s">
        <v>496</v>
      </c>
      <c r="I67" s="13">
        <v>42901.494155092594</v>
      </c>
      <c r="J67" s="7">
        <v>0</v>
      </c>
      <c r="K67" s="89" t="str">
        <f t="shared" si="22"/>
        <v>4023/4024</v>
      </c>
      <c r="L67" s="21" t="str">
        <f>VLOOKUP(A67,'Trips&amp;Operators'!$C$1:$G$99999,5,FALSE)</f>
        <v>DAVIS WENDY</v>
      </c>
      <c r="M67" s="6">
        <f t="shared" si="23"/>
        <v>2.7349537042027805E-2</v>
      </c>
      <c r="N67" s="7">
        <f t="shared" si="33"/>
        <v>39.383333340520039</v>
      </c>
      <c r="O67" s="7"/>
      <c r="P67" s="7"/>
      <c r="Q67" s="22"/>
      <c r="R67" s="170"/>
      <c r="S67" s="213">
        <f t="shared" si="34"/>
        <v>1</v>
      </c>
      <c r="T67" s="195" t="str">
        <f t="shared" si="26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-15T10:08:54-0600',mode:absolute,to:'2017-06-15T12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7" s="197" t="str">
        <f>IF(AA67&lt;VLOOKUP(AG67,Variables!$AC$3:$AD$8,2,FALSE),"Y","N")</f>
        <v>N</v>
      </c>
      <c r="X67" s="197">
        <f t="shared" si="27"/>
        <v>1</v>
      </c>
      <c r="Y67" s="197">
        <f t="shared" si="28"/>
        <v>23.298400000000001</v>
      </c>
      <c r="Z67" s="197">
        <f t="shared" si="29"/>
        <v>1.6E-2</v>
      </c>
      <c r="AA67" s="197">
        <f t="shared" si="30"/>
        <v>23.282400000000003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31"/>
        <v>154</v>
      </c>
      <c r="AE67" s="77" t="str">
        <f t="shared" si="11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67" s="74" t="str">
        <f t="shared" si="12"/>
        <v>"C:\Program Files (x86)\AstroGrep\AstroGrep.exe" /e /r /s /spath="%USERPROFILE%\AppData\Local\Temp\OnboardLogs" /stypes="app*4023*20170615*" /stext=" 17:.+((SYSTEM_STATE.+slice.+state.+changed )|(ment ac)|(multiple cpu faults)|(system.+state.+changed )|(\[timeout)|(PRM\|1\|D)|(kpr)|(kdp)|(train st.+moving)|(\|lc)|(penalty))"</v>
      </c>
      <c r="AG67" s="209" t="str">
        <f t="shared" si="32"/>
        <v>EC</v>
      </c>
      <c r="AH67" s="78" t="str">
        <f t="shared" si="18"/>
        <v>"%USERPROFILE%\Documents\GitHub\eaglep3\Utilities\RefineRTDCRunTimes.py" --tripid 154-15 --locoid 4023 --swversion DE.1.0.9.0 --startMP 204:232984 --initTime 2017-06-15T11:08:54 --startdatetime 2017-06-15T11:12:12 --delay 1 --endMP 204:160 --enddatetime 2017-06-15T11:51:35 --enforcementcount 0 &gt;&gt;C:\Users\stu\Documents\GitHub\eaglep3-reporting\EC\2017-06-15-refined-times.txt</v>
      </c>
      <c r="AI6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ID","value":"154-15"},{"id":16,"name":"Locomotive ID","value":"4023"},{"id":130,"name":"Impact","value":""},{"id":150,"name":"Time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4023 --day 2017-06-15</v>
      </c>
      <c r="AN6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730</v>
      </c>
      <c r="B68" s="7">
        <v>4006</v>
      </c>
      <c r="C68" s="21" t="s">
        <v>202</v>
      </c>
      <c r="D68" s="21" t="s">
        <v>356</v>
      </c>
      <c r="E68" s="13">
        <v>42901.433749999997</v>
      </c>
      <c r="F68" s="13">
        <v>42901.437708333331</v>
      </c>
      <c r="G68" s="7">
        <v>1</v>
      </c>
      <c r="H68" s="21" t="s">
        <v>857</v>
      </c>
      <c r="I68" s="13">
        <v>42901.462511574071</v>
      </c>
      <c r="J68" s="7">
        <v>0</v>
      </c>
      <c r="K68" s="89" t="str">
        <f t="shared" si="22"/>
        <v>4005/4006</v>
      </c>
      <c r="L68" s="21" t="str">
        <f>VLOOKUP(A68,'Trips&amp;Operators'!$C$1:$G$99999,5,FALSE)</f>
        <v>LOZA FIDEL</v>
      </c>
      <c r="M68" s="6">
        <f t="shared" si="23"/>
        <v>2.4803240739856847E-2</v>
      </c>
      <c r="N68" s="7">
        <f t="shared" si="33"/>
        <v>35.716666665393859</v>
      </c>
      <c r="O68" s="7"/>
      <c r="P68" s="7"/>
      <c r="Q68" s="22"/>
      <c r="R68" s="170"/>
      <c r="S68" s="213">
        <f t="shared" si="34"/>
        <v>1</v>
      </c>
      <c r="T68" s="195" t="str">
        <f t="shared" si="26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-15T09:24:36-0600',mode:absolute,to:'2017-06-15T12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8" s="197" t="str">
        <f>IF(AA68&lt;VLOOKUP(AG68,Variables!$AC$3:$AD$8,2,FALSE),"Y","N")</f>
        <v>N</v>
      </c>
      <c r="X68" s="197">
        <f t="shared" si="27"/>
        <v>1</v>
      </c>
      <c r="Y68" s="197">
        <f t="shared" si="28"/>
        <v>4.4699999999999997E-2</v>
      </c>
      <c r="Z68" s="197">
        <f t="shared" si="29"/>
        <v>23.328499999999998</v>
      </c>
      <c r="AA68" s="197">
        <f t="shared" si="30"/>
        <v>23.283799999999999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31"/>
        <v>155</v>
      </c>
      <c r="AE68" s="77" t="str">
        <f t="shared" si="11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68" s="74" t="str">
        <f t="shared" si="12"/>
        <v>"C:\Program Files (x86)\AstroGrep\AstroGrep.exe" /e /r /s /spath="%USERPROFILE%\AppData\Local\Temp\OnboardLogs" /stypes="app*4006*20170615*" /stext=" 17:.+((SYSTEM_STATE.+slice.+state.+changed )|(ment ac)|(multiple cpu faults)|(system.+state.+changed )|(\[timeout)|(PRM\|1\|D)|(kpr)|(kdp)|(train st.+moving)|(\|lc)|(penalty))"</v>
      </c>
      <c r="AG68" s="209" t="str">
        <f t="shared" si="32"/>
        <v>EC</v>
      </c>
      <c r="AH68" s="78" t="str">
        <f t="shared" si="18"/>
        <v>"%USERPROFILE%\Documents\GitHub\eaglep3\Utilities\RefineRTDCRunTimes.py" --tripid 155-15 --locoid 4006 --swversion DE.1.0.9.0 --startMP 204:447 --initTime 2017-06-15T10:24:36 --startdatetime 2017-06-15T10:30:18 --delay 1 --endMP 204:233285 --enddatetime 2017-06-15T11:06:01 --enforcementcount 0 &gt;&gt;C:\Users\stu\Documents\GitHub\eaglep3-reporting\EC\2017-06-15-refined-times.txt</v>
      </c>
      <c r="AI68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{"issue":{"subject":"","project_id":79,"tracker_id":40,"status_id":1,"priority_id":2,"assigned_to_id":23,"start_date":"2017-06-15","description":"","custom_fields":[{"id":1,"name":"Subdivision","value":"EC"},{"id":4,"name":"Milepost","value":"23.3285"},{"id":17,"name":"Train ID","value":"155-15"},{"id":16,"name":"Locomotive ID","value":"4006"},{"id":130,"name":"Impact","value":""},{"id":150,"name":"Time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4006 --day 2017-06-15</v>
      </c>
      <c r="AN68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738</v>
      </c>
      <c r="B69" s="7">
        <v>4005</v>
      </c>
      <c r="C69" s="21" t="s">
        <v>202</v>
      </c>
      <c r="D69" s="21" t="s">
        <v>464</v>
      </c>
      <c r="E69" s="13">
        <v>42901.467442129629</v>
      </c>
      <c r="F69" s="13">
        <v>42901.47729166667</v>
      </c>
      <c r="G69" s="7">
        <v>1</v>
      </c>
      <c r="H69" s="21" t="s">
        <v>420</v>
      </c>
      <c r="I69" s="13">
        <v>42901.502974537034</v>
      </c>
      <c r="J69" s="7">
        <v>0</v>
      </c>
      <c r="K69" s="89" t="str">
        <f t="shared" si="22"/>
        <v>4005/4006</v>
      </c>
      <c r="L69" s="21" t="str">
        <f>VLOOKUP(A69,'Trips&amp;Operators'!$C$1:$G$99999,5,FALSE)</f>
        <v>LOZA FIDEL</v>
      </c>
      <c r="M69" s="6">
        <f t="shared" si="23"/>
        <v>2.5682870364107657E-2</v>
      </c>
      <c r="N69" s="7">
        <f t="shared" si="33"/>
        <v>36.983333324315026</v>
      </c>
      <c r="O69" s="7"/>
      <c r="P69" s="7"/>
      <c r="Q69" s="22"/>
      <c r="R69" s="170"/>
      <c r="S69" s="213">
        <f t="shared" si="34"/>
        <v>1</v>
      </c>
      <c r="T69" s="195" t="str">
        <f t="shared" si="26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-15T10:13:07-0600',mode:absolute,to:'2017-06-15T13:04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9" s="197" t="str">
        <f>IF(AA69&lt;VLOOKUP(AG69,Variables!$AC$3:$AD$8,2,FALSE),"Y","N")</f>
        <v>N</v>
      </c>
      <c r="X69" s="197">
        <f t="shared" si="27"/>
        <v>1</v>
      </c>
      <c r="Y69" s="197">
        <f t="shared" si="28"/>
        <v>23.299299999999999</v>
      </c>
      <c r="Z69" s="197">
        <f t="shared" si="29"/>
        <v>1.4500000000000001E-2</v>
      </c>
      <c r="AA69" s="197">
        <f t="shared" si="30"/>
        <v>23.284799999999997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31"/>
        <v>156</v>
      </c>
      <c r="AE69" s="77" t="str">
        <f t="shared" si="11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69" s="74" t="str">
        <f t="shared" si="12"/>
        <v>"C:\Program Files (x86)\AstroGrep\AstroGrep.exe" /e /r /s /spath="%USERPROFILE%\AppData\Local\Temp\OnboardLogs" /stypes="app*4005*20170615*" /stext=" 18:.+((SYSTEM_STATE.+slice.+state.+changed )|(ment ac)|(multiple cpu faults)|(system.+state.+changed )|(\[timeout)|(PRM\|1\|D)|(kpr)|(kdp)|(train st.+moving)|(\|lc)|(penalty))"</v>
      </c>
      <c r="AG69" s="209" t="str">
        <f t="shared" si="32"/>
        <v>EC</v>
      </c>
      <c r="AH69" s="78" t="str">
        <f t="shared" si="18"/>
        <v>"%USERPROFILE%\Documents\GitHub\eaglep3\Utilities\RefineRTDCRunTimes.py" --tripid 156-15 --locoid 4005 --swversion DE.1.0.9.0 --startMP 204:232993 --initTime 2017-06-15T11:13:07 --startdatetime 2017-06-15T11:27:18 --delay 1 --endMP 204:145 --enddatetime 2017-06-15T12:04:17 --enforcementcount 0 &gt;&gt;C:\Users\stu\Documents\GitHub\eaglep3-reporting\EC\2017-06-15-refined-times.txt</v>
      </c>
      <c r="AI69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{"issue":{"subject":"","project_id":79,"tracker_id":40,"status_id":1,"priority_id":2,"assigned_to_id":23,"start_date":"2017-06-15","description":"","custom_fields":[{"id":1,"name":"Subdivision","value":"EC"},{"id":4,"name":"Milepost","value":"0.0145"},{"id":17,"name":"Train ID","value":"156-15"},{"id":16,"name":"Locomotive ID","value":"4005"},{"id":130,"name":"Impact","value":""},{"id":150,"name":"Time of Event (Mountain Time)","value":"12:04:17"},{"id":151,"name":"Denver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4005 --day 2017-06-15</v>
      </c>
      <c r="AN69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733</v>
      </c>
      <c r="B70" s="7">
        <v>4046</v>
      </c>
      <c r="C70" s="21" t="s">
        <v>202</v>
      </c>
      <c r="D70" s="21" t="s">
        <v>858</v>
      </c>
      <c r="E70" s="13">
        <v>42901.445451388892</v>
      </c>
      <c r="F70" s="13">
        <v>42901.448113425926</v>
      </c>
      <c r="G70" s="7">
        <v>2</v>
      </c>
      <c r="H70" s="21" t="s">
        <v>859</v>
      </c>
      <c r="I70" s="13">
        <v>42901.473541666666</v>
      </c>
      <c r="J70" s="7">
        <v>0</v>
      </c>
      <c r="K70" s="89" t="str">
        <f t="shared" si="22"/>
        <v>4045/4046</v>
      </c>
      <c r="L70" s="21" t="str">
        <f>VLOOKUP(A70,'Trips&amp;Operators'!$C$1:$G$99999,5,FALSE)</f>
        <v>SULLIVAN BRANDON</v>
      </c>
      <c r="M70" s="6">
        <f t="shared" si="23"/>
        <v>2.5428240740438923E-2</v>
      </c>
      <c r="N70" s="7">
        <f t="shared" si="33"/>
        <v>36.616666666232049</v>
      </c>
      <c r="O70" s="7"/>
      <c r="P70" s="7"/>
      <c r="Q70" s="22"/>
      <c r="R70" s="170"/>
      <c r="S70" s="213">
        <f t="shared" si="34"/>
        <v>1</v>
      </c>
      <c r="T70" s="195" t="str">
        <f t="shared" si="26"/>
        <v>NorthBound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-15T09:41:27-0600',mode:absolute,to:'2017-06-15T12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0" s="197" t="str">
        <f>IF(AA70&lt;VLOOKUP(AG70,Variables!$AC$3:$AD$8,2,FALSE),"Y","N")</f>
        <v>N</v>
      </c>
      <c r="X70" s="197">
        <f t="shared" si="27"/>
        <v>1</v>
      </c>
      <c r="Y70" s="197">
        <f t="shared" si="28"/>
        <v>5.0799999999999998E-2</v>
      </c>
      <c r="Z70" s="197">
        <f t="shared" si="29"/>
        <v>23.3324</v>
      </c>
      <c r="AA70" s="197">
        <f t="shared" si="30"/>
        <v>23.281600000000001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31"/>
        <v>157</v>
      </c>
      <c r="AE70" s="77" t="str">
        <f t="shared" si="11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70" s="74" t="str">
        <f t="shared" si="12"/>
        <v>"C:\Program Files (x86)\AstroGrep\AstroGrep.exe" /e /r /s /spath="%USERPROFILE%\AppData\Local\Temp\OnboardLogs" /stypes="app*4046*20170615*" /stext=" 17:.+((SYSTEM_STATE.+slice.+state.+changed )|(ment ac)|(multiple cpu faults)|(system.+state.+changed )|(\[timeout)|(PRM\|1\|D)|(kpr)|(kdp)|(train st.+moving)|(\|lc)|(penalty))"</v>
      </c>
      <c r="AG70" s="209" t="str">
        <f t="shared" si="32"/>
        <v>EC</v>
      </c>
      <c r="AH70" s="78" t="str">
        <f t="shared" si="18"/>
        <v>"%USERPROFILE%\Documents\GitHub\eaglep3\Utilities\RefineRTDCRunTimes.py" --tripid 157-15 --locoid 4046 --swversion DE.1.0.9.0 --startMP 204:508 --initTime 2017-06-15T10:41:27 --startdatetime 2017-06-15T10:45:17 --delay 2 --endMP 204:233324 --enddatetime 2017-06-15T11:21:54 --enforcementcount 0 &gt;&gt;C:\Users\stu\Documents\GitHub\eaglep3-reporting\EC\2017-06-15-refined-times.txt</v>
      </c>
      <c r="AI70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{"issue":{"subject":"","project_id":79,"tracker_id":40,"status_id":1,"priority_id":2,"assigned_to_id":23,"start_date":"2017-06-15","description":"","custom_fields":[{"id":1,"name":"Subdivision","value":"EC"},{"id":4,"name":"Milepost","value":"23.3324"},{"id":17,"name":"Train ID","value":"157-15"},{"id":16,"name":"Locomotive ID","value":"4046"},{"id":130,"name":"Impact","value":""},{"id":150,"name":"Time of Event (Mountain Time)","value":"11:21:54"},{"id":151,"name":"Denver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4046 --day 2017-06-15</v>
      </c>
      <c r="AN70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743</v>
      </c>
      <c r="B71" s="7">
        <v>4045</v>
      </c>
      <c r="C71" s="21" t="s">
        <v>202</v>
      </c>
      <c r="D71" s="21" t="s">
        <v>525</v>
      </c>
      <c r="E71" s="13">
        <v>42901.481562499997</v>
      </c>
      <c r="F71" s="13">
        <v>42901.487673611111</v>
      </c>
      <c r="G71" s="7">
        <v>1</v>
      </c>
      <c r="H71" s="21" t="s">
        <v>349</v>
      </c>
      <c r="I71" s="13">
        <v>42901.514652777776</v>
      </c>
      <c r="J71" s="7">
        <v>0</v>
      </c>
      <c r="K71" s="89" t="str">
        <f t="shared" si="22"/>
        <v>4045/4046</v>
      </c>
      <c r="L71" s="21" t="str">
        <f>VLOOKUP(A71,'Trips&amp;Operators'!$C$1:$G$99999,5,FALSE)</f>
        <v>SULLIVAN BRANDON</v>
      </c>
      <c r="M71" s="6">
        <f t="shared" si="23"/>
        <v>2.6979166665114462E-2</v>
      </c>
      <c r="N71" s="7">
        <f t="shared" si="33"/>
        <v>38.849999997764826</v>
      </c>
      <c r="O71" s="7"/>
      <c r="P71" s="7"/>
      <c r="Q71" s="22"/>
      <c r="R71" s="170"/>
      <c r="S71" s="213">
        <f t="shared" si="34"/>
        <v>1</v>
      </c>
      <c r="T71" s="195" t="str">
        <f t="shared" si="26"/>
        <v>Southbound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-15T10:33:27-0600',mode:absolute,to:'2017-06-15T13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1" s="197" t="str">
        <f>IF(AA71&lt;VLOOKUP(AG71,Variables!$AC$3:$AD$8,2,FALSE),"Y","N")</f>
        <v>N</v>
      </c>
      <c r="X71" s="197">
        <f t="shared" si="27"/>
        <v>1</v>
      </c>
      <c r="Y71" s="197">
        <f t="shared" si="28"/>
        <v>23.3005</v>
      </c>
      <c r="Z71" s="197">
        <f t="shared" si="29"/>
        <v>1.4999999999999999E-2</v>
      </c>
      <c r="AA71" s="197">
        <f t="shared" si="30"/>
        <v>23.285499999999999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31"/>
        <v>158</v>
      </c>
      <c r="AE71" s="77" t="str">
        <f t="shared" si="11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71" s="74" t="str">
        <f t="shared" si="12"/>
        <v>"C:\Program Files (x86)\AstroGrep\AstroGrep.exe" /e /r /s /spath="%USERPROFILE%\AppData\Local\Temp\OnboardLogs" /stypes="app*4045*20170615*" /stext=" 18:.+((SYSTEM_STATE.+slice.+state.+changed )|(ment ac)|(multiple cpu faults)|(system.+state.+changed )|(\[timeout)|(PRM\|1\|D)|(kpr)|(kdp)|(train st.+moving)|(\|lc)|(penalty))"</v>
      </c>
      <c r="AG71" s="209" t="str">
        <f t="shared" si="32"/>
        <v>EC</v>
      </c>
      <c r="AH71" s="78" t="str">
        <f t="shared" si="18"/>
        <v>"%USERPROFILE%\Documents\GitHub\eaglep3\Utilities\RefineRTDCRunTimes.py" --tripid 158-15 --locoid 4045 --swversion DE.1.0.9.0 --startMP 204:233005 --initTime 2017-06-15T11:33:27 --startdatetime 2017-06-15T11:42:15 --delay 1 --endMP 204:150 --enddatetime 2017-06-15T12:21:06 --enforcementcount 0 &gt;&gt;C:\Users\stu\Documents\GitHub\eaglep3-reporting\EC\2017-06-15-refined-times.txt</v>
      </c>
      <c r="AI71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{"issue":{"subject":"","project_id":79,"tracker_id":40,"status_id":1,"priority_id":2,"assigned_to_id":23,"start_date":"2017-06-15","description":"","custom_fields":[{"id":1,"name":"Subdivision","value":"EC"},{"id":4,"name":"Milepost","value":"0.015"},{"id":17,"name":"Train ID","value":"158-15"},{"id":16,"name":"Locomotive ID","value":"4045"},{"id":130,"name":"Impact","value":""},{"id":150,"name":"Time of Event (Mountain Time)","value":"12:21:06"},{"id":151,"name":"Denver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4045 --day 2017-06-15</v>
      </c>
      <c r="AN71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734</v>
      </c>
      <c r="B72" s="7">
        <v>4042</v>
      </c>
      <c r="C72" s="21" t="s">
        <v>202</v>
      </c>
      <c r="D72" s="21" t="s">
        <v>356</v>
      </c>
      <c r="E72" s="13">
        <v>42901.456180555557</v>
      </c>
      <c r="F72" s="13">
        <v>42901.458611111113</v>
      </c>
      <c r="G72" s="7">
        <v>1</v>
      </c>
      <c r="H72" s="21" t="s">
        <v>461</v>
      </c>
      <c r="I72" s="13">
        <v>42901.48333333333</v>
      </c>
      <c r="J72" s="7">
        <v>0</v>
      </c>
      <c r="K72" s="89" t="str">
        <f t="shared" si="22"/>
        <v>4041/4042</v>
      </c>
      <c r="L72" s="21" t="str">
        <f>VLOOKUP(A72,'Trips&amp;Operators'!$C$1:$G$99999,5,FALSE)</f>
        <v>HELVIE ADAM</v>
      </c>
      <c r="M72" s="6">
        <f t="shared" si="23"/>
        <v>2.4722222216951195E-2</v>
      </c>
      <c r="N72" s="7">
        <f t="shared" si="33"/>
        <v>35.599999992409721</v>
      </c>
      <c r="O72" s="7"/>
      <c r="P72" s="7"/>
      <c r="Q72" s="22"/>
      <c r="R72" s="170"/>
      <c r="S72" s="213">
        <f t="shared" si="34"/>
        <v>1</v>
      </c>
      <c r="T72" s="195" t="str">
        <f t="shared" si="26"/>
        <v>NorthBound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-15T09:56:54-0600',mode:absolute,to:'2017-06-15T12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2" s="197" t="str">
        <f>IF(AA72&lt;VLOOKUP(AG72,Variables!$AC$3:$AD$8,2,FALSE),"Y","N")</f>
        <v>N</v>
      </c>
      <c r="X72" s="197">
        <f t="shared" si="27"/>
        <v>1</v>
      </c>
      <c r="Y72" s="197">
        <f t="shared" si="28"/>
        <v>4.4699999999999997E-2</v>
      </c>
      <c r="Z72" s="197">
        <f t="shared" si="29"/>
        <v>23.3291</v>
      </c>
      <c r="AA72" s="197">
        <f t="shared" si="30"/>
        <v>23.284400000000002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31"/>
        <v>159</v>
      </c>
      <c r="AE72" s="77" t="str">
        <f t="shared" si="11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72" s="74" t="str">
        <f t="shared" si="12"/>
        <v>"C:\Program Files (x86)\AstroGrep\AstroGrep.exe" /e /r /s /spath="%USERPROFILE%\AppData\Local\Temp\OnboardLogs" /stypes="app*4042*20170615*" /stext=" 17:.+((SYSTEM_STATE.+slice.+state.+changed )|(ment ac)|(multiple cpu faults)|(system.+state.+changed )|(\[timeout)|(PRM\|1\|D)|(kpr)|(kdp)|(train st.+moving)|(\|lc)|(penalty))"</v>
      </c>
      <c r="AG72" s="209" t="str">
        <f t="shared" si="32"/>
        <v>EC</v>
      </c>
      <c r="AH72" s="78" t="str">
        <f t="shared" si="18"/>
        <v>"%USERPROFILE%\Documents\GitHub\eaglep3\Utilities\RefineRTDCRunTimes.py" --tripid 159-15 --locoid 4042 --swversion DE.1.0.9.0 --startMP 204:447 --initTime 2017-06-15T10:56:54 --startdatetime 2017-06-15T11:00:24 --delay 1 --endMP 204:233291 --enddatetime 2017-06-15T11:36:00 --enforcementcount 0 &gt;&gt;C:\Users\stu\Documents\GitHub\eaglep3-reporting\EC\2017-06-15-refined-times.txt</v>
      </c>
      <c r="AI72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{"issue":{"subject":"","project_id":79,"tracker_id":40,"status_id":1,"priority_id":2,"assigned_to_id":23,"start_date":"2017-06-15","description":"","custom_fields":[{"id":1,"name":"Subdivision","value":"EC"},{"id":4,"name":"Milepost","value":"23.3291"},{"id":17,"name":"Train ID","value":"159-15"},{"id":16,"name":"Locomotive ID","value":"4042"},{"id":130,"name":"Impact","value":""},{"id":150,"name":"Time of Event (Mountain Time)","value":"11:36:00"},{"id":151,"name":"Denver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4042 --day 2017-06-15</v>
      </c>
      <c r="AN72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746</v>
      </c>
      <c r="B73" s="7">
        <v>4041</v>
      </c>
      <c r="C73" s="21" t="s">
        <v>202</v>
      </c>
      <c r="D73" s="21" t="s">
        <v>577</v>
      </c>
      <c r="E73" s="13">
        <v>42901.494780092595</v>
      </c>
      <c r="F73" s="13">
        <v>42901.498101851852</v>
      </c>
      <c r="G73" s="7">
        <v>1</v>
      </c>
      <c r="H73" s="21" t="s">
        <v>349</v>
      </c>
      <c r="I73" s="13">
        <v>42901.523900462962</v>
      </c>
      <c r="J73" s="7">
        <v>0</v>
      </c>
      <c r="K73" s="89" t="str">
        <f t="shared" si="22"/>
        <v>4041/4042</v>
      </c>
      <c r="L73" s="21" t="str">
        <f>VLOOKUP(A73,'Trips&amp;Operators'!$C$1:$G$99999,5,FALSE)</f>
        <v>HELVIE ADAM</v>
      </c>
      <c r="M73" s="6">
        <f t="shared" si="23"/>
        <v>2.5798611110076308E-2</v>
      </c>
      <c r="N73" s="7">
        <f t="shared" si="33"/>
        <v>37.149999998509884</v>
      </c>
      <c r="O73" s="7"/>
      <c r="P73" s="7"/>
      <c r="Q73" s="22"/>
      <c r="R73" s="170"/>
      <c r="S73" s="213">
        <f t="shared" si="34"/>
        <v>1</v>
      </c>
      <c r="T73" s="195" t="str">
        <f t="shared" si="26"/>
        <v>Southbound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-15T10:52:29-0600',mode:absolute,to:'2017-06-15T13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3" s="197" t="str">
        <f>IF(AA73&lt;VLOOKUP(AG73,Variables!$AC$3:$AD$8,2,FALSE),"Y","N")</f>
        <v>N</v>
      </c>
      <c r="X73" s="197">
        <f t="shared" si="27"/>
        <v>1</v>
      </c>
      <c r="Y73" s="197">
        <f t="shared" si="28"/>
        <v>23.297899999999998</v>
      </c>
      <c r="Z73" s="197">
        <f t="shared" si="29"/>
        <v>1.4999999999999999E-2</v>
      </c>
      <c r="AA73" s="197">
        <f t="shared" si="30"/>
        <v>23.282899999999998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31"/>
        <v>160</v>
      </c>
      <c r="AE73" s="77" t="str">
        <f t="shared" si="11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73" s="74" t="str">
        <f t="shared" si="12"/>
        <v>"C:\Program Files (x86)\AstroGrep\AstroGrep.exe" /e /r /s /spath="%USERPROFILE%\AppData\Local\Temp\OnboardLogs" /stypes="app*4041*20170615*" /stext=" 18:.+((SYSTEM_STATE.+slice.+state.+changed )|(ment ac)|(multiple cpu faults)|(system.+state.+changed )|(\[timeout)|(PRM\|1\|D)|(kpr)|(kdp)|(train st.+moving)|(\|lc)|(penalty))"</v>
      </c>
      <c r="AG73" s="209" t="str">
        <f t="shared" si="32"/>
        <v>EC</v>
      </c>
      <c r="AH73" s="78" t="str">
        <f t="shared" si="18"/>
        <v>"%USERPROFILE%\Documents\GitHub\eaglep3\Utilities\RefineRTDCRunTimes.py" --tripid 160-15 --locoid 4041 --swversion DE.1.0.9.0 --startMP 204:232979 --initTime 2017-06-15T11:52:29 --startdatetime 2017-06-15T11:57:16 --delay 1 --endMP 204:150 --enddatetime 2017-06-15T12:34:25 --enforcementcount 0 &gt;&gt;C:\Users\stu\Documents\GitHub\eaglep3-reporting\EC\2017-06-15-refined-times.txt</v>
      </c>
      <c r="AI73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{"issue":{"subject":"","project_id":79,"tracker_id":40,"status_id":1,"priority_id":2,"assigned_to_id":23,"start_date":"2017-06-15","description":"","custom_fields":[{"id":1,"name":"Subdivision","value":"EC"},{"id":4,"name":"Milepost","value":"0.015"},{"id":17,"name":"Train ID","value":"160-15"},{"id":16,"name":"Locomotive ID","value":"4041"},{"id":130,"name":"Impact","value":""},{"id":150,"name":"Time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4041 --day 2017-06-15</v>
      </c>
      <c r="AN73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737</v>
      </c>
      <c r="B74" s="7">
        <v>4040</v>
      </c>
      <c r="C74" s="21" t="s">
        <v>202</v>
      </c>
      <c r="D74" s="21" t="s">
        <v>576</v>
      </c>
      <c r="E74" s="13">
        <v>42901.465312499997</v>
      </c>
      <c r="F74" s="13">
        <v>42901.468958333331</v>
      </c>
      <c r="G74" s="7">
        <v>2</v>
      </c>
      <c r="H74" s="21" t="s">
        <v>446</v>
      </c>
      <c r="I74" s="13">
        <v>42901.493460648147</v>
      </c>
      <c r="J74" s="7">
        <v>0</v>
      </c>
      <c r="K74" s="89" t="str">
        <f t="shared" si="22"/>
        <v>4039/4040</v>
      </c>
      <c r="L74" s="21" t="str">
        <f>VLOOKUP(A74,'Trips&amp;Operators'!$C$1:$G$99999,5,FALSE)</f>
        <v>STEWART MICHAEL</v>
      </c>
      <c r="M74" s="6">
        <f t="shared" si="23"/>
        <v>2.4502314816345461E-2</v>
      </c>
      <c r="N74" s="7">
        <f t="shared" si="33"/>
        <v>35.283333335537463</v>
      </c>
      <c r="O74" s="7"/>
      <c r="P74" s="7"/>
      <c r="Q74" s="22"/>
      <c r="R74" s="170"/>
      <c r="S74" s="213">
        <f t="shared" si="34"/>
        <v>1</v>
      </c>
      <c r="T74" s="195" t="str">
        <f t="shared" si="26"/>
        <v>NorthBound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-15T10:10:03-0600',mode:absolute,to:'2017-06-15T12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4" s="197" t="str">
        <f>IF(AA74&lt;VLOOKUP(AG74,Variables!$AC$3:$AD$8,2,FALSE),"Y","N")</f>
        <v>N</v>
      </c>
      <c r="X74" s="197">
        <f t="shared" si="27"/>
        <v>1</v>
      </c>
      <c r="Y74" s="197">
        <f t="shared" si="28"/>
        <v>4.5499999999999999E-2</v>
      </c>
      <c r="Z74" s="197">
        <f t="shared" si="29"/>
        <v>23.3307</v>
      </c>
      <c r="AA74" s="197">
        <f t="shared" si="30"/>
        <v>23.2852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31"/>
        <v>161</v>
      </c>
      <c r="AE74" s="77" t="str">
        <f t="shared" si="11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74" s="74" t="str">
        <f t="shared" si="12"/>
        <v>"C:\Program Files (x86)\AstroGrep\AstroGrep.exe" /e /r /s /spath="%USERPROFILE%\AppData\Local\Temp\OnboardLogs" /stypes="app*4040*20170615*" /stext=" 17:.+((SYSTEM_STATE.+slice.+state.+changed )|(ment ac)|(multiple cpu faults)|(system.+state.+changed )|(\[timeout)|(PRM\|1\|D)|(kpr)|(kdp)|(train st.+moving)|(\|lc)|(penalty))"</v>
      </c>
      <c r="AG74" s="209" t="str">
        <f t="shared" si="32"/>
        <v>EC</v>
      </c>
      <c r="AH74" s="78" t="str">
        <f t="shared" si="18"/>
        <v>"%USERPROFILE%\Documents\GitHub\eaglep3\Utilities\RefineRTDCRunTimes.py" --tripid 161-15 --locoid 4040 --swversion DE.1.0.9.0 --startMP 204:455 --initTime 2017-06-15T11:10:03 --startdatetime 2017-06-15T11:15:18 --delay 2 --endMP 204:233307 --enddatetime 2017-06-15T11:50:35 --enforcementcount 0 &gt;&gt;C:\Users\stu\Documents\GitHub\eaglep3-reporting\EC\2017-06-15-refined-times.txt</v>
      </c>
      <c r="AI74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{"issue":{"subject":"","project_id":79,"tracker_id":40,"status_id":1,"priority_id":2,"assigned_to_id":23,"start_date":"2017-06-15","description":"","custom_fields":[{"id":1,"name":"Subdivision","value":"EC"},{"id":4,"name":"Milepost","value":"23.3307"},{"id":17,"name":"Train ID","value":"161-15"},{"id":16,"name":"Locomotive ID","value":"4040"},{"id":130,"name":"Impact","value":""},{"id":150,"name":"Time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4040 --day 2017-06-15</v>
      </c>
      <c r="AN74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749</v>
      </c>
      <c r="B75" s="7">
        <v>4039</v>
      </c>
      <c r="C75" s="21" t="s">
        <v>202</v>
      </c>
      <c r="D75" s="21" t="s">
        <v>453</v>
      </c>
      <c r="E75" s="13">
        <v>42901.50582175926</v>
      </c>
      <c r="F75" s="13">
        <v>42901.508506944447</v>
      </c>
      <c r="G75" s="7">
        <v>1</v>
      </c>
      <c r="H75" s="21" t="s">
        <v>527</v>
      </c>
      <c r="I75" s="13">
        <v>42901.535138888888</v>
      </c>
      <c r="J75" s="7">
        <v>0</v>
      </c>
      <c r="K75" s="89" t="str">
        <f t="shared" si="22"/>
        <v>4039/4040</v>
      </c>
      <c r="L75" s="21" t="str">
        <f>VLOOKUP(A75,'Trips&amp;Operators'!$C$1:$G$99999,5,FALSE)</f>
        <v>STEWART MICHAEL</v>
      </c>
      <c r="M75" s="6">
        <f t="shared" si="23"/>
        <v>2.6631944441760425E-2</v>
      </c>
      <c r="N75" s="7">
        <f t="shared" si="33"/>
        <v>38.349999996135011</v>
      </c>
      <c r="O75" s="7"/>
      <c r="P75" s="7"/>
      <c r="Q75" s="22"/>
      <c r="R75" s="170"/>
      <c r="S75" s="213">
        <f t="shared" si="34"/>
        <v>1</v>
      </c>
      <c r="T75" s="195" t="str">
        <f t="shared" si="26"/>
        <v>Southbound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-15T11:08:23-0600',mode:absolute,to:'2017-06-15T13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5" s="197" t="str">
        <f>IF(AA75&lt;VLOOKUP(AG75,Variables!$AC$3:$AD$8,2,FALSE),"Y","N")</f>
        <v>N</v>
      </c>
      <c r="X75" s="197">
        <f t="shared" si="27"/>
        <v>1</v>
      </c>
      <c r="Y75" s="197">
        <f t="shared" si="28"/>
        <v>23.2971</v>
      </c>
      <c r="Z75" s="197">
        <f t="shared" si="29"/>
        <v>1.6299999999999999E-2</v>
      </c>
      <c r="AA75" s="197">
        <f t="shared" si="30"/>
        <v>23.280799999999999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31"/>
        <v>162</v>
      </c>
      <c r="AE75" s="77" t="str">
        <f t="shared" si="11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75" s="74" t="str">
        <f t="shared" si="12"/>
        <v>"C:\Program Files (x86)\AstroGrep\AstroGrep.exe" /e /r /s /spath="%USERPROFILE%\AppData\Local\Temp\OnboardLogs" /stypes="app*4039*20170615*" /stext=" 18:.+((SYSTEM_STATE.+slice.+state.+changed )|(ment ac)|(multiple cpu faults)|(system.+state.+changed )|(\[timeout)|(PRM\|1\|D)|(kpr)|(kdp)|(train st.+moving)|(\|lc)|(penalty))"</v>
      </c>
      <c r="AG75" s="209" t="str">
        <f t="shared" si="32"/>
        <v>EC</v>
      </c>
      <c r="AH75" s="78" t="str">
        <f t="shared" si="18"/>
        <v>"%USERPROFILE%\Documents\GitHub\eaglep3\Utilities\RefineRTDCRunTimes.py" --tripid 162-15 --locoid 4039 --swversion DE.1.0.9.0 --startMP 204:232971 --initTime 2017-06-15T12:08:23 --startdatetime 2017-06-15T12:12:15 --delay 1 --endMP 204:163 --enddatetime 2017-06-15T12:50:36 --enforcementcount 0 &gt;&gt;C:\Users\stu\Documents\GitHub\eaglep3-reporting\EC\2017-06-15-refined-times.txt</v>
      </c>
      <c r="AI75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{"issue":{"subject":"","project_id":79,"tracker_id":40,"status_id":1,"priority_id":2,"assigned_to_id":23,"start_date":"2017-06-15","description":"","custom_fields":[{"id":1,"name":"Subdivision","value":"EC"},{"id":4,"name":"Milepost","value":"0.0163"},{"id":17,"name":"Train ID","value":"162-15"},{"id":16,"name":"Locomotive ID","value":"4039"},{"id":130,"name":"Impact","value":""},{"id":150,"name":"Time of Event (Mountain Time)","value":"12:50:36"},{"id":151,"name":"Denver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4039 --day 2017-06-15</v>
      </c>
      <c r="AN75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739</v>
      </c>
      <c r="B76" s="7">
        <v>4022</v>
      </c>
      <c r="C76" s="21" t="s">
        <v>202</v>
      </c>
      <c r="D76" s="21" t="s">
        <v>348</v>
      </c>
      <c r="E76" s="13">
        <v>42901.473993055559</v>
      </c>
      <c r="F76" s="13">
        <v>42901.479456018518</v>
      </c>
      <c r="G76" s="7">
        <v>1</v>
      </c>
      <c r="H76" s="21" t="s">
        <v>847</v>
      </c>
      <c r="I76" s="13">
        <v>42901.504027777781</v>
      </c>
      <c r="J76" s="7">
        <v>0</v>
      </c>
      <c r="K76" s="89" t="str">
        <f t="shared" si="22"/>
        <v>4021/4022</v>
      </c>
      <c r="L76" s="21" t="str">
        <f>VLOOKUP(A76,'Trips&amp;Operators'!$C$1:$G$99999,5,FALSE)</f>
        <v>YORK EDGAR</v>
      </c>
      <c r="M76" s="6">
        <f t="shared" si="23"/>
        <v>2.457175926247146E-2</v>
      </c>
      <c r="N76" s="7">
        <f t="shared" si="33"/>
        <v>35.383333337958902</v>
      </c>
      <c r="O76" s="7"/>
      <c r="P76" s="7"/>
      <c r="Q76" s="22"/>
      <c r="R76" s="170"/>
      <c r="S76" s="213">
        <f t="shared" si="34"/>
        <v>1</v>
      </c>
      <c r="T76" s="195" t="str">
        <f t="shared" si="26"/>
        <v>NorthBound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-15T10:22:33-0600',mode:absolute,to:'2017-06-15T13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6" s="197" t="str">
        <f>IF(AA76&lt;VLOOKUP(AG76,Variables!$AC$3:$AD$8,2,FALSE),"Y","N")</f>
        <v>N</v>
      </c>
      <c r="X76" s="197">
        <f t="shared" si="27"/>
        <v>1</v>
      </c>
      <c r="Y76" s="197">
        <f t="shared" si="28"/>
        <v>4.58E-2</v>
      </c>
      <c r="Z76" s="197">
        <f t="shared" si="29"/>
        <v>23.331499999999998</v>
      </c>
      <c r="AA76" s="197">
        <f t="shared" si="30"/>
        <v>23.285699999999999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31"/>
        <v>163</v>
      </c>
      <c r="AE76" s="77" t="str">
        <f t="shared" si="11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76" s="74" t="str">
        <f t="shared" si="12"/>
        <v>"C:\Program Files (x86)\AstroGrep\AstroGrep.exe" /e /r /s /spath="%USERPROFILE%\AppData\Local\Temp\OnboardLogs" /stypes="app*4022*20170615*" /stext=" 18:.+((SYSTEM_STATE.+slice.+state.+changed )|(ment ac)|(multiple cpu faults)|(system.+state.+changed )|(\[timeout)|(PRM\|1\|D)|(kpr)|(kdp)|(train st.+moving)|(\|lc)|(penalty))"</v>
      </c>
      <c r="AG76" s="209" t="str">
        <f t="shared" si="32"/>
        <v>EC</v>
      </c>
      <c r="AH76" s="78" t="str">
        <f t="shared" si="18"/>
        <v>"%USERPROFILE%\Documents\GitHub\eaglep3\Utilities\RefineRTDCRunTimes.py" --tripid 163-15 --locoid 4022 --swversion DE.1.0.9.0 --startMP 204:458 --initTime 2017-06-15T11:22:33 --startdatetime 2017-06-15T11:30:25 --delay 1 --endMP 204:233315 --enddatetime 2017-06-15T12:05:48 --enforcementcount 0 &gt;&gt;C:\Users\stu\Documents\GitHub\eaglep3-reporting\EC\2017-06-15-refined-times.txt</v>
      </c>
      <c r="AI76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{"issue":{"subject":"","project_id":79,"tracker_id":40,"status_id":1,"priority_id":2,"assigned_to_id":23,"start_date":"2017-06-15","description":"","custom_fields":[{"id":1,"name":"Subdivision","value":"EC"},{"id":4,"name":"Milepost","value":"23.3315"},{"id":17,"name":"Train ID","value":"163-15"},{"id":16,"name":"Locomotive ID","value":"4022"},{"id":130,"name":"Impact","value":""},{"id":150,"name":"Time of Event (Mountain Time)","value":"12:05:48"},{"id":151,"name":"Denver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4022 --day 2017-06-15</v>
      </c>
      <c r="AN76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748</v>
      </c>
      <c r="B77" s="7">
        <v>4021</v>
      </c>
      <c r="C77" s="21" t="s">
        <v>202</v>
      </c>
      <c r="D77" s="21" t="s">
        <v>526</v>
      </c>
      <c r="E77" s="13">
        <v>42901.504942129628</v>
      </c>
      <c r="F77" s="13">
        <v>42901.519004629627</v>
      </c>
      <c r="G77" s="7">
        <v>1</v>
      </c>
      <c r="H77" s="21" t="s">
        <v>360</v>
      </c>
      <c r="I77" s="13">
        <v>42901.545370370368</v>
      </c>
      <c r="J77" s="7">
        <v>0</v>
      </c>
      <c r="K77" s="89" t="str">
        <f t="shared" ref="K77:K108" si="35">IF(ISEVEN(B77),(B77-1)&amp;"/"&amp;B77,B77&amp;"/"&amp;(B77+1))</f>
        <v>4021/4022</v>
      </c>
      <c r="L77" s="21" t="str">
        <f>VLOOKUP(A77,'Trips&amp;Operators'!$C$1:$G$99999,5,FALSE)</f>
        <v>YORK EDGAR</v>
      </c>
      <c r="M77" s="6">
        <f t="shared" ref="M77:M108" si="36">I77-F77</f>
        <v>2.6365740741312038E-2</v>
      </c>
      <c r="N77" s="7">
        <f t="shared" si="33"/>
        <v>37.966666667489335</v>
      </c>
      <c r="O77" s="7"/>
      <c r="P77" s="7"/>
      <c r="Q77" s="22"/>
      <c r="R77" s="170"/>
      <c r="S77" s="213">
        <f t="shared" si="34"/>
        <v>1</v>
      </c>
      <c r="T77" s="195" t="str">
        <f t="shared" ref="T77:T108" si="37">IF(ISEVEN(LEFT(AD77,4)),"Southbound","NorthBound")</f>
        <v>Southbound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8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-15T11:07:07-0600',mode:absolute,to:'2017-06-15T14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77" s="197" t="str">
        <f>IF(AA77&lt;VLOOKUP(AG77,Variables!$AC$3:$AD$8,2,FALSE),"Y","N")</f>
        <v>N</v>
      </c>
      <c r="X77" s="197">
        <f t="shared" ref="X77:X84" si="39">VALUE(LEFT(AD77,4))-VALUE(LEFT(AD76,4))</f>
        <v>1</v>
      </c>
      <c r="Y77" s="197">
        <f t="shared" ref="Y77:Y108" si="40">RIGHT(D77,LEN(D77)-4)/10000</f>
        <v>23.2989</v>
      </c>
      <c r="Z77" s="197">
        <f t="shared" ref="Z77:Z108" si="41">RIGHT(H77,LEN(H77)-4)/10000</f>
        <v>1.47E-2</v>
      </c>
      <c r="AA77" s="197">
        <f t="shared" ref="AA77:AA108" si="42">ABS(Z77-Y77)</f>
        <v>23.284199999999998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08" si="43">VALUE(LEFT(A77,LEN(A77)-3))</f>
        <v>164</v>
      </c>
      <c r="AE77" s="77" t="str">
        <f t="shared" ref="AE77:AE140" si="4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77" s="74" t="str">
        <f t="shared" ref="AF77:AF140" si="45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/stypes="app*4021*20170615*" /stext=" 19:.+((SYSTEM_STATE.+slice.+state.+changed )|(ment ac)|(multiple cpu faults)|(system.+state.+changed )|(\[timeout)|(PRM\|1\|D)|(kpr)|(kdp)|(train st.+moving)|(\|lc)|(penalty))"</v>
      </c>
      <c r="AG77" s="209" t="str">
        <f t="shared" ref="AG77:AG108" si="46">DetSubdiv(A77)</f>
        <v>EC</v>
      </c>
      <c r="AH77" s="78" t="str">
        <f t="shared" si="18"/>
        <v>"%USERPROFILE%\Documents\GitHub\eaglep3\Utilities\RefineRTDCRunTimes.py" --tripid 164-15 --locoid 4021 --swversion DE.1.0.9.0 --startMP 204:232989 --initTime 2017-06-15T12:07:07 --startdatetime 2017-06-15T12:27:22 --delay 1 --endMP 204:147 --enddatetime 2017-06-15T13:05:20 --enforcementcount 0 &gt;&gt;C:\Users\stu\Documents\GitHub\eaglep3-reporting\EC\2017-06-15-refined-times.txt</v>
      </c>
      <c r="AI77" s="96" t="str">
        <f t="shared" si="19"/>
        <v>echo {"issue":{"subject":"","project_id":79,"tracker_id":40,"status_id":1,"priority_id":2,"assigned_to_id":23,"start_date":"2017-06-15","description":"","custom_fields":[{"id":1,"name":"Subdivision","value":"EC"},{"id":4,"name":"Milepost","value":"0.0147"},{"id":17,"name":"Train ID","value":"164-15"},{"id":16,"name":"Locomotive ID","value":"4021"},{"id":130,"name":"Impact","value":""},{"id":150,"name":"Time of Event (Mountain Time)","value":"13:05:20"},{"id":151,"name":"Denver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4021 --day 2017-06-15</v>
      </c>
      <c r="AN77" s="151" t="str">
        <f t="shared" si="21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745</v>
      </c>
      <c r="B78" s="7">
        <v>4002</v>
      </c>
      <c r="C78" s="21" t="s">
        <v>202</v>
      </c>
      <c r="D78" s="21" t="s">
        <v>580</v>
      </c>
      <c r="E78" s="13">
        <v>42901.48678240741</v>
      </c>
      <c r="F78" s="13">
        <v>42901.490046296298</v>
      </c>
      <c r="G78" s="7">
        <v>2</v>
      </c>
      <c r="H78" s="21" t="s">
        <v>591</v>
      </c>
      <c r="I78" s="13">
        <v>42901.514143518521</v>
      </c>
      <c r="J78" s="7">
        <v>0</v>
      </c>
      <c r="K78" s="89" t="str">
        <f t="shared" si="35"/>
        <v>4001/4002</v>
      </c>
      <c r="L78" s="21" t="str">
        <f>VLOOKUP(A78,'Trips&amp;Operators'!$C$1:$G$99999,5,FALSE)</f>
        <v>LEVIN SCOTT</v>
      </c>
      <c r="M78" s="6">
        <f t="shared" si="36"/>
        <v>2.4097222223645076E-2</v>
      </c>
      <c r="N78" s="7">
        <f t="shared" si="33"/>
        <v>34.70000000204891</v>
      </c>
      <c r="O78" s="7"/>
      <c r="P78" s="7"/>
      <c r="Q78" s="22"/>
      <c r="R78" s="170"/>
      <c r="S78" s="213">
        <f t="shared" si="34"/>
        <v>1</v>
      </c>
      <c r="T78" s="195" t="str">
        <f t="shared" si="37"/>
        <v>NorthBound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8"/>
        <v>https://d0f6bd738d7f1b3e5a7ca70fe4ff75f0.us-east-1.aws.found.io/app/kibana#/discover/Steve-Slow-Train-Analysis-(2080s-and-2083s)?_g=(refreshInterval:(display:Off,pause:!f,section:0,value:0),time:(from:'2017-06-15T10:40:58-0600',mode:absolute,to:'2017-06-15T13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8" s="197" t="str">
        <f>IF(AA78&lt;VLOOKUP(AG78,Variables!$AC$3:$AD$8,2,FALSE),"Y","N")</f>
        <v>N</v>
      </c>
      <c r="X78" s="197">
        <f t="shared" si="39"/>
        <v>1</v>
      </c>
      <c r="Y78" s="197">
        <f t="shared" si="40"/>
        <v>4.6399999999999997E-2</v>
      </c>
      <c r="Z78" s="197">
        <f t="shared" si="41"/>
        <v>23.340699999999998</v>
      </c>
      <c r="AA78" s="197">
        <f t="shared" si="42"/>
        <v>23.2943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43"/>
        <v>165</v>
      </c>
      <c r="AE78" s="77" t="str">
        <f t="shared" si="44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78" s="74" t="str">
        <f t="shared" si="45"/>
        <v>"C:\Program Files (x86)\AstroGrep\AstroGrep.exe" /e /r /s /spath="%USERPROFILE%\AppData\Local\Temp\OnboardLogs" /stypes="app*4002*20170615*" /stext=" 18:.+((SYSTEM_STATE.+slice.+state.+changed )|(ment ac)|(multiple cpu faults)|(system.+state.+changed )|(\[timeout)|(PRM\|1\|D)|(kpr)|(kdp)|(train st.+moving)|(\|lc)|(penalty))"</v>
      </c>
      <c r="AG78" s="209" t="str">
        <f t="shared" si="46"/>
        <v>EC</v>
      </c>
      <c r="AH78" s="78" t="str">
        <f t="shared" ref="AH78:AH139" si="47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165-15 --locoid 4002 --swversion DE.1.0.9.0 --startMP 204:464 --initTime 2017-06-15T11:40:58 --startdatetime 2017-06-15T11:45:40 --delay 2 --endMP 204:233407 --enddatetime 2017-06-15T12:20:22 --enforcementcount 0 &gt;&gt;C:\Users\stu\Documents\GitHub\eaglep3-reporting\EC\2017-06-15-refined-times.txt</v>
      </c>
      <c r="AI78" s="96" t="str">
        <f t="shared" ref="AI78:AI139" si="48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{"issue":{"subject":"","project_id":79,"tracker_id":40,"status_id":1,"priority_id":2,"assigned_to_id":23,"start_date":"2017-06-15","description":"","custom_fields":[{"id":1,"name":"Subdivision","value":"EC"},{"id":4,"name":"Milepost","value":"23.3407"},{"id":17,"name":"Train ID","value":"165-15"},{"id":16,"name":"Locomotive ID","value":"4002"},{"id":130,"name":"Impact","value":""},{"id":150,"name":"Time of Event (Mountain Time)","value":"12:20:22"},{"id":151,"name":"Denver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39" si="49">"start /low /b "&amp;dls3logs&amp;" --loco "&amp;B78&amp;" --day "&amp;TEXT(F78,"YYYY-MM-DD")</f>
        <v>start /low /b %USERPROFILE%\Documents\GitHub\eaglep3\Utilities\DownloadLogsFromS3.py --loco 4002 --day 2017-06-15</v>
      </c>
      <c r="AN78" s="151" t="str">
        <f t="shared" ref="AN78:AN139" si="50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753</v>
      </c>
      <c r="B79" s="7">
        <v>4001</v>
      </c>
      <c r="C79" s="21" t="s">
        <v>202</v>
      </c>
      <c r="D79" s="21" t="s">
        <v>860</v>
      </c>
      <c r="E79" s="13">
        <v>42901.527604166666</v>
      </c>
      <c r="F79" s="13">
        <v>42901.52957175926</v>
      </c>
      <c r="G79" s="7">
        <v>1</v>
      </c>
      <c r="H79" s="21" t="s">
        <v>861</v>
      </c>
      <c r="I79" s="13">
        <v>42901.555347222224</v>
      </c>
      <c r="J79" s="7">
        <v>0</v>
      </c>
      <c r="K79" s="89" t="str">
        <f t="shared" si="35"/>
        <v>4001/4002</v>
      </c>
      <c r="L79" s="21" t="str">
        <f>VLOOKUP(A79,'Trips&amp;Operators'!$C$1:$G$99999,5,FALSE)</f>
        <v>LEVIN SCOTT</v>
      </c>
      <c r="M79" s="6">
        <f t="shared" si="36"/>
        <v>2.5775462963792961E-2</v>
      </c>
      <c r="N79" s="7">
        <f t="shared" si="33"/>
        <v>37.116666667861864</v>
      </c>
      <c r="O79" s="7"/>
      <c r="P79" s="7"/>
      <c r="Q79" s="22"/>
      <c r="R79" s="170"/>
      <c r="S79" s="213">
        <f t="shared" si="34"/>
        <v>1</v>
      </c>
      <c r="T79" s="195" t="str">
        <f t="shared" si="37"/>
        <v>Southbound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8"/>
        <v>https://d0f6bd738d7f1b3e5a7ca70fe4ff75f0.us-east-1.aws.found.io/app/kibana#/discover/Steve-Slow-Train-Analysis-(2080s-and-2083s)?_g=(refreshInterval:(display:Off,pause:!f,section:0,value:0),time:(from:'2017-06-15T11:39:45-0600',mode:absolute,to:'2017-06-15T14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79" s="197" t="str">
        <f>IF(AA79&lt;VLOOKUP(AG79,Variables!$AC$3:$AD$8,2,FALSE),"Y","N")</f>
        <v>N</v>
      </c>
      <c r="X79" s="197">
        <f t="shared" si="39"/>
        <v>1</v>
      </c>
      <c r="Y79" s="197">
        <f t="shared" si="40"/>
        <v>23.3096</v>
      </c>
      <c r="Z79" s="197">
        <f t="shared" si="41"/>
        <v>1.18E-2</v>
      </c>
      <c r="AA79" s="197">
        <f t="shared" si="42"/>
        <v>23.297799999999999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43"/>
        <v>166</v>
      </c>
      <c r="AE79" s="77" t="str">
        <f t="shared" si="44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79" s="74" t="str">
        <f t="shared" si="45"/>
        <v>"C:\Program Files (x86)\AstroGrep\AstroGrep.exe" /e /r /s /spath="%USERPROFILE%\AppData\Local\Temp\OnboardLogs" /stypes="app*4001*20170615*" /stext=" 19:.+((SYSTEM_STATE.+slice.+state.+changed )|(ment ac)|(multiple cpu faults)|(system.+state.+changed )|(\[timeout)|(PRM\|1\|D)|(kpr)|(kdp)|(train st.+moving)|(\|lc)|(penalty))"</v>
      </c>
      <c r="AG79" s="209" t="str">
        <f t="shared" si="46"/>
        <v>EC</v>
      </c>
      <c r="AH79" s="78" t="str">
        <f t="shared" si="47"/>
        <v>"%USERPROFILE%\Documents\GitHub\eaglep3\Utilities\RefineRTDCRunTimes.py" --tripid 166-15 --locoid 4001 --swversion DE.1.0.9.0 --startMP 204:233096 --initTime 2017-06-15T12:39:45 --startdatetime 2017-06-15T12:42:35 --delay 1 --endMP 204:118 --enddatetime 2017-06-15T13:19:42 --enforcementcount 0 &gt;&gt;C:\Users\stu\Documents\GitHub\eaglep3-reporting\EC\2017-06-15-refined-times.txt</v>
      </c>
      <c r="AI7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{"issue":{"subject":"","project_id":79,"tracker_id":40,"status_id":1,"priority_id":2,"assigned_to_id":23,"start_date":"2017-06-15","description":"","custom_fields":[{"id":1,"name":"Subdivision","value":"EC"},{"id":4,"name":"Milepost","value":"0.0118"},{"id":17,"name":"Train ID","value":"166-15"},{"id":16,"name":"Locomotive ID","value":"4001"},{"id":130,"name":"Impact","value":""},{"id":150,"name":"Time of Event (Mountain Time)","value":"13:19:42"},{"id":151,"name":"Denver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9"/>
        <v>start /low /b %USERPROFILE%\Documents\GitHub\eaglep3\Utilities\DownloadLogsFromS3.py --loco 4001 --day 2017-06-15</v>
      </c>
      <c r="AN79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747</v>
      </c>
      <c r="B80" s="7">
        <v>4024</v>
      </c>
      <c r="C80" s="21" t="s">
        <v>202</v>
      </c>
      <c r="D80" s="21" t="s">
        <v>440</v>
      </c>
      <c r="E80" s="13">
        <v>42901.496898148151</v>
      </c>
      <c r="F80" s="13">
        <v>42901.500173611108</v>
      </c>
      <c r="G80" s="7">
        <v>1</v>
      </c>
      <c r="H80" s="21" t="s">
        <v>862</v>
      </c>
      <c r="I80" s="13">
        <v>42901.524872685186</v>
      </c>
      <c r="J80" s="7">
        <v>0</v>
      </c>
      <c r="K80" s="89" t="str">
        <f t="shared" si="35"/>
        <v>4023/4024</v>
      </c>
      <c r="L80" s="21" t="str">
        <f>VLOOKUP(A80,'Trips&amp;Operators'!$C$1:$G$99999,5,FALSE)</f>
        <v>DELGADO DIANAH</v>
      </c>
      <c r="M80" s="6">
        <f t="shared" si="36"/>
        <v>2.4699074077943806E-2</v>
      </c>
      <c r="N80" s="7">
        <f t="shared" si="33"/>
        <v>35.56666667223908</v>
      </c>
      <c r="O80" s="7"/>
      <c r="P80" s="7"/>
      <c r="Q80" s="22"/>
      <c r="R80" s="170"/>
      <c r="S80" s="213">
        <f t="shared" si="34"/>
        <v>1</v>
      </c>
      <c r="T80" s="195" t="str">
        <f t="shared" si="37"/>
        <v>NorthBound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8"/>
        <v>https://d0f6bd738d7f1b3e5a7ca70fe4ff75f0.us-east-1.aws.found.io/app/kibana#/discover/Steve-Slow-Train-Analysis-(2080s-and-2083s)?_g=(refreshInterval:(display:Off,pause:!f,section:0,value:0),time:(from:'2017-06-15T10:55:32-0600',mode:absolute,to:'2017-06-15T13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0" s="197" t="str">
        <f>IF(AA80&lt;VLOOKUP(AG80,Variables!$AC$3:$AD$8,2,FALSE),"Y","N")</f>
        <v>N</v>
      </c>
      <c r="X80" s="197">
        <f t="shared" si="39"/>
        <v>1</v>
      </c>
      <c r="Y80" s="197">
        <f t="shared" si="40"/>
        <v>4.6699999999999998E-2</v>
      </c>
      <c r="Z80" s="197">
        <f t="shared" si="41"/>
        <v>23.340199999999999</v>
      </c>
      <c r="AA80" s="197">
        <f t="shared" si="42"/>
        <v>23.293499999999998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43"/>
        <v>167</v>
      </c>
      <c r="AE80" s="77" t="str">
        <f t="shared" si="44"/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80" s="74" t="str">
        <f t="shared" si="45"/>
        <v>"C:\Program Files (x86)\AstroGrep\AstroGrep.exe" /e /r /s /spath="%USERPROFILE%\AppData\Local\Temp\OnboardLogs" /stypes="app*4024*20170615*" /stext=" 18:.+((SYSTEM_STATE.+slice.+state.+changed )|(ment ac)|(multiple cpu faults)|(system.+state.+changed )|(\[timeout)|(PRM\|1\|D)|(kpr)|(kdp)|(train st.+moving)|(\|lc)|(penalty))"</v>
      </c>
      <c r="AG80" s="209" t="str">
        <f t="shared" si="46"/>
        <v>EC</v>
      </c>
      <c r="AH80" s="78" t="str">
        <f t="shared" si="47"/>
        <v>"%USERPROFILE%\Documents\GitHub\eaglep3\Utilities\RefineRTDCRunTimes.py" --tripid 167-15 --locoid 4024 --swversion DE.1.0.9.0 --startMP 204:467 --initTime 2017-06-15T11:55:32 --startdatetime 2017-06-15T12:00:15 --delay 1 --endMP 204:233402 --enddatetime 2017-06-15T12:35:49 --enforcementcount 0 &gt;&gt;C:\Users\stu\Documents\GitHub\eaglep3-reporting\EC\2017-06-15-refined-times.txt</v>
      </c>
      <c r="AI80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{"issue":{"subject":"","project_id":79,"tracker_id":40,"status_id":1,"priority_id":2,"assigned_to_id":23,"start_date":"2017-06-15","description":"","custom_fields":[{"id":1,"name":"Subdivision","value":"EC"},{"id":4,"name":"Milepost","value":"23.3402"},{"id":17,"name":"Train ID","value":"167-15"},{"id":16,"name":"Locomotive ID","value":"4024"},{"id":130,"name":"Impact","value":""},{"id":150,"name":"Time of Event (Mountain Time)","value":"12:35:49"},{"id":151,"name":"Denver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9"/>
        <v>start /low /b %USERPROFILE%\Documents\GitHub\eaglep3\Utilities\DownloadLogsFromS3.py --loco 4024 --day 2017-06-15</v>
      </c>
      <c r="AN80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754</v>
      </c>
      <c r="B81" s="7">
        <v>4023</v>
      </c>
      <c r="C81" s="21" t="s">
        <v>202</v>
      </c>
      <c r="D81" s="21" t="s">
        <v>863</v>
      </c>
      <c r="E81" s="13">
        <v>42901.531145833331</v>
      </c>
      <c r="F81" s="13">
        <v>42901.532222222224</v>
      </c>
      <c r="G81" s="7">
        <v>1</v>
      </c>
      <c r="H81" s="21" t="s">
        <v>863</v>
      </c>
      <c r="I81" s="13">
        <v>42901.533703703702</v>
      </c>
      <c r="J81" s="7">
        <v>0</v>
      </c>
      <c r="K81" s="89" t="str">
        <f t="shared" si="35"/>
        <v>4023/4024</v>
      </c>
      <c r="L81" s="21" t="str">
        <f>VLOOKUP(A81,'Trips&amp;Operators'!$C$1:$G$99999,5,FALSE)</f>
        <v>DELGADO DIANAH</v>
      </c>
      <c r="M81" s="6">
        <f t="shared" si="36"/>
        <v>1.48148147854954E-3</v>
      </c>
      <c r="N81" s="7"/>
      <c r="O81" s="7"/>
      <c r="P81" s="7">
        <f>24*60*SUM($M81:$M81)</f>
        <v>2.1333333291113377</v>
      </c>
      <c r="Q81" s="22"/>
      <c r="R81" s="170" t="s">
        <v>1017</v>
      </c>
      <c r="S81" s="213">
        <f t="shared" si="34"/>
        <v>0</v>
      </c>
      <c r="T81" s="195" t="str">
        <f t="shared" si="37"/>
        <v>Southbound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196" t="str">
        <f t="shared" si="38"/>
        <v>https://d0f6bd738d7f1b3e5a7ca70fe4ff75f0.us-east-1.aws.found.io/app/kibana#/discover/Steve-Slow-Train-Analysis-(2080s-and-2083s)?_g=(refreshInterval:(display:Off,pause:!f,section:0,value:0),time:(from:'2017-06-15T11:44:51-0600',mode:absolute,to:'2017-06-15T13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1" s="197" t="str">
        <f>IF(AA81&lt;VLOOKUP(AG81,Variables!$AC$3:$AD$8,2,FALSE),"Y","N")</f>
        <v>Y</v>
      </c>
      <c r="X81" s="197">
        <f t="shared" si="39"/>
        <v>1</v>
      </c>
      <c r="Y81" s="197">
        <f t="shared" si="40"/>
        <v>23.3108</v>
      </c>
      <c r="Z81" s="197">
        <f t="shared" si="41"/>
        <v>23.3108</v>
      </c>
      <c r="AA81" s="197">
        <f t="shared" si="42"/>
        <v>0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43"/>
        <v>168</v>
      </c>
      <c r="AE81" s="77" t="str">
        <f t="shared" si="44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81" s="74" t="str">
        <f t="shared" si="45"/>
        <v>"C:\Program Files (x86)\AstroGrep\AstroGrep.exe" /e /r /s /spath="%USERPROFILE%\AppData\Local\Temp\OnboardLogs" /stypes="app*4023*20170615*" /stext=" 18:.+((SYSTEM_STATE.+slice.+state.+changed )|(ment ac)|(multiple cpu faults)|(system.+state.+changed )|(\[timeout)|(PRM\|1\|D)|(kpr)|(kdp)|(train st.+moving)|(\|lc)|(penalty))"</v>
      </c>
      <c r="AG81" s="209" t="str">
        <f t="shared" si="46"/>
        <v>EC</v>
      </c>
      <c r="AH81" s="78" t="str">
        <f t="shared" si="47"/>
        <v>"%USERPROFILE%\Documents\GitHub\eaglep3\Utilities\RefineRTDCRunTimes.py" --tripid 168-15 --locoid 4023 --swversion DE.1.0.9.0 --startMP 204:233108 --initTime 2017-06-15T12:44:51 --startdatetime 2017-06-15T12:46:24 --delay 1 --endMP 204:233108 --enddatetime 2017-06-15T12:48:32 --enforcementcount 0 &gt;&gt;C:\Users\stu\Documents\GitHub\eaglep3-reporting\EC\2017-06-15-refined-times.txt</v>
      </c>
      <c r="AI81" s="96" t="str">
        <f t="shared" si="48"/>
        <v>echo {"issue":{"subject":"Onboard in-route failure","project_id":79,"tracker_id":40,"status_id":1,"priority_id":2,"assigned_to_id":23,"start_date":"2017-06-15","description":"","custom_fields":[{"id":1,"name":"Subdivision","value":"EC"},{"id":4,"name":"Milepost","value":"23.3108"},{"id":17,"name":"Train ID","value":"168-15"},{"id":16,"name":"Locomotive ID","value":"4023"},{"id":130,"name":"Impact","value":""},{"id":150,"name":"Time of Event (Mountain Time)","value":"12:48:32"},{"id":151,"name":"Denver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9"/>
        <v>start /low /b %USERPROFILE%\Documents\GitHub\eaglep3\Utilities\DownloadLogsFromS3.py --loco 4023 --day 2017-06-15</v>
      </c>
      <c r="AN81" s="151" t="str">
        <f t="shared" si="50"/>
        <v>echo {"issue":{"subject":"Onboard in-route failure","project_id":30,"tracker_id":4,"status_id":1,"priority_id":1,"assigned_to_id":10,"start_date":"2017-06-15","description":"","custom_fields":[{"id":30,"name":"Category","value":"Issue"},{"id":3,"name":"Functional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754</v>
      </c>
      <c r="B82" s="7">
        <v>4023</v>
      </c>
      <c r="C82" s="21" t="s">
        <v>202</v>
      </c>
      <c r="D82" s="21" t="s">
        <v>863</v>
      </c>
      <c r="E82" s="13">
        <v>42901.531145833331</v>
      </c>
      <c r="F82" s="13">
        <v>42901.533703703702</v>
      </c>
      <c r="G82" s="7">
        <v>3</v>
      </c>
      <c r="H82" s="21" t="s">
        <v>863</v>
      </c>
      <c r="I82" s="13">
        <v>42901.533703703702</v>
      </c>
      <c r="J82" s="7">
        <v>0</v>
      </c>
      <c r="K82" s="89" t="str">
        <f t="shared" si="35"/>
        <v>4023/4024</v>
      </c>
      <c r="L82" s="21" t="str">
        <f>VLOOKUP(A82,'Trips&amp;Operators'!$C$1:$G$99999,5,FALSE)</f>
        <v>DELGADO DIANAH</v>
      </c>
      <c r="M82" s="6">
        <f t="shared" si="36"/>
        <v>0</v>
      </c>
      <c r="N82" s="7"/>
      <c r="O82" s="7"/>
      <c r="P82" s="7"/>
      <c r="Q82" s="22"/>
      <c r="R82" s="170"/>
      <c r="S82" s="213"/>
      <c r="T82" s="195" t="str">
        <f t="shared" si="37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0</v>
      </c>
      <c r="V82" s="196" t="str">
        <f t="shared" si="38"/>
        <v>https://d0f6bd738d7f1b3e5a7ca70fe4ff75f0.us-east-1.aws.found.io/app/kibana#/discover/Steve-Slow-Train-Analysis-(2080s-and-2083s)?_g=(refreshInterval:(display:Off,pause:!f,section:0,value:0),time:(from:'2017-06-15T11:44:51-0600',mode:absolute,to:'2017-06-15T13:48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2" s="197" t="str">
        <f>IF(AA82&lt;VLOOKUP(AG82,Variables!$AC$3:$AD$8,2,FALSE),"Y","N")</f>
        <v>Y</v>
      </c>
      <c r="X82" s="197">
        <f t="shared" si="39"/>
        <v>0</v>
      </c>
      <c r="Y82" s="197">
        <f t="shared" si="40"/>
        <v>23.3108</v>
      </c>
      <c r="Z82" s="197">
        <f t="shared" si="41"/>
        <v>23.3108</v>
      </c>
      <c r="AA82" s="197">
        <f t="shared" si="42"/>
        <v>0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43"/>
        <v>168</v>
      </c>
      <c r="AE82" s="77" t="str">
        <f t="shared" si="44"/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AF82" s="74" t="str">
        <f t="shared" si="45"/>
        <v>"C:\Program Files (x86)\AstroGrep\AstroGrep.exe" /e /r /s /spath="%USERPROFILE%\AppData\Local\Temp\OnboardLogs" /stypes="app*4023*20170615*" /stext=" 18:.+((SYSTEM_STATE.+slice.+state.+changed )|(ment ac)|(multiple cpu faults)|(system.+state.+changed )|(\[timeout)|(PRM\|1\|D)|(kpr)|(kdp)|(train st.+moving)|(\|lc)|(penalty))"</v>
      </c>
      <c r="AG82" s="209" t="str">
        <f t="shared" si="46"/>
        <v>EC</v>
      </c>
      <c r="AH82" s="78" t="str">
        <f t="shared" si="47"/>
        <v>"%USERPROFILE%\Documents\GitHub\eaglep3\Utilities\RefineRTDCRunTimes.py" --tripid 168-15 --locoid 4023 --swversion DE.1.0.9.0 --startMP 204:233108 --initTime 2017-06-15T12:44:51 --startdatetime 2017-06-15T12:48:32 --delay 3 --endMP 204:233108 --enddatetime 2017-06-15T12:48:32 --enforcementcount 0 &gt;&gt;C:\Users\stu\Documents\GitHub\eaglep3-reporting\EC\2017-06-15-refined-times.txt</v>
      </c>
      <c r="AI82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{"issue":{"subject":"","project_id":79,"tracker_id":40,"status_id":1,"priority_id":2,"assigned_to_id":23,"start_date":"2017-06-15","description":"","custom_fields":[{"id":1,"name":"Subdivision","value":"EC"},{"id":4,"name":"Milepost","value":"23.3108"},{"id":17,"name":"Train ID","value":"168-15"},{"id":16,"name":"Locomotive ID","value":"4023"},{"id":130,"name":"Impact","value":""},{"id":150,"name":"Time of Event (Mountain Time)","value":"12:48:32"},{"id":151,"name":"Denver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9"/>
        <v>start /low /b %USERPROFILE%\Documents\GitHub\eaglep3\Utilities\DownloadLogsFromS3.py --loco 4023 --day 2017-06-15</v>
      </c>
      <c r="AN82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18:48:32"},{"id":29,"name":"Sharepoint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634</v>
      </c>
      <c r="B83" s="7">
        <v>4006</v>
      </c>
      <c r="C83" s="21" t="s">
        <v>202</v>
      </c>
      <c r="D83" s="21" t="s">
        <v>470</v>
      </c>
      <c r="E83" s="13">
        <v>42901.504710648151</v>
      </c>
      <c r="F83" s="13">
        <v>42901.510601851849</v>
      </c>
      <c r="G83" s="7">
        <v>2</v>
      </c>
      <c r="H83" s="21" t="s">
        <v>522</v>
      </c>
      <c r="I83" s="13">
        <v>42901.535717592589</v>
      </c>
      <c r="J83" s="7">
        <v>0</v>
      </c>
      <c r="K83" s="89" t="str">
        <f t="shared" si="35"/>
        <v>4005/4006</v>
      </c>
      <c r="L83" s="21" t="str">
        <f>VLOOKUP(A83,'Trips&amp;Operators'!$C$1:$G$99999,5,FALSE)</f>
        <v>BERLING GARY</v>
      </c>
      <c r="M83" s="6">
        <f t="shared" si="36"/>
        <v>2.5115740740147885E-2</v>
      </c>
      <c r="N83" s="7">
        <f t="shared" ref="N83:N114" si="51">24*60*SUM($M83:$M83)</f>
        <v>36.166666665812954</v>
      </c>
      <c r="O83" s="7"/>
      <c r="P83" s="7"/>
      <c r="Q83" s="22"/>
      <c r="R83" s="170"/>
      <c r="S83" s="213">
        <f t="shared" ref="S83:S114" si="52">SUM(U83:U83)/IF(AG83="EC",12,1)</f>
        <v>1</v>
      </c>
      <c r="T83" s="195" t="str">
        <f t="shared" si="37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8"/>
        <v>https://d0f6bd738d7f1b3e5a7ca70fe4ff75f0.us-east-1.aws.found.io/app/kibana#/discover/Steve-Slow-Train-Analysis-(2080s-and-2083s)?_g=(refreshInterval:(display:Off,pause:!f,section:0,value:0),time:(from:'2017-06-15T11:06:47-0600',mode:absolute,to:'2017-06-15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3" s="197" t="str">
        <f>IF(AA83&lt;VLOOKUP(AG83,Variables!$AC$3:$AD$8,2,FALSE),"Y","N")</f>
        <v>N</v>
      </c>
      <c r="X83" s="197">
        <f t="shared" si="39"/>
        <v>1</v>
      </c>
      <c r="Y83" s="197">
        <f t="shared" si="40"/>
        <v>4.6899999999999997E-2</v>
      </c>
      <c r="Z83" s="197">
        <f t="shared" si="41"/>
        <v>23.331399999999999</v>
      </c>
      <c r="AA83" s="197">
        <f t="shared" si="42"/>
        <v>23.284499999999998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43"/>
        <v>169</v>
      </c>
      <c r="AE83" s="77" t="str">
        <f t="shared" si="44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83" s="74" t="str">
        <f t="shared" si="45"/>
        <v>"C:\Program Files (x86)\AstroGrep\AstroGrep.exe" /e /r /s /spath="%USERPROFILE%\AppData\Local\Temp\OnboardLogs" /stypes="app*4006*20170615*" /stext=" 18:.+((SYSTEM_STATE.+slice.+state.+changed )|(ment ac)|(multiple cpu faults)|(system.+state.+changed )|(\[timeout)|(PRM\|1\|D)|(kpr)|(kdp)|(train st.+moving)|(\|lc)|(penalty))"</v>
      </c>
      <c r="AG83" s="209" t="str">
        <f t="shared" si="46"/>
        <v>EC</v>
      </c>
      <c r="AH83" s="78" t="str">
        <f t="shared" si="47"/>
        <v>"%USERPROFILE%\Documents\GitHub\eaglep3\Utilities\RefineRTDCRunTimes.py" --tripid 169-15 --locoid 4006 --swversion DE.1.0.9.0 --startMP 204:469 --initTime 2017-06-15T12:06:47 --startdatetime 2017-06-15T12:15:16 --delay 2 --endMP 204:233314 --enddatetime 2017-06-15T12:51:26 --enforcementcount 0 &gt;&gt;C:\Users\stu\Documents\GitHub\eaglep3-reporting\EC\2017-06-15-refined-times.txt</v>
      </c>
      <c r="AI83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{"issue":{"subject":"","project_id":79,"tracker_id":40,"status_id":1,"priority_id":2,"assigned_to_id":23,"start_date":"2017-06-15","description":"","custom_fields":[{"id":1,"name":"Subdivision","value":"EC"},{"id":4,"name":"Milepost","value":"23.3314"},{"id":17,"name":"Train ID","value":"169-15"},{"id":16,"name":"Locomotive ID","value":"4006"},{"id":130,"name":"Impact","value":""},{"id":150,"name":"Time of Event (Mountain Time)","value":"12:51:26"},{"id":151,"name":"Denver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9"/>
        <v>start /low /b %USERPROFILE%\Documents\GitHub\eaglep3\Utilities\DownloadLogsFromS3.py --loco 4006 --day 2017-06-15</v>
      </c>
      <c r="AN83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756</v>
      </c>
      <c r="B84" s="7">
        <v>4005</v>
      </c>
      <c r="C84" s="21" t="s">
        <v>202</v>
      </c>
      <c r="D84" s="21" t="s">
        <v>457</v>
      </c>
      <c r="E84" s="13">
        <v>42901.542395833334</v>
      </c>
      <c r="F84" s="13">
        <v>42901.550162037034</v>
      </c>
      <c r="G84" s="7">
        <v>3</v>
      </c>
      <c r="H84" s="21" t="s">
        <v>864</v>
      </c>
      <c r="I84" s="13">
        <v>42901.577708333331</v>
      </c>
      <c r="J84" s="7">
        <v>0</v>
      </c>
      <c r="K84" s="89" t="str">
        <f t="shared" si="35"/>
        <v>4005/4006</v>
      </c>
      <c r="L84" s="21" t="str">
        <f>VLOOKUP(A84,'Trips&amp;Operators'!$C$1:$G$99999,5,FALSE)</f>
        <v>BERLING GARY</v>
      </c>
      <c r="M84" s="6">
        <f t="shared" si="36"/>
        <v>2.7546296296350192E-2</v>
      </c>
      <c r="N84" s="7">
        <f t="shared" si="51"/>
        <v>39.666666666744277</v>
      </c>
      <c r="O84" s="7"/>
      <c r="P84" s="7"/>
      <c r="Q84" s="22"/>
      <c r="R84" s="170"/>
      <c r="S84" s="213">
        <f t="shared" si="52"/>
        <v>1</v>
      </c>
      <c r="T84" s="195" t="str">
        <f t="shared" si="37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8"/>
        <v>https://d0f6bd738d7f1b3e5a7ca70fe4ff75f0.us-east-1.aws.found.io/app/kibana#/discover/Steve-Slow-Train-Analysis-(2080s-and-2083s)?_g=(refreshInterval:(display:Off,pause:!f,section:0,value:0),time:(from:'2017-06-15T12:01:03-0600',mode:absolute,to:'2017-06-15T14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4" s="197" t="str">
        <f>IF(AA84&lt;VLOOKUP(AG84,Variables!$AC$3:$AD$8,2,FALSE),"Y","N")</f>
        <v>N</v>
      </c>
      <c r="X84" s="197">
        <f t="shared" si="39"/>
        <v>1</v>
      </c>
      <c r="Y84" s="197">
        <f t="shared" si="40"/>
        <v>23.299399999999999</v>
      </c>
      <c r="Z84" s="197">
        <f t="shared" si="41"/>
        <v>1.14E-2</v>
      </c>
      <c r="AA84" s="197">
        <f t="shared" si="42"/>
        <v>23.288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43"/>
        <v>170</v>
      </c>
      <c r="AE84" s="77" t="str">
        <f t="shared" si="44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84" s="74" t="str">
        <f t="shared" si="45"/>
        <v>"C:\Program Files (x86)\AstroGrep\AstroGrep.exe" /e /r /s /spath="%USERPROFILE%\AppData\Local\Temp\OnboardLogs" /stypes="app*4005*20170615*" /stext=" 19:.+((SYSTEM_STATE.+slice.+state.+changed )|(ment ac)|(multiple cpu faults)|(system.+state.+changed )|(\[timeout)|(PRM\|1\|D)|(kpr)|(kdp)|(train st.+moving)|(\|lc)|(penalty))"</v>
      </c>
      <c r="AG84" s="209" t="str">
        <f t="shared" si="46"/>
        <v>EC</v>
      </c>
      <c r="AH84" s="78" t="str">
        <f t="shared" si="47"/>
        <v>"%USERPROFILE%\Documents\GitHub\eaglep3\Utilities\RefineRTDCRunTimes.py" --tripid 170-15 --locoid 4005 --swversion DE.1.0.9.0 --startMP 204:232994 --initTime 2017-06-15T13:01:03 --startdatetime 2017-06-15T13:12:14 --delay 3 --endMP 204:114 --enddatetime 2017-06-15T13:51:54 --enforcementcount 0 &gt;&gt;C:\Users\stu\Documents\GitHub\eaglep3-reporting\EC\2017-06-15-refined-times.txt</v>
      </c>
      <c r="AI84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{"issue":{"subject":"","project_id":79,"tracker_id":40,"status_id":1,"priority_id":2,"assigned_to_id":23,"start_date":"2017-06-15","description":"","custom_fields":[{"id":1,"name":"Subdivision","value":"EC"},{"id":4,"name":"Milepost","value":"0.0114"},{"id":17,"name":"Train ID","value":"170-15"},{"id":16,"name":"Locomotive ID","value":"4005"},{"id":130,"name":"Impact","value":""},{"id":150,"name":"Time of Event (Mountain Time)","value":"13:51:54"},{"id":151,"name":"Denver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9"/>
        <v>start /low /b %USERPROFILE%\Documents\GitHub\eaglep3\Utilities\DownloadLogsFromS3.py --loco 4005 --day 2017-06-15</v>
      </c>
      <c r="AN84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751</v>
      </c>
      <c r="B85" s="7">
        <v>4046</v>
      </c>
      <c r="C85" s="21" t="s">
        <v>202</v>
      </c>
      <c r="D85" s="21" t="s">
        <v>576</v>
      </c>
      <c r="E85" s="13">
        <v>42901.515902777777</v>
      </c>
      <c r="F85" s="13">
        <v>42901.521018518521</v>
      </c>
      <c r="G85" s="7">
        <v>1</v>
      </c>
      <c r="H85" s="21" t="s">
        <v>587</v>
      </c>
      <c r="I85" s="13">
        <v>42901.548078703701</v>
      </c>
      <c r="J85" s="7">
        <v>0</v>
      </c>
      <c r="K85" s="89" t="str">
        <f t="shared" si="35"/>
        <v>4045/4046</v>
      </c>
      <c r="L85" s="21" t="str">
        <f>VLOOKUP(A85,'Trips&amp;Operators'!$C$1:$G$99999,5,FALSE)</f>
        <v>SULLIVAN BRANDON</v>
      </c>
      <c r="M85" s="6">
        <f t="shared" si="36"/>
        <v>2.7060185180744156E-2</v>
      </c>
      <c r="N85" s="7">
        <f t="shared" si="51"/>
        <v>38.966666660271585</v>
      </c>
      <c r="O85" s="7"/>
      <c r="P85" s="7"/>
      <c r="Q85" s="22"/>
      <c r="R85" s="170"/>
      <c r="S85" s="213">
        <f t="shared" si="52"/>
        <v>1</v>
      </c>
      <c r="T85" s="195" t="str">
        <f t="shared" si="37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8"/>
        <v>https://d0f6bd738d7f1b3e5a7ca70fe4ff75f0.us-east-1.aws.found.io/app/kibana#/discover/Steve-Slow-Train-Analysis-(2080s-and-2083s)?_g=(refreshInterval:(display:Off,pause:!f,section:0,value:0),time:(from:'2017-06-15T11:22:54-0600',mode:absolute,to:'2017-06-15T14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5" s="197" t="str">
        <f>IF(AA85&lt;VLOOKUP(AG85,Variables!$AC$3:$AD$8,2,FALSE),"Y","N")</f>
        <v>N</v>
      </c>
      <c r="X85" s="197">
        <f t="shared" ref="X85:X89" si="53">VALUE(LEFT(AD85,4))-VALUE(LEFT(AD84,4))</f>
        <v>1</v>
      </c>
      <c r="Y85" s="197">
        <f t="shared" si="40"/>
        <v>4.5499999999999999E-2</v>
      </c>
      <c r="Z85" s="197">
        <f t="shared" si="41"/>
        <v>23.331700000000001</v>
      </c>
      <c r="AA85" s="197">
        <f t="shared" si="42"/>
        <v>23.286200000000001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43"/>
        <v>171</v>
      </c>
      <c r="AE85" s="77" t="str">
        <f t="shared" si="44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85" s="74" t="str">
        <f t="shared" si="45"/>
        <v>"C:\Program Files (x86)\AstroGrep\AstroGrep.exe" /e /r /s /spath="%USERPROFILE%\AppData\Local\Temp\OnboardLogs" /stypes="app*4046*20170615*" /stext=" 19:.+((SYSTEM_STATE.+slice.+state.+changed )|(ment ac)|(multiple cpu faults)|(system.+state.+changed )|(\[timeout)|(PRM\|1\|D)|(kpr)|(kdp)|(train st.+moving)|(\|lc)|(penalty))"</v>
      </c>
      <c r="AG85" s="209" t="str">
        <f t="shared" si="46"/>
        <v>EC</v>
      </c>
      <c r="AH85" s="78" t="str">
        <f t="shared" si="47"/>
        <v>"%USERPROFILE%\Documents\GitHub\eaglep3\Utilities\RefineRTDCRunTimes.py" --tripid 171-15 --locoid 4046 --swversion DE.1.0.9.0 --startMP 204:455 --initTime 2017-06-15T12:22:54 --startdatetime 2017-06-15T12:30:16 --delay 1 --endMP 204:233317 --enddatetime 2017-06-15T13:09:14 --enforcementcount 0 &gt;&gt;C:\Users\stu\Documents\GitHub\eaglep3-reporting\EC\2017-06-15-refined-times.txt</v>
      </c>
      <c r="AI85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{"issue":{"subject":"","project_id":79,"tracker_id":40,"status_id":1,"priority_id":2,"assigned_to_id":23,"start_date":"2017-06-15","description":"","custom_fields":[{"id":1,"name":"Subdivision","value":"EC"},{"id":4,"name":"Milepost","value":"23.3317"},{"id":17,"name":"Train ID","value":"171-15"},{"id":16,"name":"Locomotive ID","value":"4046"},{"id":130,"name":"Impact","value":""},{"id":150,"name":"Time of Event (Mountain Time)","value":"13:09:14"},{"id":151,"name":"Denver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9"/>
        <v>start /low /b %USERPROFILE%\Documents\GitHub\eaglep3\Utilities\DownloadLogsFromS3.py --loco 4046 --day 2017-06-15</v>
      </c>
      <c r="AN85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759</v>
      </c>
      <c r="B86" s="7">
        <v>4045</v>
      </c>
      <c r="C86" s="21" t="s">
        <v>202</v>
      </c>
      <c r="D86" s="21" t="s">
        <v>465</v>
      </c>
      <c r="E86" s="13">
        <v>42901.554490740738</v>
      </c>
      <c r="F86" s="13">
        <v>42901.560590277775</v>
      </c>
      <c r="G86" s="7">
        <v>1</v>
      </c>
      <c r="H86" s="21" t="s">
        <v>193</v>
      </c>
      <c r="I86" s="13">
        <v>42901.587812500002</v>
      </c>
      <c r="J86" s="7">
        <v>0</v>
      </c>
      <c r="K86" s="89" t="str">
        <f t="shared" si="35"/>
        <v>4045/4046</v>
      </c>
      <c r="L86" s="21" t="str">
        <f>VLOOKUP(A86,'Trips&amp;Operators'!$C$1:$G$99999,5,FALSE)</f>
        <v>SULLIVAN BRANDON</v>
      </c>
      <c r="M86" s="6">
        <f t="shared" si="36"/>
        <v>2.7222222226555459E-2</v>
      </c>
      <c r="N86" s="7">
        <f t="shared" si="51"/>
        <v>39.200000006239861</v>
      </c>
      <c r="O86" s="7"/>
      <c r="P86" s="7"/>
      <c r="Q86" s="22"/>
      <c r="R86" s="170" t="s">
        <v>1037</v>
      </c>
      <c r="S86" s="213">
        <f t="shared" si="52"/>
        <v>1</v>
      </c>
      <c r="T86" s="195" t="str">
        <f t="shared" si="37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8"/>
        <v>https://d0f6bd738d7f1b3e5a7ca70fe4ff75f0.us-east-1.aws.found.io/app/kibana#/discover/Steve-Slow-Train-Analysis-(2080s-and-2083s)?_g=(refreshInterval:(display:Off,pause:!f,section:0,value:0),time:(from:'2017-06-15T12:18:28-0600',mode:absolute,to:'2017-06-15T15:06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6" s="197" t="str">
        <f>IF(AA86&lt;VLOOKUP(AG86,Variables!$AC$3:$AD$8,2,FALSE),"Y","N")</f>
        <v>N</v>
      </c>
      <c r="X86" s="197">
        <f t="shared" si="53"/>
        <v>1</v>
      </c>
      <c r="Y86" s="197">
        <f t="shared" si="40"/>
        <v>23.3019</v>
      </c>
      <c r="Z86" s="197">
        <f t="shared" si="41"/>
        <v>1.52E-2</v>
      </c>
      <c r="AA86" s="197">
        <f t="shared" si="42"/>
        <v>23.2867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43"/>
        <v>172</v>
      </c>
      <c r="AE86" s="77" t="str">
        <f t="shared" si="44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86" s="74" t="str">
        <f t="shared" si="45"/>
        <v>"C:\Program Files (x86)\AstroGrep\AstroGrep.exe" /e /r /s /spath="%USERPROFILE%\AppData\Local\Temp\OnboardLogs" /stypes="app*4045*20170615*" /stext=" 20:.+((SYSTEM_STATE.+slice.+state.+changed )|(ment ac)|(multiple cpu faults)|(system.+state.+changed )|(\[timeout)|(PRM\|1\|D)|(kpr)|(kdp)|(train st.+moving)|(\|lc)|(penalty))"</v>
      </c>
      <c r="AG86" s="209" t="str">
        <f t="shared" si="46"/>
        <v>EC</v>
      </c>
      <c r="AH86" s="78" t="str">
        <f t="shared" si="47"/>
        <v>"%USERPROFILE%\Documents\GitHub\eaglep3\Utilities\RefineRTDCRunTimes.py" --tripid 172-15 --locoid 4045 --swversion DE.1.0.9.0 --startMP 204:233019 --initTime 2017-06-15T13:18:28 --startdatetime 2017-06-15T13:27:15 --delay 1 --endMP 204:152 --enddatetime 2017-06-15T14:06:27 --enforcementcount 0 &gt;&gt;C:\Users\stu\Documents\GitHub\eaglep3-reporting\EC\2017-06-15-refined-times.txt</v>
      </c>
      <c r="AI86" s="96" t="str">
        <f t="shared" si="48"/>
        <v>echo {"issue":{"subject":"Unhealthy at Chambers due to train stop","project_id":79,"tracker_id":40,"status_id":1,"priority_id":2,"assigned_to_id":23,"start_date":"2017-06-15","description":"","custom_fields":[{"id":1,"name":"Subdivision","value":"EC"},{"id":4,"name":"Milepost","value":"0.0152"},{"id":17,"name":"Train ID","value":"172-15"},{"id":16,"name":"Locomotive ID","value":"4045"},{"id":130,"name":"Impact","value":""},{"id":150,"name":"Time of Event (Mountain Time)","value":"14:06:27"},{"id":151,"name":"Denver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9"/>
        <v>start /low /b %USERPROFILE%\Documents\GitHub\eaglep3\Utilities\DownloadLogsFromS3.py --loco 4045 --day 2017-06-15</v>
      </c>
      <c r="AN86" s="151" t="str">
        <f t="shared" si="50"/>
        <v>echo {"issue":{"subject":"Unhealthy at Chambers due to train stop","project_id":30,"tracker_id":4,"status_id":1,"priority_id":1,"assigned_to_id":10,"start_date":"2017-06-15","description":"","custom_fields":[{"id":30,"name":"Category","value":"Issue"},{"id":3,"name":"Functional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635</v>
      </c>
      <c r="B87" s="7">
        <v>4042</v>
      </c>
      <c r="C87" s="21" t="s">
        <v>202</v>
      </c>
      <c r="D87" s="21" t="s">
        <v>392</v>
      </c>
      <c r="E87" s="13">
        <v>42901.527222222219</v>
      </c>
      <c r="F87" s="13">
        <v>42901.531504629631</v>
      </c>
      <c r="G87" s="7">
        <v>1</v>
      </c>
      <c r="H87" s="21" t="s">
        <v>462</v>
      </c>
      <c r="I87" s="13">
        <v>42901.55741898148</v>
      </c>
      <c r="J87" s="7">
        <v>0</v>
      </c>
      <c r="K87" s="89" t="str">
        <f t="shared" si="35"/>
        <v>4041/4042</v>
      </c>
      <c r="L87" s="21" t="str">
        <f>VLOOKUP(A87,'Trips&amp;Operators'!$C$1:$G$99999,5,FALSE)</f>
        <v>HOLCOMB KAMDEN</v>
      </c>
      <c r="M87" s="6">
        <f t="shared" si="36"/>
        <v>2.5914351848769002E-2</v>
      </c>
      <c r="N87" s="7">
        <f t="shared" si="51"/>
        <v>37.316666662227362</v>
      </c>
      <c r="O87" s="7"/>
      <c r="P87" s="7"/>
      <c r="Q87" s="22"/>
      <c r="R87" s="170"/>
      <c r="S87" s="213">
        <f t="shared" si="52"/>
        <v>1</v>
      </c>
      <c r="T87" s="195" t="str">
        <f t="shared" si="37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8"/>
        <v>https://d0f6bd738d7f1b3e5a7ca70fe4ff75f0.us-east-1.aws.found.io/app/kibana#/discover/Steve-Slow-Train-Analysis-(2080s-and-2083s)?_g=(refreshInterval:(display:Off,pause:!f,section:0,value:0),time:(from:'2017-06-15T11:39:12-0600',mode:absolute,to:'2017-06-15T14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7" s="197" t="str">
        <f>IF(AA87&lt;VLOOKUP(AG87,Variables!$AC$3:$AD$8,2,FALSE),"Y","N")</f>
        <v>N</v>
      </c>
      <c r="X87" s="197">
        <f t="shared" si="53"/>
        <v>1</v>
      </c>
      <c r="Y87" s="197">
        <f t="shared" si="40"/>
        <v>4.6199999999999998E-2</v>
      </c>
      <c r="Z87" s="197">
        <f t="shared" si="41"/>
        <v>23.329499999999999</v>
      </c>
      <c r="AA87" s="197">
        <f t="shared" si="42"/>
        <v>23.283300000000001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43"/>
        <v>173</v>
      </c>
      <c r="AE87" s="77" t="str">
        <f t="shared" si="44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87" s="74" t="str">
        <f t="shared" si="45"/>
        <v>"C:\Program Files (x86)\AstroGrep\AstroGrep.exe" /e /r /s /spath="%USERPROFILE%\AppData\Local\Temp\OnboardLogs" /stypes="app*4042*20170615*" /stext=" 19:.+((SYSTEM_STATE.+slice.+state.+changed )|(ment ac)|(multiple cpu faults)|(system.+state.+changed )|(\[timeout)|(PRM\|1\|D)|(kpr)|(kdp)|(train st.+moving)|(\|lc)|(penalty))"</v>
      </c>
      <c r="AG87" s="209" t="str">
        <f t="shared" si="46"/>
        <v>EC</v>
      </c>
      <c r="AH87" s="78" t="str">
        <f t="shared" si="47"/>
        <v>"%USERPROFILE%\Documents\GitHub\eaglep3\Utilities\RefineRTDCRunTimes.py" --tripid 173-15 --locoid 4042 --swversion DE.1.0.9.0 --startMP 204:462 --initTime 2017-06-15T12:39:12 --startdatetime 2017-06-15T12:45:22 --delay 1 --endMP 204:233295 --enddatetime 2017-06-15T13:22:41 --enforcementcount 0 &gt;&gt;C:\Users\stu\Documents\GitHub\eaglep3-reporting\EC\2017-06-15-refined-times.txt</v>
      </c>
      <c r="AI87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{"issue":{"subject":"","project_id":79,"tracker_id":40,"status_id":1,"priority_id":2,"assigned_to_id":23,"start_date":"2017-06-15","description":"","custom_fields":[{"id":1,"name":"Subdivision","value":"EC"},{"id":4,"name":"Milepost","value":"23.3295"},{"id":17,"name":"Train ID","value":"173-15"},{"id":16,"name":"Locomotive ID","value":"4042"},{"id":130,"name":"Impact","value":""},{"id":150,"name":"Time of Event (Mountain Time)","value":"13:22:41"},{"id":151,"name":"Denver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9"/>
        <v>start /low /b %USERPROFILE%\Documents\GitHub\eaglep3\Utilities\DownloadLogsFromS3.py --loco 4042 --day 2017-06-15</v>
      </c>
      <c r="AN87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638</v>
      </c>
      <c r="B88" s="7">
        <v>4041</v>
      </c>
      <c r="C88" s="21" t="s">
        <v>202</v>
      </c>
      <c r="D88" s="21" t="s">
        <v>586</v>
      </c>
      <c r="E88" s="13">
        <v>42901.56590277778</v>
      </c>
      <c r="F88" s="13">
        <v>42901.571226851855</v>
      </c>
      <c r="G88" s="7">
        <v>1</v>
      </c>
      <c r="H88" s="21" t="s">
        <v>865</v>
      </c>
      <c r="I88" s="13">
        <v>42901.596944444442</v>
      </c>
      <c r="J88" s="7">
        <v>0</v>
      </c>
      <c r="K88" s="89" t="str">
        <f t="shared" si="35"/>
        <v>4041/4042</v>
      </c>
      <c r="L88" s="21" t="str">
        <f>VLOOKUP(A88,'Trips&amp;Operators'!$C$1:$G$99999,5,FALSE)</f>
        <v>HOLCOMB KAMDEN</v>
      </c>
      <c r="M88" s="6">
        <f t="shared" si="36"/>
        <v>2.5717592587170657E-2</v>
      </c>
      <c r="N88" s="7">
        <f t="shared" si="51"/>
        <v>37.033333325525746</v>
      </c>
      <c r="O88" s="7"/>
      <c r="P88" s="7"/>
      <c r="Q88" s="22"/>
      <c r="R88" s="170"/>
      <c r="S88" s="213">
        <f t="shared" si="52"/>
        <v>1</v>
      </c>
      <c r="T88" s="195" t="str">
        <f t="shared" si="37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8"/>
        <v>https://d0f6bd738d7f1b3e5a7ca70fe4ff75f0.us-east-1.aws.found.io/app/kibana#/discover/Steve-Slow-Train-Analysis-(2080s-and-2083s)?_g=(refreshInterval:(display:Off,pause:!f,section:0,value:0),time:(from:'2017-06-15T12:34:54-0600',mode:absolute,to:'2017-06-15T15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8" s="197" t="str">
        <f>IF(AA88&lt;VLOOKUP(AG88,Variables!$AC$3:$AD$8,2,FALSE),"Y","N")</f>
        <v>N</v>
      </c>
      <c r="X88" s="197">
        <f t="shared" si="53"/>
        <v>1</v>
      </c>
      <c r="Y88" s="197">
        <f t="shared" si="40"/>
        <v>23.3</v>
      </c>
      <c r="Z88" s="197">
        <f t="shared" si="41"/>
        <v>2.0899999999999998E-2</v>
      </c>
      <c r="AA88" s="197">
        <f t="shared" si="42"/>
        <v>23.2791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43"/>
        <v>174</v>
      </c>
      <c r="AE88" s="77" t="str">
        <f t="shared" si="44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88" s="74" t="str">
        <f t="shared" si="45"/>
        <v>"C:\Program Files (x86)\AstroGrep\AstroGrep.exe" /e /r /s /spath="%USERPROFILE%\AppData\Local\Temp\OnboardLogs" /stypes="app*4041*20170615*" /stext=" 20:.+((SYSTEM_STATE.+slice.+state.+changed )|(ment ac)|(multiple cpu faults)|(system.+state.+changed )|(\[timeout)|(PRM\|1\|D)|(kpr)|(kdp)|(train st.+moving)|(\|lc)|(penalty))"</v>
      </c>
      <c r="AG88" s="209" t="str">
        <f t="shared" si="46"/>
        <v>EC</v>
      </c>
      <c r="AH88" s="78" t="str">
        <f t="shared" si="47"/>
        <v>"%USERPROFILE%\Documents\GitHub\eaglep3\Utilities\RefineRTDCRunTimes.py" --tripid 174-15 --locoid 4041 --swversion DE.1.0.9.0 --startMP 204:233000 --initTime 2017-06-15T13:34:54 --startdatetime 2017-06-15T13:42:34 --delay 1 --endMP 204:209 --enddatetime 2017-06-15T14:19:36 --enforcementcount 0 &gt;&gt;C:\Users\stu\Documents\GitHub\eaglep3-reporting\EC\2017-06-15-refined-times.txt</v>
      </c>
      <c r="AI88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{"issue":{"subject":"","project_id":79,"tracker_id":40,"status_id":1,"priority_id":2,"assigned_to_id":23,"start_date":"2017-06-15","description":"","custom_fields":[{"id":1,"name":"Subdivision","value":"EC"},{"id":4,"name":"Milepost","value":"0.0209"},{"id":17,"name":"Train ID","value":"174-15"},{"id":16,"name":"Locomotive ID","value":"4041"},{"id":130,"name":"Impact","value":""},{"id":150,"name":"Time of Event (Mountain Time)","value":"14:19:36"},{"id":151,"name":"Denver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9"/>
        <v>start /low /b %USERPROFILE%\Documents\GitHub\eaglep3\Utilities\DownloadLogsFromS3.py --loco 4041 --day 2017-06-15</v>
      </c>
      <c r="AN88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755</v>
      </c>
      <c r="B89" s="7">
        <v>4040</v>
      </c>
      <c r="C89" s="21" t="s">
        <v>202</v>
      </c>
      <c r="D89" s="21" t="s">
        <v>356</v>
      </c>
      <c r="E89" s="13">
        <v>42901.537581018521</v>
      </c>
      <c r="F89" s="13">
        <v>42901.541851851849</v>
      </c>
      <c r="G89" s="7">
        <v>2</v>
      </c>
      <c r="H89" s="21" t="s">
        <v>866</v>
      </c>
      <c r="I89" s="13">
        <v>42901.567476851851</v>
      </c>
      <c r="J89" s="7">
        <v>0</v>
      </c>
      <c r="K89" s="89" t="str">
        <f t="shared" si="35"/>
        <v>4039/4040</v>
      </c>
      <c r="L89" s="21" t="str">
        <f>VLOOKUP(A89,'Trips&amp;Operators'!$C$1:$G$99999,5,FALSE)</f>
        <v>STEWART MICHAEL</v>
      </c>
      <c r="M89" s="6">
        <f t="shared" si="36"/>
        <v>2.5625000002037268E-2</v>
      </c>
      <c r="N89" s="7">
        <f t="shared" si="51"/>
        <v>36.900000002933666</v>
      </c>
      <c r="O89" s="7"/>
      <c r="P89" s="7"/>
      <c r="Q89" s="22"/>
      <c r="R89" s="170"/>
      <c r="S89" s="213">
        <f t="shared" si="52"/>
        <v>1</v>
      </c>
      <c r="T89" s="195" t="str">
        <f t="shared" si="37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8"/>
        <v>https://d0f6bd738d7f1b3e5a7ca70fe4ff75f0.us-east-1.aws.found.io/app/kibana#/discover/Steve-Slow-Train-Analysis-(2080s-and-2083s)?_g=(refreshInterval:(display:Off,pause:!f,section:0,value:0),time:(from:'2017-06-15T11:54:07-0600',mode:absolute,to:'2017-06-15T14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197" t="str">
        <f>IF(AA89&lt;VLOOKUP(AG89,Variables!$AC$3:$AD$8,2,FALSE),"Y","N")</f>
        <v>N</v>
      </c>
      <c r="X89" s="197">
        <f t="shared" si="53"/>
        <v>1</v>
      </c>
      <c r="Y89" s="197">
        <f t="shared" si="40"/>
        <v>4.4699999999999997E-2</v>
      </c>
      <c r="Z89" s="197">
        <f t="shared" si="41"/>
        <v>23.332100000000001</v>
      </c>
      <c r="AA89" s="197">
        <f t="shared" si="42"/>
        <v>23.287400000000002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43"/>
        <v>175</v>
      </c>
      <c r="AE89" s="77" t="str">
        <f t="shared" si="44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89" s="74" t="str">
        <f t="shared" si="45"/>
        <v>"C:\Program Files (x86)\AstroGrep\AstroGrep.exe" /e /r /s /spath="%USERPROFILE%\AppData\Local\Temp\OnboardLogs" /stypes="app*4040*20170615*" /stext=" 19:.+((SYSTEM_STATE.+slice.+state.+changed )|(ment ac)|(multiple cpu faults)|(system.+state.+changed )|(\[timeout)|(PRM\|1\|D)|(kpr)|(kdp)|(train st.+moving)|(\|lc)|(penalty))"</v>
      </c>
      <c r="AG89" s="209" t="str">
        <f t="shared" si="46"/>
        <v>EC</v>
      </c>
      <c r="AH89" s="78" t="str">
        <f t="shared" si="47"/>
        <v>"%USERPROFILE%\Documents\GitHub\eaglep3\Utilities\RefineRTDCRunTimes.py" --tripid 175-15 --locoid 4040 --swversion DE.1.0.9.0 --startMP 204:447 --initTime 2017-06-15T12:54:07 --startdatetime 2017-06-15T13:00:16 --delay 2 --endMP 204:233321 --enddatetime 2017-06-15T13:37:10 --enforcementcount 0 &gt;&gt;C:\Users\stu\Documents\GitHub\eaglep3-reporting\EC\2017-06-15-refined-times.txt</v>
      </c>
      <c r="AI8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{"issue":{"subject":"","project_id":79,"tracker_id":40,"status_id":1,"priority_id":2,"assigned_to_id":23,"start_date":"2017-06-15","description":"","custom_fields":[{"id":1,"name":"Subdivision","value":"EC"},{"id":4,"name":"Milepost","value":"23.3321"},{"id":17,"name":"Train ID","value":"175-15"},{"id":16,"name":"Locomotive ID","value":"4040"},{"id":130,"name":"Impact","value":""},{"id":150,"name":"Time of Event (Mountain Time)","value":"13:37:10"},{"id":151,"name":"Denver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9"/>
        <v>start /low /b %USERPROFILE%\Documents\GitHub\eaglep3\Utilities\DownloadLogsFromS3.py --loco 4040 --day 2017-06-15</v>
      </c>
      <c r="AN89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762</v>
      </c>
      <c r="B90" s="7">
        <v>4039</v>
      </c>
      <c r="C90" s="21" t="s">
        <v>202</v>
      </c>
      <c r="D90" s="21" t="s">
        <v>460</v>
      </c>
      <c r="E90" s="13">
        <v>42901.578506944446</v>
      </c>
      <c r="F90" s="13">
        <v>42901.58152777778</v>
      </c>
      <c r="G90" s="7">
        <v>1</v>
      </c>
      <c r="H90" s="21" t="s">
        <v>867</v>
      </c>
      <c r="I90" s="13">
        <v>42901.607951388891</v>
      </c>
      <c r="J90" s="7">
        <v>0</v>
      </c>
      <c r="K90" s="89" t="str">
        <f t="shared" si="35"/>
        <v>4039/4040</v>
      </c>
      <c r="L90" s="21" t="str">
        <f>VLOOKUP(A90,'Trips&amp;Operators'!$C$1:$G$99999,5,FALSE)</f>
        <v>STEWART MICHAEL</v>
      </c>
      <c r="M90" s="6">
        <f t="shared" si="36"/>
        <v>2.6423611110658385E-2</v>
      </c>
      <c r="N90" s="7">
        <f t="shared" si="51"/>
        <v>38.049999999348074</v>
      </c>
      <c r="O90" s="7"/>
      <c r="P90" s="7"/>
      <c r="Q90" s="22"/>
      <c r="R90" s="170"/>
      <c r="S90" s="213">
        <f t="shared" si="52"/>
        <v>1</v>
      </c>
      <c r="T90" s="195" t="str">
        <f t="shared" si="37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8"/>
        <v>https://d0f6bd738d7f1b3e5a7ca70fe4ff75f0.us-east-1.aws.found.io/app/kibana#/discover/Steve-Slow-Train-Analysis-(2080s-and-2083s)?_g=(refreshInterval:(display:Off,pause:!f,section:0,value:0),time:(from:'2017-06-15T12:53:03-0600',mode:absolute,to:'2017-06-15T15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197" t="str">
        <f>IF(AA90&lt;VLOOKUP(AG90,Variables!$AC$3:$AD$8,2,FALSE),"Y","N")</f>
        <v>N</v>
      </c>
      <c r="X90" s="197">
        <f t="shared" ref="X90:X111" si="54">VALUE(LEFT(AD90,4))-VALUE(LEFT(AD89,4))</f>
        <v>1</v>
      </c>
      <c r="Y90" s="197">
        <f t="shared" si="40"/>
        <v>23.298500000000001</v>
      </c>
      <c r="Z90" s="197">
        <f t="shared" si="41"/>
        <v>1.6500000000000001E-2</v>
      </c>
      <c r="AA90" s="197">
        <f t="shared" si="42"/>
        <v>23.282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43"/>
        <v>176</v>
      </c>
      <c r="AE90" s="77" t="str">
        <f t="shared" si="44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90" s="74" t="str">
        <f t="shared" si="45"/>
        <v>"C:\Program Files (x86)\AstroGrep\AstroGrep.exe" /e /r /s /spath="%USERPROFILE%\AppData\Local\Temp\OnboardLogs" /stypes="app*4039*20170615*" /stext=" 20:.+((SYSTEM_STATE.+slice.+state.+changed )|(ment ac)|(multiple cpu faults)|(system.+state.+changed )|(\[timeout)|(PRM\|1\|D)|(kpr)|(kdp)|(train st.+moving)|(\|lc)|(penalty))"</v>
      </c>
      <c r="AG90" s="209" t="str">
        <f t="shared" si="46"/>
        <v>EC</v>
      </c>
      <c r="AH90" s="78" t="str">
        <f t="shared" si="47"/>
        <v>"%USERPROFILE%\Documents\GitHub\eaglep3\Utilities\RefineRTDCRunTimes.py" --tripid 176-15 --locoid 4039 --swversion DE.1.0.9.0 --startMP 204:232985 --initTime 2017-06-15T13:53:03 --startdatetime 2017-06-15T13:57:24 --delay 1 --endMP 204:165 --enddatetime 2017-06-15T14:35:27 --enforcementcount 0 &gt;&gt;C:\Users\stu\Documents\GitHub\eaglep3-reporting\EC\2017-06-15-refined-times.txt</v>
      </c>
      <c r="AI90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{"issue":{"subject":"","project_id":79,"tracker_id":40,"status_id":1,"priority_id":2,"assigned_to_id":23,"start_date":"2017-06-15","description":"","custom_fields":[{"id":1,"name":"Subdivision","value":"EC"},{"id":4,"name":"Milepost","value":"0.0165"},{"id":17,"name":"Train ID","value":"176-15"},{"id":16,"name":"Locomotive ID","value":"4039"},{"id":130,"name":"Impact","value":""},{"id":150,"name":"Time of Event (Mountain Time)","value":"14:35:27"},{"id":151,"name":"Denver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9"/>
        <v>start /low /b %USERPROFILE%\Documents\GitHub\eaglep3\Utilities\DownloadLogsFromS3.py --loco 4039 --day 2017-06-15</v>
      </c>
      <c r="AN90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757</v>
      </c>
      <c r="B91" s="7">
        <v>4022</v>
      </c>
      <c r="C91" s="21" t="s">
        <v>202</v>
      </c>
      <c r="D91" s="21" t="s">
        <v>198</v>
      </c>
      <c r="E91" s="13">
        <v>42901.546377314815</v>
      </c>
      <c r="F91" s="13">
        <v>42901.552303240744</v>
      </c>
      <c r="G91" s="7">
        <v>1</v>
      </c>
      <c r="H91" s="21" t="s">
        <v>462</v>
      </c>
      <c r="I91" s="13">
        <v>42901.577175925922</v>
      </c>
      <c r="J91" s="7">
        <v>0</v>
      </c>
      <c r="K91" s="89" t="str">
        <f t="shared" si="35"/>
        <v>4021/4022</v>
      </c>
      <c r="L91" s="21" t="str">
        <f>VLOOKUP(A91,'Trips&amp;Operators'!$C$1:$G$99999,5,FALSE)</f>
        <v>YORK EDGAR</v>
      </c>
      <c r="M91" s="6">
        <f t="shared" si="36"/>
        <v>2.4872685178706888E-2</v>
      </c>
      <c r="N91" s="7">
        <f t="shared" si="51"/>
        <v>35.816666657337919</v>
      </c>
      <c r="O91" s="7"/>
      <c r="P91" s="7"/>
      <c r="Q91" s="22"/>
      <c r="R91" s="170"/>
      <c r="S91" s="213">
        <f t="shared" si="52"/>
        <v>1</v>
      </c>
      <c r="T91" s="195" t="str">
        <f t="shared" si="37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8"/>
        <v>https://d0f6bd738d7f1b3e5a7ca70fe4ff75f0.us-east-1.aws.found.io/app/kibana#/discover/Steve-Slow-Train-Analysis-(2080s-and-2083s)?_g=(refreshInterval:(display:Off,pause:!f,section:0,value:0),time:(from:'2017-06-15T12:06:47-0600',mode:absolute,to:'2017-06-15T14:51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1" s="197" t="str">
        <f>IF(AA91&lt;VLOOKUP(AG91,Variables!$AC$3:$AD$8,2,FALSE),"Y","N")</f>
        <v>N</v>
      </c>
      <c r="X91" s="197">
        <f t="shared" si="54"/>
        <v>1</v>
      </c>
      <c r="Y91" s="197">
        <f t="shared" si="40"/>
        <v>4.5699999999999998E-2</v>
      </c>
      <c r="Z91" s="197">
        <f t="shared" si="41"/>
        <v>23.329499999999999</v>
      </c>
      <c r="AA91" s="197">
        <f t="shared" si="42"/>
        <v>23.283799999999999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43"/>
        <v>177</v>
      </c>
      <c r="AE91" s="77" t="str">
        <f t="shared" si="44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91" s="74" t="str">
        <f t="shared" si="45"/>
        <v>"C:\Program Files (x86)\AstroGrep\AstroGrep.exe" /e /r /s /spath="%USERPROFILE%\AppData\Local\Temp\OnboardLogs" /stypes="app*4022*20170615*" /stext=" 19:.+((SYSTEM_STATE.+slice.+state.+changed )|(ment ac)|(multiple cpu faults)|(system.+state.+changed )|(\[timeout)|(PRM\|1\|D)|(kpr)|(kdp)|(train st.+moving)|(\|lc)|(penalty))"</v>
      </c>
      <c r="AG91" s="209" t="str">
        <f t="shared" si="46"/>
        <v>EC</v>
      </c>
      <c r="AH91" s="78" t="str">
        <f t="shared" si="47"/>
        <v>"%USERPROFILE%\Documents\GitHub\eaglep3\Utilities\RefineRTDCRunTimes.py" --tripid 177-15 --locoid 4022 --swversion DE.1.0.9.0 --startMP 204:457 --initTime 2017-06-15T13:06:47 --startdatetime 2017-06-15T13:15:19 --delay 1 --endMP 204:233295 --enddatetime 2017-06-15T13:51:08 --enforcementcount 0 &gt;&gt;C:\Users\stu\Documents\GitHub\eaglep3-reporting\EC\2017-06-15-refined-times.txt</v>
      </c>
      <c r="AI91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{"issue":{"subject":"","project_id":79,"tracker_id":40,"status_id":1,"priority_id":2,"assigned_to_id":23,"start_date":"2017-06-15","description":"","custom_fields":[{"id":1,"name":"Subdivision","value":"EC"},{"id":4,"name":"Milepost","value":"23.3295"},{"id":17,"name":"Train ID","value":"177-15"},{"id":16,"name":"Locomotive ID","value":"4022"},{"id":130,"name":"Impact","value":""},{"id":150,"name":"Time of Event (Mountain Time)","value":"13:51:08"},{"id":151,"name":"Denver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9"/>
        <v>start /low /b %USERPROFILE%\Documents\GitHub\eaglep3\Utilities\DownloadLogsFromS3.py --loco 4022 --day 2017-06-15</v>
      </c>
      <c r="AN91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19:51:08"},{"id":29,"name":"Sharepoint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763</v>
      </c>
      <c r="B92" s="7">
        <v>4021</v>
      </c>
      <c r="C92" s="21" t="s">
        <v>202</v>
      </c>
      <c r="D92" s="21" t="s">
        <v>459</v>
      </c>
      <c r="E92" s="13">
        <v>42901.578900462962</v>
      </c>
      <c r="F92" s="13">
        <v>42901.59202546296</v>
      </c>
      <c r="G92" s="7">
        <v>0</v>
      </c>
      <c r="H92" s="21" t="s">
        <v>867</v>
      </c>
      <c r="I92" s="13">
        <v>42901.617986111109</v>
      </c>
      <c r="J92" s="7">
        <v>0</v>
      </c>
      <c r="K92" s="89" t="str">
        <f t="shared" si="35"/>
        <v>4021/4022</v>
      </c>
      <c r="L92" s="21" t="str">
        <f>VLOOKUP(A92,'Trips&amp;Operators'!$C$1:$G$99999,5,FALSE)</f>
        <v>YORK EDGAR</v>
      </c>
      <c r="M92" s="6">
        <f t="shared" si="36"/>
        <v>2.5960648148611654E-2</v>
      </c>
      <c r="N92" s="7">
        <f t="shared" si="51"/>
        <v>37.383333334000781</v>
      </c>
      <c r="O92" s="7"/>
      <c r="P92" s="7"/>
      <c r="Q92" s="22"/>
      <c r="R92" s="170"/>
      <c r="S92" s="213">
        <f t="shared" si="52"/>
        <v>1</v>
      </c>
      <c r="T92" s="195" t="str">
        <f t="shared" si="37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8"/>
        <v>https://d0f6bd738d7f1b3e5a7ca70fe4ff75f0.us-east-1.aws.found.io/app/kibana#/discover/Steve-Slow-Train-Analysis-(2080s-and-2083s)?_g=(refreshInterval:(display:Off,pause:!f,section:0,value:0),time:(from:'2017-06-15T12:53:37-0600',mode:absolute,to:'2017-06-15T15:49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2" s="197" t="str">
        <f>IF(AA92&lt;VLOOKUP(AG92,Variables!$AC$3:$AD$8,2,FALSE),"Y","N")</f>
        <v>N</v>
      </c>
      <c r="X92" s="197">
        <f t="shared" si="54"/>
        <v>1</v>
      </c>
      <c r="Y92" s="197">
        <f t="shared" si="40"/>
        <v>23.296900000000001</v>
      </c>
      <c r="Z92" s="197">
        <f t="shared" si="41"/>
        <v>1.6500000000000001E-2</v>
      </c>
      <c r="AA92" s="197">
        <f t="shared" si="42"/>
        <v>23.2804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43"/>
        <v>178</v>
      </c>
      <c r="AE92" s="77" t="str">
        <f t="shared" si="44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92" s="74" t="str">
        <f t="shared" si="45"/>
        <v>"C:\Program Files (x86)\AstroGrep\AstroGrep.exe" /e /r /s /spath="%USERPROFILE%\AppData\Local\Temp\OnboardLogs" /stypes="app*4021*20170615*" /stext=" 20:.+((SYSTEM_STATE.+slice.+state.+changed )|(ment ac)|(multiple cpu faults)|(system.+state.+changed )|(\[timeout)|(PRM\|1\|D)|(kpr)|(kdp)|(train st.+moving)|(\|lc)|(penalty))"</v>
      </c>
      <c r="AG92" s="209" t="str">
        <f t="shared" si="46"/>
        <v>EC</v>
      </c>
      <c r="AH92" s="78" t="str">
        <f t="shared" si="47"/>
        <v>"%USERPROFILE%\Documents\GitHub\eaglep3\Utilities\RefineRTDCRunTimes.py" --tripid 178-15 --locoid 4021 --swversion DE.1.0.9.0 --startMP 204:232969 --initTime 2017-06-15T13:53:37 --startdatetime 2017-06-15T14:12:31 --delay 0 --endMP 204:165 --enddatetime 2017-06-15T14:49:54 --enforcementcount 0 &gt;&gt;C:\Users\stu\Documents\GitHub\eaglep3-reporting\EC\2017-06-15-refined-times.txt</v>
      </c>
      <c r="AI92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{"issue":{"subject":"","project_id":79,"tracker_id":40,"status_id":1,"priority_id":2,"assigned_to_id":23,"start_date":"2017-06-15","description":"","custom_fields":[{"id":1,"name":"Subdivision","value":"EC"},{"id":4,"name":"Milepost","value":"0.0165"},{"id":17,"name":"Train ID","value":"178-15"},{"id":16,"name":"Locomotive ID","value":"4021"},{"id":130,"name":"Impact","value":""},{"id":150,"name":"Time of Event (Mountain Time)","value":"14:49:54"},{"id":151,"name":"Denver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9"/>
        <v>start /low /b %USERPROFILE%\Documents\GitHub\eaglep3\Utilities\DownloadLogsFromS3.py --loco 4021 --day 2017-06-15</v>
      </c>
      <c r="AN92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760</v>
      </c>
      <c r="B93" s="7">
        <v>4002</v>
      </c>
      <c r="C93" s="21" t="s">
        <v>202</v>
      </c>
      <c r="D93" s="21" t="s">
        <v>476</v>
      </c>
      <c r="E93" s="13">
        <v>42901.55982638889</v>
      </c>
      <c r="F93" s="13">
        <v>42901.562731481485</v>
      </c>
      <c r="G93" s="7">
        <v>1</v>
      </c>
      <c r="H93" s="21" t="s">
        <v>473</v>
      </c>
      <c r="I93" s="13">
        <v>42901.587314814817</v>
      </c>
      <c r="J93" s="7">
        <v>0</v>
      </c>
      <c r="K93" s="89" t="str">
        <f t="shared" si="35"/>
        <v>4001/4002</v>
      </c>
      <c r="L93" s="21" t="str">
        <f>VLOOKUP(A93,'Trips&amp;Operators'!$C$1:$G$99999,5,FALSE)</f>
        <v>LEVIN SCOTT</v>
      </c>
      <c r="M93" s="6">
        <f t="shared" si="36"/>
        <v>2.4583333331975155E-2</v>
      </c>
      <c r="N93" s="7">
        <f t="shared" si="51"/>
        <v>35.399999998044223</v>
      </c>
      <c r="O93" s="7"/>
      <c r="P93" s="7"/>
      <c r="Q93" s="22"/>
      <c r="R93" s="170"/>
      <c r="S93" s="213">
        <f t="shared" si="52"/>
        <v>1</v>
      </c>
      <c r="T93" s="195" t="str">
        <f t="shared" si="37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8"/>
        <v>https://d0f6bd738d7f1b3e5a7ca70fe4ff75f0.us-east-1.aws.found.io/app/kibana#/discover/Steve-Slow-Train-Analysis-(2080s-and-2083s)?_g=(refreshInterval:(display:Off,pause:!f,section:0,value:0),time:(from:'2017-06-15T12:26:09-0600',mode:absolute,to:'2017-06-15T15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7" t="str">
        <f>IF(AA93&lt;VLOOKUP(AG93,Variables!$AC$3:$AD$8,2,FALSE),"Y","N")</f>
        <v>N</v>
      </c>
      <c r="X93" s="197">
        <f t="shared" si="54"/>
        <v>1</v>
      </c>
      <c r="Y93" s="197">
        <f t="shared" si="40"/>
        <v>4.4200000000000003E-2</v>
      </c>
      <c r="Z93" s="197">
        <f t="shared" si="41"/>
        <v>23.333400000000001</v>
      </c>
      <c r="AA93" s="197">
        <f t="shared" si="42"/>
        <v>23.289200000000001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43"/>
        <v>179</v>
      </c>
      <c r="AE93" s="77" t="str">
        <f t="shared" si="44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93" s="74" t="str">
        <f t="shared" si="45"/>
        <v>"C:\Program Files (x86)\AstroGrep\AstroGrep.exe" /e /r /s /spath="%USERPROFILE%\AppData\Local\Temp\OnboardLogs" /stypes="app*4002*20170615*" /stext=" 20:.+((SYSTEM_STATE.+slice.+state.+changed )|(ment ac)|(multiple cpu faults)|(system.+state.+changed )|(\[timeout)|(PRM\|1\|D)|(kpr)|(kdp)|(train st.+moving)|(\|lc)|(penalty))"</v>
      </c>
      <c r="AG93" s="209" t="str">
        <f t="shared" si="46"/>
        <v>EC</v>
      </c>
      <c r="AH93" s="78" t="str">
        <f t="shared" si="47"/>
        <v>"%USERPROFILE%\Documents\GitHub\eaglep3\Utilities\RefineRTDCRunTimes.py" --tripid 179-15 --locoid 4002 --swversion DE.1.0.9.0 --startMP 204:442 --initTime 2017-06-15T13:26:09 --startdatetime 2017-06-15T13:30:20 --delay 1 --endMP 204:233334 --enddatetime 2017-06-15T14:05:44 --enforcementcount 0 &gt;&gt;C:\Users\stu\Documents\GitHub\eaglep3-reporting\EC\2017-06-15-refined-times.txt</v>
      </c>
      <c r="AI93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{"issue":{"subject":"","project_id":79,"tracker_id":40,"status_id":1,"priority_id":2,"assigned_to_id":23,"start_date":"2017-06-15","description":"","custom_fields":[{"id":1,"name":"Subdivision","value":"EC"},{"id":4,"name":"Milepost","value":"23.3334"},{"id":17,"name":"Train ID","value":"179-15"},{"id":16,"name":"Locomotive ID","value":"4002"},{"id":130,"name":"Impact","value":""},{"id":150,"name":"Time of Event (Mountain Time)","value":"14:05:44"},{"id":151,"name":"Denver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9"/>
        <v>start /low /b %USERPROFILE%\Documents\GitHub\eaglep3\Utilities\DownloadLogsFromS3.py --loco 4002 --day 2017-06-15</v>
      </c>
      <c r="AN93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768</v>
      </c>
      <c r="B94" s="7">
        <v>4001</v>
      </c>
      <c r="C94" s="21" t="s">
        <v>202</v>
      </c>
      <c r="D94" s="21" t="s">
        <v>868</v>
      </c>
      <c r="E94" s="13">
        <v>42901.599733796298</v>
      </c>
      <c r="F94" s="13">
        <v>42901.602233796293</v>
      </c>
      <c r="G94" s="7">
        <v>2</v>
      </c>
      <c r="H94" s="21" t="s">
        <v>844</v>
      </c>
      <c r="I94" s="13">
        <v>42901.628217592595</v>
      </c>
      <c r="J94" s="7">
        <v>0</v>
      </c>
      <c r="K94" s="89" t="str">
        <f t="shared" si="35"/>
        <v>4001/4002</v>
      </c>
      <c r="L94" s="21" t="str">
        <f>VLOOKUP(A94,'Trips&amp;Operators'!$C$1:$G$99999,5,FALSE)</f>
        <v>LEVIN SCOTT</v>
      </c>
      <c r="M94" s="6">
        <f t="shared" si="36"/>
        <v>2.5983796302170958E-2</v>
      </c>
      <c r="N94" s="7">
        <f t="shared" si="51"/>
        <v>37.41666667512618</v>
      </c>
      <c r="O94" s="7"/>
      <c r="P94" s="7"/>
      <c r="Q94" s="22"/>
      <c r="R94" s="170"/>
      <c r="S94" s="213">
        <f t="shared" si="52"/>
        <v>1</v>
      </c>
      <c r="T94" s="195" t="str">
        <f t="shared" si="37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8"/>
        <v>https://d0f6bd738d7f1b3e5a7ca70fe4ff75f0.us-east-1.aws.found.io/app/kibana#/discover/Steve-Slow-Train-Analysis-(2080s-and-2083s)?_g=(refreshInterval:(display:Off,pause:!f,section:0,value:0),time:(from:'2017-06-15T13:23:37-0600',mode:absolute,to:'2017-06-15T16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7" t="str">
        <f>IF(AA94&lt;VLOOKUP(AG94,Variables!$AC$3:$AD$8,2,FALSE),"Y","N")</f>
        <v>N</v>
      </c>
      <c r="X94" s="197">
        <f t="shared" si="54"/>
        <v>1</v>
      </c>
      <c r="Y94" s="197">
        <f t="shared" si="40"/>
        <v>23.300799999999999</v>
      </c>
      <c r="Z94" s="197">
        <f t="shared" si="41"/>
        <v>1.32E-2</v>
      </c>
      <c r="AA94" s="197">
        <f t="shared" si="42"/>
        <v>23.287599999999998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43"/>
        <v>180</v>
      </c>
      <c r="AE94" s="77" t="str">
        <f t="shared" si="44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94" s="74" t="str">
        <f t="shared" si="45"/>
        <v>"C:\Program Files (x86)\AstroGrep\AstroGrep.exe" /e /r /s /spath="%USERPROFILE%\AppData\Local\Temp\OnboardLogs" /stypes="app*4001*20170615*" /stext=" 21:.+((SYSTEM_STATE.+slice.+state.+changed )|(ment ac)|(multiple cpu faults)|(system.+state.+changed )|(\[timeout)|(PRM\|1\|D)|(kpr)|(kdp)|(train st.+moving)|(\|lc)|(penalty))"</v>
      </c>
      <c r="AG94" s="209" t="str">
        <f t="shared" si="46"/>
        <v>EC</v>
      </c>
      <c r="AH94" s="78" t="str">
        <f t="shared" si="47"/>
        <v>"%USERPROFILE%\Documents\GitHub\eaglep3\Utilities\RefineRTDCRunTimes.py" --tripid 180-15 --locoid 4001 --swversion DE.1.0.9.0 --startMP 204:233008 --initTime 2017-06-15T14:23:37 --startdatetime 2017-06-15T14:27:13 --delay 2 --endMP 204:132 --enddatetime 2017-06-15T15:04:38 --enforcementcount 0 &gt;&gt;C:\Users\stu\Documents\GitHub\eaglep3-reporting\EC\2017-06-15-refined-times.txt</v>
      </c>
      <c r="AI94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{"issue":{"subject":"","project_id":79,"tracker_id":40,"status_id":1,"priority_id":2,"assigned_to_id":23,"start_date":"2017-06-15","description":"","custom_fields":[{"id":1,"name":"Subdivision","value":"EC"},{"id":4,"name":"Milepost","value":"0.0132"},{"id":17,"name":"Train ID","value":"180-15"},{"id":16,"name":"Locomotive ID","value":"4001"},{"id":130,"name":"Impact","value":""},{"id":150,"name":"Time of Event (Mountain Time)","value":"15:04:38"},{"id":151,"name":"Denver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9"/>
        <v>start /low /b %USERPROFILE%\Documents\GitHub\eaglep3\Utilities\DownloadLogsFromS3.py --loco 4001 --day 2017-06-15</v>
      </c>
      <c r="AN94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761</v>
      </c>
      <c r="B95" s="7">
        <v>4054</v>
      </c>
      <c r="C95" s="21" t="s">
        <v>202</v>
      </c>
      <c r="D95" s="21" t="s">
        <v>343</v>
      </c>
      <c r="E95" s="13">
        <v>42901.562476851854</v>
      </c>
      <c r="F95" s="13">
        <v>42901.573148148149</v>
      </c>
      <c r="G95" s="7">
        <v>2</v>
      </c>
      <c r="H95" s="21" t="s">
        <v>437</v>
      </c>
      <c r="I95" s="13">
        <v>42901.599212962959</v>
      </c>
      <c r="J95" s="7">
        <v>0</v>
      </c>
      <c r="K95" s="89" t="str">
        <f t="shared" si="35"/>
        <v>4053/4054</v>
      </c>
      <c r="L95" s="21" t="str">
        <f>VLOOKUP(A95,'Trips&amp;Operators'!$C$1:$G$99999,5,FALSE)</f>
        <v>STORY SAMANTHA</v>
      </c>
      <c r="M95" s="6">
        <f t="shared" si="36"/>
        <v>2.6064814810524695E-2</v>
      </c>
      <c r="N95" s="7">
        <f t="shared" si="51"/>
        <v>37.53333332715556</v>
      </c>
      <c r="O95" s="7"/>
      <c r="P95" s="7"/>
      <c r="Q95" s="22"/>
      <c r="R95" s="170"/>
      <c r="S95" s="213">
        <f t="shared" si="52"/>
        <v>1</v>
      </c>
      <c r="T95" s="195" t="str">
        <f t="shared" si="37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8"/>
        <v>https://d0f6bd738d7f1b3e5a7ca70fe4ff75f0.us-east-1.aws.found.io/app/kibana#/discover/Steve-Slow-Train-Analysis-(2080s-and-2083s)?_g=(refreshInterval:(display:Off,pause:!f,section:0,value:0),time:(from:'2017-06-15T12:29:58-0600',mode:absolute,to:'2017-06-15T15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5" s="197" t="str">
        <f>IF(AA95&lt;VLOOKUP(AG95,Variables!$AC$3:$AD$8,2,FALSE),"Y","N")</f>
        <v>N</v>
      </c>
      <c r="X95" s="197">
        <f t="shared" si="54"/>
        <v>1</v>
      </c>
      <c r="Y95" s="197">
        <f t="shared" si="40"/>
        <v>4.4900000000000002E-2</v>
      </c>
      <c r="Z95" s="197">
        <f t="shared" si="41"/>
        <v>23.329699999999999</v>
      </c>
      <c r="AA95" s="197">
        <f t="shared" si="42"/>
        <v>23.284800000000001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43"/>
        <v>181</v>
      </c>
      <c r="AE95" s="77" t="str">
        <f t="shared" si="44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95" s="74" t="str">
        <f t="shared" si="45"/>
        <v>"C:\Program Files (x86)\AstroGrep\AstroGrep.exe" /e /r /s /spath="%USERPROFILE%\AppData\Local\Temp\OnboardLogs" /stypes="app*4054*20170615*" /stext=" 20:.+((SYSTEM_STATE.+slice.+state.+changed )|(ment ac)|(multiple cpu faults)|(system.+state.+changed )|(\[timeout)|(PRM\|1\|D)|(kpr)|(kdp)|(train st.+moving)|(\|lc)|(penalty))"</v>
      </c>
      <c r="AG95" s="209" t="str">
        <f t="shared" si="46"/>
        <v>EC</v>
      </c>
      <c r="AH95" s="78" t="str">
        <f t="shared" si="47"/>
        <v>"%USERPROFILE%\Documents\GitHub\eaglep3\Utilities\RefineRTDCRunTimes.py" --tripid 181-15 --locoid 4054 --swversion DE.1.0.9.0 --startMP 204:449 --initTime 2017-06-15T13:29:58 --startdatetime 2017-06-15T13:45:20 --delay 2 --endMP 204:233297 --enddatetime 2017-06-15T14:22:52 --enforcementcount 0 &gt;&gt;C:\Users\stu\Documents\GitHub\eaglep3-reporting\EC\2017-06-15-refined-times.txt</v>
      </c>
      <c r="AI95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{"issue":{"subject":"","project_id":79,"tracker_id":40,"status_id":1,"priority_id":2,"assigned_to_id":23,"start_date":"2017-06-15","description":"","custom_fields":[{"id":1,"name":"Subdivision","value":"EC"},{"id":4,"name":"Milepost","value":"23.3297"},{"id":17,"name":"Train ID","value":"181-15"},{"id":16,"name":"Locomotive ID","value":"4054"},{"id":130,"name":"Impact","value":""},{"id":150,"name":"Time of Event (Mountain Time)","value":"14:22:52"},{"id":151,"name":"Denver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9"/>
        <v>start /low /b %USERPROFILE%\Documents\GitHub\eaglep3\Utilities\DownloadLogsFromS3.py --loco 4054 --day 2017-06-15</v>
      </c>
      <c r="AN95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641</v>
      </c>
      <c r="B96" s="7">
        <v>4053</v>
      </c>
      <c r="C96" s="21" t="s">
        <v>202</v>
      </c>
      <c r="D96" s="21" t="s">
        <v>457</v>
      </c>
      <c r="E96" s="13">
        <v>42901.605567129627</v>
      </c>
      <c r="F96" s="13">
        <v>42901.612870370373</v>
      </c>
      <c r="G96" s="7">
        <v>1</v>
      </c>
      <c r="H96" s="21" t="s">
        <v>869</v>
      </c>
      <c r="I96" s="13">
        <v>42901.639664351853</v>
      </c>
      <c r="J96" s="7">
        <v>0</v>
      </c>
      <c r="K96" s="89" t="str">
        <f t="shared" si="35"/>
        <v>4053/4054</v>
      </c>
      <c r="L96" s="21" t="str">
        <f>VLOOKUP(A96,'Trips&amp;Operators'!$C$1:$G$99999,5,FALSE)</f>
        <v>STORY SAMANTHA</v>
      </c>
      <c r="M96" s="6">
        <f t="shared" si="36"/>
        <v>2.679398148029577E-2</v>
      </c>
      <c r="N96" s="7">
        <f t="shared" si="51"/>
        <v>38.583333331625909</v>
      </c>
      <c r="O96" s="7"/>
      <c r="P96" s="7"/>
      <c r="Q96" s="22"/>
      <c r="R96" s="170"/>
      <c r="S96" s="213">
        <f t="shared" si="52"/>
        <v>1</v>
      </c>
      <c r="T96" s="195" t="str">
        <f t="shared" si="37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8"/>
        <v>https://d0f6bd738d7f1b3e5a7ca70fe4ff75f0.us-east-1.aws.found.io/app/kibana#/discover/Steve-Slow-Train-Analysis-(2080s-and-2083s)?_g=(refreshInterval:(display:Off,pause:!f,section:0,value:0),time:(from:'2017-06-15T13:32:01-0600',mode:absolute,to:'2017-06-15T16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6" s="197" t="str">
        <f>IF(AA96&lt;VLOOKUP(AG96,Variables!$AC$3:$AD$8,2,FALSE),"Y","N")</f>
        <v>N</v>
      </c>
      <c r="X96" s="197">
        <f t="shared" si="54"/>
        <v>1</v>
      </c>
      <c r="Y96" s="197">
        <f t="shared" si="40"/>
        <v>23.299399999999999</v>
      </c>
      <c r="Z96" s="197">
        <f t="shared" si="41"/>
        <v>2.87E-2</v>
      </c>
      <c r="AA96" s="197">
        <f t="shared" si="42"/>
        <v>23.270699999999998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43"/>
        <v>182</v>
      </c>
      <c r="AE96" s="77" t="str">
        <f t="shared" si="44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96" s="74" t="str">
        <f t="shared" si="45"/>
        <v>"C:\Program Files (x86)\AstroGrep\AstroGrep.exe" /e /r /s /spath="%USERPROFILE%\AppData\Local\Temp\OnboardLogs" /stypes="app*4053*20170615*" /stext=" 21:.+((SYSTEM_STATE.+slice.+state.+changed )|(ment ac)|(multiple cpu faults)|(system.+state.+changed )|(\[timeout)|(PRM\|1\|D)|(kpr)|(kdp)|(train st.+moving)|(\|lc)|(penalty))"</v>
      </c>
      <c r="AG96" s="209" t="str">
        <f t="shared" si="46"/>
        <v>EC</v>
      </c>
      <c r="AH96" s="78" t="str">
        <f t="shared" si="47"/>
        <v>"%USERPROFILE%\Documents\GitHub\eaglep3\Utilities\RefineRTDCRunTimes.py" --tripid 182-15 --locoid 4053 --swversion DE.1.0.9.0 --startMP 204:232994 --initTime 2017-06-15T14:32:01 --startdatetime 2017-06-15T14:42:32 --delay 1 --endMP 204:287 --enddatetime 2017-06-15T15:21:07 --enforcementcount 0 &gt;&gt;C:\Users\stu\Documents\GitHub\eaglep3-reporting\EC\2017-06-15-refined-times.txt</v>
      </c>
      <c r="AI96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{"issue":{"subject":"","project_id":79,"tracker_id":40,"status_id":1,"priority_id":2,"assigned_to_id":23,"start_date":"2017-06-15","description":"","custom_fields":[{"id":1,"name":"Subdivision","value":"EC"},{"id":4,"name":"Milepost","value":"0.0287"},{"id":17,"name":"Train ID","value":"182-15"},{"id":16,"name":"Locomotive ID","value":"4053"},{"id":130,"name":"Impact","value":""},{"id":150,"name":"Time of Event (Mountain Time)","value":"15:21:07"},{"id":151,"name":"Denver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9"/>
        <v>start /low /b %USERPROFILE%\Documents\GitHub\eaglep3\Utilities\DownloadLogsFromS3.py --loco 4053 --day 2017-06-15</v>
      </c>
      <c r="AN96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764</v>
      </c>
      <c r="B97" s="7">
        <v>4006</v>
      </c>
      <c r="C97" s="21" t="s">
        <v>202</v>
      </c>
      <c r="D97" s="21" t="s">
        <v>870</v>
      </c>
      <c r="E97" s="13">
        <v>42901.579155092593</v>
      </c>
      <c r="F97" s="13">
        <v>42901.583495370367</v>
      </c>
      <c r="G97" s="7">
        <v>1</v>
      </c>
      <c r="H97" s="21" t="s">
        <v>871</v>
      </c>
      <c r="I97" s="13">
        <v>42901.608842592592</v>
      </c>
      <c r="J97" s="7">
        <v>0</v>
      </c>
      <c r="K97" s="89" t="str">
        <f t="shared" si="35"/>
        <v>4005/4006</v>
      </c>
      <c r="L97" s="21" t="str">
        <f>VLOOKUP(A97,'Trips&amp;Operators'!$C$1:$G$99999,5,FALSE)</f>
        <v>BERLING GARY</v>
      </c>
      <c r="M97" s="6">
        <f t="shared" si="36"/>
        <v>2.5347222224809229E-2</v>
      </c>
      <c r="N97" s="7">
        <f t="shared" si="51"/>
        <v>36.50000000372529</v>
      </c>
      <c r="O97" s="7"/>
      <c r="P97" s="7"/>
      <c r="Q97" s="22"/>
      <c r="R97" s="170"/>
      <c r="S97" s="213">
        <f t="shared" si="52"/>
        <v>1</v>
      </c>
      <c r="T97" s="195" t="str">
        <f t="shared" si="37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8"/>
        <v>https://d0f6bd738d7f1b3e5a7ca70fe4ff75f0.us-east-1.aws.found.io/app/kibana#/discover/Steve-Slow-Train-Analysis-(2080s-and-2083s)?_g=(refreshInterval:(display:Off,pause:!f,section:0,value:0),time:(from:'2017-06-15T12:53:59-0600',mode:absolute,to:'2017-06-15T15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7" s="197" t="str">
        <f>IF(AA97&lt;VLOOKUP(AG97,Variables!$AC$3:$AD$8,2,FALSE),"Y","N")</f>
        <v>N</v>
      </c>
      <c r="X97" s="197">
        <f t="shared" si="54"/>
        <v>1</v>
      </c>
      <c r="Y97" s="197">
        <f t="shared" si="40"/>
        <v>4.2200000000000001E-2</v>
      </c>
      <c r="Z97" s="197">
        <f t="shared" si="41"/>
        <v>23.334700000000002</v>
      </c>
      <c r="AA97" s="197">
        <f t="shared" si="42"/>
        <v>23.2925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43"/>
        <v>183</v>
      </c>
      <c r="AE97" s="77" t="str">
        <f t="shared" si="44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97" s="74" t="str">
        <f t="shared" si="45"/>
        <v>"C:\Program Files (x86)\AstroGrep\AstroGrep.exe" /e /r /s /spath="%USERPROFILE%\AppData\Local\Temp\OnboardLogs" /stypes="app*4006*20170615*" /stext=" 20:.+((SYSTEM_STATE.+slice.+state.+changed )|(ment ac)|(multiple cpu faults)|(system.+state.+changed )|(\[timeout)|(PRM\|1\|D)|(kpr)|(kdp)|(train st.+moving)|(\|lc)|(penalty))"</v>
      </c>
      <c r="AG97" s="209" t="str">
        <f t="shared" si="46"/>
        <v>EC</v>
      </c>
      <c r="AH97" s="78" t="str">
        <f t="shared" si="47"/>
        <v>"%USERPROFILE%\Documents\GitHub\eaglep3\Utilities\RefineRTDCRunTimes.py" --tripid 183-15 --locoid 4006 --swversion DE.1.0.9.0 --startMP 204:422 --initTime 2017-06-15T13:53:59 --startdatetime 2017-06-15T14:00:14 --delay 1 --endMP 204:233347 --enddatetime 2017-06-15T14:36:44 --enforcementcount 0 &gt;&gt;C:\Users\stu\Documents\GitHub\eaglep3-reporting\EC\2017-06-15-refined-times.txt</v>
      </c>
      <c r="AI97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{"issue":{"subject":"","project_id":79,"tracker_id":40,"status_id":1,"priority_id":2,"assigned_to_id":23,"start_date":"2017-06-15","description":"","custom_fields":[{"id":1,"name":"Subdivision","value":"EC"},{"id":4,"name":"Milepost","value":"23.3347"},{"id":17,"name":"Train ID","value":"183-15"},{"id":16,"name":"Locomotive ID","value":"4006"},{"id":130,"name":"Impact","value":""},{"id":150,"name":"Time of Event (Mountain Time)","value":"14:36:44"},{"id":151,"name":"Denver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9"/>
        <v>start /low /b %USERPROFILE%\Documents\GitHub\eaglep3\Utilities\DownloadLogsFromS3.py --loco 4006 --day 2017-06-15</v>
      </c>
      <c r="AN97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642</v>
      </c>
      <c r="B98" s="7">
        <v>4005</v>
      </c>
      <c r="C98" s="21" t="s">
        <v>202</v>
      </c>
      <c r="D98" s="21" t="s">
        <v>872</v>
      </c>
      <c r="E98" s="13">
        <v>42901.614340277774</v>
      </c>
      <c r="F98" s="13">
        <v>42901.623310185183</v>
      </c>
      <c r="G98" s="7">
        <v>2</v>
      </c>
      <c r="H98" s="21" t="s">
        <v>873</v>
      </c>
      <c r="I98" s="13">
        <v>42901.650717592594</v>
      </c>
      <c r="J98" s="7">
        <v>0</v>
      </c>
      <c r="K98" s="89" t="str">
        <f t="shared" si="35"/>
        <v>4005/4006</v>
      </c>
      <c r="L98" s="21" t="str">
        <f>VLOOKUP(A98,'Trips&amp;Operators'!$C$1:$G$99999,5,FALSE)</f>
        <v>BERLING GARY</v>
      </c>
      <c r="M98" s="6">
        <f t="shared" si="36"/>
        <v>2.7407407411374152E-2</v>
      </c>
      <c r="N98" s="7">
        <f t="shared" si="51"/>
        <v>39.466666672378778</v>
      </c>
      <c r="O98" s="7"/>
      <c r="P98" s="7"/>
      <c r="Q98" s="22"/>
      <c r="R98" s="170"/>
      <c r="S98" s="213">
        <f t="shared" si="52"/>
        <v>1</v>
      </c>
      <c r="T98" s="195" t="str">
        <f t="shared" si="37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8"/>
        <v>https://d0f6bd738d7f1b3e5a7ca70fe4ff75f0.us-east-1.aws.found.io/app/kibana#/discover/Steve-Slow-Train-Analysis-(2080s-and-2083s)?_g=(refreshInterval:(display:Off,pause:!f,section:0,value:0),time:(from:'2017-06-15T13:44:39-0600',mode:absolute,to:'2017-06-15T16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8" s="197" t="str">
        <f>IF(AA98&lt;VLOOKUP(AG98,Variables!$AC$3:$AD$8,2,FALSE),"Y","N")</f>
        <v>N</v>
      </c>
      <c r="X98" s="197">
        <f t="shared" si="54"/>
        <v>1</v>
      </c>
      <c r="Y98" s="197">
        <f t="shared" si="40"/>
        <v>23.3034</v>
      </c>
      <c r="Z98" s="197">
        <f t="shared" si="41"/>
        <v>1.12E-2</v>
      </c>
      <c r="AA98" s="197">
        <f t="shared" si="42"/>
        <v>23.292200000000001</v>
      </c>
      <c r="AB98" s="54" t="str">
        <f>VLOOKUP(A98,Enforcements!$C$7:$K$13,8,0)</f>
        <v>Bulletin (2)</v>
      </c>
      <c r="AC98" s="51" t="str">
        <f>VLOOKUP(A98,Enforcements!$C$7:$E$13,3,0)</f>
        <v>GRADE CROSSING</v>
      </c>
      <c r="AD98" s="206">
        <f t="shared" si="43"/>
        <v>184</v>
      </c>
      <c r="AE98" s="77" t="str">
        <f t="shared" si="44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98" s="74" t="str">
        <f t="shared" si="45"/>
        <v>"C:\Program Files (x86)\AstroGrep\AstroGrep.exe" /e /r /s /spath="%USERPROFILE%\AppData\Local\Temp\OnboardLogs" /stypes="app*4005*20170615*" /stext=" 21:.+((SYSTEM_STATE.+slice.+state.+changed )|(ment ac)|(multiple cpu faults)|(system.+state.+changed )|(\[timeout)|(PRM\|1\|D)|(kpr)|(kdp)|(train st.+moving)|(\|lc)|(penalty))"</v>
      </c>
      <c r="AG98" s="209" t="str">
        <f t="shared" si="46"/>
        <v>EC</v>
      </c>
      <c r="AH98" s="78" t="str">
        <f t="shared" si="47"/>
        <v>"%USERPROFILE%\Documents\GitHub\eaglep3\Utilities\RefineRTDCRunTimes.py" --tripid 184-15 --locoid 4005 --swversion DE.1.0.9.0 --startMP 204:233034 --initTime 2017-06-15T14:44:39 --startdatetime 2017-06-15T14:57:34 --delay 2 --endMP 204:112 --enddatetime 2017-06-15T15:37:02 --enforcementcount 0 &gt;&gt;C:\Users\stu\Documents\GitHub\eaglep3-reporting\EC\2017-06-15-refined-times.txt</v>
      </c>
      <c r="AI98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{"issue":{"subject":"","project_id":79,"tracker_id":40,"status_id":1,"priority_id":2,"assigned_to_id":23,"start_date":"2017-06-15","description":"","custom_fields":[{"id":1,"name":"Subdivision","value":"EC"},{"id":4,"name":"Milepost","value":"0.0112"},{"id":17,"name":"Train ID","value":"184-15"},{"id":16,"name":"Locomotive ID","value":"4005"},{"id":130,"name":"Impact","value":""},{"id":150,"name":"Time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9"/>
        <v>start /low /b %USERPROFILE%\Documents\GitHub\eaglep3\Utilities\DownloadLogsFromS3.py --loco 4005 --day 2017-06-15</v>
      </c>
      <c r="AN98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21:37:02"},{"id":29,"name":"Sharepoint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766</v>
      </c>
      <c r="B99" s="7">
        <v>4046</v>
      </c>
      <c r="C99" s="21" t="s">
        <v>202</v>
      </c>
      <c r="D99" s="21" t="s">
        <v>392</v>
      </c>
      <c r="E99" s="13">
        <v>42901.58929398148</v>
      </c>
      <c r="F99" s="13">
        <v>42901.593935185185</v>
      </c>
      <c r="G99" s="7">
        <v>1</v>
      </c>
      <c r="H99" s="21" t="s">
        <v>473</v>
      </c>
      <c r="I99" s="13">
        <v>42901.619768518518</v>
      </c>
      <c r="J99" s="7">
        <v>0</v>
      </c>
      <c r="K99" s="89" t="str">
        <f t="shared" si="35"/>
        <v>4045/4046</v>
      </c>
      <c r="L99" s="21" t="str">
        <f>VLOOKUP(A99,'Trips&amp;Operators'!$C$1:$G$99999,5,FALSE)</f>
        <v>SULLIVAN BRANDON</v>
      </c>
      <c r="M99" s="6">
        <f t="shared" si="36"/>
        <v>2.5833333333139308E-2</v>
      </c>
      <c r="N99" s="7">
        <f t="shared" si="51"/>
        <v>37.199999999720603</v>
      </c>
      <c r="O99" s="7"/>
      <c r="P99" s="7"/>
      <c r="Q99" s="22"/>
      <c r="R99" s="170"/>
      <c r="S99" s="213">
        <f t="shared" si="52"/>
        <v>1</v>
      </c>
      <c r="T99" s="195" t="str">
        <f t="shared" si="37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8"/>
        <v>https://d0f6bd738d7f1b3e5a7ca70fe4ff75f0.us-east-1.aws.found.io/app/kibana#/discover/Steve-Slow-Train-Analysis-(2080s-and-2083s)?_g=(refreshInterval:(display:Off,pause:!f,section:0,value:0),time:(from:'2017-06-15T13:08:35-0600',mode:absolute,to:'2017-06-15T15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9" s="197" t="str">
        <f>IF(AA99&lt;VLOOKUP(AG99,Variables!$AC$3:$AD$8,2,FALSE),"Y","N")</f>
        <v>N</v>
      </c>
      <c r="X99" s="197">
        <f t="shared" si="54"/>
        <v>1</v>
      </c>
      <c r="Y99" s="197">
        <f t="shared" si="40"/>
        <v>4.6199999999999998E-2</v>
      </c>
      <c r="Z99" s="197">
        <f t="shared" si="41"/>
        <v>23.333400000000001</v>
      </c>
      <c r="AA99" s="197">
        <f t="shared" si="42"/>
        <v>23.287200000000002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43"/>
        <v>185</v>
      </c>
      <c r="AE99" s="77" t="str">
        <f t="shared" si="44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99" s="74" t="str">
        <f t="shared" si="45"/>
        <v>"C:\Program Files (x86)\AstroGrep\AstroGrep.exe" /e /r /s /spath="%USERPROFILE%\AppData\Local\Temp\OnboardLogs" /stypes="app*4046*20170615*" /stext=" 20:.+((SYSTEM_STATE.+slice.+state.+changed )|(ment ac)|(multiple cpu faults)|(system.+state.+changed )|(\[timeout)|(PRM\|1\|D)|(kpr)|(kdp)|(train st.+moving)|(\|lc)|(penalty))"</v>
      </c>
      <c r="AG99" s="209" t="str">
        <f t="shared" si="46"/>
        <v>EC</v>
      </c>
      <c r="AH99" s="78" t="str">
        <f t="shared" si="47"/>
        <v>"%USERPROFILE%\Documents\GitHub\eaglep3\Utilities\RefineRTDCRunTimes.py" --tripid 185-15 --locoid 4046 --swversion DE.1.0.9.0 --startMP 204:462 --initTime 2017-06-15T14:08:35 --startdatetime 2017-06-15T14:15:16 --delay 1 --endMP 204:233334 --enddatetime 2017-06-15T14:52:28 --enforcementcount 0 &gt;&gt;C:\Users\stu\Documents\GitHub\eaglep3-reporting\EC\2017-06-15-refined-times.txt</v>
      </c>
      <c r="AI9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{"issue":{"subject":"","project_id":79,"tracker_id":40,"status_id":1,"priority_id":2,"assigned_to_id":23,"start_date":"2017-06-15","description":"","custom_fields":[{"id":1,"name":"Subdivision","value":"EC"},{"id":4,"name":"Milepost","value":"23.3334"},{"id":17,"name":"Train ID","value":"185-15"},{"id":16,"name":"Locomotive ID","value":"4046"},{"id":130,"name":"Impact","value":""},{"id":150,"name":"Time of Event (Mountain Time)","value":"14:52:28"},{"id":151,"name":"Denver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9"/>
        <v>start /low /b %USERPROFILE%\Documents\GitHub\eaglep3\Utilities\DownloadLogsFromS3.py --loco 4046 --day 2017-06-15</v>
      </c>
      <c r="AN99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643</v>
      </c>
      <c r="B100" s="7">
        <v>4045</v>
      </c>
      <c r="C100" s="21" t="s">
        <v>202</v>
      </c>
      <c r="D100" s="21" t="s">
        <v>874</v>
      </c>
      <c r="E100" s="13">
        <v>42901.625937500001</v>
      </c>
      <c r="F100" s="13">
        <v>42901.633518518516</v>
      </c>
      <c r="G100" s="7">
        <v>1</v>
      </c>
      <c r="H100" s="21" t="s">
        <v>875</v>
      </c>
      <c r="I100" s="13">
        <v>42901.660405092596</v>
      </c>
      <c r="J100" s="7">
        <v>0</v>
      </c>
      <c r="K100" s="89" t="str">
        <f t="shared" si="35"/>
        <v>4045/4046</v>
      </c>
      <c r="L100" s="21" t="str">
        <f>VLOOKUP(A100,'Trips&amp;Operators'!$C$1:$G$99999,5,FALSE)</f>
        <v>SULLIVAN BRANDON</v>
      </c>
      <c r="M100" s="6">
        <f t="shared" si="36"/>
        <v>2.6886574079981074E-2</v>
      </c>
      <c r="N100" s="7">
        <f t="shared" si="51"/>
        <v>38.716666675172746</v>
      </c>
      <c r="O100" s="7"/>
      <c r="P100" s="7"/>
      <c r="Q100" s="22"/>
      <c r="R100" s="170"/>
      <c r="S100" s="213">
        <f t="shared" si="52"/>
        <v>1</v>
      </c>
      <c r="T100" s="195" t="str">
        <f t="shared" si="37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8"/>
        <v>https://d0f6bd738d7f1b3e5a7ca70fe4ff75f0.us-east-1.aws.found.io/app/kibana#/discover/Steve-Slow-Train-Analysis-(2080s-and-2083s)?_g=(refreshInterval:(display:Off,pause:!f,section:0,value:0),time:(from:'2017-06-15T14:01:21-0600',mode:absolute,to:'2017-06-15T16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0" s="197" t="str">
        <f>IF(AA100&lt;VLOOKUP(AG100,Variables!$AC$3:$AD$8,2,FALSE),"Y","N")</f>
        <v>N</v>
      </c>
      <c r="X100" s="197">
        <f t="shared" si="54"/>
        <v>1</v>
      </c>
      <c r="Y100" s="197">
        <f t="shared" si="40"/>
        <v>23.303799999999999</v>
      </c>
      <c r="Z100" s="197">
        <f t="shared" si="41"/>
        <v>2.0500000000000001E-2</v>
      </c>
      <c r="AA100" s="197">
        <f t="shared" si="42"/>
        <v>23.283300000000001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43"/>
        <v>186</v>
      </c>
      <c r="AE100" s="77" t="str">
        <f t="shared" si="44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100" s="74" t="str">
        <f t="shared" si="45"/>
        <v>"C:\Program Files (x86)\AstroGrep\AstroGrep.exe" /e /r /s /spath="%USERPROFILE%\AppData\Local\Temp\OnboardLogs" /stypes="app*4045*20170615*" /stext=" 21:.+((SYSTEM_STATE.+slice.+state.+changed )|(ment ac)|(multiple cpu faults)|(system.+state.+changed )|(\[timeout)|(PRM\|1\|D)|(kpr)|(kdp)|(train st.+moving)|(\|lc)|(penalty))"</v>
      </c>
      <c r="AG100" s="209" t="str">
        <f t="shared" si="46"/>
        <v>EC</v>
      </c>
      <c r="AH100" s="78" t="str">
        <f t="shared" si="47"/>
        <v>"%USERPROFILE%\Documents\GitHub\eaglep3\Utilities\RefineRTDCRunTimes.py" --tripid 186-15 --locoid 4045 --swversion DE.1.0.9.0 --startMP 204:233038 --initTime 2017-06-15T15:01:21 --startdatetime 2017-06-15T15:12:16 --delay 1 --endMP 204:205 --enddatetime 2017-06-15T15:50:59 --enforcementcount 0 &gt;&gt;C:\Users\stu\Documents\GitHub\eaglep3-reporting\EC\2017-06-15-refined-times.txt</v>
      </c>
      <c r="AI100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{"issue":{"subject":"","project_id":79,"tracker_id":40,"status_id":1,"priority_id":2,"assigned_to_id":23,"start_date":"2017-06-15","description":"","custom_fields":[{"id":1,"name":"Subdivision","value":"EC"},{"id":4,"name":"Milepost","value":"0.0205"},{"id":17,"name":"Train ID","value":"186-15"},{"id":16,"name":"Locomotive ID","value":"4045"},{"id":130,"name":"Impact","value":""},{"id":150,"name":"Time of Event (Mountain Time)","value":"15:50:59"},{"id":151,"name":"Denver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9"/>
        <v>start /low /b %USERPROFILE%\Documents\GitHub\eaglep3\Utilities\DownloadLogsFromS3.py --loco 4045 --day 2017-06-15</v>
      </c>
      <c r="AN100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767</v>
      </c>
      <c r="B101" s="7">
        <v>4042</v>
      </c>
      <c r="C101" s="21" t="s">
        <v>202</v>
      </c>
      <c r="D101" s="21" t="s">
        <v>574</v>
      </c>
      <c r="E101" s="13">
        <v>42901.598252314812</v>
      </c>
      <c r="F101" s="13">
        <v>42901.604710648149</v>
      </c>
      <c r="G101" s="7">
        <v>1</v>
      </c>
      <c r="H101" s="21" t="s">
        <v>876</v>
      </c>
      <c r="I101" s="13">
        <v>42901.629236111112</v>
      </c>
      <c r="J101" s="7">
        <v>0</v>
      </c>
      <c r="K101" s="89" t="str">
        <f t="shared" si="35"/>
        <v>4041/4042</v>
      </c>
      <c r="L101" s="21" t="str">
        <f>VLOOKUP(A101,'Trips&amp;Operators'!$C$1:$G$99999,5,FALSE)</f>
        <v>HOLCOMB KAMDEN</v>
      </c>
      <c r="M101" s="6">
        <f t="shared" si="36"/>
        <v>2.4525462962628808E-2</v>
      </c>
      <c r="N101" s="7">
        <f t="shared" si="51"/>
        <v>35.316666666185483</v>
      </c>
      <c r="O101" s="7"/>
      <c r="P101" s="7"/>
      <c r="Q101" s="22"/>
      <c r="R101" s="170"/>
      <c r="S101" s="213">
        <f t="shared" si="52"/>
        <v>1</v>
      </c>
      <c r="T101" s="195" t="str">
        <f t="shared" si="37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8"/>
        <v>https://d0f6bd738d7f1b3e5a7ca70fe4ff75f0.us-east-1.aws.found.io/app/kibana#/discover/Steve-Slow-Train-Analysis-(2080s-and-2083s)?_g=(refreshInterval:(display:Off,pause:!f,section:0,value:0),time:(from:'2017-06-15T13:21:29-0600',mode:absolute,to:'2017-06-15T16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1" s="197" t="str">
        <f>IF(AA101&lt;VLOOKUP(AG101,Variables!$AC$3:$AD$8,2,FALSE),"Y","N")</f>
        <v>N</v>
      </c>
      <c r="X101" s="197">
        <f t="shared" si="54"/>
        <v>1</v>
      </c>
      <c r="Y101" s="197">
        <f t="shared" si="40"/>
        <v>5.0200000000000002E-2</v>
      </c>
      <c r="Z101" s="197">
        <f t="shared" si="41"/>
        <v>23.3323</v>
      </c>
      <c r="AA101" s="197">
        <f t="shared" si="42"/>
        <v>23.2821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43"/>
        <v>187</v>
      </c>
      <c r="AE101" s="77" t="str">
        <f t="shared" si="44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101" s="74" t="str">
        <f t="shared" si="45"/>
        <v>"C:\Program Files (x86)\AstroGrep\AstroGrep.exe" /e /r /s /spath="%USERPROFILE%\AppData\Local\Temp\OnboardLogs" /stypes="app*4042*20170615*" /stext=" 21:.+((SYSTEM_STATE.+slice.+state.+changed )|(ment ac)|(multiple cpu faults)|(system.+state.+changed )|(\[timeout)|(PRM\|1\|D)|(kpr)|(kdp)|(train st.+moving)|(\|lc)|(penalty))"</v>
      </c>
      <c r="AG101" s="209" t="str">
        <f t="shared" si="46"/>
        <v>EC</v>
      </c>
      <c r="AH101" s="78" t="str">
        <f t="shared" si="47"/>
        <v>"%USERPROFILE%\Documents\GitHub\eaglep3\Utilities\RefineRTDCRunTimes.py" --tripid 187-15 --locoid 4042 --swversion DE.1.0.9.0 --startMP 204:502 --initTime 2017-06-15T14:21:29 --startdatetime 2017-06-15T14:30:47 --delay 1 --endMP 204:233323 --enddatetime 2017-06-15T15:06:06 --enforcementcount 0 &gt;&gt;C:\Users\stu\Documents\GitHub\eaglep3-reporting\EC\2017-06-15-refined-times.txt</v>
      </c>
      <c r="AI101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{"issue":{"subject":"","project_id":79,"tracker_id":40,"status_id":1,"priority_id":2,"assigned_to_id":23,"start_date":"2017-06-15","description":"","custom_fields":[{"id":1,"name":"Subdivision","value":"EC"},{"id":4,"name":"Milepost","value":"23.3323"},{"id":17,"name":"Train ID","value":"187-15"},{"id":16,"name":"Locomotive ID","value":"4042"},{"id":130,"name":"Impact","value":""},{"id":150,"name":"Time of Event (Mountain Time)","value":"15:06:06"},{"id":151,"name":"Denver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9"/>
        <v>start /low /b %USERPROFILE%\Documents\GitHub\eaglep3\Utilities\DownloadLogsFromS3.py --loco 4042 --day 2017-06-15</v>
      </c>
      <c r="AN101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645</v>
      </c>
      <c r="B102" s="7">
        <v>4041</v>
      </c>
      <c r="C102" s="21" t="s">
        <v>202</v>
      </c>
      <c r="D102" s="21" t="s">
        <v>569</v>
      </c>
      <c r="E102" s="13">
        <v>42901.639224537037</v>
      </c>
      <c r="F102" s="13">
        <v>42901.644421296296</v>
      </c>
      <c r="G102" s="7">
        <v>1</v>
      </c>
      <c r="H102" s="21" t="s">
        <v>359</v>
      </c>
      <c r="I102" s="13">
        <v>42901.67083333333</v>
      </c>
      <c r="J102" s="7">
        <v>0</v>
      </c>
      <c r="K102" s="89" t="str">
        <f t="shared" si="35"/>
        <v>4041/4042</v>
      </c>
      <c r="L102" s="21" t="str">
        <f>VLOOKUP(A102,'Trips&amp;Operators'!$C$1:$G$99999,5,FALSE)</f>
        <v>HOLCOMB KAMDEN</v>
      </c>
      <c r="M102" s="6">
        <f t="shared" si="36"/>
        <v>2.6412037033878732E-2</v>
      </c>
      <c r="N102" s="7">
        <f t="shared" si="51"/>
        <v>38.033333328785375</v>
      </c>
      <c r="O102" s="7"/>
      <c r="P102" s="7"/>
      <c r="Q102" s="22"/>
      <c r="R102" s="170" t="s">
        <v>1037</v>
      </c>
      <c r="S102" s="213">
        <f t="shared" si="52"/>
        <v>1</v>
      </c>
      <c r="T102" s="195" t="str">
        <f t="shared" si="37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8"/>
        <v>https://d0f6bd738d7f1b3e5a7ca70fe4ff75f0.us-east-1.aws.found.io/app/kibana#/discover/Steve-Slow-Train-Analysis-(2080s-and-2083s)?_g=(refreshInterval:(display:Off,pause:!f,section:0,value:0),time:(from:'2017-06-15T14:20:29-0600',mode:absolute,to:'2017-06-15T17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2" s="197" t="str">
        <f>IF(AA102&lt;VLOOKUP(AG102,Variables!$AC$3:$AD$8,2,FALSE),"Y","N")</f>
        <v>N</v>
      </c>
      <c r="X102" s="197">
        <f t="shared" si="54"/>
        <v>1</v>
      </c>
      <c r="Y102" s="197">
        <f t="shared" si="40"/>
        <v>23.300599999999999</v>
      </c>
      <c r="Z102" s="197">
        <f t="shared" si="41"/>
        <v>1.41E-2</v>
      </c>
      <c r="AA102" s="197">
        <f t="shared" si="42"/>
        <v>23.2865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43"/>
        <v>188</v>
      </c>
      <c r="AE102" s="77" t="str">
        <f t="shared" si="44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102" s="74" t="str">
        <f t="shared" si="45"/>
        <v>"C:\Program Files (x86)\AstroGrep\AstroGrep.exe" /e /r /s /spath="%USERPROFILE%\AppData\Local\Temp\OnboardLogs" /stypes="app*4041*20170615*" /stext=" 22:.+((SYSTEM_STATE.+slice.+state.+changed )|(ment ac)|(multiple cpu faults)|(system.+state.+changed )|(\[timeout)|(PRM\|1\|D)|(kpr)|(kdp)|(train st.+moving)|(\|lc)|(penalty))"</v>
      </c>
      <c r="AG102" s="209" t="str">
        <f t="shared" si="46"/>
        <v>EC</v>
      </c>
      <c r="AH102" s="78" t="str">
        <f t="shared" si="47"/>
        <v>"%USERPROFILE%\Documents\GitHub\eaglep3\Utilities\RefineRTDCRunTimes.py" --tripid 188-15 --locoid 4041 --swversion DE.1.0.9.0 --startMP 204:233006 --initTime 2017-06-15T15:20:29 --startdatetime 2017-06-15T15:27:58 --delay 1 --endMP 204:141 --enddatetime 2017-06-15T16:06:00 --enforcementcount 0 &gt;&gt;C:\Users\stu\Documents\GitHub\eaglep3-reporting\EC\2017-06-15-refined-times.txt</v>
      </c>
      <c r="AI102" s="96" t="str">
        <f t="shared" si="48"/>
        <v>echo {"issue":{"subject":"Unhealthy at Chambers due to train stop","project_id":79,"tracker_id":40,"status_id":1,"priority_id":2,"assigned_to_id":23,"start_date":"2017-06-15","description":"","custom_fields":[{"id":1,"name":"Subdivision","value":"EC"},{"id":4,"name":"Milepost","value":"0.0141"},{"id":17,"name":"Train ID","value":"188-15"},{"id":16,"name":"Locomotive ID","value":"4041"},{"id":130,"name":"Impact","value":""},{"id":150,"name":"Time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9"/>
        <v>start /low /b %USERPROFILE%\Documents\GitHub\eaglep3\Utilities\DownloadLogsFromS3.py --loco 4041 --day 2017-06-15</v>
      </c>
      <c r="AN102" s="151" t="str">
        <f t="shared" si="50"/>
        <v>echo {"issue":{"subject":"Unhealthy at Chambers due to train stop","project_id":30,"tracker_id":4,"status_id":1,"priority_id":1,"assigned_to_id":10,"start_date":"2017-06-15","description":"","custom_fields":[{"id":30,"name":"Category","value":"Issue"},{"id":3,"name":"Functional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769</v>
      </c>
      <c r="B103" s="7">
        <v>4040</v>
      </c>
      <c r="C103" s="21" t="s">
        <v>202</v>
      </c>
      <c r="D103" s="21" t="s">
        <v>877</v>
      </c>
      <c r="E103" s="13">
        <v>42901.610358796293</v>
      </c>
      <c r="F103" s="13">
        <v>42901.614791666667</v>
      </c>
      <c r="G103" s="7">
        <v>1</v>
      </c>
      <c r="H103" s="21" t="s">
        <v>878</v>
      </c>
      <c r="I103" s="13">
        <v>42901.6403125</v>
      </c>
      <c r="J103" s="7">
        <v>0</v>
      </c>
      <c r="K103" s="89" t="str">
        <f t="shared" si="35"/>
        <v>4039/4040</v>
      </c>
      <c r="L103" s="21" t="str">
        <f>VLOOKUP(A103,'Trips&amp;Operators'!$C$1:$G$99999,5,FALSE)</f>
        <v>STEWART MICHAEL</v>
      </c>
      <c r="M103" s="6">
        <f t="shared" si="36"/>
        <v>2.5520833332848269E-2</v>
      </c>
      <c r="N103" s="7">
        <f t="shared" si="51"/>
        <v>36.749999999301508</v>
      </c>
      <c r="O103" s="7"/>
      <c r="P103" s="7"/>
      <c r="Q103" s="22"/>
      <c r="R103" s="170"/>
      <c r="S103" s="213">
        <f t="shared" si="52"/>
        <v>1</v>
      </c>
      <c r="T103" s="195" t="str">
        <f t="shared" si="37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8"/>
        <v>https://d0f6bd738d7f1b3e5a7ca70fe4ff75f0.us-east-1.aws.found.io/app/kibana#/discover/Steve-Slow-Train-Analysis-(2080s-and-2083s)?_g=(refreshInterval:(display:Off,pause:!f,section:0,value:0),time:(from:'2017-06-15T13:38:55-0600',mode:absolute,to:'2017-06-15T16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197" t="str">
        <f>IF(AA103&lt;VLOOKUP(AG103,Variables!$AC$3:$AD$8,2,FALSE),"Y","N")</f>
        <v>N</v>
      </c>
      <c r="X103" s="197">
        <f t="shared" si="54"/>
        <v>1</v>
      </c>
      <c r="Y103" s="197">
        <f t="shared" si="40"/>
        <v>4.8399999999999999E-2</v>
      </c>
      <c r="Z103" s="197">
        <f t="shared" si="41"/>
        <v>23.3215</v>
      </c>
      <c r="AA103" s="197">
        <f t="shared" si="42"/>
        <v>23.273099999999999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43"/>
        <v>189</v>
      </c>
      <c r="AE103" s="77" t="str">
        <f t="shared" si="44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103" s="74" t="str">
        <f t="shared" si="45"/>
        <v>"C:\Program Files (x86)\AstroGrep\AstroGrep.exe" /e /r /s /spath="%USERPROFILE%\AppData\Local\Temp\OnboardLogs" /stypes="app*4040*20170615*" /stext=" 21:.+((SYSTEM_STATE.+slice.+state.+changed )|(ment ac)|(multiple cpu faults)|(system.+state.+changed )|(\[timeout)|(PRM\|1\|D)|(kpr)|(kdp)|(train st.+moving)|(\|lc)|(penalty))"</v>
      </c>
      <c r="AG103" s="209" t="str">
        <f t="shared" si="46"/>
        <v>EC</v>
      </c>
      <c r="AH103" s="78" t="str">
        <f t="shared" si="47"/>
        <v>"%USERPROFILE%\Documents\GitHub\eaglep3\Utilities\RefineRTDCRunTimes.py" --tripid 189-15 --locoid 4040 --swversion DE.1.0.9.0 --startMP 204:484 --initTime 2017-06-15T14:38:55 --startdatetime 2017-06-15T14:45:18 --delay 1 --endMP 204:233215 --enddatetime 2017-06-15T15:22:03 --enforcementcount 0 &gt;&gt;C:\Users\stu\Documents\GitHub\eaglep3-reporting\EC\2017-06-15-refined-times.txt</v>
      </c>
      <c r="AI103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{"issue":{"subject":"","project_id":79,"tracker_id":40,"status_id":1,"priority_id":2,"assigned_to_id":23,"start_date":"2017-06-15","description":"","custom_fields":[{"id":1,"name":"Subdivision","value":"EC"},{"id":4,"name":"Milepost","value":"23.3215"},{"id":17,"name":"Train ID","value":"189-15"},{"id":16,"name":"Locomotive ID","value":"4040"},{"id":130,"name":"Impact","value":""},{"id":150,"name":"Time of Event (Mountain Time)","value":"15:22:03"},{"id":151,"name":"Denver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49"/>
        <v>start /low /b %USERPROFILE%\Documents\GitHub\eaglep3\Utilities\DownloadLogsFromS3.py --loco 4040 --day 2017-06-15</v>
      </c>
      <c r="AN103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</row>
    <row r="104" spans="1:91" s="20" customFormat="1" x14ac:dyDescent="0.25">
      <c r="A104" s="32" t="s">
        <v>776</v>
      </c>
      <c r="B104" s="7">
        <v>4039</v>
      </c>
      <c r="C104" s="21" t="s">
        <v>202</v>
      </c>
      <c r="D104" s="21" t="s">
        <v>453</v>
      </c>
      <c r="E104" s="13">
        <v>42901.649733796294</v>
      </c>
      <c r="F104" s="13">
        <v>42901.654363425929</v>
      </c>
      <c r="G104" s="7">
        <v>1</v>
      </c>
      <c r="H104" s="21" t="s">
        <v>360</v>
      </c>
      <c r="I104" s="13">
        <v>42901.680995370371</v>
      </c>
      <c r="J104" s="7">
        <v>0</v>
      </c>
      <c r="K104" s="89" t="str">
        <f t="shared" si="35"/>
        <v>4039/4040</v>
      </c>
      <c r="L104" s="21" t="str">
        <f>VLOOKUP(A104,'Trips&amp;Operators'!$C$1:$G$99999,5,FALSE)</f>
        <v>STEWART MICHAEL</v>
      </c>
      <c r="M104" s="6">
        <f t="shared" si="36"/>
        <v>2.6631944441760425E-2</v>
      </c>
      <c r="N104" s="7">
        <f t="shared" si="51"/>
        <v>38.349999996135011</v>
      </c>
      <c r="O104" s="7"/>
      <c r="P104" s="7"/>
      <c r="Q104" s="22"/>
      <c r="R104" s="170"/>
      <c r="S104" s="213">
        <f t="shared" si="52"/>
        <v>1</v>
      </c>
      <c r="T104" s="195" t="str">
        <f t="shared" si="37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8"/>
        <v>https://d0f6bd738d7f1b3e5a7ca70fe4ff75f0.us-east-1.aws.found.io/app/kibana#/discover/Steve-Slow-Train-Analysis-(2080s-and-2083s)?_g=(refreshInterval:(display:Off,pause:!f,section:0,value:0),time:(from:'2017-06-15T14:35:37-0600',mode:absolute,to:'2017-06-15T17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197" t="str">
        <f>IF(AA104&lt;VLOOKUP(AG104,Variables!$AC$3:$AD$8,2,FALSE),"Y","N")</f>
        <v>N</v>
      </c>
      <c r="X104" s="197">
        <f t="shared" si="54"/>
        <v>1</v>
      </c>
      <c r="Y104" s="197">
        <f t="shared" si="40"/>
        <v>23.2971</v>
      </c>
      <c r="Z104" s="197">
        <f t="shared" si="41"/>
        <v>1.47E-2</v>
      </c>
      <c r="AA104" s="197">
        <f t="shared" si="42"/>
        <v>23.282399999999999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43"/>
        <v>190</v>
      </c>
      <c r="AE104" s="77" t="str">
        <f t="shared" si="44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104" s="74" t="str">
        <f t="shared" si="45"/>
        <v>"C:\Program Files (x86)\AstroGrep\AstroGrep.exe" /e /r /s /spath="%USERPROFILE%\AppData\Local\Temp\OnboardLogs" /stypes="app*4039*20170615*" /stext=" 22:.+((SYSTEM_STATE.+slice.+state.+changed )|(ment ac)|(multiple cpu faults)|(system.+state.+changed )|(\[timeout)|(PRM\|1\|D)|(kpr)|(kdp)|(train st.+moving)|(\|lc)|(penalty))"</v>
      </c>
      <c r="AG104" s="209" t="str">
        <f t="shared" si="46"/>
        <v>EC</v>
      </c>
      <c r="AH104" s="78" t="str">
        <f t="shared" si="47"/>
        <v>"%USERPROFILE%\Documents\GitHub\eaglep3\Utilities\RefineRTDCRunTimes.py" --tripid 190-15 --locoid 4039 --swversion DE.1.0.9.0 --startMP 204:232971 --initTime 2017-06-15T15:35:37 --startdatetime 2017-06-15T15:42:17 --delay 1 --endMP 204:147 --enddatetime 2017-06-15T16:20:38 --enforcementcount 0 &gt;&gt;C:\Users\stu\Documents\GitHub\eaglep3-reporting\EC\2017-06-15-refined-times.txt</v>
      </c>
      <c r="AI104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{"issue":{"subject":"","project_id":79,"tracker_id":40,"status_id":1,"priority_id":2,"assigned_to_id":23,"start_date":"2017-06-15","description":"","custom_fields":[{"id":1,"name":"Subdivision","value":"EC"},{"id":4,"name":"Milepost","value":"0.0147"},{"id":17,"name":"Train ID","value":"190-15"},{"id":16,"name":"Locomotive ID","value":"4039"},{"id":130,"name":"Impact","value":""},{"id":150,"name":"Time of Event (Mountain Time)","value":"16:20:38"},{"id":151,"name":"Denver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9"/>
        <v>start /low /b %USERPROFILE%\Documents\GitHub\eaglep3\Utilities\DownloadLogsFromS3.py --loco 4039 --day 2017-06-15</v>
      </c>
      <c r="AN104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770</v>
      </c>
      <c r="B105" s="7">
        <v>4022</v>
      </c>
      <c r="C105" s="21" t="s">
        <v>202</v>
      </c>
      <c r="D105" s="21" t="s">
        <v>199</v>
      </c>
      <c r="E105" s="13">
        <v>42901.619097222225</v>
      </c>
      <c r="F105" s="13">
        <v>42901.625277777777</v>
      </c>
      <c r="G105" s="7">
        <v>1</v>
      </c>
      <c r="H105" s="21" t="s">
        <v>437</v>
      </c>
      <c r="I105" s="13">
        <v>42901.649872685186</v>
      </c>
      <c r="J105" s="7">
        <v>0</v>
      </c>
      <c r="K105" s="89" t="str">
        <f t="shared" si="35"/>
        <v>4021/4022</v>
      </c>
      <c r="L105" s="21" t="str">
        <f>VLOOKUP(A105,'Trips&amp;Operators'!$C$1:$G$99999,5,FALSE)</f>
        <v>YORK EDGAR</v>
      </c>
      <c r="M105" s="6">
        <f t="shared" si="36"/>
        <v>2.4594907408754807E-2</v>
      </c>
      <c r="N105" s="7">
        <f t="shared" si="51"/>
        <v>35.416666668606922</v>
      </c>
      <c r="O105" s="7"/>
      <c r="P105" s="7"/>
      <c r="Q105" s="22"/>
      <c r="R105" s="170"/>
      <c r="S105" s="213">
        <f t="shared" si="52"/>
        <v>1</v>
      </c>
      <c r="T105" s="195" t="str">
        <f t="shared" si="37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8"/>
        <v>https://d0f6bd738d7f1b3e5a7ca70fe4ff75f0.us-east-1.aws.found.io/app/kibana#/discover/Steve-Slow-Train-Analysis-(2080s-and-2083s)?_g=(refreshInterval:(display:Off,pause:!f,section:0,value:0),time:(from:'2017-06-15T13:51:30-0600',mode:absolute,to:'2017-06-15T16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5" s="197" t="str">
        <f>IF(AA105&lt;VLOOKUP(AG105,Variables!$AC$3:$AD$8,2,FALSE),"Y","N")</f>
        <v>N</v>
      </c>
      <c r="X105" s="197">
        <f t="shared" si="54"/>
        <v>1</v>
      </c>
      <c r="Y105" s="197">
        <f t="shared" si="40"/>
        <v>4.5999999999999999E-2</v>
      </c>
      <c r="Z105" s="197">
        <f t="shared" si="41"/>
        <v>23.329699999999999</v>
      </c>
      <c r="AA105" s="197">
        <f t="shared" si="42"/>
        <v>23.2837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43"/>
        <v>191</v>
      </c>
      <c r="AE105" s="77" t="str">
        <f t="shared" si="44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105" s="74" t="str">
        <f t="shared" si="45"/>
        <v>"C:\Program Files (x86)\AstroGrep\AstroGrep.exe" /e /r /s /spath="%USERPROFILE%\AppData\Local\Temp\OnboardLogs" /stypes="app*4022*20170615*" /stext=" 21:.+((SYSTEM_STATE.+slice.+state.+changed )|(ment ac)|(multiple cpu faults)|(system.+state.+changed )|(\[timeout)|(PRM\|1\|D)|(kpr)|(kdp)|(train st.+moving)|(\|lc)|(penalty))"</v>
      </c>
      <c r="AG105" s="209" t="str">
        <f t="shared" si="46"/>
        <v>EC</v>
      </c>
      <c r="AH105" s="78" t="str">
        <f t="shared" si="47"/>
        <v>"%USERPROFILE%\Documents\GitHub\eaglep3\Utilities\RefineRTDCRunTimes.py" --tripid 191-15 --locoid 4022 --swversion DE.1.0.9.0 --startMP 204:460 --initTime 2017-06-15T14:51:30 --startdatetime 2017-06-15T15:00:24 --delay 1 --endMP 204:233297 --enddatetime 2017-06-15T15:35:49 --enforcementcount 0 &gt;&gt;C:\Users\stu\Documents\GitHub\eaglep3-reporting\EC\2017-06-15-refined-times.txt</v>
      </c>
      <c r="AI105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{"issue":{"subject":"","project_id":79,"tracker_id":40,"status_id":1,"priority_id":2,"assigned_to_id":23,"start_date":"2017-06-15","description":"","custom_fields":[{"id":1,"name":"Subdivision","value":"EC"},{"id":4,"name":"Milepost","value":"23.3297"},{"id":17,"name":"Train ID","value":"191-15"},{"id":16,"name":"Locomotive ID","value":"4022"},{"id":130,"name":"Impact","value":""},{"id":150,"name":"Time of Event (Mountain Time)","value":"15:35:49"},{"id":151,"name":"Denver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9"/>
        <v>start /low /b %USERPROFILE%\Documents\GitHub\eaglep3\Utilities\DownloadLogsFromS3.py --loco 4022 --day 2017-06-15</v>
      </c>
      <c r="AN105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777</v>
      </c>
      <c r="B106" s="7">
        <v>4021</v>
      </c>
      <c r="C106" s="21" t="s">
        <v>202</v>
      </c>
      <c r="D106" s="21" t="s">
        <v>460</v>
      </c>
      <c r="E106" s="13">
        <v>42901.650868055556</v>
      </c>
      <c r="F106" s="13">
        <v>42901.664803240739</v>
      </c>
      <c r="G106" s="7">
        <v>0</v>
      </c>
      <c r="H106" s="21" t="s">
        <v>350</v>
      </c>
      <c r="I106" s="13">
        <v>42901.690949074073</v>
      </c>
      <c r="J106" s="7">
        <v>0</v>
      </c>
      <c r="K106" s="89" t="str">
        <f t="shared" si="35"/>
        <v>4021/4022</v>
      </c>
      <c r="L106" s="21" t="str">
        <f>VLOOKUP(A106,'Trips&amp;Operators'!$C$1:$G$99999,5,FALSE)</f>
        <v>YORK EDGAR</v>
      </c>
      <c r="M106" s="6">
        <f t="shared" si="36"/>
        <v>2.6145833333430346E-2</v>
      </c>
      <c r="N106" s="7">
        <f t="shared" si="51"/>
        <v>37.650000000139698</v>
      </c>
      <c r="O106" s="7"/>
      <c r="P106" s="7"/>
      <c r="Q106" s="22"/>
      <c r="R106" s="170"/>
      <c r="S106" s="213">
        <f t="shared" si="52"/>
        <v>1</v>
      </c>
      <c r="T106" s="195" t="str">
        <f t="shared" si="37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8"/>
        <v>https://d0f6bd738d7f1b3e5a7ca70fe4ff75f0.us-east-1.aws.found.io/app/kibana#/discover/Steve-Slow-Train-Analysis-(2080s-and-2083s)?_g=(refreshInterval:(display:Off,pause:!f,section:0,value:0),time:(from:'2017-06-15T14:37:15-0600',mode:absolute,to:'2017-06-15T17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6" s="197" t="str">
        <f>IF(AA106&lt;VLOOKUP(AG106,Variables!$AC$3:$AD$8,2,FALSE),"Y","N")</f>
        <v>N</v>
      </c>
      <c r="X106" s="197">
        <f t="shared" si="54"/>
        <v>1</v>
      </c>
      <c r="Y106" s="197">
        <f t="shared" si="40"/>
        <v>23.298500000000001</v>
      </c>
      <c r="Z106" s="197">
        <f t="shared" si="41"/>
        <v>1.49E-2</v>
      </c>
      <c r="AA106" s="197">
        <f t="shared" si="42"/>
        <v>23.2836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43"/>
        <v>192</v>
      </c>
      <c r="AE106" s="77" t="str">
        <f t="shared" si="44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106" s="74" t="str">
        <f t="shared" si="45"/>
        <v>"C:\Program Files (x86)\AstroGrep\AstroGrep.exe" /e /r /s /spath="%USERPROFILE%\AppData\Local\Temp\OnboardLogs" /stypes="app*4021*20170615*" /stext=" 22:.+((SYSTEM_STATE.+slice.+state.+changed )|(ment ac)|(multiple cpu faults)|(system.+state.+changed )|(\[timeout)|(PRM\|1\|D)|(kpr)|(kdp)|(train st.+moving)|(\|lc)|(penalty))"</v>
      </c>
      <c r="AG106" s="209" t="str">
        <f t="shared" si="46"/>
        <v>EC</v>
      </c>
      <c r="AH106" s="78" t="str">
        <f t="shared" si="47"/>
        <v>"%USERPROFILE%\Documents\GitHub\eaglep3\Utilities\RefineRTDCRunTimes.py" --tripid 192-15 --locoid 4021 --swversion DE.1.0.9.0 --startMP 204:232985 --initTime 2017-06-15T15:37:15 --startdatetime 2017-06-15T15:57:19 --delay 0 --endMP 204:149 --enddatetime 2017-06-15T16:34:58 --enforcementcount 0 &gt;&gt;C:\Users\stu\Documents\GitHub\eaglep3-reporting\EC\2017-06-15-refined-times.txt</v>
      </c>
      <c r="AI106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{"issue":{"subject":"","project_id":79,"tracker_id":40,"status_id":1,"priority_id":2,"assigned_to_id":23,"start_date":"2017-06-15","description":"","custom_fields":[{"id":1,"name":"Subdivision","value":"EC"},{"id":4,"name":"Milepost","value":"0.0149"},{"id":17,"name":"Train ID","value":"192-15"},{"id":16,"name":"Locomotive ID","value":"4021"},{"id":130,"name":"Impact","value":""},{"id":150,"name":"Time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9"/>
        <v>start /low /b %USERPROFILE%\Documents\GitHub\eaglep3\Utilities\DownloadLogsFromS3.py --loco 4021 --day 2017-06-15</v>
      </c>
      <c r="AN106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772</v>
      </c>
      <c r="B107" s="7">
        <v>4002</v>
      </c>
      <c r="C107" s="21" t="s">
        <v>202</v>
      </c>
      <c r="D107" s="21" t="s">
        <v>445</v>
      </c>
      <c r="E107" s="13">
        <v>42901.631296296298</v>
      </c>
      <c r="F107" s="13">
        <v>42901.635821759257</v>
      </c>
      <c r="G107" s="7">
        <v>1</v>
      </c>
      <c r="H107" s="21" t="s">
        <v>591</v>
      </c>
      <c r="I107" s="13">
        <v>42901.661539351851</v>
      </c>
      <c r="J107" s="7">
        <v>0</v>
      </c>
      <c r="K107" s="89" t="str">
        <f t="shared" si="35"/>
        <v>4001/4002</v>
      </c>
      <c r="L107" s="21" t="str">
        <f>VLOOKUP(A107,'Trips&amp;Operators'!$C$1:$G$99999,5,FALSE)</f>
        <v>LEVIN SCOTT</v>
      </c>
      <c r="M107" s="6">
        <f t="shared" si="36"/>
        <v>2.5717592594446614E-2</v>
      </c>
      <c r="N107" s="7">
        <f t="shared" si="51"/>
        <v>37.033333336003125</v>
      </c>
      <c r="O107" s="7"/>
      <c r="P107" s="7"/>
      <c r="Q107" s="22"/>
      <c r="R107" s="170"/>
      <c r="S107" s="213">
        <f t="shared" si="52"/>
        <v>1</v>
      </c>
      <c r="T107" s="195" t="str">
        <f t="shared" si="37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8"/>
        <v>https://d0f6bd738d7f1b3e5a7ca70fe4ff75f0.us-east-1.aws.found.io/app/kibana#/discover/Steve-Slow-Train-Analysis-(2080s-and-2083s)?_g=(refreshInterval:(display:Off,pause:!f,section:0,value:0),time:(from:'2017-06-15T14:09:04-0600',mode:absolute,to:'2017-06-15T16:52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7" t="str">
        <f>IF(AA107&lt;VLOOKUP(AG107,Variables!$AC$3:$AD$8,2,FALSE),"Y","N")</f>
        <v>N</v>
      </c>
      <c r="X107" s="197">
        <f t="shared" si="54"/>
        <v>1</v>
      </c>
      <c r="Y107" s="197">
        <f t="shared" si="40"/>
        <v>4.4400000000000002E-2</v>
      </c>
      <c r="Z107" s="197">
        <f t="shared" si="41"/>
        <v>23.340699999999998</v>
      </c>
      <c r="AA107" s="197">
        <f t="shared" si="42"/>
        <v>23.296299999999999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43"/>
        <v>193</v>
      </c>
      <c r="AE107" s="77" t="str">
        <f t="shared" si="44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107" s="74" t="str">
        <f t="shared" si="45"/>
        <v>"C:\Program Files (x86)\AstroGrep\AstroGrep.exe" /e /r /s /spath="%USERPROFILE%\AppData\Local\Temp\OnboardLogs" /stypes="app*4002*20170615*" /stext=" 21:.+((SYSTEM_STATE.+slice.+state.+changed )|(ment ac)|(multiple cpu faults)|(system.+state.+changed )|(\[timeout)|(PRM\|1\|D)|(kpr)|(kdp)|(train st.+moving)|(\|lc)|(penalty))"</v>
      </c>
      <c r="AG107" s="209" t="str">
        <f t="shared" si="46"/>
        <v>EC</v>
      </c>
      <c r="AH107" s="78" t="str">
        <f t="shared" si="47"/>
        <v>"%USERPROFILE%\Documents\GitHub\eaglep3\Utilities\RefineRTDCRunTimes.py" --tripid 193-15 --locoid 4002 --swversion DE.1.0.9.0 --startMP 204:444 --initTime 2017-06-15T15:09:04 --startdatetime 2017-06-15T15:15:35 --delay 1 --endMP 204:233407 --enddatetime 2017-06-15T15:52:37 --enforcementcount 0 &gt;&gt;C:\Users\stu\Documents\GitHub\eaglep3-reporting\EC\2017-06-15-refined-times.txt</v>
      </c>
      <c r="AI107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{"issue":{"subject":"","project_id":79,"tracker_id":40,"status_id":1,"priority_id":2,"assigned_to_id":23,"start_date":"2017-06-15","description":"","custom_fields":[{"id":1,"name":"Subdivision","value":"EC"},{"id":4,"name":"Milepost","value":"23.3407"},{"id":17,"name":"Train ID","value":"193-15"},{"id":16,"name":"Locomotive ID","value":"4002"},{"id":130,"name":"Impact","value":""},{"id":150,"name":"Time of Event (Mountain Time)","value":"15:52:37"},{"id":151,"name":"Denver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9"/>
        <v>start /low /b %USERPROFILE%\Documents\GitHub\eaglep3\Utilities\DownloadLogsFromS3.py --loco 4002 --day 2017-06-15</v>
      </c>
      <c r="AN107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21:52:37"},{"id":29,"name":"Sharepoint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780</v>
      </c>
      <c r="B108" s="7">
        <v>4001</v>
      </c>
      <c r="C108" s="21" t="s">
        <v>202</v>
      </c>
      <c r="D108" s="21" t="s">
        <v>879</v>
      </c>
      <c r="E108" s="13">
        <v>42901.672569444447</v>
      </c>
      <c r="F108" s="13">
        <v>42901.675185185188</v>
      </c>
      <c r="G108" s="7">
        <v>1</v>
      </c>
      <c r="H108" s="21" t="s">
        <v>495</v>
      </c>
      <c r="I108" s="13">
        <v>42901.701678240737</v>
      </c>
      <c r="J108" s="7">
        <v>0</v>
      </c>
      <c r="K108" s="89" t="str">
        <f t="shared" si="35"/>
        <v>4001/4002</v>
      </c>
      <c r="L108" s="21" t="str">
        <f>VLOOKUP(A108,'Trips&amp;Operators'!$C$1:$G$99999,5,FALSE)</f>
        <v>LEVIN SCOTT</v>
      </c>
      <c r="M108" s="6">
        <f t="shared" si="36"/>
        <v>2.6493055549508426E-2</v>
      </c>
      <c r="N108" s="7">
        <f t="shared" si="51"/>
        <v>38.149999991292134</v>
      </c>
      <c r="O108" s="7"/>
      <c r="P108" s="7"/>
      <c r="Q108" s="22"/>
      <c r="R108" s="170"/>
      <c r="S108" s="213">
        <f t="shared" si="52"/>
        <v>1</v>
      </c>
      <c r="T108" s="195" t="str">
        <f t="shared" si="37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8"/>
        <v>https://d0f6bd738d7f1b3e5a7ca70fe4ff75f0.us-east-1.aws.found.io/app/kibana#/discover/Steve-Slow-Train-Analysis-(2080s-and-2083s)?_g=(refreshInterval:(display:Off,pause:!f,section:0,value:0),time:(from:'2017-06-15T15:08:30-0600',mode:absolute,to:'2017-06-15T17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7" t="str">
        <f>IF(AA108&lt;VLOOKUP(AG108,Variables!$AC$3:$AD$8,2,FALSE),"Y","N")</f>
        <v>N</v>
      </c>
      <c r="X108" s="197">
        <f t="shared" si="54"/>
        <v>1</v>
      </c>
      <c r="Y108" s="197">
        <f t="shared" si="40"/>
        <v>23.307099999999998</v>
      </c>
      <c r="Z108" s="197">
        <f t="shared" si="41"/>
        <v>1.38E-2</v>
      </c>
      <c r="AA108" s="197">
        <f t="shared" si="42"/>
        <v>23.293299999999999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43"/>
        <v>194</v>
      </c>
      <c r="AE108" s="77" t="str">
        <f t="shared" si="44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108" s="74" t="str">
        <f t="shared" si="45"/>
        <v>"C:\Program Files (x86)\AstroGrep\AstroGrep.exe" /e /r /s /spath="%USERPROFILE%\AppData\Local\Temp\OnboardLogs" /stypes="app*4001*20170615*" /stext=" 22:.+((SYSTEM_STATE.+slice.+state.+changed )|(ment ac)|(multiple cpu faults)|(system.+state.+changed )|(\[timeout)|(PRM\|1\|D)|(kpr)|(kdp)|(train st.+moving)|(\|lc)|(penalty))"</v>
      </c>
      <c r="AG108" s="209" t="str">
        <f t="shared" si="46"/>
        <v>EC</v>
      </c>
      <c r="AH108" s="78" t="str">
        <f t="shared" si="47"/>
        <v>"%USERPROFILE%\Documents\GitHub\eaglep3\Utilities\RefineRTDCRunTimes.py" --tripid 194-15 --locoid 4001 --swversion DE.1.0.9.0 --startMP 204:233071 --initTime 2017-06-15T16:08:30 --startdatetime 2017-06-15T16:12:16 --delay 1 --endMP 204:138 --enddatetime 2017-06-15T16:50:25 --enforcementcount 0 &gt;&gt;C:\Users\stu\Documents\GitHub\eaglep3-reporting\EC\2017-06-15-refined-times.txt</v>
      </c>
      <c r="AI108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{"issue":{"subject":"","project_id":79,"tracker_id":40,"status_id":1,"priority_id":2,"assigned_to_id":23,"start_date":"2017-06-15","description":"","custom_fields":[{"id":1,"name":"Subdivision","value":"EC"},{"id":4,"name":"Milepost","value":"0.0138"},{"id":17,"name":"Train ID","value":"194-15"},{"id":16,"name":"Locomotive ID","value":"4001"},{"id":130,"name":"Impact","value":""},{"id":150,"name":"Time of Event (Mountain Time)","value":"16:50:25"},{"id":151,"name":"Denver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9"/>
        <v>start /low /b %USERPROFILE%\Documents\GitHub\eaglep3\Utilities\DownloadLogsFromS3.py --loco 4001 --day 2017-06-15</v>
      </c>
      <c r="AN108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774</v>
      </c>
      <c r="B109" s="7">
        <v>4054</v>
      </c>
      <c r="C109" s="21" t="s">
        <v>202</v>
      </c>
      <c r="D109" s="21" t="s">
        <v>880</v>
      </c>
      <c r="E109" s="13">
        <v>42901.642453703702</v>
      </c>
      <c r="F109" s="13">
        <v>42901.645972222221</v>
      </c>
      <c r="G109" s="7">
        <v>1</v>
      </c>
      <c r="H109" s="21" t="s">
        <v>881</v>
      </c>
      <c r="I109" s="13">
        <v>42901.670671296299</v>
      </c>
      <c r="J109" s="7">
        <v>0</v>
      </c>
      <c r="K109" s="89" t="str">
        <f t="shared" ref="K109:K140" si="55">IF(ISEVEN(B109),(B109-1)&amp;"/"&amp;B109,B109&amp;"/"&amp;(B109+1))</f>
        <v>4053/4054</v>
      </c>
      <c r="L109" s="21" t="str">
        <f>VLOOKUP(A109,'Trips&amp;Operators'!$C$1:$G$99999,5,FALSE)</f>
        <v>DELGADO DIANAH</v>
      </c>
      <c r="M109" s="6">
        <f t="shared" ref="M109:M140" si="56">I109-F109</f>
        <v>2.4699074077943806E-2</v>
      </c>
      <c r="N109" s="7">
        <f t="shared" si="51"/>
        <v>35.56666667223908</v>
      </c>
      <c r="O109" s="7"/>
      <c r="P109" s="7"/>
      <c r="Q109" s="22"/>
      <c r="R109" s="170"/>
      <c r="S109" s="213">
        <f t="shared" si="52"/>
        <v>1</v>
      </c>
      <c r="T109" s="195" t="str">
        <f t="shared" ref="T109:T140" si="57">IF(ISEVEN(LEFT(AD109,4)),"Southbound","NorthBound")</f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8"/>
        <v>https://d0f6bd738d7f1b3e5a7ca70fe4ff75f0.us-east-1.aws.found.io/app/kibana#/discover/Steve-Slow-Train-Analysis-(2080s-and-2083s)?_g=(refreshInterval:(display:Off,pause:!f,section:0,value:0),time:(from:'2017-06-15T14:25:08-0600',mode:absolute,to:'2017-06-15T17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9" s="197" t="str">
        <f>IF(AA109&lt;VLOOKUP(AG109,Variables!$AC$3:$AD$8,2,FALSE),"Y","N")</f>
        <v>N</v>
      </c>
      <c r="X109" s="197">
        <f t="shared" si="54"/>
        <v>1</v>
      </c>
      <c r="Y109" s="197">
        <f t="shared" ref="Y109:Y140" si="58">RIGHT(D109,LEN(D109)-4)/10000</f>
        <v>5.9900000000000002E-2</v>
      </c>
      <c r="Z109" s="197">
        <f t="shared" ref="Z109:Z140" si="59">RIGHT(H109,LEN(H109)-4)/10000</f>
        <v>23.340599999999998</v>
      </c>
      <c r="AA109" s="197">
        <f t="shared" ref="AA109:AA140" si="60">ABS(Z109-Y109)</f>
        <v>23.2807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ref="AD109:AD140" si="61">VALUE(LEFT(A109,LEN(A109)-3))</f>
        <v>195</v>
      </c>
      <c r="AE109" s="77" t="str">
        <f t="shared" si="44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109" s="74" t="str">
        <f t="shared" si="45"/>
        <v>"C:\Program Files (x86)\AstroGrep\AstroGrep.exe" /e /r /s /spath="%USERPROFILE%\AppData\Local\Temp\OnboardLogs" /stypes="app*4054*20170615*" /stext=" 22:.+((SYSTEM_STATE.+slice.+state.+changed )|(ment ac)|(multiple cpu faults)|(system.+state.+changed )|(\[timeout)|(PRM\|1\|D)|(kpr)|(kdp)|(train st.+moving)|(\|lc)|(penalty))"</v>
      </c>
      <c r="AG109" s="209" t="str">
        <f t="shared" ref="AG109:AG140" si="62">DetSubdiv(A109)</f>
        <v>EC</v>
      </c>
      <c r="AH109" s="78" t="str">
        <f t="shared" si="47"/>
        <v>"%USERPROFILE%\Documents\GitHub\eaglep3\Utilities\RefineRTDCRunTimes.py" --tripid 195-15 --locoid 4054 --swversion DE.1.0.9.0 --startMP 204:599 --initTime 2017-06-15T15:25:08 --startdatetime 2017-06-15T15:30:12 --delay 1 --endMP 204:233406 --enddatetime 2017-06-15T16:05:46 --enforcementcount 0 &gt;&gt;C:\Users\stu\Documents\GitHub\eaglep3-reporting\EC\2017-06-15-refined-times.txt</v>
      </c>
      <c r="AI10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{"issue":{"subject":"","project_id":79,"tracker_id":40,"status_id":1,"priority_id":2,"assigned_to_id":23,"start_date":"2017-06-15","description":"","custom_fields":[{"id":1,"name":"Subdivision","value":"EC"},{"id":4,"name":"Milepost","value":"23.3406"},{"id":17,"name":"Train ID","value":"195-15"},{"id":16,"name":"Locomotive ID","value":"4054"},{"id":130,"name":"Impact","value":""},{"id":150,"name":"Time of Event (Mountain Time)","value":"16:05:46"},{"id":151,"name":"Denver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9"/>
        <v>start /low /b %USERPROFILE%\Documents\GitHub\eaglep3\Utilities\DownloadLogsFromS3.py --loco 4054 --day 2017-06-15</v>
      </c>
      <c r="AN109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781</v>
      </c>
      <c r="B110" s="7">
        <v>4053</v>
      </c>
      <c r="C110" s="21" t="s">
        <v>202</v>
      </c>
      <c r="D110" s="21" t="s">
        <v>882</v>
      </c>
      <c r="E110" s="13">
        <v>42901.677199074074</v>
      </c>
      <c r="F110" s="13">
        <v>42901.685578703706</v>
      </c>
      <c r="G110" s="7">
        <v>2</v>
      </c>
      <c r="H110" s="21" t="s">
        <v>359</v>
      </c>
      <c r="I110" s="13">
        <v>42901.713356481479</v>
      </c>
      <c r="J110" s="7">
        <v>0</v>
      </c>
      <c r="K110" s="89" t="str">
        <f t="shared" si="55"/>
        <v>4053/4054</v>
      </c>
      <c r="L110" s="21" t="str">
        <f>VLOOKUP(A110,'Trips&amp;Operators'!$C$1:$G$99999,5,FALSE)</f>
        <v>DELGADO DIANAH</v>
      </c>
      <c r="M110" s="6">
        <f t="shared" si="56"/>
        <v>2.7777777773735579E-2</v>
      </c>
      <c r="N110" s="7">
        <f t="shared" si="51"/>
        <v>39.999999994179234</v>
      </c>
      <c r="O110" s="7"/>
      <c r="P110" s="7"/>
      <c r="Q110" s="22"/>
      <c r="R110" s="170"/>
      <c r="S110" s="213">
        <f t="shared" si="52"/>
        <v>1</v>
      </c>
      <c r="T110" s="195" t="str">
        <f t="shared" si="57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8"/>
        <v>https://d0f6bd738d7f1b3e5a7ca70fe4ff75f0.us-east-1.aws.found.io/app/kibana#/discover/Steve-Slow-Train-Analysis-(2080s-and-2083s)?_g=(refreshInterval:(display:Off,pause:!f,section:0,value:0),time:(from:'2017-06-15T15:15:10-0600',mode:absolute,to:'2017-06-15T18:07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0" s="197" t="str">
        <f>IF(AA110&lt;VLOOKUP(AG110,Variables!$AC$3:$AD$8,2,FALSE),"Y","N")</f>
        <v>N</v>
      </c>
      <c r="X110" s="197">
        <f t="shared" si="54"/>
        <v>1</v>
      </c>
      <c r="Y110" s="197">
        <f t="shared" si="58"/>
        <v>23.3093</v>
      </c>
      <c r="Z110" s="197">
        <f t="shared" si="59"/>
        <v>1.41E-2</v>
      </c>
      <c r="AA110" s="197">
        <f t="shared" si="60"/>
        <v>23.295200000000001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61"/>
        <v>196</v>
      </c>
      <c r="AE110" s="77" t="str">
        <f t="shared" si="44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110" s="74" t="str">
        <f t="shared" si="45"/>
        <v>"C:\Program Files (x86)\AstroGrep\AstroGrep.exe" /e /r /s /spath="%USERPROFILE%\AppData\Local\Temp\OnboardLogs" /stypes="app*4053*20170615*" /stext=" 23:.+((SYSTEM_STATE.+slice.+state.+changed )|(ment ac)|(multiple cpu faults)|(system.+state.+changed )|(\[timeout)|(PRM\|1\|D)|(kpr)|(kdp)|(train st.+moving)|(\|lc)|(penalty))"</v>
      </c>
      <c r="AG110" s="209" t="str">
        <f t="shared" si="62"/>
        <v>EC</v>
      </c>
      <c r="AH110" s="78" t="str">
        <f t="shared" si="47"/>
        <v>"%USERPROFILE%\Documents\GitHub\eaglep3\Utilities\RefineRTDCRunTimes.py" --tripid 196-15 --locoid 4053 --swversion DE.1.0.9.0 --startMP 204:233093 --initTime 2017-06-15T16:15:10 --startdatetime 2017-06-15T16:27:14 --delay 2 --endMP 204:141 --enddatetime 2017-06-15T17:07:14 --enforcementcount 0 &gt;&gt;C:\Users\stu\Documents\GitHub\eaglep3-reporting\EC\2017-06-15-refined-times.txt</v>
      </c>
      <c r="AI110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{"issue":{"subject":"","project_id":79,"tracker_id":40,"status_id":1,"priority_id":2,"assigned_to_id":23,"start_date":"2017-06-15","description":"","custom_fields":[{"id":1,"name":"Subdivision","value":"EC"},{"id":4,"name":"Milepost","value":"0.0141"},{"id":17,"name":"Train ID","value":"196-15"},{"id":16,"name":"Locomotive ID","value":"4053"},{"id":130,"name":"Impact","value":""},{"id":150,"name":"Time of Event (Mountain Time)","value":"17:07:14"},{"id":151,"name":"Denver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9"/>
        <v>start /low /b %USERPROFILE%\Documents\GitHub\eaglep3\Utilities\DownloadLogsFromS3.py --loco 4053 --day 2017-06-15</v>
      </c>
      <c r="AN110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23:07:14"},{"id":29,"name":"Sharepoint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646</v>
      </c>
      <c r="B111" s="7">
        <v>4006</v>
      </c>
      <c r="C111" s="21" t="s">
        <v>202</v>
      </c>
      <c r="D111" s="21" t="s">
        <v>521</v>
      </c>
      <c r="E111" s="13">
        <v>42901.652048611111</v>
      </c>
      <c r="F111" s="13">
        <v>42901.656435185185</v>
      </c>
      <c r="G111" s="7">
        <v>1</v>
      </c>
      <c r="H111" s="21" t="s">
        <v>883</v>
      </c>
      <c r="I111" s="13">
        <v>42901.683344907404</v>
      </c>
      <c r="J111" s="7">
        <v>0</v>
      </c>
      <c r="K111" s="89" t="str">
        <f t="shared" si="55"/>
        <v>4005/4006</v>
      </c>
      <c r="L111" s="21" t="str">
        <f>VLOOKUP(A111,'Trips&amp;Operators'!$C$1:$G$99999,5,FALSE)</f>
        <v>BERLING GARY</v>
      </c>
      <c r="M111" s="6">
        <f t="shared" si="56"/>
        <v>2.6909722218988463E-2</v>
      </c>
      <c r="N111" s="7">
        <f t="shared" si="51"/>
        <v>38.749999995343387</v>
      </c>
      <c r="O111" s="7"/>
      <c r="P111" s="7"/>
      <c r="Q111" s="22"/>
      <c r="R111" s="170"/>
      <c r="S111" s="213">
        <f t="shared" si="52"/>
        <v>1</v>
      </c>
      <c r="T111" s="195" t="str">
        <f t="shared" si="57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8"/>
        <v>https://d0f6bd738d7f1b3e5a7ca70fe4ff75f0.us-east-1.aws.found.io/app/kibana#/discover/Steve-Slow-Train-Analysis-(2080s-and-2083s)?_g=(refreshInterval:(display:Off,pause:!f,section:0,value:0),time:(from:'2017-06-15T14:38:57-0600',mode:absolute,to:'2017-06-15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11" s="197" t="str">
        <f>IF(AA111&lt;VLOOKUP(AG111,Variables!$AC$3:$AD$8,2,FALSE),"Y","N")</f>
        <v>N</v>
      </c>
      <c r="X111" s="197">
        <f t="shared" si="54"/>
        <v>1</v>
      </c>
      <c r="Y111" s="197">
        <f t="shared" si="58"/>
        <v>4.2900000000000001E-2</v>
      </c>
      <c r="Z111" s="197">
        <f t="shared" si="59"/>
        <v>23.338200000000001</v>
      </c>
      <c r="AA111" s="197">
        <f t="shared" si="60"/>
        <v>23.295300000000001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61"/>
        <v>197</v>
      </c>
      <c r="AE111" s="77" t="str">
        <f t="shared" si="44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111" s="74" t="str">
        <f t="shared" si="45"/>
        <v>"C:\Program Files (x86)\AstroGrep\AstroGrep.exe" /e /r /s /spath="%USERPROFILE%\AppData\Local\Temp\OnboardLogs" /stypes="app*4006*20170615*" /stext=" 22:.+((SYSTEM_STATE.+slice.+state.+changed )|(ment ac)|(multiple cpu faults)|(system.+state.+changed )|(\[timeout)|(PRM\|1\|D)|(kpr)|(kdp)|(train st.+moving)|(\|lc)|(penalty))"</v>
      </c>
      <c r="AG111" s="209" t="str">
        <f t="shared" si="62"/>
        <v>EC</v>
      </c>
      <c r="AH111" s="78" t="str">
        <f t="shared" si="47"/>
        <v>"%USERPROFILE%\Documents\GitHub\eaglep3\Utilities\RefineRTDCRunTimes.py" --tripid 197-15 --locoid 4006 --swversion DE.1.0.9.0 --startMP 204:429 --initTime 2017-06-15T15:38:57 --startdatetime 2017-06-15T15:45:16 --delay 1 --endMP 204:233382 --enddatetime 2017-06-15T16:24:01 --enforcementcount 0 &gt;&gt;C:\Users\stu\Documents\GitHub\eaglep3-reporting\EC\2017-06-15-refined-times.txt</v>
      </c>
      <c r="AI111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{"issue":{"subject":"","project_id":79,"tracker_id":40,"status_id":1,"priority_id":2,"assigned_to_id":23,"start_date":"2017-06-15","description":"","custom_fields":[{"id":1,"name":"Subdivision","value":"EC"},{"id":4,"name":"Milepost","value":"23.3382"},{"id":17,"name":"Train ID","value":"197-15"},{"id":16,"name":"Locomotive ID","value":"4006"},{"id":130,"name":"Impact","value":""},{"id":150,"name":"Time of Event (Mountain Time)","value":"16:24:01"},{"id":151,"name":"Denver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9"/>
        <v>start /low /b %USERPROFILE%\Documents\GitHub\eaglep3\Utilities\DownloadLogsFromS3.py --loco 4006 --day 2017-06-15</v>
      </c>
      <c r="AN111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784</v>
      </c>
      <c r="B112" s="7">
        <v>4005</v>
      </c>
      <c r="C112" s="21" t="s">
        <v>202</v>
      </c>
      <c r="D112" s="21" t="s">
        <v>533</v>
      </c>
      <c r="E112" s="13">
        <v>42901.693784722222</v>
      </c>
      <c r="F112" s="13">
        <v>42901.696076388886</v>
      </c>
      <c r="G112" s="7">
        <v>1</v>
      </c>
      <c r="H112" s="21" t="s">
        <v>396</v>
      </c>
      <c r="I112" s="13">
        <v>42901.723900462966</v>
      </c>
      <c r="J112" s="7">
        <v>0</v>
      </c>
      <c r="K112" s="89" t="str">
        <f t="shared" si="55"/>
        <v>4005/4006</v>
      </c>
      <c r="L112" s="21" t="str">
        <f>VLOOKUP(A112,'Trips&amp;Operators'!$C$1:$G$99999,5,FALSE)</f>
        <v>BERLING GARY</v>
      </c>
      <c r="M112" s="6">
        <f t="shared" si="56"/>
        <v>2.7824074080854189E-2</v>
      </c>
      <c r="N112" s="7">
        <f t="shared" si="51"/>
        <v>40.066666676430032</v>
      </c>
      <c r="O112" s="7"/>
      <c r="P112" s="7"/>
      <c r="Q112" s="22"/>
      <c r="R112" s="170"/>
      <c r="S112" s="213">
        <f t="shared" si="52"/>
        <v>1</v>
      </c>
      <c r="T112" s="195" t="str">
        <f t="shared" si="57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8"/>
        <v>https://d0f6bd738d7f1b3e5a7ca70fe4ff75f0.us-east-1.aws.found.io/app/kibana#/discover/Steve-Slow-Train-Analysis-(2080s-and-2083s)?_g=(refreshInterval:(display:Off,pause:!f,section:0,value:0),time:(from:'2017-06-15T15:39:03-0600',mode:absolute,to:'2017-06-15T18:22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12" s="197" t="str">
        <f>IF(AA112&lt;VLOOKUP(AG112,Variables!$AC$3:$AD$8,2,FALSE),"Y","N")</f>
        <v>N</v>
      </c>
      <c r="X112" s="197">
        <f t="shared" ref="X112:X116" si="63">VALUE(LEFT(AD112,4))-VALUE(LEFT(AD111,4))</f>
        <v>1</v>
      </c>
      <c r="Y112" s="197">
        <f t="shared" si="58"/>
        <v>23.3065</v>
      </c>
      <c r="Z112" s="197">
        <f t="shared" si="59"/>
        <v>1.54E-2</v>
      </c>
      <c r="AA112" s="197">
        <f t="shared" si="60"/>
        <v>23.2911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61"/>
        <v>198</v>
      </c>
      <c r="AE112" s="77" t="str">
        <f t="shared" si="44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112" s="74" t="str">
        <f t="shared" si="45"/>
        <v>"C:\Program Files (x86)\AstroGrep\AstroGrep.exe" /e /r /s /spath="%USERPROFILE%\AppData\Local\Temp\OnboardLogs" /stypes="app*4005*20170615*" /stext=" 23:.+((SYSTEM_STATE.+slice.+state.+changed )|(ment ac)|(multiple cpu faults)|(system.+state.+changed )|(\[timeout)|(PRM\|1\|D)|(kpr)|(kdp)|(train st.+moving)|(\|lc)|(penalty))"</v>
      </c>
      <c r="AG112" s="209" t="str">
        <f t="shared" si="62"/>
        <v>EC</v>
      </c>
      <c r="AH112" s="78" t="str">
        <f t="shared" si="47"/>
        <v>"%USERPROFILE%\Documents\GitHub\eaglep3\Utilities\RefineRTDCRunTimes.py" --tripid 198-15 --locoid 4005 --swversion DE.1.0.9.0 --startMP 204:233065 --initTime 2017-06-15T16:39:03 --startdatetime 2017-06-15T16:42:21 --delay 1 --endMP 204:154 --enddatetime 2017-06-15T17:22:25 --enforcementcount 0 &gt;&gt;C:\Users\stu\Documents\GitHub\eaglep3-reporting\EC\2017-06-15-refined-times.txt</v>
      </c>
      <c r="AI112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ID","value":"198-15"},{"id":16,"name":"Locomotive ID","value":"4005"},{"id":130,"name":"Impact","value":""},{"id":150,"name":"Time of Event (Mountain Time)","value":"17:22:25"},{"id":151,"name":"Denver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9"/>
        <v>start /low /b %USERPROFILE%\Documents\GitHub\eaglep3\Utilities\DownloadLogsFromS3.py --loco 4005 --day 2017-06-15</v>
      </c>
      <c r="AN112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23:22:25"},{"id":29,"name":"Sharepoint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778</v>
      </c>
      <c r="B113" s="7">
        <v>4046</v>
      </c>
      <c r="C113" s="21" t="s">
        <v>202</v>
      </c>
      <c r="D113" s="21" t="s">
        <v>884</v>
      </c>
      <c r="E113" s="13">
        <v>42901.66196759259</v>
      </c>
      <c r="F113" s="13">
        <v>42901.666828703703</v>
      </c>
      <c r="G113" s="7">
        <v>1</v>
      </c>
      <c r="H113" s="21" t="s">
        <v>593</v>
      </c>
      <c r="I113" s="13">
        <v>42901.692870370367</v>
      </c>
      <c r="J113" s="7">
        <v>0</v>
      </c>
      <c r="K113" s="89" t="str">
        <f t="shared" si="55"/>
        <v>4045/4046</v>
      </c>
      <c r="L113" s="21" t="str">
        <f>VLOOKUP(A113,'Trips&amp;Operators'!$C$1:$G$99999,5,FALSE)</f>
        <v>SULLIVAN BRANDON</v>
      </c>
      <c r="M113" s="6">
        <f t="shared" si="56"/>
        <v>2.6041666664241347E-2</v>
      </c>
      <c r="N113" s="7">
        <f t="shared" si="51"/>
        <v>37.49999999650754</v>
      </c>
      <c r="O113" s="7"/>
      <c r="P113" s="7"/>
      <c r="Q113" s="22"/>
      <c r="R113" s="170"/>
      <c r="S113" s="213">
        <f t="shared" si="52"/>
        <v>1</v>
      </c>
      <c r="T113" s="195" t="str">
        <f t="shared" si="57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8"/>
        <v>https://d0f6bd738d7f1b3e5a7ca70fe4ff75f0.us-east-1.aws.found.io/app/kibana#/discover/Steve-Slow-Train-Analysis-(2080s-and-2083s)?_g=(refreshInterval:(display:Off,pause:!f,section:0,value:0),time:(from:'2017-06-15T14:53:14-0600',mode:absolute,to:'2017-06-15T17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3" s="197" t="str">
        <f>IF(AA113&lt;VLOOKUP(AG113,Variables!$AC$3:$AD$8,2,FALSE),"Y","N")</f>
        <v>N</v>
      </c>
      <c r="X113" s="197">
        <f t="shared" si="63"/>
        <v>1</v>
      </c>
      <c r="Y113" s="197">
        <f t="shared" si="58"/>
        <v>5.28E-2</v>
      </c>
      <c r="Z113" s="197">
        <f t="shared" si="59"/>
        <v>23.336099999999998</v>
      </c>
      <c r="AA113" s="197">
        <f t="shared" si="60"/>
        <v>23.283299999999997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61"/>
        <v>199</v>
      </c>
      <c r="AE113" s="77" t="str">
        <f t="shared" si="44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113" s="74" t="str">
        <f t="shared" si="45"/>
        <v>"C:\Program Files (x86)\AstroGrep\AstroGrep.exe" /e /r /s /spath="%USERPROFILE%\AppData\Local\Temp\OnboardLogs" /stypes="app*4046*20170615*" /stext=" 22:.+((SYSTEM_STATE.+slice.+state.+changed )|(ment ac)|(multiple cpu faults)|(system.+state.+changed )|(\[timeout)|(PRM\|1\|D)|(kpr)|(kdp)|(train st.+moving)|(\|lc)|(penalty))"</v>
      </c>
      <c r="AG113" s="209" t="str">
        <f t="shared" si="62"/>
        <v>EC</v>
      </c>
      <c r="AH113" s="78" t="str">
        <f t="shared" si="47"/>
        <v>"%USERPROFILE%\Documents\GitHub\eaglep3\Utilities\RefineRTDCRunTimes.py" --tripid 199-15 --locoid 4046 --swversion DE.1.0.9.0 --startMP 204:528 --initTime 2017-06-15T15:53:14 --startdatetime 2017-06-15T16:00:14 --delay 1 --endMP 204:233361 --enddatetime 2017-06-15T16:37:44 --enforcementcount 0 &gt;&gt;C:\Users\stu\Documents\GitHub\eaglep3-reporting\EC\2017-06-15-refined-times.txt</v>
      </c>
      <c r="AI113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{"issue":{"subject":"","project_id":79,"tracker_id":40,"status_id":1,"priority_id":2,"assigned_to_id":23,"start_date":"2017-06-15","description":"","custom_fields":[{"id":1,"name":"Subdivision","value":"EC"},{"id":4,"name":"Milepost","value":"23.3361"},{"id":17,"name":"Train ID","value":"199-15"},{"id":16,"name":"Locomotive ID","value":"4046"},{"id":130,"name":"Impact","value":""},{"id":150,"name":"Time of Event (Mountain Time)","value":"16:37:44"},{"id":151,"name":"Denver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9"/>
        <v>start /low /b %USERPROFILE%\Documents\GitHub\eaglep3\Utilities\DownloadLogsFromS3.py --loco 4046 --day 2017-06-15</v>
      </c>
      <c r="AN113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786</v>
      </c>
      <c r="B114" s="7">
        <v>4045</v>
      </c>
      <c r="C114" s="21" t="s">
        <v>202</v>
      </c>
      <c r="D114" s="21" t="s">
        <v>885</v>
      </c>
      <c r="E114" s="13">
        <v>42901.69872685185</v>
      </c>
      <c r="F114" s="13">
        <v>42901.706412037034</v>
      </c>
      <c r="G114" s="7">
        <v>1</v>
      </c>
      <c r="H114" s="21" t="s">
        <v>496</v>
      </c>
      <c r="I114" s="13">
        <v>42901.734039351853</v>
      </c>
      <c r="J114" s="7">
        <v>0</v>
      </c>
      <c r="K114" s="89" t="str">
        <f t="shared" si="55"/>
        <v>4045/4046</v>
      </c>
      <c r="L114" s="21" t="str">
        <f>VLOOKUP(A114,'Trips&amp;Operators'!$C$1:$G$99999,5,FALSE)</f>
        <v>SULLIVAN BRANDON</v>
      </c>
      <c r="M114" s="6">
        <f t="shared" si="56"/>
        <v>2.7627314819255844E-2</v>
      </c>
      <c r="N114" s="7">
        <f t="shared" si="51"/>
        <v>39.783333339728415</v>
      </c>
      <c r="O114" s="7"/>
      <c r="P114" s="7"/>
      <c r="Q114" s="22"/>
      <c r="R114" s="170"/>
      <c r="S114" s="213">
        <f t="shared" si="52"/>
        <v>1</v>
      </c>
      <c r="T114" s="195" t="str">
        <f t="shared" si="57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8"/>
        <v>https://d0f6bd738d7f1b3e5a7ca70fe4ff75f0.us-east-1.aws.found.io/app/kibana#/discover/Steve-Slow-Train-Analysis-(2080s-and-2083s)?_g=(refreshInterval:(display:Off,pause:!f,section:0,value:0),time:(from:'2017-06-15T15:46:10-0600',mode:absolute,to:'2017-06-15T18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4" s="197" t="str">
        <f>IF(AA114&lt;VLOOKUP(AG114,Variables!$AC$3:$AD$8,2,FALSE),"Y","N")</f>
        <v>N</v>
      </c>
      <c r="X114" s="197">
        <f t="shared" si="63"/>
        <v>1</v>
      </c>
      <c r="Y114" s="197">
        <f t="shared" si="58"/>
        <v>23.3049</v>
      </c>
      <c r="Z114" s="197">
        <f t="shared" si="59"/>
        <v>1.6E-2</v>
      </c>
      <c r="AA114" s="197">
        <f t="shared" si="60"/>
        <v>23.288900000000002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61"/>
        <v>200</v>
      </c>
      <c r="AE114" s="77" t="str">
        <f t="shared" si="44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114" s="74" t="str">
        <f t="shared" si="45"/>
        <v>"C:\Program Files (x86)\AstroGrep\AstroGrep.exe" /e /r /s /spath="%USERPROFILE%\AppData\Local\Temp\OnboardLogs" /stypes="app*4045*20170615*" /stext=" 23:.+((SYSTEM_STATE.+slice.+state.+changed )|(ment ac)|(multiple cpu faults)|(system.+state.+changed )|(\[timeout)|(PRM\|1\|D)|(kpr)|(kdp)|(train st.+moving)|(\|lc)|(penalty))"</v>
      </c>
      <c r="AG114" s="209" t="str">
        <f t="shared" si="62"/>
        <v>EC</v>
      </c>
      <c r="AH114" s="78" t="str">
        <f t="shared" si="47"/>
        <v>"%USERPROFILE%\Documents\GitHub\eaglep3\Utilities\RefineRTDCRunTimes.py" --tripid 200-15 --locoid 4045 --swversion DE.1.0.9.0 --startMP 204:233049 --initTime 2017-06-15T16:46:10 --startdatetime 2017-06-15T16:57:14 --delay 1 --endMP 204:160 --enddatetime 2017-06-15T17:37:01 --enforcementcount 0 &gt;&gt;C:\Users\stu\Documents\GitHub\eaglep3-reporting\EC\2017-06-15-refined-times.txt</v>
      </c>
      <c r="AI114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ID","value":"200-15"},{"id":16,"name":"Locomotive ID","value":"4045"},{"id":130,"name":"Impact","value":""},{"id":150,"name":"Time of Event (Mountain Time)","value":"17:37:01"},{"id":151,"name":"Denver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9"/>
        <v>start /low /b %USERPROFILE%\Documents\GitHub\eaglep3\Utilities\DownloadLogsFromS3.py --loco 4045 --day 2017-06-15</v>
      </c>
      <c r="AN114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647</v>
      </c>
      <c r="B115" s="7">
        <v>4042</v>
      </c>
      <c r="C115" s="21" t="s">
        <v>202</v>
      </c>
      <c r="D115" s="21" t="s">
        <v>199</v>
      </c>
      <c r="E115" s="13">
        <v>42901.672731481478</v>
      </c>
      <c r="F115" s="13">
        <v>42901.677314814813</v>
      </c>
      <c r="G115" s="7">
        <v>1</v>
      </c>
      <c r="H115" s="21" t="s">
        <v>446</v>
      </c>
      <c r="I115" s="13">
        <v>42901.703518518516</v>
      </c>
      <c r="J115" s="7">
        <v>0</v>
      </c>
      <c r="K115" s="89" t="str">
        <f t="shared" si="55"/>
        <v>4041/4042</v>
      </c>
      <c r="L115" s="21" t="str">
        <f>VLOOKUP(A115,'Trips&amp;Operators'!$C$1:$G$99999,5,FALSE)</f>
        <v>HOLCOMB KAMDEN</v>
      </c>
      <c r="M115" s="6">
        <f t="shared" si="56"/>
        <v>2.6203703702776693E-2</v>
      </c>
      <c r="N115" s="7">
        <f t="shared" ref="N115:N151" si="64">24*60*SUM($M115:$M115)</f>
        <v>37.733333331998438</v>
      </c>
      <c r="O115" s="7"/>
      <c r="P115" s="7"/>
      <c r="Q115" s="22"/>
      <c r="R115" s="170"/>
      <c r="S115" s="213">
        <f t="shared" ref="S115:S151" si="65">SUM(U115:U115)/IF(AG115="EC",12,1)</f>
        <v>1</v>
      </c>
      <c r="T115" s="195" t="str">
        <f t="shared" si="57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8"/>
        <v>https://d0f6bd738d7f1b3e5a7ca70fe4ff75f0.us-east-1.aws.found.io/app/kibana#/discover/Steve-Slow-Train-Analysis-(2080s-and-2083s)?_g=(refreshInterval:(display:Off,pause:!f,section:0,value:0),time:(from:'2017-06-15T15:08:44-0600',mode:absolute,to:'2017-06-15T17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5" s="197" t="str">
        <f>IF(AA115&lt;VLOOKUP(AG115,Variables!$AC$3:$AD$8,2,FALSE),"Y","N")</f>
        <v>N</v>
      </c>
      <c r="X115" s="197">
        <f t="shared" si="63"/>
        <v>1</v>
      </c>
      <c r="Y115" s="197">
        <f t="shared" si="58"/>
        <v>4.5999999999999999E-2</v>
      </c>
      <c r="Z115" s="197">
        <f t="shared" si="59"/>
        <v>23.3307</v>
      </c>
      <c r="AA115" s="197">
        <f t="shared" si="60"/>
        <v>23.284700000000001</v>
      </c>
      <c r="AB115" s="54" t="str">
        <f>VLOOKUP(A115,Enforcements!$C$7:$K$13,8,0)</f>
        <v>Bulletin (2)</v>
      </c>
      <c r="AC115" s="51" t="str">
        <f>VLOOKUP(A115,Enforcements!$C$7:$E$13,3,0)</f>
        <v>GRADE CROSSING</v>
      </c>
      <c r="AD115" s="206">
        <f t="shared" si="61"/>
        <v>201</v>
      </c>
      <c r="AE115" s="77" t="str">
        <f t="shared" si="44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115" s="74" t="str">
        <f t="shared" si="45"/>
        <v>"C:\Program Files (x86)\AstroGrep\AstroGrep.exe" /e /r /s /spath="%USERPROFILE%\AppData\Local\Temp\OnboardLogs" /stypes="app*4042*20170615*" /stext=" 22:.+((SYSTEM_STATE.+slice.+state.+changed )|(ment ac)|(multiple cpu faults)|(system.+state.+changed )|(\[timeout)|(PRM\|1\|D)|(kpr)|(kdp)|(train st.+moving)|(\|lc)|(penalty))"</v>
      </c>
      <c r="AG115" s="209" t="str">
        <f t="shared" si="62"/>
        <v>EC</v>
      </c>
      <c r="AH115" s="78" t="str">
        <f t="shared" si="47"/>
        <v>"%USERPROFILE%\Documents\GitHub\eaglep3\Utilities\RefineRTDCRunTimes.py" --tripid 201-15 --locoid 4042 --swversion DE.1.0.9.0 --startMP 204:460 --initTime 2017-06-15T16:08:44 --startdatetime 2017-06-15T16:15:20 --delay 1 --endMP 204:233307 --enddatetime 2017-06-15T16:53:04 --enforcementcount 0 &gt;&gt;C:\Users\stu\Documents\GitHub\eaglep3-reporting\EC\2017-06-15-refined-times.txt</v>
      </c>
      <c r="AI115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{"issue":{"subject":"","project_id":79,"tracker_id":40,"status_id":1,"priority_id":2,"assigned_to_id":23,"start_date":"2017-06-15","description":"","custom_fields":[{"id":1,"name":"Subdivision","value":"EC"},{"id":4,"name":"Milepost","value":"23.3307"},{"id":17,"name":"Train ID","value":"201-15"},{"id":16,"name":"Locomotive ID","value":"4042"},{"id":130,"name":"Impact","value":""},{"id":150,"name":"Time of Event (Mountain Time)","value":"16:53:04"},{"id":151,"name":"Denver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9"/>
        <v>start /low /b %USERPROFILE%\Documents\GitHub\eaglep3\Utilities\DownloadLogsFromS3.py --loco 4042 --day 2017-06-15</v>
      </c>
      <c r="AN115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22:53:04"},{"id":29,"name":"Sharepoint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652</v>
      </c>
      <c r="B116" s="7">
        <v>4041</v>
      </c>
      <c r="C116" s="21" t="s">
        <v>202</v>
      </c>
      <c r="D116" s="21" t="s">
        <v>531</v>
      </c>
      <c r="E116" s="13">
        <v>42901.714166666665</v>
      </c>
      <c r="F116" s="13">
        <v>42901.716863425929</v>
      </c>
      <c r="G116" s="7">
        <v>0</v>
      </c>
      <c r="H116" s="21" t="s">
        <v>886</v>
      </c>
      <c r="I116" s="13">
        <v>42901.742997685185</v>
      </c>
      <c r="J116" s="7">
        <v>0</v>
      </c>
      <c r="K116" s="89" t="str">
        <f t="shared" si="55"/>
        <v>4041/4042</v>
      </c>
      <c r="L116" s="21" t="str">
        <f>VLOOKUP(A116,'Trips&amp;Operators'!$C$1:$G$99999,5,FALSE)</f>
        <v>HOLCOMB KAMDEN</v>
      </c>
      <c r="M116" s="6">
        <f t="shared" si="56"/>
        <v>2.6134259256650694E-2</v>
      </c>
      <c r="N116" s="7">
        <f t="shared" si="64"/>
        <v>37.633333329576999</v>
      </c>
      <c r="O116" s="7"/>
      <c r="P116" s="7"/>
      <c r="Q116" s="22"/>
      <c r="R116" s="170"/>
      <c r="S116" s="213">
        <f t="shared" si="65"/>
        <v>1</v>
      </c>
      <c r="T116" s="195" t="str">
        <f t="shared" si="57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8"/>
        <v>https://d0f6bd738d7f1b3e5a7ca70fe4ff75f0.us-east-1.aws.found.io/app/kibana#/discover/Steve-Slow-Train-Analysis-(2080s-and-2083s)?_g=(refreshInterval:(display:Off,pause:!f,section:0,value:0),time:(from:'2017-06-15T16:08:24-0600',mode:absolute,to:'2017-06-15T18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6" s="197" t="str">
        <f>IF(AA116&lt;VLOOKUP(AG116,Variables!$AC$3:$AD$8,2,FALSE),"Y","N")</f>
        <v>N</v>
      </c>
      <c r="X116" s="197">
        <f t="shared" si="63"/>
        <v>1</v>
      </c>
      <c r="Y116" s="197">
        <f t="shared" si="58"/>
        <v>23.299199999999999</v>
      </c>
      <c r="Z116" s="197">
        <f t="shared" si="59"/>
        <v>1.09E-2</v>
      </c>
      <c r="AA116" s="197">
        <f t="shared" si="60"/>
        <v>23.2883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61"/>
        <v>202</v>
      </c>
      <c r="AE116" s="77" t="str">
        <f t="shared" si="44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116" s="74" t="str">
        <f t="shared" si="45"/>
        <v>"C:\Program Files (x86)\AstroGrep\AstroGrep.exe" /e /r /s /spath="%USERPROFILE%\AppData\Local\Temp\OnboardLogs" /stypes="app*4041*20170615*" /stext=" 23:.+((SYSTEM_STATE.+slice.+state.+changed )|(ment ac)|(multiple cpu faults)|(system.+state.+changed )|(\[timeout)|(PRM\|1\|D)|(kpr)|(kdp)|(train st.+moving)|(\|lc)|(penalty))"</v>
      </c>
      <c r="AG116" s="209" t="str">
        <f t="shared" si="62"/>
        <v>EC</v>
      </c>
      <c r="AH116" s="78" t="str">
        <f t="shared" si="47"/>
        <v>"%USERPROFILE%\Documents\GitHub\eaglep3\Utilities\RefineRTDCRunTimes.py" --tripid 202-15 --locoid 4041 --swversion DE.1.0.9.0 --startMP 204:232992 --initTime 2017-06-15T17:08:24 --startdatetime 2017-06-15T17:12:17 --delay 0 --endMP 204:109 --enddatetime 2017-06-15T17:49:55 --enforcementcount 0 &gt;&gt;C:\Users\stu\Documents\GitHub\eaglep3-reporting\EC\2017-06-15-refined-times.txt</v>
      </c>
      <c r="AI116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{"issue":{"subject":"","project_id":79,"tracker_id":40,"status_id":1,"priority_id":2,"assigned_to_id":23,"start_date":"2017-06-15","description":"","custom_fields":[{"id":1,"name":"Subdivision","value":"EC"},{"id":4,"name":"Milepost","value":"0.0109"},{"id":17,"name":"Train ID","value":"202-15"},{"id":16,"name":"Locomotive ID","value":"4041"},{"id":130,"name":"Impact","value":""},{"id":150,"name":"Time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9"/>
        <v>start /low /b %USERPROFILE%\Documents\GitHub\eaglep3\Utilities\DownloadLogsFromS3.py --loco 4041 --day 2017-06-15</v>
      </c>
      <c r="AN116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23:49:55"},{"id":29,"name":"Sharepoint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782</v>
      </c>
      <c r="B117" s="7">
        <v>4040</v>
      </c>
      <c r="C117" s="21" t="s">
        <v>202</v>
      </c>
      <c r="D117" s="21" t="s">
        <v>199</v>
      </c>
      <c r="E117" s="13">
        <v>42901.683287037034</v>
      </c>
      <c r="F117" s="13">
        <v>42901.687696759262</v>
      </c>
      <c r="G117" s="7">
        <v>1</v>
      </c>
      <c r="H117" s="21" t="s">
        <v>437</v>
      </c>
      <c r="I117" s="13">
        <v>42901.712766203702</v>
      </c>
      <c r="J117" s="7">
        <v>0</v>
      </c>
      <c r="K117" s="89" t="str">
        <f t="shared" si="55"/>
        <v>4039/4040</v>
      </c>
      <c r="L117" s="21" t="str">
        <f>VLOOKUP(A117,'Trips&amp;Operators'!$C$1:$G$99999,5,FALSE)</f>
        <v>STEWART MICHAEL</v>
      </c>
      <c r="M117" s="6">
        <f t="shared" si="56"/>
        <v>2.5069444440305233E-2</v>
      </c>
      <c r="N117" s="7">
        <f t="shared" si="64"/>
        <v>36.099999994039536</v>
      </c>
      <c r="O117" s="7"/>
      <c r="P117" s="7"/>
      <c r="Q117" s="22"/>
      <c r="R117" s="170"/>
      <c r="S117" s="213">
        <f t="shared" si="65"/>
        <v>1</v>
      </c>
      <c r="T117" s="195" t="str">
        <f t="shared" si="57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8"/>
        <v>https://d0f6bd738d7f1b3e5a7ca70fe4ff75f0.us-east-1.aws.found.io/app/kibana#/discover/Steve-Slow-Train-Analysis-(2080s-and-2083s)?_g=(refreshInterval:(display:Off,pause:!f,section:0,value:0),time:(from:'2017-06-15T15:23:56-0600',mode:absolute,to:'2017-06-15T18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197" t="str">
        <f>IF(AA117&lt;VLOOKUP(AG117,Variables!$AC$3:$AD$8,2,FALSE),"Y","N")</f>
        <v>N</v>
      </c>
      <c r="X117" s="197">
        <f t="shared" ref="X117:X148" si="66">VALUE(LEFT(AD117,4))-VALUE(LEFT(AD116,4))</f>
        <v>1</v>
      </c>
      <c r="Y117" s="197">
        <f t="shared" si="58"/>
        <v>4.5999999999999999E-2</v>
      </c>
      <c r="Z117" s="197">
        <f t="shared" si="59"/>
        <v>23.329699999999999</v>
      </c>
      <c r="AA117" s="197">
        <f t="shared" si="60"/>
        <v>23.2837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61"/>
        <v>203</v>
      </c>
      <c r="AE117" s="77" t="str">
        <f t="shared" si="44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117" s="74" t="str">
        <f t="shared" si="45"/>
        <v>"C:\Program Files (x86)\AstroGrep\AstroGrep.exe" /e /r /s /spath="%USERPROFILE%\AppData\Local\Temp\OnboardLogs" /stypes="app*4040*20170615*" /stext=" 23:.+((SYSTEM_STATE.+slice.+state.+changed )|(ment ac)|(multiple cpu faults)|(system.+state.+changed )|(\[timeout)|(PRM\|1\|D)|(kpr)|(kdp)|(train st.+moving)|(\|lc)|(penalty))"</v>
      </c>
      <c r="AG117" s="209" t="str">
        <f t="shared" si="62"/>
        <v>EC</v>
      </c>
      <c r="AH117" s="78" t="str">
        <f t="shared" si="47"/>
        <v>"%USERPROFILE%\Documents\GitHub\eaglep3\Utilities\RefineRTDCRunTimes.py" --tripid 203-15 --locoid 4040 --swversion DE.1.0.9.0 --startMP 204:460 --initTime 2017-06-15T16:23:56 --startdatetime 2017-06-15T16:30:17 --delay 1 --endMP 204:233297 --enddatetime 2017-06-15T17:06:23 --enforcementcount 0 &gt;&gt;C:\Users\stu\Documents\GitHub\eaglep3-reporting\EC\2017-06-15-refined-times.txt</v>
      </c>
      <c r="AI117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{"issue":{"subject":"","project_id":79,"tracker_id":40,"status_id":1,"priority_id":2,"assigned_to_id":23,"start_date":"2017-06-15","description":"","custom_fields":[{"id":1,"name":"Subdivision","value":"EC"},{"id":4,"name":"Milepost","value":"23.3297"},{"id":17,"name":"Train ID","value":"203-15"},{"id":16,"name":"Locomotive ID","value":"4040"},{"id":130,"name":"Impact","value":""},{"id":150,"name":"Time of Event (Mountain Time)","value":"17:06:23"},{"id":151,"name":"Denver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9"/>
        <v>start /low /b %USERPROFILE%\Documents\GitHub\eaglep3\Utilities\DownloadLogsFromS3.py --loco 4040 --day 2017-06-15</v>
      </c>
      <c r="AN117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790</v>
      </c>
      <c r="B118" s="7">
        <v>4039</v>
      </c>
      <c r="C118" s="21" t="s">
        <v>202</v>
      </c>
      <c r="D118" s="21" t="s">
        <v>589</v>
      </c>
      <c r="E118" s="13">
        <v>42901.722245370373</v>
      </c>
      <c r="F118" s="13">
        <v>42901.727337962962</v>
      </c>
      <c r="G118" s="7">
        <v>1</v>
      </c>
      <c r="H118" s="21" t="s">
        <v>441</v>
      </c>
      <c r="I118" s="13">
        <v>42901.754386574074</v>
      </c>
      <c r="J118" s="7">
        <v>0</v>
      </c>
      <c r="K118" s="89" t="str">
        <f t="shared" si="55"/>
        <v>4039/4040</v>
      </c>
      <c r="L118" s="21" t="str">
        <f>VLOOKUP(A118,'Trips&amp;Operators'!$C$1:$G$99999,5,FALSE)</f>
        <v>STEWART MICHAEL</v>
      </c>
      <c r="M118" s="6">
        <f t="shared" si="56"/>
        <v>2.7048611111240461E-2</v>
      </c>
      <c r="N118" s="7">
        <f t="shared" si="64"/>
        <v>38.950000000186265</v>
      </c>
      <c r="O118" s="7"/>
      <c r="P118" s="7"/>
      <c r="Q118" s="22"/>
      <c r="R118" s="170"/>
      <c r="S118" s="213">
        <f t="shared" si="65"/>
        <v>1</v>
      </c>
      <c r="T118" s="195" t="str">
        <f t="shared" si="57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8"/>
        <v>https://d0f6bd738d7f1b3e5a7ca70fe4ff75f0.us-east-1.aws.found.io/app/kibana#/discover/Steve-Slow-Train-Analysis-(2080s-and-2083s)?_g=(refreshInterval:(display:Off,pause:!f,section:0,value:0),time:(from:'2017-06-15T16:20:02-0600',mode:absolute,to:'2017-06-15T19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197" t="str">
        <f>IF(AA118&lt;VLOOKUP(AG118,Variables!$AC$3:$AD$8,2,FALSE),"Y","N")</f>
        <v>N</v>
      </c>
      <c r="X118" s="197">
        <f t="shared" si="66"/>
        <v>1</v>
      </c>
      <c r="Y118" s="197">
        <f t="shared" si="58"/>
        <v>23.298300000000001</v>
      </c>
      <c r="Z118" s="197">
        <f t="shared" si="59"/>
        <v>1.5599999999999999E-2</v>
      </c>
      <c r="AA118" s="197">
        <f t="shared" si="60"/>
        <v>23.282700000000002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61"/>
        <v>204</v>
      </c>
      <c r="AE118" s="77" t="str">
        <f t="shared" si="44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118" s="74" t="str">
        <f t="shared" si="45"/>
        <v>"C:\Program Files (x86)\AstroGrep\AstroGrep.exe" /e /r /s /spath="%USERPROFILE%\AppData\Local\Temp\OnboardLogs" /stypes="app*4039*20170616*" /stext=" 00:.+((SYSTEM_STATE.+slice.+state.+changed )|(ment ac)|(multiple cpu faults)|(system.+state.+changed )|(\[timeout)|(PRM\|1\|D)|(kpr)|(kdp)|(train st.+moving)|(\|lc)|(penalty))"</v>
      </c>
      <c r="AG118" s="209" t="str">
        <f t="shared" si="62"/>
        <v>EC</v>
      </c>
      <c r="AH118" s="78" t="str">
        <f t="shared" si="47"/>
        <v>"%USERPROFILE%\Documents\GitHub\eaglep3\Utilities\RefineRTDCRunTimes.py" --tripid 204-15 --locoid 4039 --swversion DE.1.0.9.0 --startMP 204:232983 --initTime 2017-06-15T17:20:02 --startdatetime 2017-06-15T17:27:22 --delay 1 --endMP 204:156 --enddatetime 2017-06-15T18:06:19 --enforcementcount 0 &gt;&gt;C:\Users\stu\Documents\GitHub\eaglep3-reporting\EC\2017-06-15-refined-times.txt</v>
      </c>
      <c r="AI118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{"issue":{"subject":"","project_id":79,"tracker_id":40,"status_id":1,"priority_id":2,"assigned_to_id":23,"start_date":"2017-06-15","description":"","custom_fields":[{"id":1,"name":"Subdivision","value":"EC"},{"id":4,"name":"Milepost","value":"0.0156"},{"id":17,"name":"Train ID","value":"204-15"},{"id":16,"name":"Locomotive ID","value":"4039"},{"id":130,"name":"Impact","value":""},{"id":150,"name":"Time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9"/>
        <v>start /low /b %USERPROFILE%\Documents\GitHub\eaglep3\Utilities\DownloadLogsFromS3.py --loco 4039 --day 2017-06-15</v>
      </c>
      <c r="AN118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785</v>
      </c>
      <c r="B119" s="7">
        <v>4022</v>
      </c>
      <c r="C119" s="21" t="s">
        <v>202</v>
      </c>
      <c r="D119" s="21" t="s">
        <v>580</v>
      </c>
      <c r="E119" s="13">
        <v>42901.693865740737</v>
      </c>
      <c r="F119" s="13">
        <v>42901.698182870372</v>
      </c>
      <c r="G119" s="7">
        <v>1</v>
      </c>
      <c r="H119" s="21" t="s">
        <v>588</v>
      </c>
      <c r="I119" s="13">
        <v>42901.723113425927</v>
      </c>
      <c r="J119" s="7">
        <v>0</v>
      </c>
      <c r="K119" s="89" t="str">
        <f t="shared" si="55"/>
        <v>4021/4022</v>
      </c>
      <c r="L119" s="21" t="str">
        <f>VLOOKUP(A119,'Trips&amp;Operators'!$C$1:$G$99999,5,FALSE)</f>
        <v>YORK EDGAR</v>
      </c>
      <c r="M119" s="6">
        <f t="shared" si="56"/>
        <v>2.4930555555329192E-2</v>
      </c>
      <c r="N119" s="7">
        <f t="shared" si="64"/>
        <v>35.899999999674037</v>
      </c>
      <c r="O119" s="7"/>
      <c r="P119" s="7"/>
      <c r="Q119" s="22"/>
      <c r="R119" s="170"/>
      <c r="S119" s="213">
        <f t="shared" si="65"/>
        <v>1</v>
      </c>
      <c r="T119" s="195" t="str">
        <f t="shared" si="57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8"/>
        <v>https://d0f6bd738d7f1b3e5a7ca70fe4ff75f0.us-east-1.aws.found.io/app/kibana#/discover/Steve-Slow-Train-Analysis-(2080s-and-2083s)?_g=(refreshInterval:(display:Off,pause:!f,section:0,value:0),time:(from:'2017-06-15T15:39:10-0600',mode:absolute,to:'2017-06-15T18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9" s="197" t="str">
        <f>IF(AA119&lt;VLOOKUP(AG119,Variables!$AC$3:$AD$8,2,FALSE),"Y","N")</f>
        <v>N</v>
      </c>
      <c r="X119" s="197">
        <f t="shared" si="66"/>
        <v>1</v>
      </c>
      <c r="Y119" s="197">
        <f t="shared" si="58"/>
        <v>4.6399999999999997E-2</v>
      </c>
      <c r="Z119" s="197">
        <f t="shared" si="59"/>
        <v>23.328800000000001</v>
      </c>
      <c r="AA119" s="197">
        <f t="shared" si="60"/>
        <v>23.282400000000003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61"/>
        <v>205</v>
      </c>
      <c r="AE119" s="77" t="str">
        <f t="shared" si="44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119" s="74" t="str">
        <f t="shared" si="45"/>
        <v>"C:\Program Files (x86)\AstroGrep\AstroGrep.exe" /e /r /s /spath="%USERPROFILE%\AppData\Local\Temp\OnboardLogs" /stypes="app*4022*20170615*" /stext=" 23:.+((SYSTEM_STATE.+slice.+state.+changed )|(ment ac)|(multiple cpu faults)|(system.+state.+changed )|(\[timeout)|(PRM\|1\|D)|(kpr)|(kdp)|(train st.+moving)|(\|lc)|(penalty))"</v>
      </c>
      <c r="AG119" s="209" t="str">
        <f t="shared" si="62"/>
        <v>EC</v>
      </c>
      <c r="AH119" s="78" t="str">
        <f t="shared" si="47"/>
        <v>"%USERPROFILE%\Documents\GitHub\eaglep3\Utilities\RefineRTDCRunTimes.py" --tripid 205-15 --locoid 4022 --swversion DE.1.0.9.0 --startMP 204:464 --initTime 2017-06-15T16:39:10 --startdatetime 2017-06-15T16:45:23 --delay 1 --endMP 204:233288 --enddatetime 2017-06-15T17:21:17 --enforcementcount 0 &gt;&gt;C:\Users\stu\Documents\GitHub\eaglep3-reporting\EC\2017-06-15-refined-times.txt</v>
      </c>
      <c r="AI11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{"issue":{"subject":"","project_id":79,"tracker_id":40,"status_id":1,"priority_id":2,"assigned_to_id":23,"start_date":"2017-06-15","description":"","custom_fields":[{"id":1,"name":"Subdivision","value":"EC"},{"id":4,"name":"Milepost","value":"23.3288"},{"id":17,"name":"Train ID","value":"205-15"},{"id":16,"name":"Locomotive ID","value":"4022"},{"id":130,"name":"Impact","value":""},{"id":150,"name":"Time of Event (Mountain Time)","value":"17:21:17"},{"id":151,"name":"Denver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9"/>
        <v>start /low /b %USERPROFILE%\Documents\GitHub\eaglep3\Utilities\DownloadLogsFromS3.py --loco 4022 --day 2017-06-15</v>
      </c>
      <c r="AN119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792</v>
      </c>
      <c r="B120" s="7">
        <v>4021</v>
      </c>
      <c r="C120" s="21" t="s">
        <v>202</v>
      </c>
      <c r="D120" s="21" t="s">
        <v>474</v>
      </c>
      <c r="E120" s="13">
        <v>42901.727500000001</v>
      </c>
      <c r="F120" s="13">
        <v>42901.737673611111</v>
      </c>
      <c r="G120" s="7">
        <v>1</v>
      </c>
      <c r="H120" s="21" t="s">
        <v>887</v>
      </c>
      <c r="I120" s="13">
        <v>42901.764039351852</v>
      </c>
      <c r="J120" s="7">
        <v>0</v>
      </c>
      <c r="K120" s="89" t="str">
        <f t="shared" si="55"/>
        <v>4021/4022</v>
      </c>
      <c r="L120" s="21" t="str">
        <f>VLOOKUP(A120,'Trips&amp;Operators'!$C$1:$G$99999,5,FALSE)</f>
        <v>YORK EDGAR</v>
      </c>
      <c r="M120" s="6">
        <f t="shared" si="56"/>
        <v>2.6365740741312038E-2</v>
      </c>
      <c r="N120" s="7">
        <f t="shared" si="64"/>
        <v>37.966666667489335</v>
      </c>
      <c r="O120" s="7"/>
      <c r="P120" s="7"/>
      <c r="Q120" s="22"/>
      <c r="R120" s="170"/>
      <c r="S120" s="213">
        <f t="shared" si="65"/>
        <v>1</v>
      </c>
      <c r="T120" s="195" t="str">
        <f t="shared" si="57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8"/>
        <v>https://d0f6bd738d7f1b3e5a7ca70fe4ff75f0.us-east-1.aws.found.io/app/kibana#/discover/Steve-Slow-Train-Analysis-(2080s-and-2083s)?_g=(refreshInterval:(display:Off,pause:!f,section:0,value:0),time:(from:'2017-06-15T16:27:36-0600',mode:absolute,to:'2017-06-15T19:20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0" s="197" t="str">
        <f>IF(AA120&lt;VLOOKUP(AG120,Variables!$AC$3:$AD$8,2,FALSE),"Y","N")</f>
        <v>N</v>
      </c>
      <c r="X120" s="197">
        <f t="shared" si="66"/>
        <v>1</v>
      </c>
      <c r="Y120" s="197">
        <f t="shared" si="58"/>
        <v>23.297499999999999</v>
      </c>
      <c r="Z120" s="197">
        <f t="shared" si="59"/>
        <v>1.5699999999999999E-2</v>
      </c>
      <c r="AA120" s="197">
        <f t="shared" si="60"/>
        <v>23.2818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61"/>
        <v>206</v>
      </c>
      <c r="AE120" s="77" t="str">
        <f t="shared" si="44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120" s="74" t="str">
        <f t="shared" si="45"/>
        <v>"C:\Program Files (x86)\AstroGrep\AstroGrep.exe" /e /r /s /spath="%USERPROFILE%\AppData\Local\Temp\OnboardLogs" /stypes="app*4021*20170616*" /stext=" 00:.+((SYSTEM_STATE.+slice.+state.+changed )|(ment ac)|(multiple cpu faults)|(system.+state.+changed )|(\[timeout)|(PRM\|1\|D)|(kpr)|(kdp)|(train st.+moving)|(\|lc)|(penalty))"</v>
      </c>
      <c r="AG120" s="209" t="str">
        <f t="shared" si="62"/>
        <v>EC</v>
      </c>
      <c r="AH120" s="78" t="str">
        <f t="shared" si="47"/>
        <v>"%USERPROFILE%\Documents\GitHub\eaglep3\Utilities\RefineRTDCRunTimes.py" --tripid 206-15 --locoid 4021 --swversion DE.1.0.9.0 --startMP 204:232975 --initTime 2017-06-15T17:27:36 --startdatetime 2017-06-15T17:42:15 --delay 1 --endMP 204:157 --enddatetime 2017-06-15T18:20:13 --enforcementcount 0 &gt;&gt;C:\Users\stu\Documents\GitHub\eaglep3-reporting\EC\2017-06-15-refined-times.txt</v>
      </c>
      <c r="AI120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{"issue":{"subject":"","project_id":79,"tracker_id":40,"status_id":1,"priority_id":2,"assigned_to_id":23,"start_date":"2017-06-15","description":"","custom_fields":[{"id":1,"name":"Subdivision","value":"EC"},{"id":4,"name":"Milepost","value":"0.0157"},{"id":17,"name":"Train ID","value":"206-15"},{"id":16,"name":"Locomotive ID","value":"4021"},{"id":130,"name":"Impact","value":""},{"id":150,"name":"Time of Event (Mountain Time)","value":"18:20:13"},{"id":151,"name":"Denver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9"/>
        <v>start /low /b %USERPROFILE%\Documents\GitHub\eaglep3\Utilities\DownloadLogsFromS3.py --loco 4021 --day 2017-06-15</v>
      </c>
      <c r="AN120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00:20:13"},{"id":29,"name":"Sharepoint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651</v>
      </c>
      <c r="B121" s="7">
        <v>4002</v>
      </c>
      <c r="C121" s="21" t="s">
        <v>202</v>
      </c>
      <c r="D121" s="21" t="s">
        <v>530</v>
      </c>
      <c r="E121" s="13">
        <v>42901.704930555556</v>
      </c>
      <c r="F121" s="13">
        <v>42901.70853009259</v>
      </c>
      <c r="G121" s="7">
        <v>1</v>
      </c>
      <c r="H121" s="21" t="s">
        <v>529</v>
      </c>
      <c r="I121" s="13">
        <v>42901.733831018515</v>
      </c>
      <c r="J121" s="7">
        <v>0</v>
      </c>
      <c r="K121" s="89" t="str">
        <f t="shared" si="55"/>
        <v>4001/4002</v>
      </c>
      <c r="L121" s="21" t="str">
        <f>VLOOKUP(A121,'Trips&amp;Operators'!$C$1:$G$99999,5,FALSE)</f>
        <v>LEVIN SCOTT</v>
      </c>
      <c r="M121" s="6">
        <f t="shared" si="56"/>
        <v>2.5300925924966577E-2</v>
      </c>
      <c r="N121" s="7">
        <f t="shared" si="64"/>
        <v>36.433333331951872</v>
      </c>
      <c r="O121" s="7"/>
      <c r="P121" s="7"/>
      <c r="Q121" s="22"/>
      <c r="R121" s="170"/>
      <c r="S121" s="213">
        <f t="shared" si="65"/>
        <v>1</v>
      </c>
      <c r="T121" s="195" t="str">
        <f t="shared" si="57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8"/>
        <v>https://d0f6bd738d7f1b3e5a7ca70fe4ff75f0.us-east-1.aws.found.io/app/kibana#/discover/Steve-Slow-Train-Analysis-(2080s-and-2083s)?_g=(refreshInterval:(display:Off,pause:!f,section:0,value:0),time:(from:'2017-06-15T15:55:06-0600',mode:absolute,to:'2017-06-15T18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7" t="str">
        <f>IF(AA121&lt;VLOOKUP(AG121,Variables!$AC$3:$AD$8,2,FALSE),"Y","N")</f>
        <v>N</v>
      </c>
      <c r="X121" s="197">
        <f t="shared" si="66"/>
        <v>1</v>
      </c>
      <c r="Y121" s="197">
        <f t="shared" si="58"/>
        <v>4.3299999999999998E-2</v>
      </c>
      <c r="Z121" s="197">
        <f t="shared" si="59"/>
        <v>23.329799999999999</v>
      </c>
      <c r="AA121" s="197">
        <f t="shared" si="60"/>
        <v>23.2865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61"/>
        <v>207</v>
      </c>
      <c r="AE121" s="77" t="str">
        <f t="shared" si="44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121" s="74" t="str">
        <f t="shared" si="45"/>
        <v>"C:\Program Files (x86)\AstroGrep\AstroGrep.exe" /e /r /s /spath="%USERPROFILE%\AppData\Local\Temp\OnboardLogs" /stypes="app*4002*20170615*" /stext=" 23:.+((SYSTEM_STATE.+slice.+state.+changed )|(ment ac)|(multiple cpu faults)|(system.+state.+changed )|(\[timeout)|(PRM\|1\|D)|(kpr)|(kdp)|(train st.+moving)|(\|lc)|(penalty))"</v>
      </c>
      <c r="AG121" s="209" t="str">
        <f t="shared" si="62"/>
        <v>EC</v>
      </c>
      <c r="AH121" s="78" t="str">
        <f t="shared" si="47"/>
        <v>"%USERPROFILE%\Documents\GitHub\eaglep3\Utilities\RefineRTDCRunTimes.py" --tripid 207-15 --locoid 4002 --swversion DE.1.0.9.0 --startMP 204:433 --initTime 2017-06-15T16:55:06 --startdatetime 2017-06-15T17:00:17 --delay 1 --endMP 204:233298 --enddatetime 2017-06-15T17:36:43 --enforcementcount 0 &gt;&gt;C:\Users\stu\Documents\GitHub\eaglep3-reporting\EC\2017-06-15-refined-times.txt</v>
      </c>
      <c r="AI121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{"issue":{"subject":"","project_id":79,"tracker_id":40,"status_id":1,"priority_id":2,"assigned_to_id":23,"start_date":"2017-06-15","description":"","custom_fields":[{"id":1,"name":"Subdivision","value":"EC"},{"id":4,"name":"Milepost","value":"23.3298"},{"id":17,"name":"Train ID","value":"207-15"},{"id":16,"name":"Locomotive ID","value":"4002"},{"id":130,"name":"Impact","value":""},{"id":150,"name":"Time of Event (Mountain Time)","value":"17:36:43"},{"id":151,"name":"Denver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9"/>
        <v>start /low /b %USERPROFILE%\Documents\GitHub\eaglep3\Utilities\DownloadLogsFromS3.py --loco 4002 --day 2017-06-15</v>
      </c>
      <c r="AN121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655</v>
      </c>
      <c r="B122" s="7">
        <v>4001</v>
      </c>
      <c r="C122" s="21" t="s">
        <v>202</v>
      </c>
      <c r="D122" s="21" t="s">
        <v>888</v>
      </c>
      <c r="E122" s="13">
        <v>42901.746377314812</v>
      </c>
      <c r="F122" s="13">
        <v>42901.748124999998</v>
      </c>
      <c r="G122" s="7">
        <v>1</v>
      </c>
      <c r="H122" s="21" t="s">
        <v>867</v>
      </c>
      <c r="I122" s="13">
        <v>42901.774502314816</v>
      </c>
      <c r="J122" s="7">
        <v>0</v>
      </c>
      <c r="K122" s="89" t="str">
        <f t="shared" si="55"/>
        <v>4001/4002</v>
      </c>
      <c r="L122" s="21" t="str">
        <f>VLOOKUP(A122,'Trips&amp;Operators'!$C$1:$G$99999,5,FALSE)</f>
        <v>LEVIN SCOTT</v>
      </c>
      <c r="M122" s="6">
        <f t="shared" si="56"/>
        <v>2.6377314818091691E-2</v>
      </c>
      <c r="N122" s="7">
        <f t="shared" si="64"/>
        <v>37.983333338052034</v>
      </c>
      <c r="O122" s="7"/>
      <c r="P122" s="7"/>
      <c r="Q122" s="22"/>
      <c r="R122" s="170"/>
      <c r="S122" s="213">
        <f t="shared" si="65"/>
        <v>1</v>
      </c>
      <c r="T122" s="195" t="str">
        <f t="shared" si="57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8"/>
        <v>https://d0f6bd738d7f1b3e5a7ca70fe4ff75f0.us-east-1.aws.found.io/app/kibana#/discover/Steve-Slow-Train-Analysis-(2080s-and-2083s)?_g=(refreshInterval:(display:Off,pause:!f,section:0,value:0),time:(from:'2017-06-15T16:54:47-0600',mode:absolute,to:'2017-06-15T19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7" t="str">
        <f>IF(AA122&lt;VLOOKUP(AG122,Variables!$AC$3:$AD$8,2,FALSE),"Y","N")</f>
        <v>N</v>
      </c>
      <c r="X122" s="197">
        <f t="shared" si="66"/>
        <v>1</v>
      </c>
      <c r="Y122" s="197">
        <f t="shared" si="58"/>
        <v>23.305900000000001</v>
      </c>
      <c r="Z122" s="197">
        <f t="shared" si="59"/>
        <v>1.6500000000000001E-2</v>
      </c>
      <c r="AA122" s="197">
        <f t="shared" si="60"/>
        <v>23.289400000000001</v>
      </c>
      <c r="AB122" s="54" t="str">
        <f>VLOOKUP(A122,Enforcements!$C$7:$K$13,8,0)</f>
        <v>Bulletin (2)</v>
      </c>
      <c r="AC122" s="51" t="str">
        <f>VLOOKUP(A122,Enforcements!$C$7:$E$13,3,0)</f>
        <v>GRADE CROSSING</v>
      </c>
      <c r="AD122" s="206">
        <f t="shared" si="61"/>
        <v>208</v>
      </c>
      <c r="AE122" s="77" t="str">
        <f t="shared" si="44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122" s="74" t="str">
        <f t="shared" si="45"/>
        <v>"C:\Program Files (x86)\AstroGrep\AstroGrep.exe" /e /r /s /spath="%USERPROFILE%\AppData\Local\Temp\OnboardLogs" /stypes="app*4001*20170616*" /stext=" 00:.+((SYSTEM_STATE.+slice.+state.+changed )|(ment ac)|(multiple cpu faults)|(system.+state.+changed )|(\[timeout)|(PRM\|1\|D)|(kpr)|(kdp)|(train st.+moving)|(\|lc)|(penalty))"</v>
      </c>
      <c r="AG122" s="209" t="str">
        <f t="shared" si="62"/>
        <v>EC</v>
      </c>
      <c r="AH122" s="78" t="str">
        <f t="shared" si="47"/>
        <v>"%USERPROFILE%\Documents\GitHub\eaglep3\Utilities\RefineRTDCRunTimes.py" --tripid 208-15 --locoid 4001 --swversion DE.1.0.9.0 --startMP 204:233059 --initTime 2017-06-15T17:54:47 --startdatetime 2017-06-15T17:57:18 --delay 1 --endMP 204:165 --enddatetime 2017-06-15T18:35:17 --enforcementcount 0 &gt;&gt;C:\Users\stu\Documents\GitHub\eaglep3-reporting\EC\2017-06-15-refined-times.txt</v>
      </c>
      <c r="AI122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{"issue":{"subject":"","project_id":79,"tracker_id":40,"status_id":1,"priority_id":2,"assigned_to_id":23,"start_date":"2017-06-15","description":"","custom_fields":[{"id":1,"name":"Subdivision","value":"EC"},{"id":4,"name":"Milepost","value":"0.0165"},{"id":17,"name":"Train ID","value":"208-15"},{"id":16,"name":"Locomotive ID","value":"4001"},{"id":130,"name":"Impact","value":""},{"id":150,"name":"Time of Event (Mountain Time)","value":"18:35:17"},{"id":151,"name":"Denver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9"/>
        <v>start /low /b %USERPROFILE%\Documents\GitHub\eaglep3\Utilities\DownloadLogsFromS3.py --loco 4001 --day 2017-06-15</v>
      </c>
      <c r="AN122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789</v>
      </c>
      <c r="B123" s="7">
        <v>4054</v>
      </c>
      <c r="C123" s="21" t="s">
        <v>202</v>
      </c>
      <c r="D123" s="21" t="s">
        <v>198</v>
      </c>
      <c r="E123" s="13">
        <v>42901.715810185182</v>
      </c>
      <c r="F123" s="13">
        <v>42901.71912037037</v>
      </c>
      <c r="G123" s="7">
        <v>1</v>
      </c>
      <c r="H123" s="21" t="s">
        <v>532</v>
      </c>
      <c r="I123" s="13">
        <v>42901.744826388887</v>
      </c>
      <c r="J123" s="7">
        <v>0</v>
      </c>
      <c r="K123" s="89" t="str">
        <f t="shared" si="55"/>
        <v>4053/4054</v>
      </c>
      <c r="L123" s="21" t="str">
        <f>VLOOKUP(A123,'Trips&amp;Operators'!$C$1:$G$99999,5,FALSE)</f>
        <v>DELGADO DIANAH</v>
      </c>
      <c r="M123" s="6">
        <f t="shared" si="56"/>
        <v>2.5706018517666962E-2</v>
      </c>
      <c r="N123" s="7">
        <f t="shared" si="64"/>
        <v>37.016666665440425</v>
      </c>
      <c r="O123" s="7"/>
      <c r="P123" s="7"/>
      <c r="Q123" s="22"/>
      <c r="R123" s="170"/>
      <c r="S123" s="213">
        <f t="shared" si="65"/>
        <v>1</v>
      </c>
      <c r="T123" s="195" t="str">
        <f t="shared" si="57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8"/>
        <v>https://d0f6bd738d7f1b3e5a7ca70fe4ff75f0.us-east-1.aws.found.io/app/kibana#/discover/Steve-Slow-Train-Analysis-(2080s-and-2083s)?_g=(refreshInterval:(display:Off,pause:!f,section:0,value:0),time:(from:'2017-06-15T16:10:46-0600',mode:absolute,to:'2017-06-15T18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3" s="197" t="str">
        <f>IF(AA123&lt;VLOOKUP(AG123,Variables!$AC$3:$AD$8,2,FALSE),"Y","N")</f>
        <v>N</v>
      </c>
      <c r="X123" s="197">
        <f t="shared" si="66"/>
        <v>1</v>
      </c>
      <c r="Y123" s="197">
        <f t="shared" si="58"/>
        <v>4.5699999999999998E-2</v>
      </c>
      <c r="Z123" s="197">
        <f t="shared" si="59"/>
        <v>23.337199999999999</v>
      </c>
      <c r="AA123" s="197">
        <f t="shared" si="60"/>
        <v>23.291499999999999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61"/>
        <v>209</v>
      </c>
      <c r="AE123" s="77" t="str">
        <f t="shared" si="44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123" s="74" t="str">
        <f t="shared" si="45"/>
        <v>"C:\Program Files (x86)\AstroGrep\AstroGrep.exe" /e /r /s /spath="%USERPROFILE%\AppData\Local\Temp\OnboardLogs" /stypes="app*4054*20170615*" /stext=" 23:.+((SYSTEM_STATE.+slice.+state.+changed )|(ment ac)|(multiple cpu faults)|(system.+state.+changed )|(\[timeout)|(PRM\|1\|D)|(kpr)|(kdp)|(train st.+moving)|(\|lc)|(penalty))"</v>
      </c>
      <c r="AG123" s="209" t="str">
        <f t="shared" si="62"/>
        <v>EC</v>
      </c>
      <c r="AH123" s="78" t="str">
        <f t="shared" si="47"/>
        <v>"%USERPROFILE%\Documents\GitHub\eaglep3\Utilities\RefineRTDCRunTimes.py" --tripid 209-15 --locoid 4054 --swversion DE.1.0.9.0 --startMP 204:457 --initTime 2017-06-15T17:10:46 --startdatetime 2017-06-15T17:15:32 --delay 1 --endMP 204:233372 --enddatetime 2017-06-15T17:52:33 --enforcementcount 0 &gt;&gt;C:\Users\stu\Documents\GitHub\eaglep3-reporting\EC\2017-06-15-refined-times.txt</v>
      </c>
      <c r="AI123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{"issue":{"subject":"","project_id":79,"tracker_id":40,"status_id":1,"priority_id":2,"assigned_to_id":23,"start_date":"2017-06-15","description":"","custom_fields":[{"id":1,"name":"Subdivision","value":"EC"},{"id":4,"name":"Milepost","value":"23.3372"},{"id":17,"name":"Train ID","value":"209-15"},{"id":16,"name":"Locomotive ID","value":"4054"},{"id":130,"name":"Impact","value":""},{"id":150,"name":"Time of Event (Mountain Time)","value":"17:52:33"},{"id":151,"name":"Denver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9"/>
        <v>start /low /b %USERPROFILE%\Documents\GitHub\eaglep3\Utilities\DownloadLogsFromS3.py --loco 4054 --day 2017-06-15</v>
      </c>
      <c r="AN123" s="151" t="str">
        <f t="shared" si="5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657</v>
      </c>
      <c r="B124" s="7">
        <v>4053</v>
      </c>
      <c r="C124" s="21" t="s">
        <v>202</v>
      </c>
      <c r="D124" s="21" t="s">
        <v>582</v>
      </c>
      <c r="E124" s="13">
        <v>42901.752638888887</v>
      </c>
      <c r="F124" s="13">
        <v>42901.758483796293</v>
      </c>
      <c r="G124" s="7">
        <v>1</v>
      </c>
      <c r="H124" s="21" t="s">
        <v>359</v>
      </c>
      <c r="I124" s="13">
        <v>42901.784745370373</v>
      </c>
      <c r="J124" s="7">
        <v>0</v>
      </c>
      <c r="K124" s="89" t="str">
        <f t="shared" si="55"/>
        <v>4053/4054</v>
      </c>
      <c r="L124" s="21" t="str">
        <f>VLOOKUP(A124,'Trips&amp;Operators'!$C$1:$G$99999,5,FALSE)</f>
        <v>DELGADO DIANAH</v>
      </c>
      <c r="M124" s="6">
        <f t="shared" si="56"/>
        <v>2.6261574079398997E-2</v>
      </c>
      <c r="N124" s="7">
        <f t="shared" si="64"/>
        <v>37.816666674334556</v>
      </c>
      <c r="O124" s="7"/>
      <c r="P124" s="7"/>
      <c r="Q124" s="22"/>
      <c r="R124" s="170"/>
      <c r="S124" s="213">
        <f t="shared" si="65"/>
        <v>1</v>
      </c>
      <c r="T124" s="195" t="str">
        <f t="shared" si="57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8"/>
        <v>https://d0f6bd738d7f1b3e5a7ca70fe4ff75f0.us-east-1.aws.found.io/app/kibana#/discover/Steve-Slow-Train-Analysis-(2080s-and-2083s)?_g=(refreshInterval:(display:Off,pause:!f,section:0,value:0),time:(from:'2017-06-15T17:03:48-0600',mode:absolute,to:'2017-06-15T19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4" s="197" t="str">
        <f>IF(AA124&lt;VLOOKUP(AG124,Variables!$AC$3:$AD$8,2,FALSE),"Y","N")</f>
        <v>N</v>
      </c>
      <c r="X124" s="197">
        <f t="shared" si="66"/>
        <v>1</v>
      </c>
      <c r="Y124" s="197">
        <f t="shared" si="58"/>
        <v>23.306699999999999</v>
      </c>
      <c r="Z124" s="197">
        <f t="shared" si="59"/>
        <v>1.41E-2</v>
      </c>
      <c r="AA124" s="197">
        <f t="shared" si="60"/>
        <v>23.2926</v>
      </c>
      <c r="AB124" s="54" t="str">
        <f>VLOOKUP(A124,Enforcements!$C$7:$K$13,8,0)</f>
        <v>Speed (6)</v>
      </c>
      <c r="AC124" s="51" t="str">
        <f>VLOOKUP(A124,Enforcements!$C$7:$E$13,3,0)</f>
        <v>PERMANENT SPEED RESTRICTION</v>
      </c>
      <c r="AD124" s="206">
        <f t="shared" si="61"/>
        <v>210</v>
      </c>
      <c r="AE124" s="77" t="str">
        <f t="shared" si="44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124" s="74" t="str">
        <f t="shared" si="45"/>
        <v>"C:\Program Files (x86)\AstroGrep\AstroGrep.exe" /e /r /s /spath="%USERPROFILE%\AppData\Local\Temp\OnboardLogs" /stypes="app*4053*20170616*" /stext=" 00:.+((SYSTEM_STATE.+slice.+state.+changed )|(ment ac)|(multiple cpu faults)|(system.+state.+changed )|(\[timeout)|(PRM\|1\|D)|(kpr)|(kdp)|(train st.+moving)|(\|lc)|(penalty))"</v>
      </c>
      <c r="AG124" s="209" t="str">
        <f t="shared" si="62"/>
        <v>EC</v>
      </c>
      <c r="AH124" s="78" t="str">
        <f t="shared" si="47"/>
        <v>"%USERPROFILE%\Documents\GitHub\eaglep3\Utilities\RefineRTDCRunTimes.py" --tripid 210-15 --locoid 4053 --swversion DE.1.0.9.0 --startMP 204:233067 --initTime 2017-06-15T18:03:48 --startdatetime 2017-06-15T18:12:13 --delay 1 --endMP 204:141 --enddatetime 2017-06-15T18:50:02 --enforcementcount 0 &gt;&gt;C:\Users\stu\Documents\GitHub\eaglep3-reporting\EC\2017-06-15-refined-times.txt</v>
      </c>
      <c r="AI124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{"issue":{"subject":"","project_id":79,"tracker_id":40,"status_id":1,"priority_id":2,"assigned_to_id":23,"start_date":"2017-06-15","description":"","custom_fields":[{"id":1,"name":"Subdivision","value":"EC"},{"id":4,"name":"Milepost","value":"0.0141"},{"id":17,"name":"Train ID","value":"210-15"},{"id":16,"name":"Locomotive ID","value":"4053"},{"id":130,"name":"Impact","value":""},{"id":150,"name":"Time of Event (Mountain Time)","value":"18:50:02"},{"id":151,"name":"Denver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9"/>
        <v>start /low /b %USERPROFILE%\Documents\GitHub\eaglep3\Utilities\DownloadLogsFromS3.py --loco 4053 --day 2017-06-15</v>
      </c>
      <c r="AN124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791</v>
      </c>
      <c r="B125" s="7">
        <v>4006</v>
      </c>
      <c r="C125" s="21" t="s">
        <v>202</v>
      </c>
      <c r="D125" s="21" t="s">
        <v>355</v>
      </c>
      <c r="E125" s="13">
        <v>42901.72550925926</v>
      </c>
      <c r="F125" s="13">
        <v>42901.729351851849</v>
      </c>
      <c r="G125" s="7">
        <v>1</v>
      </c>
      <c r="H125" s="21" t="s">
        <v>581</v>
      </c>
      <c r="I125" s="13">
        <v>42901.75509259259</v>
      </c>
      <c r="J125" s="7">
        <v>0</v>
      </c>
      <c r="K125" s="89" t="str">
        <f t="shared" si="55"/>
        <v>4005/4006</v>
      </c>
      <c r="L125" s="21" t="str">
        <f>VLOOKUP(A125,'Trips&amp;Operators'!$C$1:$G$99999,5,FALSE)</f>
        <v>BERLING GARY</v>
      </c>
      <c r="M125" s="6">
        <f t="shared" si="56"/>
        <v>2.5740740740729962E-2</v>
      </c>
      <c r="N125" s="7">
        <f t="shared" si="64"/>
        <v>37.066666666651145</v>
      </c>
      <c r="O125" s="7"/>
      <c r="P125" s="7"/>
      <c r="Q125" s="22"/>
      <c r="R125" s="170"/>
      <c r="S125" s="213">
        <f t="shared" si="65"/>
        <v>1</v>
      </c>
      <c r="T125" s="195" t="str">
        <f t="shared" si="57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8"/>
        <v>https://d0f6bd738d7f1b3e5a7ca70fe4ff75f0.us-east-1.aws.found.io/app/kibana#/discover/Steve-Slow-Train-Analysis-(2080s-and-2083s)?_g=(refreshInterval:(display:Off,pause:!f,section:0,value:0),time:(from:'2017-06-15T16:24:44-0600',mode:absolute,to:'2017-06-15T19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5" s="197" t="str">
        <f>IF(AA125&lt;VLOOKUP(AG125,Variables!$AC$3:$AD$8,2,FALSE),"Y","N")</f>
        <v>N</v>
      </c>
      <c r="X125" s="197">
        <f t="shared" si="66"/>
        <v>1</v>
      </c>
      <c r="Y125" s="197">
        <f t="shared" si="58"/>
        <v>4.53E-2</v>
      </c>
      <c r="Z125" s="197">
        <f t="shared" si="59"/>
        <v>23.3383</v>
      </c>
      <c r="AA125" s="197">
        <f t="shared" si="60"/>
        <v>23.292999999999999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61"/>
        <v>211</v>
      </c>
      <c r="AE125" s="77" t="str">
        <f t="shared" si="44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125" s="74" t="str">
        <f t="shared" si="45"/>
        <v>"C:\Program Files (x86)\AstroGrep\AstroGrep.exe" /e /r /s /spath="%USERPROFILE%\AppData\Local\Temp\OnboardLogs" /stypes="app*4006*20170616*" /stext=" 00:.+((SYSTEM_STATE.+slice.+state.+changed )|(ment ac)|(multiple cpu faults)|(system.+state.+changed )|(\[timeout)|(PRM\|1\|D)|(kpr)|(kdp)|(train st.+moving)|(\|lc)|(penalty))"</v>
      </c>
      <c r="AG125" s="209" t="str">
        <f t="shared" si="62"/>
        <v>EC</v>
      </c>
      <c r="AH125" s="78" t="str">
        <f t="shared" si="47"/>
        <v>"%USERPROFILE%\Documents\GitHub\eaglep3\Utilities\RefineRTDCRunTimes.py" --tripid 211-15 --locoid 4006 --swversion DE.1.0.9.0 --startMP 204:453 --initTime 2017-06-15T17:24:44 --startdatetime 2017-06-15T17:30:16 --delay 1 --endMP 204:233383 --enddatetime 2017-06-15T18:07:20 --enforcementcount 0 &gt;&gt;C:\Users\stu\Documents\GitHub\eaglep3-reporting\EC\2017-06-15-refined-times.txt</v>
      </c>
      <c r="AI125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{"issue":{"subject":"","project_id":79,"tracker_id":40,"status_id":1,"priority_id":2,"assigned_to_id":23,"start_date":"2017-06-15","description":"","custom_fields":[{"id":1,"name":"Subdivision","value":"EC"},{"id":4,"name":"Milepost","value":"23.3383"},{"id":17,"name":"Train ID","value":"211-15"},{"id":16,"name":"Locomotive ID","value":"4006"},{"id":130,"name":"Impact","value":""},{"id":150,"name":"Time of Event (Mountain Time)","value":"18:07:20"},{"id":151,"name":"Denver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9"/>
        <v>start /low /b %USERPROFILE%\Documents\GitHub\eaglep3\Utilities\DownloadLogsFromS3.py --loco 4006 --day 2017-06-15</v>
      </c>
      <c r="AN125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801</v>
      </c>
      <c r="B126" s="7">
        <v>4005</v>
      </c>
      <c r="C126" s="21" t="s">
        <v>202</v>
      </c>
      <c r="D126" s="21" t="s">
        <v>889</v>
      </c>
      <c r="E126" s="13">
        <v>42901.76425925926</v>
      </c>
      <c r="F126" s="13">
        <v>42901.769050925926</v>
      </c>
      <c r="G126" s="7">
        <v>2</v>
      </c>
      <c r="H126" s="21" t="s">
        <v>351</v>
      </c>
      <c r="I126" s="13">
        <v>42901.795555555553</v>
      </c>
      <c r="J126" s="7">
        <v>0</v>
      </c>
      <c r="K126" s="89" t="str">
        <f t="shared" si="55"/>
        <v>4005/4006</v>
      </c>
      <c r="L126" s="21" t="str">
        <f>VLOOKUP(A126,'Trips&amp;Operators'!$C$1:$G$99999,5,FALSE)</f>
        <v>BERLING GARY</v>
      </c>
      <c r="M126" s="6">
        <f t="shared" si="56"/>
        <v>2.6504629626288079E-2</v>
      </c>
      <c r="N126" s="7">
        <f t="shared" si="64"/>
        <v>38.166666661854833</v>
      </c>
      <c r="O126" s="7"/>
      <c r="P126" s="7"/>
      <c r="Q126" s="22"/>
      <c r="R126" s="170"/>
      <c r="S126" s="213">
        <f t="shared" si="65"/>
        <v>1</v>
      </c>
      <c r="T126" s="195" t="str">
        <f t="shared" si="57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8"/>
        <v>https://d0f6bd738d7f1b3e5a7ca70fe4ff75f0.us-east-1.aws.found.io/app/kibana#/discover/Steve-Slow-Train-Analysis-(2080s-and-2083s)?_g=(refreshInterval:(display:Off,pause:!f,section:0,value:0),time:(from:'2017-06-15T17:20:32-0600',mode:absolute,to:'2017-06-15T20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6" s="197" t="str">
        <f>IF(AA126&lt;VLOOKUP(AG126,Variables!$AC$3:$AD$8,2,FALSE),"Y","N")</f>
        <v>N</v>
      </c>
      <c r="X126" s="197">
        <f t="shared" si="66"/>
        <v>1</v>
      </c>
      <c r="Y126" s="197">
        <f t="shared" si="58"/>
        <v>23.306999999999999</v>
      </c>
      <c r="Z126" s="197">
        <f t="shared" si="59"/>
        <v>1.43E-2</v>
      </c>
      <c r="AA126" s="197">
        <f t="shared" si="60"/>
        <v>23.2927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61"/>
        <v>212</v>
      </c>
      <c r="AE126" s="77" t="str">
        <f t="shared" si="44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126" s="74" t="str">
        <f t="shared" si="45"/>
        <v>"C:\Program Files (x86)\AstroGrep\AstroGrep.exe" /e /r /s /spath="%USERPROFILE%\AppData\Local\Temp\OnboardLogs" /stypes="app*4005*20170616*" /stext=" 01:.+((SYSTEM_STATE.+slice.+state.+changed )|(ment ac)|(multiple cpu faults)|(system.+state.+changed )|(\[timeout)|(PRM\|1\|D)|(kpr)|(kdp)|(train st.+moving)|(\|lc)|(penalty))"</v>
      </c>
      <c r="AG126" s="209" t="str">
        <f t="shared" si="62"/>
        <v>EC</v>
      </c>
      <c r="AH126" s="78" t="str">
        <f t="shared" si="47"/>
        <v>"%USERPROFILE%\Documents\GitHub\eaglep3\Utilities\RefineRTDCRunTimes.py" --tripid 212-15 --locoid 4005 --swversion DE.1.0.9.0 --startMP 204:233070 --initTime 2017-06-15T18:20:32 --startdatetime 2017-06-15T18:27:26 --delay 2 --endMP 204:143 --enddatetime 2017-06-15T19:05:36 --enforcementcount 0 &gt;&gt;C:\Users\stu\Documents\GitHub\eaglep3-reporting\EC\2017-06-15-refined-times.txt</v>
      </c>
      <c r="AI126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{"issue":{"subject":"","project_id":79,"tracker_id":40,"status_id":1,"priority_id":2,"assigned_to_id":23,"start_date":"2017-06-15","description":"","custom_fields":[{"id":1,"name":"Subdivision","value":"EC"},{"id":4,"name":"Milepost","value":"0.0143"},{"id":17,"name":"Train ID","value":"212-15"},{"id":16,"name":"Locomotive ID","value":"4005"},{"id":130,"name":"Impact","value":""},{"id":150,"name":"Time of Event (Mountain Time)","value":"19:05:36"},{"id":151,"name":"Denver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9"/>
        <v>start /low /b %USERPROFILE%\Documents\GitHub\eaglep3\Utilities\DownloadLogsFromS3.py --loco 4005 --day 2017-06-15</v>
      </c>
      <c r="AN126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793</v>
      </c>
      <c r="B127" s="7">
        <v>4046</v>
      </c>
      <c r="C127" s="21" t="s">
        <v>202</v>
      </c>
      <c r="D127" s="21" t="s">
        <v>573</v>
      </c>
      <c r="E127" s="13">
        <v>42901.738703703704</v>
      </c>
      <c r="F127" s="13">
        <v>42901.740439814814</v>
      </c>
      <c r="G127" s="7">
        <v>1</v>
      </c>
      <c r="H127" s="21" t="s">
        <v>444</v>
      </c>
      <c r="I127" s="13">
        <v>42901.765949074077</v>
      </c>
      <c r="J127" s="7">
        <v>0</v>
      </c>
      <c r="K127" s="89" t="str">
        <f t="shared" si="55"/>
        <v>4045/4046</v>
      </c>
      <c r="L127" s="21" t="str">
        <f>VLOOKUP(A127,'Trips&amp;Operators'!$C$1:$G$99999,5,FALSE)</f>
        <v>SMITH MICHAEL</v>
      </c>
      <c r="M127" s="6">
        <f t="shared" si="56"/>
        <v>2.5509259263344575E-2</v>
      </c>
      <c r="N127" s="7">
        <f t="shared" si="64"/>
        <v>36.733333339216188</v>
      </c>
      <c r="O127" s="7"/>
      <c r="P127" s="7"/>
      <c r="Q127" s="22"/>
      <c r="R127" s="170"/>
      <c r="S127" s="213">
        <f t="shared" si="65"/>
        <v>1</v>
      </c>
      <c r="T127" s="195" t="str">
        <f t="shared" si="57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8"/>
        <v>https://d0f6bd738d7f1b3e5a7ca70fe4ff75f0.us-east-1.aws.found.io/app/kibana#/discover/Steve-Slow-Train-Analysis-(2080s-and-2083s)?_g=(refreshInterval:(display:Off,pause:!f,section:0,value:0),time:(from:'2017-06-15T16:43:44-0600',mode:absolute,to:'2017-06-15T19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7" s="197" t="str">
        <f>IF(AA127&lt;VLOOKUP(AG127,Variables!$AC$3:$AD$8,2,FALSE),"Y","N")</f>
        <v>N</v>
      </c>
      <c r="X127" s="197">
        <f t="shared" si="66"/>
        <v>1</v>
      </c>
      <c r="Y127" s="197">
        <f t="shared" si="58"/>
        <v>4.7800000000000002E-2</v>
      </c>
      <c r="Z127" s="197">
        <f t="shared" si="59"/>
        <v>23.328900000000001</v>
      </c>
      <c r="AA127" s="197">
        <f t="shared" si="60"/>
        <v>23.281100000000002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61"/>
        <v>213</v>
      </c>
      <c r="AE127" s="77" t="str">
        <f t="shared" si="44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127" s="74" t="str">
        <f t="shared" si="45"/>
        <v>"C:\Program Files (x86)\AstroGrep\AstroGrep.exe" /e /r /s /spath="%USERPROFILE%\AppData\Local\Temp\OnboardLogs" /stypes="app*4046*20170616*" /stext=" 00:.+((SYSTEM_STATE.+slice.+state.+changed )|(ment ac)|(multiple cpu faults)|(system.+state.+changed )|(\[timeout)|(PRM\|1\|D)|(kpr)|(kdp)|(train st.+moving)|(\|lc)|(penalty))"</v>
      </c>
      <c r="AG127" s="209" t="str">
        <f t="shared" si="62"/>
        <v>EC</v>
      </c>
      <c r="AH127" s="78" t="str">
        <f t="shared" si="47"/>
        <v>"%USERPROFILE%\Documents\GitHub\eaglep3\Utilities\RefineRTDCRunTimes.py" --tripid 213-15 --locoid 4046 --swversion DE.1.0.9.0 --startMP 204:478 --initTime 2017-06-15T17:43:44 --startdatetime 2017-06-15T17:46:14 --delay 1 --endMP 204:233289 --enddatetime 2017-06-15T18:22:58 --enforcementcount 0 &gt;&gt;C:\Users\stu\Documents\GitHub\eaglep3-reporting\EC\2017-06-15-refined-times.txt</v>
      </c>
      <c r="AI127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{"issue":{"subject":"","project_id":79,"tracker_id":40,"status_id":1,"priority_id":2,"assigned_to_id":23,"start_date":"2017-06-15","description":"","custom_fields":[{"id":1,"name":"Subdivision","value":"EC"},{"id":4,"name":"Milepost","value":"23.3289"},{"id":17,"name":"Train ID","value":"213-15"},{"id":16,"name":"Locomotive ID","value":"4046"},{"id":130,"name":"Impact","value":""},{"id":150,"name":"Time of Event (Mountain Time)","value":"18:22:58"},{"id":151,"name":"Denver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9"/>
        <v>start /low /b %USERPROFILE%\Documents\GitHub\eaglep3\Utilities\DownloadLogsFromS3.py --loco 4046 --day 2017-06-15</v>
      </c>
      <c r="AN127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805</v>
      </c>
      <c r="B128" s="7">
        <v>4045</v>
      </c>
      <c r="C128" s="21" t="s">
        <v>202</v>
      </c>
      <c r="D128" s="21" t="s">
        <v>474</v>
      </c>
      <c r="E128" s="13">
        <v>42901.773182870369</v>
      </c>
      <c r="F128" s="13">
        <v>42901.779490740744</v>
      </c>
      <c r="G128" s="7">
        <v>1</v>
      </c>
      <c r="H128" s="21" t="s">
        <v>350</v>
      </c>
      <c r="I128" s="13">
        <v>42901.805949074071</v>
      </c>
      <c r="J128" s="7">
        <v>0</v>
      </c>
      <c r="K128" s="89" t="str">
        <f t="shared" si="55"/>
        <v>4045/4046</v>
      </c>
      <c r="L128" s="21" t="str">
        <f>VLOOKUP(A128,'Trips&amp;Operators'!$C$1:$G$99999,5,FALSE)</f>
        <v>SMITH MICHAEL</v>
      </c>
      <c r="M128" s="6">
        <f t="shared" si="56"/>
        <v>2.6458333326445427E-2</v>
      </c>
      <c r="N128" s="7">
        <f t="shared" si="64"/>
        <v>38.099999990081415</v>
      </c>
      <c r="O128" s="7"/>
      <c r="P128" s="7"/>
      <c r="Q128" s="22"/>
      <c r="R128" s="170"/>
      <c r="S128" s="213">
        <f t="shared" si="65"/>
        <v>1</v>
      </c>
      <c r="T128" s="195" t="str">
        <f t="shared" si="57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8"/>
        <v>https://d0f6bd738d7f1b3e5a7ca70fe4ff75f0.us-east-1.aws.found.io/app/kibana#/discover/Steve-Slow-Train-Analysis-(2080s-and-2083s)?_g=(refreshInterval:(display:Off,pause:!f,section:0,value:0),time:(from:'2017-06-15T17:33:23-0600',mode:absolute,to:'2017-06-15T20:20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8" s="197" t="str">
        <f>IF(AA128&lt;VLOOKUP(AG128,Variables!$AC$3:$AD$8,2,FALSE),"Y","N")</f>
        <v>N</v>
      </c>
      <c r="X128" s="197">
        <f t="shared" si="66"/>
        <v>1</v>
      </c>
      <c r="Y128" s="197">
        <f t="shared" si="58"/>
        <v>23.297499999999999</v>
      </c>
      <c r="Z128" s="197">
        <f t="shared" si="59"/>
        <v>1.49E-2</v>
      </c>
      <c r="AA128" s="197">
        <f t="shared" si="60"/>
        <v>23.282599999999999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61"/>
        <v>214</v>
      </c>
      <c r="AE128" s="77" t="str">
        <f t="shared" si="44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128" s="74" t="str">
        <f t="shared" si="45"/>
        <v>"C:\Program Files (x86)\AstroGrep\AstroGrep.exe" /e /r /s /spath="%USERPROFILE%\AppData\Local\Temp\OnboardLogs" /stypes="app*4045*20170616*" /stext=" 01:.+((SYSTEM_STATE.+slice.+state.+changed )|(ment ac)|(multiple cpu faults)|(system.+state.+changed )|(\[timeout)|(PRM\|1\|D)|(kpr)|(kdp)|(train st.+moving)|(\|lc)|(penalty))"</v>
      </c>
      <c r="AG128" s="209" t="str">
        <f t="shared" si="62"/>
        <v>EC</v>
      </c>
      <c r="AH128" s="78" t="str">
        <f t="shared" si="47"/>
        <v>"%USERPROFILE%\Documents\GitHub\eaglep3\Utilities\RefineRTDCRunTimes.py" --tripid 214-15 --locoid 4045 --swversion DE.1.0.9.0 --startMP 204:232975 --initTime 2017-06-15T18:33:23 --startdatetime 2017-06-15T18:42:28 --delay 1 --endMP 204:149 --enddatetime 2017-06-15T19:20:34 --enforcementcount 0 &gt;&gt;C:\Users\stu\Documents\GitHub\eaglep3-reporting\EC\2017-06-15-refined-times.txt</v>
      </c>
      <c r="AI128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{"issue":{"subject":"","project_id":79,"tracker_id":40,"status_id":1,"priority_id":2,"assigned_to_id":23,"start_date":"2017-06-15","description":"","custom_fields":[{"id":1,"name":"Subdivision","value":"EC"},{"id":4,"name":"Milepost","value":"0.0149"},{"id":17,"name":"Train ID","value":"214-15"},{"id":16,"name":"Locomotive ID","value":"4045"},{"id":130,"name":"Impact","value":""},{"id":150,"name":"Time of Event (Mountain Time)","value":"19:20:34"},{"id":151,"name":"Denver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9"/>
        <v>start /low /b %USERPROFILE%\Documents\GitHub\eaglep3\Utilities\DownloadLogsFromS3.py --loco 4045 --day 2017-06-15</v>
      </c>
      <c r="AN128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01:20:34"},{"id":29,"name":"Sharepoint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795</v>
      </c>
      <c r="B129" s="7">
        <v>4042</v>
      </c>
      <c r="C129" s="21" t="s">
        <v>202</v>
      </c>
      <c r="D129" s="21" t="s">
        <v>890</v>
      </c>
      <c r="E129" s="13">
        <v>42901.744085648148</v>
      </c>
      <c r="F129" s="13">
        <v>42901.750439814816</v>
      </c>
      <c r="G129" s="7">
        <v>1</v>
      </c>
      <c r="H129" s="21" t="s">
        <v>843</v>
      </c>
      <c r="I129" s="13">
        <v>42901.775185185186</v>
      </c>
      <c r="J129" s="7">
        <v>0</v>
      </c>
      <c r="K129" s="89" t="str">
        <f t="shared" si="55"/>
        <v>4041/4042</v>
      </c>
      <c r="L129" s="21" t="str">
        <f>VLOOKUP(A129,'Trips&amp;Operators'!$C$1:$G$99999,5,FALSE)</f>
        <v>HOLCOMB KAMDEN</v>
      </c>
      <c r="M129" s="6">
        <f t="shared" si="56"/>
        <v>2.47453703705105E-2</v>
      </c>
      <c r="N129" s="7">
        <f t="shared" si="64"/>
        <v>35.63333333353512</v>
      </c>
      <c r="O129" s="7"/>
      <c r="P129" s="7"/>
      <c r="Q129" s="22"/>
      <c r="R129" s="170"/>
      <c r="S129" s="213">
        <f t="shared" si="65"/>
        <v>1</v>
      </c>
      <c r="T129" s="195" t="str">
        <f t="shared" si="57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8"/>
        <v>https://d0f6bd738d7f1b3e5a7ca70fe4ff75f0.us-east-1.aws.found.io/app/kibana#/discover/Steve-Slow-Train-Analysis-(2080s-and-2083s)?_g=(refreshInterval:(display:Off,pause:!f,section:0,value:0),time:(from:'2017-06-15T16:51:29-0600',mode:absolute,to:'2017-06-15T19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9" s="197" t="str">
        <f>IF(AA129&lt;VLOOKUP(AG129,Variables!$AC$3:$AD$8,2,FALSE),"Y","N")</f>
        <v>N</v>
      </c>
      <c r="X129" s="197">
        <f t="shared" si="66"/>
        <v>1</v>
      </c>
      <c r="Y129" s="197">
        <f t="shared" si="58"/>
        <v>4.1099999999999998E-2</v>
      </c>
      <c r="Z129" s="197">
        <f t="shared" si="59"/>
        <v>23.331199999999999</v>
      </c>
      <c r="AA129" s="197">
        <f t="shared" si="60"/>
        <v>23.290099999999999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61"/>
        <v>215</v>
      </c>
      <c r="AE129" s="77" t="str">
        <f t="shared" si="44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129" s="74" t="str">
        <f t="shared" si="45"/>
        <v>"C:\Program Files (x86)\AstroGrep\AstroGrep.exe" /e /r /s /spath="%USERPROFILE%\AppData\Local\Temp\OnboardLogs" /stypes="app*4042*20170616*" /stext=" 00:.+((SYSTEM_STATE.+slice.+state.+changed )|(ment ac)|(multiple cpu faults)|(system.+state.+changed )|(\[timeout)|(PRM\|1\|D)|(kpr)|(kdp)|(train st.+moving)|(\|lc)|(penalty))"</v>
      </c>
      <c r="AG129" s="209" t="str">
        <f t="shared" si="62"/>
        <v>EC</v>
      </c>
      <c r="AH129" s="78" t="str">
        <f t="shared" si="47"/>
        <v>"%USERPROFILE%\Documents\GitHub\eaglep3\Utilities\RefineRTDCRunTimes.py" --tripid 215-15 --locoid 4042 --swversion DE.1.0.9.0 --startMP 204:411 --initTime 2017-06-15T17:51:29 --startdatetime 2017-06-15T18:00:38 --delay 1 --endMP 204:233312 --enddatetime 2017-06-15T18:36:16 --enforcementcount 0 &gt;&gt;C:\Users\stu\Documents\GitHub\eaglep3-reporting\EC\2017-06-15-refined-times.txt</v>
      </c>
      <c r="AI12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{"issue":{"subject":"","project_id":79,"tracker_id":40,"status_id":1,"priority_id":2,"assigned_to_id":23,"start_date":"2017-06-15","description":"","custom_fields":[{"id":1,"name":"Subdivision","value":"EC"},{"id":4,"name":"Milepost","value":"23.3312"},{"id":17,"name":"Train ID","value":"215-15"},{"id":16,"name":"Locomotive ID","value":"4042"},{"id":130,"name":"Impact","value":""},{"id":150,"name":"Time of Event (Mountain Time)","value":"18:36:16"},{"id":151,"name":"Denver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9"/>
        <v>start /low /b %USERPROFILE%\Documents\GitHub\eaglep3\Utilities\DownloadLogsFromS3.py --loco 4042 --day 2017-06-15</v>
      </c>
      <c r="AN129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807</v>
      </c>
      <c r="B130" s="7">
        <v>4041</v>
      </c>
      <c r="C130" s="21" t="s">
        <v>202</v>
      </c>
      <c r="D130" s="21" t="s">
        <v>575</v>
      </c>
      <c r="E130" s="13">
        <v>42901.78528935185</v>
      </c>
      <c r="F130" s="13">
        <v>42901.789780092593</v>
      </c>
      <c r="G130" s="7">
        <v>1</v>
      </c>
      <c r="H130" s="21" t="s">
        <v>891</v>
      </c>
      <c r="I130" s="13">
        <v>42901.816550925927</v>
      </c>
      <c r="J130" s="7">
        <v>0</v>
      </c>
      <c r="K130" s="89" t="str">
        <f t="shared" si="55"/>
        <v>4041/4042</v>
      </c>
      <c r="L130" s="21" t="str">
        <f>VLOOKUP(A130,'Trips&amp;Operators'!$C$1:$G$99999,5,FALSE)</f>
        <v>HOLCOMB KAMDEN</v>
      </c>
      <c r="M130" s="6">
        <f t="shared" si="56"/>
        <v>2.6770833334012423E-2</v>
      </c>
      <c r="N130" s="7">
        <f t="shared" si="64"/>
        <v>38.550000000977889</v>
      </c>
      <c r="O130" s="7"/>
      <c r="P130" s="7"/>
      <c r="Q130" s="22"/>
      <c r="R130" s="170"/>
      <c r="S130" s="213">
        <f t="shared" si="65"/>
        <v>1</v>
      </c>
      <c r="T130" s="195" t="str">
        <f t="shared" si="57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8"/>
        <v>https://d0f6bd738d7f1b3e5a7ca70fe4ff75f0.us-east-1.aws.found.io/app/kibana#/discover/Steve-Slow-Train-Analysis-(2080s-and-2083s)?_g=(refreshInterval:(display:Off,pause:!f,section:0,value:0),time:(from:'2017-06-15T17:50:49-0600',mode:absolute,to:'2017-06-15T20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0" s="197" t="str">
        <f>IF(AA130&lt;VLOOKUP(AG130,Variables!$AC$3:$AD$8,2,FALSE),"Y","N")</f>
        <v>N</v>
      </c>
      <c r="X130" s="197">
        <f t="shared" si="66"/>
        <v>1</v>
      </c>
      <c r="Y130" s="197">
        <f t="shared" si="58"/>
        <v>23.299800000000001</v>
      </c>
      <c r="Z130" s="197">
        <f t="shared" si="59"/>
        <v>1.0999999999999999E-2</v>
      </c>
      <c r="AA130" s="197">
        <f t="shared" si="60"/>
        <v>23.288800000000002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61"/>
        <v>216</v>
      </c>
      <c r="AE130" s="77" t="str">
        <f t="shared" si="44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130" s="74" t="str">
        <f t="shared" si="45"/>
        <v>"C:\Program Files (x86)\AstroGrep\AstroGrep.exe" /e /r /s /spath="%USERPROFILE%\AppData\Local\Temp\OnboardLogs" /stypes="app*4041*20170616*" /stext=" 01:.+((SYSTEM_STATE.+slice.+state.+changed )|(ment ac)|(multiple cpu faults)|(system.+state.+changed )|(\[timeout)|(PRM\|1\|D)|(kpr)|(kdp)|(train st.+moving)|(\|lc)|(penalty))"</v>
      </c>
      <c r="AG130" s="209" t="str">
        <f t="shared" si="62"/>
        <v>EC</v>
      </c>
      <c r="AH130" s="78" t="str">
        <f t="shared" si="47"/>
        <v>"%USERPROFILE%\Documents\GitHub\eaglep3\Utilities\RefineRTDCRunTimes.py" --tripid 216-15 --locoid 4041 --swversion DE.1.0.9.0 --startMP 204:232998 --initTime 2017-06-15T18:50:49 --startdatetime 2017-06-15T18:57:17 --delay 1 --endMP 204:110 --enddatetime 2017-06-15T19:35:50 --enforcementcount 0 &gt;&gt;C:\Users\stu\Documents\GitHub\eaglep3-reporting\EC\2017-06-15-refined-times.txt</v>
      </c>
      <c r="AI130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{"issue":{"subject":"","project_id":79,"tracker_id":40,"status_id":1,"priority_id":2,"assigned_to_id":23,"start_date":"2017-06-15","description":"","custom_fields":[{"id":1,"name":"Subdivision","value":"EC"},{"id":4,"name":"Milepost","value":"0.011"},{"id":17,"name":"Train ID","value":"216-15"},{"id":16,"name":"Locomotive ID","value":"4041"},{"id":130,"name":"Impact","value":""},{"id":150,"name":"Time of Event (Mountain Time)","value":"19:35:50"},{"id":151,"name":"Denver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9"/>
        <v>start /low /b %USERPROFILE%\Documents\GitHub\eaglep3\Utilities\DownloadLogsFromS3.py --loco 4041 --day 2017-06-15</v>
      </c>
      <c r="AN130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4040</v>
      </c>
      <c r="C131" s="21" t="s">
        <v>202</v>
      </c>
      <c r="D131" s="21" t="s">
        <v>571</v>
      </c>
      <c r="E131" s="13">
        <v>42901.756631944445</v>
      </c>
      <c r="F131" s="13">
        <v>42901.760636574072</v>
      </c>
      <c r="G131" s="7">
        <v>1</v>
      </c>
      <c r="H131" s="21" t="s">
        <v>578</v>
      </c>
      <c r="I131" s="13">
        <v>42901.786134259259</v>
      </c>
      <c r="J131" s="7">
        <v>0</v>
      </c>
      <c r="K131" s="89" t="str">
        <f t="shared" si="55"/>
        <v>4039/4040</v>
      </c>
      <c r="L131" s="21" t="str">
        <f>VLOOKUP(A131,'Trips&amp;Operators'!$C$1:$G$99999,5,FALSE)</f>
        <v>PERKINS DARREN</v>
      </c>
      <c r="M131" s="6">
        <f t="shared" si="56"/>
        <v>2.5497685186564922E-2</v>
      </c>
      <c r="N131" s="7">
        <f t="shared" si="64"/>
        <v>36.716666668653488</v>
      </c>
      <c r="O131" s="7"/>
      <c r="P131" s="7"/>
      <c r="Q131" s="22"/>
      <c r="R131" s="170"/>
      <c r="S131" s="213">
        <f t="shared" si="65"/>
        <v>1</v>
      </c>
      <c r="T131" s="195" t="str">
        <f t="shared" si="57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8"/>
        <v>https://d0f6bd738d7f1b3e5a7ca70fe4ff75f0.us-east-1.aws.found.io/app/kibana#/discover/Steve-Slow-Train-Analysis-(2080s-and-2083s)?_g=(refreshInterval:(display:Off,pause:!f,section:0,value:0),time:(from:'2017-06-15T17:09:33-0600',mode:absolute,to:'2017-06-15T19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1" s="197" t="str">
        <f>IF(AA131&lt;VLOOKUP(AG131,Variables!$AC$3:$AD$8,2,FALSE),"Y","N")</f>
        <v>N</v>
      </c>
      <c r="X131" s="197">
        <f t="shared" si="66"/>
        <v>1</v>
      </c>
      <c r="Y131" s="197">
        <f t="shared" si="58"/>
        <v>4.7500000000000001E-2</v>
      </c>
      <c r="Z131" s="197">
        <f t="shared" si="59"/>
        <v>23.332799999999999</v>
      </c>
      <c r="AA131" s="197">
        <f t="shared" si="60"/>
        <v>23.285299999999999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61"/>
        <v>217</v>
      </c>
      <c r="AE131" s="77" t="str">
        <f t="shared" si="44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131" s="74" t="str">
        <f t="shared" si="45"/>
        <v>"C:\Program Files (x86)\AstroGrep\AstroGrep.exe" /e /r /s /spath="%USERPROFILE%\AppData\Local\Temp\OnboardLogs" /stypes="app*4040*20170616*" /stext=" 00:.+((SYSTEM_STATE.+slice.+state.+changed )|(ment ac)|(multiple cpu faults)|(system.+state.+changed )|(\[timeout)|(PRM\|1\|D)|(kpr)|(kdp)|(train st.+moving)|(\|lc)|(penalty))"</v>
      </c>
      <c r="AG131" s="209" t="str">
        <f t="shared" si="62"/>
        <v>EC</v>
      </c>
      <c r="AH131" s="78" t="str">
        <f t="shared" si="47"/>
        <v>"%USERPROFILE%\Documents\GitHub\eaglep3\Utilities\RefineRTDCRunTimes.py" --tripid 217-15 --locoid 4040 --swversion DE.1.0.9.0 --startMP 204:475 --initTime 2017-06-15T18:09:33 --startdatetime 2017-06-15T18:15:19 --delay 1 --endMP 204:233328 --enddatetime 2017-06-15T18:52:02 --enforcementcount 0 &gt;&gt;C:\Users\stu\Documents\GitHub\eaglep3-reporting\EC\2017-06-15-refined-times.txt</v>
      </c>
      <c r="AI131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{"issue":{"subject":"","project_id":79,"tracker_id":40,"status_id":1,"priority_id":2,"assigned_to_id":23,"start_date":"2017-06-15","description":"","custom_fields":[{"id":1,"name":"Subdivision","value":"EC"},{"id":4,"name":"Milepost","value":"23.3328"},{"id":17,"name":"Train ID","value":"217-15"},{"id":16,"name":"Locomotive ID","value":"4040"},{"id":130,"name":"Impact","value":""},{"id":150,"name":"Time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9"/>
        <v>start /low /b %USERPROFILE%\Documents\GitHub\eaglep3\Utilities\DownloadLogsFromS3.py --loco 4040 --day 2017-06-15</v>
      </c>
      <c r="AN131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810</v>
      </c>
      <c r="B132" s="7">
        <v>4039</v>
      </c>
      <c r="C132" s="21" t="s">
        <v>202</v>
      </c>
      <c r="D132" s="21" t="s">
        <v>892</v>
      </c>
      <c r="E132" s="13">
        <v>42901.792326388888</v>
      </c>
      <c r="F132" s="13">
        <v>42901.800300925926</v>
      </c>
      <c r="G132" s="7">
        <v>1</v>
      </c>
      <c r="H132" s="21" t="s">
        <v>496</v>
      </c>
      <c r="I132" s="13">
        <v>42901.827094907407</v>
      </c>
      <c r="J132" s="7">
        <v>0</v>
      </c>
      <c r="K132" s="89" t="str">
        <f t="shared" si="55"/>
        <v>4039/4040</v>
      </c>
      <c r="L132" s="21" t="str">
        <f>VLOOKUP(A132,'Trips&amp;Operators'!$C$1:$G$99999,5,FALSE)</f>
        <v>PERKINS DARREN</v>
      </c>
      <c r="M132" s="6">
        <f t="shared" si="56"/>
        <v>2.679398148029577E-2</v>
      </c>
      <c r="N132" s="7">
        <f t="shared" si="64"/>
        <v>38.583333331625909</v>
      </c>
      <c r="O132" s="7"/>
      <c r="P132" s="7"/>
      <c r="Q132" s="22"/>
      <c r="R132" s="170"/>
      <c r="S132" s="213">
        <f t="shared" si="65"/>
        <v>1</v>
      </c>
      <c r="T132" s="195" t="str">
        <f t="shared" si="57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8"/>
        <v>https://d0f6bd738d7f1b3e5a7ca70fe4ff75f0.us-east-1.aws.found.io/app/kibana#/discover/Steve-Slow-Train-Analysis-(2080s-and-2083s)?_g=(refreshInterval:(display:Off,pause:!f,section:0,value:0),time:(from:'2017-06-15T18:00:57-0600',mode:absolute,to:'2017-06-15T20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2" s="197" t="str">
        <f>IF(AA132&lt;VLOOKUP(AG132,Variables!$AC$3:$AD$8,2,FALSE),"Y","N")</f>
        <v>N</v>
      </c>
      <c r="X132" s="197">
        <f t="shared" si="66"/>
        <v>1</v>
      </c>
      <c r="Y132" s="197">
        <f t="shared" si="58"/>
        <v>23.2988</v>
      </c>
      <c r="Z132" s="197">
        <f t="shared" si="59"/>
        <v>1.6E-2</v>
      </c>
      <c r="AA132" s="197">
        <f t="shared" si="60"/>
        <v>23.282800000000002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61"/>
        <v>218</v>
      </c>
      <c r="AE132" s="77" t="str">
        <f t="shared" si="44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132" s="74" t="str">
        <f t="shared" si="45"/>
        <v>"C:\Program Files (x86)\AstroGrep\AstroGrep.exe" /e /r /s /spath="%USERPROFILE%\AppData\Local\Temp\OnboardLogs" /stypes="app*4039*20170616*" /stext=" 01:.+((SYSTEM_STATE.+slice.+state.+changed )|(ment ac)|(multiple cpu faults)|(system.+state.+changed )|(\[timeout)|(PRM\|1\|D)|(kpr)|(kdp)|(train st.+moving)|(\|lc)|(penalty))"</v>
      </c>
      <c r="AG132" s="209" t="str">
        <f t="shared" si="62"/>
        <v>EC</v>
      </c>
      <c r="AH132" s="78" t="str">
        <f t="shared" si="47"/>
        <v>"%USERPROFILE%\Documents\GitHub\eaglep3\Utilities\RefineRTDCRunTimes.py" --tripid 218-15 --locoid 4039 --swversion DE.1.0.9.0 --startMP 204:232988 --initTime 2017-06-15T19:00:57 --startdatetime 2017-06-15T19:12:26 --delay 1 --endMP 204:160 --enddatetime 2017-06-15T19:51:01 --enforcementcount 0 &gt;&gt;C:\Users\stu\Documents\GitHub\eaglep3-reporting\EC\2017-06-15-refined-times.txt</v>
      </c>
      <c r="AI132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{"issue":{"subject":"","project_id":79,"tracker_id":40,"status_id":1,"priority_id":2,"assigned_to_id":23,"start_date":"2017-06-15","description":"","custom_fields":[{"id":1,"name":"Subdivision","value":"EC"},{"id":4,"name":"Milepost","value":"0.016"},{"id":17,"name":"Train ID","value":"218-15"},{"id":16,"name":"Locomotive ID","value":"4039"},{"id":130,"name":"Impact","value":""},{"id":150,"name":"Time of Event (Mountain Time)","value":"19:51:01"},{"id":151,"name":"Denver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9"/>
        <v>start /low /b %USERPROFILE%\Documents\GitHub\eaglep3\Utilities\DownloadLogsFromS3.py --loco 4039 --day 2017-06-15</v>
      </c>
      <c r="AN132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802</v>
      </c>
      <c r="B133" s="7">
        <v>4032</v>
      </c>
      <c r="C133" s="21" t="s">
        <v>202</v>
      </c>
      <c r="D133" s="21" t="s">
        <v>893</v>
      </c>
      <c r="E133" s="13">
        <v>42901.764247685183</v>
      </c>
      <c r="F133" s="13">
        <v>42901.771469907406</v>
      </c>
      <c r="G133" s="7">
        <v>1</v>
      </c>
      <c r="H133" s="21" t="s">
        <v>587</v>
      </c>
      <c r="I133" s="13">
        <v>42901.796550925923</v>
      </c>
      <c r="J133" s="7">
        <v>0</v>
      </c>
      <c r="K133" s="89" t="str">
        <f t="shared" si="55"/>
        <v>4031/4032</v>
      </c>
      <c r="L133" s="21" t="str">
        <f>VLOOKUP(A133,'Trips&amp;Operators'!$C$1:$G$99999,5,FALSE)</f>
        <v>FORTUNATO FRANK</v>
      </c>
      <c r="M133" s="6">
        <f t="shared" si="56"/>
        <v>2.5081018517084885E-2</v>
      </c>
      <c r="N133" s="7">
        <f t="shared" si="64"/>
        <v>36.116666664602235</v>
      </c>
      <c r="O133" s="7"/>
      <c r="P133" s="7"/>
      <c r="Q133" s="22"/>
      <c r="R133" s="170"/>
      <c r="S133" s="213">
        <f t="shared" si="65"/>
        <v>1</v>
      </c>
      <c r="T133" s="195" t="str">
        <f t="shared" si="57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8"/>
        <v>https://d0f6bd738d7f1b3e5a7ca70fe4ff75f0.us-east-1.aws.found.io/app/kibana#/discover/Steve-Slow-Train-Analysis-(2080s-and-2083s)?_g=(refreshInterval:(display:Off,pause:!f,section:0,value:0),time:(from:'2017-06-15T17:20:31-0600',mode:absolute,to:'2017-06-15T20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3" s="197" t="str">
        <f>IF(AA133&lt;VLOOKUP(AG133,Variables!$AC$3:$AD$8,2,FALSE),"Y","N")</f>
        <v>N</v>
      </c>
      <c r="X133" s="197">
        <f t="shared" si="66"/>
        <v>1</v>
      </c>
      <c r="Y133" s="197">
        <f t="shared" si="58"/>
        <v>0.1148</v>
      </c>
      <c r="Z133" s="197">
        <f t="shared" si="59"/>
        <v>23.331700000000001</v>
      </c>
      <c r="AA133" s="197">
        <f t="shared" si="60"/>
        <v>23.216900000000003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61"/>
        <v>219</v>
      </c>
      <c r="AE133" s="77" t="str">
        <f t="shared" si="44"/>
        <v>aws s3 cp s3://rtdc.mdm.uploadarchive.raw/RTDC4032/ "%USERPROFILE%\AppData\Local\Temp\OnboardLogs"\RTDC4032\2017-06-15 --exclude "*" --recursive --include "*20170615*" &amp; "%USERPROFILE%\Documents\GitHub\mrs-test-scripts\Headless Mode &amp; Sideloading\WalkAndUnGZ.bat" "%USERPROFILE%\AppData\Local\Temp\OnboardLogs"\RTDC4032\2017-06-15 &amp; aws s3 cp s3://rtdc.mdm.uploadarchive.raw/RTDC4032/ "%USERPROFILE%\AppData\Local\Temp\OnboardLogs"\RTDC4032\2017-06-16 --exclude "*" --recursive --include "*20170616*" &amp; "%USERPROFILE%\Documents\GitHub\mrs-test-scripts\Headless Mode &amp; Sideloading\WalkAndUnGZ.bat" "%USERPROFILE%\AppData\Local\Temp\OnboardLogs"\RTDC4032\2017-06-16</v>
      </c>
      <c r="AF133" s="74" t="str">
        <f t="shared" si="45"/>
        <v>"C:\Program Files (x86)\AstroGrep\AstroGrep.exe" /e /r /s /spath="%USERPROFILE%\AppData\Local\Temp\OnboardLogs" /stypes="app*4032*20170616*" /stext=" 01:.+((SYSTEM_STATE.+slice.+state.+changed )|(ment ac)|(multiple cpu faults)|(system.+state.+changed )|(\[timeout)|(PRM\|1\|D)|(kpr)|(kdp)|(train st.+moving)|(\|lc)|(penalty))"</v>
      </c>
      <c r="AG133" s="209" t="str">
        <f t="shared" si="62"/>
        <v>EC</v>
      </c>
      <c r="AH133" s="78" t="str">
        <f t="shared" si="47"/>
        <v>"%USERPROFILE%\Documents\GitHub\eaglep3\Utilities\RefineRTDCRunTimes.py" --tripid 219-15 --locoid 4032 --swversion DE.1.0.9.0 --startMP 204:1148 --initTime 2017-06-15T18:20:31 --startdatetime 2017-06-15T18:30:55 --delay 1 --endMP 204:233317 --enddatetime 2017-06-15T19:07:02 --enforcementcount 0 &gt;&gt;C:\Users\stu\Documents\GitHub\eaglep3-reporting\EC\2017-06-15-refined-times.txt</v>
      </c>
      <c r="AI133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{"issue":{"subject":"","project_id":79,"tracker_id":40,"status_id":1,"priority_id":2,"assigned_to_id":23,"start_date":"2017-06-15","description":"","custom_fields":[{"id":1,"name":"Subdivision","value":"EC"},{"id":4,"name":"Milepost","value":"23.3317"},{"id":17,"name":"Train ID","value":"219-15"},{"id":16,"name":"Locomotive ID","value":"4032"},{"id":130,"name":"Impact","value":""},{"id":150,"name":"Time of Event (Mountain Time)","value":"19:07:02"},{"id":151,"name":"Denver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9"/>
        <v>start /low /b %USERPROFILE%\Documents\GitHub\eaglep3\Utilities\DownloadLogsFromS3.py --loco 4032 --day 2017-06-15</v>
      </c>
      <c r="AN133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813</v>
      </c>
      <c r="B134" s="7">
        <v>4031</v>
      </c>
      <c r="C134" s="21" t="s">
        <v>202</v>
      </c>
      <c r="D134" s="21" t="s">
        <v>586</v>
      </c>
      <c r="E134" s="13">
        <v>42901.800185185188</v>
      </c>
      <c r="F134" s="13">
        <v>42901.810578703706</v>
      </c>
      <c r="G134" s="7">
        <v>1</v>
      </c>
      <c r="H134" s="21" t="s">
        <v>359</v>
      </c>
      <c r="I134" s="13">
        <v>42901.83761574074</v>
      </c>
      <c r="J134" s="7">
        <v>0</v>
      </c>
      <c r="K134" s="89" t="str">
        <f t="shared" si="55"/>
        <v>4031/4032</v>
      </c>
      <c r="L134" s="21" t="str">
        <f>VLOOKUP(A134,'Trips&amp;Operators'!$C$1:$G$99999,5,FALSE)</f>
        <v>FORTUNATO FRANK</v>
      </c>
      <c r="M134" s="6">
        <f t="shared" si="56"/>
        <v>2.7037037034460809E-2</v>
      </c>
      <c r="N134" s="7">
        <f t="shared" si="64"/>
        <v>38.933333329623565</v>
      </c>
      <c r="O134" s="7"/>
      <c r="P134" s="7"/>
      <c r="Q134" s="22"/>
      <c r="R134" s="170"/>
      <c r="S134" s="213">
        <f t="shared" si="65"/>
        <v>1</v>
      </c>
      <c r="T134" s="195" t="str">
        <f t="shared" si="57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8"/>
        <v>https://d0f6bd738d7f1b3e5a7ca70fe4ff75f0.us-east-1.aws.found.io/app/kibana#/discover/Steve-Slow-Train-Analysis-(2080s-and-2083s)?_g=(refreshInterval:(display:Off,pause:!f,section:0,value:0),time:(from:'2017-06-15T18:12:16-0600',mode:absolute,to:'2017-06-15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4" s="197" t="str">
        <f>IF(AA134&lt;VLOOKUP(AG134,Variables!$AC$3:$AD$8,2,FALSE),"Y","N")</f>
        <v>N</v>
      </c>
      <c r="X134" s="197">
        <f t="shared" si="66"/>
        <v>1</v>
      </c>
      <c r="Y134" s="197">
        <f t="shared" si="58"/>
        <v>23.3</v>
      </c>
      <c r="Z134" s="197">
        <f t="shared" si="59"/>
        <v>1.41E-2</v>
      </c>
      <c r="AA134" s="197">
        <f t="shared" si="60"/>
        <v>23.285900000000002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61"/>
        <v>220</v>
      </c>
      <c r="AE134" s="77" t="str">
        <f t="shared" si="44"/>
        <v>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 &amp; aws s3 cp s3://rtdc.mdm.uploadarchive.raw/RTDC4031/ "%USERPROFILE%\AppData\Local\Temp\OnboardLogs"\RTDC4031\2017-06-16 --exclude "*" --recursive --include "*20170616*" &amp; "%USERPROFILE%\Documents\GitHub\mrs-test-scripts\Headless Mode &amp; Sideloading\WalkAndUnGZ.bat" "%USERPROFILE%\AppData\Local\Temp\OnboardLogs"\RTDC4031\2017-06-16</v>
      </c>
      <c r="AF134" s="74" t="str">
        <f t="shared" si="45"/>
        <v>"C:\Program Files (x86)\AstroGrep\AstroGrep.exe" /e /r /s /spath="%USERPROFILE%\AppData\Local\Temp\OnboardLogs" /stypes="app*4031*20170616*" /stext=" 02:.+((SYSTEM_STATE.+slice.+state.+changed )|(ment ac)|(multiple cpu faults)|(system.+state.+changed )|(\[timeout)|(PRM\|1\|D)|(kpr)|(kdp)|(train st.+moving)|(\|lc)|(penalty))"</v>
      </c>
      <c r="AG134" s="209" t="str">
        <f t="shared" si="62"/>
        <v>EC</v>
      </c>
      <c r="AH134" s="78" t="str">
        <f t="shared" si="47"/>
        <v>"%USERPROFILE%\Documents\GitHub\eaglep3\Utilities\RefineRTDCRunTimes.py" --tripid 220-15 --locoid 4031 --swversion DE.1.0.9.0 --startMP 204:233000 --initTime 2017-06-15T19:12:16 --startdatetime 2017-06-15T19:27:14 --delay 1 --endMP 204:141 --enddatetime 2017-06-15T20:06:10 --enforcementcount 0 &gt;&gt;C:\Users\stu\Documents\GitHub\eaglep3-reporting\EC\2017-06-15-refined-times.txt</v>
      </c>
      <c r="AI134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{"issue":{"subject":"","project_id":79,"tracker_id":40,"status_id":1,"priority_id":2,"assigned_to_id":23,"start_date":"2017-06-15","description":"","custom_fields":[{"id":1,"name":"Subdivision","value":"EC"},{"id":4,"name":"Milepost","value":"0.0141"},{"id":17,"name":"Train ID","value":"220-15"},{"id":16,"name":"Locomotive ID","value":"4031"},{"id":130,"name":"Impact","value":""},{"id":150,"name":"Time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9"/>
        <v>start /low /b %USERPROFILE%\Documents\GitHub\eaglep3\Utilities\DownloadLogsFromS3.py --loco 4031 --day 2017-06-15</v>
      </c>
      <c r="AN134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808</v>
      </c>
      <c r="B135" s="7">
        <v>4054</v>
      </c>
      <c r="C135" s="21" t="s">
        <v>202</v>
      </c>
      <c r="D135" s="21" t="s">
        <v>352</v>
      </c>
      <c r="E135" s="13">
        <v>42901.786817129629</v>
      </c>
      <c r="F135" s="13">
        <v>42901.792731481481</v>
      </c>
      <c r="G135" s="7">
        <v>3</v>
      </c>
      <c r="H135" s="21" t="s">
        <v>444</v>
      </c>
      <c r="I135" s="13">
        <v>42901.817800925928</v>
      </c>
      <c r="J135" s="7">
        <v>0</v>
      </c>
      <c r="K135" s="89" t="str">
        <f t="shared" si="55"/>
        <v>4053/4054</v>
      </c>
      <c r="L135" s="21" t="str">
        <f>VLOOKUP(A135,'Trips&amp;Operators'!$C$1:$G$99999,5,FALSE)</f>
        <v>ZEWDU DEREJE</v>
      </c>
      <c r="M135" s="6">
        <f t="shared" si="56"/>
        <v>2.5069444447581191E-2</v>
      </c>
      <c r="N135" s="7">
        <f t="shared" si="64"/>
        <v>36.100000004516914</v>
      </c>
      <c r="O135" s="7"/>
      <c r="P135" s="7"/>
      <c r="Q135" s="22"/>
      <c r="R135" s="170"/>
      <c r="S135" s="213">
        <f t="shared" si="65"/>
        <v>1</v>
      </c>
      <c r="T135" s="195" t="str">
        <f t="shared" si="57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8"/>
        <v>https://d0f6bd738d7f1b3e5a7ca70fe4ff75f0.us-east-1.aws.found.io/app/kibana#/discover/Steve-Slow-Train-Analysis-(2080s-and-2083s)?_g=(refreshInterval:(display:Off,pause:!f,section:0,value:0),time:(from:'2017-06-15T17:53:01-0600',mode:absolute,to:'2017-06-15T20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97" t="str">
        <f>IF(AA135&lt;VLOOKUP(AG135,Variables!$AC$3:$AD$8,2,FALSE),"Y","N")</f>
        <v>N</v>
      </c>
      <c r="X135" s="197">
        <f t="shared" si="66"/>
        <v>1</v>
      </c>
      <c r="Y135" s="197">
        <f t="shared" si="58"/>
        <v>4.6600000000000003E-2</v>
      </c>
      <c r="Z135" s="197">
        <f t="shared" si="59"/>
        <v>23.328900000000001</v>
      </c>
      <c r="AA135" s="197">
        <f t="shared" si="60"/>
        <v>23.282299999999999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61"/>
        <v>221</v>
      </c>
      <c r="AE135" s="77" t="str">
        <f t="shared" si="44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135" s="74" t="str">
        <f t="shared" si="45"/>
        <v>"C:\Program Files (x86)\AstroGrep\AstroGrep.exe" /e /r /s /spath="%USERPROFILE%\AppData\Local\Temp\OnboardLogs" /stypes="app*4054*20170616*" /stext=" 01:.+((SYSTEM_STATE.+slice.+state.+changed )|(ment ac)|(multiple cpu faults)|(system.+state.+changed )|(\[timeout)|(PRM\|1\|D)|(kpr)|(kdp)|(train st.+moving)|(\|lc)|(penalty))"</v>
      </c>
      <c r="AG135" s="209" t="str">
        <f t="shared" si="62"/>
        <v>EC</v>
      </c>
      <c r="AH135" s="78" t="str">
        <f t="shared" si="47"/>
        <v>"%USERPROFILE%\Documents\GitHub\eaglep3\Utilities\RefineRTDCRunTimes.py" --tripid 221-15 --locoid 4054 --swversion DE.1.0.9.0 --startMP 204:466 --initTime 2017-06-15T18:53:01 --startdatetime 2017-06-15T19:01:32 --delay 3 --endMP 204:233289 --enddatetime 2017-06-15T19:37:38 --enforcementcount 0 &gt;&gt;C:\Users\stu\Documents\GitHub\eaglep3-reporting\EC\2017-06-15-refined-times.txt</v>
      </c>
      <c r="AI135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{"issue":{"subject":"","project_id":79,"tracker_id":40,"status_id":1,"priority_id":2,"assigned_to_id":23,"start_date":"2017-06-15","description":"","custom_fields":[{"id":1,"name":"Subdivision","value":"EC"},{"id":4,"name":"Milepost","value":"23.3289"},{"id":17,"name":"Train ID","value":"221-15"},{"id":16,"name":"Locomotive ID","value":"4054"},{"id":130,"name":"Impact","value":""},{"id":150,"name":"Time of Event (Mountain Time)","value":"19:37:38"},{"id":151,"name":"Denver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9"/>
        <v>start /low /b %USERPROFILE%\Documents\GitHub\eaglep3\Utilities\DownloadLogsFromS3.py --loco 4054 --day 2017-06-15</v>
      </c>
      <c r="AN135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659</v>
      </c>
      <c r="B136" s="7">
        <v>4053</v>
      </c>
      <c r="C136" s="21" t="s">
        <v>202</v>
      </c>
      <c r="D136" s="21" t="s">
        <v>474</v>
      </c>
      <c r="E136" s="13">
        <v>42901.825231481482</v>
      </c>
      <c r="F136" s="13">
        <v>42901.83148148148</v>
      </c>
      <c r="G136" s="7">
        <v>1</v>
      </c>
      <c r="H136" s="21" t="s">
        <v>194</v>
      </c>
      <c r="I136" s="13">
        <v>42901.859571759262</v>
      </c>
      <c r="J136" s="7">
        <v>0</v>
      </c>
      <c r="K136" s="89" t="str">
        <f t="shared" si="55"/>
        <v>4053/4054</v>
      </c>
      <c r="L136" s="21" t="str">
        <f>VLOOKUP(A136,'Trips&amp;Operators'!$C$1:$G$99999,5,FALSE)</f>
        <v>ZEWDU DEREJE</v>
      </c>
      <c r="M136" s="6">
        <f t="shared" si="56"/>
        <v>2.8090277781302575E-2</v>
      </c>
      <c r="N136" s="7">
        <f t="shared" si="64"/>
        <v>40.450000005075708</v>
      </c>
      <c r="O136" s="7"/>
      <c r="P136" s="7"/>
      <c r="Q136" s="22"/>
      <c r="R136" s="170"/>
      <c r="S136" s="213">
        <f t="shared" si="65"/>
        <v>1</v>
      </c>
      <c r="T136" s="195" t="str">
        <f t="shared" si="57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8"/>
        <v>https://d0f6bd738d7f1b3e5a7ca70fe4ff75f0.us-east-1.aws.found.io/app/kibana#/discover/Steve-Slow-Train-Analysis-(2080s-and-2083s)?_g=(refreshInterval:(display:Off,pause:!f,section:0,value:0),time:(from:'2017-06-15T18:48:20-0600',mode:absolute,to:'2017-06-15T21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197" t="str">
        <f>IF(AA136&lt;VLOOKUP(AG136,Variables!$AC$3:$AD$8,2,FALSE),"Y","N")</f>
        <v>N</v>
      </c>
      <c r="X136" s="197">
        <f t="shared" si="66"/>
        <v>1</v>
      </c>
      <c r="Y136" s="197">
        <f t="shared" si="58"/>
        <v>23.297499999999999</v>
      </c>
      <c r="Z136" s="197">
        <f t="shared" si="59"/>
        <v>1.5800000000000002E-2</v>
      </c>
      <c r="AA136" s="197">
        <f t="shared" si="60"/>
        <v>23.281700000000001</v>
      </c>
      <c r="AB136" s="54" t="str">
        <f>VLOOKUP(A136,Enforcements!$C$7:$K$13,8,0)</f>
        <v>Bulletin (2)</v>
      </c>
      <c r="AC136" s="51" t="str">
        <f>VLOOKUP(A136,Enforcements!$C$7:$E$13,3,0)</f>
        <v>GRADE CROSSING</v>
      </c>
      <c r="AD136" s="206">
        <f t="shared" si="61"/>
        <v>222</v>
      </c>
      <c r="AE136" s="77" t="str">
        <f t="shared" si="44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136" s="74" t="str">
        <f t="shared" si="45"/>
        <v>"C:\Program Files (x86)\AstroGrep\AstroGrep.exe" /e /r /s /spath="%USERPROFILE%\AppData\Local\Temp\OnboardLogs" /stypes="app*4053*20170616*" /stext=" 02:.+((SYSTEM_STATE.+slice.+state.+changed )|(ment ac)|(multiple cpu faults)|(system.+state.+changed )|(\[timeout)|(PRM\|1\|D)|(kpr)|(kdp)|(train st.+moving)|(\|lc)|(penalty))"</v>
      </c>
      <c r="AG136" s="209" t="str">
        <f t="shared" si="62"/>
        <v>EC</v>
      </c>
      <c r="AH136" s="78" t="str">
        <f t="shared" si="47"/>
        <v>"%USERPROFILE%\Documents\GitHub\eaglep3\Utilities\RefineRTDCRunTimes.py" --tripid 222-15 --locoid 4053 --swversion DE.1.0.9.0 --startMP 204:232975 --initTime 2017-06-15T19:48:20 --startdatetime 2017-06-15T19:57:20 --delay 1 --endMP 204:158 --enddatetime 2017-06-15T20:37:47 --enforcementcount 0 &gt;&gt;C:\Users\stu\Documents\GitHub\eaglep3-reporting\EC\2017-06-15-refined-times.txt</v>
      </c>
      <c r="AI136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{"issue":{"subject":"","project_id":79,"tracker_id":40,"status_id":1,"priority_id":2,"assigned_to_id":23,"start_date":"2017-06-15","description":"","custom_fields":[{"id":1,"name":"Subdivision","value":"EC"},{"id":4,"name":"Milepost","value":"0.0158"},{"id":17,"name":"Train ID","value":"222-15"},{"id":16,"name":"Locomotive ID","value":"4053"},{"id":130,"name":"Impact","value":""},{"id":150,"name":"Time of Event (Mountain Time)","value":"20:37:47"},{"id":151,"name":"Denver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9"/>
        <v>start /low /b %USERPROFILE%\Documents\GitHub\eaglep3\Utilities\DownloadLogsFromS3.py --loco 4053 --day 2017-06-15</v>
      </c>
      <c r="AN136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814</v>
      </c>
      <c r="B137" s="7">
        <v>4046</v>
      </c>
      <c r="C137" s="21" t="s">
        <v>202</v>
      </c>
      <c r="D137" s="21" t="s">
        <v>392</v>
      </c>
      <c r="E137" s="13">
        <v>42901.808055555557</v>
      </c>
      <c r="F137" s="13">
        <v>42901.8127662037</v>
      </c>
      <c r="G137" s="7">
        <v>1</v>
      </c>
      <c r="H137" s="21" t="s">
        <v>497</v>
      </c>
      <c r="I137" s="13">
        <v>42901.838240740741</v>
      </c>
      <c r="J137" s="7">
        <v>0</v>
      </c>
      <c r="K137" s="89" t="str">
        <f t="shared" si="55"/>
        <v>4045/4046</v>
      </c>
      <c r="L137" s="21" t="str">
        <f>VLOOKUP(A137,'Trips&amp;Operators'!$C$1:$G$99999,5,FALSE)</f>
        <v>SMITH MICHAEL</v>
      </c>
      <c r="M137" s="6">
        <f t="shared" si="56"/>
        <v>2.5474537040281575E-2</v>
      </c>
      <c r="N137" s="7">
        <f t="shared" si="64"/>
        <v>36.683333338005468</v>
      </c>
      <c r="O137" s="7"/>
      <c r="P137" s="7"/>
      <c r="Q137" s="22"/>
      <c r="R137" s="170"/>
      <c r="S137" s="213">
        <f t="shared" si="65"/>
        <v>1</v>
      </c>
      <c r="T137" s="195" t="str">
        <f t="shared" si="57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8"/>
        <v>https://d0f6bd738d7f1b3e5a7ca70fe4ff75f0.us-east-1.aws.found.io/app/kibana#/discover/Steve-Slow-Train-Analysis-(2080s-and-2083s)?_g=(refreshInterval:(display:Off,pause:!f,section:0,value:0),time:(from:'2017-06-15T18:23:36-0600',mode:absolute,to:'2017-06-15T21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7" s="197" t="str">
        <f>IF(AA137&lt;VLOOKUP(AG137,Variables!$AC$3:$AD$8,2,FALSE),"Y","N")</f>
        <v>N</v>
      </c>
      <c r="X137" s="197">
        <f t="shared" si="66"/>
        <v>1</v>
      </c>
      <c r="Y137" s="197">
        <f t="shared" si="58"/>
        <v>4.6199999999999998E-2</v>
      </c>
      <c r="Z137" s="197">
        <f t="shared" si="59"/>
        <v>23.328399999999998</v>
      </c>
      <c r="AA137" s="197">
        <f t="shared" si="60"/>
        <v>23.2822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61"/>
        <v>223</v>
      </c>
      <c r="AE137" s="77" t="str">
        <f t="shared" si="44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137" s="74" t="str">
        <f t="shared" si="45"/>
        <v>"C:\Program Files (x86)\AstroGrep\AstroGrep.exe" /e /r /s /spath="%USERPROFILE%\AppData\Local\Temp\OnboardLogs" /stypes="app*4046*20170616*" /stext=" 02:.+((SYSTEM_STATE.+slice.+state.+changed )|(ment ac)|(multiple cpu faults)|(system.+state.+changed )|(\[timeout)|(PRM\|1\|D)|(kpr)|(kdp)|(train st.+moving)|(\|lc)|(penalty))"</v>
      </c>
      <c r="AG137" s="209" t="str">
        <f t="shared" si="62"/>
        <v>EC</v>
      </c>
      <c r="AH137" s="78" t="str">
        <f t="shared" si="47"/>
        <v>"%USERPROFILE%\Documents\GitHub\eaglep3\Utilities\RefineRTDCRunTimes.py" --tripid 223-15 --locoid 4046 --swversion DE.1.0.9.0 --startMP 204:462 --initTime 2017-06-15T19:23:36 --startdatetime 2017-06-15T19:30:23 --delay 1 --endMP 204:233284 --enddatetime 2017-06-15T20:07:04 --enforcementcount 0 &gt;&gt;C:\Users\stu\Documents\GitHub\eaglep3-reporting\EC\2017-06-15-refined-times.txt</v>
      </c>
      <c r="AI137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{"issue":{"subject":"","project_id":79,"tracker_id":40,"status_id":1,"priority_id":2,"assigned_to_id":23,"start_date":"2017-06-15","description":"","custom_fields":[{"id":1,"name":"Subdivision","value":"EC"},{"id":4,"name":"Milepost","value":"23.3284"},{"id":17,"name":"Train ID","value":"223-15"},{"id":16,"name":"Locomotive ID","value":"4046"},{"id":130,"name":"Impact","value":""},{"id":150,"name":"Time of Event (Mountain Time)","value":"20:07:04"},{"id":151,"name":"Denver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9"/>
        <v>start /low /b %USERPROFILE%\Documents\GitHub\eaglep3\Utilities\DownloadLogsFromS3.py --loco 4046 --day 2017-06-15</v>
      </c>
      <c r="AN137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818</v>
      </c>
      <c r="B138" s="7">
        <v>4045</v>
      </c>
      <c r="C138" s="21" t="s">
        <v>202</v>
      </c>
      <c r="D138" s="21" t="s">
        <v>592</v>
      </c>
      <c r="E138" s="13">
        <v>42901.843773148146</v>
      </c>
      <c r="F138" s="13">
        <v>42901.85229166667</v>
      </c>
      <c r="G138" s="7">
        <v>1</v>
      </c>
      <c r="H138" s="21" t="s">
        <v>357</v>
      </c>
      <c r="I138" s="13">
        <v>42901.879247685189</v>
      </c>
      <c r="J138" s="7">
        <v>0</v>
      </c>
      <c r="K138" s="89" t="str">
        <f t="shared" si="55"/>
        <v>4045/4046</v>
      </c>
      <c r="L138" s="21" t="str">
        <f>VLOOKUP(A138,'Trips&amp;Operators'!$C$1:$G$99999,5,FALSE)</f>
        <v>SMITH MICHAEL</v>
      </c>
      <c r="M138" s="6">
        <f t="shared" si="56"/>
        <v>2.6956018518831115E-2</v>
      </c>
      <c r="N138" s="7">
        <f t="shared" si="64"/>
        <v>38.816666667116806</v>
      </c>
      <c r="O138" s="7"/>
      <c r="P138" s="7"/>
      <c r="Q138" s="22"/>
      <c r="R138" s="170"/>
      <c r="S138" s="213">
        <f t="shared" si="65"/>
        <v>1</v>
      </c>
      <c r="T138" s="195" t="str">
        <f t="shared" si="57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8"/>
        <v>https://d0f6bd738d7f1b3e5a7ca70fe4ff75f0.us-east-1.aws.found.io/app/kibana#/discover/Steve-Slow-Train-Analysis-(2080s-and-2083s)?_g=(refreshInterval:(display:Off,pause:!f,section:0,value:0),time:(from:'2017-06-15T19:15:02-0600',mode:absolute,to:'2017-06-15T22:06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8" s="197" t="str">
        <f>IF(AA138&lt;VLOOKUP(AG138,Variables!$AC$3:$AD$8,2,FALSE),"Y","N")</f>
        <v>N</v>
      </c>
      <c r="X138" s="197">
        <f t="shared" si="66"/>
        <v>1</v>
      </c>
      <c r="Y138" s="197">
        <f t="shared" si="58"/>
        <v>23.2957</v>
      </c>
      <c r="Z138" s="197">
        <f t="shared" si="59"/>
        <v>1.3899999999999999E-2</v>
      </c>
      <c r="AA138" s="197">
        <f t="shared" si="60"/>
        <v>23.2818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61"/>
        <v>224</v>
      </c>
      <c r="AE138" s="77" t="str">
        <f t="shared" si="44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138" s="74" t="str">
        <f t="shared" si="45"/>
        <v>"C:\Program Files (x86)\AstroGrep\AstroGrep.exe" /e /r /s /spath="%USERPROFILE%\AppData\Local\Temp\OnboardLogs" /stypes="app*4045*20170616*" /stext=" 03:.+((SYSTEM_STATE.+slice.+state.+changed )|(ment ac)|(multiple cpu faults)|(system.+state.+changed )|(\[timeout)|(PRM\|1\|D)|(kpr)|(kdp)|(train st.+moving)|(\|lc)|(penalty))"</v>
      </c>
      <c r="AG138" s="209" t="str">
        <f t="shared" si="62"/>
        <v>EC</v>
      </c>
      <c r="AH138" s="78" t="str">
        <f t="shared" si="47"/>
        <v>"%USERPROFILE%\Documents\GitHub\eaglep3\Utilities\RefineRTDCRunTimes.py" --tripid 224-15 --locoid 4045 --swversion DE.1.0.9.0 --startMP 204:232957 --initTime 2017-06-15T20:15:02 --startdatetime 2017-06-15T20:27:18 --delay 1 --endMP 204:139 --enddatetime 2017-06-15T21:06:07 --enforcementcount 0 &gt;&gt;C:\Users\stu\Documents\GitHub\eaglep3-reporting\EC\2017-06-15-refined-times.txt</v>
      </c>
      <c r="AI138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{"issue":{"subject":"","project_id":79,"tracker_id":40,"status_id":1,"priority_id":2,"assigned_to_id":23,"start_date":"2017-06-15","description":"","custom_fields":[{"id":1,"name":"Subdivision","value":"EC"},{"id":4,"name":"Milepost","value":"0.0139"},{"id":17,"name":"Train ID","value":"224-15"},{"id":16,"name":"Locomotive ID","value":"4045"},{"id":130,"name":"Impact","value":""},{"id":150,"name":"Time of Event (Mountain Time)","value":"21:06:07"},{"id":151,"name":"Denver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9"/>
        <v>start /low /b %USERPROFILE%\Documents\GitHub\eaglep3\Utilities\DownloadLogsFromS3.py --loco 4045 --day 2017-06-15</v>
      </c>
      <c r="AN138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03:06:07"},{"id":29,"name":"Sharepoint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816</v>
      </c>
      <c r="B139" s="7">
        <v>4040</v>
      </c>
      <c r="C139" s="21" t="s">
        <v>202</v>
      </c>
      <c r="D139" s="21" t="s">
        <v>573</v>
      </c>
      <c r="E139" s="13">
        <v>42901.828703703701</v>
      </c>
      <c r="F139" s="13">
        <v>42901.833495370367</v>
      </c>
      <c r="G139" s="7">
        <v>1</v>
      </c>
      <c r="H139" s="21" t="s">
        <v>462</v>
      </c>
      <c r="I139" s="13">
        <v>42901.8593287037</v>
      </c>
      <c r="J139" s="7">
        <v>0</v>
      </c>
      <c r="K139" s="89" t="str">
        <f t="shared" si="55"/>
        <v>4039/4040</v>
      </c>
      <c r="L139" s="21" t="str">
        <f>VLOOKUP(A139,'Trips&amp;Operators'!$C$1:$G$99999,5,FALSE)</f>
        <v>PERKINS DARREN</v>
      </c>
      <c r="M139" s="6">
        <f t="shared" si="56"/>
        <v>2.5833333333139308E-2</v>
      </c>
      <c r="N139" s="7">
        <f t="shared" si="64"/>
        <v>37.199999999720603</v>
      </c>
      <c r="O139" s="7"/>
      <c r="P139" s="7"/>
      <c r="Q139" s="22"/>
      <c r="R139" s="170"/>
      <c r="S139" s="213">
        <f t="shared" si="65"/>
        <v>1</v>
      </c>
      <c r="T139" s="195" t="str">
        <f t="shared" si="57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8"/>
        <v>https://d0f6bd738d7f1b3e5a7ca70fe4ff75f0.us-east-1.aws.found.io/app/kibana#/discover/Steve-Slow-Train-Analysis-(2080s-and-2083s)?_g=(refreshInterval:(display:Off,pause:!f,section:0,value:0),time:(from:'2017-06-15T18:53:20-0600',mode:absolute,to:'2017-06-15T21:37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9" s="197" t="str">
        <f>IF(AA139&lt;VLOOKUP(AG139,Variables!$AC$3:$AD$8,2,FALSE),"Y","N")</f>
        <v>N</v>
      </c>
      <c r="X139" s="197">
        <f t="shared" si="66"/>
        <v>1</v>
      </c>
      <c r="Y139" s="197">
        <f t="shared" si="58"/>
        <v>4.7800000000000002E-2</v>
      </c>
      <c r="Z139" s="197">
        <f t="shared" si="59"/>
        <v>23.329499999999999</v>
      </c>
      <c r="AA139" s="197">
        <f t="shared" si="60"/>
        <v>23.281700000000001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61"/>
        <v>225</v>
      </c>
      <c r="AE139" s="77" t="str">
        <f t="shared" si="44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139" s="74" t="str">
        <f t="shared" si="45"/>
        <v>"C:\Program Files (x86)\AstroGrep\AstroGrep.exe" /e /r /s /spath="%USERPROFILE%\AppData\Local\Temp\OnboardLogs" /stypes="app*4040*20170616*" /stext=" 02:.+((SYSTEM_STATE.+slice.+state.+changed )|(ment ac)|(multiple cpu faults)|(system.+state.+changed )|(\[timeout)|(PRM\|1\|D)|(kpr)|(kdp)|(train st.+moving)|(\|lc)|(penalty))"</v>
      </c>
      <c r="AG139" s="209" t="str">
        <f t="shared" si="62"/>
        <v>EC</v>
      </c>
      <c r="AH139" s="78" t="str">
        <f t="shared" si="47"/>
        <v>"%USERPROFILE%\Documents\GitHub\eaglep3\Utilities\RefineRTDCRunTimes.py" --tripid 225-15 --locoid 4040 --swversion DE.1.0.9.0 --startMP 204:478 --initTime 2017-06-15T19:53:20 --startdatetime 2017-06-15T20:00:14 --delay 1 --endMP 204:233295 --enddatetime 2017-06-15T20:37:26 --enforcementcount 0 &gt;&gt;C:\Users\stu\Documents\GitHub\eaglep3-reporting\EC\2017-06-15-refined-times.txt</v>
      </c>
      <c r="AI139" s="96" t="str">
        <f t="shared" si="48"/>
        <v>echo {"issue":{"subject":"","project_id":79,"tracker_id":40,"status_id":1,"priority_id":2,"assigned_to_id":23,"start_date":"2017-06-15","description":"","custom_fields":[{"id":1,"name":"Subdivision","value":"EC"},{"id":4,"name":"Milepost","value":"23.3295"},{"id":17,"name":"Train ID","value":"225-15"},{"id":16,"name":"Locomotive ID","value":"4040"},{"id":130,"name":"Impact","value":""},{"id":150,"name":"Time of Event (Mountain Time)","value":"20:37:26"},{"id":151,"name":"Denver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9"/>
        <v>start /low /b %USERPROFILE%\Documents\GitHub\eaglep3\Utilities\DownloadLogsFromS3.py --loco 4040 --day 2017-06-15</v>
      </c>
      <c r="AN139" s="151" t="str">
        <f t="shared" si="5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02:37:26"},{"id":29,"name":"Sharepoint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822</v>
      </c>
      <c r="B140" s="7">
        <v>4039</v>
      </c>
      <c r="C140" s="21" t="s">
        <v>202</v>
      </c>
      <c r="D140" s="21" t="s">
        <v>453</v>
      </c>
      <c r="E140" s="13">
        <v>42901.866886574076</v>
      </c>
      <c r="F140" s="13">
        <v>42901.873194444444</v>
      </c>
      <c r="G140" s="7">
        <v>1</v>
      </c>
      <c r="H140" s="21" t="s">
        <v>193</v>
      </c>
      <c r="I140" s="13">
        <v>42901.89984953704</v>
      </c>
      <c r="J140" s="7">
        <v>0</v>
      </c>
      <c r="K140" s="89" t="str">
        <f t="shared" si="55"/>
        <v>4039/4040</v>
      </c>
      <c r="L140" s="21" t="str">
        <f>VLOOKUP(A140,'Trips&amp;Operators'!$C$1:$G$99999,5,FALSE)</f>
        <v>PERKINS DARREN</v>
      </c>
      <c r="M140" s="6">
        <f t="shared" si="56"/>
        <v>2.6655092595319729E-2</v>
      </c>
      <c r="N140" s="7">
        <f t="shared" si="64"/>
        <v>38.38333333726041</v>
      </c>
      <c r="O140" s="7"/>
      <c r="P140" s="7"/>
      <c r="Q140" s="22"/>
      <c r="R140" s="170"/>
      <c r="S140" s="213">
        <f t="shared" si="65"/>
        <v>1</v>
      </c>
      <c r="T140" s="195" t="str">
        <f t="shared" si="57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8"/>
        <v>https://d0f6bd738d7f1b3e5a7ca70fe4ff75f0.us-east-1.aws.found.io/app/kibana#/discover/Steve-Slow-Train-Analysis-(2080s-and-2083s)?_g=(refreshInterval:(display:Off,pause:!f,section:0,value:0),time:(from:'2017-06-15T19:48:19-0600',mode:absolute,to:'2017-06-15T22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197" t="str">
        <f>IF(AA140&lt;VLOOKUP(AG140,Variables!$AC$3:$AD$8,2,FALSE),"Y","N")</f>
        <v>N</v>
      </c>
      <c r="X140" s="197">
        <f t="shared" si="66"/>
        <v>1</v>
      </c>
      <c r="Y140" s="197">
        <f t="shared" si="58"/>
        <v>23.2971</v>
      </c>
      <c r="Z140" s="197">
        <f t="shared" si="59"/>
        <v>1.52E-2</v>
      </c>
      <c r="AA140" s="197">
        <f t="shared" si="60"/>
        <v>23.2819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61"/>
        <v>226</v>
      </c>
      <c r="AE140" s="77" t="str">
        <f t="shared" si="44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140" s="74" t="str">
        <f t="shared" si="45"/>
        <v>"C:\Program Files (x86)\AstroGrep\AstroGrep.exe" /e /r /s /spath="%USERPROFILE%\AppData\Local\Temp\OnboardLogs" /stypes="app*4039*20170616*" /stext=" 03:.+((SYSTEM_STATE.+slice.+state.+changed )|(ment ac)|(multiple cpu faults)|(system.+state.+changed )|(\[timeout)|(PRM\|1\|D)|(kpr)|(kdp)|(train st.+moving)|(\|lc)|(penalty))"</v>
      </c>
      <c r="AG140" s="209" t="str">
        <f t="shared" si="62"/>
        <v>EC</v>
      </c>
      <c r="AH140" s="78" t="str">
        <f t="shared" ref="AH140:AH210" si="67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226-15 --locoid 4039 --swversion DE.1.0.9.0 --startMP 204:232971 --initTime 2017-06-15T20:48:19 --startdatetime 2017-06-15T20:57:24 --delay 1 --endMP 204:152 --enddatetime 2017-06-15T21:35:47 --enforcementcount 0 &gt;&gt;C:\Users\stu\Documents\GitHub\eaglep3-reporting\EC\2017-06-15-refined-times.txt</v>
      </c>
      <c r="AI140" s="96" t="str">
        <f t="shared" ref="AI140:AI210" si="68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{"issue":{"subject":"","project_id":79,"tracker_id":40,"status_id":1,"priority_id":2,"assigned_to_id":23,"start_date":"2017-06-15","description":"","custom_fields":[{"id":1,"name":"Subdivision","value":"EC"},{"id":4,"name":"Milepost","value":"0.0152"},{"id":17,"name":"Train ID","value":"226-15"},{"id":16,"name":"Locomotive ID","value":"4039"},{"id":130,"name":"Impact","value":""},{"id":150,"name":"Time of Event (Mountain Time)","value":"21:35:47"},{"id":151,"name":"Denver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ref="AM140:AM210" si="69">"start /low /b "&amp;dls3logs&amp;" --loco "&amp;B140&amp;" --day "&amp;TEXT(F140,"YYYY-MM-DD")</f>
        <v>start /low /b %USERPROFILE%\Documents\GitHub\eaglep3\Utilities\DownloadLogsFromS3.py --loco 4039 --day 2017-06-15</v>
      </c>
      <c r="AN140" s="151" t="str">
        <f t="shared" ref="AN140:AN210" si="70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820</v>
      </c>
      <c r="B141" s="7">
        <v>4032</v>
      </c>
      <c r="C141" s="21" t="s">
        <v>202</v>
      </c>
      <c r="D141" s="21" t="s">
        <v>353</v>
      </c>
      <c r="E141" s="13">
        <v>42901.848715277774</v>
      </c>
      <c r="F141" s="13">
        <v>42901.855682870373</v>
      </c>
      <c r="G141" s="7">
        <v>1</v>
      </c>
      <c r="H141" s="21" t="s">
        <v>894</v>
      </c>
      <c r="I141" s="13">
        <v>42901.88045138889</v>
      </c>
      <c r="J141" s="7">
        <v>0</v>
      </c>
      <c r="K141" s="89" t="str">
        <f t="shared" ref="K141:K151" si="71">IF(ISEVEN(B141),(B141-1)&amp;"/"&amp;B141,B141&amp;"/"&amp;(B141+1))</f>
        <v>4031/4032</v>
      </c>
      <c r="L141" s="21" t="str">
        <f>VLOOKUP(A141,'Trips&amp;Operators'!$C$1:$G$99999,5,FALSE)</f>
        <v>BIRENBAUM THOMAS</v>
      </c>
      <c r="M141" s="6">
        <f t="shared" ref="M141:M151" si="72">I141-F141</f>
        <v>2.4768518516793847E-2</v>
      </c>
      <c r="N141" s="7">
        <f t="shared" si="64"/>
        <v>35.66666666418314</v>
      </c>
      <c r="O141" s="7"/>
      <c r="P141" s="7"/>
      <c r="Q141" s="22"/>
      <c r="R141" s="170"/>
      <c r="S141" s="213">
        <f t="shared" si="65"/>
        <v>1</v>
      </c>
      <c r="T141" s="195" t="str">
        <f t="shared" ref="T141:T151" si="73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7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-15T19:22:09-0600',mode:absolute,to:'2017-06-15T22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1" s="197" t="str">
        <f>IF(AA141&lt;VLOOKUP(AG141,Variables!$AC$3:$AD$8,2,FALSE),"Y","N")</f>
        <v>N</v>
      </c>
      <c r="X141" s="197">
        <f t="shared" si="66"/>
        <v>1</v>
      </c>
      <c r="Y141" s="197">
        <f t="shared" ref="Y141:Y151" si="75">RIGHT(D141,LEN(D141)-4)/10000</f>
        <v>4.5100000000000001E-2</v>
      </c>
      <c r="Z141" s="197">
        <f t="shared" ref="Z141:Z151" si="76">RIGHT(H141,LEN(H141)-4)/10000</f>
        <v>23.331600000000002</v>
      </c>
      <c r="AA141" s="197">
        <f t="shared" ref="AA141:AA172" si="77">ABS(Z141-Y141)</f>
        <v>23.2865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151" si="78">VALUE(LEFT(A141,LEN(A141)-3))</f>
        <v>227</v>
      </c>
      <c r="AE141" s="77" t="str">
        <f t="shared" ref="AE141:AE204" si="7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s3://rtdc.mdm.uploadarchive.raw/RTDC4032/ "%USERPROFILE%\AppData\Local\Temp\OnboardLogs"\RTDC4032\2017-06-15 --exclude "*" --recursive --include "*20170615*" &amp; "%USERPROFILE%\Documents\GitHub\mrs-test-scripts\Headless Mode &amp; Sideloading\WalkAndUnGZ.bat" "%USERPROFILE%\AppData\Local\Temp\OnboardLogs"\RTDC4032\2017-06-15 &amp; aws s3 cp s3://rtdc.mdm.uploadarchive.raw/RTDC4032/ "%USERPROFILE%\AppData\Local\Temp\OnboardLogs"\RTDC4032\2017-06-16 --exclude "*" --recursive --include "*20170616*" &amp; "%USERPROFILE%\Documents\GitHub\mrs-test-scripts\Headless Mode &amp; Sideloading\WalkAndUnGZ.bat" "%USERPROFILE%\AppData\Local\Temp\OnboardLogs"\RTDC4032\2017-06-16</v>
      </c>
      <c r="AF141" s="74" t="str">
        <f t="shared" ref="AF141:AF204" si="8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/stypes="app*4032*20170616*" /stext=" 03:.+((SYSTEM_STATE.+slice.+state.+changed )|(ment ac)|(multiple cpu faults)|(system.+state.+changed )|(\[timeout)|(PRM\|1\|D)|(kpr)|(kdp)|(train st.+moving)|(\|lc)|(penalty))"</v>
      </c>
      <c r="AG141" s="209" t="str">
        <f t="shared" ref="AG141:AG151" si="81">DetSubdiv(A141)</f>
        <v>EC</v>
      </c>
      <c r="AH141" s="78" t="str">
        <f t="shared" si="67"/>
        <v>"%USERPROFILE%\Documents\GitHub\eaglep3\Utilities\RefineRTDCRunTimes.py" --tripid 227-15 --locoid 4032 --swversion DE.1.0.9.0 --startMP 204:451 --initTime 2017-06-15T20:22:09 --startdatetime 2017-06-15T20:32:11 --delay 1 --endMP 204:233316 --enddatetime 2017-06-15T21:07:51 --enforcementcount 0 &gt;&gt;C:\Users\stu\Documents\GitHub\eaglep3-reporting\EC\2017-06-15-refined-times.txt</v>
      </c>
      <c r="AI141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{"issue":{"subject":"","project_id":79,"tracker_id":40,"status_id":1,"priority_id":2,"assigned_to_id":23,"start_date":"2017-06-15","description":"","custom_fields":[{"id":1,"name":"Subdivision","value":"EC"},{"id":4,"name":"Milepost","value":"23.3316"},{"id":17,"name":"Train ID","value":"227-15"},{"id":16,"name":"Locomotive ID","value":"4032"},{"id":130,"name":"Impact","value":""},{"id":150,"name":"Time of Event (Mountain Time)","value":"21:07:51"},{"id":151,"name":"Denver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69"/>
        <v>start /low /b %USERPROFILE%\Documents\GitHub\eaglep3\Utilities\DownloadLogsFromS3.py --loco 4032 --day 2017-06-15</v>
      </c>
      <c r="AN141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03:07:51"},{"id":29,"name":"Sharepoint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826</v>
      </c>
      <c r="B142" s="7">
        <v>4031</v>
      </c>
      <c r="C142" s="21" t="s">
        <v>202</v>
      </c>
      <c r="D142" s="21" t="s">
        <v>523</v>
      </c>
      <c r="E142" s="13">
        <v>42901.889722222222</v>
      </c>
      <c r="F142" s="13">
        <v>42901.893923611111</v>
      </c>
      <c r="G142" s="7">
        <v>1</v>
      </c>
      <c r="H142" s="21" t="s">
        <v>583</v>
      </c>
      <c r="I142" s="13">
        <v>42901.920497685183</v>
      </c>
      <c r="J142" s="7">
        <v>0</v>
      </c>
      <c r="K142" s="89" t="str">
        <f t="shared" si="71"/>
        <v>4031/4032</v>
      </c>
      <c r="L142" s="21" t="str">
        <f>VLOOKUP(A142,'Trips&amp;Operators'!$C$1:$G$99999,5,FALSE)</f>
        <v>BIRENBAUM THOMAS</v>
      </c>
      <c r="M142" s="6">
        <f t="shared" si="72"/>
        <v>2.6574074072414078E-2</v>
      </c>
      <c r="N142" s="7">
        <f t="shared" si="64"/>
        <v>38.266666664276272</v>
      </c>
      <c r="O142" s="7"/>
      <c r="P142" s="7"/>
      <c r="Q142" s="22"/>
      <c r="R142" s="170"/>
      <c r="S142" s="213">
        <f t="shared" si="65"/>
        <v>1</v>
      </c>
      <c r="T142" s="195" t="str">
        <f t="shared" si="73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74"/>
        <v>https://d0f6bd738d7f1b3e5a7ca70fe4ff75f0.us-east-1.aws.found.io/app/kibana#/discover/Steve-Slow-Train-Analysis-(2080s-and-2083s)?_g=(refreshInterval:(display:Off,pause:!f,section:0,value:0),time:(from:'2017-06-15T20:21:12-0600',mode:absolute,to:'2017-06-15T23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2" s="197" t="str">
        <f>IF(AA142&lt;VLOOKUP(AG142,Variables!$AC$3:$AD$8,2,FALSE),"Y","N")</f>
        <v>N</v>
      </c>
      <c r="X142" s="197">
        <f t="shared" si="66"/>
        <v>1</v>
      </c>
      <c r="Y142" s="197">
        <f t="shared" si="75"/>
        <v>23.297999999999998</v>
      </c>
      <c r="Z142" s="197">
        <f t="shared" si="76"/>
        <v>1.34E-2</v>
      </c>
      <c r="AA142" s="197">
        <f t="shared" si="77"/>
        <v>23.284599999999998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78"/>
        <v>228</v>
      </c>
      <c r="AE142" s="77" t="str">
        <f t="shared" si="79"/>
        <v>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 &amp; aws s3 cp s3://rtdc.mdm.uploadarchive.raw/RTDC4031/ "%USERPROFILE%\AppData\Local\Temp\OnboardLogs"\RTDC4031\2017-06-16 --exclude "*" --recursive --include "*20170616*" &amp; "%USERPROFILE%\Documents\GitHub\mrs-test-scripts\Headless Mode &amp; Sideloading\WalkAndUnGZ.bat" "%USERPROFILE%\AppData\Local\Temp\OnboardLogs"\RTDC4031\2017-06-16</v>
      </c>
      <c r="AF142" s="74" t="str">
        <f t="shared" si="80"/>
        <v>"C:\Program Files (x86)\AstroGrep\AstroGrep.exe" /e /r /s /spath="%USERPROFILE%\AppData\Local\Temp\OnboardLogs" /stypes="app*4031*20170616*" /stext=" 04:.+((SYSTEM_STATE.+slice.+state.+changed )|(ment ac)|(multiple cpu faults)|(system.+state.+changed )|(\[timeout)|(PRM\|1\|D)|(kpr)|(kdp)|(train st.+moving)|(\|lc)|(penalty))"</v>
      </c>
      <c r="AG142" s="209" t="str">
        <f t="shared" si="81"/>
        <v>EC</v>
      </c>
      <c r="AH142" s="78" t="str">
        <f t="shared" si="67"/>
        <v>"%USERPROFILE%\Documents\GitHub\eaglep3\Utilities\RefineRTDCRunTimes.py" --tripid 228-15 --locoid 4031 --swversion DE.1.0.9.0 --startMP 204:232980 --initTime 2017-06-15T21:21:12 --startdatetime 2017-06-15T21:27:15 --delay 1 --endMP 204:134 --enddatetime 2017-06-15T22:05:31 --enforcementcount 0 &gt;&gt;C:\Users\stu\Documents\GitHub\eaglep3-reporting\EC\2017-06-15-refined-times.txt</v>
      </c>
      <c r="AI142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{"issue":{"subject":"","project_id":79,"tracker_id":40,"status_id":1,"priority_id":2,"assigned_to_id":23,"start_date":"2017-06-15","description":"","custom_fields":[{"id":1,"name":"Subdivision","value":"EC"},{"id":4,"name":"Milepost","value":"0.0134"},{"id":17,"name":"Train ID","value":"228-15"},{"id":16,"name":"Locomotive ID","value":"4031"},{"id":130,"name":"Impact","value":""},{"id":150,"name":"Time of Event (Mountain Time)","value":"22:05:31"},{"id":151,"name":"Denver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69"/>
        <v>start /low /b %USERPROFILE%\Documents\GitHub\eaglep3\Utilities\DownloadLogsFromS3.py --loco 4031 --day 2017-06-15</v>
      </c>
      <c r="AN142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04:05:31"},{"id":29,"name":"Sharepoint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823</v>
      </c>
      <c r="B143" s="7">
        <v>4054</v>
      </c>
      <c r="C143" s="21" t="s">
        <v>202</v>
      </c>
      <c r="D143" s="21" t="s">
        <v>521</v>
      </c>
      <c r="E143" s="13">
        <v>42901.870127314818</v>
      </c>
      <c r="F143" s="13">
        <v>42901.876064814816</v>
      </c>
      <c r="G143" s="7">
        <v>8</v>
      </c>
      <c r="H143" s="21" t="s">
        <v>584</v>
      </c>
      <c r="I143" s="13">
        <v>42901.902372685188</v>
      </c>
      <c r="J143" s="7">
        <v>0</v>
      </c>
      <c r="K143" s="89" t="str">
        <f t="shared" si="71"/>
        <v>4053/4054</v>
      </c>
      <c r="L143" s="21" t="str">
        <f>VLOOKUP(A143,'Trips&amp;Operators'!$C$1:$G$99999,5,FALSE)</f>
        <v>LAMAR NEKESHA</v>
      </c>
      <c r="M143" s="6">
        <f t="shared" si="72"/>
        <v>2.6307870371965691E-2</v>
      </c>
      <c r="N143" s="7">
        <f t="shared" si="64"/>
        <v>37.883333335630596</v>
      </c>
      <c r="O143" s="7"/>
      <c r="P143" s="7"/>
      <c r="Q143" s="22"/>
      <c r="R143" s="170"/>
      <c r="S143" s="213">
        <f t="shared" si="65"/>
        <v>1</v>
      </c>
      <c r="T143" s="195" t="str">
        <f t="shared" si="73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74"/>
        <v>https://d0f6bd738d7f1b3e5a7ca70fe4ff75f0.us-east-1.aws.found.io/app/kibana#/discover/Steve-Slow-Train-Analysis-(2080s-and-2083s)?_g=(refreshInterval:(display:Off,pause:!f,section:0,value:0),time:(from:'2017-06-15T19:52:59-0600',mode:absolute,to:'2017-06-15T22:39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97" t="str">
        <f>IF(AA143&lt;VLOOKUP(AG143,Variables!$AC$3:$AD$8,2,FALSE),"Y","N")</f>
        <v>N</v>
      </c>
      <c r="X143" s="197">
        <f t="shared" si="66"/>
        <v>1</v>
      </c>
      <c r="Y143" s="197">
        <f t="shared" si="75"/>
        <v>4.2900000000000001E-2</v>
      </c>
      <c r="Z143" s="197">
        <f t="shared" si="76"/>
        <v>23.327200000000001</v>
      </c>
      <c r="AA143" s="197">
        <f t="shared" si="77"/>
        <v>23.284300000000002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78"/>
        <v>229</v>
      </c>
      <c r="AE143" s="77" t="str">
        <f t="shared" si="79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143" s="74" t="str">
        <f t="shared" si="80"/>
        <v>"C:\Program Files (x86)\AstroGrep\AstroGrep.exe" /e /r /s /spath="%USERPROFILE%\AppData\Local\Temp\OnboardLogs" /stypes="app*4054*20170616*" /stext=" 03:.+((SYSTEM_STATE.+slice.+state.+changed )|(ment ac)|(multiple cpu faults)|(system.+state.+changed )|(\[timeout)|(PRM\|1\|D)|(kpr)|(kdp)|(train st.+moving)|(\|lc)|(penalty))"</v>
      </c>
      <c r="AG143" s="209" t="str">
        <f t="shared" si="81"/>
        <v>EC</v>
      </c>
      <c r="AH143" s="78" t="str">
        <f t="shared" si="67"/>
        <v>"%USERPROFILE%\Documents\GitHub\eaglep3\Utilities\RefineRTDCRunTimes.py" --tripid 229-15 --locoid 4054 --swversion DE.1.0.9.0 --startMP 204:429 --initTime 2017-06-15T20:52:59 --startdatetime 2017-06-15T21:01:32 --delay 8 --endMP 204:233272 --enddatetime 2017-06-15T21:39:25 --enforcementcount 0 &gt;&gt;C:\Users\stu\Documents\GitHub\eaglep3-reporting\EC\2017-06-15-refined-times.txt</v>
      </c>
      <c r="AI143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{"issue":{"subject":"","project_id":79,"tracker_id":40,"status_id":1,"priority_id":2,"assigned_to_id":23,"start_date":"2017-06-15","description":"","custom_fields":[{"id":1,"name":"Subdivision","value":"EC"},{"id":4,"name":"Milepost","value":"23.3272"},{"id":17,"name":"Train ID","value":"229-15"},{"id":16,"name":"Locomotive ID","value":"4054"},{"id":130,"name":"Impact","value":""},{"id":150,"name":"Time of Event (Mountain Time)","value":"21:39:25"},{"id":151,"name":"Denver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9"/>
        <v>start /low /b %USERPROFILE%\Documents\GitHub\eaglep3\Utilities\DownloadLogsFromS3.py --loco 4054 --day 2017-06-15</v>
      </c>
      <c r="AN143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03:39:25"},{"id":29,"name":"Sharepoint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829</v>
      </c>
      <c r="B144" s="7">
        <v>4053</v>
      </c>
      <c r="C144" s="21" t="s">
        <v>202</v>
      </c>
      <c r="D144" s="21" t="s">
        <v>590</v>
      </c>
      <c r="E144" s="13">
        <v>42901.909583333334</v>
      </c>
      <c r="F144" s="13">
        <v>42901.914988425924</v>
      </c>
      <c r="G144" s="7">
        <v>1</v>
      </c>
      <c r="H144" s="21" t="s">
        <v>396</v>
      </c>
      <c r="I144" s="13">
        <v>42901.942210648151</v>
      </c>
      <c r="J144" s="7">
        <v>0</v>
      </c>
      <c r="K144" s="89" t="str">
        <f t="shared" si="71"/>
        <v>4053/4054</v>
      </c>
      <c r="L144" s="21" t="str">
        <f>VLOOKUP(A144,'Trips&amp;Operators'!$C$1:$G$99999,5,FALSE)</f>
        <v>LAMAR NEKESHA</v>
      </c>
      <c r="M144" s="6">
        <f t="shared" si="72"/>
        <v>2.7222222226555459E-2</v>
      </c>
      <c r="N144" s="7">
        <f t="shared" si="64"/>
        <v>39.200000006239861</v>
      </c>
      <c r="O144" s="7"/>
      <c r="P144" s="7"/>
      <c r="Q144" s="22"/>
      <c r="R144" s="170"/>
      <c r="S144" s="213">
        <f t="shared" si="65"/>
        <v>1</v>
      </c>
      <c r="T144" s="195" t="str">
        <f t="shared" si="73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74"/>
        <v>https://d0f6bd738d7f1b3e5a7ca70fe4ff75f0.us-east-1.aws.found.io/app/kibana#/discover/Steve-Slow-Train-Analysis-(2080s-and-2083s)?_g=(refreshInterval:(display:Off,pause:!f,section:0,value:0),time:(from:'2017-06-15T20:49:48-0600',mode:absolute,to:'2017-06-15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197" t="str">
        <f>IF(AA144&lt;VLOOKUP(AG144,Variables!$AC$3:$AD$8,2,FALSE),"Y","N")</f>
        <v>N</v>
      </c>
      <c r="X144" s="197">
        <f t="shared" si="66"/>
        <v>1</v>
      </c>
      <c r="Y144" s="197">
        <f t="shared" si="75"/>
        <v>23.295000000000002</v>
      </c>
      <c r="Z144" s="197">
        <f t="shared" si="76"/>
        <v>1.54E-2</v>
      </c>
      <c r="AA144" s="197">
        <f t="shared" si="77"/>
        <v>23.279600000000002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78"/>
        <v>230</v>
      </c>
      <c r="AE144" s="77" t="str">
        <f t="shared" si="79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144" s="74" t="str">
        <f t="shared" si="80"/>
        <v>"C:\Program Files (x86)\AstroGrep\AstroGrep.exe" /e /r /s /spath="%USERPROFILE%\AppData\Local\Temp\OnboardLogs" /stypes="app*4053*20170616*" /stext=" 04:.+((SYSTEM_STATE.+slice.+state.+changed )|(ment ac)|(multiple cpu faults)|(system.+state.+changed )|(\[timeout)|(PRM\|1\|D)|(kpr)|(kdp)|(train st.+moving)|(\|lc)|(penalty))"</v>
      </c>
      <c r="AG144" s="209" t="str">
        <f t="shared" si="81"/>
        <v>EC</v>
      </c>
      <c r="AH144" s="78" t="str">
        <f t="shared" si="67"/>
        <v>"%USERPROFILE%\Documents\GitHub\eaglep3\Utilities\RefineRTDCRunTimes.py" --tripid 230-15 --locoid 4053 --swversion DE.1.0.9.0 --startMP 204:232950 --initTime 2017-06-15T21:49:48 --startdatetime 2017-06-15T21:57:35 --delay 1 --endMP 204:154 --enddatetime 2017-06-15T22:36:47 --enforcementcount 0 &gt;&gt;C:\Users\stu\Documents\GitHub\eaglep3-reporting\EC\2017-06-15-refined-times.txt</v>
      </c>
      <c r="AI144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{"issue":{"subject":"","project_id":79,"tracker_id":40,"status_id":1,"priority_id":2,"assigned_to_id":23,"start_date":"2017-06-15","description":"","custom_fields":[{"id":1,"name":"Subdivision","value":"EC"},{"id":4,"name":"Milepost","value":"0.0154"},{"id":17,"name":"Train ID","value":"230-15"},{"id":16,"name":"Locomotive ID","value":"4053"},{"id":130,"name":"Impact","value":""},{"id":150,"name":"Time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9"/>
        <v>start /low /b %USERPROFILE%\Documents\GitHub\eaglep3\Utilities\DownloadLogsFromS3.py --loco 4053 --day 2017-06-15</v>
      </c>
      <c r="AN144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825</v>
      </c>
      <c r="B145" s="7">
        <v>4046</v>
      </c>
      <c r="C145" s="21" t="s">
        <v>202</v>
      </c>
      <c r="D145" s="21" t="s">
        <v>347</v>
      </c>
      <c r="E145" s="13">
        <v>42901.887199074074</v>
      </c>
      <c r="F145" s="13">
        <v>42901.896296296298</v>
      </c>
      <c r="G145" s="7">
        <v>1</v>
      </c>
      <c r="H145" s="21" t="s">
        <v>895</v>
      </c>
      <c r="I145" s="13">
        <v>42901.921736111108</v>
      </c>
      <c r="J145" s="7">
        <v>0</v>
      </c>
      <c r="K145" s="89" t="str">
        <f t="shared" si="71"/>
        <v>4045/4046</v>
      </c>
      <c r="L145" s="21" t="str">
        <f>VLOOKUP(A145,'Trips&amp;Operators'!$C$1:$G$99999,5,FALSE)</f>
        <v>SMITH MICHAEL</v>
      </c>
      <c r="M145" s="6">
        <f t="shared" si="72"/>
        <v>2.5439814809942618E-2</v>
      </c>
      <c r="N145" s="7">
        <f t="shared" si="64"/>
        <v>36.63333332631737</v>
      </c>
      <c r="O145" s="7"/>
      <c r="P145" s="7"/>
      <c r="Q145" s="22"/>
      <c r="R145" s="170"/>
      <c r="S145" s="213">
        <f t="shared" si="65"/>
        <v>1</v>
      </c>
      <c r="T145" s="195" t="str">
        <f t="shared" si="73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74"/>
        <v>https://d0f6bd738d7f1b3e5a7ca70fe4ff75f0.us-east-1.aws.found.io/app/kibana#/discover/Steve-Slow-Train-Analysis-(2080s-and-2083s)?_g=(refreshInterval:(display:Off,pause:!f,section:0,value:0),time:(from:'2017-06-15T20:17:34-0600',mode:absolute,to:'2017-06-15T23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5" s="197" t="str">
        <f>IF(AA145&lt;VLOOKUP(AG145,Variables!$AC$3:$AD$8,2,FALSE),"Y","N")</f>
        <v>N</v>
      </c>
      <c r="X145" s="197">
        <f t="shared" si="66"/>
        <v>1</v>
      </c>
      <c r="Y145" s="197">
        <f t="shared" si="75"/>
        <v>4.4600000000000001E-2</v>
      </c>
      <c r="Z145" s="197">
        <f t="shared" si="76"/>
        <v>23.3306</v>
      </c>
      <c r="AA145" s="197">
        <f t="shared" si="77"/>
        <v>23.286000000000001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78"/>
        <v>231</v>
      </c>
      <c r="AE145" s="77" t="str">
        <f t="shared" si="79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145" s="74" t="str">
        <f t="shared" si="80"/>
        <v>"C:\Program Files (x86)\AstroGrep\AstroGrep.exe" /e /r /s /spath="%USERPROFILE%\AppData\Local\Temp\OnboardLogs" /stypes="app*4046*20170616*" /stext=" 04:.+((SYSTEM_STATE.+slice.+state.+changed )|(ment ac)|(multiple cpu faults)|(system.+state.+changed )|(\[timeout)|(PRM\|1\|D)|(kpr)|(kdp)|(train st.+moving)|(\|lc)|(penalty))"</v>
      </c>
      <c r="AG145" s="209" t="str">
        <f t="shared" si="81"/>
        <v>EC</v>
      </c>
      <c r="AH145" s="78" t="str">
        <f t="shared" si="67"/>
        <v>"%USERPROFILE%\Documents\GitHub\eaglep3\Utilities\RefineRTDCRunTimes.py" --tripid 231-15 --locoid 4046 --swversion DE.1.0.9.0 --startMP 204:446 --initTime 2017-06-15T21:17:34 --startdatetime 2017-06-15T21:30:40 --delay 1 --endMP 204:233306 --enddatetime 2017-06-15T22:07:18 --enforcementcount 0 &gt;&gt;C:\Users\stu\Documents\GitHub\eaglep3-reporting\EC\2017-06-15-refined-times.txt</v>
      </c>
      <c r="AI145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{"issue":{"subject":"","project_id":79,"tracker_id":40,"status_id":1,"priority_id":2,"assigned_to_id":23,"start_date":"2017-06-15","description":"","custom_fields":[{"id":1,"name":"Subdivision","value":"EC"},{"id":4,"name":"Milepost","value":"23.3306"},{"id":17,"name":"Train ID","value":"231-15"},{"id":16,"name":"Locomotive ID","value":"4046"},{"id":130,"name":"Impact","value":""},{"id":150,"name":"Time of Event (Mountain Time)","value":"22:07:18"},{"id":151,"name":"Denver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9"/>
        <v>start /low /b %USERPROFILE%\Documents\GitHub\eaglep3\Utilities\DownloadLogsFromS3.py --loco 4046 --day 2017-06-15</v>
      </c>
      <c r="AN145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04:07:18"},{"id":29,"name":"Sharepoint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831</v>
      </c>
      <c r="B146" s="7">
        <v>4045</v>
      </c>
      <c r="C146" s="21" t="s">
        <v>202</v>
      </c>
      <c r="D146" s="21" t="s">
        <v>896</v>
      </c>
      <c r="E146" s="13">
        <v>42901.924189814818</v>
      </c>
      <c r="F146" s="13">
        <v>42901.935601851852</v>
      </c>
      <c r="G146" s="7">
        <v>1</v>
      </c>
      <c r="H146" s="21" t="s">
        <v>360</v>
      </c>
      <c r="I146" s="13">
        <v>42901.962893518517</v>
      </c>
      <c r="J146" s="7">
        <v>0</v>
      </c>
      <c r="K146" s="89" t="str">
        <f t="shared" si="71"/>
        <v>4045/4046</v>
      </c>
      <c r="L146" s="21" t="str">
        <f>VLOOKUP(A146,'Trips&amp;Operators'!$C$1:$G$99999,5,FALSE)</f>
        <v>SMITH MICHAEL</v>
      </c>
      <c r="M146" s="6">
        <f t="shared" si="72"/>
        <v>2.7291666665405501E-2</v>
      </c>
      <c r="N146" s="7">
        <f t="shared" si="64"/>
        <v>39.299999998183921</v>
      </c>
      <c r="O146" s="7"/>
      <c r="P146" s="7"/>
      <c r="Q146" s="22"/>
      <c r="R146" s="170"/>
      <c r="S146" s="213">
        <f t="shared" si="65"/>
        <v>1</v>
      </c>
      <c r="T146" s="195" t="str">
        <f t="shared" si="73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74"/>
        <v>https://d0f6bd738d7f1b3e5a7ca70fe4ff75f0.us-east-1.aws.found.io/app/kibana#/discover/Steve-Slow-Train-Analysis-(2080s-and-2083s)?_g=(refreshInterval:(display:Off,pause:!f,section:0,value:0),time:(from:'2017-06-15T21:10:50-0600',mode:absolute,to:'2017-06-16T00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6" s="197" t="str">
        <f>IF(AA146&lt;VLOOKUP(AG146,Variables!$AC$3:$AD$8,2,FALSE),"Y","N")</f>
        <v>N</v>
      </c>
      <c r="X146" s="197">
        <f t="shared" si="66"/>
        <v>1</v>
      </c>
      <c r="Y146" s="197">
        <f t="shared" si="75"/>
        <v>23.3002</v>
      </c>
      <c r="Z146" s="197">
        <f t="shared" si="76"/>
        <v>1.47E-2</v>
      </c>
      <c r="AA146" s="197">
        <f t="shared" si="77"/>
        <v>23.285499999999999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78"/>
        <v>232</v>
      </c>
      <c r="AE146" s="77" t="str">
        <f t="shared" si="79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146" s="74" t="str">
        <f t="shared" si="80"/>
        <v>"C:\Program Files (x86)\AstroGrep\AstroGrep.exe" /e /r /s /spath="%USERPROFILE%\AppData\Local\Temp\OnboardLogs" /stypes="app*4045*20170616*" /stext=" 05:.+((SYSTEM_STATE.+slice.+state.+changed )|(ment ac)|(multiple cpu faults)|(system.+state.+changed )|(\[timeout)|(PRM\|1\|D)|(kpr)|(kdp)|(train st.+moving)|(\|lc)|(penalty))"</v>
      </c>
      <c r="AG146" s="209" t="str">
        <f t="shared" si="81"/>
        <v>EC</v>
      </c>
      <c r="AH146" s="78" t="str">
        <f t="shared" si="67"/>
        <v>"%USERPROFILE%\Documents\GitHub\eaglep3\Utilities\RefineRTDCRunTimes.py" --tripid 232-15 --locoid 4045 --swversion DE.1.0.9.0 --startMP 204:233002 --initTime 2017-06-15T22:10:50 --startdatetime 2017-06-15T22:27:16 --delay 1 --endMP 204:147 --enddatetime 2017-06-15T23:06:34 --enforcementcount 0 &gt;&gt;C:\Users\stu\Documents\GitHub\eaglep3-reporting\EC\2017-06-15-refined-times.txt</v>
      </c>
      <c r="AI146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{"issue":{"subject":"","project_id":79,"tracker_id":40,"status_id":1,"priority_id":2,"assigned_to_id":23,"start_date":"2017-06-15","description":"","custom_fields":[{"id":1,"name":"Subdivision","value":"EC"},{"id":4,"name":"Milepost","value":"0.0147"},{"id":17,"name":"Train ID","value":"232-15"},{"id":16,"name":"Locomotive ID","value":"4045"},{"id":130,"name":"Impact","value":""},{"id":150,"name":"Time of Event (Mountain Time)","value":"23:06:34"},{"id":151,"name":"Denver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9"/>
        <v>start /low /b %USERPROFILE%\Documents\GitHub\eaglep3\Utilities\DownloadLogsFromS3.py --loco 4045 --day 2017-06-15</v>
      </c>
      <c r="AN146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05:06:34"},{"id":29,"name":"Sharepoint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828</v>
      </c>
      <c r="B147" s="7">
        <v>4040</v>
      </c>
      <c r="C147" s="21" t="s">
        <v>202</v>
      </c>
      <c r="D147" s="21" t="s">
        <v>528</v>
      </c>
      <c r="E147" s="13">
        <v>42901.907962962963</v>
      </c>
      <c r="F147" s="13">
        <v>42901.916828703703</v>
      </c>
      <c r="G147" s="7">
        <v>1</v>
      </c>
      <c r="H147" s="21" t="s">
        <v>843</v>
      </c>
      <c r="I147" s="13">
        <v>42901.942523148151</v>
      </c>
      <c r="J147" s="7">
        <v>0</v>
      </c>
      <c r="K147" s="89" t="str">
        <f t="shared" si="71"/>
        <v>4039/4040</v>
      </c>
      <c r="L147" s="21" t="str">
        <f>VLOOKUP(A147,'Trips&amp;Operators'!$C$1:$G$99999,5,FALSE)</f>
        <v>PERKINS DARREN</v>
      </c>
      <c r="M147" s="6">
        <f t="shared" si="72"/>
        <v>2.5694444448163267E-2</v>
      </c>
      <c r="N147" s="7">
        <f t="shared" si="64"/>
        <v>37.000000005355105</v>
      </c>
      <c r="O147" s="7"/>
      <c r="P147" s="7"/>
      <c r="Q147" s="22"/>
      <c r="R147" s="170"/>
      <c r="S147" s="213">
        <f t="shared" si="65"/>
        <v>1</v>
      </c>
      <c r="T147" s="195" t="str">
        <f t="shared" si="73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74"/>
        <v>https://d0f6bd738d7f1b3e5a7ca70fe4ff75f0.us-east-1.aws.found.io/app/kibana#/discover/Steve-Slow-Train-Analysis-(2080s-and-2083s)?_g=(refreshInterval:(display:Off,pause:!f,section:0,value:0),time:(from:'2017-06-15T20:47:28-0600',mode:absolute,to:'2017-06-15T23:37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197" t="str">
        <f>IF(AA147&lt;VLOOKUP(AG147,Variables!$AC$3:$AD$8,2,FALSE),"Y","N")</f>
        <v>N</v>
      </c>
      <c r="X147" s="197">
        <f t="shared" si="66"/>
        <v>1</v>
      </c>
      <c r="Y147" s="197">
        <f t="shared" si="75"/>
        <v>4.3799999999999999E-2</v>
      </c>
      <c r="Z147" s="197">
        <f t="shared" si="76"/>
        <v>23.331199999999999</v>
      </c>
      <c r="AA147" s="197">
        <f t="shared" si="77"/>
        <v>23.287399999999998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78"/>
        <v>233</v>
      </c>
      <c r="AE147" s="77" t="str">
        <f t="shared" si="79"/>
        <v>aws s3 cp s3://rtdc.mdm.uploadarchive.raw/RTDC4040/ "%USERPROFILE%\AppData\Local\Temp\OnboardLogs"\RTDC4040\2017-06-15 --exclude "*" --recursive --include "*20170615*" &amp; "%USERPROFILE%\Documents\GitHub\mrs-test-scripts\Headless Mode &amp; Sideloading\WalkAndUnGZ.bat" "%USERPROFILE%\AppData\Local\Temp\OnboardLogs"\RTDC4040\2017-06-15 &amp; 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</v>
      </c>
      <c r="AF147" s="74" t="str">
        <f t="shared" si="80"/>
        <v>"C:\Program Files (x86)\AstroGrep\AstroGrep.exe" /e /r /s /spath="%USERPROFILE%\AppData\Local\Temp\OnboardLogs" /stypes="app*4040*20170616*" /stext=" 04:.+((SYSTEM_STATE.+slice.+state.+changed )|(ment ac)|(multiple cpu faults)|(system.+state.+changed )|(\[timeout)|(PRM\|1\|D)|(kpr)|(kdp)|(train st.+moving)|(\|lc)|(penalty))"</v>
      </c>
      <c r="AG147" s="209" t="str">
        <f t="shared" si="81"/>
        <v>EC</v>
      </c>
      <c r="AH147" s="78" t="str">
        <f t="shared" si="67"/>
        <v>"%USERPROFILE%\Documents\GitHub\eaglep3\Utilities\RefineRTDCRunTimes.py" --tripid 233-15 --locoid 4040 --swversion DE.1.0.9.0 --startMP 204:438 --initTime 2017-06-15T21:47:28 --startdatetime 2017-06-15T22:00:14 --delay 1 --endMP 204:233312 --enddatetime 2017-06-15T22:37:14 --enforcementcount 0 &gt;&gt;C:\Users\stu\Documents\GitHub\eaglep3-reporting\EC\2017-06-15-refined-times.txt</v>
      </c>
      <c r="AI147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{"issue":{"subject":"","project_id":79,"tracker_id":40,"status_id":1,"priority_id":2,"assigned_to_id":23,"start_date":"2017-06-15","description":"","custom_fields":[{"id":1,"name":"Subdivision","value":"EC"},{"id":4,"name":"Milepost","value":"23.3312"},{"id":17,"name":"Train ID","value":"233-15"},{"id":16,"name":"Locomotive ID","value":"4040"},{"id":130,"name":"Impact","value":""},{"id":150,"name":"Time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9"/>
        <v>start /low /b %USERPROFILE%\Documents\GitHub\eaglep3\Utilities\DownloadLogsFromS3.py --loco 4040 --day 2017-06-15</v>
      </c>
      <c r="AN147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04:37:14"},{"id":29,"name":"Sharepoint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834</v>
      </c>
      <c r="B148" s="7">
        <v>4039</v>
      </c>
      <c r="C148" s="21" t="s">
        <v>202</v>
      </c>
      <c r="D148" s="21" t="s">
        <v>575</v>
      </c>
      <c r="E148" s="13">
        <v>42901.948993055557</v>
      </c>
      <c r="F148" s="13">
        <v>42901.956446759257</v>
      </c>
      <c r="G148" s="7">
        <v>1</v>
      </c>
      <c r="H148" s="21" t="s">
        <v>359</v>
      </c>
      <c r="I148" s="13">
        <v>42901.984398148146</v>
      </c>
      <c r="J148" s="7">
        <v>0</v>
      </c>
      <c r="K148" s="89" t="str">
        <f t="shared" si="71"/>
        <v>4039/4040</v>
      </c>
      <c r="L148" s="21" t="str">
        <f>VLOOKUP(A148,'Trips&amp;Operators'!$C$1:$G$99999,5,FALSE)</f>
        <v>PERKINS DARREN</v>
      </c>
      <c r="M148" s="6">
        <f t="shared" si="72"/>
        <v>2.7951388889050577E-2</v>
      </c>
      <c r="N148" s="7">
        <f t="shared" si="64"/>
        <v>40.250000000232831</v>
      </c>
      <c r="O148" s="7"/>
      <c r="P148" s="7"/>
      <c r="Q148" s="22"/>
      <c r="R148" s="170"/>
      <c r="S148" s="213">
        <f t="shared" si="65"/>
        <v>1</v>
      </c>
      <c r="T148" s="195" t="str">
        <f t="shared" si="73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74"/>
        <v>https://d0f6bd738d7f1b3e5a7ca70fe4ff75f0.us-east-1.aws.found.io/app/kibana#/discover/Steve-Slow-Train-Analysis-(2080s-and-2083s)?_g=(refreshInterval:(display:Off,pause:!f,section:0,value:0),time:(from:'2017-06-15T21:46:33-0600',mode:absolute,to:'2017-06-16T00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197" t="str">
        <f>IF(AA148&lt;VLOOKUP(AG148,Variables!$AC$3:$AD$8,2,FALSE),"Y","N")</f>
        <v>N</v>
      </c>
      <c r="X148" s="197">
        <f t="shared" si="66"/>
        <v>1</v>
      </c>
      <c r="Y148" s="197">
        <f t="shared" si="75"/>
        <v>23.299800000000001</v>
      </c>
      <c r="Z148" s="197">
        <f t="shared" si="76"/>
        <v>1.41E-2</v>
      </c>
      <c r="AA148" s="197">
        <f t="shared" si="77"/>
        <v>23.285700000000002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78"/>
        <v>234</v>
      </c>
      <c r="AE148" s="77" t="str">
        <f t="shared" si="79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148" s="74" t="str">
        <f t="shared" si="80"/>
        <v>"C:\Program Files (x86)\AstroGrep\AstroGrep.exe" /e /r /s /spath="%USERPROFILE%\AppData\Local\Temp\OnboardLogs" /stypes="app*4039*20170616*" /stext=" 05:.+((SYSTEM_STATE.+slice.+state.+changed )|(ment ac)|(multiple cpu faults)|(system.+state.+changed )|(\[timeout)|(PRM\|1\|D)|(kpr)|(kdp)|(train st.+moving)|(\|lc)|(penalty))"</v>
      </c>
      <c r="AG148" s="209" t="str">
        <f t="shared" si="81"/>
        <v>EC</v>
      </c>
      <c r="AH148" s="78" t="str">
        <f t="shared" si="67"/>
        <v>"%USERPROFILE%\Documents\GitHub\eaglep3\Utilities\RefineRTDCRunTimes.py" --tripid 234-15 --locoid 4039 --swversion DE.1.0.9.0 --startMP 204:232998 --initTime 2017-06-15T22:46:33 --startdatetime 2017-06-15T22:57:17 --delay 1 --endMP 204:141 --enddatetime 2017-06-15T23:37:32 --enforcementcount 0 &gt;&gt;C:\Users\stu\Documents\GitHub\eaglep3-reporting\EC\2017-06-15-refined-times.txt</v>
      </c>
      <c r="AI148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{"issue":{"subject":"","project_id":79,"tracker_id":40,"status_id":1,"priority_id":2,"assigned_to_id":23,"start_date":"2017-06-15","description":"","custom_fields":[{"id":1,"name":"Subdivision","value":"EC"},{"id":4,"name":"Milepost","value":"0.0141"},{"id":17,"name":"Train ID","value":"234-15"},{"id":16,"name":"Locomotive ID","value":"4039"},{"id":130,"name":"Impact","value":""},{"id":150,"name":"Time of Event (Mountain Time)","value":"23:37:32"},{"id":151,"name":"Denver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9"/>
        <v>start /low /b %USERPROFILE%\Documents\GitHub\eaglep3\Utilities\DownloadLogsFromS3.py --loco 4039 --day 2017-06-15</v>
      </c>
      <c r="AN148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05:37:32"},{"id":29,"name":"Sharepoint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832</v>
      </c>
      <c r="B149" s="7">
        <v>4032</v>
      </c>
      <c r="C149" s="21" t="s">
        <v>202</v>
      </c>
      <c r="D149" s="21" t="s">
        <v>355</v>
      </c>
      <c r="E149" s="13">
        <v>42901.927337962959</v>
      </c>
      <c r="F149" s="13">
        <v>42901.937696759262</v>
      </c>
      <c r="G149" s="7">
        <v>1</v>
      </c>
      <c r="H149" s="21" t="s">
        <v>444</v>
      </c>
      <c r="I149" s="13">
        <v>42901.964456018519</v>
      </c>
      <c r="J149" s="7">
        <v>0</v>
      </c>
      <c r="K149" s="89" t="str">
        <f t="shared" si="71"/>
        <v>4031/4032</v>
      </c>
      <c r="L149" s="21" t="str">
        <f>VLOOKUP(A149,'Trips&amp;Operators'!$C$1:$G$99999,5,FALSE)</f>
        <v>FORTUNATO FRANK</v>
      </c>
      <c r="M149" s="6">
        <f t="shared" si="72"/>
        <v>2.675925925723277E-2</v>
      </c>
      <c r="N149" s="7">
        <f t="shared" si="64"/>
        <v>38.533333330415189</v>
      </c>
      <c r="O149" s="7"/>
      <c r="P149" s="7"/>
      <c r="Q149" s="22"/>
      <c r="R149" s="170"/>
      <c r="S149" s="213">
        <f t="shared" si="65"/>
        <v>1</v>
      </c>
      <c r="T149" s="195" t="str">
        <f t="shared" si="73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74"/>
        <v>https://d0f6bd738d7f1b3e5a7ca70fe4ff75f0.us-east-1.aws.found.io/app/kibana#/discover/Steve-Slow-Train-Analysis-(2080s-and-2083s)?_g=(refreshInterval:(display:Off,pause:!f,section:0,value:0),time:(from:'2017-06-15T21:15:22-0600',mode:absolute,to:'2017-06-16T00:08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9" s="197" t="str">
        <f>IF(AA149&lt;VLOOKUP(AG149,Variables!$AC$3:$AD$8,2,FALSE),"Y","N")</f>
        <v>N</v>
      </c>
      <c r="X149" s="197">
        <f t="shared" ref="X149:X160" si="82">VALUE(LEFT(AD149,4))-VALUE(LEFT(AD148,4))</f>
        <v>1</v>
      </c>
      <c r="Y149" s="197">
        <f t="shared" si="75"/>
        <v>4.53E-2</v>
      </c>
      <c r="Z149" s="197">
        <f t="shared" si="76"/>
        <v>23.328900000000001</v>
      </c>
      <c r="AA149" s="197">
        <f t="shared" si="77"/>
        <v>23.2836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78"/>
        <v>235</v>
      </c>
      <c r="AE149" s="77" t="str">
        <f t="shared" si="79"/>
        <v>aws s3 cp s3://rtdc.mdm.uploadarchive.raw/RTDC4032/ "%USERPROFILE%\AppData\Local\Temp\OnboardLogs"\RTDC4032\2017-06-15 --exclude "*" --recursive --include "*20170615*" &amp; "%USERPROFILE%\Documents\GitHub\mrs-test-scripts\Headless Mode &amp; Sideloading\WalkAndUnGZ.bat" "%USERPROFILE%\AppData\Local\Temp\OnboardLogs"\RTDC4032\2017-06-15 &amp; aws s3 cp s3://rtdc.mdm.uploadarchive.raw/RTDC4032/ "%USERPROFILE%\AppData\Local\Temp\OnboardLogs"\RTDC4032\2017-06-16 --exclude "*" --recursive --include "*20170616*" &amp; "%USERPROFILE%\Documents\GitHub\mrs-test-scripts\Headless Mode &amp; Sideloading\WalkAndUnGZ.bat" "%USERPROFILE%\AppData\Local\Temp\OnboardLogs"\RTDC4032\2017-06-16</v>
      </c>
      <c r="AF149" s="74" t="str">
        <f t="shared" si="80"/>
        <v>"C:\Program Files (x86)\AstroGrep\AstroGrep.exe" /e /r /s /spath="%USERPROFILE%\AppData\Local\Temp\OnboardLogs" /stypes="app*4032*20170616*" /stext=" 05:.+((SYSTEM_STATE.+slice.+state.+changed )|(ment ac)|(multiple cpu faults)|(system.+state.+changed )|(\[timeout)|(PRM\|1\|D)|(kpr)|(kdp)|(train st.+moving)|(\|lc)|(penalty))"</v>
      </c>
      <c r="AG149" s="209" t="str">
        <f t="shared" si="81"/>
        <v>EC</v>
      </c>
      <c r="AH149" s="78" t="str">
        <f t="shared" si="67"/>
        <v>"%USERPROFILE%\Documents\GitHub\eaglep3\Utilities\RefineRTDCRunTimes.py" --tripid 235-15 --locoid 4032 --swversion DE.1.0.9.0 --startMP 204:453 --initTime 2017-06-15T22:15:22 --startdatetime 2017-06-15T22:30:17 --delay 1 --endMP 204:233289 --enddatetime 2017-06-15T23:08:49 --enforcementcount 0 &gt;&gt;C:\Users\stu\Documents\GitHub\eaglep3-reporting\EC\2017-06-15-refined-times.txt</v>
      </c>
      <c r="AI149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{"issue":{"subject":"","project_id":79,"tracker_id":40,"status_id":1,"priority_id":2,"assigned_to_id":23,"start_date":"2017-06-15","description":"","custom_fields":[{"id":1,"name":"Subdivision","value":"EC"},{"id":4,"name":"Milepost","value":"23.3289"},{"id":17,"name":"Train ID","value":"235-15"},{"id":16,"name":"Locomotive ID","value":"4032"},{"id":130,"name":"Impact","value":""},{"id":150,"name":"Time of Event (Mountain Time)","value":"23:08:49"},{"id":151,"name":"Denver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9"/>
        <v>start /low /b %USERPROFILE%\Documents\GitHub\eaglep3\Utilities\DownloadLogsFromS3.py --loco 4032 --day 2017-06-15</v>
      </c>
      <c r="AN149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05:08:49"},{"id":29,"name":"Sharepoint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837</v>
      </c>
      <c r="B150" s="7">
        <v>4031</v>
      </c>
      <c r="C150" s="21" t="s">
        <v>202</v>
      </c>
      <c r="D150" s="21" t="s">
        <v>455</v>
      </c>
      <c r="E150" s="13">
        <v>42901.96603009259</v>
      </c>
      <c r="F150" s="13">
        <v>42901.977384259262</v>
      </c>
      <c r="G150" s="7">
        <v>1</v>
      </c>
      <c r="H150" s="21" t="s">
        <v>454</v>
      </c>
      <c r="I150" s="13">
        <v>42902.00440972222</v>
      </c>
      <c r="J150" s="7">
        <v>1</v>
      </c>
      <c r="K150" s="89" t="str">
        <f t="shared" si="71"/>
        <v>4031/4032</v>
      </c>
      <c r="L150" s="21" t="str">
        <f>VLOOKUP(A150,'Trips&amp;Operators'!$C$1:$G$99999,5,FALSE)</f>
        <v>FORTUNATO FRANK</v>
      </c>
      <c r="M150" s="6">
        <f t="shared" si="72"/>
        <v>2.7025462957681157E-2</v>
      </c>
      <c r="N150" s="7">
        <f t="shared" si="64"/>
        <v>38.916666659060866</v>
      </c>
      <c r="O150" s="7"/>
      <c r="P150" s="7"/>
      <c r="Q150" s="22"/>
      <c r="R150" s="170"/>
      <c r="S150" s="213">
        <f t="shared" si="65"/>
        <v>1</v>
      </c>
      <c r="T150" s="195" t="str">
        <f t="shared" si="73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74"/>
        <v>https://d0f6bd738d7f1b3e5a7ca70fe4ff75f0.us-east-1.aws.found.io/app/kibana#/discover/Steve-Slow-Train-Analysis-(2080s-and-2083s)?_g=(refreshInterval:(display:Off,pause:!f,section:0,value:0),time:(from:'2017-06-15T22:11:05-0600',mode:absolute,to:'2017-06-16T01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197" t="str">
        <f>IF(AA150&lt;VLOOKUP(AG150,Variables!$AC$3:$AD$8,2,FALSE),"Y","N")</f>
        <v>N</v>
      </c>
      <c r="X150" s="197">
        <f t="shared" si="82"/>
        <v>1</v>
      </c>
      <c r="Y150" s="197">
        <f t="shared" si="75"/>
        <v>23.299600000000002</v>
      </c>
      <c r="Z150" s="197">
        <f t="shared" si="76"/>
        <v>1.3599999999999999E-2</v>
      </c>
      <c r="AA150" s="197">
        <f t="shared" si="77"/>
        <v>23.286000000000001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78"/>
        <v>236</v>
      </c>
      <c r="AE150" s="77" t="str">
        <f t="shared" si="79"/>
        <v>aws s3 cp s3://rtdc.mdm.uploadarchive.raw/RTDC4031/ "%USERPROFILE%\AppData\Local\Temp\OnboardLogs"\RTDC4031\2017-06-15 --exclude "*" --recursive --include "*20170615*" &amp; "%USERPROFILE%\Documents\GitHub\mrs-test-scripts\Headless Mode &amp; Sideloading\WalkAndUnGZ.bat" "%USERPROFILE%\AppData\Local\Temp\OnboardLogs"\RTDC4031\2017-06-15 &amp; aws s3 cp s3://rtdc.mdm.uploadarchive.raw/RTDC4031/ "%USERPROFILE%\AppData\Local\Temp\OnboardLogs"\RTDC4031\2017-06-16 --exclude "*" --recursive --include "*20170616*" &amp; "%USERPROFILE%\Documents\GitHub\mrs-test-scripts\Headless Mode &amp; Sideloading\WalkAndUnGZ.bat" "%USERPROFILE%\AppData\Local\Temp\OnboardLogs"\RTDC4031\2017-06-16</v>
      </c>
      <c r="AF150" s="74" t="str">
        <f t="shared" si="80"/>
        <v>"C:\Program Files (x86)\AstroGrep\AstroGrep.exe" /e /r /s /spath="%USERPROFILE%\AppData\Local\Temp\OnboardLogs" /stypes="app*4031*20170616*" /stext=" 06:.+((SYSTEM_STATE.+slice.+state.+changed )|(ment ac)|(multiple cpu faults)|(system.+state.+changed )|(\[timeout)|(PRM\|1\|D)|(kpr)|(kdp)|(train st.+moving)|(\|lc)|(penalty))"</v>
      </c>
      <c r="AG150" s="209" t="str">
        <f t="shared" si="81"/>
        <v>EC</v>
      </c>
      <c r="AH150" s="78" t="str">
        <f t="shared" ref="AH150" si="83"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236-15 --locoid 4031 --swversion DE.1.0.9.0 --startMP 204:232996 --initTime 2017-06-15T23:11:05 --startdatetime 2017-06-15T23:27:26 --delay 1 --endMP 204:136 --enddatetime 2017-06-16T00:06:21 --enforcementcount 1 &gt;&gt;C:\Users\stu\Documents\GitHub\eaglep3-reporting\EC\2017-06-15-refined-times.txt</v>
      </c>
      <c r="AI150" s="96" t="str">
        <f t="shared" ref="AI150" si="84"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{"issue":{"subject":"","project_id":79,"tracker_id":40,"status_id":1,"priority_id":2,"assigned_to_id":23,"start_date":"2017-06-16","description":"","custom_fields":[{"id":1,"name":"Subdivision","value":"EC"},{"id":4,"name":"Milepost","value":"0.0136"},{"id":17,"name":"Train ID","value":"236-15"},{"id":16,"name":"Locomotive ID","value":"4031"},{"id":130,"name":"Impact","value":""},{"id":150,"name":"Time of Event (Mountain Time)","value":"00:06:21"},{"id":151,"name":"Denver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ref="AM150" si="85">"start /low /b "&amp;dls3logs&amp;" --loco "&amp;B150&amp;" --day "&amp;TEXT(F150,"YYYY-MM-DD")</f>
        <v>start /low /b %USERPROFILE%\Documents\GitHub\eaglep3\Utilities\DownloadLogsFromS3.py --loco 4031 --day 2017-06-15</v>
      </c>
      <c r="AN150" s="151" t="str">
        <f t="shared" ref="AN150" si="86"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06:06:21"},{"id":29,"name":"Sharepoint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835</v>
      </c>
      <c r="B151" s="7">
        <v>4054</v>
      </c>
      <c r="C151" s="21" t="s">
        <v>202</v>
      </c>
      <c r="D151" s="21" t="s">
        <v>392</v>
      </c>
      <c r="E151" s="13">
        <v>42901.950810185182</v>
      </c>
      <c r="F151" s="13">
        <v>42901.958553240744</v>
      </c>
      <c r="G151" s="7">
        <v>1</v>
      </c>
      <c r="H151" s="21" t="s">
        <v>393</v>
      </c>
      <c r="I151" s="13">
        <v>42901.984872685185</v>
      </c>
      <c r="J151" s="7">
        <v>0</v>
      </c>
      <c r="K151" s="89" t="str">
        <f t="shared" si="71"/>
        <v>4053/4054</v>
      </c>
      <c r="L151" s="21" t="str">
        <f>VLOOKUP(A151,'Trips&amp;Operators'!$C$1:$G$99999,5,FALSE)</f>
        <v>ZEWDU DEREJE</v>
      </c>
      <c r="M151" s="6">
        <f t="shared" si="72"/>
        <v>2.6319444441469386E-2</v>
      </c>
      <c r="N151" s="7">
        <f t="shared" si="64"/>
        <v>37.899999995715916</v>
      </c>
      <c r="O151" s="7"/>
      <c r="P151" s="7"/>
      <c r="Q151" s="22"/>
      <c r="R151" s="170"/>
      <c r="S151" s="213">
        <f t="shared" si="65"/>
        <v>1</v>
      </c>
      <c r="T151" s="195" t="str">
        <f t="shared" si="73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74"/>
        <v>https://d0f6bd738d7f1b3e5a7ca70fe4ff75f0.us-east-1.aws.found.io/app/kibana#/discover/Steve-Slow-Train-Analysis-(2080s-and-2083s)?_g=(refreshInterval:(display:Off,pause:!f,section:0,value:0),time:(from:'2017-06-15T21:49:10-0600',mode:absolute,to:'2017-06-16T00:38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97" t="str">
        <f>IF(AA151&lt;VLOOKUP(AG151,Variables!$AC$3:$AD$8,2,FALSE),"Y","N")</f>
        <v>N</v>
      </c>
      <c r="X151" s="197">
        <f t="shared" si="82"/>
        <v>1</v>
      </c>
      <c r="Y151" s="197">
        <f t="shared" si="75"/>
        <v>4.6199999999999998E-2</v>
      </c>
      <c r="Z151" s="197">
        <f t="shared" si="76"/>
        <v>23.3293</v>
      </c>
      <c r="AA151" s="197">
        <f t="shared" si="77"/>
        <v>23.283100000000001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78"/>
        <v>237</v>
      </c>
      <c r="AE151" s="77" t="str">
        <f t="shared" si="79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151" s="74" t="str">
        <f t="shared" si="80"/>
        <v>"C:\Program Files (x86)\AstroGrep\AstroGrep.exe" /e /r /s /spath="%USERPROFILE%\AppData\Local\Temp\OnboardLogs" /stypes="app*4054*20170616*" /stext=" 05:.+((SYSTEM_STATE.+slice.+state.+changed )|(ment ac)|(multiple cpu faults)|(system.+state.+changed )|(\[timeout)|(PRM\|1\|D)|(kpr)|(kdp)|(train st.+moving)|(\|lc)|(penalty))"</v>
      </c>
      <c r="AG151" s="209" t="str">
        <f t="shared" si="81"/>
        <v>EC</v>
      </c>
      <c r="AH151" s="78" t="str">
        <f t="shared" si="67"/>
        <v>"%USERPROFILE%\Documents\GitHub\eaglep3\Utilities\RefineRTDCRunTimes.py" --tripid 237-15 --locoid 4054 --swversion DE.1.0.9.0 --startMP 204:462 --initTime 2017-06-15T22:49:10 --startdatetime 2017-06-15T23:00:19 --delay 1 --endMP 204:233293 --enddatetime 2017-06-15T23:38:13 --enforcementcount 0 &gt;&gt;C:\Users\stu\Documents\GitHub\eaglep3-reporting\EC\2017-06-15-refined-times.txt</v>
      </c>
      <c r="AI151" s="96" t="str">
        <f t="shared" si="68"/>
        <v>echo {"issue":{"subject":"","project_id":79,"tracker_id":40,"status_id":1,"priority_id":2,"assigned_to_id":23,"start_date":"2017-06-15","description":"","custom_fields":[{"id":1,"name":"Subdivision","value":"EC"},{"id":4,"name":"Milepost","value":"23.3293"},{"id":17,"name":"Train ID","value":"237-15"},{"id":16,"name":"Locomotive ID","value":"4054"},{"id":130,"name":"Impact","value":""},{"id":150,"name":"Time of Event (Mountain Time)","value":"23:38:13"},{"id":151,"name":"Denver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9"/>
        <v>start /low /b %USERPROFILE%\Documents\GitHub\eaglep3\Utilities\DownloadLogsFromS3.py --loco 4054 --day 2017-06-15</v>
      </c>
      <c r="AN151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05:38:13"},{"id":29,"name":"Sharepoint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1018</v>
      </c>
      <c r="B152" s="7">
        <v>4053</v>
      </c>
      <c r="C152" s="21" t="s">
        <v>202</v>
      </c>
      <c r="D152" s="21" t="s">
        <v>463</v>
      </c>
      <c r="E152" s="13">
        <v>42901.991064814814</v>
      </c>
      <c r="F152" s="13">
        <v>42901.998148148145</v>
      </c>
      <c r="G152" s="7">
        <v>2</v>
      </c>
      <c r="H152" s="21" t="s">
        <v>360</v>
      </c>
      <c r="I152" s="13">
        <v>42902.025497685187</v>
      </c>
      <c r="J152" s="7">
        <v>0</v>
      </c>
      <c r="K152" s="89" t="str">
        <f t="shared" ref="K152:K158" si="87">IF(ISEVEN(B152),(B152-1)&amp;"/"&amp;B152,B152&amp;"/"&amp;(B152+1))</f>
        <v>4053/4054</v>
      </c>
      <c r="L152" s="21" t="str">
        <f>VLOOKUP(A152,'Trips&amp;Operators'!$C$1:$G$99999,5,FALSE)</f>
        <v>ZEWDU DEREJE</v>
      </c>
      <c r="M152" s="6">
        <f t="shared" ref="M152:M158" si="88">I152-F152</f>
        <v>2.7349537042027805E-2</v>
      </c>
      <c r="N152" s="7">
        <f t="shared" ref="N152:N158" si="89">24*60*SUM($M152:$M152)</f>
        <v>39.383333340520039</v>
      </c>
      <c r="O152" s="7"/>
      <c r="P152" s="7"/>
      <c r="Q152" s="22"/>
      <c r="R152" s="170"/>
      <c r="S152" s="213">
        <f t="shared" ref="S152:S158" si="90">SUM(U152:U152)/IF(AG152="EC",12,1)</f>
        <v>1</v>
      </c>
      <c r="T152" s="195" t="str">
        <f t="shared" ref="T152:T158" si="91">IF(ISEVEN(LEFT(AD152,4)),"Southbound","NorthBound")</f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74"/>
        <v>https://d0f6bd738d7f1b3e5a7ca70fe4ff75f0.us-east-1.aws.found.io/app/kibana#/discover/Steve-Slow-Train-Analysis-(2080s-and-2083s)?_g=(refreshInterval:(display:Off,pause:!f,section:0,value:0),time:(from:'2017-06-15T22:47:08-0600',mode:absolute,to:'2017-06-16T01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197" t="str">
        <f>IF(AA152&lt;VLOOKUP(AG152,Variables!$AC$3:$AD$8,2,FALSE),"Y","N")</f>
        <v>N</v>
      </c>
      <c r="X152" s="197">
        <f t="shared" si="82"/>
        <v>1</v>
      </c>
      <c r="Y152" s="197">
        <f t="shared" ref="Y152:Y158" si="92">RIGHT(D152,LEN(D152)-4)/10000</f>
        <v>23.2987</v>
      </c>
      <c r="Z152" s="197">
        <f t="shared" ref="Z152:Z158" si="93">RIGHT(H152,LEN(H152)-4)/10000</f>
        <v>1.47E-2</v>
      </c>
      <c r="AA152" s="197">
        <f t="shared" ref="AA152:AA158" si="94">ABS(Z152-Y152)</f>
        <v>23.283999999999999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ref="AD152:AD158" si="95">VALUE(LEFT(A152,LEN(A152)-3))</f>
        <v>238</v>
      </c>
      <c r="AE152" s="77" t="str">
        <f t="shared" si="79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152" s="74" t="str">
        <f t="shared" si="80"/>
        <v>"C:\Program Files (x86)\AstroGrep\AstroGrep.exe" /e /r /s /spath="%USERPROFILE%\AppData\Local\Temp\OnboardLogs" /stypes="app*4053*20170616*" /stext=" 06:.+((SYSTEM_STATE.+slice.+state.+changed )|(ment ac)|(multiple cpu faults)|(system.+state.+changed )|(\[timeout)|(PRM\|1\|D)|(kpr)|(kdp)|(train st.+moving)|(\|lc)|(penalty))"</v>
      </c>
      <c r="AG152" s="209" t="str">
        <f t="shared" ref="AG152:AG158" si="96">DetSubdiv(A152)</f>
        <v>EC</v>
      </c>
      <c r="AH152" s="78" t="str">
        <f t="shared" ref="AH152:AH158" si="97"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238-15 --locoid 4053 --swversion DE.1.0.9.0 --startMP 204:232987 --initTime 2017-06-15T23:47:08 --startdatetime 2017-06-15T23:57:20 --delay 2 --endMP 204:147 --enddatetime 2017-06-16T00:36:43 --enforcementcount 0 &gt;&gt;C:\Users\stu\Documents\GitHub\eaglep3-reporting\EC\2017-06-15-refined-times.txt</v>
      </c>
      <c r="AI152" s="96" t="str">
        <f t="shared" ref="AI152:AI158" si="98"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{"issue":{"subject":"","project_id":79,"tracker_id":40,"status_id":1,"priority_id":2,"assigned_to_id":23,"start_date":"2017-06-16","description":"","custom_fields":[{"id":1,"name":"Subdivision","value":"EC"},{"id":4,"name":"Milepost","value":"0.0147"},{"id":17,"name":"Train ID","value":"238-15"},{"id":16,"name":"Locomotive ID","value":"4053"},{"id":130,"name":"Impact","value":""},{"id":150,"name":"Time of Event (Mountain Time)","value":"00:36:43"},{"id":151,"name":"Denver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ref="AM152:AM158" si="99">"start /low /b "&amp;dls3logs&amp;" --loco "&amp;B152&amp;" --day "&amp;TEXT(F152,"YYYY-MM-DD")</f>
        <v>start /low /b %USERPROFILE%\Documents\GitHub\eaglep3\Utilities\DownloadLogsFromS3.py --loco 4053 --day 2017-06-15</v>
      </c>
      <c r="AN152" s="151" t="str">
        <f t="shared" ref="AN152:AN158" si="100"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06:36:43"},{"id":29,"name":"Sharepoint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s="20" customFormat="1" x14ac:dyDescent="0.25">
      <c r="A153" s="32" t="s">
        <v>836</v>
      </c>
      <c r="B153" s="7">
        <v>4046</v>
      </c>
      <c r="C153" s="21" t="s">
        <v>202</v>
      </c>
      <c r="D153" s="21" t="s">
        <v>445</v>
      </c>
      <c r="E153" s="13">
        <v>42901.965694444443</v>
      </c>
      <c r="F153" s="13">
        <v>42901.979363425926</v>
      </c>
      <c r="G153" s="7">
        <v>1</v>
      </c>
      <c r="H153" s="21" t="s">
        <v>850</v>
      </c>
      <c r="I153" s="13">
        <v>42902.004178240742</v>
      </c>
      <c r="J153" s="7">
        <v>0</v>
      </c>
      <c r="K153" s="89" t="str">
        <f t="shared" si="87"/>
        <v>4045/4046</v>
      </c>
      <c r="L153" s="21" t="str">
        <f>VLOOKUP(A153,'Trips&amp;Operators'!$C$1:$G$99999,5,FALSE)</f>
        <v>SMITH MICHAEL</v>
      </c>
      <c r="M153" s="6">
        <f t="shared" si="88"/>
        <v>2.4814814816636499E-2</v>
      </c>
      <c r="N153" s="7">
        <f t="shared" si="89"/>
        <v>35.733333335956559</v>
      </c>
      <c r="O153" s="7"/>
      <c r="P153" s="7"/>
      <c r="Q153" s="22"/>
      <c r="R153" s="170"/>
      <c r="S153" s="213">
        <f t="shared" si="90"/>
        <v>1</v>
      </c>
      <c r="T153" s="195" t="str">
        <f t="shared" si="91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74"/>
        <v>https://d0f6bd738d7f1b3e5a7ca70fe4ff75f0.us-east-1.aws.found.io/app/kibana#/discover/Steve-Slow-Train-Analysis-(2080s-and-2083s)?_g=(refreshInterval:(display:Off,pause:!f,section:0,value:0),time:(from:'2017-06-15T22:10:36-0600',mode:absolute,to:'2017-06-16T01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197" t="str">
        <f>IF(AA153&lt;VLOOKUP(AG153,Variables!$AC$3:$AD$8,2,FALSE),"Y","N")</f>
        <v>N</v>
      </c>
      <c r="X153" s="197">
        <f t="shared" si="82"/>
        <v>1</v>
      </c>
      <c r="Y153" s="197">
        <f t="shared" si="92"/>
        <v>4.4400000000000002E-2</v>
      </c>
      <c r="Z153" s="197">
        <f t="shared" si="93"/>
        <v>23.328600000000002</v>
      </c>
      <c r="AA153" s="197">
        <f t="shared" si="94"/>
        <v>23.284200000000002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95"/>
        <v>239</v>
      </c>
      <c r="AE153" s="77" t="str">
        <f t="shared" si="79"/>
        <v>aws s3 cp s3://rtdc.mdm.uploadarchive.raw/RTDC4046/ "%USERPROFILE%\AppData\Local\Temp\OnboardLogs"\RTDC4046\2017-06-15 --exclude "*" --recursive --include "*20170615*" &amp; "%USERPROFILE%\Documents\GitHub\mrs-test-scripts\Headless Mode &amp; Sideloading\WalkAndUnGZ.bat" "%USERPROFILE%\AppData\Local\Temp\OnboardLogs"\RTDC4046\2017-06-15 &amp; aws s3 cp s3://rtdc.mdm.uploadarchive.raw/RTDC4046/ "%USERPROFILE%\AppData\Local\Temp\OnboardLogs"\RTDC4046\2017-06-16 --exclude "*" --recursive --include "*20170616*" &amp; "%USERPROFILE%\Documents\GitHub\mrs-test-scripts\Headless Mode &amp; Sideloading\WalkAndUnGZ.bat" "%USERPROFILE%\AppData\Local\Temp\OnboardLogs"\RTDC4046\2017-06-16</v>
      </c>
      <c r="AF153" s="74" t="str">
        <f t="shared" si="80"/>
        <v>"C:\Program Files (x86)\AstroGrep\AstroGrep.exe" /e /r /s /spath="%USERPROFILE%\AppData\Local\Temp\OnboardLogs" /stypes="app*4046*20170616*" /stext=" 06:.+((SYSTEM_STATE.+slice.+state.+changed )|(ment ac)|(multiple cpu faults)|(system.+state.+changed )|(\[timeout)|(PRM\|1\|D)|(kpr)|(kdp)|(train st.+moving)|(\|lc)|(penalty))"</v>
      </c>
      <c r="AG153" s="209" t="str">
        <f t="shared" si="96"/>
        <v>EC</v>
      </c>
      <c r="AH153" s="78" t="str">
        <f t="shared" si="97"/>
        <v>"%USERPROFILE%\Documents\GitHub\eaglep3\Utilities\RefineRTDCRunTimes.py" --tripid 239-15 --locoid 4046 --swversion DE.1.0.9.0 --startMP 204:444 --initTime 2017-06-15T23:10:36 --startdatetime 2017-06-15T23:30:17 --delay 1 --endMP 204:233286 --enddatetime 2017-06-16T00:06:01 --enforcementcount 0 &gt;&gt;C:\Users\stu\Documents\GitHub\eaglep3-reporting\EC\2017-06-15-refined-times.txt</v>
      </c>
      <c r="AI153" s="96" t="str">
        <f t="shared" si="98"/>
        <v>echo {"issue":{"subject":"","project_id":79,"tracker_id":40,"status_id":1,"priority_id":2,"assigned_to_id":23,"start_date":"2017-06-16","description":"","custom_fields":[{"id":1,"name":"Subdivision","value":"EC"},{"id":4,"name":"Milepost","value":"23.3286"},{"id":17,"name":"Train ID","value":"239-15"},{"id":16,"name":"Locomotive ID","value":"4046"},{"id":130,"name":"Impact","value":""},{"id":150,"name":"Time of Event (Mountain Time)","value":"00:06:01"},{"id":151,"name":"Denver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99"/>
        <v>start /low /b %USERPROFILE%\Documents\GitHub\eaglep3\Utilities\DownloadLogsFromS3.py --loco 4046 --day 2017-06-15</v>
      </c>
      <c r="AN153" s="151" t="str">
        <f t="shared" si="10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06:06:01"},{"id":29,"name":"Sharepoint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s="20" customFormat="1" x14ac:dyDescent="0.25">
      <c r="A154" s="32" t="s">
        <v>1019</v>
      </c>
      <c r="B154" s="7">
        <v>4045</v>
      </c>
      <c r="C154" s="21" t="s">
        <v>202</v>
      </c>
      <c r="D154" s="21" t="s">
        <v>459</v>
      </c>
      <c r="E154" s="13">
        <v>42902.013148148151</v>
      </c>
      <c r="F154" s="13">
        <v>42902.019108796296</v>
      </c>
      <c r="G154" s="7">
        <v>1</v>
      </c>
      <c r="H154" s="21" t="s">
        <v>357</v>
      </c>
      <c r="I154" s="13">
        <v>42902.046932870369</v>
      </c>
      <c r="J154" s="7">
        <v>0</v>
      </c>
      <c r="K154" s="89" t="str">
        <f t="shared" si="87"/>
        <v>4045/4046</v>
      </c>
      <c r="L154" s="21" t="str">
        <f>VLOOKUP(A154,'Trips&amp;Operators'!$C$1:$G$99999,5,FALSE)</f>
        <v>SMITH MICHAEL</v>
      </c>
      <c r="M154" s="6">
        <f t="shared" si="88"/>
        <v>2.7824074073578231E-2</v>
      </c>
      <c r="N154" s="7">
        <f t="shared" si="89"/>
        <v>40.066666665952653</v>
      </c>
      <c r="O154" s="7"/>
      <c r="P154" s="7"/>
      <c r="Q154" s="22"/>
      <c r="R154" s="170"/>
      <c r="S154" s="213">
        <f t="shared" si="90"/>
        <v>1</v>
      </c>
      <c r="T154" s="195" t="str">
        <f t="shared" si="91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74"/>
        <v>https://d0f6bd738d7f1b3e5a7ca70fe4ff75f0.us-east-1.aws.found.io/app/kibana#/discover/Steve-Slow-Train-Analysis-(2080s-and-2083s)?_g=(refreshInterval:(display:Off,pause:!f,section:0,value:0),time:(from:'2017-06-15T23:18:56-0600',mode:absolute,to:'2017-06-16T02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97" t="str">
        <f>IF(AA154&lt;VLOOKUP(AG154,Variables!$AC$3:$AD$8,2,FALSE),"Y","N")</f>
        <v>N</v>
      </c>
      <c r="X154" s="197">
        <f t="shared" si="82"/>
        <v>1</v>
      </c>
      <c r="Y154" s="197">
        <f t="shared" si="92"/>
        <v>23.296900000000001</v>
      </c>
      <c r="Z154" s="197">
        <f t="shared" si="93"/>
        <v>1.3899999999999999E-2</v>
      </c>
      <c r="AA154" s="197">
        <f t="shared" si="94"/>
        <v>23.283000000000001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95"/>
        <v>240</v>
      </c>
      <c r="AE154" s="77" t="str">
        <f t="shared" si="79"/>
        <v>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 &amp; aws s3 cp s3://rtdc.mdm.uploadarchive.raw/RTDC4045/ "%USERPROFILE%\AppData\Local\Temp\OnboardLogs"\RTDC4045\2017-06-17 --exclude "*" --recursive --include "*20170617*" &amp; "%USERPROFILE%\Documents\GitHub\mrs-test-scripts\Headless Mode &amp; Sideloading\WalkAndUnGZ.bat" "%USERPROFILE%\AppData\Local\Temp\OnboardLogs"\RTDC4045\2017-06-17</v>
      </c>
      <c r="AF154" s="74" t="str">
        <f t="shared" si="80"/>
        <v>"C:\Program Files (x86)\AstroGrep\AstroGrep.exe" /e /r /s /spath="%USERPROFILE%\AppData\Local\Temp\OnboardLogs" /stypes="app*4045*20170616*" /stext=" 07:.+((SYSTEM_STATE.+slice.+state.+changed )|(ment ac)|(multiple cpu faults)|(system.+state.+changed )|(\[timeout)|(PRM\|1\|D)|(kpr)|(kdp)|(train st.+moving)|(\|lc)|(penalty))"</v>
      </c>
      <c r="AG154" s="209" t="str">
        <f t="shared" si="96"/>
        <v>EC</v>
      </c>
      <c r="AH154" s="78" t="str">
        <f t="shared" si="97"/>
        <v>"%USERPROFILE%\Documents\GitHub\eaglep3\Utilities\RefineRTDCRunTimes.py" --tripid 240-15 --locoid 4045 --swversion DE.1.0.9.0 --startMP 204:232969 --initTime 2017-06-16T00:18:56 --startdatetime 2017-06-16T00:27:31 --delay 1 --endMP 204:139 --enddatetime 2017-06-16T01:07:35 --enforcementcount 0 &gt;&gt;C:\Users\stu\Documents\GitHub\eaglep3-reporting\EC\2017-06-15-refined-times.txt</v>
      </c>
      <c r="AI154" s="96" t="str">
        <f t="shared" si="98"/>
        <v>echo {"issue":{"subject":"","project_id":79,"tracker_id":40,"status_id":1,"priority_id":2,"assigned_to_id":23,"start_date":"2017-06-16","description":"","custom_fields":[{"id":1,"name":"Subdivision","value":"EC"},{"id":4,"name":"Milepost","value":"0.0139"},{"id":17,"name":"Train ID","value":"240-15"},{"id":16,"name":"Locomotive ID","value":"4045"},{"id":130,"name":"Impact","value":""},{"id":150,"name":"Time of Event (Mountain Time)","value":"01:07:35"},{"id":151,"name":"Denver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99"/>
        <v>start /low /b %USERPROFILE%\Documents\GitHub\eaglep3\Utilities\DownloadLogsFromS3.py --loco 4045 --day 2017-06-16</v>
      </c>
      <c r="AN154" s="151" t="str">
        <f t="shared" si="10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07:07:35"},{"id":29,"name":"Sharepoint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s="20" customFormat="1" x14ac:dyDescent="0.25">
      <c r="A155" s="32" t="s">
        <v>1020</v>
      </c>
      <c r="B155" s="7">
        <v>4040</v>
      </c>
      <c r="C155" s="21" t="s">
        <v>202</v>
      </c>
      <c r="D155" s="21" t="s">
        <v>352</v>
      </c>
      <c r="E155" s="13">
        <v>42901.992581018516</v>
      </c>
      <c r="F155" s="13">
        <v>42902.000138888892</v>
      </c>
      <c r="G155" s="7">
        <v>1</v>
      </c>
      <c r="H155" s="21" t="s">
        <v>1021</v>
      </c>
      <c r="I155" s="13">
        <v>42902.025555555556</v>
      </c>
      <c r="J155" s="7">
        <v>0</v>
      </c>
      <c r="K155" s="89" t="str">
        <f t="shared" si="87"/>
        <v>4039/4040</v>
      </c>
      <c r="L155" s="21" t="str">
        <f>VLOOKUP(A155,'Trips&amp;Operators'!$C$1:$G$99999,5,FALSE)</f>
        <v>PERKINS DARREN</v>
      </c>
      <c r="M155" s="6">
        <f t="shared" si="88"/>
        <v>2.5416666663659271E-2</v>
      </c>
      <c r="N155" s="7">
        <f t="shared" si="89"/>
        <v>36.59999999566935</v>
      </c>
      <c r="O155" s="7"/>
      <c r="P155" s="7"/>
      <c r="Q155" s="22"/>
      <c r="R155" s="170"/>
      <c r="S155" s="213">
        <f t="shared" si="90"/>
        <v>1</v>
      </c>
      <c r="T155" s="195" t="str">
        <f t="shared" si="91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74"/>
        <v>https://d0f6bd738d7f1b3e5a7ca70fe4ff75f0.us-east-1.aws.found.io/app/kibana#/discover/Steve-Slow-Train-Analysis-(2080s-and-2083s)?_g=(refreshInterval:(display:Off,pause:!f,section:0,value:0),time:(from:'2017-06-15T22:49:19-0600',mode:absolute,to:'2017-06-16T01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197" t="str">
        <f>IF(AA155&lt;VLOOKUP(AG155,Variables!$AC$3:$AD$8,2,FALSE),"Y","N")</f>
        <v>N</v>
      </c>
      <c r="X155" s="197">
        <f t="shared" si="82"/>
        <v>1</v>
      </c>
      <c r="Y155" s="197">
        <f t="shared" si="92"/>
        <v>4.6600000000000003E-2</v>
      </c>
      <c r="Z155" s="197">
        <f t="shared" si="93"/>
        <v>23.334399999999999</v>
      </c>
      <c r="AA155" s="197">
        <f t="shared" si="94"/>
        <v>23.287799999999997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95"/>
        <v>241</v>
      </c>
      <c r="AE155" s="77" t="str">
        <f t="shared" si="79"/>
        <v>aws s3 cp s3://rtdc.mdm.uploadarchive.raw/RTDC4040/ "%USERPROFILE%\AppData\Local\Temp\OnboardLogs"\RTDC4040\2017-06-16 --exclude "*" --recursive --include "*20170616*" &amp; "%USERPROFILE%\Documents\GitHub\mrs-test-scripts\Headless Mode &amp; Sideloading\WalkAndUnGZ.bat" "%USERPROFILE%\AppData\Local\Temp\OnboardLogs"\RTDC4040\2017-06-16 &amp; aws s3 cp s3://rtdc.mdm.uploadarchive.raw/RTDC4040/ "%USERPROFILE%\AppData\Local\Temp\OnboardLogs"\RTDC4040\2017-06-17 --exclude "*" --recursive --include "*20170617*" &amp; "%USERPROFILE%\Documents\GitHub\mrs-test-scripts\Headless Mode &amp; Sideloading\WalkAndUnGZ.bat" "%USERPROFILE%\AppData\Local\Temp\OnboardLogs"\RTDC4040\2017-06-17</v>
      </c>
      <c r="AF155" s="74" t="str">
        <f t="shared" si="80"/>
        <v>"C:\Program Files (x86)\AstroGrep\AstroGrep.exe" /e /r /s /spath="%USERPROFILE%\AppData\Local\Temp\OnboardLogs" /stypes="app*4040*20170616*" /stext=" 06:.+((SYSTEM_STATE.+slice.+state.+changed )|(ment ac)|(multiple cpu faults)|(system.+state.+changed )|(\[timeout)|(PRM\|1\|D)|(kpr)|(kdp)|(train st.+moving)|(\|lc)|(penalty))"</v>
      </c>
      <c r="AG155" s="209" t="str">
        <f t="shared" si="96"/>
        <v>EC</v>
      </c>
      <c r="AH155" s="78" t="str">
        <f t="shared" si="97"/>
        <v>"%USERPROFILE%\Documents\GitHub\eaglep3\Utilities\RefineRTDCRunTimes.py" --tripid 241-15 --locoid 4040 --swversion DE.1.0.9.0 --startMP 204:466 --initTime 2017-06-15T23:49:19 --startdatetime 2017-06-16T00:00:12 --delay 1 --endMP 204:233344 --enddatetime 2017-06-16T00:36:48 --enforcementcount 0 &gt;&gt;C:\Users\stu\Documents\GitHub\eaglep3-reporting\EC\2017-06-15-refined-times.txt</v>
      </c>
      <c r="AI155" s="96" t="str">
        <f t="shared" si="98"/>
        <v>echo {"issue":{"subject":"","project_id":79,"tracker_id":40,"status_id":1,"priority_id":2,"assigned_to_id":23,"start_date":"2017-06-16","description":"","custom_fields":[{"id":1,"name":"Subdivision","value":"EC"},{"id":4,"name":"Milepost","value":"23.3344"},{"id":17,"name":"Train ID","value":"241-15"},{"id":16,"name":"Locomotive ID","value":"4040"},{"id":130,"name":"Impact","value":""},{"id":150,"name":"Time of Event (Mountain Time)","value":"00:36:48"},{"id":151,"name":"Denver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99"/>
        <v>start /low /b %USERPROFILE%\Documents\GitHub\eaglep3\Utilities\DownloadLogsFromS3.py --loco 4040 --day 2017-06-16</v>
      </c>
      <c r="AN155" s="151" t="str">
        <f t="shared" si="10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06:36:48"},{"id":29,"name":"Sharepoint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1022</v>
      </c>
      <c r="B156" s="7">
        <v>4039</v>
      </c>
      <c r="C156" s="21" t="s">
        <v>202</v>
      </c>
      <c r="D156" s="21" t="s">
        <v>569</v>
      </c>
      <c r="E156" s="13">
        <v>42902.032372685186</v>
      </c>
      <c r="F156" s="13">
        <v>42902.03979166667</v>
      </c>
      <c r="G156" s="7">
        <v>1</v>
      </c>
      <c r="H156" s="21" t="s">
        <v>351</v>
      </c>
      <c r="I156" s="13">
        <v>42902.066516203704</v>
      </c>
      <c r="J156" s="7">
        <v>0</v>
      </c>
      <c r="K156" s="89" t="str">
        <f t="shared" si="87"/>
        <v>4039/4040</v>
      </c>
      <c r="L156" s="21" t="str">
        <f>VLOOKUP(A156,'Trips&amp;Operators'!$C$1:$G$99999,5,FALSE)</f>
        <v>PERKINS DARREN</v>
      </c>
      <c r="M156" s="6">
        <f t="shared" si="88"/>
        <v>2.6724537034169771E-2</v>
      </c>
      <c r="N156" s="7">
        <f t="shared" si="89"/>
        <v>38.48333332920447</v>
      </c>
      <c r="O156" s="7"/>
      <c r="P156" s="7"/>
      <c r="Q156" s="22"/>
      <c r="R156" s="170"/>
      <c r="S156" s="213">
        <f t="shared" si="90"/>
        <v>1</v>
      </c>
      <c r="T156" s="195" t="str">
        <f t="shared" si="91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74"/>
        <v>https://d0f6bd738d7f1b3e5a7ca70fe4ff75f0.us-east-1.aws.found.io/app/kibana#/discover/Steve-Slow-Train-Analysis-(2080s-and-2083s)?_g=(refreshInterval:(display:Off,pause:!f,section:0,value:0),time:(from:'2017-06-15T23:46:37-0600',mode:absolute,to:'2017-06-16T02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197" t="str">
        <f>IF(AA156&lt;VLOOKUP(AG156,Variables!$AC$3:$AD$8,2,FALSE),"Y","N")</f>
        <v>N</v>
      </c>
      <c r="X156" s="197">
        <f t="shared" si="82"/>
        <v>1</v>
      </c>
      <c r="Y156" s="197">
        <f t="shared" si="92"/>
        <v>23.300599999999999</v>
      </c>
      <c r="Z156" s="197">
        <f t="shared" si="93"/>
        <v>1.43E-2</v>
      </c>
      <c r="AA156" s="197">
        <f t="shared" si="94"/>
        <v>23.286300000000001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95"/>
        <v>242</v>
      </c>
      <c r="AE156" s="77" t="str">
        <f t="shared" si="79"/>
        <v>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 &amp; aws s3 cp s3://rtdc.mdm.uploadarchive.raw/RTDC4039/ "%USERPROFILE%\AppData\Local\Temp\OnboardLogs"\RTDC4039\2017-06-17 --exclude "*" --recursive --include "*20170617*" &amp; "%USERPROFILE%\Documents\GitHub\mrs-test-scripts\Headless Mode &amp; Sideloading\WalkAndUnGZ.bat" "%USERPROFILE%\AppData\Local\Temp\OnboardLogs"\RTDC4039\2017-06-17</v>
      </c>
      <c r="AF156" s="74" t="str">
        <f t="shared" si="80"/>
        <v>"C:\Program Files (x86)\AstroGrep\AstroGrep.exe" /e /r /s /spath="%USERPROFILE%\AppData\Local\Temp\OnboardLogs" /stypes="app*4039*20170616*" /stext=" 07:.+((SYSTEM_STATE.+slice.+state.+changed )|(ment ac)|(multiple cpu faults)|(system.+state.+changed )|(\[timeout)|(PRM\|1\|D)|(kpr)|(kdp)|(train st.+moving)|(\|lc)|(penalty))"</v>
      </c>
      <c r="AG156" s="209" t="str">
        <f t="shared" si="96"/>
        <v>EC</v>
      </c>
      <c r="AH156" s="78" t="str">
        <f t="shared" si="97"/>
        <v>"%USERPROFILE%\Documents\GitHub\eaglep3\Utilities\RefineRTDCRunTimes.py" --tripid 242-15 --locoid 4039 --swversion DE.1.0.9.0 --startMP 204:233006 --initTime 2017-06-16T00:46:37 --startdatetime 2017-06-16T00:57:18 --delay 1 --endMP 204:143 --enddatetime 2017-06-16T01:35:47 --enforcementcount 0 &gt;&gt;C:\Users\stu\Documents\GitHub\eaglep3-reporting\EC\2017-06-15-refined-times.txt</v>
      </c>
      <c r="AI156" s="96" t="str">
        <f t="shared" si="98"/>
        <v>echo {"issue":{"subject":"","project_id":79,"tracker_id":40,"status_id":1,"priority_id":2,"assigned_to_id":23,"start_date":"2017-06-16","description":"","custom_fields":[{"id":1,"name":"Subdivision","value":"EC"},{"id":4,"name":"Milepost","value":"0.0143"},{"id":17,"name":"Train ID","value":"242-15"},{"id":16,"name":"Locomotive ID","value":"4039"},{"id":130,"name":"Impact","value":""},{"id":150,"name":"Time of Event (Mountain Time)","value":"01:35:47"},{"id":151,"name":"Denver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99"/>
        <v>start /low /b %USERPROFILE%\Documents\GitHub\eaglep3\Utilities\DownloadLogsFromS3.py --loco 4039 --day 2017-06-16</v>
      </c>
      <c r="AN156" s="151" t="str">
        <f t="shared" si="10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07:35:47"},{"id":29,"name":"Sharepoint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1023</v>
      </c>
      <c r="B157" s="7">
        <v>4032</v>
      </c>
      <c r="C157" s="21" t="s">
        <v>202</v>
      </c>
      <c r="D157" s="21" t="s">
        <v>521</v>
      </c>
      <c r="E157" s="13">
        <v>42902.005798611113</v>
      </c>
      <c r="F157" s="13">
        <v>42902.020983796298</v>
      </c>
      <c r="G157" s="7">
        <v>1</v>
      </c>
      <c r="H157" s="21" t="s">
        <v>437</v>
      </c>
      <c r="I157" s="13">
        <v>42902.046018518522</v>
      </c>
      <c r="J157" s="7">
        <v>0</v>
      </c>
      <c r="K157" s="89" t="str">
        <f t="shared" si="87"/>
        <v>4031/4032</v>
      </c>
      <c r="L157" s="21" t="str">
        <f>VLOOKUP(A157,'Trips&amp;Operators'!$C$1:$G$99999,5,FALSE)</f>
        <v>FORTUNATO FRANK</v>
      </c>
      <c r="M157" s="6">
        <f t="shared" si="88"/>
        <v>2.5034722224518191E-2</v>
      </c>
      <c r="N157" s="7">
        <f t="shared" si="89"/>
        <v>36.050000003306195</v>
      </c>
      <c r="O157" s="7"/>
      <c r="P157" s="7"/>
      <c r="Q157" s="22"/>
      <c r="R157" s="170"/>
      <c r="S157" s="213">
        <f t="shared" si="90"/>
        <v>1</v>
      </c>
      <c r="T157" s="195" t="str">
        <f t="shared" si="91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74"/>
        <v>https://d0f6bd738d7f1b3e5a7ca70fe4ff75f0.us-east-1.aws.found.io/app/kibana#/discover/Steve-Slow-Train-Analysis-(2080s-and-2083s)?_g=(refreshInterval:(display:Off,pause:!f,section:0,value:0),time:(from:'2017-06-15T23:08:21-0600',mode:absolute,to:'2017-06-16T02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7" s="197" t="str">
        <f>IF(AA157&lt;VLOOKUP(AG157,Variables!$AC$3:$AD$8,2,FALSE),"Y","N")</f>
        <v>N</v>
      </c>
      <c r="X157" s="197">
        <f t="shared" si="82"/>
        <v>1</v>
      </c>
      <c r="Y157" s="197">
        <f t="shared" si="92"/>
        <v>4.2900000000000001E-2</v>
      </c>
      <c r="Z157" s="197">
        <f t="shared" si="93"/>
        <v>23.329699999999999</v>
      </c>
      <c r="AA157" s="197">
        <f t="shared" si="94"/>
        <v>23.286799999999999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95"/>
        <v>243</v>
      </c>
      <c r="AE157" s="77" t="str">
        <f t="shared" si="79"/>
        <v>aws s3 cp s3://rtdc.mdm.uploadarchive.raw/RTDC4032/ "%USERPROFILE%\AppData\Local\Temp\OnboardLogs"\RTDC4032\2017-06-16 --exclude "*" --recursive --include "*20170616*" &amp; "%USERPROFILE%\Documents\GitHub\mrs-test-scripts\Headless Mode &amp; Sideloading\WalkAndUnGZ.bat" "%USERPROFILE%\AppData\Local\Temp\OnboardLogs"\RTDC4032\2017-06-16 &amp; aws s3 cp s3://rtdc.mdm.uploadarchive.raw/RTDC4032/ "%USERPROFILE%\AppData\Local\Temp\OnboardLogs"\RTDC4032\2017-06-17 --exclude "*" --recursive --include "*20170617*" &amp; "%USERPROFILE%\Documents\GitHub\mrs-test-scripts\Headless Mode &amp; Sideloading\WalkAndUnGZ.bat" "%USERPROFILE%\AppData\Local\Temp\OnboardLogs"\RTDC4032\2017-06-17</v>
      </c>
      <c r="AF157" s="74" t="str">
        <f t="shared" si="80"/>
        <v>"C:\Program Files (x86)\AstroGrep\AstroGrep.exe" /e /r /s /spath="%USERPROFILE%\AppData\Local\Temp\OnboardLogs" /stypes="app*4032*20170616*" /stext=" 07:.+((SYSTEM_STATE.+slice.+state.+changed )|(ment ac)|(multiple cpu faults)|(system.+state.+changed )|(\[timeout)|(PRM\|1\|D)|(kpr)|(kdp)|(train st.+moving)|(\|lc)|(penalty))"</v>
      </c>
      <c r="AG157" s="209" t="str">
        <f t="shared" si="96"/>
        <v>EC</v>
      </c>
      <c r="AH157" s="78" t="str">
        <f t="shared" si="97"/>
        <v>"%USERPROFILE%\Documents\GitHub\eaglep3\Utilities\RefineRTDCRunTimes.py" --tripid 243-15 --locoid 4032 --swversion DE.1.0.9.0 --startMP 204:429 --initTime 2017-06-16T00:08:21 --startdatetime 2017-06-16T00:30:13 --delay 1 --endMP 204:233297 --enddatetime 2017-06-16T01:06:16 --enforcementcount 0 &gt;&gt;C:\Users\stu\Documents\GitHub\eaglep3-reporting\EC\2017-06-15-refined-times.txt</v>
      </c>
      <c r="AI157" s="96" t="str">
        <f t="shared" si="98"/>
        <v>echo {"issue":{"subject":"","project_id":79,"tracker_id":40,"status_id":1,"priority_id":2,"assigned_to_id":23,"start_date":"2017-06-16","description":"","custom_fields":[{"id":1,"name":"Subdivision","value":"EC"},{"id":4,"name":"Milepost","value":"23.3297"},{"id":17,"name":"Train ID","value":"243-15"},{"id":16,"name":"Locomotive ID","value":"4032"},{"id":130,"name":"Impact","value":""},{"id":150,"name":"Time of Event (Mountain Time)","value":"01:06:16"},{"id":151,"name":"Denver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99"/>
        <v>start /low /b %USERPROFILE%\Documents\GitHub\eaglep3\Utilities\DownloadLogsFromS3.py --loco 4032 --day 2017-06-16</v>
      </c>
      <c r="AN157" s="151" t="str">
        <f t="shared" si="10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07:06:16"},{"id":29,"name":"Sharepoint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1024</v>
      </c>
      <c r="B158" s="7">
        <v>4031</v>
      </c>
      <c r="C158" s="21" t="s">
        <v>202</v>
      </c>
      <c r="D158" s="21" t="s">
        <v>892</v>
      </c>
      <c r="E158" s="13">
        <v>42902.048009259262</v>
      </c>
      <c r="F158" s="13">
        <v>42902.060590277775</v>
      </c>
      <c r="G158" s="7">
        <v>1</v>
      </c>
      <c r="H158" s="21" t="s">
        <v>496</v>
      </c>
      <c r="I158" s="13">
        <v>42902.087372685186</v>
      </c>
      <c r="J158" s="7">
        <v>0</v>
      </c>
      <c r="K158" s="89" t="str">
        <f t="shared" si="87"/>
        <v>4031/4032</v>
      </c>
      <c r="L158" s="21" t="str">
        <f>VLOOKUP(A158,'Trips&amp;Operators'!$C$1:$G$99999,5,FALSE)</f>
        <v>FORTUNATO FRANK</v>
      </c>
      <c r="M158" s="6">
        <f t="shared" si="88"/>
        <v>2.6782407410792075E-2</v>
      </c>
      <c r="N158" s="7">
        <f t="shared" si="89"/>
        <v>38.566666671540588</v>
      </c>
      <c r="O158" s="7"/>
      <c r="P158" s="7"/>
      <c r="Q158" s="22"/>
      <c r="R158" s="170"/>
      <c r="S158" s="213">
        <f t="shared" si="90"/>
        <v>1</v>
      </c>
      <c r="T158" s="195" t="str">
        <f t="shared" si="91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74"/>
        <v>https://d0f6bd738d7f1b3e5a7ca70fe4ff75f0.us-east-1.aws.found.io/app/kibana#/discover/Steve-Slow-Train-Analysis-(2080s-and-2083s)?_g=(refreshInterval:(display:Off,pause:!f,section:0,value:0),time:(from:'2017-06-16T00:09:08-0600',mode:absolute,to:'2017-06-16T03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8" s="197" t="str">
        <f>IF(AA158&lt;VLOOKUP(AG158,Variables!$AC$3:$AD$8,2,FALSE),"Y","N")</f>
        <v>N</v>
      </c>
      <c r="X158" s="197">
        <f t="shared" si="82"/>
        <v>1</v>
      </c>
      <c r="Y158" s="197">
        <f t="shared" si="92"/>
        <v>23.2988</v>
      </c>
      <c r="Z158" s="197">
        <f t="shared" si="93"/>
        <v>1.6E-2</v>
      </c>
      <c r="AA158" s="197">
        <f t="shared" si="94"/>
        <v>23.282800000000002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95"/>
        <v>244</v>
      </c>
      <c r="AE158" s="77" t="str">
        <f t="shared" si="79"/>
        <v>aws s3 cp s3://rtdc.mdm.uploadarchive.raw/RTDC4031/ "%USERPROFILE%\AppData\Local\Temp\OnboardLogs"\RTDC4031\2017-06-16 --exclude "*" --recursive --include "*20170616*" &amp; "%USERPROFILE%\Documents\GitHub\mrs-test-scripts\Headless Mode &amp; Sideloading\WalkAndUnGZ.bat" "%USERPROFILE%\AppData\Local\Temp\OnboardLogs"\RTDC4031\2017-06-16 &amp; aws s3 cp s3://rtdc.mdm.uploadarchive.raw/RTDC4031/ "%USERPROFILE%\AppData\Local\Temp\OnboardLogs"\RTDC4031\2017-06-17 --exclude "*" --recursive --include "*20170617*" &amp; "%USERPROFILE%\Documents\GitHub\mrs-test-scripts\Headless Mode &amp; Sideloading\WalkAndUnGZ.bat" "%USERPROFILE%\AppData\Local\Temp\OnboardLogs"\RTDC4031\2017-06-17</v>
      </c>
      <c r="AF158" s="74" t="str">
        <f t="shared" si="80"/>
        <v>"C:\Program Files (x86)\AstroGrep\AstroGrep.exe" /e /r /s /spath="%USERPROFILE%\AppData\Local\Temp\OnboardLogs" /stypes="app*4031*20170616*" /stext=" 08:.+((SYSTEM_STATE.+slice.+state.+changed )|(ment ac)|(multiple cpu faults)|(system.+state.+changed )|(\[timeout)|(PRM\|1\|D)|(kpr)|(kdp)|(train st.+moving)|(\|lc)|(penalty))"</v>
      </c>
      <c r="AG158" s="209" t="str">
        <f t="shared" si="96"/>
        <v>EC</v>
      </c>
      <c r="AH158" s="78" t="str">
        <f t="shared" si="97"/>
        <v>"%USERPROFILE%\Documents\GitHub\eaglep3\Utilities\RefineRTDCRunTimes.py" --tripid 244-15 --locoid 4031 --swversion DE.1.0.9.0 --startMP 204:232988 --initTime 2017-06-16T01:09:08 --startdatetime 2017-06-16T01:27:15 --delay 1 --endMP 204:160 --enddatetime 2017-06-16T02:05:49 --enforcementcount 0 &gt;&gt;C:\Users\stu\Documents\GitHub\eaglep3-reporting\EC\2017-06-15-refined-times.txt</v>
      </c>
      <c r="AI158" s="96" t="str">
        <f t="shared" si="98"/>
        <v>echo {"issue":{"subject":"","project_id":79,"tracker_id":40,"status_id":1,"priority_id":2,"assigned_to_id":23,"start_date":"2017-06-16","description":"","custom_fields":[{"id":1,"name":"Subdivision","value":"EC"},{"id":4,"name":"Milepost","value":"0.016"},{"id":17,"name":"Train ID","value":"244-15"},{"id":16,"name":"Locomotive ID","value":"4031"},{"id":130,"name":"Impact","value":""},{"id":150,"name":"Time of Event (Mountain Time)","value":"02:05:49"},{"id":151,"name":"Denver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99"/>
        <v>start /low /b %USERPROFILE%\Documents\GitHub\eaglep3\Utilities\DownloadLogsFromS3.py --loco 4031 --day 2017-06-16</v>
      </c>
      <c r="AN158" s="151" t="str">
        <f t="shared" si="10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08:05:49"},{"id":29,"name":"Sharepoint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2" t="s">
        <v>618</v>
      </c>
      <c r="B159" s="7">
        <v>4057</v>
      </c>
      <c r="C159" s="21" t="s">
        <v>202</v>
      </c>
      <c r="D159" s="21" t="s">
        <v>930</v>
      </c>
      <c r="E159" s="13">
        <v>42901.209618055553</v>
      </c>
      <c r="F159" s="13">
        <v>42901.210925925923</v>
      </c>
      <c r="G159" s="7">
        <v>1</v>
      </c>
      <c r="H159" s="21" t="s">
        <v>931</v>
      </c>
      <c r="I159" s="13">
        <v>42901.226261574076</v>
      </c>
      <c r="J159" s="7">
        <v>0</v>
      </c>
      <c r="K159" s="89" t="str">
        <f t="shared" ref="K159:K190" si="101">IF(ISEVEN(B159),(B159-1)&amp;"/"&amp;B159,B159&amp;"/"&amp;(B159+1))</f>
        <v>4057/4058</v>
      </c>
      <c r="L159" s="21" t="str">
        <f>VLOOKUP(A159,'Trips&amp;Operators'!$C$1:$G$99999,5,FALSE)</f>
        <v>DAVIS WENDY</v>
      </c>
      <c r="M159" s="6">
        <f t="shared" ref="M159:M190" si="102">I159-F159</f>
        <v>1.5335648153268266E-2</v>
      </c>
      <c r="N159" s="7">
        <f t="shared" ref="N159:N190" si="103">24*60*SUM($M159:$M159)</f>
        <v>22.083333340706304</v>
      </c>
      <c r="O159" s="7"/>
      <c r="P159" s="7"/>
      <c r="Q159" s="22"/>
      <c r="R159" s="170"/>
      <c r="S159" s="213">
        <f t="shared" ref="S159:S190" si="104">SUM(U159:U159)/IF(AG159="EC",12,1)</f>
        <v>1</v>
      </c>
      <c r="T159" s="195" t="str">
        <f t="shared" ref="T159:T190" si="105">IF(ISEVEN(LEFT(AD159,4)),"Southbound","NorthBound")</f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74"/>
        <v>https://d0f6bd738d7f1b3e5a7ca70fe4ff75f0.us-east-1.aws.found.io/app/kibana#/discover/Steve-Slow-Train-Analysis-(2080s-and-2083s)?_g=(refreshInterval:(display:Off,pause:!f,section:0,value:0),time:(from:'2017-06-15T04:01:51-0600',mode:absolute,to:'2017-06-15T06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9" s="197" t="str">
        <f>IF(AA159&lt;VLOOKUP(AG159,Variables!$AC$3:$AD$8,2,FALSE),"Y","N")</f>
        <v>N</v>
      </c>
      <c r="X159" s="197">
        <f t="shared" si="82"/>
        <v>556</v>
      </c>
      <c r="Y159" s="197">
        <f t="shared" ref="Y159:Y190" si="106">RIGHT(D159,LEN(D159)-4)/10000</f>
        <v>5.8701999999999996</v>
      </c>
      <c r="Z159" s="197">
        <f t="shared" ref="Z159:Z190" si="107">RIGHT(H159,LEN(H159)-4)/10000</f>
        <v>6.2100000000000002E-2</v>
      </c>
      <c r="AA159" s="197">
        <f t="shared" ref="AA159:AA190" si="108">ABS(Z159-Y159)</f>
        <v>5.8080999999999996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ref="AD159:AD190" si="109">VALUE(LEFT(A159,LEN(A159)-3))</f>
        <v>800</v>
      </c>
      <c r="AE159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59" s="74" t="str">
        <f t="shared" si="80"/>
        <v>"C:\Program Files (x86)\AstroGrep\AstroGrep.exe" /e /r /s /spath="%USERPROFILE%\AppData\Local\Temp\OnboardLogs" /stypes="app*4057*20170615*" /stext=" 11:.+((SYSTEM_STATE.+slice.+state.+changed )|(ment ac)|(multiple cpu faults)|(system.+state.+changed )|(\[timeout)|(PRM\|1\|D)|(kpr)|(kdp)|(train st.+moving)|(\|lc)|(penalty))"</v>
      </c>
      <c r="AG159" s="209" t="str">
        <f t="shared" ref="AG159:AG190" si="110">DetSubdiv(A159)</f>
        <v>NW</v>
      </c>
      <c r="AH159" s="78" t="str">
        <f t="shared" si="67"/>
        <v>"%USERPROFILE%\Documents\GitHub\eaglep3\Utilities\RefineRTDCRunTimes.py" --tripid 800-15 --locoid 4057 --swversion DE.1.0.9.0 --startMP 300:58702 --initTime 2017-06-15T05:01:51 --startdatetime 2017-06-15T05:03:44 --delay 1 --endMP 204:621 --enddatetime 2017-06-15T05:25:49 --enforcementcount 0 &gt;&gt;C:\Users\stu\Documents\GitHub\eaglep3-reporting\EC\2017-06-15-refined-times.txt</v>
      </c>
      <c r="AI159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{"issue":{"subject":"","project_id":79,"tracker_id":40,"status_id":1,"priority_id":2,"assigned_to_id":23,"start_date":"2017-06-15","description":"","custom_fields":[{"id":1,"name":"Subdivision","value":"NW"},{"id":4,"name":"Milepost","value":"0.0621"},{"id":17,"name":"Train ID","value":"800-15"},{"id":16,"name":"Locomotive ID","value":"4057"},{"id":130,"name":"Impact","value":""},{"id":150,"name":"Time of Event (Mountain Time)","value":"05:25:49"},{"id":151,"name":"Denver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9"/>
        <v>start /low /b %USERPROFILE%\Documents\GitHub\eaglep3\Utilities\DownloadLogsFromS3.py --loco 4057 --day 2017-06-15</v>
      </c>
      <c r="AN159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s="20" customFormat="1" x14ac:dyDescent="0.25">
      <c r="A160" s="32" t="s">
        <v>620</v>
      </c>
      <c r="B160" s="7">
        <v>4058</v>
      </c>
      <c r="C160" s="21" t="s">
        <v>202</v>
      </c>
      <c r="D160" s="21" t="s">
        <v>932</v>
      </c>
      <c r="E160" s="13">
        <v>42901.241296296299</v>
      </c>
      <c r="F160" s="13">
        <v>42901.24391203704</v>
      </c>
      <c r="G160" s="7">
        <v>1</v>
      </c>
      <c r="H160" s="21" t="s">
        <v>933</v>
      </c>
      <c r="I160" s="13">
        <v>42901.253703703704</v>
      </c>
      <c r="J160" s="7">
        <v>0</v>
      </c>
      <c r="K160" s="89" t="str">
        <f t="shared" si="101"/>
        <v>4057/4058</v>
      </c>
      <c r="L160" s="21" t="str">
        <f>VLOOKUP(A160,'Trips&amp;Operators'!$C$1:$G$99999,5,FALSE)</f>
        <v>DAVIS WENDY</v>
      </c>
      <c r="M160" s="6">
        <f t="shared" si="102"/>
        <v>9.7916666636592709E-3</v>
      </c>
      <c r="N160" s="7">
        <f t="shared" si="103"/>
        <v>14.09999999566935</v>
      </c>
      <c r="O160" s="7"/>
      <c r="P160" s="7"/>
      <c r="Q160" s="22"/>
      <c r="R160" s="170"/>
      <c r="S160" s="213">
        <f t="shared" si="104"/>
        <v>1</v>
      </c>
      <c r="T160" s="195" t="str">
        <f t="shared" si="105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74"/>
        <v>https://d0f6bd738d7f1b3e5a7ca70fe4ff75f0.us-east-1.aws.found.io/app/kibana#/discover/Steve-Slow-Train-Analysis-(2080s-and-2083s)?_g=(refreshInterval:(display:Off,pause:!f,section:0,value:0),time:(from:'2017-06-15T04:47:28-0600',mode:absolute,to:'2017-06-15T07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0" s="197" t="str">
        <f>IF(AA160&lt;VLOOKUP(AG160,Variables!$AC$3:$AD$8,2,FALSE),"Y","N")</f>
        <v>N</v>
      </c>
      <c r="X160" s="197">
        <f t="shared" si="82"/>
        <v>1</v>
      </c>
      <c r="Y160" s="197">
        <f t="shared" si="106"/>
        <v>9.11E-2</v>
      </c>
      <c r="Z160" s="197">
        <f t="shared" si="107"/>
        <v>5.8901000000000003</v>
      </c>
      <c r="AA160" s="197">
        <f t="shared" si="108"/>
        <v>5.7990000000000004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109"/>
        <v>801</v>
      </c>
      <c r="AE160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60" s="74" t="str">
        <f t="shared" si="80"/>
        <v>"C:\Program Files (x86)\AstroGrep\AstroGrep.exe" /e /r /s /spath="%USERPROFILE%\AppData\Local\Temp\OnboardLogs" /stypes="app*4058*20170615*" /stext=" 12:.+((SYSTEM_STATE.+slice.+state.+changed )|(ment ac)|(multiple cpu faults)|(system.+state.+changed )|(\[timeout)|(PRM\|1\|D)|(kpr)|(kdp)|(train st.+moving)|(\|lc)|(penalty))"</v>
      </c>
      <c r="AG160" s="209" t="str">
        <f t="shared" si="110"/>
        <v>NW</v>
      </c>
      <c r="AH160" s="78" t="str">
        <f t="shared" si="67"/>
        <v>"%USERPROFILE%\Documents\GitHub\eaglep3\Utilities\RefineRTDCRunTimes.py" --tripid 801-15 --locoid 4058 --swversion DE.1.0.9.0 --startMP 204:911 --initTime 2017-06-15T05:47:28 --startdatetime 2017-06-15T05:51:14 --delay 1 --endMP 300:58901 --enddatetime 2017-06-15T06:05:20 --enforcementcount 0 &gt;&gt;C:\Users\stu\Documents\GitHub\eaglep3-reporting\EC\2017-06-15-refined-times.txt</v>
      </c>
      <c r="AI160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{"issue":{"subject":"","project_id":79,"tracker_id":40,"status_id":1,"priority_id":2,"assigned_to_id":23,"start_date":"2017-06-15","description":"","custom_fields":[{"id":1,"name":"Subdivision","value":"NW"},{"id":4,"name":"Milepost","value":"5.8901"},{"id":17,"name":"Train ID","value":"801-15"},{"id":16,"name":"Locomotive ID","value":"4058"},{"id":130,"name":"Impact","value":""},{"id":150,"name":"Time of Event (Mountain Time)","value":"06:05:20"},{"id":151,"name":"Denver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69"/>
        <v>start /low /b %USERPROFILE%\Documents\GitHub\eaglep3\Utilities\DownloadLogsFromS3.py --loco 4058 --day 2017-06-15</v>
      </c>
      <c r="AN160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2" t="s">
        <v>621</v>
      </c>
      <c r="B161" s="7">
        <v>4057</v>
      </c>
      <c r="C161" s="21" t="s">
        <v>202</v>
      </c>
      <c r="D161" s="21" t="s">
        <v>934</v>
      </c>
      <c r="E161" s="13">
        <v>42901.255104166667</v>
      </c>
      <c r="F161" s="13">
        <v>42901.25677083333</v>
      </c>
      <c r="G161" s="7">
        <v>0</v>
      </c>
      <c r="H161" s="21" t="s">
        <v>935</v>
      </c>
      <c r="I161" s="13">
        <v>42901.269085648149</v>
      </c>
      <c r="J161" s="7">
        <v>0</v>
      </c>
      <c r="K161" s="89" t="str">
        <f t="shared" si="101"/>
        <v>4057/4058</v>
      </c>
      <c r="L161" s="21" t="str">
        <f>VLOOKUP(A161,'Trips&amp;Operators'!$C$1:$G$99999,5,FALSE)</f>
        <v>DAVIS WENDY</v>
      </c>
      <c r="M161" s="6">
        <f t="shared" si="102"/>
        <v>1.2314814819546882E-2</v>
      </c>
      <c r="N161" s="7">
        <f t="shared" si="103"/>
        <v>17.73333334014751</v>
      </c>
      <c r="O161" s="7"/>
      <c r="P161" s="7"/>
      <c r="Q161" s="22"/>
      <c r="R161" s="170"/>
      <c r="S161" s="213">
        <f t="shared" si="104"/>
        <v>1</v>
      </c>
      <c r="T161" s="195" t="str">
        <f t="shared" si="105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74"/>
        <v>https://d0f6bd738d7f1b3e5a7ca70fe4ff75f0.us-east-1.aws.found.io/app/kibana#/discover/Steve-Slow-Train-Analysis-(2080s-and-2083s)?_g=(refreshInterval:(display:Off,pause:!f,section:0,value:0),time:(from:'2017-06-15T05:07:21-0600',mode:absolute,to:'2017-06-15T07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1" s="197" t="str">
        <f>IF(AA161&lt;VLOOKUP(AG161,Variables!$AC$3:$AD$8,2,FALSE),"Y","N")</f>
        <v>N</v>
      </c>
      <c r="X161" s="197">
        <f t="shared" ref="X161:X173" si="111">VALUE(LEFT(AD161,4))-VALUE(LEFT(AD160,4))</f>
        <v>1</v>
      </c>
      <c r="Y161" s="197">
        <f t="shared" si="106"/>
        <v>5.8697999999999997</v>
      </c>
      <c r="Z161" s="197">
        <f t="shared" si="107"/>
        <v>7.3999999999999996E-2</v>
      </c>
      <c r="AA161" s="197">
        <f t="shared" si="108"/>
        <v>5.7957999999999998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109"/>
        <v>802</v>
      </c>
      <c r="AE161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61" s="74" t="str">
        <f t="shared" si="80"/>
        <v>"C:\Program Files (x86)\AstroGrep\AstroGrep.exe" /e /r /s /spath="%USERPROFILE%\AppData\Local\Temp\OnboardLogs" /stypes="app*4057*20170615*" /stext=" 12:.+((SYSTEM_STATE.+slice.+state.+changed )|(ment ac)|(multiple cpu faults)|(system.+state.+changed )|(\[timeout)|(PRM\|1\|D)|(kpr)|(kdp)|(train st.+moving)|(\|lc)|(penalty))"</v>
      </c>
      <c r="AG161" s="209" t="str">
        <f t="shared" si="110"/>
        <v>NW</v>
      </c>
      <c r="AH161" s="78" t="str">
        <f t="shared" si="67"/>
        <v>"%USERPROFILE%\Documents\GitHub\eaglep3\Utilities\RefineRTDCRunTimes.py" --tripid 802-15 --locoid 4057 --swversion DE.1.0.9.0 --startMP 300:58698 --initTime 2017-06-15T06:07:21 --startdatetime 2017-06-15T06:09:45 --delay 0 --endMP 204:740 --enddatetime 2017-06-15T06:27:29 --enforcementcount 0 &gt;&gt;C:\Users\stu\Documents\GitHub\eaglep3-reporting\EC\2017-06-15-refined-times.txt</v>
      </c>
      <c r="AI161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{"issue":{"subject":"","project_id":79,"tracker_id":40,"status_id":1,"priority_id":2,"assigned_to_id":23,"start_date":"2017-06-15","description":"","custom_fields":[{"id":1,"name":"Subdivision","value":"NW"},{"id":4,"name":"Milepost","value":"0.074"},{"id":17,"name":"Train ID","value":"802-15"},{"id":16,"name":"Locomotive ID","value":"4057"},{"id":130,"name":"Impact","value":""},{"id":150,"name":"Time of Event (Mountain Time)","value":"06:27:29"},{"id":151,"name":"Denver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9"/>
        <v>start /low /b %USERPROFILE%\Documents\GitHub\eaglep3\Utilities\DownloadLogsFromS3.py --loco 4057 --day 2017-06-15</v>
      </c>
      <c r="AN161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12:27:29"},{"id":29,"name":"Sharepoint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622</v>
      </c>
      <c r="B162" s="7">
        <v>4014</v>
      </c>
      <c r="C162" s="21" t="s">
        <v>202</v>
      </c>
      <c r="D162" s="21" t="s">
        <v>936</v>
      </c>
      <c r="E162" s="13">
        <v>42901.259548611109</v>
      </c>
      <c r="F162" s="13">
        <v>42901.264826388891</v>
      </c>
      <c r="G162" s="7">
        <v>1</v>
      </c>
      <c r="H162" s="21" t="s">
        <v>937</v>
      </c>
      <c r="I162" s="13">
        <v>42901.274131944447</v>
      </c>
      <c r="J162" s="7">
        <v>0</v>
      </c>
      <c r="K162" s="89" t="str">
        <f t="shared" si="101"/>
        <v>4013/4014</v>
      </c>
      <c r="L162" s="21" t="str">
        <f>VLOOKUP(A162,'Trips&amp;Operators'!$C$1:$G$99999,5,FALSE)</f>
        <v>YANG JAN</v>
      </c>
      <c r="M162" s="6">
        <f t="shared" si="102"/>
        <v>9.3055555553291924E-3</v>
      </c>
      <c r="N162" s="7">
        <f t="shared" si="103"/>
        <v>13.399999999674037</v>
      </c>
      <c r="O162" s="7"/>
      <c r="P162" s="7"/>
      <c r="Q162" s="22"/>
      <c r="R162" s="170"/>
      <c r="S162" s="213">
        <f t="shared" si="104"/>
        <v>1</v>
      </c>
      <c r="T162" s="195" t="str">
        <f t="shared" si="105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74"/>
        <v>https://d0f6bd738d7f1b3e5a7ca70fe4ff75f0.us-east-1.aws.found.io/app/kibana#/discover/Steve-Slow-Train-Analysis-(2080s-and-2083s)?_g=(refreshInterval:(display:Off,pause:!f,section:0,value:0),time:(from:'2017-06-15T05:13:45-0600',mode:absolute,to:'2017-06-15T07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197" t="str">
        <f>IF(AA162&lt;VLOOKUP(AG162,Variables!$AC$3:$AD$8,2,FALSE),"Y","N")</f>
        <v>N</v>
      </c>
      <c r="X162" s="197">
        <f t="shared" si="111"/>
        <v>1</v>
      </c>
      <c r="Y162" s="197">
        <f t="shared" si="106"/>
        <v>9.74E-2</v>
      </c>
      <c r="Z162" s="197">
        <f t="shared" si="107"/>
        <v>5.8916000000000004</v>
      </c>
      <c r="AA162" s="197">
        <f t="shared" si="108"/>
        <v>5.7942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109"/>
        <v>803</v>
      </c>
      <c r="AE162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62" s="74" t="str">
        <f t="shared" si="80"/>
        <v>"C:\Program Files (x86)\AstroGrep\AstroGrep.exe" /e /r /s /spath="%USERPROFILE%\AppData\Local\Temp\OnboardLogs" /stypes="app*4014*20170615*" /stext=" 12:.+((SYSTEM_STATE.+slice.+state.+changed )|(ment ac)|(multiple cpu faults)|(system.+state.+changed )|(\[timeout)|(PRM\|1\|D)|(kpr)|(kdp)|(train st.+moving)|(\|lc)|(penalty))"</v>
      </c>
      <c r="AG162" s="209" t="str">
        <f t="shared" si="110"/>
        <v>NW</v>
      </c>
      <c r="AH162" s="78" t="str">
        <f t="shared" si="67"/>
        <v>"%USERPROFILE%\Documents\GitHub\eaglep3\Utilities\RefineRTDCRunTimes.py" --tripid 803-15 --locoid 4014 --swversion DE.1.0.9.0 --startMP 204:974 --initTime 2017-06-15T06:13:45 --startdatetime 2017-06-15T06:21:21 --delay 1 --endMP 300:58916 --enddatetime 2017-06-15T06:34:45 --enforcementcount 0 &gt;&gt;C:\Users\stu\Documents\GitHub\eaglep3-reporting\EC\2017-06-15-refined-times.txt</v>
      </c>
      <c r="AI162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{"issue":{"subject":"","project_id":79,"tracker_id":40,"status_id":1,"priority_id":2,"assigned_to_id":23,"start_date":"2017-06-15","description":"","custom_fields":[{"id":1,"name":"Subdivision","value":"NW"},{"id":4,"name":"Milepost","value":"5.8916"},{"id":17,"name":"Train ID","value":"803-15"},{"id":16,"name":"Locomotive ID","value":"4014"},{"id":130,"name":"Impact","value":""},{"id":150,"name":"Time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9"/>
        <v>start /low /b %USERPROFILE%\Documents\GitHub\eaglep3\Utilities\DownloadLogsFromS3.py --loco 4014 --day 2017-06-15</v>
      </c>
      <c r="AN162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689</v>
      </c>
      <c r="B163" s="7">
        <v>4013</v>
      </c>
      <c r="C163" s="21" t="s">
        <v>202</v>
      </c>
      <c r="D163" s="21" t="s">
        <v>938</v>
      </c>
      <c r="E163" s="13">
        <v>42901.275555555556</v>
      </c>
      <c r="F163" s="13">
        <v>42901.277696759258</v>
      </c>
      <c r="G163" s="7">
        <v>1</v>
      </c>
      <c r="H163" s="21" t="s">
        <v>939</v>
      </c>
      <c r="I163" s="13">
        <v>42901.288483796299</v>
      </c>
      <c r="J163" s="7">
        <v>0</v>
      </c>
      <c r="K163" s="89" t="str">
        <f t="shared" si="101"/>
        <v>4013/4014</v>
      </c>
      <c r="L163" s="21" t="str">
        <f>VLOOKUP(A163,'Trips&amp;Operators'!$C$1:$G$99999,5,FALSE)</f>
        <v>YANG JAN</v>
      </c>
      <c r="M163" s="6">
        <f t="shared" si="102"/>
        <v>1.078703704115469E-2</v>
      </c>
      <c r="N163" s="7">
        <f t="shared" si="103"/>
        <v>15.533333339262754</v>
      </c>
      <c r="O163" s="7"/>
      <c r="P163" s="7"/>
      <c r="Q163" s="22"/>
      <c r="R163" s="170"/>
      <c r="S163" s="213">
        <f t="shared" si="104"/>
        <v>1</v>
      </c>
      <c r="T163" s="195" t="str">
        <f t="shared" si="105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74"/>
        <v>https://d0f6bd738d7f1b3e5a7ca70fe4ff75f0.us-east-1.aws.found.io/app/kibana#/discover/Steve-Slow-Train-Analysis-(2080s-and-2083s)?_g=(refreshInterval:(display:Off,pause:!f,section:0,value:0),time:(from:'2017-06-15T05:36:48-0600',mode:absolute,to:'2017-06-15T07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197" t="str">
        <f>IF(AA163&lt;VLOOKUP(AG163,Variables!$AC$3:$AD$8,2,FALSE),"Y","N")</f>
        <v>N</v>
      </c>
      <c r="X163" s="197">
        <f t="shared" si="111"/>
        <v>1</v>
      </c>
      <c r="Y163" s="197">
        <f t="shared" si="106"/>
        <v>5.8604000000000003</v>
      </c>
      <c r="Z163" s="197">
        <f t="shared" si="107"/>
        <v>6.8900000000000003E-2</v>
      </c>
      <c r="AA163" s="197">
        <f t="shared" si="108"/>
        <v>5.7915000000000001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109"/>
        <v>804</v>
      </c>
      <c r="AE163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63" s="74" t="str">
        <f t="shared" si="80"/>
        <v>"C:\Program Files (x86)\AstroGrep\AstroGrep.exe" /e /r /s /spath="%USERPROFILE%\AppData\Local\Temp\OnboardLogs" /stypes="app*4013*20170615*" /stext=" 12:.+((SYSTEM_STATE.+slice.+state.+changed )|(ment ac)|(multiple cpu faults)|(system.+state.+changed )|(\[timeout)|(PRM\|1\|D)|(kpr)|(kdp)|(train st.+moving)|(\|lc)|(penalty))"</v>
      </c>
      <c r="AG163" s="209" t="str">
        <f t="shared" si="110"/>
        <v>NW</v>
      </c>
      <c r="AH163" s="78" t="str">
        <f t="shared" si="67"/>
        <v>"%USERPROFILE%\Documents\GitHub\eaglep3\Utilities\RefineRTDCRunTimes.py" --tripid 804-15 --locoid 4013 --swversion DE.1.0.9.0 --startMP 300:58604 --initTime 2017-06-15T06:36:48 --startdatetime 2017-06-15T06:39:53 --delay 1 --endMP 204:689 --enddatetime 2017-06-15T06:55:25 --enforcementcount 0 &gt;&gt;C:\Users\stu\Documents\GitHub\eaglep3-reporting\EC\2017-06-15-refined-times.txt</v>
      </c>
      <c r="AI163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{"issue":{"subject":"","project_id":79,"tracker_id":40,"status_id":1,"priority_id":2,"assigned_to_id":23,"start_date":"2017-06-15","description":"","custom_fields":[{"id":1,"name":"Subdivision","value":"NW"},{"id":4,"name":"Milepost","value":"0.0689"},{"id":17,"name":"Train ID","value":"804-15"},{"id":16,"name":"Locomotive ID","value":"4013"},{"id":130,"name":"Impact","value":""},{"id":150,"name":"Time of Event (Mountain Time)","value":"06:55:25"},{"id":151,"name":"Denver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9"/>
        <v>start /low /b %USERPROFILE%\Documents\GitHub\eaglep3\Utilities\DownloadLogsFromS3.py --loco 4013 --day 2017-06-15</v>
      </c>
      <c r="AN163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624</v>
      </c>
      <c r="B164" s="7">
        <v>4058</v>
      </c>
      <c r="C164" s="21" t="s">
        <v>202</v>
      </c>
      <c r="D164" s="21" t="s">
        <v>940</v>
      </c>
      <c r="E164" s="13">
        <v>42901.28361111111</v>
      </c>
      <c r="F164" s="13">
        <v>42901.285590277781</v>
      </c>
      <c r="G164" s="7">
        <v>1</v>
      </c>
      <c r="H164" s="21" t="s">
        <v>941</v>
      </c>
      <c r="I164" s="13">
        <v>42901.295092592591</v>
      </c>
      <c r="J164" s="7">
        <v>0</v>
      </c>
      <c r="K164" s="89" t="str">
        <f t="shared" si="101"/>
        <v>4057/4058</v>
      </c>
      <c r="L164" s="21" t="str">
        <f>VLOOKUP(A164,'Trips&amp;Operators'!$C$1:$G$99999,5,FALSE)</f>
        <v>DAVIS WENDY</v>
      </c>
      <c r="M164" s="6">
        <f t="shared" si="102"/>
        <v>9.5023148096515797E-3</v>
      </c>
      <c r="N164" s="7">
        <f t="shared" si="103"/>
        <v>13.683333325898275</v>
      </c>
      <c r="O164" s="7"/>
      <c r="P164" s="7"/>
      <c r="Q164" s="22"/>
      <c r="R164" s="170"/>
      <c r="S164" s="213">
        <f t="shared" si="104"/>
        <v>1</v>
      </c>
      <c r="T164" s="195" t="str">
        <f t="shared" si="105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74"/>
        <v>https://d0f6bd738d7f1b3e5a7ca70fe4ff75f0.us-east-1.aws.found.io/app/kibana#/discover/Steve-Slow-Train-Analysis-(2080s-and-2083s)?_g=(refreshInterval:(display:Off,pause:!f,section:0,value:0),time:(from:'2017-06-15T05:48:24-0600',mode:absolute,to:'2017-06-15T08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4" s="197" t="str">
        <f>IF(AA164&lt;VLOOKUP(AG164,Variables!$AC$3:$AD$8,2,FALSE),"Y","N")</f>
        <v>N</v>
      </c>
      <c r="X164" s="197">
        <f t="shared" si="111"/>
        <v>1</v>
      </c>
      <c r="Y164" s="197">
        <f t="shared" si="106"/>
        <v>0.10299999999999999</v>
      </c>
      <c r="Z164" s="197">
        <f t="shared" si="107"/>
        <v>5.9005000000000001</v>
      </c>
      <c r="AA164" s="197">
        <f t="shared" si="108"/>
        <v>5.7975000000000003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109"/>
        <v>805</v>
      </c>
      <c r="AE164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64" s="74" t="str">
        <f t="shared" si="80"/>
        <v>"C:\Program Files (x86)\AstroGrep\AstroGrep.exe" /e /r /s /spath="%USERPROFILE%\AppData\Local\Temp\OnboardLogs" /stypes="app*4058*20170615*" /stext=" 13:.+((SYSTEM_STATE.+slice.+state.+changed )|(ment ac)|(multiple cpu faults)|(system.+state.+changed )|(\[timeout)|(PRM\|1\|D)|(kpr)|(kdp)|(train st.+moving)|(\|lc)|(penalty))"</v>
      </c>
      <c r="AG164" s="209" t="str">
        <f t="shared" si="110"/>
        <v>NW</v>
      </c>
      <c r="AH164" s="78" t="str">
        <f t="shared" si="67"/>
        <v>"%USERPROFILE%\Documents\GitHub\eaglep3\Utilities\RefineRTDCRunTimes.py" --tripid 805-15 --locoid 4058 --swversion DE.1.0.9.0 --startMP 204:1030 --initTime 2017-06-15T06:48:24 --startdatetime 2017-06-15T06:51:15 --delay 1 --endMP 300:59005 --enddatetime 2017-06-15T07:04:56 --enforcementcount 0 &gt;&gt;C:\Users\stu\Documents\GitHub\eaglep3-reporting\EC\2017-06-15-refined-times.txt</v>
      </c>
      <c r="AI164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{"issue":{"subject":"","project_id":79,"tracker_id":40,"status_id":1,"priority_id":2,"assigned_to_id":23,"start_date":"2017-06-15","description":"","custom_fields":[{"id":1,"name":"Subdivision","value":"NW"},{"id":4,"name":"Milepost","value":"5.9005"},{"id":17,"name":"Train ID","value":"805-15"},{"id":16,"name":"Locomotive ID","value":"4058"},{"id":130,"name":"Impact","value":""},{"id":150,"name":"Time of Event (Mountain Time)","value":"07:04:56"},{"id":151,"name":"Denver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9"/>
        <v>start /low /b %USERPROFILE%\Documents\GitHub\eaglep3\Utilities\DownloadLogsFromS3.py --loco 4058 --day 2017-06-15</v>
      </c>
      <c r="AN164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695</v>
      </c>
      <c r="B165" s="7">
        <v>4057</v>
      </c>
      <c r="C165" s="21" t="s">
        <v>202</v>
      </c>
      <c r="D165" s="21" t="s">
        <v>942</v>
      </c>
      <c r="E165" s="13">
        <v>42901.296354166669</v>
      </c>
      <c r="F165" s="13">
        <v>42901.297627314816</v>
      </c>
      <c r="G165" s="7">
        <v>1</v>
      </c>
      <c r="H165" s="21" t="s">
        <v>943</v>
      </c>
      <c r="I165" s="13">
        <v>42901.309490740743</v>
      </c>
      <c r="J165" s="7">
        <v>0</v>
      </c>
      <c r="K165" s="89" t="str">
        <f t="shared" si="101"/>
        <v>4057/4058</v>
      </c>
      <c r="L165" s="21" t="str">
        <f>VLOOKUP(A165,'Trips&amp;Operators'!$C$1:$G$99999,5,FALSE)</f>
        <v>DAVIS WENDY</v>
      </c>
      <c r="M165" s="6">
        <f t="shared" si="102"/>
        <v>1.1863425927003846E-2</v>
      </c>
      <c r="N165" s="7">
        <f t="shared" si="103"/>
        <v>17.083333334885538</v>
      </c>
      <c r="O165" s="7"/>
      <c r="P165" s="7"/>
      <c r="Q165" s="22"/>
      <c r="R165" s="170"/>
      <c r="S165" s="213">
        <f t="shared" si="104"/>
        <v>1</v>
      </c>
      <c r="T165" s="195" t="str">
        <f t="shared" si="105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74"/>
        <v>https://d0f6bd738d7f1b3e5a7ca70fe4ff75f0.us-east-1.aws.found.io/app/kibana#/discover/Steve-Slow-Train-Analysis-(2080s-and-2083s)?_g=(refreshInterval:(display:Off,pause:!f,section:0,value:0),time:(from:'2017-06-15T06:06:45-0600',mode:absolute,to:'2017-06-15T08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5" s="197" t="str">
        <f>IF(AA165&lt;VLOOKUP(AG165,Variables!$AC$3:$AD$8,2,FALSE),"Y","N")</f>
        <v>N</v>
      </c>
      <c r="X165" s="197">
        <f t="shared" si="111"/>
        <v>1</v>
      </c>
      <c r="Y165" s="197">
        <f t="shared" si="106"/>
        <v>5.8685</v>
      </c>
      <c r="Z165" s="197">
        <f t="shared" si="107"/>
        <v>6.4199999999999993E-2</v>
      </c>
      <c r="AA165" s="197">
        <f t="shared" si="108"/>
        <v>5.8043000000000005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109"/>
        <v>806</v>
      </c>
      <c r="AE165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65" s="74" t="str">
        <f t="shared" si="80"/>
        <v>"C:\Program Files (x86)\AstroGrep\AstroGrep.exe" /e /r /s /spath="%USERPROFILE%\AppData\Local\Temp\OnboardLogs" /stypes="app*4057*20170615*" /stext=" 13:.+((SYSTEM_STATE.+slice.+state.+changed )|(ment ac)|(multiple cpu faults)|(system.+state.+changed )|(\[timeout)|(PRM\|1\|D)|(kpr)|(kdp)|(train st.+moving)|(\|lc)|(penalty))"</v>
      </c>
      <c r="AG165" s="209" t="str">
        <f t="shared" si="110"/>
        <v>NW</v>
      </c>
      <c r="AH165" s="78" t="str">
        <f t="shared" si="67"/>
        <v>"%USERPROFILE%\Documents\GitHub\eaglep3\Utilities\RefineRTDCRunTimes.py" --tripid 806-15 --locoid 4057 --swversion DE.1.0.9.0 --startMP 300:58685 --initTime 2017-06-15T07:06:45 --startdatetime 2017-06-15T07:08:35 --delay 1 --endMP 204:642 --enddatetime 2017-06-15T07:25:40 --enforcementcount 0 &gt;&gt;C:\Users\stu\Documents\GitHub\eaglep3-reporting\EC\2017-06-15-refined-times.txt</v>
      </c>
      <c r="AI165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{"issue":{"subject":"","project_id":79,"tracker_id":40,"status_id":1,"priority_id":2,"assigned_to_id":23,"start_date":"2017-06-15","description":"","custom_fields":[{"id":1,"name":"Subdivision","value":"NW"},{"id":4,"name":"Milepost","value":"0.0642"},{"id":17,"name":"Train ID","value":"806-15"},{"id":16,"name":"Locomotive ID","value":"4057"},{"id":130,"name":"Impact","value":""},{"id":150,"name":"Time of Event (Mountain Time)","value":"07:25:40"},{"id":151,"name":"Denver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9"/>
        <v>start /low /b %USERPROFILE%\Documents\GitHub\eaglep3\Utilities\DownloadLogsFromS3.py --loco 4057 --day 2017-06-15</v>
      </c>
      <c r="AN165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694</v>
      </c>
      <c r="B166" s="7">
        <v>4014</v>
      </c>
      <c r="C166" s="21" t="s">
        <v>202</v>
      </c>
      <c r="D166" s="21" t="s">
        <v>936</v>
      </c>
      <c r="E166" s="13">
        <v>42901.295104166667</v>
      </c>
      <c r="F166" s="13">
        <v>42901.306458333333</v>
      </c>
      <c r="G166" s="7">
        <v>1</v>
      </c>
      <c r="H166" s="21" t="s">
        <v>944</v>
      </c>
      <c r="I166" s="13">
        <v>42901.316018518519</v>
      </c>
      <c r="J166" s="7">
        <v>0</v>
      </c>
      <c r="K166" s="89" t="str">
        <f t="shared" si="101"/>
        <v>4013/4014</v>
      </c>
      <c r="L166" s="21" t="str">
        <f>VLOOKUP(A166,'Trips&amp;Operators'!$C$1:$G$99999,5,FALSE)</f>
        <v>YANG JAN</v>
      </c>
      <c r="M166" s="6">
        <f t="shared" si="102"/>
        <v>9.560185186273884E-3</v>
      </c>
      <c r="N166" s="7">
        <f t="shared" si="103"/>
        <v>13.766666668234393</v>
      </c>
      <c r="O166" s="7"/>
      <c r="P166" s="7"/>
      <c r="Q166" s="22"/>
      <c r="R166" s="170"/>
      <c r="S166" s="213">
        <f t="shared" si="104"/>
        <v>1</v>
      </c>
      <c r="T166" s="195" t="str">
        <f t="shared" si="105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74"/>
        <v>https://d0f6bd738d7f1b3e5a7ca70fe4ff75f0.us-east-1.aws.found.io/app/kibana#/discover/Steve-Slow-Train-Analysis-(2080s-and-2083s)?_g=(refreshInterval:(display:Off,pause:!f,section:0,value:0),time:(from:'2017-06-15T06:04:57-0600',mode:absolute,to:'2017-06-15T08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197" t="str">
        <f>IF(AA166&lt;VLOOKUP(AG166,Variables!$AC$3:$AD$8,2,FALSE),"Y","N")</f>
        <v>N</v>
      </c>
      <c r="X166" s="197">
        <f t="shared" si="111"/>
        <v>1</v>
      </c>
      <c r="Y166" s="197">
        <f t="shared" si="106"/>
        <v>9.74E-2</v>
      </c>
      <c r="Z166" s="197">
        <f t="shared" si="107"/>
        <v>5.8936999999999999</v>
      </c>
      <c r="AA166" s="197">
        <f t="shared" si="108"/>
        <v>5.7962999999999996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109"/>
        <v>807</v>
      </c>
      <c r="AE166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66" s="74" t="str">
        <f t="shared" si="80"/>
        <v>"C:\Program Files (x86)\AstroGrep\AstroGrep.exe" /e /r /s /spath="%USERPROFILE%\AppData\Local\Temp\OnboardLogs" /stypes="app*4014*20170615*" /stext=" 13:.+((SYSTEM_STATE.+slice.+state.+changed )|(ment ac)|(multiple cpu faults)|(system.+state.+changed )|(\[timeout)|(PRM\|1\|D)|(kpr)|(kdp)|(train st.+moving)|(\|lc)|(penalty))"</v>
      </c>
      <c r="AG166" s="209" t="str">
        <f t="shared" si="110"/>
        <v>NW</v>
      </c>
      <c r="AH166" s="78" t="str">
        <f t="shared" si="67"/>
        <v>"%USERPROFILE%\Documents\GitHub\eaglep3\Utilities\RefineRTDCRunTimes.py" --tripid 807-15 --locoid 4014 --swversion DE.1.0.9.0 --startMP 204:974 --initTime 2017-06-15T07:04:57 --startdatetime 2017-06-15T07:21:18 --delay 1 --endMP 300:58937 --enddatetime 2017-06-15T07:35:04 --enforcementcount 0 &gt;&gt;C:\Users\stu\Documents\GitHub\eaglep3-reporting\EC\2017-06-15-refined-times.txt</v>
      </c>
      <c r="AI166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{"issue":{"subject":"","project_id":79,"tracker_id":40,"status_id":1,"priority_id":2,"assigned_to_id":23,"start_date":"2017-06-15","description":"","custom_fields":[{"id":1,"name":"Subdivision","value":"NW"},{"id":4,"name":"Milepost","value":"5.8937"},{"id":17,"name":"Train ID","value":"807-15"},{"id":16,"name":"Locomotive ID","value":"4014"},{"id":130,"name":"Impact","value":""},{"id":150,"name":"Time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69"/>
        <v>start /low /b %USERPROFILE%\Documents\GitHub\eaglep3\Utilities\DownloadLogsFromS3.py --loco 4014 --day 2017-06-15</v>
      </c>
      <c r="AN166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699</v>
      </c>
      <c r="B167" s="7">
        <v>4013</v>
      </c>
      <c r="C167" s="21" t="s">
        <v>202</v>
      </c>
      <c r="D167" s="21" t="s">
        <v>468</v>
      </c>
      <c r="E167" s="13">
        <v>42901.317453703705</v>
      </c>
      <c r="F167" s="13">
        <v>42901.319120370368</v>
      </c>
      <c r="G167" s="7">
        <v>1</v>
      </c>
      <c r="H167" s="21" t="s">
        <v>945</v>
      </c>
      <c r="I167" s="13">
        <v>42901.330046296294</v>
      </c>
      <c r="J167" s="7">
        <v>0</v>
      </c>
      <c r="K167" s="89" t="str">
        <f t="shared" si="101"/>
        <v>4013/4014</v>
      </c>
      <c r="L167" s="21" t="str">
        <f>VLOOKUP(A167,'Trips&amp;Operators'!$C$1:$G$99999,5,FALSE)</f>
        <v>YANG JAN</v>
      </c>
      <c r="M167" s="6">
        <f t="shared" si="102"/>
        <v>1.0925925926130731E-2</v>
      </c>
      <c r="N167" s="7">
        <f t="shared" si="103"/>
        <v>15.733333333628252</v>
      </c>
      <c r="O167" s="7"/>
      <c r="P167" s="7"/>
      <c r="Q167" s="22"/>
      <c r="R167" s="170"/>
      <c r="S167" s="213">
        <f t="shared" si="104"/>
        <v>1</v>
      </c>
      <c r="T167" s="195" t="str">
        <f t="shared" si="105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74"/>
        <v>https://d0f6bd738d7f1b3e5a7ca70fe4ff75f0.us-east-1.aws.found.io/app/kibana#/discover/Steve-Slow-Train-Analysis-(2080s-and-2083s)?_g=(refreshInterval:(display:Off,pause:!f,section:0,value:0),time:(from:'2017-06-15T06:37:08-0600',mode:absolute,to:'2017-06-15T08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197" t="str">
        <f>IF(AA167&lt;VLOOKUP(AG167,Variables!$AC$3:$AD$8,2,FALSE),"Y","N")</f>
        <v>N</v>
      </c>
      <c r="X167" s="197">
        <f t="shared" si="111"/>
        <v>1</v>
      </c>
      <c r="Y167" s="197">
        <f t="shared" si="106"/>
        <v>5.8624000000000001</v>
      </c>
      <c r="Z167" s="197">
        <f t="shared" si="107"/>
        <v>6.7699999999999996E-2</v>
      </c>
      <c r="AA167" s="197">
        <f t="shared" si="108"/>
        <v>5.7946999999999997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109"/>
        <v>808</v>
      </c>
      <c r="AE167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67" s="74" t="str">
        <f t="shared" si="80"/>
        <v>"C:\Program Files (x86)\AstroGrep\AstroGrep.exe" /e /r /s /spath="%USERPROFILE%\AppData\Local\Temp\OnboardLogs" /stypes="app*4013*20170615*" /stext=" 13:.+((SYSTEM_STATE.+slice.+state.+changed )|(ment ac)|(multiple cpu faults)|(system.+state.+changed )|(\[timeout)|(PRM\|1\|D)|(kpr)|(kdp)|(train st.+moving)|(\|lc)|(penalty))"</v>
      </c>
      <c r="AG167" s="209" t="str">
        <f t="shared" si="110"/>
        <v>NW</v>
      </c>
      <c r="AH167" s="78" t="str">
        <f t="shared" si="67"/>
        <v>"%USERPROFILE%\Documents\GitHub\eaglep3\Utilities\RefineRTDCRunTimes.py" --tripid 808-15 --locoid 4013 --swversion DE.1.0.9.0 --startMP 300:58624 --initTime 2017-06-15T07:37:08 --startdatetime 2017-06-15T07:39:32 --delay 1 --endMP 204:677 --enddatetime 2017-06-15T07:55:16 --enforcementcount 0 &gt;&gt;C:\Users\stu\Documents\GitHub\eaglep3-reporting\EC\2017-06-15-refined-times.txt</v>
      </c>
      <c r="AI167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{"issue":{"subject":"","project_id":79,"tracker_id":40,"status_id":1,"priority_id":2,"assigned_to_id":23,"start_date":"2017-06-15","description":"","custom_fields":[{"id":1,"name":"Subdivision","value":"NW"},{"id":4,"name":"Milepost","value":"0.0677"},{"id":17,"name":"Train ID","value":"808-15"},{"id":16,"name":"Locomotive ID","value":"4013"},{"id":130,"name":"Impact","value":""},{"id":150,"name":"Time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9"/>
        <v>start /low /b %USERPROFILE%\Documents\GitHub\eaglep3\Utilities\DownloadLogsFromS3.py --loco 4013 --day 2017-06-15</v>
      </c>
      <c r="AN167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13:55:16"},{"id":29,"name":"Sharepoint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627</v>
      </c>
      <c r="B168" s="7">
        <v>4058</v>
      </c>
      <c r="C168" s="21" t="s">
        <v>202</v>
      </c>
      <c r="D168" s="21" t="s">
        <v>946</v>
      </c>
      <c r="E168" s="13">
        <v>42901.325844907406</v>
      </c>
      <c r="F168" s="13">
        <v>42901.327245370368</v>
      </c>
      <c r="G168" s="7">
        <v>1</v>
      </c>
      <c r="H168" s="21" t="s">
        <v>941</v>
      </c>
      <c r="I168" s="13">
        <v>42901.337372685186</v>
      </c>
      <c r="J168" s="7">
        <v>0</v>
      </c>
      <c r="K168" s="89" t="str">
        <f t="shared" si="101"/>
        <v>4057/4058</v>
      </c>
      <c r="L168" s="21" t="str">
        <f>VLOOKUP(A168,'Trips&amp;Operators'!$C$1:$G$99999,5,FALSE)</f>
        <v>DAVIS WENDY</v>
      </c>
      <c r="M168" s="6">
        <f t="shared" si="102"/>
        <v>1.0127314817509614E-2</v>
      </c>
      <c r="N168" s="7">
        <f t="shared" si="103"/>
        <v>14.583333337213844</v>
      </c>
      <c r="O168" s="7"/>
      <c r="P168" s="7"/>
      <c r="Q168" s="22"/>
      <c r="R168" s="170"/>
      <c r="S168" s="213">
        <f t="shared" si="104"/>
        <v>1</v>
      </c>
      <c r="T168" s="195" t="str">
        <f t="shared" si="105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74"/>
        <v>https://d0f6bd738d7f1b3e5a7ca70fe4ff75f0.us-east-1.aws.found.io/app/kibana#/discover/Steve-Slow-Train-Analysis-(2080s-and-2083s)?_g=(refreshInterval:(display:Off,pause:!f,section:0,value:0),time:(from:'2017-06-15T06:49:13-0600',mode:absolute,to:'2017-06-15T09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68" s="197" t="str">
        <f>IF(AA168&lt;VLOOKUP(AG168,Variables!$AC$3:$AD$8,2,FALSE),"Y","N")</f>
        <v>N</v>
      </c>
      <c r="X168" s="197">
        <f t="shared" si="111"/>
        <v>1</v>
      </c>
      <c r="Y168" s="197">
        <f t="shared" si="106"/>
        <v>9.1999999999999998E-2</v>
      </c>
      <c r="Z168" s="197">
        <f t="shared" si="107"/>
        <v>5.9005000000000001</v>
      </c>
      <c r="AA168" s="197">
        <f t="shared" si="108"/>
        <v>5.8085000000000004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109"/>
        <v>809</v>
      </c>
      <c r="AE168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68" s="74" t="str">
        <f t="shared" si="80"/>
        <v>"C:\Program Files (x86)\AstroGrep\AstroGrep.exe" /e /r /s /spath="%USERPROFILE%\AppData\Local\Temp\OnboardLogs" /stypes="app*4058*20170615*" /stext=" 14:.+((SYSTEM_STATE.+slice.+state.+changed )|(ment ac)|(multiple cpu faults)|(system.+state.+changed )|(\[timeout)|(PRM\|1\|D)|(kpr)|(kdp)|(train st.+moving)|(\|lc)|(penalty))"</v>
      </c>
      <c r="AG168" s="209" t="str">
        <f t="shared" si="110"/>
        <v>NW</v>
      </c>
      <c r="AH168" s="78" t="str">
        <f t="shared" si="67"/>
        <v>"%USERPROFILE%\Documents\GitHub\eaglep3\Utilities\RefineRTDCRunTimes.py" --tripid 809-15 --locoid 4058 --swversion DE.1.0.9.0 --startMP 204:920 --initTime 2017-06-15T07:49:13 --startdatetime 2017-06-15T07:51:14 --delay 1 --endMP 300:59005 --enddatetime 2017-06-15T08:05:49 --enforcementcount 0 &gt;&gt;C:\Users\stu\Documents\GitHub\eaglep3-reporting\EC\2017-06-15-refined-times.txt</v>
      </c>
      <c r="AI168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{"issue":{"subject":"","project_id":79,"tracker_id":40,"status_id":1,"priority_id":2,"assigned_to_id":23,"start_date":"2017-06-15","description":"","custom_fields":[{"id":1,"name":"Subdivision","value":"NW"},{"id":4,"name":"Milepost","value":"5.9005"},{"id":17,"name":"Train ID","value":"809-15"},{"id":16,"name":"Locomotive ID","value":"4058"},{"id":130,"name":"Impact","value":""},{"id":150,"name":"Time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2" t="str">
        <f t="shared" si="69"/>
        <v>start /low /b %USERPROFILE%\Documents\GitHub\eaglep3\Utilities\DownloadLogsFromS3.py --loco 4058 --day 2017-06-15</v>
      </c>
      <c r="AN168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</row>
    <row r="169" spans="1:91" s="20" customFormat="1" x14ac:dyDescent="0.25">
      <c r="A169" s="32" t="s">
        <v>706</v>
      </c>
      <c r="B169" s="7">
        <v>4057</v>
      </c>
      <c r="C169" s="21" t="s">
        <v>202</v>
      </c>
      <c r="D169" s="21" t="s">
        <v>597</v>
      </c>
      <c r="E169" s="13">
        <v>42901.338321759256</v>
      </c>
      <c r="F169" s="13">
        <v>42901.339513888888</v>
      </c>
      <c r="G169" s="7">
        <v>1</v>
      </c>
      <c r="H169" s="21" t="s">
        <v>947</v>
      </c>
      <c r="I169" s="13">
        <v>42901.351053240738</v>
      </c>
      <c r="J169" s="7">
        <v>0</v>
      </c>
      <c r="K169" s="89" t="str">
        <f t="shared" si="101"/>
        <v>4057/4058</v>
      </c>
      <c r="L169" s="21" t="str">
        <f>VLOOKUP(A169,'Trips&amp;Operators'!$C$1:$G$99999,5,FALSE)</f>
        <v>DAVIS WENDY</v>
      </c>
      <c r="M169" s="6">
        <f t="shared" si="102"/>
        <v>1.1539351849933155E-2</v>
      </c>
      <c r="N169" s="7">
        <f t="shared" si="103"/>
        <v>16.616666663903743</v>
      </c>
      <c r="O169" s="7"/>
      <c r="P169" s="7"/>
      <c r="Q169" s="22"/>
      <c r="R169" s="170"/>
      <c r="S169" s="213">
        <f t="shared" si="104"/>
        <v>1</v>
      </c>
      <c r="T169" s="195" t="str">
        <f t="shared" si="105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74"/>
        <v>https://d0f6bd738d7f1b3e5a7ca70fe4ff75f0.us-east-1.aws.found.io/app/kibana#/discover/Steve-Slow-Train-Analysis-(2080s-and-2083s)?_g=(refreshInterval:(display:Off,pause:!f,section:0,value:0),time:(from:'2017-06-15T07:07:11-0600',mode:absolute,to:'2017-06-15T09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69" s="197" t="str">
        <f>IF(AA169&lt;VLOOKUP(AG169,Variables!$AC$3:$AD$8,2,FALSE),"Y","N")</f>
        <v>N</v>
      </c>
      <c r="X169" s="197">
        <f t="shared" si="111"/>
        <v>1</v>
      </c>
      <c r="Y169" s="197">
        <f t="shared" si="106"/>
        <v>5.8678999999999997</v>
      </c>
      <c r="Z169" s="197">
        <f t="shared" si="107"/>
        <v>1.4800000000000001E-2</v>
      </c>
      <c r="AA169" s="197">
        <f t="shared" si="108"/>
        <v>5.8530999999999995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109"/>
        <v>810</v>
      </c>
      <c r="AE169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69" s="74" t="str">
        <f t="shared" si="80"/>
        <v>"C:\Program Files (x86)\AstroGrep\AstroGrep.exe" /e /r /s /spath="%USERPROFILE%\AppData\Local\Temp\OnboardLogs" /stypes="app*4057*20170615*" /stext=" 14:.+((SYSTEM_STATE.+slice.+state.+changed )|(ment ac)|(multiple cpu faults)|(system.+state.+changed )|(\[timeout)|(PRM\|1\|D)|(kpr)|(kdp)|(train st.+moving)|(\|lc)|(penalty))"</v>
      </c>
      <c r="AG169" s="209" t="str">
        <f t="shared" si="110"/>
        <v>NW</v>
      </c>
      <c r="AH169" s="78" t="str">
        <f t="shared" si="67"/>
        <v>"%USERPROFILE%\Documents\GitHub\eaglep3\Utilities\RefineRTDCRunTimes.py" --tripid 810-15 --locoid 4057 --swversion DE.1.0.9.0 --startMP 300:58679 --initTime 2017-06-15T08:07:11 --startdatetime 2017-06-15T08:08:54 --delay 1 --endMP 204:148 --enddatetime 2017-06-15T08:25:31 --enforcementcount 0 &gt;&gt;C:\Users\stu\Documents\GitHub\eaglep3-reporting\EC\2017-06-15-refined-times.txt</v>
      </c>
      <c r="AI169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{"issue":{"subject":"","project_id":79,"tracker_id":40,"status_id":1,"priority_id":2,"assigned_to_id":23,"start_date":"2017-06-15","description":"","custom_fields":[{"id":1,"name":"Subdivision","value":"NW"},{"id":4,"name":"Milepost","value":"0.0148"},{"id":17,"name":"Train ID","value":"810-15"},{"id":16,"name":"Locomotive ID","value":"4057"},{"id":130,"name":"Impact","value":""},{"id":150,"name":"Time of Event (Mountain Time)","value":"08:25:31"},{"id":151,"name":"Denver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9"/>
        <v>start /low /b %USERPROFILE%\Documents\GitHub\eaglep3\Utilities\DownloadLogsFromS3.py --loco 4057 --day 2017-06-15</v>
      </c>
      <c r="AN169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705</v>
      </c>
      <c r="B170" s="7">
        <v>4014</v>
      </c>
      <c r="C170" s="21" t="s">
        <v>202</v>
      </c>
      <c r="D170" s="21" t="s">
        <v>602</v>
      </c>
      <c r="E170" s="13">
        <v>42901.333043981482</v>
      </c>
      <c r="F170" s="13">
        <v>42901.34815972222</v>
      </c>
      <c r="G170" s="7">
        <v>1</v>
      </c>
      <c r="H170" s="21" t="s">
        <v>948</v>
      </c>
      <c r="I170" s="13">
        <v>42901.357824074075</v>
      </c>
      <c r="J170" s="7">
        <v>0</v>
      </c>
      <c r="K170" s="89" t="str">
        <f t="shared" si="101"/>
        <v>4013/4014</v>
      </c>
      <c r="L170" s="21" t="str">
        <f>VLOOKUP(A170,'Trips&amp;Operators'!$C$1:$G$99999,5,FALSE)</f>
        <v>YANG JAN</v>
      </c>
      <c r="M170" s="6">
        <f t="shared" si="102"/>
        <v>9.6643518554628827E-3</v>
      </c>
      <c r="N170" s="7">
        <f t="shared" si="103"/>
        <v>13.916666671866551</v>
      </c>
      <c r="O170" s="7"/>
      <c r="P170" s="7"/>
      <c r="Q170" s="22"/>
      <c r="R170" s="170"/>
      <c r="S170" s="213">
        <f t="shared" si="104"/>
        <v>1</v>
      </c>
      <c r="T170" s="195" t="str">
        <f t="shared" si="105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74"/>
        <v>https://d0f6bd738d7f1b3e5a7ca70fe4ff75f0.us-east-1.aws.found.io/app/kibana#/discover/Steve-Slow-Train-Analysis-(2080s-and-2083s)?_g=(refreshInterval:(display:Off,pause:!f,section:0,value:0),time:(from:'2017-06-15T06:59:35-0600',mode:absolute,to:'2017-06-15T09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97" t="str">
        <f>IF(AA170&lt;VLOOKUP(AG170,Variables!$AC$3:$AD$8,2,FALSE),"Y","N")</f>
        <v>N</v>
      </c>
      <c r="X170" s="197">
        <f t="shared" si="111"/>
        <v>1</v>
      </c>
      <c r="Y170" s="197">
        <f t="shared" si="106"/>
        <v>9.6699999999999994E-2</v>
      </c>
      <c r="Z170" s="197">
        <f t="shared" si="107"/>
        <v>5.8935000000000004</v>
      </c>
      <c r="AA170" s="197">
        <f t="shared" si="108"/>
        <v>5.7968000000000002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109"/>
        <v>811</v>
      </c>
      <c r="AE170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70" s="74" t="str">
        <f t="shared" si="80"/>
        <v>"C:\Program Files (x86)\AstroGrep\AstroGrep.exe" /e /r /s /spath="%USERPROFILE%\AppData\Local\Temp\OnboardLogs" /stypes="app*4014*20170615*" /stext=" 14:.+((SYSTEM_STATE.+slice.+state.+changed )|(ment ac)|(multiple cpu faults)|(system.+state.+changed )|(\[timeout)|(PRM\|1\|D)|(kpr)|(kdp)|(train st.+moving)|(\|lc)|(penalty))"</v>
      </c>
      <c r="AG170" s="209" t="str">
        <f t="shared" si="110"/>
        <v>NW</v>
      </c>
      <c r="AH170" s="78" t="str">
        <f t="shared" si="67"/>
        <v>"%USERPROFILE%\Documents\GitHub\eaglep3\Utilities\RefineRTDCRunTimes.py" --tripid 811-15 --locoid 4014 --swversion DE.1.0.9.0 --startMP 204:967 --initTime 2017-06-15T07:59:35 --startdatetime 2017-06-15T08:21:21 --delay 1 --endMP 300:58935 --enddatetime 2017-06-15T08:35:16 --enforcementcount 0 &gt;&gt;C:\Users\stu\Documents\GitHub\eaglep3-reporting\EC\2017-06-15-refined-times.txt</v>
      </c>
      <c r="AI170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{"issue":{"subject":"","project_id":79,"tracker_id":40,"status_id":1,"priority_id":2,"assigned_to_id":23,"start_date":"2017-06-15","description":"","custom_fields":[{"id":1,"name":"Subdivision","value":"NW"},{"id":4,"name":"Milepost","value":"5.8935"},{"id":17,"name":"Train ID","value":"811-15"},{"id":16,"name":"Locomotive ID","value":"4014"},{"id":130,"name":"Impact","value":""},{"id":150,"name":"Time of Event (Mountain Time)","value":"08:35:16"},{"id":151,"name":"Denver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9"/>
        <v>start /low /b %USERPROFILE%\Documents\GitHub\eaglep3\Utilities\DownloadLogsFromS3.py --loco 4014 --day 2017-06-15</v>
      </c>
      <c r="AN170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710</v>
      </c>
      <c r="B171" s="7">
        <v>4013</v>
      </c>
      <c r="C171" s="21" t="s">
        <v>202</v>
      </c>
      <c r="D171" s="21" t="s">
        <v>537</v>
      </c>
      <c r="E171" s="13">
        <v>42901.359131944446</v>
      </c>
      <c r="F171" s="13">
        <v>42901.360891203702</v>
      </c>
      <c r="G171" s="7">
        <v>1</v>
      </c>
      <c r="H171" s="21" t="s">
        <v>949</v>
      </c>
      <c r="I171" s="13">
        <v>42901.371307870373</v>
      </c>
      <c r="J171" s="7">
        <v>0</v>
      </c>
      <c r="K171" s="89" t="str">
        <f t="shared" si="101"/>
        <v>4013/4014</v>
      </c>
      <c r="L171" s="21" t="str">
        <f>VLOOKUP(A171,'Trips&amp;Operators'!$C$1:$G$99999,5,FALSE)</f>
        <v>YANG JAN</v>
      </c>
      <c r="M171" s="6">
        <f t="shared" si="102"/>
        <v>1.0416666671517305E-2</v>
      </c>
      <c r="N171" s="7">
        <f t="shared" si="103"/>
        <v>15.000000006984919</v>
      </c>
      <c r="O171" s="7"/>
      <c r="P171" s="7"/>
      <c r="Q171" s="22"/>
      <c r="R171" s="170"/>
      <c r="S171" s="213">
        <f t="shared" si="104"/>
        <v>1</v>
      </c>
      <c r="T171" s="195" t="str">
        <f t="shared" si="105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74"/>
        <v>https://d0f6bd738d7f1b3e5a7ca70fe4ff75f0.us-east-1.aws.found.io/app/kibana#/discover/Steve-Slow-Train-Analysis-(2080s-and-2083s)?_g=(refreshInterval:(display:Off,pause:!f,section:0,value:0),time:(from:'2017-06-15T07:37:09-0600',mode:absolute,to:'2017-06-15T09:54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97" t="str">
        <f>IF(AA171&lt;VLOOKUP(AG171,Variables!$AC$3:$AD$8,2,FALSE),"Y","N")</f>
        <v>N</v>
      </c>
      <c r="X171" s="197">
        <f t="shared" si="111"/>
        <v>1</v>
      </c>
      <c r="Y171" s="197">
        <f t="shared" si="106"/>
        <v>5.8625999999999996</v>
      </c>
      <c r="Z171" s="197">
        <f t="shared" si="107"/>
        <v>6.8699999999999997E-2</v>
      </c>
      <c r="AA171" s="197">
        <f t="shared" si="108"/>
        <v>5.7938999999999998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109"/>
        <v>812</v>
      </c>
      <c r="AE171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71" s="74" t="str">
        <f t="shared" si="80"/>
        <v>"C:\Program Files (x86)\AstroGrep\AstroGrep.exe" /e /r /s /spath="%USERPROFILE%\AppData\Local\Temp\OnboardLogs" /stypes="app*4013*20170615*" /stext=" 14:.+((SYSTEM_STATE.+slice.+state.+changed )|(ment ac)|(multiple cpu faults)|(system.+state.+changed )|(\[timeout)|(PRM\|1\|D)|(kpr)|(kdp)|(train st.+moving)|(\|lc)|(penalty))"</v>
      </c>
      <c r="AG171" s="209" t="str">
        <f t="shared" si="110"/>
        <v>NW</v>
      </c>
      <c r="AH171" s="78" t="str">
        <f t="shared" si="67"/>
        <v>"%USERPROFILE%\Documents\GitHub\eaglep3\Utilities\RefineRTDCRunTimes.py" --tripid 812-15 --locoid 4013 --swversion DE.1.0.9.0 --startMP 300:58626 --initTime 2017-06-15T08:37:09 --startdatetime 2017-06-15T08:39:41 --delay 1 --endMP 204:687 --enddatetime 2017-06-15T08:54:41 --enforcementcount 0 &gt;&gt;C:\Users\stu\Documents\GitHub\eaglep3-reporting\EC\2017-06-15-refined-times.txt</v>
      </c>
      <c r="AI171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{"issue":{"subject":"","project_id":79,"tracker_id":40,"status_id":1,"priority_id":2,"assigned_to_id":23,"start_date":"2017-06-15","description":"","custom_fields":[{"id":1,"name":"Subdivision","value":"NW"},{"id":4,"name":"Milepost","value":"0.0687"},{"id":17,"name":"Train ID","value":"812-15"},{"id":16,"name":"Locomotive ID","value":"4013"},{"id":130,"name":"Impact","value":""},{"id":150,"name":"Time of Event (Mountain Time)","value":"08:54:41"},{"id":151,"name":"Denver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69"/>
        <v>start /low /b %USERPROFILE%\Documents\GitHub\eaglep3\Utilities\DownloadLogsFromS3.py --loco 4013 --day 2017-06-15</v>
      </c>
      <c r="AN171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14:54:41"},{"id":29,"name":"Sharepoint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717</v>
      </c>
      <c r="B172" s="7">
        <v>4014</v>
      </c>
      <c r="C172" s="21" t="s">
        <v>202</v>
      </c>
      <c r="D172" s="21" t="s">
        <v>950</v>
      </c>
      <c r="E172" s="13">
        <v>42901.385023148148</v>
      </c>
      <c r="F172" s="13">
        <v>42901.389849537038</v>
      </c>
      <c r="G172" s="7">
        <v>1</v>
      </c>
      <c r="H172" s="21" t="s">
        <v>951</v>
      </c>
      <c r="I172" s="13">
        <v>42901.399699074071</v>
      </c>
      <c r="J172" s="7">
        <v>0</v>
      </c>
      <c r="K172" s="89" t="str">
        <f t="shared" si="101"/>
        <v>4013/4014</v>
      </c>
      <c r="L172" s="21" t="str">
        <f>VLOOKUP(A172,'Trips&amp;Operators'!$C$1:$G$99999,5,FALSE)</f>
        <v>YANG JAN</v>
      </c>
      <c r="M172" s="6">
        <f t="shared" si="102"/>
        <v>9.8495370330056176E-3</v>
      </c>
      <c r="N172" s="7">
        <f t="shared" si="103"/>
        <v>14.183333327528089</v>
      </c>
      <c r="O172" s="7"/>
      <c r="P172" s="7"/>
      <c r="Q172" s="22"/>
      <c r="R172" s="170"/>
      <c r="S172" s="213">
        <f t="shared" si="104"/>
        <v>1</v>
      </c>
      <c r="T172" s="195" t="str">
        <f t="shared" si="105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74"/>
        <v>https://d0f6bd738d7f1b3e5a7ca70fe4ff75f0.us-east-1.aws.found.io/app/kibana#/discover/Steve-Slow-Train-Analysis-(2080s-and-2083s)?_g=(refreshInterval:(display:Off,pause:!f,section:0,value:0),time:(from:'2017-06-15T08:14:26-0600',mode:absolute,to:'2017-06-15T10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97" t="str">
        <f>IF(AA172&lt;VLOOKUP(AG172,Variables!$AC$3:$AD$8,2,FALSE),"Y","N")</f>
        <v>N</v>
      </c>
      <c r="X172" s="197">
        <f t="shared" si="111"/>
        <v>1</v>
      </c>
      <c r="Y172" s="197">
        <f t="shared" si="106"/>
        <v>9.7100000000000006E-2</v>
      </c>
      <c r="Z172" s="197">
        <f t="shared" si="107"/>
        <v>5.8921999999999999</v>
      </c>
      <c r="AA172" s="197">
        <f t="shared" si="108"/>
        <v>5.7950999999999997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109"/>
        <v>813</v>
      </c>
      <c r="AE172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72" s="74" t="str">
        <f t="shared" si="80"/>
        <v>"C:\Program Files (x86)\AstroGrep\AstroGrep.exe" /e /r /s /spath="%USERPROFILE%\AppData\Local\Temp\OnboardLogs" /stypes="app*4014*20170615*" /stext=" 15:.+((SYSTEM_STATE.+slice.+state.+changed )|(ment ac)|(multiple cpu faults)|(system.+state.+changed )|(\[timeout)|(PRM\|1\|D)|(kpr)|(kdp)|(train st.+moving)|(\|lc)|(penalty))"</v>
      </c>
      <c r="AG172" s="209" t="str">
        <f t="shared" si="110"/>
        <v>NW</v>
      </c>
      <c r="AH172" s="78" t="str">
        <f t="shared" si="67"/>
        <v>"%USERPROFILE%\Documents\GitHub\eaglep3\Utilities\RefineRTDCRunTimes.py" --tripid 813-15 --locoid 4014 --swversion DE.1.0.9.0 --startMP 204:971 --initTime 2017-06-15T09:14:26 --startdatetime 2017-06-15T09:21:23 --delay 1 --endMP 300:58922 --enddatetime 2017-06-15T09:35:34 --enforcementcount 0 &gt;&gt;C:\Users\stu\Documents\GitHub\eaglep3-reporting\EC\2017-06-15-refined-times.txt</v>
      </c>
      <c r="AI172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{"issue":{"subject":"","project_id":79,"tracker_id":40,"status_id":1,"priority_id":2,"assigned_to_id":23,"start_date":"2017-06-15","description":"","custom_fields":[{"id":1,"name":"Subdivision","value":"NW"},{"id":4,"name":"Milepost","value":"5.8922"},{"id":17,"name":"Train ID","value":"813-15"},{"id":16,"name":"Locomotive ID","value":"4014"},{"id":130,"name":"Impact","value":""},{"id":150,"name":"Time of Event (Mountain Time)","value":"09:35:34"},{"id":151,"name":"Denver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69"/>
        <v>start /low /b %USERPROFILE%\Documents\GitHub\eaglep3\Utilities\DownloadLogsFromS3.py --loco 4014 --day 2017-06-15</v>
      </c>
      <c r="AN172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719</v>
      </c>
      <c r="B173" s="7">
        <v>4013</v>
      </c>
      <c r="C173" s="21" t="s">
        <v>202</v>
      </c>
      <c r="D173" s="21" t="s">
        <v>952</v>
      </c>
      <c r="E173" s="13">
        <v>42901.401354166665</v>
      </c>
      <c r="F173" s="13">
        <v>42901.402824074074</v>
      </c>
      <c r="G173" s="7">
        <v>1</v>
      </c>
      <c r="H173" s="21" t="s">
        <v>953</v>
      </c>
      <c r="I173" s="13">
        <v>42901.41306712963</v>
      </c>
      <c r="J173" s="7">
        <v>0</v>
      </c>
      <c r="K173" s="89" t="str">
        <f t="shared" si="101"/>
        <v>4013/4014</v>
      </c>
      <c r="L173" s="21" t="str">
        <f>VLOOKUP(A173,'Trips&amp;Operators'!$C$1:$G$99999,5,FALSE)</f>
        <v>YANG JAN</v>
      </c>
      <c r="M173" s="6">
        <f t="shared" si="102"/>
        <v>1.0243055556202307E-2</v>
      </c>
      <c r="N173" s="7">
        <f t="shared" si="103"/>
        <v>14.750000000931323</v>
      </c>
      <c r="O173" s="7"/>
      <c r="P173" s="7"/>
      <c r="Q173" s="22"/>
      <c r="R173" s="170"/>
      <c r="S173" s="213">
        <f t="shared" si="104"/>
        <v>1</v>
      </c>
      <c r="T173" s="195" t="str">
        <f t="shared" si="105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74"/>
        <v>https://d0f6bd738d7f1b3e5a7ca70fe4ff75f0.us-east-1.aws.found.io/app/kibana#/discover/Steve-Slow-Train-Analysis-(2080s-and-2083s)?_g=(refreshInterval:(display:Off,pause:!f,section:0,value:0),time:(from:'2017-06-15T08:37:57-0600',mode:absolute,to:'2017-06-15T10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97" t="str">
        <f>IF(AA173&lt;VLOOKUP(AG173,Variables!$AC$3:$AD$8,2,FALSE),"Y","N")</f>
        <v>N</v>
      </c>
      <c r="X173" s="197">
        <f t="shared" si="111"/>
        <v>1</v>
      </c>
      <c r="Y173" s="197">
        <f t="shared" si="106"/>
        <v>5.8619000000000003</v>
      </c>
      <c r="Z173" s="197">
        <f t="shared" si="107"/>
        <v>6.6799999999999998E-2</v>
      </c>
      <c r="AA173" s="197">
        <f t="shared" si="108"/>
        <v>5.7951000000000006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109"/>
        <v>814</v>
      </c>
      <c r="AE173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73" s="74" t="str">
        <f t="shared" si="80"/>
        <v>"C:\Program Files (x86)\AstroGrep\AstroGrep.exe" /e /r /s /spath="%USERPROFILE%\AppData\Local\Temp\OnboardLogs" /stypes="app*4013*20170615*" /stext=" 15:.+((SYSTEM_STATE.+slice.+state.+changed )|(ment ac)|(multiple cpu faults)|(system.+state.+changed )|(\[timeout)|(PRM\|1\|D)|(kpr)|(kdp)|(train st.+moving)|(\|lc)|(penalty))"</v>
      </c>
      <c r="AG173" s="209" t="str">
        <f t="shared" si="110"/>
        <v>NW</v>
      </c>
      <c r="AH173" s="78" t="str">
        <f t="shared" si="67"/>
        <v>"%USERPROFILE%\Documents\GitHub\eaglep3\Utilities\RefineRTDCRunTimes.py" --tripid 814-15 --locoid 4013 --swversion DE.1.0.9.0 --startMP 300:58619 --initTime 2017-06-15T09:37:57 --startdatetime 2017-06-15T09:40:04 --delay 1 --endMP 204:668 --enddatetime 2017-06-15T09:54:49 --enforcementcount 0 &gt;&gt;C:\Users\stu\Documents\GitHub\eaglep3-reporting\EC\2017-06-15-refined-times.txt</v>
      </c>
      <c r="AI173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{"issue":{"subject":"","project_id":79,"tracker_id":40,"status_id":1,"priority_id":2,"assigned_to_id":23,"start_date":"2017-06-15","description":"","custom_fields":[{"id":1,"name":"Subdivision","value":"NW"},{"id":4,"name":"Milepost","value":"0.0668"},{"id":17,"name":"Train ID","value":"814-15"},{"id":16,"name":"Locomotive ID","value":"4013"},{"id":130,"name":"Impact","value":""},{"id":150,"name":"Time of Event (Mountain Time)","value":"09:54:49"},{"id":151,"name":"Denver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69"/>
        <v>start /low /b %USERPROFILE%\Documents\GitHub\eaglep3\Utilities\DownloadLogsFromS3.py --loco 4013 --day 2017-06-15</v>
      </c>
      <c r="AN173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725</v>
      </c>
      <c r="B174" s="7">
        <v>4014</v>
      </c>
      <c r="C174" s="21" t="s">
        <v>202</v>
      </c>
      <c r="D174" s="21" t="s">
        <v>954</v>
      </c>
      <c r="E174" s="13">
        <v>42901.420590277776</v>
      </c>
      <c r="F174" s="13">
        <v>42901.431481481479</v>
      </c>
      <c r="G174" s="7">
        <v>11</v>
      </c>
      <c r="H174" s="21" t="s">
        <v>955</v>
      </c>
      <c r="I174" s="13">
        <v>42901.440752314818</v>
      </c>
      <c r="J174" s="7">
        <v>0</v>
      </c>
      <c r="K174" s="89" t="str">
        <f t="shared" si="101"/>
        <v>4013/4014</v>
      </c>
      <c r="L174" s="21" t="str">
        <f>VLOOKUP(A174,'Trips&amp;Operators'!$C$1:$G$99999,5,FALSE)</f>
        <v>YANG JAN</v>
      </c>
      <c r="M174" s="6">
        <f t="shared" si="102"/>
        <v>9.2708333395421505E-3</v>
      </c>
      <c r="N174" s="7">
        <f t="shared" si="103"/>
        <v>13.350000008940697</v>
      </c>
      <c r="O174" s="7"/>
      <c r="P174" s="7"/>
      <c r="Q174" s="22"/>
      <c r="R174" s="170"/>
      <c r="S174" s="213">
        <f t="shared" si="104"/>
        <v>1</v>
      </c>
      <c r="T174" s="195" t="str">
        <f t="shared" si="105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74"/>
        <v>https://d0f6bd738d7f1b3e5a7ca70fe4ff75f0.us-east-1.aws.found.io/app/kibana#/discover/Steve-Slow-Train-Analysis-(2080s-and-2083s)?_g=(refreshInterval:(display:Off,pause:!f,section:0,value:0),time:(from:'2017-06-15T09:05:39-0600',mode:absolute,to:'2017-06-15T11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97" t="str">
        <f>IF(AA174&lt;VLOOKUP(AG174,Variables!$AC$3:$AD$8,2,FALSE),"Y","N")</f>
        <v>N</v>
      </c>
      <c r="X174" s="197">
        <f t="shared" ref="X174:X180" si="112">VALUE(LEFT(AD174,4))-VALUE(LEFT(AD173,4))</f>
        <v>1</v>
      </c>
      <c r="Y174" s="197">
        <f t="shared" si="106"/>
        <v>9.69E-2</v>
      </c>
      <c r="Z174" s="197">
        <f t="shared" si="107"/>
        <v>5.8917999999999999</v>
      </c>
      <c r="AA174" s="197">
        <f t="shared" si="108"/>
        <v>5.7949000000000002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109"/>
        <v>815</v>
      </c>
      <c r="AE174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74" s="74" t="str">
        <f t="shared" si="80"/>
        <v>"C:\Program Files (x86)\AstroGrep\AstroGrep.exe" /e /r /s /spath="%USERPROFILE%\AppData\Local\Temp\OnboardLogs" /stypes="app*4014*20170615*" /stext=" 16:.+((SYSTEM_STATE.+slice.+state.+changed )|(ment ac)|(multiple cpu faults)|(system.+state.+changed )|(\[timeout)|(PRM\|1\|D)|(kpr)|(kdp)|(train st.+moving)|(\|lc)|(penalty))"</v>
      </c>
      <c r="AG174" s="209" t="str">
        <f t="shared" si="110"/>
        <v>NW</v>
      </c>
      <c r="AH174" s="78" t="str">
        <f t="shared" si="67"/>
        <v>"%USERPROFILE%\Documents\GitHub\eaglep3\Utilities\RefineRTDCRunTimes.py" --tripid 815-15 --locoid 4014 --swversion DE.1.0.9.0 --startMP 204:969 --initTime 2017-06-15T10:05:39 --startdatetime 2017-06-15T10:21:20 --delay 11 --endMP 300:58918 --enddatetime 2017-06-15T10:34:41 --enforcementcount 0 &gt;&gt;C:\Users\stu\Documents\GitHub\eaglep3-reporting\EC\2017-06-15-refined-times.txt</v>
      </c>
      <c r="AI174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{"issue":{"subject":"","project_id":79,"tracker_id":40,"status_id":1,"priority_id":2,"assigned_to_id":23,"start_date":"2017-06-15","description":"","custom_fields":[{"id":1,"name":"Subdivision","value":"NW"},{"id":4,"name":"Milepost","value":"5.8918"},{"id":17,"name":"Train ID","value":"815-15"},{"id":16,"name":"Locomotive ID","value":"4014"},{"id":130,"name":"Impact","value":""},{"id":150,"name":"Time of Event (Mountain Time)","value":"10:34:41"},{"id":151,"name":"Denver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69"/>
        <v>start /low /b %USERPROFILE%\Documents\GitHub\eaglep3\Utilities\DownloadLogsFromS3.py --loco 4014 --day 2017-06-15</v>
      </c>
      <c r="AN174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633</v>
      </c>
      <c r="B175" s="7">
        <v>4013</v>
      </c>
      <c r="C175" s="21" t="s">
        <v>202</v>
      </c>
      <c r="D175" s="21" t="s">
        <v>957</v>
      </c>
      <c r="E175" s="13">
        <v>42901.442326388889</v>
      </c>
      <c r="F175" s="13">
        <v>42901.444074074076</v>
      </c>
      <c r="G175" s="7">
        <v>1</v>
      </c>
      <c r="H175" s="21" t="s">
        <v>958</v>
      </c>
      <c r="I175" s="13">
        <v>42901.458252314813</v>
      </c>
      <c r="J175" s="7">
        <v>0</v>
      </c>
      <c r="K175" s="89" t="str">
        <f t="shared" si="101"/>
        <v>4013/4014</v>
      </c>
      <c r="L175" s="21" t="str">
        <f>VLOOKUP(A175,'Trips&amp;Operators'!$C$1:$G$99999,5,FALSE)</f>
        <v>YANG JAN</v>
      </c>
      <c r="M175" s="6">
        <f t="shared" si="102"/>
        <v>1.4178240737237502E-2</v>
      </c>
      <c r="N175" s="7">
        <f t="shared" si="103"/>
        <v>20.416666661622003</v>
      </c>
      <c r="O175" s="7"/>
      <c r="P175" s="7"/>
      <c r="Q175" s="22"/>
      <c r="R175" s="170"/>
      <c r="S175" s="213">
        <f t="shared" si="104"/>
        <v>1</v>
      </c>
      <c r="T175" s="195" t="str">
        <f t="shared" si="105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74"/>
        <v>https://d0f6bd738d7f1b3e5a7ca70fe4ff75f0.us-east-1.aws.found.io/app/kibana#/discover/Steve-Slow-Train-Analysis-(2080s-and-2083s)?_g=(refreshInterval:(display:Off,pause:!f,section:0,value:0),time:(from:'2017-06-15T09:36:57-0600',mode:absolute,to:'2017-06-15T11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97" t="str">
        <f>IF(AA175&lt;VLOOKUP(AG175,Variables!$AC$3:$AD$8,2,FALSE),"Y","N")</f>
        <v>N</v>
      </c>
      <c r="X175" s="197">
        <f t="shared" si="112"/>
        <v>1</v>
      </c>
      <c r="Y175" s="197">
        <f t="shared" si="106"/>
        <v>5.8601999999999999</v>
      </c>
      <c r="Z175" s="197">
        <f t="shared" si="107"/>
        <v>6.9400000000000003E-2</v>
      </c>
      <c r="AA175" s="197">
        <f t="shared" si="108"/>
        <v>5.7907999999999999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109"/>
        <v>816</v>
      </c>
      <c r="AE175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75" s="74" t="str">
        <f t="shared" si="80"/>
        <v>"C:\Program Files (x86)\AstroGrep\AstroGrep.exe" /e /r /s /spath="%USERPROFILE%\AppData\Local\Temp\OnboardLogs" /stypes="app*4013*20170615*" /stext=" 16:.+((SYSTEM_STATE.+slice.+state.+changed )|(ment ac)|(multiple cpu faults)|(system.+state.+changed )|(\[timeout)|(PRM\|1\|D)|(kpr)|(kdp)|(train st.+moving)|(\|lc)|(penalty))"</v>
      </c>
      <c r="AG175" s="209" t="str">
        <f t="shared" si="110"/>
        <v>NW</v>
      </c>
      <c r="AH175" s="78" t="str">
        <f t="shared" si="67"/>
        <v>"%USERPROFILE%\Documents\GitHub\eaglep3\Utilities\RefineRTDCRunTimes.py" --tripid 816-15 --locoid 4013 --swversion DE.1.0.9.0 --startMP 300:58602 --initTime 2017-06-15T10:36:57 --startdatetime 2017-06-15T10:39:28 --delay 1 --endMP 204:694 --enddatetime 2017-06-15T10:59:53 --enforcementcount 0 &gt;&gt;C:\Users\stu\Documents\GitHub\eaglep3-reporting\EC\2017-06-15-refined-times.txt</v>
      </c>
      <c r="AI175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{"issue":{"subject":"","project_id":79,"tracker_id":40,"status_id":1,"priority_id":2,"assigned_to_id":23,"start_date":"2017-06-15","description":"","custom_fields":[{"id":1,"name":"Subdivision","value":"NW"},{"id":4,"name":"Milepost","value":"0.0694"},{"id":17,"name":"Train ID","value":"816-15"},{"id":16,"name":"Locomotive ID","value":"4013"},{"id":130,"name":"Impact","value":""},{"id":150,"name":"Time of Event (Mountain Time)","value":"10:59:53"},{"id":151,"name":"Denver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9"/>
        <v>start /low /b %USERPROFILE%\Documents\GitHub\eaglep3\Utilities\DownloadLogsFromS3.py --loco 4013 --day 2017-06-15</v>
      </c>
      <c r="AN175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16:59:53"},{"id":29,"name":"Sharepoint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735</v>
      </c>
      <c r="B176" s="7">
        <v>4014</v>
      </c>
      <c r="C176" s="21" t="s">
        <v>202</v>
      </c>
      <c r="D176" s="21" t="s">
        <v>604</v>
      </c>
      <c r="E176" s="13">
        <v>42901.460844907408</v>
      </c>
      <c r="F176" s="13">
        <v>42901.473124999997</v>
      </c>
      <c r="G176" s="7">
        <v>1</v>
      </c>
      <c r="H176" s="21" t="s">
        <v>959</v>
      </c>
      <c r="I176" s="13">
        <v>42901.484837962962</v>
      </c>
      <c r="J176" s="7">
        <v>0</v>
      </c>
      <c r="K176" s="89" t="str">
        <f t="shared" si="101"/>
        <v>4013/4014</v>
      </c>
      <c r="L176" s="21" t="str">
        <f>VLOOKUP(A176,'Trips&amp;Operators'!$C$1:$G$99999,5,FALSE)</f>
        <v>YANG JAN</v>
      </c>
      <c r="M176" s="6">
        <f t="shared" si="102"/>
        <v>1.1712962965248153E-2</v>
      </c>
      <c r="N176" s="7">
        <f t="shared" si="103"/>
        <v>16.86666666995734</v>
      </c>
      <c r="O176" s="7"/>
      <c r="P176" s="7"/>
      <c r="Q176" s="22"/>
      <c r="R176" s="170"/>
      <c r="S176" s="213">
        <f t="shared" si="104"/>
        <v>1</v>
      </c>
      <c r="T176" s="195" t="str">
        <f t="shared" si="105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74"/>
        <v>https://d0f6bd738d7f1b3e5a7ca70fe4ff75f0.us-east-1.aws.found.io/app/kibana#/discover/Steve-Slow-Train-Analysis-(2080s-and-2083s)?_g=(refreshInterval:(display:Off,pause:!f,section:0,value:0),time:(from:'2017-06-15T10:03:37-0600',mode:absolute,to:'2017-06-15T12:38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97" t="str">
        <f>IF(AA176&lt;VLOOKUP(AG176,Variables!$AC$3:$AD$8,2,FALSE),"Y","N")</f>
        <v>N</v>
      </c>
      <c r="X176" s="197">
        <f t="shared" si="112"/>
        <v>1</v>
      </c>
      <c r="Y176" s="197">
        <f t="shared" si="106"/>
        <v>9.8799999999999999E-2</v>
      </c>
      <c r="Z176" s="197">
        <f t="shared" si="107"/>
        <v>5.8924000000000003</v>
      </c>
      <c r="AA176" s="197">
        <f t="shared" si="108"/>
        <v>5.7936000000000005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109"/>
        <v>817</v>
      </c>
      <c r="AE176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76" s="74" t="str">
        <f t="shared" si="80"/>
        <v>"C:\Program Files (x86)\AstroGrep\AstroGrep.exe" /e /r /s /spath="%USERPROFILE%\AppData\Local\Temp\OnboardLogs" /stypes="app*4014*20170615*" /stext=" 17:.+((SYSTEM_STATE.+slice.+state.+changed )|(ment ac)|(multiple cpu faults)|(system.+state.+changed )|(\[timeout)|(PRM\|1\|D)|(kpr)|(kdp)|(train st.+moving)|(\|lc)|(penalty))"</v>
      </c>
      <c r="AG176" s="209" t="str">
        <f t="shared" si="110"/>
        <v>NW</v>
      </c>
      <c r="AH176" s="78" t="str">
        <f t="shared" si="67"/>
        <v>"%USERPROFILE%\Documents\GitHub\eaglep3\Utilities\RefineRTDCRunTimes.py" --tripid 817-15 --locoid 4014 --swversion DE.1.0.9.0 --startMP 204:988 --initTime 2017-06-15T11:03:37 --startdatetime 2017-06-15T11:21:18 --delay 1 --endMP 300:58924 --enddatetime 2017-06-15T11:38:10 --enforcementcount 0 &gt;&gt;C:\Users\stu\Documents\GitHub\eaglep3-reporting\EC\2017-06-15-refined-times.txt</v>
      </c>
      <c r="AI176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{"issue":{"subject":"","project_id":79,"tracker_id":40,"status_id":1,"priority_id":2,"assigned_to_id":23,"start_date":"2017-06-15","description":"","custom_fields":[{"id":1,"name":"Subdivision","value":"NW"},{"id":4,"name":"Milepost","value":"5.8924"},{"id":17,"name":"Train ID","value":"817-15"},{"id":16,"name":"Locomotive ID","value":"4014"},{"id":130,"name":"Impact","value":""},{"id":150,"name":"Time of Event (Mountain Time)","value":"11:38:10"},{"id":151,"name":"Denver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9"/>
        <v>start /low /b %USERPROFILE%\Documents\GitHub\eaglep3\Utilities\DownloadLogsFromS3.py --loco 4014 --day 2017-06-15</v>
      </c>
      <c r="AN176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17:38:10"},{"id":29,"name":"Sharepoint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744</v>
      </c>
      <c r="B177" s="7">
        <v>4013</v>
      </c>
      <c r="C177" s="21" t="s">
        <v>202</v>
      </c>
      <c r="D177" s="21" t="s">
        <v>960</v>
      </c>
      <c r="E177" s="13">
        <v>42901.48636574074</v>
      </c>
      <c r="F177" s="13">
        <v>42901.487800925926</v>
      </c>
      <c r="G177" s="7">
        <v>1</v>
      </c>
      <c r="H177" s="21" t="s">
        <v>601</v>
      </c>
      <c r="I177" s="13">
        <v>42901.496967592589</v>
      </c>
      <c r="J177" s="7">
        <v>0</v>
      </c>
      <c r="K177" s="89" t="str">
        <f t="shared" si="101"/>
        <v>4013/4014</v>
      </c>
      <c r="L177" s="21" t="str">
        <f>VLOOKUP(A177,'Trips&amp;Operators'!$C$1:$G$99999,5,FALSE)</f>
        <v>YANG JAN</v>
      </c>
      <c r="M177" s="6">
        <f t="shared" si="102"/>
        <v>9.1666666630771942E-3</v>
      </c>
      <c r="N177" s="7">
        <f t="shared" si="103"/>
        <v>13.19999999483116</v>
      </c>
      <c r="O177" s="7"/>
      <c r="P177" s="7"/>
      <c r="Q177" s="22"/>
      <c r="R177" s="170"/>
      <c r="S177" s="213">
        <f t="shared" si="104"/>
        <v>1</v>
      </c>
      <c r="T177" s="195" t="str">
        <f t="shared" si="105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74"/>
        <v>https://d0f6bd738d7f1b3e5a7ca70fe4ff75f0.us-east-1.aws.found.io/app/kibana#/discover/Steve-Slow-Train-Analysis-(2080s-and-2083s)?_g=(refreshInterval:(display:Off,pause:!f,section:0,value:0),time:(from:'2017-06-15T10:40:22-0600',mode:absolute,to:'2017-06-15T12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97" t="str">
        <f>IF(AA177&lt;VLOOKUP(AG177,Variables!$AC$3:$AD$8,2,FALSE),"Y","N")</f>
        <v>N</v>
      </c>
      <c r="X177" s="197">
        <f t="shared" si="112"/>
        <v>1</v>
      </c>
      <c r="Y177" s="197">
        <f t="shared" si="106"/>
        <v>5.8605999999999998</v>
      </c>
      <c r="Z177" s="197">
        <f t="shared" si="107"/>
        <v>6.9099999999999995E-2</v>
      </c>
      <c r="AA177" s="197">
        <f t="shared" si="108"/>
        <v>5.7915000000000001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109"/>
        <v>818</v>
      </c>
      <c r="AE177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77" s="74" t="str">
        <f t="shared" si="80"/>
        <v>"C:\Program Files (x86)\AstroGrep\AstroGrep.exe" /e /r /s /spath="%USERPROFILE%\AppData\Local\Temp\OnboardLogs" /stypes="app*4013*20170615*" /stext=" 17:.+((SYSTEM_STATE.+slice.+state.+changed )|(ment ac)|(multiple cpu faults)|(system.+state.+changed )|(\[timeout)|(PRM\|1\|D)|(kpr)|(kdp)|(train st.+moving)|(\|lc)|(penalty))"</v>
      </c>
      <c r="AG177" s="209" t="str">
        <f t="shared" si="110"/>
        <v>NW</v>
      </c>
      <c r="AH177" s="78" t="str">
        <f t="shared" si="67"/>
        <v>"%USERPROFILE%\Documents\GitHub\eaglep3\Utilities\RefineRTDCRunTimes.py" --tripid 818-15 --locoid 4013 --swversion DE.1.0.9.0 --startMP 300:58606 --initTime 2017-06-15T11:40:22 --startdatetime 2017-06-15T11:42:26 --delay 1 --endMP 204:691 --enddatetime 2017-06-15T11:55:38 --enforcementcount 0 &gt;&gt;C:\Users\stu\Documents\GitHub\eaglep3-reporting\EC\2017-06-15-refined-times.txt</v>
      </c>
      <c r="AI177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{"issue":{"subject":"","project_id":79,"tracker_id":40,"status_id":1,"priority_id":2,"assigned_to_id":23,"start_date":"2017-06-15","description":"","custom_fields":[{"id":1,"name":"Subdivision","value":"NW"},{"id":4,"name":"Milepost","value":"0.0691"},{"id":17,"name":"Train ID","value":"818-15"},{"id":16,"name":"Locomotive ID","value":"4013"},{"id":130,"name":"Impact","value":""},{"id":150,"name":"Time of Event (Mountain Time)","value":"11:55:38"},{"id":151,"name":"Denver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9"/>
        <v>start /low /b %USERPROFILE%\Documents\GitHub\eaglep3\Utilities\DownloadLogsFromS3.py --loco 4013 --day 2017-06-15</v>
      </c>
      <c r="AN177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750</v>
      </c>
      <c r="B178" s="7">
        <v>4014</v>
      </c>
      <c r="C178" s="21" t="s">
        <v>202</v>
      </c>
      <c r="D178" s="21" t="s">
        <v>956</v>
      </c>
      <c r="E178" s="13">
        <v>42901.507187499999</v>
      </c>
      <c r="F178" s="13">
        <v>42901.514803240738</v>
      </c>
      <c r="G178" s="7">
        <v>0</v>
      </c>
      <c r="H178" s="21" t="s">
        <v>955</v>
      </c>
      <c r="I178" s="13">
        <v>42901.524456018517</v>
      </c>
      <c r="J178" s="7">
        <v>0</v>
      </c>
      <c r="K178" s="89" t="str">
        <f t="shared" si="101"/>
        <v>4013/4014</v>
      </c>
      <c r="L178" s="21" t="str">
        <f>VLOOKUP(A178,'Trips&amp;Operators'!$C$1:$G$99999,5,FALSE)</f>
        <v>YANG JAN</v>
      </c>
      <c r="M178" s="6">
        <f t="shared" si="102"/>
        <v>9.6527777786832303E-3</v>
      </c>
      <c r="N178" s="7">
        <f t="shared" si="103"/>
        <v>13.900000001303852</v>
      </c>
      <c r="O178" s="7"/>
      <c r="P178" s="7"/>
      <c r="Q178" s="22"/>
      <c r="R178" s="170"/>
      <c r="S178" s="213">
        <f t="shared" si="104"/>
        <v>1</v>
      </c>
      <c r="T178" s="195" t="str">
        <f t="shared" si="105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74"/>
        <v>https://d0f6bd738d7f1b3e5a7ca70fe4ff75f0.us-east-1.aws.found.io/app/kibana#/discover/Steve-Slow-Train-Analysis-(2080s-and-2083s)?_g=(refreshInterval:(display:Off,pause:!f,section:0,value:0),time:(from:'2017-06-15T11:10:21-0600',mode:absolute,to:'2017-06-15T13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97" t="str">
        <f>IF(AA178&lt;VLOOKUP(AG178,Variables!$AC$3:$AD$8,2,FALSE),"Y","N")</f>
        <v>N</v>
      </c>
      <c r="X178" s="197">
        <f t="shared" si="112"/>
        <v>1</v>
      </c>
      <c r="Y178" s="197">
        <f t="shared" si="106"/>
        <v>9.7199999999999995E-2</v>
      </c>
      <c r="Z178" s="197">
        <f t="shared" si="107"/>
        <v>5.8917999999999999</v>
      </c>
      <c r="AA178" s="197">
        <f t="shared" si="108"/>
        <v>5.7946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109"/>
        <v>819</v>
      </c>
      <c r="AE178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78" s="74" t="str">
        <f t="shared" si="80"/>
        <v>"C:\Program Files (x86)\AstroGrep\AstroGrep.exe" /e /r /s /spath="%USERPROFILE%\AppData\Local\Temp\OnboardLogs" /stypes="app*4014*20170615*" /stext=" 18:.+((SYSTEM_STATE.+slice.+state.+changed )|(ment ac)|(multiple cpu faults)|(system.+state.+changed )|(\[timeout)|(PRM\|1\|D)|(kpr)|(kdp)|(train st.+moving)|(\|lc)|(penalty))"</v>
      </c>
      <c r="AG178" s="209" t="str">
        <f t="shared" si="110"/>
        <v>NW</v>
      </c>
      <c r="AH178" s="78" t="str">
        <f t="shared" si="67"/>
        <v>"%USERPROFILE%\Documents\GitHub\eaglep3\Utilities\RefineRTDCRunTimes.py" --tripid 819-15 --locoid 4014 --swversion DE.1.0.9.0 --startMP 204:972 --initTime 2017-06-15T12:10:21 --startdatetime 2017-06-15T12:21:19 --delay 0 --endMP 300:58918 --enddatetime 2017-06-15T12:35:13 --enforcementcount 0 &gt;&gt;C:\Users\stu\Documents\GitHub\eaglep3-reporting\EC\2017-06-15-refined-times.txt</v>
      </c>
      <c r="AI178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{"issue":{"subject":"","project_id":79,"tracker_id":40,"status_id":1,"priority_id":2,"assigned_to_id":23,"start_date":"2017-06-15","description":"","custom_fields":[{"id":1,"name":"Subdivision","value":"NW"},{"id":4,"name":"Milepost","value":"5.8918"},{"id":17,"name":"Train ID","value":"819-15"},{"id":16,"name":"Locomotive ID","value":"4014"},{"id":130,"name":"Impact","value":""},{"id":150,"name":"Time of Event (Mountain Time)","value":"12:35:13"},{"id":151,"name":"Denver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9"/>
        <v>start /low /b %USERPROFILE%\Documents\GitHub\eaglep3\Utilities\DownloadLogsFromS3.py --loco 4014 --day 2017-06-15</v>
      </c>
      <c r="AN178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x14ac:dyDescent="0.25">
      <c r="A179" s="32" t="s">
        <v>752</v>
      </c>
      <c r="B179" s="7">
        <v>4013</v>
      </c>
      <c r="C179" s="21" t="s">
        <v>202</v>
      </c>
      <c r="D179" s="21" t="s">
        <v>938</v>
      </c>
      <c r="E179" s="13">
        <v>42901.527071759258</v>
      </c>
      <c r="F179" s="13">
        <v>42901.528240740743</v>
      </c>
      <c r="G179" s="7">
        <v>1</v>
      </c>
      <c r="H179" s="21" t="s">
        <v>961</v>
      </c>
      <c r="I179" s="13">
        <v>42901.537962962961</v>
      </c>
      <c r="J179" s="7">
        <v>0</v>
      </c>
      <c r="K179" s="89" t="str">
        <f t="shared" si="101"/>
        <v>4013/4014</v>
      </c>
      <c r="L179" s="21" t="str">
        <f>VLOOKUP(A179,'Trips&amp;Operators'!$C$1:$G$99999,5,FALSE)</f>
        <v>YANG JAN</v>
      </c>
      <c r="M179" s="6">
        <f t="shared" si="102"/>
        <v>9.7222222175332718E-3</v>
      </c>
      <c r="N179" s="7">
        <f t="shared" si="103"/>
        <v>13.999999993247911</v>
      </c>
      <c r="O179" s="7"/>
      <c r="P179" s="7"/>
      <c r="Q179" s="22"/>
      <c r="R179" s="170"/>
      <c r="S179" s="213">
        <f t="shared" si="104"/>
        <v>1</v>
      </c>
      <c r="T179" s="195" t="str">
        <f t="shared" si="105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74"/>
        <v>https://d0f6bd738d7f1b3e5a7ca70fe4ff75f0.us-east-1.aws.found.io/app/kibana#/discover/Steve-Slow-Train-Analysis-(2080s-and-2083s)?_g=(refreshInterval:(display:Off,pause:!f,section:0,value:0),time:(from:'2017-06-15T11:38:59-0600',mode:absolute,to:'2017-06-15T13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97" t="str">
        <f>IF(AA179&lt;VLOOKUP(AG179,Variables!$AC$3:$AD$8,2,FALSE),"Y","N")</f>
        <v>N</v>
      </c>
      <c r="X179" s="197">
        <f t="shared" si="112"/>
        <v>1</v>
      </c>
      <c r="Y179" s="197">
        <f t="shared" si="106"/>
        <v>5.8604000000000003</v>
      </c>
      <c r="Z179" s="197">
        <f t="shared" si="107"/>
        <v>6.8500000000000005E-2</v>
      </c>
      <c r="AA179" s="197">
        <f t="shared" si="108"/>
        <v>5.7919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109"/>
        <v>820</v>
      </c>
      <c r="AE179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79" s="74" t="str">
        <f t="shared" si="80"/>
        <v>"C:\Program Files (x86)\AstroGrep\AstroGrep.exe" /e /r /s /spath="%USERPROFILE%\AppData\Local\Temp\OnboardLogs" /stypes="app*4013*20170615*" /stext=" 18:.+((SYSTEM_STATE.+slice.+state.+changed )|(ment ac)|(multiple cpu faults)|(system.+state.+changed )|(\[timeout)|(PRM\|1\|D)|(kpr)|(kdp)|(train st.+moving)|(\|lc)|(penalty))"</v>
      </c>
      <c r="AG179" s="209" t="str">
        <f t="shared" si="110"/>
        <v>NW</v>
      </c>
      <c r="AH179" s="78" t="str">
        <f t="shared" si="67"/>
        <v>"%USERPROFILE%\Documents\GitHub\eaglep3\Utilities\RefineRTDCRunTimes.py" --tripid 820-15 --locoid 4013 --swversion DE.1.0.9.0 --startMP 300:58604 --initTime 2017-06-15T12:38:59 --startdatetime 2017-06-15T12:40:40 --delay 1 --endMP 204:685 --enddatetime 2017-06-15T12:54:40 --enforcementcount 0 &gt;&gt;C:\Users\stu\Documents\GitHub\eaglep3-reporting\EC\2017-06-15-refined-times.txt</v>
      </c>
      <c r="AI179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{"issue":{"subject":"","project_id":79,"tracker_id":40,"status_id":1,"priority_id":2,"assigned_to_id":23,"start_date":"2017-06-15","description":"","custom_fields":[{"id":1,"name":"Subdivision","value":"NW"},{"id":4,"name":"Milepost","value":"0.0685"},{"id":17,"name":"Train ID","value":"820-15"},{"id":16,"name":"Locomotive ID","value":"4013"},{"id":130,"name":"Impact","value":""},{"id":150,"name":"Time of Event (Mountain Time)","value":"12:54:40"},{"id":151,"name":"Denver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2" t="str">
        <f t="shared" si="69"/>
        <v>start /low /b %USERPROFILE%\Documents\GitHub\eaglep3\Utilities\DownloadLogsFromS3.py --loco 4013 --day 2017-06-15</v>
      </c>
      <c r="AN179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18:54:40"},{"id":29,"name":"Sharepoint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</row>
    <row r="180" spans="1:91" x14ac:dyDescent="0.25">
      <c r="A180" s="32" t="s">
        <v>636</v>
      </c>
      <c r="B180" s="7">
        <v>4014</v>
      </c>
      <c r="C180" s="21" t="s">
        <v>202</v>
      </c>
      <c r="D180" s="21" t="s">
        <v>538</v>
      </c>
      <c r="E180" s="13">
        <v>42901.541284722225</v>
      </c>
      <c r="F180" s="13">
        <v>42901.556597222225</v>
      </c>
      <c r="G180" s="7">
        <v>1</v>
      </c>
      <c r="H180" s="21" t="s">
        <v>937</v>
      </c>
      <c r="I180" s="13">
        <v>42901.569953703707</v>
      </c>
      <c r="J180" s="7">
        <v>0</v>
      </c>
      <c r="K180" s="89" t="str">
        <f t="shared" si="101"/>
        <v>4013/4014</v>
      </c>
      <c r="L180" s="21" t="str">
        <f>VLOOKUP(A180,'Trips&amp;Operators'!$C$1:$G$99999,5,FALSE)</f>
        <v>STAMBAUGH JAMES</v>
      </c>
      <c r="M180" s="6">
        <f t="shared" si="102"/>
        <v>1.3356481482333038E-2</v>
      </c>
      <c r="N180" s="7">
        <f t="shared" si="103"/>
        <v>19.233333334559575</v>
      </c>
      <c r="O180" s="7"/>
      <c r="P180" s="7"/>
      <c r="Q180" s="22"/>
      <c r="R180" s="170"/>
      <c r="S180" s="213">
        <f t="shared" si="104"/>
        <v>1</v>
      </c>
      <c r="T180" s="195" t="str">
        <f t="shared" si="105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74"/>
        <v>https://d0f6bd738d7f1b3e5a7ca70fe4ff75f0.us-east-1.aws.found.io/app/kibana#/discover/Steve-Slow-Train-Analysis-(2080s-and-2083s)?_g=(refreshInterval:(display:Off,pause:!f,section:0,value:0),time:(from:'2017-06-15T11:59:27-0600',mode:absolute,to:'2017-06-15T14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97" t="str">
        <f>IF(AA180&lt;VLOOKUP(AG180,Variables!$AC$3:$AD$8,2,FALSE),"Y","N")</f>
        <v>N</v>
      </c>
      <c r="X180" s="197">
        <f t="shared" si="112"/>
        <v>1</v>
      </c>
      <c r="Y180" s="197">
        <f t="shared" si="106"/>
        <v>9.8100000000000007E-2</v>
      </c>
      <c r="Z180" s="197">
        <f t="shared" si="107"/>
        <v>5.8916000000000004</v>
      </c>
      <c r="AA180" s="197">
        <f t="shared" si="108"/>
        <v>5.7935000000000008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109"/>
        <v>821</v>
      </c>
      <c r="AE180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80" s="74" t="str">
        <f t="shared" si="80"/>
        <v>"C:\Program Files (x86)\AstroGrep\AstroGrep.exe" /e /r /s /spath="%USERPROFILE%\AppData\Local\Temp\OnboardLogs" /stypes="app*4014*20170615*" /stext=" 19:.+((SYSTEM_STATE.+slice.+state.+changed )|(ment ac)|(multiple cpu faults)|(system.+state.+changed )|(\[timeout)|(PRM\|1\|D)|(kpr)|(kdp)|(train st.+moving)|(\|lc)|(penalty))"</v>
      </c>
      <c r="AG180" s="209" t="str">
        <f t="shared" si="110"/>
        <v>NW</v>
      </c>
      <c r="AH180" s="78" t="str">
        <f t="shared" si="67"/>
        <v>"%USERPROFILE%\Documents\GitHub\eaglep3\Utilities\RefineRTDCRunTimes.py" --tripid 821-15 --locoid 4014 --swversion DE.1.0.9.0 --startMP 204:981 --initTime 2017-06-15T12:59:27 --startdatetime 2017-06-15T13:21:30 --delay 1 --endMP 300:58916 --enddatetime 2017-06-15T13:40:44 --enforcementcount 0 &gt;&gt;C:\Users\stu\Documents\GitHub\eaglep3-reporting\EC\2017-06-15-refined-times.txt</v>
      </c>
      <c r="AI180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{"issue":{"subject":"","project_id":79,"tracker_id":40,"status_id":1,"priority_id":2,"assigned_to_id":23,"start_date":"2017-06-15","description":"","custom_fields":[{"id":1,"name":"Subdivision","value":"NW"},{"id":4,"name":"Milepost","value":"5.8916"},{"id":17,"name":"Train ID","value":"821-15"},{"id":16,"name":"Locomotive ID","value":"4014"},{"id":130,"name":"Impact","value":""},{"id":150,"name":"Time of Event (Mountain Time)","value":"13:40:44"},{"id":151,"name":"Denver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69"/>
        <v>start /low /b %USERPROFILE%\Documents\GitHub\eaglep3\Utilities\DownloadLogsFromS3.py --loco 4014 --day 2017-06-15</v>
      </c>
      <c r="AN180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19:40:44"},{"id":29,"name":"Sharepoint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637</v>
      </c>
      <c r="B181" s="7">
        <v>4013</v>
      </c>
      <c r="C181" s="21" t="s">
        <v>202</v>
      </c>
      <c r="D181" s="21" t="s">
        <v>957</v>
      </c>
      <c r="E181" s="13">
        <v>42901.571388888886</v>
      </c>
      <c r="F181" s="13">
        <v>42901.572974537034</v>
      </c>
      <c r="G181" s="7">
        <v>1</v>
      </c>
      <c r="H181" s="21" t="s">
        <v>603</v>
      </c>
      <c r="I181" s="13">
        <v>42901.58284722222</v>
      </c>
      <c r="J181" s="7">
        <v>0</v>
      </c>
      <c r="K181" s="89" t="str">
        <f t="shared" si="101"/>
        <v>4013/4014</v>
      </c>
      <c r="L181" s="21" t="str">
        <f>VLOOKUP(A181,'Trips&amp;Operators'!$C$1:$G$99999,5,FALSE)</f>
        <v>STAMBAUGH JAMES</v>
      </c>
      <c r="M181" s="6">
        <f t="shared" si="102"/>
        <v>9.8726851865649223E-3</v>
      </c>
      <c r="N181" s="7">
        <f t="shared" si="103"/>
        <v>14.216666668653488</v>
      </c>
      <c r="O181" s="7"/>
      <c r="P181" s="7"/>
      <c r="Q181" s="22"/>
      <c r="R181" s="170"/>
      <c r="S181" s="213">
        <f t="shared" si="104"/>
        <v>1</v>
      </c>
      <c r="T181" s="195" t="str">
        <f t="shared" si="105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74"/>
        <v>https://d0f6bd738d7f1b3e5a7ca70fe4ff75f0.us-east-1.aws.found.io/app/kibana#/discover/Steve-Slow-Train-Analysis-(2080s-and-2083s)?_g=(refreshInterval:(display:Off,pause:!f,section:0,value:0),time:(from:'2017-06-15T12:42:48-0600',mode:absolute,to:'2017-06-15T14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97" t="str">
        <f>IF(AA181&lt;VLOOKUP(AG181,Variables!$AC$3:$AD$8,2,FALSE),"Y","N")</f>
        <v>N</v>
      </c>
      <c r="X181" s="197">
        <f t="shared" ref="X181:X212" si="113">VALUE(LEFT(AD181,4))-VALUE(LEFT(AD180,4))</f>
        <v>1</v>
      </c>
      <c r="Y181" s="197">
        <f t="shared" si="106"/>
        <v>5.8601999999999999</v>
      </c>
      <c r="Z181" s="197">
        <f t="shared" si="107"/>
        <v>6.5199999999999994E-2</v>
      </c>
      <c r="AA181" s="197">
        <f t="shared" si="108"/>
        <v>5.7949999999999999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109"/>
        <v>822</v>
      </c>
      <c r="AE181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81" s="74" t="str">
        <f t="shared" si="80"/>
        <v>"C:\Program Files (x86)\AstroGrep\AstroGrep.exe" /e /r /s /spath="%USERPROFILE%\AppData\Local\Temp\OnboardLogs" /stypes="app*4013*20170615*" /stext=" 19:.+((SYSTEM_STATE.+slice.+state.+changed )|(ment ac)|(multiple cpu faults)|(system.+state.+changed )|(\[timeout)|(PRM\|1\|D)|(kpr)|(kdp)|(train st.+moving)|(\|lc)|(penalty))"</v>
      </c>
      <c r="AG181" s="209" t="str">
        <f t="shared" si="110"/>
        <v>NW</v>
      </c>
      <c r="AH181" s="78" t="str">
        <f t="shared" si="67"/>
        <v>"%USERPROFILE%\Documents\GitHub\eaglep3\Utilities\RefineRTDCRunTimes.py" --tripid 822-15 --locoid 4013 --swversion DE.1.0.9.0 --startMP 300:58602 --initTime 2017-06-15T13:42:48 --startdatetime 2017-06-15T13:45:05 --delay 1 --endMP 204:652 --enddatetime 2017-06-15T13:59:18 --enforcementcount 0 &gt;&gt;C:\Users\stu\Documents\GitHub\eaglep3-reporting\EC\2017-06-15-refined-times.txt</v>
      </c>
      <c r="AI181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{"issue":{"subject":"","project_id":79,"tracker_id":40,"status_id":1,"priority_id":2,"assigned_to_id":23,"start_date":"2017-06-15","description":"","custom_fields":[{"id":1,"name":"Subdivision","value":"NW"},{"id":4,"name":"Milepost","value":"0.0652"},{"id":17,"name":"Train ID","value":"822-15"},{"id":16,"name":"Locomotive ID","value":"4013"},{"id":130,"name":"Impact","value":""},{"id":150,"name":"Time of Event (Mountain Time)","value":"13:59:18"},{"id":151,"name":"Denver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9"/>
        <v>start /low /b %USERPROFILE%\Documents\GitHub\eaglep3\Utilities\DownloadLogsFromS3.py --loco 4013 --day 2017-06-15</v>
      </c>
      <c r="AN181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19:59:18"},{"id":29,"name":"Sharepoint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765</v>
      </c>
      <c r="B182" s="7">
        <v>4014</v>
      </c>
      <c r="C182" s="21" t="s">
        <v>202</v>
      </c>
      <c r="D182" s="21" t="s">
        <v>962</v>
      </c>
      <c r="E182" s="13">
        <v>42901.584027777775</v>
      </c>
      <c r="F182" s="13">
        <v>42901.598136574074</v>
      </c>
      <c r="G182" s="7">
        <v>1</v>
      </c>
      <c r="H182" s="21" t="s">
        <v>963</v>
      </c>
      <c r="I182" s="13">
        <v>42901.606932870367</v>
      </c>
      <c r="J182" s="7">
        <v>0</v>
      </c>
      <c r="K182" s="89" t="str">
        <f t="shared" si="101"/>
        <v>4013/4014</v>
      </c>
      <c r="L182" s="21" t="str">
        <f>VLOOKUP(A182,'Trips&amp;Operators'!$C$1:$G$99999,5,FALSE)</f>
        <v>STAMBAUGH JAMES</v>
      </c>
      <c r="M182" s="6">
        <f t="shared" si="102"/>
        <v>8.7962962934398092E-3</v>
      </c>
      <c r="N182" s="7">
        <f t="shared" si="103"/>
        <v>12.666666662553325</v>
      </c>
      <c r="O182" s="7"/>
      <c r="P182" s="7"/>
      <c r="Q182" s="22"/>
      <c r="R182" s="170"/>
      <c r="S182" s="213">
        <f t="shared" si="104"/>
        <v>1</v>
      </c>
      <c r="T182" s="195" t="str">
        <f t="shared" si="105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74"/>
        <v>https://d0f6bd738d7f1b3e5a7ca70fe4ff75f0.us-east-1.aws.found.io/app/kibana#/discover/Steve-Slow-Train-Analysis-(2080s-and-2083s)?_g=(refreshInterval:(display:Off,pause:!f,section:0,value:0),time:(from:'2017-06-15T13:01:00-0600',mode:absolute,to:'2017-06-15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97" t="str">
        <f>IF(AA182&lt;VLOOKUP(AG182,Variables!$AC$3:$AD$8,2,FALSE),"Y","N")</f>
        <v>N</v>
      </c>
      <c r="X182" s="197">
        <f t="shared" si="113"/>
        <v>1</v>
      </c>
      <c r="Y182" s="197">
        <f t="shared" si="106"/>
        <v>9.2899999999999996E-2</v>
      </c>
      <c r="Z182" s="197">
        <f t="shared" si="107"/>
        <v>5.8933</v>
      </c>
      <c r="AA182" s="197">
        <f t="shared" si="108"/>
        <v>5.8003999999999998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109"/>
        <v>823</v>
      </c>
      <c r="AE182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82" s="74" t="str">
        <f t="shared" si="80"/>
        <v>"C:\Program Files (x86)\AstroGrep\AstroGrep.exe" /e /r /s /spath="%USERPROFILE%\AppData\Local\Temp\OnboardLogs" /stypes="app*4014*20170615*" /stext=" 20:.+((SYSTEM_STATE.+slice.+state.+changed )|(ment ac)|(multiple cpu faults)|(system.+state.+changed )|(\[timeout)|(PRM\|1\|D)|(kpr)|(kdp)|(train st.+moving)|(\|lc)|(penalty))"</v>
      </c>
      <c r="AG182" s="209" t="str">
        <f t="shared" si="110"/>
        <v>NW</v>
      </c>
      <c r="AH182" s="78" t="str">
        <f t="shared" si="67"/>
        <v>"%USERPROFILE%\Documents\GitHub\eaglep3\Utilities\RefineRTDCRunTimes.py" --tripid 823-15 --locoid 4014 --swversion DE.1.0.9.0 --startMP 204:929 --initTime 2017-06-15T14:01:00 --startdatetime 2017-06-15T14:21:19 --delay 1 --endMP 300:58933 --enddatetime 2017-06-15T14:33:59 --enforcementcount 0 &gt;&gt;C:\Users\stu\Documents\GitHub\eaglep3-reporting\EC\2017-06-15-refined-times.txt</v>
      </c>
      <c r="AI182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{"issue":{"subject":"","project_id":79,"tracker_id":40,"status_id":1,"priority_id":2,"assigned_to_id":23,"start_date":"2017-06-15","description":"","custom_fields":[{"id":1,"name":"Subdivision","value":"NW"},{"id":4,"name":"Milepost","value":"5.8933"},{"id":17,"name":"Train ID","value":"823-15"},{"id":16,"name":"Locomotive ID","value":"4014"},{"id":130,"name":"Impact","value":""},{"id":150,"name":"Time of Event (Mountain Time)","value":"14:33:59"},{"id":151,"name":"Denver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9"/>
        <v>start /low /b %USERPROFILE%\Documents\GitHub\eaglep3\Utilities\DownloadLogsFromS3.py --loco 4014 --day 2017-06-15</v>
      </c>
      <c r="AN182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639</v>
      </c>
      <c r="B183" s="7">
        <v>4013</v>
      </c>
      <c r="C183" s="21" t="s">
        <v>202</v>
      </c>
      <c r="D183" s="21" t="s">
        <v>964</v>
      </c>
      <c r="E183" s="13">
        <v>42901.607824074075</v>
      </c>
      <c r="F183" s="13">
        <v>42901.609131944446</v>
      </c>
      <c r="G183" s="7">
        <v>1</v>
      </c>
      <c r="H183" s="21" t="s">
        <v>965</v>
      </c>
      <c r="I183" s="13">
        <v>42901.621782407405</v>
      </c>
      <c r="J183" s="7">
        <v>0</v>
      </c>
      <c r="K183" s="89" t="str">
        <f t="shared" si="101"/>
        <v>4013/4014</v>
      </c>
      <c r="L183" s="21" t="str">
        <f>VLOOKUP(A183,'Trips&amp;Operators'!$C$1:$G$99999,5,FALSE)</f>
        <v>STAMBAUGH JAMES</v>
      </c>
      <c r="M183" s="6">
        <f t="shared" si="102"/>
        <v>1.265046295884531E-2</v>
      </c>
      <c r="N183" s="7">
        <f t="shared" si="103"/>
        <v>18.216666660737246</v>
      </c>
      <c r="O183" s="7"/>
      <c r="P183" s="7"/>
      <c r="Q183" s="22"/>
      <c r="R183" s="170"/>
      <c r="S183" s="213">
        <f t="shared" si="104"/>
        <v>1</v>
      </c>
      <c r="T183" s="195" t="str">
        <f t="shared" si="105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74"/>
        <v>https://d0f6bd738d7f1b3e5a7ca70fe4ff75f0.us-east-1.aws.found.io/app/kibana#/discover/Steve-Slow-Train-Analysis-(2080s-and-2083s)?_g=(refreshInterval:(display:Off,pause:!f,section:0,value:0),time:(from:'2017-06-15T13:35:16-0600',mode:absolute,to:'2017-06-15T15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97" t="str">
        <f>IF(AA183&lt;VLOOKUP(AG183,Variables!$AC$3:$AD$8,2,FALSE),"Y","N")</f>
        <v>N</v>
      </c>
      <c r="X183" s="197">
        <f t="shared" si="113"/>
        <v>1</v>
      </c>
      <c r="Y183" s="197">
        <f t="shared" si="106"/>
        <v>5.8616999999999999</v>
      </c>
      <c r="Z183" s="197">
        <f t="shared" si="107"/>
        <v>6.7000000000000004E-2</v>
      </c>
      <c r="AA183" s="197">
        <f t="shared" si="108"/>
        <v>5.7946999999999997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109"/>
        <v>824</v>
      </c>
      <c r="AE183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83" s="74" t="str">
        <f t="shared" si="80"/>
        <v>"C:\Program Files (x86)\AstroGrep\AstroGrep.exe" /e /r /s /spath="%USERPROFILE%\AppData\Local\Temp\OnboardLogs" /stypes="app*4013*20170615*" /stext=" 20:.+((SYSTEM_STATE.+slice.+state.+changed )|(ment ac)|(multiple cpu faults)|(system.+state.+changed )|(\[timeout)|(PRM\|1\|D)|(kpr)|(kdp)|(train st.+moving)|(\|lc)|(penalty))"</v>
      </c>
      <c r="AG183" s="209" t="str">
        <f t="shared" si="110"/>
        <v>NW</v>
      </c>
      <c r="AH183" s="78" t="str">
        <f t="shared" si="67"/>
        <v>"%USERPROFILE%\Documents\GitHub\eaglep3\Utilities\RefineRTDCRunTimes.py" --tripid 824-15 --locoid 4013 --swversion DE.1.0.9.0 --startMP 300:58617 --initTime 2017-06-15T14:35:16 --startdatetime 2017-06-15T14:37:09 --delay 1 --endMP 204:670 --enddatetime 2017-06-15T14:55:22 --enforcementcount 0 &gt;&gt;C:\Users\stu\Documents\GitHub\eaglep3-reporting\EC\2017-06-15-refined-times.txt</v>
      </c>
      <c r="AI183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{"issue":{"subject":"","project_id":79,"tracker_id":40,"status_id":1,"priority_id":2,"assigned_to_id":23,"start_date":"2017-06-15","description":"","custom_fields":[{"id":1,"name":"Subdivision","value":"NW"},{"id":4,"name":"Milepost","value":"0.067"},{"id":17,"name":"Train ID","value":"824-15"},{"id":16,"name":"Locomotive ID","value":"4013"},{"id":130,"name":"Impact","value":""},{"id":150,"name":"Time of Event (Mountain Time)","value":"14:55:22"},{"id":151,"name":"Denver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9"/>
        <v>start /low /b %USERPROFILE%\Documents\GitHub\eaglep3\Utilities\DownloadLogsFromS3.py --loco 4013 --day 2017-06-15</v>
      </c>
      <c r="AN183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771</v>
      </c>
      <c r="B184" s="7">
        <v>4014</v>
      </c>
      <c r="C184" s="21" t="s">
        <v>202</v>
      </c>
      <c r="D184" s="21" t="s">
        <v>966</v>
      </c>
      <c r="E184" s="13">
        <v>42901.623611111114</v>
      </c>
      <c r="F184" s="13">
        <v>42901.63989583333</v>
      </c>
      <c r="G184" s="7">
        <v>0</v>
      </c>
      <c r="H184" s="21" t="s">
        <v>948</v>
      </c>
      <c r="I184" s="13">
        <v>42901.648831018516</v>
      </c>
      <c r="J184" s="7">
        <v>0</v>
      </c>
      <c r="K184" s="89" t="str">
        <f t="shared" si="101"/>
        <v>4013/4014</v>
      </c>
      <c r="L184" s="21" t="str">
        <f>VLOOKUP(A184,'Trips&amp;Operators'!$C$1:$G$99999,5,FALSE)</f>
        <v>STAMBAUGH JAMES</v>
      </c>
      <c r="M184" s="6">
        <f t="shared" si="102"/>
        <v>8.9351851856918074E-3</v>
      </c>
      <c r="N184" s="7">
        <f t="shared" si="103"/>
        <v>12.866666667396203</v>
      </c>
      <c r="O184" s="7"/>
      <c r="P184" s="7"/>
      <c r="Q184" s="22"/>
      <c r="R184" s="170"/>
      <c r="S184" s="213">
        <f t="shared" si="104"/>
        <v>1</v>
      </c>
      <c r="T184" s="195" t="str">
        <f t="shared" si="105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74"/>
        <v>https://d0f6bd738d7f1b3e5a7ca70fe4ff75f0.us-east-1.aws.found.io/app/kibana#/discover/Steve-Slow-Train-Analysis-(2080s-and-2083s)?_g=(refreshInterval:(display:Off,pause:!f,section:0,value:0),time:(from:'2017-06-15T13:58:00-0600',mode:absolute,to:'2017-06-15T16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197" t="str">
        <f>IF(AA184&lt;VLOOKUP(AG184,Variables!$AC$3:$AD$8,2,FALSE),"Y","N")</f>
        <v>N</v>
      </c>
      <c r="X184" s="197">
        <f t="shared" si="113"/>
        <v>1</v>
      </c>
      <c r="Y184" s="197">
        <f t="shared" si="106"/>
        <v>9.3200000000000005E-2</v>
      </c>
      <c r="Z184" s="197">
        <f t="shared" si="107"/>
        <v>5.8935000000000004</v>
      </c>
      <c r="AA184" s="197">
        <f t="shared" si="108"/>
        <v>5.8003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109"/>
        <v>825</v>
      </c>
      <c r="AE184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84" s="74" t="str">
        <f t="shared" si="80"/>
        <v>"C:\Program Files (x86)\AstroGrep\AstroGrep.exe" /e /r /s /spath="%USERPROFILE%\AppData\Local\Temp\OnboardLogs" /stypes="app*4014*20170615*" /stext=" 21:.+((SYSTEM_STATE.+slice.+state.+changed )|(ment ac)|(multiple cpu faults)|(system.+state.+changed )|(\[timeout)|(PRM\|1\|D)|(kpr)|(kdp)|(train st.+moving)|(\|lc)|(penalty))"</v>
      </c>
      <c r="AG184" s="209" t="str">
        <f t="shared" si="110"/>
        <v>NW</v>
      </c>
      <c r="AH184" s="78" t="str">
        <f t="shared" si="67"/>
        <v>"%USERPROFILE%\Documents\GitHub\eaglep3\Utilities\RefineRTDCRunTimes.py" --tripid 825-15 --locoid 4014 --swversion DE.1.0.9.0 --startMP 204:932 --initTime 2017-06-15T14:58:00 --startdatetime 2017-06-15T15:21:27 --delay 0 --endMP 300:58935 --enddatetime 2017-06-15T15:34:19 --enforcementcount 0 &gt;&gt;C:\Users\stu\Documents\GitHub\eaglep3-reporting\EC\2017-06-15-refined-times.txt</v>
      </c>
      <c r="AI184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{"issue":{"subject":"","project_id":79,"tracker_id":40,"status_id":1,"priority_id":2,"assigned_to_id":23,"start_date":"2017-06-15","description":"","custom_fields":[{"id":1,"name":"Subdivision","value":"NW"},{"id":4,"name":"Milepost","value":"5.8935"},{"id":17,"name":"Train ID","value":"825-15"},{"id":16,"name":"Locomotive ID","value":"4014"},{"id":130,"name":"Impact","value":""},{"id":150,"name":"Time of Event (Mountain Time)","value":"15:34:19"},{"id":151,"name":"Denver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9"/>
        <v>start /low /b %USERPROFILE%\Documents\GitHub\eaglep3\Utilities\DownloadLogsFromS3.py --loco 4014 --day 2017-06-15</v>
      </c>
      <c r="AN184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644</v>
      </c>
      <c r="B185" s="7">
        <v>4013</v>
      </c>
      <c r="C185" s="21" t="s">
        <v>202</v>
      </c>
      <c r="D185" s="21" t="s">
        <v>540</v>
      </c>
      <c r="E185" s="13">
        <v>42901.650671296295</v>
      </c>
      <c r="F185" s="13">
        <v>42901.652673611112</v>
      </c>
      <c r="G185" s="7">
        <v>1</v>
      </c>
      <c r="H185" s="21" t="s">
        <v>958</v>
      </c>
      <c r="I185" s="13">
        <v>42901.66333333333</v>
      </c>
      <c r="J185" s="7">
        <v>0</v>
      </c>
      <c r="K185" s="89" t="str">
        <f t="shared" si="101"/>
        <v>4013/4014</v>
      </c>
      <c r="L185" s="21" t="str">
        <f>VLOOKUP(A185,'Trips&amp;Operators'!$C$1:$G$99999,5,FALSE)</f>
        <v>STAMBAUGH JAMES</v>
      </c>
      <c r="M185" s="6">
        <f t="shared" si="102"/>
        <v>1.0659722218406387E-2</v>
      </c>
      <c r="N185" s="7">
        <f t="shared" si="103"/>
        <v>15.349999994505197</v>
      </c>
      <c r="O185" s="7"/>
      <c r="P185" s="7"/>
      <c r="Q185" s="22"/>
      <c r="R185" s="170"/>
      <c r="S185" s="213">
        <f t="shared" si="104"/>
        <v>1</v>
      </c>
      <c r="T185" s="195" t="str">
        <f t="shared" si="105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74"/>
        <v>https://d0f6bd738d7f1b3e5a7ca70fe4ff75f0.us-east-1.aws.found.io/app/kibana#/discover/Steve-Slow-Train-Analysis-(2080s-and-2083s)?_g=(refreshInterval:(display:Off,pause:!f,section:0,value:0),time:(from:'2017-06-15T14:36:58-0600',mode:absolute,to:'2017-06-15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197" t="str">
        <f>IF(AA185&lt;VLOOKUP(AG185,Variables!$AC$3:$AD$8,2,FALSE),"Y","N")</f>
        <v>N</v>
      </c>
      <c r="X185" s="197">
        <f t="shared" si="113"/>
        <v>1</v>
      </c>
      <c r="Y185" s="197">
        <f t="shared" si="106"/>
        <v>5.8623000000000003</v>
      </c>
      <c r="Z185" s="197">
        <f t="shared" si="107"/>
        <v>6.9400000000000003E-2</v>
      </c>
      <c r="AA185" s="197">
        <f t="shared" si="108"/>
        <v>5.7929000000000004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109"/>
        <v>826</v>
      </c>
      <c r="AE185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85" s="74" t="str">
        <f t="shared" si="80"/>
        <v>"C:\Program Files (x86)\AstroGrep\AstroGrep.exe" /e /r /s /spath="%USERPROFILE%\AppData\Local\Temp\OnboardLogs" /stypes="app*4013*20170615*" /stext=" 21:.+((SYSTEM_STATE.+slice.+state.+changed )|(ment ac)|(multiple cpu faults)|(system.+state.+changed )|(\[timeout)|(PRM\|1\|D)|(kpr)|(kdp)|(train st.+moving)|(\|lc)|(penalty))"</v>
      </c>
      <c r="AG185" s="209" t="str">
        <f t="shared" si="110"/>
        <v>NW</v>
      </c>
      <c r="AH185" s="78" t="str">
        <f t="shared" si="67"/>
        <v>"%USERPROFILE%\Documents\GitHub\eaglep3\Utilities\RefineRTDCRunTimes.py" --tripid 826-15 --locoid 4013 --swversion DE.1.0.9.0 --startMP 300:58623 --initTime 2017-06-15T15:36:58 --startdatetime 2017-06-15T15:39:51 --delay 1 --endMP 204:694 --enddatetime 2017-06-15T15:55:12 --enforcementcount 0 &gt;&gt;C:\Users\stu\Documents\GitHub\eaglep3-reporting\EC\2017-06-15-refined-times.txt</v>
      </c>
      <c r="AI185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{"issue":{"subject":"","project_id":79,"tracker_id":40,"status_id":1,"priority_id":2,"assigned_to_id":23,"start_date":"2017-06-15","description":"","custom_fields":[{"id":1,"name":"Subdivision","value":"NW"},{"id":4,"name":"Milepost","value":"0.0694"},{"id":17,"name":"Train ID","value":"826-15"},{"id":16,"name":"Locomotive ID","value":"4013"},{"id":130,"name":"Impact","value":""},{"id":150,"name":"Time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69"/>
        <v>start /low /b %USERPROFILE%\Documents\GitHub\eaglep3\Utilities\DownloadLogsFromS3.py --loco 4013 --day 2017-06-15</v>
      </c>
      <c r="AN185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775</v>
      </c>
      <c r="B186" s="7">
        <v>4058</v>
      </c>
      <c r="C186" s="21" t="s">
        <v>202</v>
      </c>
      <c r="D186" s="21" t="s">
        <v>936</v>
      </c>
      <c r="E186" s="13">
        <v>42901.644826388889</v>
      </c>
      <c r="F186" s="13">
        <v>42901.660925925928</v>
      </c>
      <c r="G186" s="7">
        <v>1</v>
      </c>
      <c r="H186" s="21" t="s">
        <v>967</v>
      </c>
      <c r="I186" s="13">
        <v>42901.671041666668</v>
      </c>
      <c r="J186" s="7">
        <v>0</v>
      </c>
      <c r="K186" s="89" t="str">
        <f t="shared" si="101"/>
        <v>4057/4058</v>
      </c>
      <c r="L186" s="21" t="str">
        <f>VLOOKUP(A186,'Trips&amp;Operators'!$C$1:$G$99999,5,FALSE)</f>
        <v>HAITHCOX MICHAEL</v>
      </c>
      <c r="M186" s="6">
        <f t="shared" si="102"/>
        <v>1.0115740740729962E-2</v>
      </c>
      <c r="N186" s="7">
        <f t="shared" si="103"/>
        <v>14.566666666651145</v>
      </c>
      <c r="O186" s="7"/>
      <c r="P186" s="7"/>
      <c r="Q186" s="22"/>
      <c r="R186" s="170"/>
      <c r="S186" s="213">
        <f t="shared" si="104"/>
        <v>1</v>
      </c>
      <c r="T186" s="195" t="str">
        <f t="shared" si="105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74"/>
        <v>https://d0f6bd738d7f1b3e5a7ca70fe4ff75f0.us-east-1.aws.found.io/app/kibana#/discover/Steve-Slow-Train-Analysis-(2080s-and-2083s)?_g=(refreshInterval:(display:Off,pause:!f,section:0,value:0),time:(from:'2017-06-15T14:28:33-0600',mode:absolute,to:'2017-06-15T17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86" s="197" t="str">
        <f>IF(AA186&lt;VLOOKUP(AG186,Variables!$AC$3:$AD$8,2,FALSE),"Y","N")</f>
        <v>N</v>
      </c>
      <c r="X186" s="197">
        <f t="shared" si="113"/>
        <v>1</v>
      </c>
      <c r="Y186" s="197">
        <f t="shared" si="106"/>
        <v>9.74E-2</v>
      </c>
      <c r="Z186" s="197">
        <f t="shared" si="107"/>
        <v>5.8906999999999998</v>
      </c>
      <c r="AA186" s="197">
        <f t="shared" si="108"/>
        <v>5.7932999999999995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109"/>
        <v>827</v>
      </c>
      <c r="AE186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86" s="74" t="str">
        <f t="shared" si="80"/>
        <v>"C:\Program Files (x86)\AstroGrep\AstroGrep.exe" /e /r /s /spath="%USERPROFILE%\AppData\Local\Temp\OnboardLogs" /stypes="app*4058*20170615*" /stext=" 22:.+((SYSTEM_STATE.+slice.+state.+changed )|(ment ac)|(multiple cpu faults)|(system.+state.+changed )|(\[timeout)|(PRM\|1\|D)|(kpr)|(kdp)|(train st.+moving)|(\|lc)|(penalty))"</v>
      </c>
      <c r="AG186" s="209" t="str">
        <f t="shared" si="110"/>
        <v>NW</v>
      </c>
      <c r="AH186" s="78" t="str">
        <f t="shared" si="67"/>
        <v>"%USERPROFILE%\Documents\GitHub\eaglep3\Utilities\RefineRTDCRunTimes.py" --tripid 827-15 --locoid 4058 --swversion DE.1.0.9.0 --startMP 204:974 --initTime 2017-06-15T15:28:33 --startdatetime 2017-06-15T15:51:44 --delay 1 --endMP 300:58907 --enddatetime 2017-06-15T16:06:18 --enforcementcount 0 &gt;&gt;C:\Users\stu\Documents\GitHub\eaglep3-reporting\EC\2017-06-15-refined-times.txt</v>
      </c>
      <c r="AI186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{"issue":{"subject":"","project_id":79,"tracker_id":40,"status_id":1,"priority_id":2,"assigned_to_id":23,"start_date":"2017-06-15","description":"","custom_fields":[{"id":1,"name":"Subdivision","value":"NW"},{"id":4,"name":"Milepost","value":"5.8907"},{"id":17,"name":"Train ID","value":"827-15"},{"id":16,"name":"Locomotive ID","value":"4058"},{"id":130,"name":"Impact","value":""},{"id":150,"name":"Time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9"/>
        <v>start /low /b %USERPROFILE%\Documents\GitHub\eaglep3\Utilities\DownloadLogsFromS3.py --loco 4058 --day 2017-06-15</v>
      </c>
      <c r="AN186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779</v>
      </c>
      <c r="B187" s="7">
        <v>4057</v>
      </c>
      <c r="C187" s="21" t="s">
        <v>202</v>
      </c>
      <c r="D187" s="21" t="s">
        <v>499</v>
      </c>
      <c r="E187" s="13">
        <v>42901.672118055554</v>
      </c>
      <c r="F187" s="13">
        <v>42901.67355324074</v>
      </c>
      <c r="G187" s="7">
        <v>1</v>
      </c>
      <c r="H187" s="21" t="s">
        <v>968</v>
      </c>
      <c r="I187" s="13">
        <v>42901.684594907405</v>
      </c>
      <c r="J187" s="7">
        <v>0</v>
      </c>
      <c r="K187" s="89" t="str">
        <f t="shared" si="101"/>
        <v>4057/4058</v>
      </c>
      <c r="L187" s="21" t="str">
        <f>VLOOKUP(A187,'Trips&amp;Operators'!$C$1:$G$99999,5,FALSE)</f>
        <v>HAITHCOX MICHAEL</v>
      </c>
      <c r="M187" s="6">
        <f t="shared" si="102"/>
        <v>1.1041666664823424E-2</v>
      </c>
      <c r="N187" s="7">
        <f t="shared" si="103"/>
        <v>15.899999997345731</v>
      </c>
      <c r="O187" s="7"/>
      <c r="P187" s="7"/>
      <c r="Q187" s="22"/>
      <c r="R187" s="170"/>
      <c r="S187" s="213">
        <f t="shared" si="104"/>
        <v>1</v>
      </c>
      <c r="T187" s="195" t="str">
        <f t="shared" si="105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74"/>
        <v>https://d0f6bd738d7f1b3e5a7ca70fe4ff75f0.us-east-1.aws.found.io/app/kibana#/discover/Steve-Slow-Train-Analysis-(2080s-and-2083s)?_g=(refreshInterval:(display:Off,pause:!f,section:0,value:0),time:(from:'2017-06-15T15:07:51-0600',mode:absolute,to:'2017-06-15T17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87" s="197" t="str">
        <f>IF(AA187&lt;VLOOKUP(AG187,Variables!$AC$3:$AD$8,2,FALSE),"Y","N")</f>
        <v>N</v>
      </c>
      <c r="X187" s="197">
        <f t="shared" si="113"/>
        <v>1</v>
      </c>
      <c r="Y187" s="197">
        <f t="shared" si="106"/>
        <v>5.86</v>
      </c>
      <c r="Z187" s="197">
        <f t="shared" si="107"/>
        <v>6.7799999999999999E-2</v>
      </c>
      <c r="AA187" s="197">
        <f t="shared" si="108"/>
        <v>5.7922000000000002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109"/>
        <v>828</v>
      </c>
      <c r="AE187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87" s="74" t="str">
        <f t="shared" si="80"/>
        <v>"C:\Program Files (x86)\AstroGrep\AstroGrep.exe" /e /r /s /spath="%USERPROFILE%\AppData\Local\Temp\OnboardLogs" /stypes="app*4057*20170615*" /stext=" 22:.+((SYSTEM_STATE.+slice.+state.+changed )|(ment ac)|(multiple cpu faults)|(system.+state.+changed )|(\[timeout)|(PRM\|1\|D)|(kpr)|(kdp)|(train st.+moving)|(\|lc)|(penalty))"</v>
      </c>
      <c r="AG187" s="209" t="str">
        <f t="shared" si="110"/>
        <v>NW</v>
      </c>
      <c r="AH187" s="78" t="str">
        <f t="shared" si="67"/>
        <v>"%USERPROFILE%\Documents\GitHub\eaglep3\Utilities\RefineRTDCRunTimes.py" --tripid 828-15 --locoid 4057 --swversion DE.1.0.9.0 --startMP 300:58600 --initTime 2017-06-15T16:07:51 --startdatetime 2017-06-15T16:09:55 --delay 1 --endMP 204:678 --enddatetime 2017-06-15T16:25:49 --enforcementcount 0 &gt;&gt;C:\Users\stu\Documents\GitHub\eaglep3-reporting\EC\2017-06-15-refined-times.txt</v>
      </c>
      <c r="AI187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{"issue":{"subject":"","project_id":79,"tracker_id":40,"status_id":1,"priority_id":2,"assigned_to_id":23,"start_date":"2017-06-15","description":"","custom_fields":[{"id":1,"name":"Subdivision","value":"NW"},{"id":4,"name":"Milepost","value":"0.0678"},{"id":17,"name":"Train ID","value":"828-15"},{"id":16,"name":"Locomotive ID","value":"4057"},{"id":130,"name":"Impact","value":""},{"id":150,"name":"Time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9"/>
        <v>start /low /b %USERPROFILE%\Documents\GitHub\eaglep3\Utilities\DownloadLogsFromS3.py --loco 4057 --day 2017-06-15</v>
      </c>
      <c r="AN187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s="20" customFormat="1" x14ac:dyDescent="0.25">
      <c r="A188" s="32" t="s">
        <v>648</v>
      </c>
      <c r="B188" s="7">
        <v>4014</v>
      </c>
      <c r="C188" s="21" t="s">
        <v>202</v>
      </c>
      <c r="D188" s="21" t="s">
        <v>936</v>
      </c>
      <c r="E188" s="13">
        <v>42901.666238425925</v>
      </c>
      <c r="F188" s="13">
        <v>42901.681631944448</v>
      </c>
      <c r="G188" s="7">
        <v>0</v>
      </c>
      <c r="H188" s="21" t="s">
        <v>969</v>
      </c>
      <c r="I188" s="13">
        <v>42901.690405092595</v>
      </c>
      <c r="J188" s="7">
        <v>0</v>
      </c>
      <c r="K188" s="89" t="str">
        <f t="shared" si="101"/>
        <v>4013/4014</v>
      </c>
      <c r="L188" s="21" t="str">
        <f>VLOOKUP(A188,'Trips&amp;Operators'!$C$1:$G$99999,5,FALSE)</f>
        <v>STAMBAUGH JAMES</v>
      </c>
      <c r="M188" s="6">
        <f t="shared" si="102"/>
        <v>8.7731481471564621E-3</v>
      </c>
      <c r="N188" s="7">
        <f t="shared" si="103"/>
        <v>12.633333331905305</v>
      </c>
      <c r="O188" s="7"/>
      <c r="P188" s="7"/>
      <c r="Q188" s="22"/>
      <c r="R188" s="170"/>
      <c r="S188" s="213">
        <f t="shared" si="104"/>
        <v>1</v>
      </c>
      <c r="T188" s="195" t="str">
        <f t="shared" si="105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74"/>
        <v>https://d0f6bd738d7f1b3e5a7ca70fe4ff75f0.us-east-1.aws.found.io/app/kibana#/discover/Steve-Slow-Train-Analysis-(2080s-and-2083s)?_g=(refreshInterval:(display:Off,pause:!f,section:0,value:0),time:(from:'2017-06-15T14:59:23-0600',mode:absolute,to:'2017-06-15T17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197" t="str">
        <f>IF(AA188&lt;VLOOKUP(AG188,Variables!$AC$3:$AD$8,2,FALSE),"Y","N")</f>
        <v>N</v>
      </c>
      <c r="X188" s="197">
        <f t="shared" si="113"/>
        <v>1</v>
      </c>
      <c r="Y188" s="197">
        <f t="shared" si="106"/>
        <v>9.74E-2</v>
      </c>
      <c r="Z188" s="197">
        <f t="shared" si="107"/>
        <v>5.8898999999999999</v>
      </c>
      <c r="AA188" s="197">
        <f t="shared" si="108"/>
        <v>5.7924999999999995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109"/>
        <v>829</v>
      </c>
      <c r="AE188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88" s="74" t="str">
        <f t="shared" si="80"/>
        <v>"C:\Program Files (x86)\AstroGrep\AstroGrep.exe" /e /r /s /spath="%USERPROFILE%\AppData\Local\Temp\OnboardLogs" /stypes="app*4014*20170615*" /stext=" 22:.+((SYSTEM_STATE.+slice.+state.+changed )|(ment ac)|(multiple cpu faults)|(system.+state.+changed )|(\[timeout)|(PRM\|1\|D)|(kpr)|(kdp)|(train st.+moving)|(\|lc)|(penalty))"</v>
      </c>
      <c r="AG188" s="209" t="str">
        <f t="shared" si="110"/>
        <v>NW</v>
      </c>
      <c r="AH188" s="78" t="str">
        <f t="shared" si="67"/>
        <v>"%USERPROFILE%\Documents\GitHub\eaglep3\Utilities\RefineRTDCRunTimes.py" --tripid 829-15 --locoid 4014 --swversion DE.1.0.9.0 --startMP 204:974 --initTime 2017-06-15T15:59:23 --startdatetime 2017-06-15T16:21:33 --delay 0 --endMP 300:58899 --enddatetime 2017-06-15T16:34:11 --enforcementcount 0 &gt;&gt;C:\Users\stu\Documents\GitHub\eaglep3-reporting\EC\2017-06-15-refined-times.txt</v>
      </c>
      <c r="AI188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{"issue":{"subject":"","project_id":79,"tracker_id":40,"status_id":1,"priority_id":2,"assigned_to_id":23,"start_date":"2017-06-15","description":"","custom_fields":[{"id":1,"name":"Subdivision","value":"NW"},{"id":4,"name":"Milepost","value":"5.8899"},{"id":17,"name":"Train ID","value":"829-15"},{"id":16,"name":"Locomotive ID","value":"4014"},{"id":130,"name":"Impact","value":""},{"id":150,"name":"Time of Event (Mountain Time)","value":"16:34:11"},{"id":151,"name":"Denver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69"/>
        <v>start /low /b %USERPROFILE%\Documents\GitHub\eaglep3\Utilities\DownloadLogsFromS3.py --loco 4014 --day 2017-06-15</v>
      </c>
      <c r="AN188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649</v>
      </c>
      <c r="B189" s="7">
        <v>4013</v>
      </c>
      <c r="C189" s="21" t="s">
        <v>202</v>
      </c>
      <c r="D189" s="21" t="s">
        <v>970</v>
      </c>
      <c r="E189" s="13">
        <v>42901.691631944443</v>
      </c>
      <c r="F189" s="13">
        <v>42901.693449074075</v>
      </c>
      <c r="G189" s="7">
        <v>1</v>
      </c>
      <c r="H189" s="21" t="s">
        <v>971</v>
      </c>
      <c r="I189" s="13">
        <v>42901.705081018517</v>
      </c>
      <c r="J189" s="7">
        <v>0</v>
      </c>
      <c r="K189" s="89" t="str">
        <f t="shared" si="101"/>
        <v>4013/4014</v>
      </c>
      <c r="L189" s="21" t="str">
        <f>VLOOKUP(A189,'Trips&amp;Operators'!$C$1:$G$99999,5,FALSE)</f>
        <v>STAMBAUGH JAMES</v>
      </c>
      <c r="M189" s="6">
        <f t="shared" si="102"/>
        <v>1.1631944442342501E-2</v>
      </c>
      <c r="N189" s="7">
        <f t="shared" si="103"/>
        <v>16.749999996973202</v>
      </c>
      <c r="O189" s="7"/>
      <c r="P189" s="7"/>
      <c r="Q189" s="22"/>
      <c r="R189" s="170"/>
      <c r="S189" s="213">
        <f t="shared" si="104"/>
        <v>1</v>
      </c>
      <c r="T189" s="195" t="str">
        <f t="shared" si="105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74"/>
        <v>https://d0f6bd738d7f1b3e5a7ca70fe4ff75f0.us-east-1.aws.found.io/app/kibana#/discover/Steve-Slow-Train-Analysis-(2080s-and-2083s)?_g=(refreshInterval:(display:Off,pause:!f,section:0,value:0),time:(from:'2017-06-15T15:35:57-0600',mode:absolute,to:'2017-06-15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197" t="str">
        <f>IF(AA189&lt;VLOOKUP(AG189,Variables!$AC$3:$AD$8,2,FALSE),"Y","N")</f>
        <v>N</v>
      </c>
      <c r="X189" s="197">
        <f t="shared" si="113"/>
        <v>1</v>
      </c>
      <c r="Y189" s="197">
        <f t="shared" si="106"/>
        <v>5.8577000000000004</v>
      </c>
      <c r="Z189" s="197">
        <f t="shared" si="107"/>
        <v>6.3299999999999995E-2</v>
      </c>
      <c r="AA189" s="197">
        <f t="shared" si="108"/>
        <v>5.7944000000000004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109"/>
        <v>830</v>
      </c>
      <c r="AE189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89" s="74" t="str">
        <f t="shared" si="80"/>
        <v>"C:\Program Files (x86)\AstroGrep\AstroGrep.exe" /e /r /s /spath="%USERPROFILE%\AppData\Local\Temp\OnboardLogs" /stypes="app*4013*20170615*" /stext=" 22:.+((SYSTEM_STATE.+slice.+state.+changed )|(ment ac)|(multiple cpu faults)|(system.+state.+changed )|(\[timeout)|(PRM\|1\|D)|(kpr)|(kdp)|(train st.+moving)|(\|lc)|(penalty))"</v>
      </c>
      <c r="AG189" s="209" t="str">
        <f t="shared" si="110"/>
        <v>NW</v>
      </c>
      <c r="AH189" s="78" t="str">
        <f t="shared" si="67"/>
        <v>"%USERPROFILE%\Documents\GitHub\eaglep3\Utilities\RefineRTDCRunTimes.py" --tripid 830-15 --locoid 4013 --swversion DE.1.0.9.0 --startMP 300:58577 --initTime 2017-06-15T16:35:57 --startdatetime 2017-06-15T16:38:34 --delay 1 --endMP 204:633 --enddatetime 2017-06-15T16:55:19 --enforcementcount 0 &gt;&gt;C:\Users\stu\Documents\GitHub\eaglep3-reporting\EC\2017-06-15-refined-times.txt</v>
      </c>
      <c r="AI189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{"issue":{"subject":"","project_id":79,"tracker_id":40,"status_id":1,"priority_id":2,"assigned_to_id":23,"start_date":"2017-06-15","description":"","custom_fields":[{"id":1,"name":"Subdivision","value":"NW"},{"id":4,"name":"Milepost","value":"0.0633"},{"id":17,"name":"Train ID","value":"830-15"},{"id":16,"name":"Locomotive ID","value":"4013"},{"id":130,"name":"Impact","value":""},{"id":150,"name":"Time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9"/>
        <v>start /low /b %USERPROFILE%\Documents\GitHub\eaglep3\Utilities\DownloadLogsFromS3.py --loco 4013 --day 2017-06-15</v>
      </c>
      <c r="AN189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783</v>
      </c>
      <c r="B190" s="7">
        <v>4058</v>
      </c>
      <c r="C190" s="21" t="s">
        <v>202</v>
      </c>
      <c r="D190" s="21" t="s">
        <v>972</v>
      </c>
      <c r="E190" s="13">
        <v>42901.68644675926</v>
      </c>
      <c r="F190" s="13">
        <v>42901.702384259261</v>
      </c>
      <c r="G190" s="7">
        <v>1</v>
      </c>
      <c r="H190" s="21" t="s">
        <v>475</v>
      </c>
      <c r="I190" s="13">
        <v>42901.712638888886</v>
      </c>
      <c r="J190" s="7">
        <v>0</v>
      </c>
      <c r="K190" s="89" t="str">
        <f t="shared" si="101"/>
        <v>4057/4058</v>
      </c>
      <c r="L190" s="21" t="str">
        <f>VLOOKUP(A190,'Trips&amp;Operators'!$C$1:$G$99999,5,FALSE)</f>
        <v>HAITHCOX MICHAEL</v>
      </c>
      <c r="M190" s="6">
        <f t="shared" si="102"/>
        <v>1.0254629625706002E-2</v>
      </c>
      <c r="N190" s="7">
        <f t="shared" si="103"/>
        <v>14.766666661016643</v>
      </c>
      <c r="O190" s="7"/>
      <c r="P190" s="7"/>
      <c r="Q190" s="22"/>
      <c r="R190" s="170"/>
      <c r="S190" s="213">
        <f t="shared" si="104"/>
        <v>1</v>
      </c>
      <c r="T190" s="195" t="str">
        <f t="shared" si="105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74"/>
        <v>https://d0f6bd738d7f1b3e5a7ca70fe4ff75f0.us-east-1.aws.found.io/app/kibana#/discover/Steve-Slow-Train-Analysis-(2080s-and-2083s)?_g=(refreshInterval:(display:Off,pause:!f,section:0,value:0),time:(from:'2017-06-15T15:28:29-0600',mode:absolute,to:'2017-06-15T18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0" s="197" t="str">
        <f>IF(AA190&lt;VLOOKUP(AG190,Variables!$AC$3:$AD$8,2,FALSE),"Y","N")</f>
        <v>N</v>
      </c>
      <c r="X190" s="197">
        <f t="shared" si="113"/>
        <v>1</v>
      </c>
      <c r="Y190" s="197">
        <f t="shared" si="106"/>
        <v>9.6199999999999994E-2</v>
      </c>
      <c r="Z190" s="197">
        <f t="shared" si="107"/>
        <v>5.8956</v>
      </c>
      <c r="AA190" s="197">
        <f t="shared" si="108"/>
        <v>5.7994000000000003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109"/>
        <v>831</v>
      </c>
      <c r="AE190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90" s="74" t="str">
        <f t="shared" si="80"/>
        <v>"C:\Program Files (x86)\AstroGrep\AstroGrep.exe" /e /r /s /spath="%USERPROFILE%\AppData\Local\Temp\OnboardLogs" /stypes="app*4058*20170615*" /stext=" 23:.+((SYSTEM_STATE.+slice.+state.+changed )|(ment ac)|(multiple cpu faults)|(system.+state.+changed )|(\[timeout)|(PRM\|1\|D)|(kpr)|(kdp)|(train st.+moving)|(\|lc)|(penalty))"</v>
      </c>
      <c r="AG190" s="209" t="str">
        <f t="shared" si="110"/>
        <v>NW</v>
      </c>
      <c r="AH190" s="78" t="str">
        <f t="shared" si="67"/>
        <v>"%USERPROFILE%\Documents\GitHub\eaglep3\Utilities\RefineRTDCRunTimes.py" --tripid 831-15 --locoid 4058 --swversion DE.1.0.9.0 --startMP 204:962 --initTime 2017-06-15T16:28:29 --startdatetime 2017-06-15T16:51:26 --delay 1 --endMP 300:58956 --enddatetime 2017-06-15T17:06:12 --enforcementcount 0 &gt;&gt;C:\Users\stu\Documents\GitHub\eaglep3-reporting\EC\2017-06-15-refined-times.txt</v>
      </c>
      <c r="AI190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{"issue":{"subject":"","project_id":79,"tracker_id":40,"status_id":1,"priority_id":2,"assigned_to_id":23,"start_date":"2017-06-15","description":"","custom_fields":[{"id":1,"name":"Subdivision","value":"NW"},{"id":4,"name":"Milepost","value":"5.8956"},{"id":17,"name":"Train ID","value":"831-15"},{"id":16,"name":"Locomotive ID","value":"4058"},{"id":130,"name":"Impact","value":""},{"id":150,"name":"Time of Event (Mountain Time)","value":"17:06:12"},{"id":151,"name":"Denver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69"/>
        <v>start /low /b %USERPROFILE%\Documents\GitHub\eaglep3\Utilities\DownloadLogsFromS3.py --loco 4058 --day 2017-06-15</v>
      </c>
      <c r="AN190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2" t="s">
        <v>650</v>
      </c>
      <c r="B191" s="7">
        <v>4057</v>
      </c>
      <c r="C191" s="21" t="s">
        <v>202</v>
      </c>
      <c r="D191" s="21" t="s">
        <v>469</v>
      </c>
      <c r="E191" s="13">
        <v>42901.71361111111</v>
      </c>
      <c r="F191" s="13">
        <v>42901.714930555558</v>
      </c>
      <c r="G191" s="7">
        <v>1</v>
      </c>
      <c r="H191" s="21" t="s">
        <v>598</v>
      </c>
      <c r="I191" s="13">
        <v>42901.726921296293</v>
      </c>
      <c r="J191" s="7">
        <v>0</v>
      </c>
      <c r="K191" s="89" t="str">
        <f t="shared" ref="K191:K222" si="114">IF(ISEVEN(B191),(B191-1)&amp;"/"&amp;B191,B191&amp;"/"&amp;(B191+1))</f>
        <v>4057/4058</v>
      </c>
      <c r="L191" s="21" t="str">
        <f>VLOOKUP(A191,'Trips&amp;Operators'!$C$1:$G$99999,5,FALSE)</f>
        <v>HAITHCOX MICHAEL</v>
      </c>
      <c r="M191" s="6">
        <f t="shared" ref="M191:M222" si="115">I191-F191</f>
        <v>1.1990740735200234E-2</v>
      </c>
      <c r="N191" s="7">
        <f t="shared" ref="N191:N220" si="116">24*60*SUM($M191:$M191)</f>
        <v>17.266666658688337</v>
      </c>
      <c r="O191" s="7"/>
      <c r="P191" s="7"/>
      <c r="Q191" s="22"/>
      <c r="R191" s="170"/>
      <c r="S191" s="213">
        <f t="shared" ref="S191:S222" si="117">SUM(U191:U191)/IF(AG191="EC",12,1)</f>
        <v>1</v>
      </c>
      <c r="T191" s="195" t="str">
        <f t="shared" ref="T191:T222" si="118">IF(ISEVEN(LEFT(AD191,4)),"Southbound","NorthBound")</f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74"/>
        <v>https://d0f6bd738d7f1b3e5a7ca70fe4ff75f0.us-east-1.aws.found.io/app/kibana#/discover/Steve-Slow-Train-Analysis-(2080s-and-2083s)?_g=(refreshInterval:(display:Off,pause:!f,section:0,value:0),time:(from:'2017-06-15T16:07:36-0600',mode:absolute,to:'2017-06-15T18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1" s="197" t="str">
        <f>IF(AA191&lt;VLOOKUP(AG191,Variables!$AC$3:$AD$8,2,FALSE),"Y","N")</f>
        <v>N</v>
      </c>
      <c r="X191" s="197">
        <f t="shared" si="113"/>
        <v>1</v>
      </c>
      <c r="Y191" s="197">
        <f t="shared" ref="Y191:Y222" si="119">RIGHT(D191,LEN(D191)-4)/10000</f>
        <v>5.8635999999999999</v>
      </c>
      <c r="Z191" s="197">
        <f t="shared" ref="Z191:Z222" si="120">RIGHT(H191,LEN(H191)-4)/10000</f>
        <v>6.8400000000000002E-2</v>
      </c>
      <c r="AA191" s="197">
        <f t="shared" ref="AA191:AA222" si="121">ABS(Z191-Y191)</f>
        <v>5.7952000000000004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ref="AD191:AD222" si="122">VALUE(LEFT(A191,LEN(A191)-3))</f>
        <v>832</v>
      </c>
      <c r="AE191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91" s="74" t="str">
        <f t="shared" si="80"/>
        <v>"C:\Program Files (x86)\AstroGrep\AstroGrep.exe" /e /r /s /spath="%USERPROFILE%\AppData\Local\Temp\OnboardLogs" /stypes="app*4057*20170615*" /stext=" 23:.+((SYSTEM_STATE.+slice.+state.+changed )|(ment ac)|(multiple cpu faults)|(system.+state.+changed )|(\[timeout)|(PRM\|1\|D)|(kpr)|(kdp)|(train st.+moving)|(\|lc)|(penalty))"</v>
      </c>
      <c r="AG191" s="209" t="str">
        <f t="shared" ref="AG191:AG222" si="123">DetSubdiv(A191)</f>
        <v>NW</v>
      </c>
      <c r="AH191" s="78" t="str">
        <f t="shared" si="67"/>
        <v>"%USERPROFILE%\Documents\GitHub\eaglep3\Utilities\RefineRTDCRunTimes.py" --tripid 832-15 --locoid 4057 --swversion DE.1.0.9.0 --startMP 300:58636 --initTime 2017-06-15T17:07:36 --startdatetime 2017-06-15T17:09:30 --delay 1 --endMP 204:684 --enddatetime 2017-06-15T17:26:46 --enforcementcount 0 &gt;&gt;C:\Users\stu\Documents\GitHub\eaglep3-reporting\EC\2017-06-15-refined-times.txt</v>
      </c>
      <c r="AI191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{"issue":{"subject":"","project_id":79,"tracker_id":40,"status_id":1,"priority_id":2,"assigned_to_id":23,"start_date":"2017-06-15","description":"","custom_fields":[{"id":1,"name":"Subdivision","value":"NW"},{"id":4,"name":"Milepost","value":"0.0684"},{"id":17,"name":"Train ID","value":"832-15"},{"id":16,"name":"Locomotive ID","value":"4057"},{"id":130,"name":"Impact","value":""},{"id":150,"name":"Time of Event (Mountain Time)","value":"17:26:46"},{"id":151,"name":"Denver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9"/>
        <v>start /low /b %USERPROFILE%\Documents\GitHub\eaglep3\Utilities\DownloadLogsFromS3.py --loco 4057 --day 2017-06-15</v>
      </c>
      <c r="AN191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788</v>
      </c>
      <c r="B192" s="7">
        <v>4014</v>
      </c>
      <c r="C192" s="21" t="s">
        <v>202</v>
      </c>
      <c r="D192" s="21" t="s">
        <v>973</v>
      </c>
      <c r="E192" s="13">
        <v>42901.705995370372</v>
      </c>
      <c r="F192" s="13">
        <v>42901.723414351851</v>
      </c>
      <c r="G192" s="7">
        <v>1</v>
      </c>
      <c r="H192" s="21" t="s">
        <v>536</v>
      </c>
      <c r="I192" s="13">
        <v>42901.732233796298</v>
      </c>
      <c r="J192" s="7">
        <v>0</v>
      </c>
      <c r="K192" s="89" t="str">
        <f t="shared" si="114"/>
        <v>4013/4014</v>
      </c>
      <c r="L192" s="21" t="str">
        <f>VLOOKUP(A192,'Trips&amp;Operators'!$C$1:$G$99999,5,FALSE)</f>
        <v>STAMBAUGH JAMES</v>
      </c>
      <c r="M192" s="6">
        <f t="shared" si="115"/>
        <v>8.819444446999114E-3</v>
      </c>
      <c r="N192" s="7">
        <f t="shared" si="116"/>
        <v>12.700000003678724</v>
      </c>
      <c r="O192" s="7"/>
      <c r="P192" s="7"/>
      <c r="Q192" s="22"/>
      <c r="R192" s="170"/>
      <c r="S192" s="213">
        <f t="shared" si="117"/>
        <v>1</v>
      </c>
      <c r="T192" s="195" t="str">
        <f t="shared" si="118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74"/>
        <v>https://d0f6bd738d7f1b3e5a7ca70fe4ff75f0.us-east-1.aws.found.io/app/kibana#/discover/Steve-Slow-Train-Analysis-(2080s-and-2083s)?_g=(refreshInterval:(display:Off,pause:!f,section:0,value:0),time:(from:'2017-06-15T15:56:38-0600',mode:absolute,to:'2017-06-15T18:34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197" t="str">
        <f>IF(AA192&lt;VLOOKUP(AG192,Variables!$AC$3:$AD$8,2,FALSE),"Y","N")</f>
        <v>N</v>
      </c>
      <c r="X192" s="197">
        <f t="shared" si="113"/>
        <v>1</v>
      </c>
      <c r="Y192" s="197">
        <f t="shared" si="119"/>
        <v>8.8800000000000004E-2</v>
      </c>
      <c r="Z192" s="197">
        <f t="shared" si="120"/>
        <v>5.8939000000000004</v>
      </c>
      <c r="AA192" s="197">
        <f t="shared" si="121"/>
        <v>5.8051000000000004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122"/>
        <v>833</v>
      </c>
      <c r="AE192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92" s="74" t="str">
        <f t="shared" si="80"/>
        <v>"C:\Program Files (x86)\AstroGrep\AstroGrep.exe" /e /r /s /spath="%USERPROFILE%\AppData\Local\Temp\OnboardLogs" /stypes="app*4014*20170615*" /stext=" 23:.+((SYSTEM_STATE.+slice.+state.+changed )|(ment ac)|(multiple cpu faults)|(system.+state.+changed )|(\[timeout)|(PRM\|1\|D)|(kpr)|(kdp)|(train st.+moving)|(\|lc)|(penalty))"</v>
      </c>
      <c r="AG192" s="209" t="str">
        <f t="shared" si="123"/>
        <v>NW</v>
      </c>
      <c r="AH192" s="78" t="str">
        <f t="shared" si="67"/>
        <v>"%USERPROFILE%\Documents\GitHub\eaglep3\Utilities\RefineRTDCRunTimes.py" --tripid 833-15 --locoid 4014 --swversion DE.1.0.9.0 --startMP 204:888 --initTime 2017-06-15T16:56:38 --startdatetime 2017-06-15T17:21:43 --delay 1 --endMP 300:58939 --enddatetime 2017-06-15T17:34:25 --enforcementcount 0 &gt;&gt;C:\Users\stu\Documents\GitHub\eaglep3-reporting\EC\2017-06-15-refined-times.txt</v>
      </c>
      <c r="AI192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{"issue":{"subject":"","project_id":79,"tracker_id":40,"status_id":1,"priority_id":2,"assigned_to_id":23,"start_date":"2017-06-15","description":"","custom_fields":[{"id":1,"name":"Subdivision","value":"NW"},{"id":4,"name":"Milepost","value":"5.8939"},{"id":17,"name":"Train ID","value":"833-15"},{"id":16,"name":"Locomotive ID","value":"4014"},{"id":130,"name":"Impact","value":""},{"id":150,"name":"Time of Event (Mountain Time)","value":"17:34:25"},{"id":151,"name":"Denver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9"/>
        <v>start /low /b %USERPROFILE%\Documents\GitHub\eaglep3\Utilities\DownloadLogsFromS3.py --loco 4014 --day 2017-06-15</v>
      </c>
      <c r="AN192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23:34:25"},{"id":29,"name":"Sharepoint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653</v>
      </c>
      <c r="B193" s="7">
        <v>4013</v>
      </c>
      <c r="C193" s="21" t="s">
        <v>202</v>
      </c>
      <c r="D193" s="21" t="s">
        <v>540</v>
      </c>
      <c r="E193" s="13">
        <v>42901.73333333333</v>
      </c>
      <c r="F193" s="13">
        <v>42901.734618055554</v>
      </c>
      <c r="G193" s="7">
        <v>1</v>
      </c>
      <c r="H193" s="21" t="s">
        <v>974</v>
      </c>
      <c r="I193" s="13">
        <v>42901.747094907405</v>
      </c>
      <c r="J193" s="7">
        <v>0</v>
      </c>
      <c r="K193" s="89" t="str">
        <f t="shared" si="114"/>
        <v>4013/4014</v>
      </c>
      <c r="L193" s="21" t="str">
        <f>VLOOKUP(A193,'Trips&amp;Operators'!$C$1:$G$99999,5,FALSE)</f>
        <v>STAMBAUGH JAMES</v>
      </c>
      <c r="M193" s="6">
        <f t="shared" si="115"/>
        <v>1.247685185080627E-2</v>
      </c>
      <c r="N193" s="7">
        <f t="shared" si="116"/>
        <v>17.966666665161029</v>
      </c>
      <c r="O193" s="7"/>
      <c r="P193" s="7"/>
      <c r="Q193" s="22"/>
      <c r="R193" s="170"/>
      <c r="S193" s="213">
        <f t="shared" si="117"/>
        <v>1</v>
      </c>
      <c r="T193" s="195" t="str">
        <f t="shared" si="118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74"/>
        <v>https://d0f6bd738d7f1b3e5a7ca70fe4ff75f0.us-east-1.aws.found.io/app/kibana#/discover/Steve-Slow-Train-Analysis-(2080s-and-2083s)?_g=(refreshInterval:(display:Off,pause:!f,section:0,value:0),time:(from:'2017-06-15T16:36:00-0600',mode:absolute,to:'2017-06-15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197" t="str">
        <f>IF(AA193&lt;VLOOKUP(AG193,Variables!$AC$3:$AD$8,2,FALSE),"Y","N")</f>
        <v>N</v>
      </c>
      <c r="X193" s="197">
        <f t="shared" si="113"/>
        <v>1</v>
      </c>
      <c r="Y193" s="197">
        <f t="shared" si="119"/>
        <v>5.8623000000000003</v>
      </c>
      <c r="Z193" s="197">
        <f t="shared" si="120"/>
        <v>6.2600000000000003E-2</v>
      </c>
      <c r="AA193" s="197">
        <f t="shared" si="121"/>
        <v>5.7997000000000005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122"/>
        <v>834</v>
      </c>
      <c r="AE193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93" s="74" t="str">
        <f t="shared" si="80"/>
        <v>"C:\Program Files (x86)\AstroGrep\AstroGrep.exe" /e /r /s /spath="%USERPROFILE%\AppData\Local\Temp\OnboardLogs" /stypes="app*4013*20170615*" /stext=" 23:.+((SYSTEM_STATE.+slice.+state.+changed )|(ment ac)|(multiple cpu faults)|(system.+state.+changed )|(\[timeout)|(PRM\|1\|D)|(kpr)|(kdp)|(train st.+moving)|(\|lc)|(penalty))"</v>
      </c>
      <c r="AG193" s="209" t="str">
        <f t="shared" si="123"/>
        <v>NW</v>
      </c>
      <c r="AH193" s="78" t="str">
        <f t="shared" si="67"/>
        <v>"%USERPROFILE%\Documents\GitHub\eaglep3\Utilities\RefineRTDCRunTimes.py" --tripid 834-15 --locoid 4013 --swversion DE.1.0.9.0 --startMP 300:58623 --initTime 2017-06-15T17:36:00 --startdatetime 2017-06-15T17:37:51 --delay 1 --endMP 204:626 --enddatetime 2017-06-15T17:55:49 --enforcementcount 0 &gt;&gt;C:\Users\stu\Documents\GitHub\eaglep3-reporting\EC\2017-06-15-refined-times.txt</v>
      </c>
      <c r="AI193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{"issue":{"subject":"","project_id":79,"tracker_id":40,"status_id":1,"priority_id":2,"assigned_to_id":23,"start_date":"2017-06-15","description":"","custom_fields":[{"id":1,"name":"Subdivision","value":"NW"},{"id":4,"name":"Milepost","value":"0.0626"},{"id":17,"name":"Train ID","value":"834-15"},{"id":16,"name":"Locomotive ID","value":"4013"},{"id":130,"name":"Impact","value":""},{"id":150,"name":"Time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69"/>
        <v>start /low /b %USERPROFILE%\Documents\GitHub\eaglep3\Utilities\DownloadLogsFromS3.py --loco 4013 --day 2017-06-15</v>
      </c>
      <c r="AN193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654</v>
      </c>
      <c r="B194" s="7">
        <v>4058</v>
      </c>
      <c r="C194" s="21" t="s">
        <v>202</v>
      </c>
      <c r="D194" s="21" t="s">
        <v>954</v>
      </c>
      <c r="E194" s="13">
        <v>42901.728946759256</v>
      </c>
      <c r="F194" s="13">
        <v>42901.744027777779</v>
      </c>
      <c r="G194" s="7">
        <v>1</v>
      </c>
      <c r="H194" s="21" t="s">
        <v>975</v>
      </c>
      <c r="I194" s="13">
        <v>42901.754502314812</v>
      </c>
      <c r="J194" s="7">
        <v>0</v>
      </c>
      <c r="K194" s="89" t="str">
        <f t="shared" si="114"/>
        <v>4057/4058</v>
      </c>
      <c r="L194" s="21" t="str">
        <f>VLOOKUP(A194,'Trips&amp;Operators'!$C$1:$G$99999,5,FALSE)</f>
        <v>HAITHCOX MICHAEL</v>
      </c>
      <c r="M194" s="6">
        <f t="shared" si="115"/>
        <v>1.0474537033587694E-2</v>
      </c>
      <c r="N194" s="7">
        <f t="shared" si="116"/>
        <v>15.08333332836628</v>
      </c>
      <c r="O194" s="7"/>
      <c r="P194" s="7"/>
      <c r="Q194" s="22"/>
      <c r="R194" s="170"/>
      <c r="S194" s="213">
        <f t="shared" si="117"/>
        <v>1</v>
      </c>
      <c r="T194" s="195" t="str">
        <f t="shared" si="118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74"/>
        <v>https://d0f6bd738d7f1b3e5a7ca70fe4ff75f0.us-east-1.aws.found.io/app/kibana#/discover/Steve-Slow-Train-Analysis-(2080s-and-2083s)?_g=(refreshInterval:(display:Off,pause:!f,section:0,value:0),time:(from:'2017-06-15T16:29:41-0600',mode:absolute,to:'2017-06-15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4" s="197" t="str">
        <f>IF(AA194&lt;VLOOKUP(AG194,Variables!$AC$3:$AD$8,2,FALSE),"Y","N")</f>
        <v>N</v>
      </c>
      <c r="X194" s="197">
        <f t="shared" si="113"/>
        <v>1</v>
      </c>
      <c r="Y194" s="197">
        <f t="shared" si="119"/>
        <v>9.69E-2</v>
      </c>
      <c r="Z194" s="197">
        <f t="shared" si="120"/>
        <v>5.8944000000000001</v>
      </c>
      <c r="AA194" s="197">
        <f t="shared" si="121"/>
        <v>5.7975000000000003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122"/>
        <v>835</v>
      </c>
      <c r="AE194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94" s="74" t="str">
        <f t="shared" si="80"/>
        <v>"C:\Program Files (x86)\AstroGrep\AstroGrep.exe" /e /r /s /spath="%USERPROFILE%\AppData\Local\Temp\OnboardLogs" /stypes="app*4058*20170616*" /stext=" 00:.+((SYSTEM_STATE.+slice.+state.+changed )|(ment ac)|(multiple cpu faults)|(system.+state.+changed )|(\[timeout)|(PRM\|1\|D)|(kpr)|(kdp)|(train st.+moving)|(\|lc)|(penalty))"</v>
      </c>
      <c r="AG194" s="209" t="str">
        <f t="shared" si="123"/>
        <v>NW</v>
      </c>
      <c r="AH194" s="78" t="str">
        <f t="shared" si="67"/>
        <v>"%USERPROFILE%\Documents\GitHub\eaglep3\Utilities\RefineRTDCRunTimes.py" --tripid 835-15 --locoid 4058 --swversion DE.1.0.9.0 --startMP 204:969 --initTime 2017-06-15T17:29:41 --startdatetime 2017-06-15T17:51:24 --delay 1 --endMP 300:58944 --enddatetime 2017-06-15T18:06:29 --enforcementcount 0 &gt;&gt;C:\Users\stu\Documents\GitHub\eaglep3-reporting\EC\2017-06-15-refined-times.txt</v>
      </c>
      <c r="AI194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{"issue":{"subject":"","project_id":79,"tracker_id":40,"status_id":1,"priority_id":2,"assigned_to_id":23,"start_date":"2017-06-15","description":"","custom_fields":[{"id":1,"name":"Subdivision","value":"NW"},{"id":4,"name":"Milepost","value":"5.8944"},{"id":17,"name":"Train ID","value":"835-15"},{"id":16,"name":"Locomotive ID","value":"4058"},{"id":130,"name":"Impact","value":""},{"id":150,"name":"Time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9"/>
        <v>start /low /b %USERPROFILE%\Documents\GitHub\eaglep3\Utilities\DownloadLogsFromS3.py --loco 4058 --day 2017-06-15</v>
      </c>
      <c r="AN194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797</v>
      </c>
      <c r="B195" s="7">
        <v>4057</v>
      </c>
      <c r="C195" s="21" t="s">
        <v>202</v>
      </c>
      <c r="D195" s="21" t="s">
        <v>976</v>
      </c>
      <c r="E195" s="13">
        <v>42901.756215277775</v>
      </c>
      <c r="F195" s="13">
        <v>42901.757673611108</v>
      </c>
      <c r="G195" s="7">
        <v>1</v>
      </c>
      <c r="H195" s="21" t="s">
        <v>977</v>
      </c>
      <c r="I195" s="13">
        <v>42901.768217592595</v>
      </c>
      <c r="J195" s="7">
        <v>0</v>
      </c>
      <c r="K195" s="89" t="str">
        <f t="shared" si="114"/>
        <v>4057/4058</v>
      </c>
      <c r="L195" s="21" t="str">
        <f>VLOOKUP(A195,'Trips&amp;Operators'!$C$1:$G$99999,5,FALSE)</f>
        <v>HAITHCOX MICHAEL</v>
      </c>
      <c r="M195" s="6">
        <f t="shared" si="115"/>
        <v>1.0543981486989651E-2</v>
      </c>
      <c r="N195" s="7">
        <f t="shared" si="116"/>
        <v>15.183333341265097</v>
      </c>
      <c r="O195" s="7"/>
      <c r="P195" s="7"/>
      <c r="Q195" s="22"/>
      <c r="R195" s="170"/>
      <c r="S195" s="213">
        <f t="shared" si="117"/>
        <v>1</v>
      </c>
      <c r="T195" s="195" t="str">
        <f t="shared" si="118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74"/>
        <v>https://d0f6bd738d7f1b3e5a7ca70fe4ff75f0.us-east-1.aws.found.io/app/kibana#/discover/Steve-Slow-Train-Analysis-(2080s-and-2083s)?_g=(refreshInterval:(display:Off,pause:!f,section:0,value:0),time:(from:'2017-06-15T17:08:57-0600',mode:absolute,to:'2017-06-15T19:26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95" s="197" t="str">
        <f>IF(AA195&lt;VLOOKUP(AG195,Variables!$AC$3:$AD$8,2,FALSE),"Y","N")</f>
        <v>N</v>
      </c>
      <c r="X195" s="197">
        <f t="shared" si="113"/>
        <v>1</v>
      </c>
      <c r="Y195" s="197">
        <f t="shared" si="119"/>
        <v>5.8624999999999998</v>
      </c>
      <c r="Z195" s="197">
        <f t="shared" si="120"/>
        <v>6.3799999999999996E-2</v>
      </c>
      <c r="AA195" s="197">
        <f t="shared" si="121"/>
        <v>5.7987000000000002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122"/>
        <v>836</v>
      </c>
      <c r="AE195" s="77" t="str">
        <f t="shared" si="79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195" s="74" t="str">
        <f t="shared" si="80"/>
        <v>"C:\Program Files (x86)\AstroGrep\AstroGrep.exe" /e /r /s /spath="%USERPROFILE%\AppData\Local\Temp\OnboardLogs" /stypes="app*4057*20170616*" /stext=" 00:.+((SYSTEM_STATE.+slice.+state.+changed )|(ment ac)|(multiple cpu faults)|(system.+state.+changed )|(\[timeout)|(PRM\|1\|D)|(kpr)|(kdp)|(train st.+moving)|(\|lc)|(penalty))"</v>
      </c>
      <c r="AG195" s="209" t="str">
        <f t="shared" si="123"/>
        <v>NW</v>
      </c>
      <c r="AH195" s="78" t="str">
        <f t="shared" si="67"/>
        <v>"%USERPROFILE%\Documents\GitHub\eaglep3\Utilities\RefineRTDCRunTimes.py" --tripid 836-15 --locoid 4057 --swversion DE.1.0.9.0 --startMP 300:58625 --initTime 2017-06-15T18:08:57 --startdatetime 2017-06-15T18:11:03 --delay 1 --endMP 204:638 --enddatetime 2017-06-15T18:26:14 --enforcementcount 0 &gt;&gt;C:\Users\stu\Documents\GitHub\eaglep3-reporting\EC\2017-06-15-refined-times.txt</v>
      </c>
      <c r="AI195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{"issue":{"subject":"","project_id":79,"tracker_id":40,"status_id":1,"priority_id":2,"assigned_to_id":23,"start_date":"2017-06-15","description":"","custom_fields":[{"id":1,"name":"Subdivision","value":"NW"},{"id":4,"name":"Milepost","value":"0.0638"},{"id":17,"name":"Train ID","value":"836-15"},{"id":16,"name":"Locomotive ID","value":"4057"},{"id":130,"name":"Impact","value":""},{"id":150,"name":"Time of Event (Mountain Time)","value":"18:26:14"},{"id":151,"name":"Denver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9"/>
        <v>start /low /b %USERPROFILE%\Documents\GitHub\eaglep3\Utilities\DownloadLogsFromS3.py --loco 4057 --day 2017-06-15</v>
      </c>
      <c r="AN195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00:26:14"},{"id":29,"name":"Sharepoint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796</v>
      </c>
      <c r="B196" s="7">
        <v>4014</v>
      </c>
      <c r="C196" s="21" t="s">
        <v>202</v>
      </c>
      <c r="D196" s="21" t="s">
        <v>978</v>
      </c>
      <c r="E196" s="13">
        <v>42901.748287037037</v>
      </c>
      <c r="F196" s="13">
        <v>42901.765393518515</v>
      </c>
      <c r="G196" s="7">
        <v>1</v>
      </c>
      <c r="H196" s="21" t="s">
        <v>539</v>
      </c>
      <c r="I196" s="13">
        <v>42901.774583333332</v>
      </c>
      <c r="J196" s="7">
        <v>0</v>
      </c>
      <c r="K196" s="89" t="str">
        <f t="shared" si="114"/>
        <v>4013/4014</v>
      </c>
      <c r="L196" s="21" t="str">
        <f>VLOOKUP(A196,'Trips&amp;Operators'!$C$1:$G$99999,5,FALSE)</f>
        <v>STAMBAUGH JAMES</v>
      </c>
      <c r="M196" s="6">
        <f t="shared" si="115"/>
        <v>9.189814816636499E-3</v>
      </c>
      <c r="N196" s="7">
        <f t="shared" si="116"/>
        <v>13.233333335956559</v>
      </c>
      <c r="O196" s="7"/>
      <c r="P196" s="7"/>
      <c r="Q196" s="22"/>
      <c r="R196" s="170"/>
      <c r="S196" s="213">
        <f t="shared" si="117"/>
        <v>1</v>
      </c>
      <c r="T196" s="195" t="str">
        <f t="shared" si="118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74"/>
        <v>https://d0f6bd738d7f1b3e5a7ca70fe4ff75f0.us-east-1.aws.found.io/app/kibana#/discover/Steve-Slow-Train-Analysis-(2080s-and-2083s)?_g=(refreshInterval:(display:Off,pause:!f,section:0,value:0),time:(from:'2017-06-15T16:57:32-0600',mode:absolute,to:'2017-06-15T19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197" t="str">
        <f>IF(AA196&lt;VLOOKUP(AG196,Variables!$AC$3:$AD$8,2,FALSE),"Y","N")</f>
        <v>N</v>
      </c>
      <c r="X196" s="197">
        <f t="shared" si="113"/>
        <v>1</v>
      </c>
      <c r="Y196" s="197">
        <f t="shared" si="119"/>
        <v>9.0399999999999994E-2</v>
      </c>
      <c r="Z196" s="197">
        <f t="shared" si="120"/>
        <v>5.8929</v>
      </c>
      <c r="AA196" s="197">
        <f t="shared" si="121"/>
        <v>5.8025000000000002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122"/>
        <v>837</v>
      </c>
      <c r="AE196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196" s="74" t="str">
        <f t="shared" si="80"/>
        <v>"C:\Program Files (x86)\AstroGrep\AstroGrep.exe" /e /r /s /spath="%USERPROFILE%\AppData\Local\Temp\OnboardLogs" /stypes="app*4014*20170616*" /stext=" 00:.+((SYSTEM_STATE.+slice.+state.+changed )|(ment ac)|(multiple cpu faults)|(system.+state.+changed )|(\[timeout)|(PRM\|1\|D)|(kpr)|(kdp)|(train st.+moving)|(\|lc)|(penalty))"</v>
      </c>
      <c r="AG196" s="209" t="str">
        <f t="shared" si="123"/>
        <v>NW</v>
      </c>
      <c r="AH196" s="78" t="str">
        <f t="shared" si="67"/>
        <v>"%USERPROFILE%\Documents\GitHub\eaglep3\Utilities\RefineRTDCRunTimes.py" --tripid 837-15 --locoid 4014 --swversion DE.1.0.9.0 --startMP 204:904 --initTime 2017-06-15T17:57:32 --startdatetime 2017-06-15T18:22:10 --delay 1 --endMP 300:58929 --enddatetime 2017-06-15T18:35:24 --enforcementcount 0 &gt;&gt;C:\Users\stu\Documents\GitHub\eaglep3-reporting\EC\2017-06-15-refined-times.txt</v>
      </c>
      <c r="AI196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{"issue":{"subject":"","project_id":79,"tracker_id":40,"status_id":1,"priority_id":2,"assigned_to_id":23,"start_date":"2017-06-15","description":"","custom_fields":[{"id":1,"name":"Subdivision","value":"NW"},{"id":4,"name":"Milepost","value":"5.8929"},{"id":17,"name":"Train ID","value":"837-15"},{"id":16,"name":"Locomotive ID","value":"4014"},{"id":130,"name":"Impact","value":""},{"id":150,"name":"Time of Event (Mountain Time)","value":"18:35:24"},{"id":151,"name":"Denver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9"/>
        <v>start /low /b %USERPROFILE%\Documents\GitHub\eaglep3\Utilities\DownloadLogsFromS3.py --loco 4014 --day 2017-06-15</v>
      </c>
      <c r="AN196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s="20" customFormat="1" x14ac:dyDescent="0.25">
      <c r="A197" s="32" t="s">
        <v>656</v>
      </c>
      <c r="B197" s="7">
        <v>4013</v>
      </c>
      <c r="C197" s="21" t="s">
        <v>202</v>
      </c>
      <c r="D197" s="21" t="s">
        <v>979</v>
      </c>
      <c r="E197" s="13">
        <v>42901.775555555556</v>
      </c>
      <c r="F197" s="13">
        <v>42901.776979166665</v>
      </c>
      <c r="G197" s="7">
        <v>1</v>
      </c>
      <c r="H197" s="21" t="s">
        <v>980</v>
      </c>
      <c r="I197" s="13">
        <v>42901.790243055555</v>
      </c>
      <c r="J197" s="7">
        <v>0</v>
      </c>
      <c r="K197" s="89" t="str">
        <f t="shared" si="114"/>
        <v>4013/4014</v>
      </c>
      <c r="L197" s="21" t="str">
        <f>VLOOKUP(A197,'Trips&amp;Operators'!$C$1:$G$99999,5,FALSE)</f>
        <v>STAMBAUGH JAMES</v>
      </c>
      <c r="M197" s="6">
        <f t="shared" si="115"/>
        <v>1.3263888889923692E-2</v>
      </c>
      <c r="N197" s="7">
        <f t="shared" si="116"/>
        <v>19.100000001490116</v>
      </c>
      <c r="O197" s="7"/>
      <c r="P197" s="7"/>
      <c r="Q197" s="22"/>
      <c r="R197" s="170"/>
      <c r="S197" s="213">
        <f t="shared" si="117"/>
        <v>1</v>
      </c>
      <c r="T197" s="195" t="str">
        <f t="shared" si="118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74"/>
        <v>https://d0f6bd738d7f1b3e5a7ca70fe4ff75f0.us-east-1.aws.found.io/app/kibana#/discover/Steve-Slow-Train-Analysis-(2080s-and-2083s)?_g=(refreshInterval:(display:Off,pause:!f,section:0,value:0),time:(from:'2017-06-15T17:36:48-0600',mode:absolute,to:'2017-06-15T19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197" t="str">
        <f>IF(AA197&lt;VLOOKUP(AG197,Variables!$AC$3:$AD$8,2,FALSE),"Y","N")</f>
        <v>N</v>
      </c>
      <c r="X197" s="197">
        <f t="shared" si="113"/>
        <v>1</v>
      </c>
      <c r="Y197" s="197">
        <f t="shared" si="119"/>
        <v>5.8613</v>
      </c>
      <c r="Z197" s="197">
        <f t="shared" si="120"/>
        <v>6.5600000000000006E-2</v>
      </c>
      <c r="AA197" s="197">
        <f t="shared" si="121"/>
        <v>5.7957000000000001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122"/>
        <v>838</v>
      </c>
      <c r="AE197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97" s="74" t="str">
        <f t="shared" si="80"/>
        <v>"C:\Program Files (x86)\AstroGrep\AstroGrep.exe" /e /r /s /spath="%USERPROFILE%\AppData\Local\Temp\OnboardLogs" /stypes="app*4013*20170616*" /stext=" 00:.+((SYSTEM_STATE.+slice.+state.+changed )|(ment ac)|(multiple cpu faults)|(system.+state.+changed )|(\[timeout)|(PRM\|1\|D)|(kpr)|(kdp)|(train st.+moving)|(\|lc)|(penalty))"</v>
      </c>
      <c r="AG197" s="209" t="str">
        <f t="shared" si="123"/>
        <v>NW</v>
      </c>
      <c r="AH197" s="78" t="str">
        <f t="shared" si="67"/>
        <v>"%USERPROFILE%\Documents\GitHub\eaglep3\Utilities\RefineRTDCRunTimes.py" --tripid 838-15 --locoid 4013 --swversion DE.1.0.9.0 --startMP 300:58613 --initTime 2017-06-15T18:36:48 --startdatetime 2017-06-15T18:38:51 --delay 1 --endMP 204:656 --enddatetime 2017-06-15T18:57:57 --enforcementcount 0 &gt;&gt;C:\Users\stu\Documents\GitHub\eaglep3-reporting\EC\2017-06-15-refined-times.txt</v>
      </c>
      <c r="AI197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{"issue":{"subject":"","project_id":79,"tracker_id":40,"status_id":1,"priority_id":2,"assigned_to_id":23,"start_date":"2017-06-15","description":"","custom_fields":[{"id":1,"name":"Subdivision","value":"NW"},{"id":4,"name":"Milepost","value":"0.0656"},{"id":17,"name":"Train ID","value":"838-15"},{"id":16,"name":"Locomotive ID","value":"4013"},{"id":130,"name":"Impact","value":""},{"id":150,"name":"Time of Event (Mountain Time)","value":"18:57:57"},{"id":151,"name":"Denver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69"/>
        <v>start /low /b %USERPROFILE%\Documents\GitHub\eaglep3\Utilities\DownloadLogsFromS3.py --loco 4013 --day 2017-06-15</v>
      </c>
      <c r="AN197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00:57:57"},{"id":29,"name":"Sharepoint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2" t="s">
        <v>804</v>
      </c>
      <c r="B198" s="7">
        <v>4058</v>
      </c>
      <c r="C198" s="21" t="s">
        <v>202</v>
      </c>
      <c r="D198" s="21" t="s">
        <v>981</v>
      </c>
      <c r="E198" s="13">
        <v>42901.770069444443</v>
      </c>
      <c r="F198" s="13">
        <v>42901.785729166666</v>
      </c>
      <c r="G198" s="7">
        <v>1</v>
      </c>
      <c r="H198" s="21" t="s">
        <v>955</v>
      </c>
      <c r="I198" s="13">
        <v>42901.795300925929</v>
      </c>
      <c r="J198" s="7">
        <v>0</v>
      </c>
      <c r="K198" s="89" t="str">
        <f t="shared" si="114"/>
        <v>4057/4058</v>
      </c>
      <c r="L198" s="21" t="str">
        <f>VLOOKUP(A198,'Trips&amp;Operators'!$C$1:$G$99999,5,FALSE)</f>
        <v>HAITHCOX MICHAEL</v>
      </c>
      <c r="M198" s="6">
        <f t="shared" si="115"/>
        <v>9.5717592630535364E-3</v>
      </c>
      <c r="N198" s="7">
        <f t="shared" si="116"/>
        <v>13.783333338797092</v>
      </c>
      <c r="O198" s="7"/>
      <c r="P198" s="7"/>
      <c r="Q198" s="22"/>
      <c r="R198" s="170"/>
      <c r="S198" s="213">
        <f t="shared" si="117"/>
        <v>1</v>
      </c>
      <c r="T198" s="195" t="str">
        <f t="shared" si="118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74"/>
        <v>https://d0f6bd738d7f1b3e5a7ca70fe4ff75f0.us-east-1.aws.found.io/app/kibana#/discover/Steve-Slow-Train-Analysis-(2080s-and-2083s)?_g=(refreshInterval:(display:Off,pause:!f,section:0,value:0),time:(from:'2017-06-15T17:28:54-0600',mode:absolute,to:'2017-06-15T20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98" s="197" t="str">
        <f>IF(AA198&lt;VLOOKUP(AG198,Variables!$AC$3:$AD$8,2,FALSE),"Y","N")</f>
        <v>N</v>
      </c>
      <c r="X198" s="197">
        <f t="shared" si="113"/>
        <v>1</v>
      </c>
      <c r="Y198" s="197">
        <f t="shared" si="119"/>
        <v>9.5699999999999993E-2</v>
      </c>
      <c r="Z198" s="197">
        <f t="shared" si="120"/>
        <v>5.8917999999999999</v>
      </c>
      <c r="AA198" s="197">
        <f t="shared" si="121"/>
        <v>5.7961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122"/>
        <v>839</v>
      </c>
      <c r="AE198" s="77" t="str">
        <f t="shared" si="79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198" s="74" t="str">
        <f t="shared" si="80"/>
        <v>"C:\Program Files (x86)\AstroGrep\AstroGrep.exe" /e /r /s /spath="%USERPROFILE%\AppData\Local\Temp\OnboardLogs" /stypes="app*4058*20170616*" /stext=" 01:.+((SYSTEM_STATE.+slice.+state.+changed )|(ment ac)|(multiple cpu faults)|(system.+state.+changed )|(\[timeout)|(PRM\|1\|D)|(kpr)|(kdp)|(train st.+moving)|(\|lc)|(penalty))"</v>
      </c>
      <c r="AG198" s="209" t="str">
        <f t="shared" si="123"/>
        <v>NW</v>
      </c>
      <c r="AH198" s="78" t="str">
        <f t="shared" si="67"/>
        <v>"%USERPROFILE%\Documents\GitHub\eaglep3\Utilities\RefineRTDCRunTimes.py" --tripid 839-15 --locoid 4058 --swversion DE.1.0.9.0 --startMP 204:957 --initTime 2017-06-15T18:28:54 --startdatetime 2017-06-15T18:51:27 --delay 1 --endMP 300:58918 --enddatetime 2017-06-15T19:05:14 --enforcementcount 0 &gt;&gt;C:\Users\stu\Documents\GitHub\eaglep3-reporting\EC\2017-06-15-refined-times.txt</v>
      </c>
      <c r="AI198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{"issue":{"subject":"","project_id":79,"tracker_id":40,"status_id":1,"priority_id":2,"assigned_to_id":23,"start_date":"2017-06-15","description":"","custom_fields":[{"id":1,"name":"Subdivision","value":"NW"},{"id":4,"name":"Milepost","value":"5.8918"},{"id":17,"name":"Train ID","value":"839-15"},{"id":16,"name":"Locomotive ID","value":"4058"},{"id":130,"name":"Impact","value":""},{"id":150,"name":"Time of Event (Mountain Time)","value":"19:05:14"},{"id":151,"name":"Denver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69"/>
        <v>start /low /b %USERPROFILE%\Documents\GitHub\eaglep3\Utilities\DownloadLogsFromS3.py --loco 4058 --day 2017-06-15</v>
      </c>
      <c r="AN198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658</v>
      </c>
      <c r="B199" s="7">
        <v>4013</v>
      </c>
      <c r="C199" s="21" t="s">
        <v>202</v>
      </c>
      <c r="D199" s="21" t="s">
        <v>982</v>
      </c>
      <c r="E199" s="13">
        <v>42901.816678240742</v>
      </c>
      <c r="F199" s="13">
        <v>42901.819675925923</v>
      </c>
      <c r="G199" s="7">
        <v>1</v>
      </c>
      <c r="H199" s="21" t="s">
        <v>983</v>
      </c>
      <c r="I199" s="13">
        <v>42901.829826388886</v>
      </c>
      <c r="J199" s="7">
        <v>0</v>
      </c>
      <c r="K199" s="89" t="str">
        <f t="shared" si="114"/>
        <v>4013/4014</v>
      </c>
      <c r="L199" s="21" t="str">
        <f>VLOOKUP(A199,'Trips&amp;Operators'!$C$1:$G$99999,5,FALSE)</f>
        <v>STAMBAUGH JAMES</v>
      </c>
      <c r="M199" s="6">
        <f t="shared" si="115"/>
        <v>1.0150462963792961E-2</v>
      </c>
      <c r="N199" s="7">
        <f t="shared" si="116"/>
        <v>14.616666667861864</v>
      </c>
      <c r="O199" s="7"/>
      <c r="P199" s="7"/>
      <c r="Q199" s="22"/>
      <c r="R199" s="170"/>
      <c r="S199" s="213">
        <f t="shared" si="117"/>
        <v>1</v>
      </c>
      <c r="T199" s="195" t="str">
        <f t="shared" si="118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74"/>
        <v>https://d0f6bd738d7f1b3e5a7ca70fe4ff75f0.us-east-1.aws.found.io/app/kibana#/discover/Steve-Slow-Train-Analysis-(2080s-and-2083s)?_g=(refreshInterval:(display:Off,pause:!f,section:0,value:0),time:(from:'2017-06-15T18:36:01-0600',mode:absolute,to:'2017-06-15T20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97" t="str">
        <f>IF(AA199&lt;VLOOKUP(AG199,Variables!$AC$3:$AD$8,2,FALSE),"Y","N")</f>
        <v>N</v>
      </c>
      <c r="X199" s="197">
        <f t="shared" si="113"/>
        <v>1</v>
      </c>
      <c r="Y199" s="197">
        <f t="shared" si="119"/>
        <v>5.8620999999999999</v>
      </c>
      <c r="Z199" s="197">
        <f t="shared" si="120"/>
        <v>6.3500000000000001E-2</v>
      </c>
      <c r="AA199" s="197">
        <f t="shared" si="121"/>
        <v>5.7985999999999995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122"/>
        <v>840</v>
      </c>
      <c r="AE199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199" s="74" t="str">
        <f t="shared" si="80"/>
        <v>"C:\Program Files (x86)\AstroGrep\AstroGrep.exe" /e /r /s /spath="%USERPROFILE%\AppData\Local\Temp\OnboardLogs" /stypes="app*4013*20170616*" /stext=" 01:.+((SYSTEM_STATE.+slice.+state.+changed )|(ment ac)|(multiple cpu faults)|(system.+state.+changed )|(\[timeout)|(PRM\|1\|D)|(kpr)|(kdp)|(train st.+moving)|(\|lc)|(penalty))"</v>
      </c>
      <c r="AG199" s="209" t="str">
        <f t="shared" si="123"/>
        <v>NW</v>
      </c>
      <c r="AH199" s="78" t="str">
        <f t="shared" si="67"/>
        <v>"%USERPROFILE%\Documents\GitHub\eaglep3\Utilities\RefineRTDCRunTimes.py" --tripid 840-15 --locoid 4013 --swversion DE.1.0.9.0 --startMP 300:58621 --initTime 2017-06-15T19:36:01 --startdatetime 2017-06-15T19:40:20 --delay 1 --endMP 204:635 --enddatetime 2017-06-15T19:54:57 --enforcementcount 0 &gt;&gt;C:\Users\stu\Documents\GitHub\eaglep3-reporting\EC\2017-06-15-refined-times.txt</v>
      </c>
      <c r="AI199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{"issue":{"subject":"","project_id":79,"tracker_id":40,"status_id":1,"priority_id":2,"assigned_to_id":23,"start_date":"2017-06-15","description":"","custom_fields":[{"id":1,"name":"Subdivision","value":"NW"},{"id":4,"name":"Milepost","value":"0.0635"},{"id":17,"name":"Train ID","value":"840-15"},{"id":16,"name":"Locomotive ID","value":"4013"},{"id":130,"name":"Impact","value":""},{"id":150,"name":"Time of Event (Mountain Time)","value":"19:54:57"},{"id":151,"name":"Denver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9"/>
        <v>start /low /b %USERPROFILE%\Documents\GitHub\eaglep3\Utilities\DownloadLogsFromS3.py --loco 4013 --day 2017-06-15</v>
      </c>
      <c r="AN199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809</v>
      </c>
      <c r="B200" s="7">
        <v>4014</v>
      </c>
      <c r="C200" s="21" t="s">
        <v>202</v>
      </c>
      <c r="D200" s="21" t="s">
        <v>984</v>
      </c>
      <c r="E200" s="13">
        <v>42901.791203703702</v>
      </c>
      <c r="F200" s="13">
        <v>42901.806620370371</v>
      </c>
      <c r="G200" s="7">
        <v>1</v>
      </c>
      <c r="H200" s="21" t="s">
        <v>985</v>
      </c>
      <c r="I200" s="13">
        <v>42901.815682870372</v>
      </c>
      <c r="J200" s="7">
        <v>0</v>
      </c>
      <c r="K200" s="89" t="str">
        <f t="shared" si="114"/>
        <v>4013/4014</v>
      </c>
      <c r="L200" s="21" t="str">
        <f>VLOOKUP(A200,'Trips&amp;Operators'!$C$1:$G$99999,5,FALSE)</f>
        <v>STAMBAUGH JAMES</v>
      </c>
      <c r="M200" s="6">
        <f t="shared" si="115"/>
        <v>9.0625000011641532E-3</v>
      </c>
      <c r="N200" s="7">
        <f t="shared" si="116"/>
        <v>13.050000001676381</v>
      </c>
      <c r="O200" s="7"/>
      <c r="P200" s="7"/>
      <c r="Q200" s="22"/>
      <c r="R200" s="170"/>
      <c r="S200" s="213">
        <f t="shared" si="117"/>
        <v>1</v>
      </c>
      <c r="T200" s="195" t="str">
        <f t="shared" si="118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74"/>
        <v>https://d0f6bd738d7f1b3e5a7ca70fe4ff75f0.us-east-1.aws.found.io/app/kibana#/discover/Steve-Slow-Train-Analysis-(2080s-and-2083s)?_g=(refreshInterval:(display:Off,pause:!f,section:0,value:0),time:(from:'2017-06-15T17:59:20-0600',mode:absolute,to:'2017-06-15T20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97" t="str">
        <f>IF(AA200&lt;VLOOKUP(AG200,Variables!$AC$3:$AD$8,2,FALSE),"Y","N")</f>
        <v>N</v>
      </c>
      <c r="X200" s="197">
        <f t="shared" si="113"/>
        <v>1</v>
      </c>
      <c r="Y200" s="197">
        <f t="shared" si="119"/>
        <v>9.5000000000000001E-2</v>
      </c>
      <c r="Z200" s="197">
        <f t="shared" si="120"/>
        <v>5.8940999999999999</v>
      </c>
      <c r="AA200" s="197">
        <f t="shared" si="121"/>
        <v>5.7991000000000001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122"/>
        <v>841</v>
      </c>
      <c r="AE200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200" s="74" t="str">
        <f t="shared" si="80"/>
        <v>"C:\Program Files (x86)\AstroGrep\AstroGrep.exe" /e /r /s /spath="%USERPROFILE%\AppData\Local\Temp\OnboardLogs" /stypes="app*4014*20170616*" /stext=" 01:.+((SYSTEM_STATE.+slice.+state.+changed )|(ment ac)|(multiple cpu faults)|(system.+state.+changed )|(\[timeout)|(PRM\|1\|D)|(kpr)|(kdp)|(train st.+moving)|(\|lc)|(penalty))"</v>
      </c>
      <c r="AG200" s="209" t="str">
        <f t="shared" si="123"/>
        <v>NW</v>
      </c>
      <c r="AH200" s="78" t="str">
        <f t="shared" si="67"/>
        <v>"%USERPROFILE%\Documents\GitHub\eaglep3\Utilities\RefineRTDCRunTimes.py" --tripid 841-15 --locoid 4014 --swversion DE.1.0.9.0 --startMP 204:950 --initTime 2017-06-15T18:59:20 --startdatetime 2017-06-15T19:21:32 --delay 1 --endMP 300:58941 --enddatetime 2017-06-15T19:34:35 --enforcementcount 0 &gt;&gt;C:\Users\stu\Documents\GitHub\eaglep3-reporting\EC\2017-06-15-refined-times.txt</v>
      </c>
      <c r="AI200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{"issue":{"subject":"","project_id":79,"tracker_id":40,"status_id":1,"priority_id":2,"assigned_to_id":23,"start_date":"2017-06-15","description":"","custom_fields":[{"id":1,"name":"Subdivision","value":"NW"},{"id":4,"name":"Milepost","value":"5.8941"},{"id":17,"name":"Train ID","value":"841-15"},{"id":16,"name":"Locomotive ID","value":"4014"},{"id":130,"name":"Impact","value":""},{"id":150,"name":"Time of Event (Mountain Time)","value":"19:34:35"},{"id":151,"name":"Denver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9"/>
        <v>start /low /b %USERPROFILE%\Documents\GitHub\eaglep3\Utilities\DownloadLogsFromS3.py --loco 4014 --day 2017-06-15</v>
      </c>
      <c r="AN200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821</v>
      </c>
      <c r="B201" s="7">
        <v>4013</v>
      </c>
      <c r="C201" s="21" t="s">
        <v>202</v>
      </c>
      <c r="D201" s="21" t="s">
        <v>952</v>
      </c>
      <c r="E201" s="13">
        <v>42901.85832175926</v>
      </c>
      <c r="F201" s="13">
        <v>42901.859618055554</v>
      </c>
      <c r="G201" s="7">
        <v>1</v>
      </c>
      <c r="H201" s="21" t="s">
        <v>961</v>
      </c>
      <c r="I201" s="13">
        <v>42901.871134259258</v>
      </c>
      <c r="J201" s="7">
        <v>0</v>
      </c>
      <c r="K201" s="89" t="str">
        <f t="shared" si="114"/>
        <v>4013/4014</v>
      </c>
      <c r="L201" s="21" t="str">
        <f>VLOOKUP(A201,'Trips&amp;Operators'!$C$1:$G$99999,5,FALSE)</f>
        <v>STAMBAUGH JAMES</v>
      </c>
      <c r="M201" s="6">
        <f t="shared" si="115"/>
        <v>1.1516203703649808E-2</v>
      </c>
      <c r="N201" s="7">
        <f t="shared" si="116"/>
        <v>16.583333333255723</v>
      </c>
      <c r="O201" s="7"/>
      <c r="P201" s="7"/>
      <c r="Q201" s="22"/>
      <c r="R201" s="170"/>
      <c r="S201" s="213">
        <f t="shared" si="117"/>
        <v>1</v>
      </c>
      <c r="T201" s="195" t="str">
        <f t="shared" si="118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74"/>
        <v>https://d0f6bd738d7f1b3e5a7ca70fe4ff75f0.us-east-1.aws.found.io/app/kibana#/discover/Steve-Slow-Train-Analysis-(2080s-and-2083s)?_g=(refreshInterval:(display:Off,pause:!f,section:0,value:0),time:(from:'2017-06-15T19:35:59-0600',mode:absolute,to:'2017-06-15T21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97" t="str">
        <f>IF(AA201&lt;VLOOKUP(AG201,Variables!$AC$3:$AD$8,2,FALSE),"Y","N")</f>
        <v>N</v>
      </c>
      <c r="X201" s="197">
        <f t="shared" si="113"/>
        <v>1</v>
      </c>
      <c r="Y201" s="197">
        <f t="shared" si="119"/>
        <v>5.8619000000000003</v>
      </c>
      <c r="Z201" s="197">
        <f t="shared" si="120"/>
        <v>6.8500000000000005E-2</v>
      </c>
      <c r="AA201" s="197">
        <f t="shared" si="121"/>
        <v>5.7934000000000001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122"/>
        <v>842</v>
      </c>
      <c r="AE201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201" s="74" t="str">
        <f t="shared" si="80"/>
        <v>"C:\Program Files (x86)\AstroGrep\AstroGrep.exe" /e /r /s /spath="%USERPROFILE%\AppData\Local\Temp\OnboardLogs" /stypes="app*4013*20170616*" /stext=" 02:.+((SYSTEM_STATE.+slice.+state.+changed )|(ment ac)|(multiple cpu faults)|(system.+state.+changed )|(\[timeout)|(PRM\|1\|D)|(kpr)|(kdp)|(train st.+moving)|(\|lc)|(penalty))"</v>
      </c>
      <c r="AG201" s="209" t="str">
        <f t="shared" si="123"/>
        <v>NW</v>
      </c>
      <c r="AH201" s="78" t="str">
        <f t="shared" si="67"/>
        <v>"%USERPROFILE%\Documents\GitHub\eaglep3\Utilities\RefineRTDCRunTimes.py" --tripid 842-15 --locoid 4013 --swversion DE.1.0.9.0 --startMP 300:58619 --initTime 2017-06-15T20:35:59 --startdatetime 2017-06-15T20:37:51 --delay 1 --endMP 204:685 --enddatetime 2017-06-15T20:54:26 --enforcementcount 0 &gt;&gt;C:\Users\stu\Documents\GitHub\eaglep3-reporting\EC\2017-06-15-refined-times.txt</v>
      </c>
      <c r="AI201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{"issue":{"subject":"","project_id":79,"tracker_id":40,"status_id":1,"priority_id":2,"assigned_to_id":23,"start_date":"2017-06-15","description":"","custom_fields":[{"id":1,"name":"Subdivision","value":"NW"},{"id":4,"name":"Milepost","value":"0.0685"},{"id":17,"name":"Train ID","value":"842-15"},{"id":16,"name":"Locomotive ID","value":"4013"},{"id":130,"name":"Impact","value":""},{"id":150,"name":"Time of Event (Mountain Time)","value":"20:54:26"},{"id":151,"name":"Denver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69"/>
        <v>start /low /b %USERPROFILE%\Documents\GitHub\eaglep3\Utilities\DownloadLogsFromS3.py --loco 4013 --day 2017-06-15</v>
      </c>
      <c r="AN201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817</v>
      </c>
      <c r="B202" s="7">
        <v>4014</v>
      </c>
      <c r="C202" s="21" t="s">
        <v>202</v>
      </c>
      <c r="D202" s="21" t="s">
        <v>986</v>
      </c>
      <c r="E202" s="13">
        <v>42901.832777777781</v>
      </c>
      <c r="F202" s="13">
        <v>42901.848425925928</v>
      </c>
      <c r="G202" s="7">
        <v>2</v>
      </c>
      <c r="H202" s="21" t="s">
        <v>959</v>
      </c>
      <c r="I202" s="13">
        <v>42901.857314814813</v>
      </c>
      <c r="J202" s="7">
        <v>0</v>
      </c>
      <c r="K202" s="89" t="str">
        <f t="shared" si="114"/>
        <v>4013/4014</v>
      </c>
      <c r="L202" s="21" t="str">
        <f>VLOOKUP(A202,'Trips&amp;Operators'!$C$1:$G$99999,5,FALSE)</f>
        <v>STAMBAUGH JAMES</v>
      </c>
      <c r="M202" s="6">
        <f t="shared" si="115"/>
        <v>8.8888888858491555E-3</v>
      </c>
      <c r="N202" s="7">
        <f t="shared" si="116"/>
        <v>12.799999995622784</v>
      </c>
      <c r="O202" s="7"/>
      <c r="P202" s="7"/>
      <c r="Q202" s="22"/>
      <c r="R202" s="170"/>
      <c r="S202" s="213">
        <f t="shared" si="117"/>
        <v>1</v>
      </c>
      <c r="T202" s="195" t="str">
        <f t="shared" si="118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74"/>
        <v>https://d0f6bd738d7f1b3e5a7ca70fe4ff75f0.us-east-1.aws.found.io/app/kibana#/discover/Steve-Slow-Train-Analysis-(2080s-and-2083s)?_g=(refreshInterval:(display:Off,pause:!f,section:0,value:0),time:(from:'2017-06-15T18:59:12-0600',mode:absolute,to:'2017-06-15T21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197" t="str">
        <f>IF(AA202&lt;VLOOKUP(AG202,Variables!$AC$3:$AD$8,2,FALSE),"Y","N")</f>
        <v>N</v>
      </c>
      <c r="X202" s="197">
        <f t="shared" si="113"/>
        <v>1</v>
      </c>
      <c r="Y202" s="197">
        <f t="shared" si="119"/>
        <v>9.2499999999999999E-2</v>
      </c>
      <c r="Z202" s="197">
        <f t="shared" si="120"/>
        <v>5.8924000000000003</v>
      </c>
      <c r="AA202" s="197">
        <f t="shared" si="121"/>
        <v>5.7999000000000001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122"/>
        <v>843</v>
      </c>
      <c r="AE202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202" s="74" t="str">
        <f t="shared" si="80"/>
        <v>"C:\Program Files (x86)\AstroGrep\AstroGrep.exe" /e /r /s /spath="%USERPROFILE%\AppData\Local\Temp\OnboardLogs" /stypes="app*4014*20170616*" /stext=" 02:.+((SYSTEM_STATE.+slice.+state.+changed )|(ment ac)|(multiple cpu faults)|(system.+state.+changed )|(\[timeout)|(PRM\|1\|D)|(kpr)|(kdp)|(train st.+moving)|(\|lc)|(penalty))"</v>
      </c>
      <c r="AG202" s="209" t="str">
        <f t="shared" si="123"/>
        <v>NW</v>
      </c>
      <c r="AH202" s="78" t="str">
        <f t="shared" si="67"/>
        <v>"%USERPROFILE%\Documents\GitHub\eaglep3\Utilities\RefineRTDCRunTimes.py" --tripid 843-15 --locoid 4014 --swversion DE.1.0.9.0 --startMP 204:925 --initTime 2017-06-15T19:59:12 --startdatetime 2017-06-15T20:21:44 --delay 2 --endMP 300:58924 --enddatetime 2017-06-15T20:34:32 --enforcementcount 0 &gt;&gt;C:\Users\stu\Documents\GitHub\eaglep3-reporting\EC\2017-06-15-refined-times.txt</v>
      </c>
      <c r="AI202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{"issue":{"subject":"","project_id":79,"tracker_id":40,"status_id":1,"priority_id":2,"assigned_to_id":23,"start_date":"2017-06-15","description":"","custom_fields":[{"id":1,"name":"Subdivision","value":"NW"},{"id":4,"name":"Milepost","value":"5.8924"},{"id":17,"name":"Train ID","value":"843-15"},{"id":16,"name":"Locomotive ID","value":"4014"},{"id":130,"name":"Impact","value":""},{"id":150,"name":"Time of Event (Mountain Time)","value":"20:34:32"},{"id":151,"name":"Denver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69"/>
        <v>start /low /b %USERPROFILE%\Documents\GitHub\eaglep3\Utilities\DownloadLogsFromS3.py --loco 4014 --day 2017-06-15</v>
      </c>
      <c r="AN202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827</v>
      </c>
      <c r="B203" s="7">
        <v>4013</v>
      </c>
      <c r="C203" s="21" t="s">
        <v>202</v>
      </c>
      <c r="D203" s="21" t="s">
        <v>987</v>
      </c>
      <c r="E203" s="13">
        <v>42901.900613425925</v>
      </c>
      <c r="F203" s="13">
        <v>42901.901875000003</v>
      </c>
      <c r="G203" s="7">
        <v>1</v>
      </c>
      <c r="H203" s="21" t="s">
        <v>953</v>
      </c>
      <c r="I203" s="13">
        <v>42901.913773148146</v>
      </c>
      <c r="J203" s="7">
        <v>0</v>
      </c>
      <c r="K203" s="89" t="str">
        <f t="shared" si="114"/>
        <v>4013/4014</v>
      </c>
      <c r="L203" s="21" t="str">
        <f>VLOOKUP(A203,'Trips&amp;Operators'!$C$1:$G$99999,5,FALSE)</f>
        <v>HAITHCOX MICHAEL</v>
      </c>
      <c r="M203" s="6">
        <f t="shared" si="115"/>
        <v>1.1898148142790888E-2</v>
      </c>
      <c r="N203" s="7">
        <f t="shared" si="116"/>
        <v>17.133333325618878</v>
      </c>
      <c r="O203" s="7"/>
      <c r="P203" s="7"/>
      <c r="Q203" s="22"/>
      <c r="R203" s="170"/>
      <c r="S203" s="213">
        <f t="shared" si="117"/>
        <v>1</v>
      </c>
      <c r="T203" s="195" t="str">
        <f t="shared" si="118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74"/>
        <v>https://d0f6bd738d7f1b3e5a7ca70fe4ff75f0.us-east-1.aws.found.io/app/kibana#/discover/Steve-Slow-Train-Analysis-(2080s-and-2083s)?_g=(refreshInterval:(display:Off,pause:!f,section:0,value:0),time:(from:'2017-06-15T20:36:53-0600',mode:absolute,to:'2017-06-15T22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197" t="str">
        <f>IF(AA203&lt;VLOOKUP(AG203,Variables!$AC$3:$AD$8,2,FALSE),"Y","N")</f>
        <v>N</v>
      </c>
      <c r="X203" s="197">
        <f t="shared" si="113"/>
        <v>1</v>
      </c>
      <c r="Y203" s="197">
        <f t="shared" si="119"/>
        <v>5.8642000000000003</v>
      </c>
      <c r="Z203" s="197">
        <f t="shared" si="120"/>
        <v>6.6799999999999998E-2</v>
      </c>
      <c r="AA203" s="197">
        <f t="shared" si="121"/>
        <v>5.7974000000000006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122"/>
        <v>844</v>
      </c>
      <c r="AE203" s="77" t="str">
        <f t="shared" si="79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203" s="74" t="str">
        <f t="shared" si="80"/>
        <v>"C:\Program Files (x86)\AstroGrep\AstroGrep.exe" /e /r /s /spath="%USERPROFILE%\AppData\Local\Temp\OnboardLogs" /stypes="app*4013*20170616*" /stext=" 03:.+((SYSTEM_STATE.+slice.+state.+changed )|(ment ac)|(multiple cpu faults)|(system.+state.+changed )|(\[timeout)|(PRM\|1\|D)|(kpr)|(kdp)|(train st.+moving)|(\|lc)|(penalty))"</v>
      </c>
      <c r="AG203" s="209" t="str">
        <f t="shared" si="123"/>
        <v>NW</v>
      </c>
      <c r="AH203" s="78" t="str">
        <f t="shared" si="67"/>
        <v>"%USERPROFILE%\Documents\GitHub\eaglep3\Utilities\RefineRTDCRunTimes.py" --tripid 844-15 --locoid 4013 --swversion DE.1.0.9.0 --startMP 300:58642 --initTime 2017-06-15T21:36:53 --startdatetime 2017-06-15T21:38:42 --delay 1 --endMP 204:668 --enddatetime 2017-06-15T21:55:50 --enforcementcount 0 &gt;&gt;C:\Users\stu\Documents\GitHub\eaglep3-reporting\EC\2017-06-15-refined-times.txt</v>
      </c>
      <c r="AI203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{"issue":{"subject":"","project_id":79,"tracker_id":40,"status_id":1,"priority_id":2,"assigned_to_id":23,"start_date":"2017-06-15","description":"","custom_fields":[{"id":1,"name":"Subdivision","value":"NW"},{"id":4,"name":"Milepost","value":"0.0668"},{"id":17,"name":"Train ID","value":"844-15"},{"id":16,"name":"Locomotive ID","value":"4013"},{"id":130,"name":"Impact","value":""},{"id":150,"name":"Time of Event (Mountain Time)","value":"21:55:50"},{"id":151,"name":"Denver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9"/>
        <v>start /low /b %USERPROFILE%\Documents\GitHub\eaglep3\Utilities\DownloadLogsFromS3.py --loco 4013 --day 2017-06-15</v>
      </c>
      <c r="AN203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03:55:50"},{"id":29,"name":"Sharepoint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824</v>
      </c>
      <c r="B204" s="7">
        <v>4014</v>
      </c>
      <c r="C204" s="21" t="s">
        <v>202</v>
      </c>
      <c r="D204" s="21" t="s">
        <v>988</v>
      </c>
      <c r="E204" s="13">
        <v>42901.87877314815</v>
      </c>
      <c r="F204" s="13">
        <v>42901.889826388891</v>
      </c>
      <c r="G204" s="7">
        <v>1</v>
      </c>
      <c r="H204" s="21" t="s">
        <v>500</v>
      </c>
      <c r="I204" s="13">
        <v>42901.899756944447</v>
      </c>
      <c r="J204" s="7">
        <v>0</v>
      </c>
      <c r="K204" s="89" t="str">
        <f t="shared" si="114"/>
        <v>4013/4014</v>
      </c>
      <c r="L204" s="21" t="str">
        <f>VLOOKUP(A204,'Trips&amp;Operators'!$C$1:$G$99999,5,FALSE)</f>
        <v>HAITHCOX MICHAEL</v>
      </c>
      <c r="M204" s="6">
        <f t="shared" si="115"/>
        <v>9.930555555911269E-3</v>
      </c>
      <c r="N204" s="7">
        <f t="shared" si="116"/>
        <v>14.300000000512227</v>
      </c>
      <c r="O204" s="7"/>
      <c r="P204" s="7"/>
      <c r="Q204" s="22"/>
      <c r="R204" s="170"/>
      <c r="S204" s="213">
        <f t="shared" si="117"/>
        <v>1</v>
      </c>
      <c r="T204" s="195" t="str">
        <f t="shared" si="118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74"/>
        <v>https://d0f6bd738d7f1b3e5a7ca70fe4ff75f0.us-east-1.aws.found.io/app/kibana#/discover/Steve-Slow-Train-Analysis-(2080s-and-2083s)?_g=(refreshInterval:(display:Off,pause:!f,section:0,value:0),time:(from:'2017-06-15T20:05:26-0600',mode:absolute,to:'2017-06-15T22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4" s="197" t="str">
        <f>IF(AA204&lt;VLOOKUP(AG204,Variables!$AC$3:$AD$8,2,FALSE),"Y","N")</f>
        <v>N</v>
      </c>
      <c r="X204" s="197">
        <f t="shared" si="113"/>
        <v>1</v>
      </c>
      <c r="Y204" s="197">
        <f t="shared" si="119"/>
        <v>9.64E-2</v>
      </c>
      <c r="Z204" s="197">
        <f t="shared" si="120"/>
        <v>5.8952</v>
      </c>
      <c r="AA204" s="197">
        <f t="shared" si="121"/>
        <v>5.7988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122"/>
        <v>845</v>
      </c>
      <c r="AE204" s="77" t="str">
        <f t="shared" si="79"/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204" s="74" t="str">
        <f t="shared" si="80"/>
        <v>"C:\Program Files (x86)\AstroGrep\AstroGrep.exe" /e /r /s /spath="%USERPROFILE%\AppData\Local\Temp\OnboardLogs" /stypes="app*4014*20170616*" /stext=" 03:.+((SYSTEM_STATE.+slice.+state.+changed )|(ment ac)|(multiple cpu faults)|(system.+state.+changed )|(\[timeout)|(PRM\|1\|D)|(kpr)|(kdp)|(train st.+moving)|(\|lc)|(penalty))"</v>
      </c>
      <c r="AG204" s="209" t="str">
        <f t="shared" si="123"/>
        <v>NW</v>
      </c>
      <c r="AH204" s="78" t="str">
        <f t="shared" si="67"/>
        <v>"%USERPROFILE%\Documents\GitHub\eaglep3\Utilities\RefineRTDCRunTimes.py" --tripid 845-15 --locoid 4014 --swversion DE.1.0.9.0 --startMP 204:964 --initTime 2017-06-15T21:05:26 --startdatetime 2017-06-15T21:21:21 --delay 1 --endMP 300:58952 --enddatetime 2017-06-15T21:35:39 --enforcementcount 0 &gt;&gt;C:\Users\stu\Documents\GitHub\eaglep3-reporting\EC\2017-06-15-refined-times.txt</v>
      </c>
      <c r="AI204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{"issue":{"subject":"","project_id":79,"tracker_id":40,"status_id":1,"priority_id":2,"assigned_to_id":23,"start_date":"2017-06-15","description":"","custom_fields":[{"id":1,"name":"Subdivision","value":"NW"},{"id":4,"name":"Milepost","value":"5.8952"},{"id":17,"name":"Train ID","value":"845-15"},{"id":16,"name":"Locomotive ID","value":"4014"},{"id":130,"name":"Impact","value":""},{"id":150,"name":"Time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9"/>
        <v>start /low /b %USERPROFILE%\Documents\GitHub\eaglep3\Utilities\DownloadLogsFromS3.py --loco 4014 --day 2017-06-15</v>
      </c>
      <c r="AN204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03:35:39"},{"id":29,"name":"Sharepoint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s="20" customFormat="1" x14ac:dyDescent="0.25">
      <c r="A205" s="32" t="s">
        <v>830</v>
      </c>
      <c r="B205" s="7">
        <v>4014</v>
      </c>
      <c r="C205" s="21" t="s">
        <v>202</v>
      </c>
      <c r="D205" s="21" t="s">
        <v>989</v>
      </c>
      <c r="E205" s="13">
        <v>42901.915069444447</v>
      </c>
      <c r="F205" s="13">
        <v>42901.931435185186</v>
      </c>
      <c r="G205" s="7">
        <v>1</v>
      </c>
      <c r="H205" s="21" t="s">
        <v>596</v>
      </c>
      <c r="I205" s="13">
        <v>42901.941828703704</v>
      </c>
      <c r="J205" s="7">
        <v>0</v>
      </c>
      <c r="K205" s="89" t="str">
        <f t="shared" si="114"/>
        <v>4013/4014</v>
      </c>
      <c r="L205" s="21" t="str">
        <f>VLOOKUP(A205,'Trips&amp;Operators'!$C$1:$G$99999,5,FALSE)</f>
        <v>HAITHCOX MICHAEL</v>
      </c>
      <c r="M205" s="6">
        <f t="shared" si="115"/>
        <v>1.0393518517958E-2</v>
      </c>
      <c r="N205" s="7">
        <f t="shared" si="116"/>
        <v>14.96666666585952</v>
      </c>
      <c r="O205" s="7"/>
      <c r="P205" s="7"/>
      <c r="Q205" s="22"/>
      <c r="R205" s="170"/>
      <c r="S205" s="213">
        <f t="shared" si="117"/>
        <v>1</v>
      </c>
      <c r="T205" s="195" t="str">
        <f t="shared" si="118"/>
        <v>NorthBound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35" si="12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-15T20:57:42-0600',mode:absolute,to:'2017-06-15T23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97" t="str">
        <f>IF(AA205&lt;VLOOKUP(AG205,Variables!$AC$3:$AD$8,2,FALSE),"Y","N")</f>
        <v>N</v>
      </c>
      <c r="X205" s="197">
        <f t="shared" si="113"/>
        <v>2</v>
      </c>
      <c r="Y205" s="197">
        <f t="shared" si="119"/>
        <v>9.6000000000000002E-2</v>
      </c>
      <c r="Z205" s="197">
        <f t="shared" si="120"/>
        <v>5.8983999999999996</v>
      </c>
      <c r="AA205" s="197">
        <f t="shared" si="121"/>
        <v>5.8023999999999996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si="122"/>
        <v>847</v>
      </c>
      <c r="AE205" s="77" t="str">
        <f t="shared" ref="AE205:AE235" si="12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AF205" s="74" t="str">
        <f t="shared" ref="AF205:AF235" si="126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/stypes="app*4014*20170616*" /stext=" 04:.+((SYSTEM_STATE.+slice.+state.+changed )|(ment ac)|(multiple cpu faults)|(system.+state.+changed )|(\[timeout)|(PRM\|1\|D)|(kpr)|(kdp)|(train st.+moving)|(\|lc)|(penalty))"</v>
      </c>
      <c r="AG205" s="209" t="str">
        <f t="shared" si="123"/>
        <v>NW</v>
      </c>
      <c r="AH205" s="78" t="str">
        <f t="shared" si="67"/>
        <v>"%USERPROFILE%\Documents\GitHub\eaglep3\Utilities\RefineRTDCRunTimes.py" --tripid 847-15 --locoid 4014 --swversion DE.1.0.9.0 --startMP 204:960 --initTime 2017-06-15T21:57:42 --startdatetime 2017-06-15T22:21:16 --delay 1 --endMP 300:58984 --enddatetime 2017-06-15T22:36:14 --enforcementcount 0 &gt;&gt;C:\Users\stu\Documents\GitHub\eaglep3-reporting\EC\2017-06-15-refined-times.txt</v>
      </c>
      <c r="AI205" s="96" t="str">
        <f t="shared" si="68"/>
        <v>echo {"issue":{"subject":"","project_id":79,"tracker_id":40,"status_id":1,"priority_id":2,"assigned_to_id":23,"start_date":"2017-06-15","description":"","custom_fields":[{"id":1,"name":"Subdivision","value":"NW"},{"id":4,"name":"Milepost","value":"5.8984"},{"id":17,"name":"Train ID","value":"847-15"},{"id":16,"name":"Locomotive ID","value":"4014"},{"id":130,"name":"Impact","value":""},{"id":150,"name":"Time of Event (Mountain Time)","value":"22:36:14"},{"id":151,"name":"Denver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69"/>
        <v>start /low /b %USERPROFILE%\Documents\GitHub\eaglep3\Utilities\DownloadLogsFromS3.py --loco 4014 --day 2017-06-15</v>
      </c>
      <c r="AN205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04:36:14"},{"id":29,"name":"Sharepoint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660</v>
      </c>
      <c r="B206" s="7">
        <v>4053</v>
      </c>
      <c r="C206" s="21" t="s">
        <v>202</v>
      </c>
      <c r="D206" s="21" t="s">
        <v>897</v>
      </c>
      <c r="E206" s="13">
        <v>42901.11383101852</v>
      </c>
      <c r="F206" s="13">
        <v>42901.119212962964</v>
      </c>
      <c r="G206" s="7">
        <v>7</v>
      </c>
      <c r="H206" s="21" t="s">
        <v>441</v>
      </c>
      <c r="I206" s="13">
        <v>42901.125277777777</v>
      </c>
      <c r="J206" s="7">
        <v>0</v>
      </c>
      <c r="K206" s="89" t="str">
        <f t="shared" si="114"/>
        <v>4053/4054</v>
      </c>
      <c r="L206" s="21" t="str">
        <f>VLOOKUP(A206,'Trips&amp;Operators'!$C$1:$G$99999,5,FALSE)</f>
        <v>STARKS ANGELINA</v>
      </c>
      <c r="M206" s="6">
        <f t="shared" si="115"/>
        <v>6.064814813726116E-3</v>
      </c>
      <c r="N206" s="7">
        <f t="shared" si="116"/>
        <v>8.733333331765607</v>
      </c>
      <c r="O206" s="7"/>
      <c r="P206" s="7"/>
      <c r="Q206" s="22"/>
      <c r="R206" s="170"/>
      <c r="S206" s="213">
        <f t="shared" si="117"/>
        <v>1</v>
      </c>
      <c r="T206" s="195" t="str">
        <f t="shared" si="118"/>
        <v>Southbound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124"/>
        <v>https://d0f6bd738d7f1b3e5a7ca70fe4ff75f0.us-east-1.aws.found.io/app/kibana#/discover/Steve-Slow-Train-Analysis-(2080s-and-2083s)?_g=(refreshInterval:(display:Off,pause:!f,section:0,value:0),time:(from:'2017-06-15T01:43:55-0600',mode:absolute,to:'2017-06-15T04:00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6" s="197" t="str">
        <f>IF(AA206&lt;VLOOKUP(AG206,Variables!$AC$3:$AD$8,2,FALSE),"Y","N")</f>
        <v>Y</v>
      </c>
      <c r="X206" s="197">
        <f t="shared" si="113"/>
        <v>-547</v>
      </c>
      <c r="Y206" s="197">
        <f t="shared" si="119"/>
        <v>1.9679</v>
      </c>
      <c r="Z206" s="197">
        <f t="shared" si="120"/>
        <v>1.5599999999999999E-2</v>
      </c>
      <c r="AA206" s="197">
        <f t="shared" si="121"/>
        <v>1.9522999999999999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122"/>
        <v>300</v>
      </c>
      <c r="AE206" s="77" t="str">
        <f t="shared" si="125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206" s="74" t="str">
        <f t="shared" si="126"/>
        <v>"C:\Program Files (x86)\AstroGrep\AstroGrep.exe" /e /r /s /spath="%USERPROFILE%\AppData\Local\Temp\OnboardLogs" /stypes="app*4053*20170615*" /stext=" 09:.+((SYSTEM_STATE.+slice.+state.+changed )|(ment ac)|(multiple cpu faults)|(system.+state.+changed )|(\[timeout)|(PRM\|1\|D)|(kpr)|(kdp)|(train st.+moving)|(\|lc)|(penalty))"</v>
      </c>
      <c r="AG206" s="209" t="str">
        <f t="shared" si="123"/>
        <v>Other</v>
      </c>
      <c r="AH206" s="78" t="str">
        <f t="shared" si="67"/>
        <v>"%USERPROFILE%\Documents\GitHub\eaglep3\Utilities\RefineRTDCRunTimes.py" --tripid 300-15 --locoid 4053 --swversion DE.1.0.9.0 --startMP 300:19679 --initTime 2017-06-15T02:43:55 --startdatetime 2017-06-15T02:51:40 --delay 7 --endMP 204:156 --enddatetime 2017-06-15T03:00:24 --enforcementcount 0 &gt;&gt;C:\Users\stu\Documents\GitHub\eaglep3-reporting\EC\2017-06-15-refined-times.txt</v>
      </c>
      <c r="AI206" s="96" t="str">
        <f t="shared" si="68"/>
        <v>echo {"issue":{"subject":"","project_id":79,"tracker_id":40,"status_id":1,"priority_id":2,"assigned_to_id":23,"start_date":"2017-06-15","description":"","custom_fields":[{"id":1,"name":"Subdivision","value":"Other"},{"id":4,"name":"Milepost","value":"0.0156"},{"id":17,"name":"Train ID","value":"300-15"},{"id":16,"name":"Locomotive ID","value":"4053"},{"id":130,"name":"Impact","value":""},{"id":150,"name":"Time of Event (Mountain Time)","value":"03:00:24"},{"id":151,"name":"Denver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69"/>
        <v>start /low /b %USERPROFILE%\Documents\GitHub\eaglep3\Utilities\DownloadLogsFromS3.py --loco 4053 --day 2017-06-15</v>
      </c>
      <c r="AN206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09:00:24"},{"id":29,"name":"Sharepoint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806</v>
      </c>
      <c r="B207" s="7">
        <v>4002</v>
      </c>
      <c r="C207" s="21" t="s">
        <v>202</v>
      </c>
      <c r="D207" s="21" t="s">
        <v>440</v>
      </c>
      <c r="E207" s="13">
        <v>42901.776412037034</v>
      </c>
      <c r="F207" s="13">
        <v>42901.780138888891</v>
      </c>
      <c r="G207" s="7">
        <v>1</v>
      </c>
      <c r="H207" s="21" t="s">
        <v>535</v>
      </c>
      <c r="I207" s="13">
        <v>42901.78837962963</v>
      </c>
      <c r="J207" s="7">
        <v>0</v>
      </c>
      <c r="K207" s="89" t="str">
        <f t="shared" si="114"/>
        <v>4001/4002</v>
      </c>
      <c r="L207" s="21" t="str">
        <f>VLOOKUP(A207,'Trips&amp;Operators'!$C$1:$G$99999,5,FALSE)</f>
        <v>LEVIN SCOTT</v>
      </c>
      <c r="M207" s="6">
        <f t="shared" si="115"/>
        <v>8.2407407389837317E-3</v>
      </c>
      <c r="N207" s="7">
        <f t="shared" si="116"/>
        <v>11.866666664136574</v>
      </c>
      <c r="O207" s="7"/>
      <c r="P207" s="7"/>
      <c r="Q207" s="22"/>
      <c r="R207" s="170"/>
      <c r="S207" s="213">
        <f t="shared" si="117"/>
        <v>1</v>
      </c>
      <c r="T207" s="195" t="str">
        <f t="shared" si="118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124"/>
        <v>https://d0f6bd738d7f1b3e5a7ca70fe4ff75f0.us-east-1.aws.found.io/app/kibana#/discover/Steve-Slow-Train-Analysis-(2080s-and-2083s)?_g=(refreshInterval:(display:Off,pause:!f,section:0,value:0),time:(from:'2017-06-15T17:38:02-0600',mode:absolute,to:'2017-06-15T19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97" t="str">
        <f>IF(AA207&lt;VLOOKUP(AG207,Variables!$AC$3:$AD$8,2,FALSE),"Y","N")</f>
        <v>Y</v>
      </c>
      <c r="X207" s="197">
        <f t="shared" si="113"/>
        <v>1</v>
      </c>
      <c r="Y207" s="197">
        <f t="shared" si="119"/>
        <v>4.6699999999999998E-2</v>
      </c>
      <c r="Z207" s="197">
        <f t="shared" si="120"/>
        <v>2.3306</v>
      </c>
      <c r="AA207" s="197">
        <f t="shared" si="121"/>
        <v>2.2839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122"/>
        <v>301</v>
      </c>
      <c r="AE207" s="77" t="str">
        <f t="shared" si="125"/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AF207" s="74" t="str">
        <f t="shared" si="126"/>
        <v>"C:\Program Files (x86)\AstroGrep\AstroGrep.exe" /e /r /s /spath="%USERPROFILE%\AppData\Local\Temp\OnboardLogs" /stypes="app*4002*20170616*" /stext=" 00:.+((SYSTEM_STATE.+slice.+state.+changed )|(ment ac)|(multiple cpu faults)|(system.+state.+changed )|(\[timeout)|(PRM\|1\|D)|(kpr)|(kdp)|(train st.+moving)|(\|lc)|(penalty))"</v>
      </c>
      <c r="AG207" s="209" t="str">
        <f t="shared" si="123"/>
        <v>Other</v>
      </c>
      <c r="AH207" s="78" t="str">
        <f t="shared" si="67"/>
        <v>"%USERPROFILE%\Documents\GitHub\eaglep3\Utilities\RefineRTDCRunTimes.py" --tripid 301-15 --locoid 4002 --swversion DE.1.0.9.0 --startMP 204:467 --initTime 2017-06-15T18:38:02 --startdatetime 2017-06-15T18:43:24 --delay 1 --endMP 300:23306 --enddatetime 2017-06-15T18:55:16 --enforcementcount 0 &gt;&gt;C:\Users\stu\Documents\GitHub\eaglep3-reporting\EC\2017-06-15-refined-times.txt</v>
      </c>
      <c r="AI207" s="96" t="str">
        <f t="shared" si="68"/>
        <v>echo {"issue":{"subject":"","project_id":79,"tracker_id":40,"status_id":1,"priority_id":2,"assigned_to_id":23,"start_date":"2017-06-15","description":"","custom_fields":[{"id":1,"name":"Subdivision","value":"Other"},{"id":4,"name":"Milepost","value":"2.3306"},{"id":17,"name":"Train ID","value":"301-15"},{"id":16,"name":"Locomotive ID","value":"4002"},{"id":130,"name":"Impact","value":""},{"id":150,"name":"Time of Event (Mountain Time)","value":"18:55:16"},{"id":151,"name":"Denver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69"/>
        <v>start /low /b %USERPROFILE%\Documents\GitHub\eaglep3\Utilities\DownloadLogsFromS3.py --loco 4002 --day 2017-06-15</v>
      </c>
      <c r="AN207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663</v>
      </c>
      <c r="B208" s="7">
        <v>4045</v>
      </c>
      <c r="C208" s="21" t="s">
        <v>202</v>
      </c>
      <c r="D208" s="21" t="s">
        <v>898</v>
      </c>
      <c r="E208" s="13">
        <v>42901.134571759256</v>
      </c>
      <c r="F208" s="13">
        <v>42901.13857638889</v>
      </c>
      <c r="G208" s="7">
        <v>5</v>
      </c>
      <c r="H208" s="21" t="s">
        <v>194</v>
      </c>
      <c r="I208" s="13">
        <v>42901.145405092589</v>
      </c>
      <c r="J208" s="7">
        <v>0</v>
      </c>
      <c r="K208" s="89" t="str">
        <f t="shared" si="114"/>
        <v>4045/4046</v>
      </c>
      <c r="L208" s="21" t="str">
        <f>VLOOKUP(A208,'Trips&amp;Operators'!$C$1:$G$99999,5,FALSE)</f>
        <v>WILLIAMS DONTE</v>
      </c>
      <c r="M208" s="6">
        <f t="shared" si="115"/>
        <v>6.8287036992842332E-3</v>
      </c>
      <c r="N208" s="7">
        <f t="shared" si="116"/>
        <v>9.8333333269692957</v>
      </c>
      <c r="O208" s="7"/>
      <c r="P208" s="7"/>
      <c r="Q208" s="22"/>
      <c r="R208" s="170"/>
      <c r="S208" s="213">
        <f t="shared" si="117"/>
        <v>1</v>
      </c>
      <c r="T208" s="195" t="str">
        <f t="shared" si="118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124"/>
        <v>https://d0f6bd738d7f1b3e5a7ca70fe4ff75f0.us-east-1.aws.found.io/app/kibana#/discover/Steve-Slow-Train-Analysis-(2080s-and-2083s)?_g=(refreshInterval:(display:Off,pause:!f,section:0,value:0),time:(from:'2017-06-15T02:13:47-0600',mode:absolute,to:'2017-06-15T04:29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8" s="197" t="str">
        <f>IF(AA208&lt;VLOOKUP(AG208,Variables!$AC$3:$AD$8,2,FALSE),"Y","N")</f>
        <v>Y</v>
      </c>
      <c r="X208" s="197">
        <f t="shared" si="113"/>
        <v>1</v>
      </c>
      <c r="Y208" s="197">
        <f t="shared" si="119"/>
        <v>2.3357999999999999</v>
      </c>
      <c r="Z208" s="197">
        <f t="shared" si="120"/>
        <v>1.5800000000000002E-2</v>
      </c>
      <c r="AA208" s="197">
        <f t="shared" si="121"/>
        <v>2.3199999999999998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122"/>
        <v>302</v>
      </c>
      <c r="AE208" s="77" t="str">
        <f t="shared" si="125"/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AF208" s="74" t="str">
        <f t="shared" si="126"/>
        <v>"C:\Program Files (x86)\AstroGrep\AstroGrep.exe" /e /r /s /spath="%USERPROFILE%\AppData\Local\Temp\OnboardLogs" /stypes="app*4045*20170615*" /stext=" 09:.+((SYSTEM_STATE.+slice.+state.+changed )|(ment ac)|(multiple cpu faults)|(system.+state.+changed )|(\[timeout)|(PRM\|1\|D)|(kpr)|(kdp)|(train st.+moving)|(\|lc)|(penalty))"</v>
      </c>
      <c r="AG208" s="209" t="str">
        <f t="shared" si="123"/>
        <v>Other</v>
      </c>
      <c r="AH208" s="78" t="str">
        <f t="shared" si="67"/>
        <v>"%USERPROFILE%\Documents\GitHub\eaglep3\Utilities\RefineRTDCRunTimes.py" --tripid 302-15 --locoid 4045 --swversion DE.1.0.9.0 --startMP 300:23358 --initTime 2017-06-15T03:13:47 --startdatetime 2017-06-15T03:19:33 --delay 5 --endMP 204:158 --enddatetime 2017-06-15T03:29:23 --enforcementcount 0 &gt;&gt;C:\Users\stu\Documents\GitHub\eaglep3-reporting\EC\2017-06-15-refined-times.txt</v>
      </c>
      <c r="AI208" s="96" t="str">
        <f t="shared" si="68"/>
        <v>echo {"issue":{"subject":"","project_id":79,"tracker_id":40,"status_id":1,"priority_id":2,"assigned_to_id":23,"start_date":"2017-06-15","description":"","custom_fields":[{"id":1,"name":"Subdivision","value":"Other"},{"id":4,"name":"Milepost","value":"0.0158"},{"id":17,"name":"Train ID","value":"302-15"},{"id":16,"name":"Locomotive ID","value":"4045"},{"id":130,"name":"Impact","value":""},{"id":150,"name":"Time of Event (Mountain Time)","value":"03:29:23"},{"id":151,"name":"Denver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69"/>
        <v>start /low /b %USERPROFILE%\Documents\GitHub\eaglep3\Utilities\DownloadLogsFromS3.py --loco 4045 --day 2017-06-15</v>
      </c>
      <c r="AN208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09:29:23"},{"id":29,"name":"Sharepoint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812</v>
      </c>
      <c r="B209" s="7">
        <v>4006</v>
      </c>
      <c r="C209" s="21" t="s">
        <v>202</v>
      </c>
      <c r="D209" s="21" t="s">
        <v>470</v>
      </c>
      <c r="E209" s="13">
        <v>42901.798564814817</v>
      </c>
      <c r="F209" s="13">
        <v>42901.801886574074</v>
      </c>
      <c r="G209" s="7">
        <v>1</v>
      </c>
      <c r="H209" s="21" t="s">
        <v>899</v>
      </c>
      <c r="I209" s="13">
        <v>42901.808680555558</v>
      </c>
      <c r="J209" s="7">
        <v>0</v>
      </c>
      <c r="K209" s="89" t="str">
        <f t="shared" si="114"/>
        <v>4005/4006</v>
      </c>
      <c r="L209" s="21" t="str">
        <f>VLOOKUP(A209,'Trips&amp;Operators'!$C$1:$G$99999,5,FALSE)</f>
        <v>BERLING GARY</v>
      </c>
      <c r="M209" s="6">
        <f t="shared" si="115"/>
        <v>6.7939814834971912E-3</v>
      </c>
      <c r="N209" s="7">
        <f t="shared" si="116"/>
        <v>9.7833333362359554</v>
      </c>
      <c r="O209" s="7"/>
      <c r="P209" s="7"/>
      <c r="Q209" s="22"/>
      <c r="R209" s="170"/>
      <c r="S209" s="213">
        <f t="shared" si="117"/>
        <v>1</v>
      </c>
      <c r="T209" s="195" t="str">
        <f t="shared" si="118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124"/>
        <v>https://d0f6bd738d7f1b3e5a7ca70fe4ff75f0.us-east-1.aws.found.io/app/kibana#/discover/Steve-Slow-Train-Analysis-(2080s-and-2083s)?_g=(refreshInterval:(display:Off,pause:!f,section:0,value:0),time:(from:'2017-06-15T18:09:56-0600',mode:absolute,to:'2017-06-15T20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9" s="197" t="str">
        <f>IF(AA209&lt;VLOOKUP(AG209,Variables!$AC$3:$AD$8,2,FALSE),"Y","N")</f>
        <v>Y</v>
      </c>
      <c r="X209" s="197">
        <f t="shared" si="113"/>
        <v>1</v>
      </c>
      <c r="Y209" s="197">
        <f t="shared" si="119"/>
        <v>4.6899999999999997E-2</v>
      </c>
      <c r="Z209" s="197">
        <f t="shared" si="120"/>
        <v>2.3302</v>
      </c>
      <c r="AA209" s="197">
        <f t="shared" si="121"/>
        <v>2.2833000000000001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122"/>
        <v>303</v>
      </c>
      <c r="AE209" s="77" t="str">
        <f t="shared" si="125"/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AF209" s="74" t="str">
        <f t="shared" si="126"/>
        <v>"C:\Program Files (x86)\AstroGrep\AstroGrep.exe" /e /r /s /spath="%USERPROFILE%\AppData\Local\Temp\OnboardLogs" /stypes="app*4006*20170616*" /stext=" 01:.+((SYSTEM_STATE.+slice.+state.+changed )|(ment ac)|(multiple cpu faults)|(system.+state.+changed )|(\[timeout)|(PRM\|1\|D)|(kpr)|(kdp)|(train st.+moving)|(\|lc)|(penalty))"</v>
      </c>
      <c r="AG209" s="209" t="str">
        <f t="shared" si="123"/>
        <v>Other</v>
      </c>
      <c r="AH209" s="78" t="str">
        <f t="shared" si="67"/>
        <v>"%USERPROFILE%\Documents\GitHub\eaglep3\Utilities\RefineRTDCRunTimes.py" --tripid 303-15 --locoid 4006 --swversion DE.1.0.9.0 --startMP 204:469 --initTime 2017-06-15T19:09:56 --startdatetime 2017-06-15T19:14:43 --delay 1 --endMP 300:23302 --enddatetime 2017-06-15T19:24:30 --enforcementcount 0 &gt;&gt;C:\Users\stu\Documents\GitHub\eaglep3-reporting\EC\2017-06-15-refined-times.txt</v>
      </c>
      <c r="AI209" s="96" t="str">
        <f t="shared" si="68"/>
        <v>echo {"issue":{"subject":"","project_id":79,"tracker_id":40,"status_id":1,"priority_id":2,"assigned_to_id":23,"start_date":"2017-06-15","description":"","custom_fields":[{"id":1,"name":"Subdivision","value":"Other"},{"id":4,"name":"Milepost","value":"2.3302"},{"id":17,"name":"Train ID","value":"303-15"},{"id":16,"name":"Locomotive ID","value":"4006"},{"id":130,"name":"Impact","value":""},{"id":150,"name":"Time of Event (Mountain Time)","value":"19:24:30"},{"id":151,"name":"Denver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69"/>
        <v>start /low /b %USERPROFILE%\Documents\GitHub\eaglep3\Utilities\DownloadLogsFromS3.py --loco 4006 --day 2017-06-15</v>
      </c>
      <c r="AN209" s="151" t="str">
        <f t="shared" si="7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666</v>
      </c>
      <c r="B210" s="7">
        <v>4039</v>
      </c>
      <c r="C210" s="21" t="s">
        <v>202</v>
      </c>
      <c r="D210" s="21" t="s">
        <v>900</v>
      </c>
      <c r="E210" s="13">
        <v>42901.156261574077</v>
      </c>
      <c r="F210" s="13">
        <v>42901.159942129627</v>
      </c>
      <c r="G210" s="7">
        <v>5</v>
      </c>
      <c r="H210" s="21" t="s">
        <v>441</v>
      </c>
      <c r="I210" s="13">
        <v>42901.165613425925</v>
      </c>
      <c r="J210" s="7">
        <v>0</v>
      </c>
      <c r="K210" s="89" t="str">
        <f t="shared" si="114"/>
        <v>4039/4040</v>
      </c>
      <c r="L210" s="21" t="str">
        <f>VLOOKUP(A210,'Trips&amp;Operators'!$C$1:$G$99999,5,FALSE)</f>
        <v>BONDS REYNALDO</v>
      </c>
      <c r="M210" s="6">
        <f t="shared" si="115"/>
        <v>5.6712962978053838E-3</v>
      </c>
      <c r="N210" s="7">
        <f t="shared" si="116"/>
        <v>8.1666666688397527</v>
      </c>
      <c r="O210" s="7"/>
      <c r="P210" s="7"/>
      <c r="Q210" s="22"/>
      <c r="R210" s="170"/>
      <c r="S210" s="213">
        <f t="shared" si="117"/>
        <v>1</v>
      </c>
      <c r="T210" s="195" t="str">
        <f t="shared" si="118"/>
        <v>Southbound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124"/>
        <v>https://d0f6bd738d7f1b3e5a7ca70fe4ff75f0.us-east-1.aws.found.io/app/kibana#/discover/Steve-Slow-Train-Analysis-(2080s-and-2083s)?_g=(refreshInterval:(display:Off,pause:!f,section:0,value:0),time:(from:'2017-06-15T02:45:01-0600',mode:absolute,to:'2017-06-15T04:58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0" s="197" t="str">
        <f>IF(AA210&lt;VLOOKUP(AG210,Variables!$AC$3:$AD$8,2,FALSE),"Y","N")</f>
        <v>Y</v>
      </c>
      <c r="X210" s="197">
        <f t="shared" si="113"/>
        <v>1</v>
      </c>
      <c r="Y210" s="197">
        <f t="shared" si="119"/>
        <v>2.3374999999999999</v>
      </c>
      <c r="Z210" s="197">
        <f t="shared" si="120"/>
        <v>1.5599999999999999E-2</v>
      </c>
      <c r="AA210" s="197">
        <f t="shared" si="121"/>
        <v>2.3218999999999999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122"/>
        <v>304</v>
      </c>
      <c r="AE210" s="77" t="str">
        <f t="shared" si="125"/>
        <v>aws s3 cp s3://rtdc.mdm.uploadarchive.raw/RTDC4039/ "%USERPROFILE%\AppData\Local\Temp\OnboardLogs"\RTDC4039\2017-06-15 --exclude "*" --recursive --include "*20170615*" &amp; "%USERPROFILE%\Documents\GitHub\mrs-test-scripts\Headless Mode &amp; Sideloading\WalkAndUnGZ.bat" "%USERPROFILE%\AppData\Local\Temp\OnboardLogs"\RTDC4039\2017-06-15 &amp; aws s3 cp s3://rtdc.mdm.uploadarchive.raw/RTDC4039/ "%USERPROFILE%\AppData\Local\Temp\OnboardLogs"\RTDC4039\2017-06-16 --exclude "*" --recursive --include "*20170616*" &amp; "%USERPROFILE%\Documents\GitHub\mrs-test-scripts\Headless Mode &amp; Sideloading\WalkAndUnGZ.bat" "%USERPROFILE%\AppData\Local\Temp\OnboardLogs"\RTDC4039\2017-06-16</v>
      </c>
      <c r="AF210" s="74" t="str">
        <f t="shared" si="126"/>
        <v>"C:\Program Files (x86)\AstroGrep\AstroGrep.exe" /e /r /s /spath="%USERPROFILE%\AppData\Local\Temp\OnboardLogs" /stypes="app*4039*20170615*" /stext=" 09:.+((SYSTEM_STATE.+slice.+state.+changed )|(ment ac)|(multiple cpu faults)|(system.+state.+changed )|(\[timeout)|(PRM\|1\|D)|(kpr)|(kdp)|(train st.+moving)|(\|lc)|(penalty))"</v>
      </c>
      <c r="AG210" s="209" t="str">
        <f t="shared" si="123"/>
        <v>Other</v>
      </c>
      <c r="AH210" s="78" t="str">
        <f t="shared" si="67"/>
        <v>"%USERPROFILE%\Documents\GitHub\eaglep3\Utilities\RefineRTDCRunTimes.py" --tripid 304-15 --locoid 4039 --swversion DE.1.0.9.0 --startMP 300:23375 --initTime 2017-06-15T03:45:01 --startdatetime 2017-06-15T03:50:19 --delay 5 --endMP 204:156 --enddatetime 2017-06-15T03:58:29 --enforcementcount 0 &gt;&gt;C:\Users\stu\Documents\GitHub\eaglep3-reporting\EC\2017-06-15-refined-times.txt</v>
      </c>
      <c r="AI210" s="96" t="str">
        <f t="shared" si="68"/>
        <v>echo {"issue":{"subject":"","project_id":79,"tracker_id":40,"status_id":1,"priority_id":2,"assigned_to_id":23,"start_date":"2017-06-15","description":"","custom_fields":[{"id":1,"name":"Subdivision","value":"Other"},{"id":4,"name":"Milepost","value":"0.0156"},{"id":17,"name":"Train ID","value":"304-15"},{"id":16,"name":"Locomotive ID","value":"4039"},{"id":130,"name":"Impact","value":""},{"id":150,"name":"Time of Event (Mountain Time)","value":"03:58:29"},{"id":151,"name":"Denver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69"/>
        <v>start /low /b %USERPROFILE%\Documents\GitHub\eaglep3\Utilities\DownloadLogsFromS3.py --loco 4039 --day 2017-06-15</v>
      </c>
      <c r="AN210" s="151" t="str">
        <f t="shared" si="7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09:58:29"},{"id":29,"name":"Sharepoint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815</v>
      </c>
      <c r="B211" s="7">
        <v>4042</v>
      </c>
      <c r="C211" s="21" t="s">
        <v>202</v>
      </c>
      <c r="D211" s="21" t="s">
        <v>901</v>
      </c>
      <c r="E211" s="13">
        <v>42901.819976851853</v>
      </c>
      <c r="F211" s="13">
        <v>42901.821157407408</v>
      </c>
      <c r="G211" s="7">
        <v>0</v>
      </c>
      <c r="H211" s="21" t="s">
        <v>902</v>
      </c>
      <c r="I211" s="13">
        <v>42901.827291666668</v>
      </c>
      <c r="J211" s="7">
        <v>0</v>
      </c>
      <c r="K211" s="89" t="str">
        <f t="shared" si="114"/>
        <v>4041/4042</v>
      </c>
      <c r="L211" s="21" t="str">
        <f>VLOOKUP(A211,'Trips&amp;Operators'!$C$1:$G$99999,5,FALSE)</f>
        <v>HOLCOMB KAMDEN</v>
      </c>
      <c r="M211" s="6">
        <f t="shared" si="115"/>
        <v>6.1342592598521151E-3</v>
      </c>
      <c r="N211" s="7">
        <f t="shared" si="116"/>
        <v>8.8333333341870457</v>
      </c>
      <c r="O211" s="7"/>
      <c r="P211" s="7"/>
      <c r="Q211" s="22"/>
      <c r="R211" s="170"/>
      <c r="S211" s="213">
        <f t="shared" si="117"/>
        <v>1</v>
      </c>
      <c r="T211" s="195" t="str">
        <f t="shared" si="118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124"/>
        <v>https://d0f6bd738d7f1b3e5a7ca70fe4ff75f0.us-east-1.aws.found.io/app/kibana#/discover/Steve-Slow-Train-Analysis-(2080s-and-2083s)?_g=(refreshInterval:(display:Off,pause:!f,section:0,value:0),time:(from:'2017-06-15T18:40:46-0600',mode:absolute,to:'2017-06-15T20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1" s="197" t="str">
        <f>IF(AA211&lt;VLOOKUP(AG211,Variables!$AC$3:$AD$8,2,FALSE),"Y","N")</f>
        <v>Y</v>
      </c>
      <c r="X211" s="197">
        <f t="shared" si="113"/>
        <v>1</v>
      </c>
      <c r="Y211" s="197">
        <f t="shared" si="119"/>
        <v>3.9300000000000002E-2</v>
      </c>
      <c r="Z211" s="197">
        <f t="shared" si="120"/>
        <v>2.3300999999999998</v>
      </c>
      <c r="AA211" s="197">
        <f t="shared" si="121"/>
        <v>2.2907999999999999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122"/>
        <v>305</v>
      </c>
      <c r="AE211" s="77" t="str">
        <f t="shared" si="125"/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AF211" s="74" t="str">
        <f t="shared" si="126"/>
        <v>"C:\Program Files (x86)\AstroGrep\AstroGrep.exe" /e /r /s /spath="%USERPROFILE%\AppData\Local\Temp\OnboardLogs" /stypes="app*4042*20170616*" /stext=" 01:.+((SYSTEM_STATE.+slice.+state.+changed )|(ment ac)|(multiple cpu faults)|(system.+state.+changed )|(\[timeout)|(PRM\|1\|D)|(kpr)|(kdp)|(train st.+moving)|(\|lc)|(penalty))"</v>
      </c>
      <c r="AG211" s="209" t="str">
        <f t="shared" si="123"/>
        <v>Other</v>
      </c>
      <c r="AH211" s="78" t="str">
        <f t="shared" ref="AH211:AH235" si="127"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305-15 --locoid 4042 --swversion DE.1.0.9.0 --startMP 204:393 --initTime 2017-06-15T19:40:46 --startdatetime 2017-06-15T19:42:28 --delay 0 --endMP 300:23301 --enddatetime 2017-06-15T19:51:18 --enforcementcount 0 &gt;&gt;C:\Users\stu\Documents\GitHub\eaglep3-reporting\EC\2017-06-15-refined-times.txt</v>
      </c>
      <c r="AI211" s="96" t="str">
        <f t="shared" ref="AI211:AI235" si="128"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{"issue":{"subject":"","project_id":79,"tracker_id":40,"status_id":1,"priority_id":2,"assigned_to_id":23,"start_date":"2017-06-15","description":"","custom_fields":[{"id":1,"name":"Subdivision","value":"Other"},{"id":4,"name":"Milepost","value":"2.3301"},{"id":17,"name":"Train ID","value":"305-15"},{"id":16,"name":"Locomotive ID","value":"4042"},{"id":130,"name":"Impact","value":""},{"id":150,"name":"Time of Event (Mountain Time)","value":"19:51:18"},{"id":151,"name":"Denver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ref="AM211:AM235" si="129">"start /low /b "&amp;dls3logs&amp;" --loco "&amp;B211&amp;" --day "&amp;TEXT(F211,"YYYY-MM-DD")</f>
        <v>start /low /b %USERPROFILE%\Documents\GitHub\eaglep3\Utilities\DownloadLogsFromS3.py --loco 4042 --day 2017-06-15</v>
      </c>
      <c r="AN211" s="151" t="str">
        <f t="shared" ref="AN211:AN235" si="130"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667</v>
      </c>
      <c r="B212" s="7">
        <v>4021</v>
      </c>
      <c r="C212" s="21" t="s">
        <v>202</v>
      </c>
      <c r="D212" s="21" t="s">
        <v>903</v>
      </c>
      <c r="E212" s="13">
        <v>42901.166909722226</v>
      </c>
      <c r="F212" s="13">
        <v>42901.171597222223</v>
      </c>
      <c r="G212" s="7">
        <v>6</v>
      </c>
      <c r="H212" s="21" t="s">
        <v>441</v>
      </c>
      <c r="I212" s="13">
        <v>42901.179664351854</v>
      </c>
      <c r="J212" s="7">
        <v>0</v>
      </c>
      <c r="K212" s="89" t="str">
        <f t="shared" si="114"/>
        <v>4021/4022</v>
      </c>
      <c r="L212" s="21" t="str">
        <f>VLOOKUP(A212,'Trips&amp;Operators'!$C$1:$G$99999,5,FALSE)</f>
        <v>GEBRETEKLE DAGNEW</v>
      </c>
      <c r="M212" s="6">
        <f t="shared" si="115"/>
        <v>8.0671296309446916E-3</v>
      </c>
      <c r="N212" s="7">
        <f t="shared" si="116"/>
        <v>11.616666668560356</v>
      </c>
      <c r="O212" s="7"/>
      <c r="P212" s="7"/>
      <c r="Q212" s="22"/>
      <c r="R212" s="170"/>
      <c r="S212" s="213">
        <f t="shared" si="117"/>
        <v>1</v>
      </c>
      <c r="T212" s="195" t="str">
        <f t="shared" si="118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124"/>
        <v>https://d0f6bd738d7f1b3e5a7ca70fe4ff75f0.us-east-1.aws.found.io/app/kibana#/discover/Steve-Slow-Train-Analysis-(2080s-and-2083s)?_g=(refreshInterval:(display:Off,pause:!f,section:0,value:0),time:(from:'2017-06-15T03:00:21-0600',mode:absolute,to:'2017-06-15T05:18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12" s="197" t="str">
        <f>IF(AA212&lt;VLOOKUP(AG212,Variables!$AC$3:$AD$8,2,FALSE),"Y","N")</f>
        <v>Y</v>
      </c>
      <c r="X212" s="197">
        <f t="shared" si="113"/>
        <v>1</v>
      </c>
      <c r="Y212" s="197">
        <f t="shared" si="119"/>
        <v>2.3746999999999998</v>
      </c>
      <c r="Z212" s="197">
        <f t="shared" si="120"/>
        <v>1.5599999999999999E-2</v>
      </c>
      <c r="AA212" s="197">
        <f t="shared" si="121"/>
        <v>2.3590999999999998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122"/>
        <v>306</v>
      </c>
      <c r="AE212" s="77" t="str">
        <f t="shared" si="125"/>
        <v>aws s3 cp s3://rtdc.mdm.uploadarchive.raw/RTDC4021/ "%USERPROFILE%\AppData\Local\Temp\OnboardLogs"\RTDC4021\2017-06-15 --exclude "*" --recursive --include "*20170615*" &amp; "%USERPROFILE%\Documents\GitHub\mrs-test-scripts\Headless Mode &amp; Sideloading\WalkAndUnGZ.bat" "%USERPROFILE%\AppData\Local\Temp\OnboardLogs"\RTDC4021\2017-06-15 &amp; aws s3 cp s3://rtdc.mdm.uploadarchive.raw/RTDC4021/ "%USERPROFILE%\AppData\Local\Temp\OnboardLogs"\RTDC4021\2017-06-16 --exclude "*" --recursive --include "*20170616*" &amp; "%USERPROFILE%\Documents\GitHub\mrs-test-scripts\Headless Mode &amp; Sideloading\WalkAndUnGZ.bat" "%USERPROFILE%\AppData\Local\Temp\OnboardLogs"\RTDC4021\2017-06-16</v>
      </c>
      <c r="AF212" s="74" t="str">
        <f t="shared" si="126"/>
        <v>"C:\Program Files (x86)\AstroGrep\AstroGrep.exe" /e /r /s /spath="%USERPROFILE%\AppData\Local\Temp\OnboardLogs" /stypes="app*4021*20170615*" /stext=" 10:.+((SYSTEM_STATE.+slice.+state.+changed )|(ment ac)|(multiple cpu faults)|(system.+state.+changed )|(\[timeout)|(PRM\|1\|D)|(kpr)|(kdp)|(train st.+moving)|(\|lc)|(penalty))"</v>
      </c>
      <c r="AG212" s="209" t="str">
        <f t="shared" si="123"/>
        <v>Other</v>
      </c>
      <c r="AH212" s="78" t="str">
        <f t="shared" si="127"/>
        <v>"%USERPROFILE%\Documents\GitHub\eaglep3\Utilities\RefineRTDCRunTimes.py" --tripid 306-15 --locoid 4021 --swversion DE.1.0.9.0 --startMP 300:23747 --initTime 2017-06-15T04:00:21 --startdatetime 2017-06-15T04:07:06 --delay 6 --endMP 204:156 --enddatetime 2017-06-15T04:18:43 --enforcementcount 0 &gt;&gt;C:\Users\stu\Documents\GitHub\eaglep3-reporting\EC\2017-06-15-refined-times.txt</v>
      </c>
      <c r="AI212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{"issue":{"subject":"","project_id":79,"tracker_id":40,"status_id":1,"priority_id":2,"assigned_to_id":23,"start_date":"2017-06-15","description":"","custom_fields":[{"id":1,"name":"Subdivision","value":"Other"},{"id":4,"name":"Milepost","value":"0.0156"},{"id":17,"name":"Train ID","value":"306-15"},{"id":16,"name":"Locomotive ID","value":"4021"},{"id":130,"name":"Impact","value":""},{"id":150,"name":"Time of Event (Mountain Time)","value":"04:18:43"},{"id":151,"name":"Denver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29"/>
        <v>start /low /b %USERPROFILE%\Documents\GitHub\eaglep3\Utilities\DownloadLogsFromS3.py --loco 4021 --day 2017-06-15</v>
      </c>
      <c r="AN212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10:18:43"},{"id":29,"name":"Sharepoint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614</v>
      </c>
      <c r="B213" s="7">
        <v>4001</v>
      </c>
      <c r="C213" s="21" t="s">
        <v>202</v>
      </c>
      <c r="D213" s="21" t="s">
        <v>904</v>
      </c>
      <c r="E213" s="13">
        <v>42901.17496527778</v>
      </c>
      <c r="F213" s="13">
        <v>42901.180312500001</v>
      </c>
      <c r="G213" s="7">
        <v>7</v>
      </c>
      <c r="H213" s="21" t="s">
        <v>905</v>
      </c>
      <c r="I213" s="13">
        <v>42901.184421296297</v>
      </c>
      <c r="J213" s="7">
        <v>0</v>
      </c>
      <c r="K213" s="89" t="str">
        <f t="shared" si="114"/>
        <v>4001/4002</v>
      </c>
      <c r="L213" s="21" t="str">
        <f>VLOOKUP(A213,'Trips&amp;Operators'!$C$1:$G$99999,5,FALSE)</f>
        <v>GUZMAN DANNY</v>
      </c>
      <c r="M213" s="6">
        <f t="shared" si="115"/>
        <v>4.1087962963501923E-3</v>
      </c>
      <c r="N213" s="7">
        <f t="shared" si="116"/>
        <v>5.9166666667442769</v>
      </c>
      <c r="O213" s="7"/>
      <c r="P213" s="7"/>
      <c r="Q213" s="22"/>
      <c r="R213" s="170"/>
      <c r="S213" s="213">
        <f t="shared" si="117"/>
        <v>1</v>
      </c>
      <c r="T213" s="195" t="str">
        <f t="shared" si="118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124"/>
        <v>https://d0f6bd738d7f1b3e5a7ca70fe4ff75f0.us-east-1.aws.found.io/app/kibana#/discover/Steve-Slow-Train-Analysis-(2080s-and-2083s)?_g=(refreshInterval:(display:Off,pause:!f,section:0,value:0),time:(from:'2017-06-15T03:11:57-0600',mode:absolute,to:'2017-06-15T05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3" s="197" t="str">
        <f>IF(AA213&lt;VLOOKUP(AG213,Variables!$AC$3:$AD$8,2,FALSE),"Y","N")</f>
        <v>Y</v>
      </c>
      <c r="X213" s="197">
        <f t="shared" ref="X213:X235" si="131">VALUE(LEFT(AD213,4))-VALUE(LEFT(AD212,4))</f>
        <v>2</v>
      </c>
      <c r="Y213" s="197">
        <f t="shared" si="119"/>
        <v>1.9258</v>
      </c>
      <c r="Z213" s="197">
        <f t="shared" si="120"/>
        <v>0.53439999999999999</v>
      </c>
      <c r="AA213" s="197">
        <f t="shared" si="121"/>
        <v>1.3914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122"/>
        <v>308</v>
      </c>
      <c r="AE213" s="77" t="str">
        <f t="shared" si="125"/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AF213" s="74" t="str">
        <f t="shared" si="126"/>
        <v>"C:\Program Files (x86)\AstroGrep\AstroGrep.exe" /e /r /s /spath="%USERPROFILE%\AppData\Local\Temp\OnboardLogs" /stypes="app*4001*20170615*" /stext=" 10:.+((SYSTEM_STATE.+slice.+state.+changed )|(ment ac)|(multiple cpu faults)|(system.+state.+changed )|(\[timeout)|(PRM\|1\|D)|(kpr)|(kdp)|(train st.+moving)|(\|lc)|(penalty))"</v>
      </c>
      <c r="AG213" s="209" t="str">
        <f t="shared" si="123"/>
        <v>Other</v>
      </c>
      <c r="AH213" s="78" t="str">
        <f t="shared" si="127"/>
        <v>"%USERPROFILE%\Documents\GitHub\eaglep3\Utilities\RefineRTDCRunTimes.py" --tripid 308-15 --locoid 4001 --swversion DE.1.0.9.0 --startMP 300:19258 --initTime 2017-06-15T04:11:57 --startdatetime 2017-06-15T04:19:39 --delay 7 --endMP 300:5344 --enddatetime 2017-06-15T04:25:34 --enforcementcount 0 &gt;&gt;C:\Users\stu\Documents\GitHub\eaglep3-reporting\EC\2017-06-15-refined-times.txt</v>
      </c>
      <c r="AI213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{"issue":{"subject":"","project_id":79,"tracker_id":40,"status_id":1,"priority_id":2,"assigned_to_id":23,"start_date":"2017-06-15","description":"","custom_fields":[{"id":1,"name":"Subdivision","value":"Other"},{"id":4,"name":"Milepost","value":"0.5344"},{"id":17,"name":"Train ID","value":"308-15"},{"id":16,"name":"Locomotive ID","value":"4001"},{"id":130,"name":"Impact","value":""},{"id":150,"name":"Time of Event (Mountain Time)","value":"04:25:34"},{"id":151,"name":"Denver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129"/>
        <v>start /low /b %USERPROFILE%\Documents\GitHub\eaglep3\Utilities\DownloadLogsFromS3.py --loco 4001 --day 2017-06-15</v>
      </c>
      <c r="AN213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10:25:34"},{"id":29,"name":"Sharepoint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673</v>
      </c>
      <c r="B214" s="7">
        <v>4005</v>
      </c>
      <c r="C214" s="21" t="s">
        <v>202</v>
      </c>
      <c r="D214" s="21" t="s">
        <v>906</v>
      </c>
      <c r="E214" s="13">
        <v>42901.202268518522</v>
      </c>
      <c r="F214" s="13">
        <v>42901.204953703702</v>
      </c>
      <c r="G214" s="7">
        <v>3</v>
      </c>
      <c r="H214" s="21" t="s">
        <v>420</v>
      </c>
      <c r="I214" s="13">
        <v>42901.211192129631</v>
      </c>
      <c r="J214" s="7">
        <v>0</v>
      </c>
      <c r="K214" s="89" t="str">
        <f t="shared" si="114"/>
        <v>4005/4006</v>
      </c>
      <c r="L214" s="21" t="str">
        <f>VLOOKUP(A214,'Trips&amp;Operators'!$C$1:$G$99999,5,FALSE)</f>
        <v>LOZA FIDEL</v>
      </c>
      <c r="M214" s="6">
        <f t="shared" si="115"/>
        <v>6.2384259290411137E-3</v>
      </c>
      <c r="N214" s="7">
        <f t="shared" si="116"/>
        <v>8.9833333378192037</v>
      </c>
      <c r="O214" s="7"/>
      <c r="P214" s="7"/>
      <c r="Q214" s="22"/>
      <c r="R214" s="170"/>
      <c r="S214" s="213">
        <f t="shared" si="117"/>
        <v>1</v>
      </c>
      <c r="T214" s="195" t="str">
        <f t="shared" si="118"/>
        <v>Southbound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124"/>
        <v>https://d0f6bd738d7f1b3e5a7ca70fe4ff75f0.us-east-1.aws.found.io/app/kibana#/discover/Steve-Slow-Train-Analysis-(2080s-and-2083s)?_g=(refreshInterval:(display:Off,pause:!f,section:0,value:0),time:(from:'2017-06-15T03:51:16-0600',mode:absolute,to:'2017-06-15T06:04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4" s="197" t="str">
        <f>IF(AA214&lt;VLOOKUP(AG214,Variables!$AC$3:$AD$8,2,FALSE),"Y","N")</f>
        <v>Y</v>
      </c>
      <c r="X214" s="197">
        <f t="shared" si="131"/>
        <v>2</v>
      </c>
      <c r="Y214" s="197">
        <f t="shared" si="119"/>
        <v>2.3447</v>
      </c>
      <c r="Z214" s="197">
        <f t="shared" si="120"/>
        <v>1.4500000000000001E-2</v>
      </c>
      <c r="AA214" s="197">
        <f t="shared" si="121"/>
        <v>2.3302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122"/>
        <v>310</v>
      </c>
      <c r="AE214" s="77" t="str">
        <f t="shared" si="125"/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AF214" s="74" t="str">
        <f t="shared" si="126"/>
        <v>"C:\Program Files (x86)\AstroGrep\AstroGrep.exe" /e /r /s /spath="%USERPROFILE%\AppData\Local\Temp\OnboardLogs" /stypes="app*4005*20170615*" /stext=" 11:.+((SYSTEM_STATE.+slice.+state.+changed )|(ment ac)|(multiple cpu faults)|(system.+state.+changed )|(\[timeout)|(PRM\|1\|D)|(kpr)|(kdp)|(train st.+moving)|(\|lc)|(penalty))"</v>
      </c>
      <c r="AG214" s="209" t="str">
        <f t="shared" si="123"/>
        <v>Other</v>
      </c>
      <c r="AH214" s="78" t="str">
        <f t="shared" si="127"/>
        <v>"%USERPROFILE%\Documents\GitHub\eaglep3\Utilities\RefineRTDCRunTimes.py" --tripid 310-15 --locoid 4005 --swversion DE.1.0.9.0 --startMP 300:23447 --initTime 2017-06-15T04:51:16 --startdatetime 2017-06-15T04:55:08 --delay 3 --endMP 204:145 --enddatetime 2017-06-15T05:04:07 --enforcementcount 0 &gt;&gt;C:\Users\stu\Documents\GitHub\eaglep3-reporting\EC\2017-06-15-refined-times.txt</v>
      </c>
      <c r="AI214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{"issue":{"subject":"","project_id":79,"tracker_id":40,"status_id":1,"priority_id":2,"assigned_to_id":23,"start_date":"2017-06-15","description":"","custom_fields":[{"id":1,"name":"Subdivision","value":"Other"},{"id":4,"name":"Milepost","value":"0.0145"},{"id":17,"name":"Train ID","value":"310-15"},{"id":16,"name":"Locomotive ID","value":"4005"},{"id":130,"name":"Impact","value":""},{"id":150,"name":"Time of Event (Mountain Time)","value":"05:04:07"},{"id":151,"name":"Denver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129"/>
        <v>start /low /b %USERPROFILE%\Documents\GitHub\eaglep3\Utilities\DownloadLogsFromS3.py --loco 4005 --day 2017-06-15</v>
      </c>
      <c r="AN214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11:04:07"},{"id":29,"name":"Sharepoint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678</v>
      </c>
      <c r="B215" s="7">
        <v>4041</v>
      </c>
      <c r="C215" s="21" t="s">
        <v>202</v>
      </c>
      <c r="D215" s="21" t="s">
        <v>907</v>
      </c>
      <c r="E215" s="13">
        <v>42901.21875</v>
      </c>
      <c r="F215" s="13">
        <v>42901.223287037035</v>
      </c>
      <c r="G215" s="7">
        <v>6</v>
      </c>
      <c r="H215" s="21" t="s">
        <v>420</v>
      </c>
      <c r="I215" s="13">
        <v>42901.23201388889</v>
      </c>
      <c r="J215" s="7">
        <v>0</v>
      </c>
      <c r="K215" s="89" t="str">
        <f t="shared" si="114"/>
        <v>4041/4042</v>
      </c>
      <c r="L215" s="21" t="str">
        <f>VLOOKUP(A215,'Trips&amp;Operators'!$C$1:$G$99999,5,FALSE)</f>
        <v>HELVIE ADAM</v>
      </c>
      <c r="M215" s="6">
        <f t="shared" si="115"/>
        <v>8.7268518545897678E-3</v>
      </c>
      <c r="N215" s="7">
        <f t="shared" si="116"/>
        <v>12.566666670609266</v>
      </c>
      <c r="O215" s="7"/>
      <c r="P215" s="7"/>
      <c r="Q215" s="22"/>
      <c r="R215" s="170"/>
      <c r="S215" s="213">
        <f t="shared" si="117"/>
        <v>1</v>
      </c>
      <c r="T215" s="195" t="str">
        <f t="shared" si="118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124"/>
        <v>https://d0f6bd738d7f1b3e5a7ca70fe4ff75f0.us-east-1.aws.found.io/app/kibana#/discover/Steve-Slow-Train-Analysis-(2080s-and-2083s)?_g=(refreshInterval:(display:Off,pause:!f,section:0,value:0),time:(from:'2017-06-15T04:15:00-0600',mode:absolute,to:'2017-06-15T06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5" s="197" t="str">
        <f>IF(AA215&lt;VLOOKUP(AG215,Variables!$AC$3:$AD$8,2,FALSE),"Y","N")</f>
        <v>Y</v>
      </c>
      <c r="X215" s="197">
        <f t="shared" si="131"/>
        <v>2</v>
      </c>
      <c r="Y215" s="197">
        <f t="shared" si="119"/>
        <v>2.3235000000000001</v>
      </c>
      <c r="Z215" s="197">
        <f t="shared" si="120"/>
        <v>1.4500000000000001E-2</v>
      </c>
      <c r="AA215" s="197">
        <f t="shared" si="121"/>
        <v>2.3090000000000002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122"/>
        <v>312</v>
      </c>
      <c r="AE215" s="77" t="str">
        <f t="shared" si="125"/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AF215" s="74" t="str">
        <f t="shared" si="126"/>
        <v>"C:\Program Files (x86)\AstroGrep\AstroGrep.exe" /e /r /s /spath="%USERPROFILE%\AppData\Local\Temp\OnboardLogs" /stypes="app*4041*20170615*" /stext=" 11:.+((SYSTEM_STATE.+slice.+state.+changed )|(ment ac)|(multiple cpu faults)|(system.+state.+changed )|(\[timeout)|(PRM\|1\|D)|(kpr)|(kdp)|(train st.+moving)|(\|lc)|(penalty))"</v>
      </c>
      <c r="AG215" s="209" t="str">
        <f t="shared" si="123"/>
        <v>Other</v>
      </c>
      <c r="AH215" s="78" t="str">
        <f t="shared" si="127"/>
        <v>"%USERPROFILE%\Documents\GitHub\eaglep3\Utilities\RefineRTDCRunTimes.py" --tripid 312-15 --locoid 4041 --swversion DE.1.0.9.0 --startMP 300:23235 --initTime 2017-06-15T05:15:00 --startdatetime 2017-06-15T05:21:32 --delay 6 --endMP 204:145 --enddatetime 2017-06-15T05:34:06 --enforcementcount 0 &gt;&gt;C:\Users\stu\Documents\GitHub\eaglep3-reporting\EC\2017-06-15-refined-times.txt</v>
      </c>
      <c r="AI215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{"issue":{"subject":"","project_id":79,"tracker_id":40,"status_id":1,"priority_id":2,"assigned_to_id":23,"start_date":"2017-06-15","description":"","custom_fields":[{"id":1,"name":"Subdivision","value":"Other"},{"id":4,"name":"Milepost","value":"0.0145"},{"id":17,"name":"Train ID","value":"312-15"},{"id":16,"name":"Locomotive ID","value":"4041"},{"id":130,"name":"Impact","value":""},{"id":150,"name":"Time of Event (Mountain Time)","value":"05:34:06"},{"id":151,"name":"Denver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129"/>
        <v>start /low /b %USERPROFILE%\Documents\GitHub\eaglep3\Utilities\DownloadLogsFromS3.py --loco 4041 --day 2017-06-15</v>
      </c>
      <c r="AN215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11:34:06"},{"id":29,"name":"Sharepoint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566</v>
      </c>
      <c r="B216" s="7">
        <v>4056</v>
      </c>
      <c r="C216" s="21" t="s">
        <v>202</v>
      </c>
      <c r="D216" s="21" t="s">
        <v>580</v>
      </c>
      <c r="E216" s="13">
        <v>42901.092372685183</v>
      </c>
      <c r="F216" s="13">
        <v>42901.0940162037</v>
      </c>
      <c r="G216" s="7">
        <v>1</v>
      </c>
      <c r="H216" s="21" t="s">
        <v>354</v>
      </c>
      <c r="I216" s="13">
        <v>25568.708333333332</v>
      </c>
      <c r="J216" s="7">
        <v>0</v>
      </c>
      <c r="K216" s="89" t="str">
        <f t="shared" si="114"/>
        <v>4055/4056</v>
      </c>
      <c r="L216" s="21" t="str">
        <f>VLOOKUP(A216,'Trips&amp;Operators'!$C$1:$G$99999,5,FALSE)</f>
        <v>LAMAR NEKESHA</v>
      </c>
      <c r="M216" s="6">
        <f t="shared" si="115"/>
        <v>-17332.385682870368</v>
      </c>
      <c r="N216" s="7">
        <f t="shared" si="116"/>
        <v>-24958635.383333329</v>
      </c>
      <c r="O216" s="7"/>
      <c r="P216" s="7"/>
      <c r="Q216" s="22"/>
      <c r="R216" s="170"/>
      <c r="S216" s="213">
        <f t="shared" si="117"/>
        <v>1</v>
      </c>
      <c r="T216" s="195" t="str">
        <f t="shared" si="118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124"/>
        <v>https://d0f6bd738d7f1b3e5a7ca70fe4ff75f0.us-east-1.aws.found.io/app/kibana#/discover/Steve-Slow-Train-Analysis-(2080s-and-2083s)?_g=(refreshInterval:(display:Off,pause:!f,section:0,value:0),time:(from:'2017-06-15T01:13:01-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6" s="197" t="str">
        <f>IF(AA216&lt;VLOOKUP(AG216,Variables!$AC$3:$AD$8,2,FALSE),"Y","N")</f>
        <v>Y</v>
      </c>
      <c r="X216" s="197">
        <f t="shared" si="131"/>
        <v>1</v>
      </c>
      <c r="Y216" s="197">
        <f t="shared" si="119"/>
        <v>4.6399999999999997E-2</v>
      </c>
      <c r="Z216" s="197">
        <f t="shared" si="120"/>
        <v>2.3346</v>
      </c>
      <c r="AA216" s="197">
        <f t="shared" si="121"/>
        <v>2.2881999999999998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122"/>
        <v>313</v>
      </c>
      <c r="AE216" s="77" t="str">
        <f t="shared" si="125"/>
        <v>aws s3 cp s3://rtdc.mdm.uploadarchive.raw/RTDC4056/ "%USERPROFILE%\AppData\Local\Temp\OnboardLogs"\RTDC4056\2017-06-15 --exclude "*" --recursive --include "*20170615*" &amp; "%USERPROFILE%\Documents\GitHub\mrs-test-scripts\Headless Mode &amp; Sideloading\WalkAndUnGZ.bat" "%USERPROFILE%\AppData\Local\Temp\OnboardLogs"\RTDC4056\2017-06-15 &amp; aws s3 cp s3://rtdc.mdm.uploadarchive.raw/RTDC4056/ "%USERPROFILE%\AppData\Local\Temp\OnboardLogs"\RTDC4056\2017-06-16 --exclude "*" --recursive --include "*20170616*" &amp; "%USERPROFILE%\Documents\GitHub\mrs-test-scripts\Headless Mode &amp; Sideloading\WalkAndUnGZ.bat" "%USERPROFILE%\AppData\Local\Temp\OnboardLogs"\RTDC4056\2017-06-16</v>
      </c>
      <c r="AF216" s="74" t="str">
        <f t="shared" si="126"/>
        <v>"C:\Program Files (x86)\AstroGrep\AstroGrep.exe" /e /r /s /spath="%USERPROFILE%\AppData\Local\Temp\OnboardLogs" /stypes="app*4056*19691231*" /stext=" 23:.+((SYSTEM_STATE.+slice.+state.+changed )|(ment ac)|(multiple cpu faults)|(system.+state.+changed )|(\[timeout)|(PRM\|1\|D)|(kpr)|(kdp)|(train st.+moving)|(\|lc)|(penalty))"</v>
      </c>
      <c r="AG216" s="209" t="str">
        <f t="shared" si="123"/>
        <v>Other</v>
      </c>
      <c r="AH216" s="78" t="str">
        <f t="shared" si="127"/>
        <v>"%USERPROFILE%\Documents\GitHub\eaglep3\Utilities\RefineRTDCRunTimes.py" --tripid 313-14 --locoid 4056 --swversion DE.1.0.9.0 --startMP 204:464 --initTime 2017-06-15T02:13:01 --startdatetime 2017-06-15T02:15:23 --delay 1 --endMP 300:23346 --enddatetime 1969-12-31T17:00:00 --enforcementcount 0 &gt;&gt;C:\Users\stu\Documents\GitHub\eaglep3-reporting\EC\2017-06-15-refined-times.txt</v>
      </c>
      <c r="AI216" s="96" t="str">
        <f t="shared" si="128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ID","value":"313-14"},{"id":16,"name":"Locomotive ID","value":"4056"},{"id":130,"name":"Impact","value":""},{"id":150,"name":"Time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29"/>
        <v>start /low /b %USERPROFILE%\Documents\GitHub\eaglep3\Utilities\DownloadLogsFromS3.py --loco 4056 --day 2017-06-15</v>
      </c>
      <c r="AN216" s="151" t="str">
        <f t="shared" si="13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616</v>
      </c>
      <c r="B217" s="7">
        <v>4058</v>
      </c>
      <c r="C217" s="21" t="s">
        <v>202</v>
      </c>
      <c r="D217" s="21" t="s">
        <v>990</v>
      </c>
      <c r="E217" s="13">
        <v>42901.196481481478</v>
      </c>
      <c r="F217" s="13">
        <v>42901.201967592591</v>
      </c>
      <c r="G217" s="7">
        <v>7</v>
      </c>
      <c r="H217" s="21" t="s">
        <v>991</v>
      </c>
      <c r="I217" s="13">
        <v>42901.208252314813</v>
      </c>
      <c r="J217" s="7">
        <v>0</v>
      </c>
      <c r="K217" s="89" t="str">
        <f t="shared" si="114"/>
        <v>4057/4058</v>
      </c>
      <c r="L217" s="21" t="str">
        <f>VLOOKUP(A217,'Trips&amp;Operators'!$C$1:$G$99999,5,FALSE)</f>
        <v>DAVIS WENDY</v>
      </c>
      <c r="M217" s="6">
        <f t="shared" si="115"/>
        <v>6.284722221607808E-3</v>
      </c>
      <c r="N217" s="7">
        <f t="shared" si="116"/>
        <v>9.0499999991152436</v>
      </c>
      <c r="O217" s="7"/>
      <c r="P217" s="7"/>
      <c r="Q217" s="22"/>
      <c r="R217" s="170"/>
      <c r="S217" s="213">
        <f t="shared" si="117"/>
        <v>0</v>
      </c>
      <c r="T217" s="195" t="str">
        <f t="shared" si="118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6" t="str">
        <f t="shared" si="124"/>
        <v>https://d0f6bd738d7f1b3e5a7ca70fe4ff75f0.us-east-1.aws.found.io/app/kibana#/discover/Steve-Slow-Train-Analysis-(2080s-and-2083s)?_g=(refreshInterval:(display:Off,pause:!f,section:0,value:0),time:(from:'2017-06-15T03:42:56-0600',mode:absolute,to:'2017-06-15T05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7" s="197" t="str">
        <f>IF(AA217&lt;VLOOKUP(AG217,Variables!$AC$3:$AD$8,2,FALSE),"Y","N")</f>
        <v>Y</v>
      </c>
      <c r="X217" s="197">
        <f t="shared" si="131"/>
        <v>588</v>
      </c>
      <c r="Y217" s="197">
        <f t="shared" si="119"/>
        <v>2.9986999999999999</v>
      </c>
      <c r="Z217" s="197">
        <f t="shared" si="120"/>
        <v>5.9001000000000001</v>
      </c>
      <c r="AA217" s="197">
        <f t="shared" si="121"/>
        <v>2.9014000000000002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122"/>
        <v>901</v>
      </c>
      <c r="AE217" s="77" t="str">
        <f t="shared" si="125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217" s="74" t="str">
        <f t="shared" si="126"/>
        <v>"C:\Program Files (x86)\AstroGrep\AstroGrep.exe" /e /r /s /spath="%USERPROFILE%\AppData\Local\Temp\OnboardLogs" /stypes="app*4058*20170615*" /stext=" 10:.+((SYSTEM_STATE.+slice.+state.+changed )|(ment ac)|(multiple cpu faults)|(system.+state.+changed )|(\[timeout)|(PRM\|1\|D)|(kpr)|(kdp)|(train st.+moving)|(\|lc)|(penalty))"</v>
      </c>
      <c r="AG217" s="209" t="str">
        <f t="shared" si="123"/>
        <v>Other</v>
      </c>
      <c r="AH217" s="78" t="str">
        <f t="shared" si="127"/>
        <v>"%USERPROFILE%\Documents\GitHub\eaglep3\Utilities\RefineRTDCRunTimes.py" --tripid 901-15 --locoid 4058 --swversion DE.1.0.9.0 --startMP 300:29987 --initTime 2017-06-15T04:42:56 --startdatetime 2017-06-15T04:50:50 --delay 7 --endMP 300:59001 --enddatetime 2017-06-15T04:59:53 --enforcementcount 0 &gt;&gt;C:\Users\stu\Documents\GitHub\eaglep3-reporting\EC\2017-06-15-refined-times.txt</v>
      </c>
      <c r="AI217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{"issue":{"subject":"","project_id":79,"tracker_id":40,"status_id":1,"priority_id":2,"assigned_to_id":23,"start_date":"2017-06-15","description":"","custom_fields":[{"id":1,"name":"Subdivision","value":"Other"},{"id":4,"name":"Milepost","value":"5.9001"},{"id":17,"name":"Train ID","value":"901-15"},{"id":16,"name":"Locomotive ID","value":"4058"},{"id":130,"name":"Impact","value":""},{"id":150,"name":"Time of Event (Mountain Time)","value":"04:59:53"},{"id":151,"name":"Denver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129"/>
        <v>start /low /b %USERPROFILE%\Documents\GitHub\eaglep3\Utilities\DownloadLogsFromS3.py --loco 4058 --day 2017-06-15</v>
      </c>
      <c r="AN217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10:59:53"},{"id":29,"name":"Sharepoint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683</v>
      </c>
      <c r="B218" s="7">
        <v>4013</v>
      </c>
      <c r="C218" s="21" t="s">
        <v>202</v>
      </c>
      <c r="D218" s="21" t="s">
        <v>992</v>
      </c>
      <c r="E218" s="13">
        <v>42901.247974537036</v>
      </c>
      <c r="F218" s="13">
        <v>42901.25099537037</v>
      </c>
      <c r="G218" s="7">
        <v>4</v>
      </c>
      <c r="H218" s="21" t="s">
        <v>599</v>
      </c>
      <c r="I218" s="13">
        <v>42901.256331018521</v>
      </c>
      <c r="J218" s="7">
        <v>0</v>
      </c>
      <c r="K218" s="89" t="str">
        <f t="shared" si="114"/>
        <v>4013/4014</v>
      </c>
      <c r="L218" s="21" t="str">
        <f>VLOOKUP(A218,'Trips&amp;Operators'!$C$1:$G$99999,5,FALSE)</f>
        <v>YANG JAN</v>
      </c>
      <c r="M218" s="6">
        <f t="shared" si="115"/>
        <v>5.3356481512309983E-3</v>
      </c>
      <c r="N218" s="7">
        <f t="shared" si="116"/>
        <v>7.6833333377726376</v>
      </c>
      <c r="O218" s="7"/>
      <c r="P218" s="7"/>
      <c r="Q218" s="22"/>
      <c r="R218" s="170"/>
      <c r="S218" s="213">
        <f t="shared" si="117"/>
        <v>1</v>
      </c>
      <c r="T218" s="195" t="str">
        <f t="shared" si="118"/>
        <v>Southbound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124"/>
        <v>https://d0f6bd738d7f1b3e5a7ca70fe4ff75f0.us-east-1.aws.found.io/app/kibana#/discover/Steve-Slow-Train-Analysis-(2080s-and-2083s)?_g=(refreshInterval:(display:Off,pause:!f,section:0,value:0),time:(from:'2017-06-15T04:57:05-0600',mode:absolute,to:'2017-06-15T07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8" s="197" t="str">
        <f>IF(AA218&lt;VLOOKUP(AG218,Variables!$AC$3:$AD$8,2,FALSE),"Y","N")</f>
        <v>Y</v>
      </c>
      <c r="X218" s="197">
        <f t="shared" si="131"/>
        <v>1</v>
      </c>
      <c r="Y218" s="197">
        <f t="shared" si="119"/>
        <v>2.3557000000000001</v>
      </c>
      <c r="Z218" s="197">
        <f t="shared" si="120"/>
        <v>6.8199999999999997E-2</v>
      </c>
      <c r="AA218" s="197">
        <f t="shared" si="121"/>
        <v>2.2875000000000001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122"/>
        <v>902</v>
      </c>
      <c r="AE218" s="77" t="str">
        <f t="shared" si="125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218" s="74" t="str">
        <f t="shared" si="126"/>
        <v>"C:\Program Files (x86)\AstroGrep\AstroGrep.exe" /e /r /s /spath="%USERPROFILE%\AppData\Local\Temp\OnboardLogs" /stypes="app*4013*20170615*" /stext=" 12:.+((SYSTEM_STATE.+slice.+state.+changed )|(ment ac)|(multiple cpu faults)|(system.+state.+changed )|(\[timeout)|(PRM\|1\|D)|(kpr)|(kdp)|(train st.+moving)|(\|lc)|(penalty))"</v>
      </c>
      <c r="AG218" s="209" t="str">
        <f t="shared" si="123"/>
        <v>Other</v>
      </c>
      <c r="AH218" s="78" t="str">
        <f t="shared" si="127"/>
        <v>"%USERPROFILE%\Documents\GitHub\eaglep3\Utilities\RefineRTDCRunTimes.py" --tripid 902-15 --locoid 4013 --swversion DE.1.0.9.0 --startMP 300:23557 --initTime 2017-06-15T05:57:05 --startdatetime 2017-06-15T06:01:26 --delay 4 --endMP 204:682 --enddatetime 2017-06-15T06:09:07 --enforcementcount 0 &gt;&gt;C:\Users\stu\Documents\GitHub\eaglep3-reporting\EC\2017-06-15-refined-times.txt</v>
      </c>
      <c r="AI218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{"issue":{"subject":"","project_id":79,"tracker_id":40,"status_id":1,"priority_id":2,"assigned_to_id":23,"start_date":"2017-06-15","description":"","custom_fields":[{"id":1,"name":"Subdivision","value":"Other"},{"id":4,"name":"Milepost","value":"0.0682"},{"id":17,"name":"Train ID","value":"902-15"},{"id":16,"name":"Locomotive ID","value":"4013"},{"id":130,"name":"Impact","value":""},{"id":150,"name":"Time of Event (Mountain Time)","value":"06:09:07"},{"id":151,"name":"Denver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29"/>
        <v>start /low /b %USERPROFILE%\Documents\GitHub\eaglep3\Utilities\DownloadLogsFromS3.py --loco 4013 --day 2017-06-15</v>
      </c>
      <c r="AN218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12:09:07"},{"id":29,"name":"Sharepoint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709</v>
      </c>
      <c r="B219" s="7">
        <v>4058</v>
      </c>
      <c r="C219" s="21" t="s">
        <v>202</v>
      </c>
      <c r="D219" s="21" t="s">
        <v>576</v>
      </c>
      <c r="E219" s="13">
        <v>42901.352233796293</v>
      </c>
      <c r="F219" s="13">
        <v>42901.353402777779</v>
      </c>
      <c r="G219" s="7">
        <v>0</v>
      </c>
      <c r="H219" s="21" t="s">
        <v>993</v>
      </c>
      <c r="I219" s="13">
        <v>42901.360486111109</v>
      </c>
      <c r="J219" s="7">
        <v>0</v>
      </c>
      <c r="K219" s="89" t="str">
        <f t="shared" si="114"/>
        <v>4057/4058</v>
      </c>
      <c r="L219" s="21" t="str">
        <f>VLOOKUP(A219,'Trips&amp;Operators'!$C$1:$G$99999,5,FALSE)</f>
        <v>DAVIS WENDY</v>
      </c>
      <c r="M219" s="6">
        <f t="shared" si="115"/>
        <v>7.0833333302289248E-3</v>
      </c>
      <c r="N219" s="7">
        <f t="shared" si="116"/>
        <v>10.199999995529652</v>
      </c>
      <c r="O219" s="7"/>
      <c r="P219" s="7"/>
      <c r="Q219" s="22"/>
      <c r="R219" s="170"/>
      <c r="S219" s="213">
        <f t="shared" si="117"/>
        <v>1</v>
      </c>
      <c r="T219" s="195" t="str">
        <f t="shared" si="118"/>
        <v>NorthBound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124"/>
        <v>https://d0f6bd738d7f1b3e5a7ca70fe4ff75f0.us-east-1.aws.found.io/app/kibana#/discover/Steve-Slow-Train-Analysis-(2080s-and-2083s)?_g=(refreshInterval:(display:Off,pause:!f,section:0,value:0),time:(from:'2017-06-15T07:27:13-0600',mode:absolute,to:'2017-06-15T09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9" s="197" t="str">
        <f>IF(AA219&lt;VLOOKUP(AG219,Variables!$AC$3:$AD$8,2,FALSE),"Y","N")</f>
        <v>Y</v>
      </c>
      <c r="X219" s="197">
        <f t="shared" si="131"/>
        <v>1</v>
      </c>
      <c r="Y219" s="197">
        <f t="shared" si="119"/>
        <v>4.5499999999999999E-2</v>
      </c>
      <c r="Z219" s="197">
        <f t="shared" si="120"/>
        <v>2.4214000000000002</v>
      </c>
      <c r="AA219" s="197">
        <f t="shared" si="121"/>
        <v>2.3759000000000001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122"/>
        <v>903</v>
      </c>
      <c r="AE219" s="77" t="str">
        <f t="shared" si="125"/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AF219" s="74" t="str">
        <f t="shared" si="126"/>
        <v>"C:\Program Files (x86)\AstroGrep\AstroGrep.exe" /e /r /s /spath="%USERPROFILE%\AppData\Local\Temp\OnboardLogs" /stypes="app*4058*20170615*" /stext=" 14:.+((SYSTEM_STATE.+slice.+state.+changed )|(ment ac)|(multiple cpu faults)|(system.+state.+changed )|(\[timeout)|(PRM\|1\|D)|(kpr)|(kdp)|(train st.+moving)|(\|lc)|(penalty))"</v>
      </c>
      <c r="AG219" s="209" t="str">
        <f t="shared" si="123"/>
        <v>Other</v>
      </c>
      <c r="AH219" s="78" t="str">
        <f t="shared" si="127"/>
        <v>"%USERPROFILE%\Documents\GitHub\eaglep3\Utilities\RefineRTDCRunTimes.py" --tripid 903-15 --locoid 4058 --swversion DE.1.0.9.0 --startMP 204:455 --initTime 2017-06-15T08:27:13 --startdatetime 2017-06-15T08:28:54 --delay 0 --endMP 300:24214 --enddatetime 2017-06-15T08:39:06 --enforcementcount 0 &gt;&gt;C:\Users\stu\Documents\GitHub\eaglep3-reporting\EC\2017-06-15-refined-times.txt</v>
      </c>
      <c r="AI219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{"issue":{"subject":"","project_id":79,"tracker_id":40,"status_id":1,"priority_id":2,"assigned_to_id":23,"start_date":"2017-06-15","description":"","custom_fields":[{"id":1,"name":"Subdivision","value":"Other"},{"id":4,"name":"Milepost","value":"2.4214"},{"id":17,"name":"Train ID","value":"903-15"},{"id":16,"name":"Locomotive ID","value":"4058"},{"id":130,"name":"Impact","value":""},{"id":150,"name":"Time of Event (Mountain Time)","value":"08:39:06"},{"id":151,"name":"Denver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29"/>
        <v>start /low /b %USERPROFILE%\Documents\GitHub\eaglep3\Utilities\DownloadLogsFromS3.py --loco 4058 --day 2017-06-15</v>
      </c>
      <c r="AN219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14:39:06"},{"id":29,"name":"Sharepoint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773</v>
      </c>
      <c r="B220" s="7">
        <v>4057</v>
      </c>
      <c r="C220" s="21" t="s">
        <v>202</v>
      </c>
      <c r="D220" s="21" t="s">
        <v>994</v>
      </c>
      <c r="E220" s="13">
        <v>42901.634074074071</v>
      </c>
      <c r="F220" s="13">
        <v>42901.63590277778</v>
      </c>
      <c r="G220" s="7">
        <v>2</v>
      </c>
      <c r="H220" s="21" t="s">
        <v>995</v>
      </c>
      <c r="I220" s="13">
        <v>42901.64303240741</v>
      </c>
      <c r="J220" s="7">
        <v>0</v>
      </c>
      <c r="K220" s="89" t="str">
        <f t="shared" si="114"/>
        <v>4057/4058</v>
      </c>
      <c r="L220" s="21" t="str">
        <f>VLOOKUP(A220,'Trips&amp;Operators'!$C$1:$G$99999,5,FALSE)</f>
        <v>HAITHCOX MICHAEL</v>
      </c>
      <c r="M220" s="6">
        <f t="shared" si="115"/>
        <v>7.1296296300715767E-3</v>
      </c>
      <c r="N220" s="7">
        <f t="shared" si="116"/>
        <v>10.26666666730307</v>
      </c>
      <c r="O220" s="7"/>
      <c r="P220" s="7"/>
      <c r="Q220" s="22"/>
      <c r="R220" s="170"/>
      <c r="S220" s="213">
        <f t="shared" si="117"/>
        <v>1</v>
      </c>
      <c r="T220" s="195" t="str">
        <f t="shared" si="118"/>
        <v>Southbound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124"/>
        <v>https://d0f6bd738d7f1b3e5a7ca70fe4ff75f0.us-east-1.aws.found.io/app/kibana#/discover/Steve-Slow-Train-Analysis-(2080s-and-2083s)?_g=(refreshInterval:(display:Off,pause:!f,section:0,value:0),time:(from:'2017-06-15T14:13:04-0600',mode:absolute,to:'2017-06-15T16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197" t="str">
        <f>IF(AA220&lt;VLOOKUP(AG220,Variables!$AC$3:$AD$8,2,FALSE),"Y","N")</f>
        <v>Y</v>
      </c>
      <c r="X220" s="197">
        <f t="shared" si="131"/>
        <v>1</v>
      </c>
      <c r="Y220" s="197">
        <f t="shared" si="119"/>
        <v>2.3332000000000002</v>
      </c>
      <c r="Z220" s="197">
        <f t="shared" si="120"/>
        <v>6.7299999999999999E-2</v>
      </c>
      <c r="AA220" s="197">
        <f t="shared" si="121"/>
        <v>2.2659000000000002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122"/>
        <v>904</v>
      </c>
      <c r="AE220" s="77" t="str">
        <f t="shared" si="125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220" s="74" t="str">
        <f t="shared" si="126"/>
        <v>"C:\Program Files (x86)\AstroGrep\AstroGrep.exe" /e /r /s /spath="%USERPROFILE%\AppData\Local\Temp\OnboardLogs" /stypes="app*4057*20170615*" /stext=" 21:.+((SYSTEM_STATE.+slice.+state.+changed )|(ment ac)|(multiple cpu faults)|(system.+state.+changed )|(\[timeout)|(PRM\|1\|D)|(kpr)|(kdp)|(train st.+moving)|(\|lc)|(penalty))"</v>
      </c>
      <c r="AG220" s="209" t="str">
        <f t="shared" si="123"/>
        <v>Other</v>
      </c>
      <c r="AH220" s="78" t="str">
        <f t="shared" si="127"/>
        <v>"%USERPROFILE%\Documents\GitHub\eaglep3\Utilities\RefineRTDCRunTimes.py" --tripid 904-15 --locoid 4057 --swversion DE.1.0.9.0 --startMP 300:23332 --initTime 2017-06-15T15:13:04 --startdatetime 2017-06-15T15:15:42 --delay 2 --endMP 204:673 --enddatetime 2017-06-15T15:25:58 --enforcementcount 0 &gt;&gt;C:\Users\stu\Documents\GitHub\eaglep3-reporting\EC\2017-06-15-refined-times.txt</v>
      </c>
      <c r="AI220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{"issue":{"subject":"","project_id":79,"tracker_id":40,"status_id":1,"priority_id":2,"assigned_to_id":23,"start_date":"2017-06-15","description":"","custom_fields":[{"id":1,"name":"Subdivision","value":"Other"},{"id":4,"name":"Milepost","value":"0.0673"},{"id":17,"name":"Train ID","value":"904-15"},{"id":16,"name":"Locomotive ID","value":"4057"},{"id":130,"name":"Impact","value":""},{"id":150,"name":"Time of Event (Mountain Time)","value":"15:25:58"},{"id":151,"name":"Denver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129"/>
        <v>start /low /b %USERPROFILE%\Documents\GitHub\eaglep3\Utilities\DownloadLogsFromS3.py --loco 4057 --day 2017-06-15</v>
      </c>
      <c r="AN220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21:25:58"},{"id":29,"name":"Sharepoint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811</v>
      </c>
      <c r="B221" s="7">
        <v>4057</v>
      </c>
      <c r="C221" s="21" t="s">
        <v>202</v>
      </c>
      <c r="D221" s="21" t="s">
        <v>960</v>
      </c>
      <c r="E221" s="13">
        <v>42901.796215277776</v>
      </c>
      <c r="F221" s="13">
        <v>42901.797673611109</v>
      </c>
      <c r="G221" s="7">
        <v>1</v>
      </c>
      <c r="H221" s="21" t="s">
        <v>996</v>
      </c>
      <c r="I221" s="13">
        <v>42901.803900462961</v>
      </c>
      <c r="J221" s="7">
        <v>0</v>
      </c>
      <c r="K221" s="89" t="str">
        <f t="shared" si="114"/>
        <v>4057/4058</v>
      </c>
      <c r="L221" s="21" t="str">
        <f>VLOOKUP(A221,'Trips&amp;Operators'!$C$1:$G$99999,5,FALSE)</f>
        <v>HAITHCOX MICHAEL</v>
      </c>
      <c r="M221" s="6">
        <f t="shared" si="115"/>
        <v>6.2268518522614613E-3</v>
      </c>
      <c r="N221" s="7"/>
      <c r="O221" s="7"/>
      <c r="P221" s="7">
        <f>24*60*SUM($M221:$M221)</f>
        <v>8.9666666672565043</v>
      </c>
      <c r="Q221" s="22"/>
      <c r="R221" s="170" t="s">
        <v>1039</v>
      </c>
      <c r="S221" s="213">
        <f t="shared" si="117"/>
        <v>0</v>
      </c>
      <c r="T221" s="195" t="str">
        <f t="shared" si="118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6" t="str">
        <f t="shared" si="124"/>
        <v>https://d0f6bd738d7f1b3e5a7ca70fe4ff75f0.us-east-1.aws.found.io/app/kibana#/discover/Steve-Slow-Train-Analysis-(2080s-and-2083s)?_g=(refreshInterval:(display:Off,pause:!f,section:0,value:0),time:(from:'2017-06-15T18:06:33-0600',mode:absolute,to:'2017-06-15T20:17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1" s="197" t="str">
        <f>IF(AA221&lt;VLOOKUP(AG221,Variables!$AC$3:$AD$8,2,FALSE),"Y","N")</f>
        <v>Y</v>
      </c>
      <c r="X221" s="197">
        <f t="shared" si="131"/>
        <v>2</v>
      </c>
      <c r="Y221" s="197">
        <f t="shared" si="119"/>
        <v>5.8605999999999998</v>
      </c>
      <c r="Z221" s="197">
        <f t="shared" si="120"/>
        <v>2.4586999999999999</v>
      </c>
      <c r="AA221" s="197">
        <f t="shared" si="121"/>
        <v>3.4018999999999999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122"/>
        <v>906</v>
      </c>
      <c r="AE221" s="77" t="str">
        <f t="shared" si="125"/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AF221" s="74" t="str">
        <f t="shared" si="126"/>
        <v>"C:\Program Files (x86)\AstroGrep\AstroGrep.exe" /e /r /s /spath="%USERPROFILE%\AppData\Local\Temp\OnboardLogs" /stypes="app*4057*20170616*" /stext=" 01:.+((SYSTEM_STATE.+slice.+state.+changed )|(ment ac)|(multiple cpu faults)|(system.+state.+changed )|(\[timeout)|(PRM\|1\|D)|(kpr)|(kdp)|(train st.+moving)|(\|lc)|(penalty))"</v>
      </c>
      <c r="AG221" s="209" t="str">
        <f t="shared" si="123"/>
        <v>Other</v>
      </c>
      <c r="AH221" s="78" t="str">
        <f t="shared" si="127"/>
        <v>"%USERPROFILE%\Documents\GitHub\eaglep3\Utilities\RefineRTDCRunTimes.py" --tripid 906-15 --locoid 4057 --swversion DE.1.0.9.0 --startMP 300:58606 --initTime 2017-06-15T19:06:33 --startdatetime 2017-06-15T19:08:39 --delay 1 --endMP 300:24587 --enddatetime 2017-06-15T19:17:37 --enforcementcount 0 &gt;&gt;C:\Users\stu\Documents\GitHub\eaglep3-reporting\EC\2017-06-15-refined-times.txt</v>
      </c>
      <c r="AI221" s="96" t="str">
        <f t="shared" si="128"/>
        <v>echo {"issue":{"subject":"Extended Onboard Wi-MAX data drop","project_id":79,"tracker_id":40,"status_id":1,"priority_id":2,"assigned_to_id":23,"start_date":"2017-06-15","description":"","custom_fields":[{"id":1,"name":"Subdivision","value":"Other"},{"id":4,"name":"Milepost","value":"2.4587"},{"id":17,"name":"Train ID","value":"906-15"},{"id":16,"name":"Locomotive ID","value":"4057"},{"id":130,"name":"Impact","value":""},{"id":150,"name":"Time of Event (Mountain Time)","value":"19:17:37"},{"id":151,"name":"Denver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29"/>
        <v>start /low /b %USERPROFILE%\Documents\GitHub\eaglep3\Utilities\DownloadLogsFromS3.py --loco 4057 --day 2017-06-15</v>
      </c>
      <c r="AN221" s="151" t="str">
        <f t="shared" si="130"/>
        <v>echo {"issue":{"subject":"Extended Onboard Wi-MAX data drop","project_id":30,"tracker_id":4,"status_id":1,"priority_id":1,"assigned_to_id":10,"start_date":"2017-06-16","description":"","custom_fields":[{"id":30,"name":"Category","value":"Issue"},{"id":3,"name":"Functional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01:17:37"},{"id":29,"name":"Sharepoint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x14ac:dyDescent="0.25">
      <c r="A222" s="32" t="s">
        <v>833</v>
      </c>
      <c r="B222" s="7">
        <v>4013</v>
      </c>
      <c r="C222" s="21" t="s">
        <v>202</v>
      </c>
      <c r="D222" s="21" t="s">
        <v>600</v>
      </c>
      <c r="E222" s="13">
        <v>42901.942708333336</v>
      </c>
      <c r="F222" s="13">
        <v>42901.943912037037</v>
      </c>
      <c r="G222" s="7">
        <v>0</v>
      </c>
      <c r="H222" s="21" t="s">
        <v>997</v>
      </c>
      <c r="I222" s="13">
        <v>42901.949791666666</v>
      </c>
      <c r="J222" s="7">
        <v>0</v>
      </c>
      <c r="K222" s="89" t="str">
        <f t="shared" si="114"/>
        <v>4013/4014</v>
      </c>
      <c r="L222" s="21" t="str">
        <f>VLOOKUP(A222,'Trips&amp;Operators'!$C$1:$G$99999,5,FALSE)</f>
        <v>HAITHCOX MICHAEL</v>
      </c>
      <c r="M222" s="6">
        <f t="shared" si="115"/>
        <v>5.8796296289074235E-3</v>
      </c>
      <c r="N222" s="7">
        <f t="shared" ref="N222:N230" si="132">24*60*SUM($M222:$M222)</f>
        <v>8.4666666656266898</v>
      </c>
      <c r="O222" s="7"/>
      <c r="P222" s="7"/>
      <c r="Q222" s="22"/>
      <c r="R222" s="170"/>
      <c r="S222" s="213">
        <f t="shared" si="117"/>
        <v>0</v>
      </c>
      <c r="T222" s="195" t="str">
        <f t="shared" si="118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124"/>
        <v>https://d0f6bd738d7f1b3e5a7ca70fe4ff75f0.us-east-1.aws.found.io/app/kibana#/discover/Steve-Slow-Train-Analysis-(2080s-and-2083s)?_g=(refreshInterval:(display:Off,pause:!f,section:0,value:0),time:(from:'2017-06-15T21:37:30-0600',mode:absolute,to:'2017-06-15T23:47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97" t="str">
        <f>IF(AA222&lt;VLOOKUP(AG222,Variables!$AC$3:$AD$8,2,FALSE),"Y","N")</f>
        <v>Y</v>
      </c>
      <c r="X222" s="197">
        <f t="shared" si="131"/>
        <v>2</v>
      </c>
      <c r="Y222" s="197">
        <f t="shared" si="119"/>
        <v>5.8666</v>
      </c>
      <c r="Z222" s="197">
        <f t="shared" si="120"/>
        <v>2.8782000000000001</v>
      </c>
      <c r="AA222" s="197">
        <f t="shared" si="121"/>
        <v>2.9883999999999999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122"/>
        <v>908</v>
      </c>
      <c r="AE222" s="77" t="str">
        <f t="shared" si="125"/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AF222" s="74" t="str">
        <f t="shared" si="126"/>
        <v>"C:\Program Files (x86)\AstroGrep\AstroGrep.exe" /e /r /s /spath="%USERPROFILE%\AppData\Local\Temp\OnboardLogs" /stypes="app*4013*20170616*" /stext=" 04:.+((SYSTEM_STATE.+slice.+state.+changed )|(ment ac)|(multiple cpu faults)|(system.+state.+changed )|(\[timeout)|(PRM\|1\|D)|(kpr)|(kdp)|(train st.+moving)|(\|lc)|(penalty))"</v>
      </c>
      <c r="AG222" s="209" t="str">
        <f t="shared" si="123"/>
        <v>Other</v>
      </c>
      <c r="AH222" s="78" t="str">
        <f t="shared" si="127"/>
        <v>"%USERPROFILE%\Documents\GitHub\eaglep3\Utilities\RefineRTDCRunTimes.py" --tripid 908-15 --locoid 4013 --swversion DE.1.0.9.0 --startMP 300:58666 --initTime 2017-06-15T22:37:30 --startdatetime 2017-06-15T22:39:14 --delay 0 --endMP 300:28782 --enddatetime 2017-06-15T22:47:42 --enforcementcount 0 &gt;&gt;C:\Users\stu\Documents\GitHub\eaglep3-reporting\EC\2017-06-15-refined-times.txt</v>
      </c>
      <c r="AI222" s="96" t="str">
        <f t="shared" si="128"/>
        <v>echo {"issue":{"subject":"","project_id":79,"tracker_id":40,"status_id":1,"priority_id":2,"assigned_to_id":23,"start_date":"2017-06-15","description":"","custom_fields":[{"id":1,"name":"Subdivision","value":"Other"},{"id":4,"name":"Milepost","value":"2.8782"},{"id":17,"name":"Train ID","value":"908-15"},{"id":16,"name":"Locomotive ID","value":"4013"},{"id":130,"name":"Impact","value":""},{"id":150,"name":"Time of Event (Mountain Time)","value":"22:47:42"},{"id":151,"name":"Denver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2" t="str">
        <f t="shared" si="129"/>
        <v>start /low /b %USERPROFILE%\Documents\GitHub\eaglep3\Utilities\DownloadLogsFromS3.py --loco 4013 --day 2017-06-15</v>
      </c>
      <c r="AN222" s="151" t="str">
        <f t="shared" si="13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04:47:42"},{"id":29,"name":"Sharepoint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</row>
    <row r="223" spans="1:91" x14ac:dyDescent="0.25">
      <c r="A223" s="32" t="s">
        <v>661</v>
      </c>
      <c r="B223" s="7">
        <v>4054</v>
      </c>
      <c r="C223" s="21" t="s">
        <v>202</v>
      </c>
      <c r="D223" s="21" t="s">
        <v>343</v>
      </c>
      <c r="E223" s="13">
        <v>42901.126655092594</v>
      </c>
      <c r="F223" s="13">
        <v>42901.137812499997</v>
      </c>
      <c r="G223" s="7">
        <v>1</v>
      </c>
      <c r="H223" s="21" t="s">
        <v>908</v>
      </c>
      <c r="I223" s="13">
        <v>42901.138738425929</v>
      </c>
      <c r="J223" s="7">
        <v>0</v>
      </c>
      <c r="K223" s="89" t="str">
        <f t="shared" ref="K223:K235" si="133">IF(ISEVEN(B223),(B223-1)&amp;"/"&amp;B223,B223&amp;"/"&amp;(B223+1))</f>
        <v>4053/4054</v>
      </c>
      <c r="L223" s="21" t="str">
        <f>VLOOKUP(A223,'Trips&amp;Operators'!$C$1:$G$99999,5,FALSE)</f>
        <v>SPECTOR MICHAEL</v>
      </c>
      <c r="M223" s="6">
        <f t="shared" ref="M223:M235" si="134">I223-F223</f>
        <v>9.2592593136942014E-4</v>
      </c>
      <c r="N223" s="7">
        <f t="shared" si="132"/>
        <v>1.333333341171965</v>
      </c>
      <c r="O223" s="7"/>
      <c r="P223" s="7"/>
      <c r="Q223" s="22"/>
      <c r="R223" s="170"/>
      <c r="S223" s="213">
        <f t="shared" ref="S223:S235" si="135">SUM(U223:U223)/IF(AG223="EC",12,1)</f>
        <v>0</v>
      </c>
      <c r="T223" s="195" t="str">
        <f t="shared" ref="T223:T235" si="136">IF(ISEVEN(LEFT(AD223,4)),"Southbound","NorthBound")</f>
        <v>NorthBound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124"/>
        <v>https://d0f6bd738d7f1b3e5a7ca70fe4ff75f0.us-east-1.aws.found.io/app/kibana#/discover/Steve-Slow-Train-Analysis-(2080s-and-2083s)?_g=(refreshInterval:(display:Off,pause:!f,section:0,value:0),time:(from:'2017-06-15T02:02:23-0600',mode:absolute,to:'2017-06-15T04:19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3" s="197" t="str">
        <f>IF(AA223&lt;VLOOKUP(AG223,Variables!$AC$3:$AD$8,2,FALSE),"Y","N")</f>
        <v>Y</v>
      </c>
      <c r="X223" s="197">
        <f t="shared" si="131"/>
        <v>-857</v>
      </c>
      <c r="Y223" s="197">
        <f t="shared" ref="Y223:Y235" si="137">RIGHT(D223,LEN(D223)-4)/10000</f>
        <v>4.4900000000000002E-2</v>
      </c>
      <c r="Z223" s="197">
        <f t="shared" ref="Z223:Z235" si="138">RIGHT(H223,LEN(H223)-4)/10000</f>
        <v>0.35249999999999998</v>
      </c>
      <c r="AA223" s="197">
        <f t="shared" ref="AA223:AA254" si="139">ABS(Z223-Y223)</f>
        <v>0.30759999999999998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ref="AD223:AD235" si="140">VALUE(LEFT(A223,LEN(A223)-3))</f>
        <v>51</v>
      </c>
      <c r="AE223" s="77" t="str">
        <f t="shared" si="125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223" s="74" t="str">
        <f t="shared" si="126"/>
        <v>"C:\Program Files (x86)\AstroGrep\AstroGrep.exe" /e /r /s /spath="%USERPROFILE%\AppData\Local\Temp\OnboardLogs" /stypes="app*4054*20170615*" /stext=" 09:.+((SYSTEM_STATE.+slice.+state.+changed )|(ment ac)|(multiple cpu faults)|(system.+state.+changed )|(\[timeout)|(PRM\|1\|D)|(kpr)|(kdp)|(train st.+moving)|(\|lc)|(penalty))"</v>
      </c>
      <c r="AG223" s="209" t="str">
        <f t="shared" ref="AG223:AG235" si="141">DetSubdiv(A223)</f>
        <v>Shuttle/Test</v>
      </c>
      <c r="AH223" s="78" t="str">
        <f t="shared" si="127"/>
        <v>"%USERPROFILE%\Documents\GitHub\eaglep3\Utilities\RefineRTDCRunTimes.py" --tripid 51-15 --locoid 4054 --swversion DE.1.0.9.0 --startMP 204:449 --initTime 2017-06-15T03:02:23 --startdatetime 2017-06-15T03:18:27 --delay 1 --endMP 204:3525 --enddatetime 2017-06-15T03:19:47 --enforcementcount 0 &gt;&gt;C:\Users\stu\Documents\GitHub\eaglep3-reporting\EC\2017-06-15-refined-times.txt</v>
      </c>
      <c r="AI223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0.3525"},{"id":17,"name":"Train ID","value":"51-15"},{"id":16,"name":"Locomotive ID","value":"4054"},{"id":130,"name":"Impact","value":""},{"id":150,"name":"Time of Event (Mountain Time)","value":"03:19:47"},{"id":151,"name":"Denver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29"/>
        <v>start /low /b %USERPROFILE%\Documents\GitHub\eaglep3\Utilities\DownloadLogsFromS3.py --loco 4054 --day 2017-06-15</v>
      </c>
      <c r="AN223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09:19:47"},{"id":29,"name":"Sharepoint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664</v>
      </c>
      <c r="B224" s="7">
        <v>4053</v>
      </c>
      <c r="C224" s="21" t="s">
        <v>202</v>
      </c>
      <c r="D224" s="21" t="s">
        <v>909</v>
      </c>
      <c r="E224" s="13">
        <v>42901.139745370368</v>
      </c>
      <c r="F224" s="13">
        <v>42901.141296296293</v>
      </c>
      <c r="G224" s="7">
        <v>1</v>
      </c>
      <c r="H224" s="21" t="s">
        <v>910</v>
      </c>
      <c r="I224" s="13">
        <v>42901.142372685186</v>
      </c>
      <c r="J224" s="7">
        <v>0</v>
      </c>
      <c r="K224" s="89" t="str">
        <f t="shared" si="133"/>
        <v>4053/4054</v>
      </c>
      <c r="L224" s="21" t="str">
        <f>VLOOKUP(A224,'Trips&amp;Operators'!$C$1:$G$99999,5,FALSE)</f>
        <v>SPECTOR MICHAEL</v>
      </c>
      <c r="M224" s="6">
        <f t="shared" si="134"/>
        <v>1.0763888931251131E-3</v>
      </c>
      <c r="N224" s="7">
        <f t="shared" si="132"/>
        <v>1.5500000061001629</v>
      </c>
      <c r="O224" s="7"/>
      <c r="P224" s="7"/>
      <c r="Q224" s="22"/>
      <c r="R224" s="170"/>
      <c r="S224" s="213">
        <f t="shared" si="135"/>
        <v>0</v>
      </c>
      <c r="T224" s="195" t="str">
        <f t="shared" si="136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6" t="str">
        <f t="shared" si="124"/>
        <v>https://d0f6bd738d7f1b3e5a7ca70fe4ff75f0.us-east-1.aws.found.io/app/kibana#/discover/Steve-Slow-Train-Analysis-(2080s-and-2083s)?_g=(refreshInterval:(display:Off,pause:!f,section:0,value:0),time:(from:'2017-06-15T02:21:14-0600',mode:absolute,to:'2017-06-15T04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197" t="str">
        <f>IF(AA224&lt;VLOOKUP(AG224,Variables!$AC$3:$AD$8,2,FALSE),"Y","N")</f>
        <v>Y</v>
      </c>
      <c r="X224" s="197">
        <f t="shared" si="131"/>
        <v>1</v>
      </c>
      <c r="Y224" s="197">
        <f t="shared" si="137"/>
        <v>0.32200000000000001</v>
      </c>
      <c r="Z224" s="197">
        <f t="shared" si="138"/>
        <v>0.11600000000000001</v>
      </c>
      <c r="AA224" s="197">
        <f t="shared" si="139"/>
        <v>0.20600000000000002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140"/>
        <v>52</v>
      </c>
      <c r="AE224" s="77" t="str">
        <f t="shared" si="125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224" s="74" t="str">
        <f t="shared" si="126"/>
        <v>"C:\Program Files (x86)\AstroGrep\AstroGrep.exe" /e /r /s /spath="%USERPROFILE%\AppData\Local\Temp\OnboardLogs" /stypes="app*4053*20170615*" /stext=" 09:.+((SYSTEM_STATE.+slice.+state.+changed )|(ment ac)|(multiple cpu faults)|(system.+state.+changed )|(\[timeout)|(PRM\|1\|D)|(kpr)|(kdp)|(train st.+moving)|(\|lc)|(penalty))"</v>
      </c>
      <c r="AG224" s="209" t="str">
        <f t="shared" si="141"/>
        <v>Shuttle/Test</v>
      </c>
      <c r="AH224" s="78" t="str">
        <f t="shared" si="127"/>
        <v>"%USERPROFILE%\Documents\GitHub\eaglep3\Utilities\RefineRTDCRunTimes.py" --tripid 52-15 --locoid 4053 --swversion DE.1.0.9.0 --startMP 204:3220 --initTime 2017-06-15T03:21:14 --startdatetime 2017-06-15T03:23:28 --delay 1 --endMP 204:1160 --enddatetime 2017-06-15T03:25:01 --enforcementcount 0 &gt;&gt;C:\Users\stu\Documents\GitHub\eaglep3-reporting\EC\2017-06-15-refined-times.txt</v>
      </c>
      <c r="AI224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0.116"},{"id":17,"name":"Train ID","value":"52-15"},{"id":16,"name":"Locomotive ID","value":"4053"},{"id":130,"name":"Impact","value":""},{"id":150,"name":"Time of Event (Mountain Time)","value":"03:25:01"},{"id":151,"name":"Denver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129"/>
        <v>start /low /b %USERPROFILE%\Documents\GitHub\eaglep3\Utilities\DownloadLogsFromS3.py --loco 4053 --day 2017-06-15</v>
      </c>
      <c r="AN224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09:25:01"},{"id":29,"name":"Sharepoint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41" x14ac:dyDescent="0.25">
      <c r="A225" s="32" t="s">
        <v>758</v>
      </c>
      <c r="B225" s="7">
        <v>4053</v>
      </c>
      <c r="C225" s="21" t="s">
        <v>202</v>
      </c>
      <c r="D225" s="21" t="s">
        <v>911</v>
      </c>
      <c r="E225" s="13">
        <v>42901.556041666663</v>
      </c>
      <c r="F225" s="13">
        <v>42901.557824074072</v>
      </c>
      <c r="G225" s="7">
        <v>1</v>
      </c>
      <c r="H225" s="21" t="s">
        <v>583</v>
      </c>
      <c r="I225" s="13">
        <v>42901.559212962966</v>
      </c>
      <c r="J225" s="7">
        <v>0</v>
      </c>
      <c r="K225" s="89" t="str">
        <f t="shared" si="133"/>
        <v>4053/4054</v>
      </c>
      <c r="L225" s="21" t="str">
        <f>VLOOKUP(A225,'Trips&amp;Operators'!$C$1:$G$99999,5,FALSE)</f>
        <v>DE LA ROSA ALEX</v>
      </c>
      <c r="M225" s="6">
        <f t="shared" si="134"/>
        <v>1.3888888934161514E-3</v>
      </c>
      <c r="N225" s="7">
        <f t="shared" si="132"/>
        <v>2.000000006519258</v>
      </c>
      <c r="O225" s="7"/>
      <c r="P225" s="7"/>
      <c r="Q225" s="22"/>
      <c r="R225" s="170"/>
      <c r="S225" s="213">
        <f t="shared" si="135"/>
        <v>0</v>
      </c>
      <c r="T225" s="195" t="str">
        <f t="shared" si="136"/>
        <v>NorthBound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124"/>
        <v>https://d0f6bd738d7f1b3e5a7ca70fe4ff75f0.us-east-1.aws.found.io/app/kibana#/discover/Steve-Slow-Train-Analysis-(2080s-and-2083s)?_g=(refreshInterval:(display:Off,pause:!f,section:0,value:0),time:(from:'2017-06-15T12:20:42-0600',mode:absolute,to:'2017-06-15T14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5" s="197" t="str">
        <f>IF(AA225&lt;VLOOKUP(AG225,Variables!$AC$3:$AD$8,2,FALSE),"Y","N")</f>
        <v>Y</v>
      </c>
      <c r="X225" s="197">
        <f t="shared" si="131"/>
        <v>1</v>
      </c>
      <c r="Y225" s="197">
        <f t="shared" si="137"/>
        <v>0.32719999999999999</v>
      </c>
      <c r="Z225" s="197">
        <f t="shared" si="138"/>
        <v>1.34E-2</v>
      </c>
      <c r="AA225" s="197">
        <f t="shared" si="139"/>
        <v>0.31379999999999997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140"/>
        <v>53</v>
      </c>
      <c r="AE225" s="77" t="str">
        <f t="shared" si="125"/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AF225" s="74" t="str">
        <f t="shared" si="126"/>
        <v>"C:\Program Files (x86)\AstroGrep\AstroGrep.exe" /e /r /s /spath="%USERPROFILE%\AppData\Local\Temp\OnboardLogs" /stypes="app*4053*20170615*" /stext=" 19:.+((SYSTEM_STATE.+slice.+state.+changed )|(ment ac)|(multiple cpu faults)|(system.+state.+changed )|(\[timeout)|(PRM\|1\|D)|(kpr)|(kdp)|(train st.+moving)|(\|lc)|(penalty))"</v>
      </c>
      <c r="AG225" s="209" t="str">
        <f t="shared" si="141"/>
        <v>Shuttle/Test</v>
      </c>
      <c r="AH225" s="78" t="str">
        <f t="shared" si="127"/>
        <v>"%USERPROFILE%\Documents\GitHub\eaglep3\Utilities\RefineRTDCRunTimes.py" --tripid 53-15 --locoid 4053 --swversion DE.1.0.9.0 --startMP 204:3272 --initTime 2017-06-15T13:20:42 --startdatetime 2017-06-15T13:23:16 --delay 1 --endMP 204:134 --enddatetime 2017-06-15T13:25:16 --enforcementcount 0 &gt;&gt;C:\Users\stu\Documents\GitHub\eaglep3-reporting\EC\2017-06-15-refined-times.txt</v>
      </c>
      <c r="AI225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0.0134"},{"id":17,"name":"Train ID","value":"53-15"},{"id":16,"name":"Locomotive ID","value":"4053"},{"id":130,"name":"Impact","value":""},{"id":150,"name":"Time of Event (Mountain Time)","value":"13:25:16"},{"id":151,"name":"Denver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29"/>
        <v>start /low /b %USERPROFILE%\Documents\GitHub\eaglep3\Utilities\DownloadLogsFromS3.py --loco 4053 --day 2017-06-15</v>
      </c>
      <c r="AN225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41" s="20" customFormat="1" x14ac:dyDescent="0.25">
      <c r="A226" s="32" t="s">
        <v>758</v>
      </c>
      <c r="B226" s="7">
        <v>4054</v>
      </c>
      <c r="C226" s="21" t="s">
        <v>202</v>
      </c>
      <c r="D226" s="21" t="s">
        <v>912</v>
      </c>
      <c r="E226" s="13">
        <v>42901.552824074075</v>
      </c>
      <c r="F226" s="13">
        <v>42901.557824074072</v>
      </c>
      <c r="G226" s="7">
        <v>1</v>
      </c>
      <c r="H226" s="21" t="s">
        <v>913</v>
      </c>
      <c r="I226" s="13">
        <v>42901.559212962966</v>
      </c>
      <c r="J226" s="7">
        <v>0</v>
      </c>
      <c r="K226" s="89" t="str">
        <f t="shared" si="133"/>
        <v>4053/4054</v>
      </c>
      <c r="L226" s="21" t="str">
        <f>VLOOKUP(A226,'Trips&amp;Operators'!$C$1:$G$99999,5,FALSE)</f>
        <v>DE LA ROSA ALEX</v>
      </c>
      <c r="M226" s="6">
        <f t="shared" si="134"/>
        <v>1.3888888934161514E-3</v>
      </c>
      <c r="N226" s="7">
        <f t="shared" si="132"/>
        <v>2.000000006519258</v>
      </c>
      <c r="O226" s="7"/>
      <c r="P226" s="7"/>
      <c r="Q226" s="22"/>
      <c r="R226" s="170"/>
      <c r="S226" s="213">
        <f t="shared" si="135"/>
        <v>0</v>
      </c>
      <c r="T226" s="195" t="str">
        <f t="shared" si="136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124"/>
        <v>https://d0f6bd738d7f1b3e5a7ca70fe4ff75f0.us-east-1.aws.found.io/app/kibana#/discover/Steve-Slow-Train-Analysis-(2080s-and-2083s)?_g=(refreshInterval:(display:Off,pause:!f,section:0,value:0),time:(from:'2017-06-15T12:16:04-0600',mode:absolute,to:'2017-06-15T14:25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6" s="197" t="str">
        <f>IF(AA226&lt;VLOOKUP(AG226,Variables!$AC$3:$AD$8,2,FALSE),"Y","N")</f>
        <v>Y</v>
      </c>
      <c r="X226" s="197">
        <f t="shared" si="131"/>
        <v>0</v>
      </c>
      <c r="Y226" s="197">
        <f t="shared" si="137"/>
        <v>0.14599999999999999</v>
      </c>
      <c r="Z226" s="197">
        <f t="shared" si="138"/>
        <v>0.35770000000000002</v>
      </c>
      <c r="AA226" s="197">
        <f t="shared" si="139"/>
        <v>0.21170000000000003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140"/>
        <v>53</v>
      </c>
      <c r="AE226" s="77" t="str">
        <f t="shared" si="125"/>
        <v>aws s3 cp s3://rtdc.mdm.uploadarchive.raw/RTDC4054/ "%USERPROFILE%\AppData\Local\Temp\OnboardLogs"\RTDC4054\2017-06-15 --exclude "*" --recursive --include "*20170615*" &amp; "%USERPROFILE%\Documents\GitHub\mrs-test-scripts\Headless Mode &amp; Sideloading\WalkAndUnGZ.bat" "%USERPROFILE%\AppData\Local\Temp\OnboardLogs"\RTDC4054\2017-06-15 &amp; aws s3 cp s3://rtdc.mdm.uploadarchive.raw/RTDC4054/ "%USERPROFILE%\AppData\Local\Temp\OnboardLogs"\RTDC4054\2017-06-16 --exclude "*" --recursive --include "*20170616*" &amp; "%USERPROFILE%\Documents\GitHub\mrs-test-scripts\Headless Mode &amp; Sideloading\WalkAndUnGZ.bat" "%USERPROFILE%\AppData\Local\Temp\OnboardLogs"\RTDC4054\2017-06-16</v>
      </c>
      <c r="AF226" s="74" t="str">
        <f t="shared" si="126"/>
        <v>"C:\Program Files (x86)\AstroGrep\AstroGrep.exe" /e /r /s /spath="%USERPROFILE%\AppData\Local\Temp\OnboardLogs" /stypes="app*4054*20170615*" /stext=" 19:.+((SYSTEM_STATE.+slice.+state.+changed )|(ment ac)|(multiple cpu faults)|(system.+state.+changed )|(\[timeout)|(PRM\|1\|D)|(kpr)|(kdp)|(train st.+moving)|(\|lc)|(penalty))"</v>
      </c>
      <c r="AG226" s="209" t="str">
        <f t="shared" si="141"/>
        <v>Shuttle/Test</v>
      </c>
      <c r="AH226" s="78" t="str">
        <f t="shared" si="127"/>
        <v>"%USERPROFILE%\Documents\GitHub\eaglep3\Utilities\RefineRTDCRunTimes.py" --tripid 53-15 --locoid 4054 --swversion DE.1.0.9.0 --startMP 204:1460 --initTime 2017-06-15T13:16:04 --startdatetime 2017-06-15T13:23:16 --delay 1 --endMP 204:3577 --enddatetime 2017-06-15T13:25:16 --enforcementcount 0 &gt;&gt;C:\Users\stu\Documents\GitHub\eaglep3-reporting\EC\2017-06-15-refined-times.txt</v>
      </c>
      <c r="AI226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0.3577"},{"id":17,"name":"Train ID","value":"53-15"},{"id":16,"name":"Locomotive ID","value":"4054"},{"id":130,"name":"Impact","value":""},{"id":150,"name":"Time of Event (Mountain Time)","value":"13:25:16"},{"id":151,"name":"Denver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29"/>
        <v>start /low /b %USERPROFILE%\Documents\GitHub\eaglep3\Utilities\DownloadLogsFromS3.py --loco 4054 --day 2017-06-15</v>
      </c>
      <c r="AN226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19:25:16"},{"id":29,"name":"Sharepoint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41" x14ac:dyDescent="0.25">
      <c r="A227" s="32" t="s">
        <v>715</v>
      </c>
      <c r="B227" s="7">
        <v>4028</v>
      </c>
      <c r="C227" s="21" t="s">
        <v>202</v>
      </c>
      <c r="D227" s="21" t="s">
        <v>914</v>
      </c>
      <c r="E227" s="13">
        <v>42901.37940972222</v>
      </c>
      <c r="F227" s="13">
        <v>42901.386250000003</v>
      </c>
      <c r="G227" s="7">
        <v>9</v>
      </c>
      <c r="H227" s="21" t="s">
        <v>915</v>
      </c>
      <c r="I227" s="13">
        <v>42901.389317129629</v>
      </c>
      <c r="J227" s="7">
        <v>0</v>
      </c>
      <c r="K227" s="89" t="str">
        <f t="shared" si="133"/>
        <v>4027/4028</v>
      </c>
      <c r="L227" s="21" t="str">
        <f>VLOOKUP(A227,'Trips&amp;Operators'!$C$1:$G$99999,5,FALSE)</f>
        <v>BEAM ROSS</v>
      </c>
      <c r="M227" s="6">
        <f t="shared" si="134"/>
        <v>3.0671296262880787E-3</v>
      </c>
      <c r="N227" s="7">
        <f t="shared" si="132"/>
        <v>4.4166666618548334</v>
      </c>
      <c r="O227" s="7"/>
      <c r="P227" s="7"/>
      <c r="Q227" s="22"/>
      <c r="R227" s="170"/>
      <c r="S227" s="213">
        <f t="shared" si="135"/>
        <v>0</v>
      </c>
      <c r="T227" s="195" t="str">
        <f t="shared" si="136"/>
        <v>NorthBound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124"/>
        <v>https://d0f6bd738d7f1b3e5a7ca70fe4ff75f0.us-east-1.aws.found.io/app/kibana#/discover/Steve-Slow-Train-Analysis-(2080s-and-2083s)?_g=(refreshInterval:(display:Off,pause:!f,section:0,value:0),time:(from:'2017-06-15T08:06:21-0600',mode:absolute,to:'2017-06-15T10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7" s="197" t="str">
        <f>IF(AA227&lt;VLOOKUP(AG227,Variables!$AC$3:$AD$8,2,FALSE),"Y","N")</f>
        <v>Y</v>
      </c>
      <c r="X227" s="197">
        <f t="shared" si="131"/>
        <v>2</v>
      </c>
      <c r="Y227" s="197">
        <f t="shared" si="137"/>
        <v>3.0585</v>
      </c>
      <c r="Z227" s="197">
        <f t="shared" si="138"/>
        <v>3.9401999999999999</v>
      </c>
      <c r="AA227" s="197">
        <f t="shared" si="139"/>
        <v>0.88169999999999993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140"/>
        <v>55</v>
      </c>
      <c r="AE227" s="77" t="str">
        <f t="shared" si="125"/>
        <v>aws s3 cp s3://rtdc.mdm.uploadarchive.raw/RTDC4028/ "%USERPROFILE%\AppData\Local\Temp\OnboardLogs"\RTDC4028\2017-06-15 --exclude "*" --recursive --include "*20170615*" &amp; "%USERPROFILE%\Documents\GitHub\mrs-test-scripts\Headless Mode &amp; Sideloading\WalkAndUnGZ.bat" "%USERPROFILE%\AppData\Local\Temp\OnboardLogs"\RTDC4028\2017-06-15 &amp; aws s3 cp s3://rtdc.mdm.uploadarchive.raw/RTDC4028/ "%USERPROFILE%\AppData\Local\Temp\OnboardLogs"\RTDC4028\2017-06-16 --exclude "*" --recursive --include "*20170616*" &amp; "%USERPROFILE%\Documents\GitHub\mrs-test-scripts\Headless Mode &amp; Sideloading\WalkAndUnGZ.bat" "%USERPROFILE%\AppData\Local\Temp\OnboardLogs"\RTDC4028\2017-06-16</v>
      </c>
      <c r="AF227" s="74" t="str">
        <f t="shared" si="126"/>
        <v>"C:\Program Files (x86)\AstroGrep\AstroGrep.exe" /e /r /s /spath="%USERPROFILE%\AppData\Local\Temp\OnboardLogs" /stypes="app*4028*20170615*" /stext=" 15:.+((SYSTEM_STATE.+slice.+state.+changed )|(ment ac)|(multiple cpu faults)|(system.+state.+changed )|(\[timeout)|(PRM\|1\|D)|(kpr)|(kdp)|(train st.+moving)|(\|lc)|(penalty))"</v>
      </c>
      <c r="AG227" s="209" t="str">
        <f t="shared" si="141"/>
        <v>Shuttle/Test</v>
      </c>
      <c r="AH227" s="78" t="str">
        <f t="shared" si="127"/>
        <v>"%USERPROFILE%\Documents\GitHub\eaglep3\Utilities\RefineRTDCRunTimes.py" --tripid 55-15 --locoid 4028 --swversion DE.1.0.9.0 --startMP 300:30585 --initTime 2017-06-15T09:06:21 --startdatetime 2017-06-15T09:16:12 --delay 9 --endMP 300:39402 --enddatetime 2017-06-15T09:20:37 --enforcementcount 0 &gt;&gt;C:\Users\stu\Documents\GitHub\eaglep3-reporting\EC\2017-06-15-refined-times.txt</v>
      </c>
      <c r="AI227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3.9402"},{"id":17,"name":"Train ID","value":"55-15"},{"id":16,"name":"Locomotive ID","value":"4028"},{"id":130,"name":"Impact","value":""},{"id":150,"name":"Time of Event (Mountain Time)","value":"09:20:37"},{"id":151,"name":"Denver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129"/>
        <v>start /low /b %USERPROFILE%\Documents\GitHub\eaglep3\Utilities\DownloadLogsFromS3.py --loco 4028 --day 2017-06-15</v>
      </c>
      <c r="AN227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15:20:37"},{"id":29,"name":"Sharepoint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41" x14ac:dyDescent="0.25">
      <c r="A228" s="32" t="s">
        <v>722</v>
      </c>
      <c r="B228" s="7">
        <v>4049</v>
      </c>
      <c r="C228" s="21" t="s">
        <v>202</v>
      </c>
      <c r="D228" s="21" t="s">
        <v>916</v>
      </c>
      <c r="E228" s="13">
        <v>42901.425300925926</v>
      </c>
      <c r="F228" s="13">
        <v>25568.708333333332</v>
      </c>
      <c r="G228" s="7">
        <v>9</v>
      </c>
      <c r="H228" s="21" t="s">
        <v>917</v>
      </c>
      <c r="I228" s="13">
        <v>25568.708333333332</v>
      </c>
      <c r="J228" s="7">
        <v>0</v>
      </c>
      <c r="K228" s="89" t="str">
        <f t="shared" si="133"/>
        <v>4049/4050</v>
      </c>
      <c r="L228" s="21" t="str">
        <f>VLOOKUP(A228,'Trips&amp;Operators'!$C$1:$G$99999,5,FALSE)</f>
        <v>ROCHA YAOTL</v>
      </c>
      <c r="M228" s="6">
        <f t="shared" si="134"/>
        <v>0</v>
      </c>
      <c r="N228" s="7">
        <f t="shared" si="132"/>
        <v>0</v>
      </c>
      <c r="O228" s="7"/>
      <c r="P228" s="7"/>
      <c r="Q228" s="22"/>
      <c r="R228" s="170"/>
      <c r="S228" s="213">
        <f t="shared" si="135"/>
        <v>0</v>
      </c>
      <c r="T228" s="195" t="str">
        <f t="shared" si="136"/>
        <v>Southbound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6" t="str">
        <f t="shared" si="124"/>
        <v>https://d0f6bd738d7f1b3e5a7ca70fe4ff75f0.us-east-1.aws.found.io/app/kibana#/discover/Steve-Slow-Train-Analysis-(2080s-and-2083s)?_g=(refreshInterval:(display:Off,pause:!f,section:0,value:0),time:(from:'2017-06-15T09:12:26-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8" s="197" t="str">
        <f>IF(AA228&lt;VLOOKUP(AG228,Variables!$AC$3:$AD$8,2,FALSE),"Y","N")</f>
        <v>Y</v>
      </c>
      <c r="X228" s="197">
        <f t="shared" si="131"/>
        <v>5</v>
      </c>
      <c r="Y228" s="197">
        <f t="shared" si="137"/>
        <v>2.2959999999999998</v>
      </c>
      <c r="Z228" s="197">
        <f t="shared" si="138"/>
        <v>2.2972999999999999</v>
      </c>
      <c r="AA228" s="197">
        <f t="shared" si="139"/>
        <v>1.3000000000000789E-3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140"/>
        <v>60</v>
      </c>
      <c r="AE228" s="77" t="str">
        <f t="shared" si="125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28" s="74" t="str">
        <f t="shared" si="126"/>
        <v>"C:\Program Files (x86)\AstroGrep\AstroGrep.exe" /e /r /s /spath="%USERPROFILE%\AppData\Local\Temp\OnboardLogs" /stypes="app*4049*19691231*" /stext=" 23:.+((SYSTEM_STATE.+slice.+state.+changed )|(ment ac)|(multiple cpu faults)|(system.+state.+changed )|(\[timeout)|(PRM\|1\|D)|(kpr)|(kdp)|(train st.+moving)|(\|lc)|(penalty))"</v>
      </c>
      <c r="AG228" s="209" t="str">
        <f t="shared" si="141"/>
        <v>Shuttle/Test</v>
      </c>
      <c r="AH228" s="78" t="str">
        <f t="shared" si="127"/>
        <v>"%USERPROFILE%\Documents\GitHub\eaglep3\Utilities\RefineRTDCRunTimes.py" --tripid 60-15 --locoid 4049 --swversion DE.1.0.9.0 --startMP 300:22960 --initTime 2017-06-15T10:12:26 --startdatetime 1969-12-31T17:00:00 --delay 9 --endMP 300:22973 --enddatetime 1969-12-31T17:00:00 --enforcementcount 0 &gt;&gt;C:\Users\stu\Documents\GitHub\eaglep3-reporting\EC\2017-06-15-refined-times.txt</v>
      </c>
      <c r="AI228" s="96" t="str">
        <f t="shared" si="128"/>
        <v>echo {"issue":{"subject":"","project_id":79,"tracker_id":40,"status_id":1,"priority_id":2,"assigned_to_id":23,"start_date":"1969-12-31","description":"","custom_fields":[{"id":1,"name":"Subdivision","value":"Shuttle/Test"},{"id":4,"name":"Milepost","value":"2.2973"},{"id":17,"name":"Train ID","value":"60-15"},{"id":16,"name":"Locomotive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29"/>
        <v>start /low /b %USERPROFILE%\Documents\GitHub\eaglep3\Utilities\DownloadLogsFromS3.py --loco 4049 --day 1969-12-31</v>
      </c>
      <c r="AN228" s="151" t="str">
        <f t="shared" si="130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41" s="20" customFormat="1" x14ac:dyDescent="0.25">
      <c r="A229" s="32" t="s">
        <v>742</v>
      </c>
      <c r="B229" s="7">
        <v>4010</v>
      </c>
      <c r="C229" s="21" t="s">
        <v>202</v>
      </c>
      <c r="D229" s="21" t="s">
        <v>918</v>
      </c>
      <c r="E229" s="13">
        <v>42901.477488425924</v>
      </c>
      <c r="F229" s="13">
        <v>42901.478900462964</v>
      </c>
      <c r="G229" s="7">
        <v>1</v>
      </c>
      <c r="H229" s="21" t="s">
        <v>919</v>
      </c>
      <c r="I229" s="13">
        <v>42901.486215277779</v>
      </c>
      <c r="J229" s="7">
        <v>0</v>
      </c>
      <c r="K229" s="89" t="str">
        <f t="shared" si="133"/>
        <v>4009/4010</v>
      </c>
      <c r="L229" s="21" t="str">
        <f>VLOOKUP(A229,'Trips&amp;Operators'!$C$1:$G$99999,5,FALSE)</f>
        <v>BONDS REYNALDO</v>
      </c>
      <c r="M229" s="6">
        <f t="shared" si="134"/>
        <v>7.3148148148902692E-3</v>
      </c>
      <c r="N229" s="7">
        <f t="shared" si="132"/>
        <v>10.533333333441988</v>
      </c>
      <c r="O229" s="7"/>
      <c r="P229" s="7"/>
      <c r="Q229" s="22"/>
      <c r="R229" s="170"/>
      <c r="S229" s="213">
        <f t="shared" si="135"/>
        <v>1</v>
      </c>
      <c r="T229" s="195" t="str">
        <f t="shared" si="136"/>
        <v>NorthBound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1</v>
      </c>
      <c r="V229" s="196" t="str">
        <f t="shared" si="124"/>
        <v>https://d0f6bd738d7f1b3e5a7ca70fe4ff75f0.us-east-1.aws.found.io/app/kibana#/discover/Steve-Slow-Train-Analysis-(2080s-and-2083s)?_g=(refreshInterval:(display:Off,pause:!f,section:0,value:0),time:(from:'2017-06-15T10:27:35-0600',mode:absolute,to:'2017-06-15T12:40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9" s="197" t="str">
        <f>IF(AA229&lt;VLOOKUP(AG229,Variables!$AC$3:$AD$8,2,FALSE),"Y","N")</f>
        <v>Y</v>
      </c>
      <c r="X229" s="197">
        <f t="shared" si="131"/>
        <v>1</v>
      </c>
      <c r="Y229" s="197">
        <f t="shared" si="137"/>
        <v>0.1171</v>
      </c>
      <c r="Z229" s="197">
        <f t="shared" si="138"/>
        <v>2.4224000000000001</v>
      </c>
      <c r="AA229" s="197">
        <f t="shared" si="139"/>
        <v>2.3052999999999999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140"/>
        <v>61</v>
      </c>
      <c r="AE229" s="77" t="str">
        <f t="shared" si="125"/>
        <v>aws s3 cp s3://rtdc.mdm.uploadarchive.raw/RTDC4010/ "%USERPROFILE%\AppData\Local\Temp\OnboardLogs"\RTDC4010\2017-06-15 --exclude "*" --recursive --include "*20170615*" &amp; "%USERPROFILE%\Documents\GitHub\mrs-test-scripts\Headless Mode &amp; Sideloading\WalkAndUnGZ.bat" "%USERPROFILE%\AppData\Local\Temp\OnboardLogs"\RTDC4010\2017-06-15 &amp; aws s3 cp s3://rtdc.mdm.uploadarchive.raw/RTDC4010/ "%USERPROFILE%\AppData\Local\Temp\OnboardLogs"\RTDC4010\2017-06-16 --exclude "*" --recursive --include "*20170616*" &amp; "%USERPROFILE%\Documents\GitHub\mrs-test-scripts\Headless Mode &amp; Sideloading\WalkAndUnGZ.bat" "%USERPROFILE%\AppData\Local\Temp\OnboardLogs"\RTDC4010\2017-06-16</v>
      </c>
      <c r="AF229" s="74" t="str">
        <f t="shared" si="126"/>
        <v>"C:\Program Files (x86)\AstroGrep\AstroGrep.exe" /e /r /s /spath="%USERPROFILE%\AppData\Local\Temp\OnboardLogs" /stypes="app*4010*20170615*" /stext=" 17:.+((SYSTEM_STATE.+slice.+state.+changed )|(ment ac)|(multiple cpu faults)|(system.+state.+changed )|(\[timeout)|(PRM\|1\|D)|(kpr)|(kdp)|(train st.+moving)|(\|lc)|(penalty))"</v>
      </c>
      <c r="AG229" s="209" t="str">
        <f t="shared" si="141"/>
        <v>Shuttle/Test</v>
      </c>
      <c r="AH229" s="78" t="str">
        <f t="shared" si="127"/>
        <v>"%USERPROFILE%\Documents\GitHub\eaglep3\Utilities\RefineRTDCRunTimes.py" --tripid 61-15 --locoid 4010 --swversion DE.1.0.9.0 --startMP 204:1171 --initTime 2017-06-15T11:27:35 --startdatetime 2017-06-15T11:29:37 --delay 1 --endMP 300:24224 --enddatetime 2017-06-15T11:40:09 --enforcementcount 0 &gt;&gt;C:\Users\stu\Documents\GitHub\eaglep3-reporting\EC\2017-06-15-refined-times.txt</v>
      </c>
      <c r="AI229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2.4224"},{"id":17,"name":"Train ID","value":"61-15"},{"id":16,"name":"Locomotive ID","value":"4010"},{"id":130,"name":"Impact","value":""},{"id":150,"name":"Time of Event (Mountain Time)","value":"11:40:09"},{"id":151,"name":"Denver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129"/>
        <v>start /low /b %USERPROFILE%\Documents\GitHub\eaglep3\Utilities\DownloadLogsFromS3.py --loco 4010 --day 2017-06-15</v>
      </c>
      <c r="AN229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17:40:09"},{"id":29,"name":"Sharepoint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41" x14ac:dyDescent="0.25">
      <c r="A230" s="32" t="s">
        <v>732</v>
      </c>
      <c r="B230" s="7">
        <v>4009</v>
      </c>
      <c r="C230" s="21" t="s">
        <v>202</v>
      </c>
      <c r="D230" s="21" t="s">
        <v>920</v>
      </c>
      <c r="E230" s="13">
        <v>42901.443518518521</v>
      </c>
      <c r="F230" s="13">
        <v>42901.449224537035</v>
      </c>
      <c r="G230" s="7">
        <v>7</v>
      </c>
      <c r="H230" s="21" t="s">
        <v>921</v>
      </c>
      <c r="I230" s="13">
        <v>42901.454907407409</v>
      </c>
      <c r="J230" s="7">
        <v>0</v>
      </c>
      <c r="K230" s="89" t="str">
        <f t="shared" si="133"/>
        <v>4009/4010</v>
      </c>
      <c r="L230" s="21" t="str">
        <f>VLOOKUP(A230,'Trips&amp;Operators'!$C$1:$G$99999,5,FALSE)</f>
        <v>ROBINSON KADDIBA</v>
      </c>
      <c r="M230" s="6">
        <f t="shared" si="134"/>
        <v>5.6828703745850362E-3</v>
      </c>
      <c r="N230" s="7">
        <f t="shared" si="132"/>
        <v>8.1833333394024521</v>
      </c>
      <c r="O230" s="7"/>
      <c r="P230" s="7"/>
      <c r="Q230" s="22"/>
      <c r="R230" s="170"/>
      <c r="S230" s="213">
        <f t="shared" si="135"/>
        <v>1</v>
      </c>
      <c r="T230" s="195" t="str">
        <f t="shared" si="136"/>
        <v>Southbound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1</v>
      </c>
      <c r="V230" s="196" t="str">
        <f t="shared" si="124"/>
        <v>https://d0f6bd738d7f1b3e5a7ca70fe4ff75f0.us-east-1.aws.found.io/app/kibana#/discover/Steve-Slow-Train-Analysis-(2080s-and-2083s)?_g=(refreshInterval:(display:Off,pause:!f,section:0,value:0),time:(from:'2017-06-15T09:38:40-0600',mode:absolute,to:'2017-06-15T11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0" s="197" t="str">
        <f>IF(AA230&lt;VLOOKUP(AG230,Variables!$AC$3:$AD$8,2,FALSE),"Y","N")</f>
        <v>Y</v>
      </c>
      <c r="X230" s="197">
        <f t="shared" si="131"/>
        <v>1</v>
      </c>
      <c r="Y230" s="197">
        <f t="shared" si="137"/>
        <v>2.3393999999999999</v>
      </c>
      <c r="Z230" s="197">
        <f t="shared" si="138"/>
        <v>8.6499999999999994E-2</v>
      </c>
      <c r="AA230" s="197">
        <f t="shared" si="139"/>
        <v>2.2528999999999999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140"/>
        <v>62</v>
      </c>
      <c r="AE230" s="77" t="str">
        <f t="shared" si="125"/>
        <v>aws s3 cp s3://rtdc.mdm.uploadarchive.raw/RTDC4009/ "%USERPROFILE%\AppData\Local\Temp\OnboardLogs"\RTDC4009\2017-06-15 --exclude "*" --recursive --include "*20170615*" &amp; "%USERPROFILE%\Documents\GitHub\mrs-test-scripts\Headless Mode &amp; Sideloading\WalkAndUnGZ.bat" "%USERPROFILE%\AppData\Local\Temp\OnboardLogs"\RTDC4009\2017-06-15 &amp; aws s3 cp s3://rtdc.mdm.uploadarchive.raw/RTDC4009/ "%USERPROFILE%\AppData\Local\Temp\OnboardLogs"\RTDC4009\2017-06-16 --exclude "*" --recursive --include "*20170616*" &amp; "%USERPROFILE%\Documents\GitHub\mrs-test-scripts\Headless Mode &amp; Sideloading\WalkAndUnGZ.bat" "%USERPROFILE%\AppData\Local\Temp\OnboardLogs"\RTDC4009\2017-06-16</v>
      </c>
      <c r="AF230" s="74" t="str">
        <f t="shared" si="126"/>
        <v>"C:\Program Files (x86)\AstroGrep\AstroGrep.exe" /e /r /s /spath="%USERPROFILE%\AppData\Local\Temp\OnboardLogs" /stypes="app*4009*20170615*" /stext=" 16:.+((SYSTEM_STATE.+slice.+state.+changed )|(ment ac)|(multiple cpu faults)|(system.+state.+changed )|(\[timeout)|(PRM\|1\|D)|(kpr)|(kdp)|(train st.+moving)|(\|lc)|(penalty))"</v>
      </c>
      <c r="AG230" s="209" t="str">
        <f t="shared" si="141"/>
        <v>Shuttle/Test</v>
      </c>
      <c r="AH230" s="78" t="str">
        <f t="shared" si="127"/>
        <v>"%USERPROFILE%\Documents\GitHub\eaglep3\Utilities\RefineRTDCRunTimes.py" --tripid 62-15 --locoid 4009 --swversion DE.1.0.9.0 --startMP 300:23394 --initTime 2017-06-15T10:38:40 --startdatetime 2017-06-15T10:46:53 --delay 7 --endMP 204:865 --enddatetime 2017-06-15T10:55:04 --enforcementcount 0 &gt;&gt;C:\Users\stu\Documents\GitHub\eaglep3-reporting\EC\2017-06-15-refined-times.txt</v>
      </c>
      <c r="AI230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0.0865"},{"id":17,"name":"Train ID","value":"62-15"},{"id":16,"name":"Locomotive ID","value":"4009"},{"id":130,"name":"Impact","value":""},{"id":150,"name":"Time of Event (Mountain Time)","value":"10:55:04"},{"id":151,"name":"Denver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29"/>
        <v>start /low /b %USERPROFILE%\Documents\GitHub\eaglep3\Utilities\DownloadLogsFromS3.py --loco 4009 --day 2017-06-15</v>
      </c>
      <c r="AN230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16:55:04"},{"id":29,"name":"Sharepoint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41" x14ac:dyDescent="0.25">
      <c r="A231" s="32" t="s">
        <v>787</v>
      </c>
      <c r="B231" s="7">
        <v>4024</v>
      </c>
      <c r="C231" s="21" t="s">
        <v>202</v>
      </c>
      <c r="D231" s="21" t="s">
        <v>922</v>
      </c>
      <c r="E231" s="13">
        <v>42901.698819444442</v>
      </c>
      <c r="F231" s="13">
        <v>42901.70140046296</v>
      </c>
      <c r="G231" s="7">
        <v>3</v>
      </c>
      <c r="H231" s="21" t="s">
        <v>922</v>
      </c>
      <c r="I231" s="13">
        <v>42901.70208333333</v>
      </c>
      <c r="J231" s="7">
        <v>0</v>
      </c>
      <c r="K231" s="89" t="str">
        <f t="shared" si="133"/>
        <v>4023/4024</v>
      </c>
      <c r="L231" s="21" t="str">
        <f>VLOOKUP(A231,'Trips&amp;Operators'!$C$1:$G$99999,5,FALSE)</f>
        <v>STORY SAMANTHA</v>
      </c>
      <c r="M231" s="6">
        <f t="shared" si="134"/>
        <v>6.8287036992842332E-4</v>
      </c>
      <c r="N231" s="7"/>
      <c r="O231" s="7"/>
      <c r="P231" s="7">
        <f>24*60*SUM($M231:$M231)</f>
        <v>0.98333333269692957</v>
      </c>
      <c r="Q231" s="22"/>
      <c r="R231" s="170" t="s">
        <v>1017</v>
      </c>
      <c r="S231" s="213">
        <f t="shared" si="135"/>
        <v>0</v>
      </c>
      <c r="T231" s="195" t="str">
        <f t="shared" si="136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124"/>
        <v>https://d0f6bd738d7f1b3e5a7ca70fe4ff75f0.us-east-1.aws.found.io/app/kibana#/discover/Steve-Slow-Train-Analysis-(2080s-and-2083s)?_g=(refreshInterval:(display:Off,pause:!f,section:0,value:0),time:(from:'2017-06-15T15:46:18-0600',mode:absolute,to:'2017-06-15T17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197" t="str">
        <f>IF(AA231&lt;VLOOKUP(AG231,Variables!$AC$3:$AD$8,2,FALSE),"Y","N")</f>
        <v>Y</v>
      </c>
      <c r="X231" s="197">
        <f t="shared" si="131"/>
        <v>11</v>
      </c>
      <c r="Y231" s="197">
        <f t="shared" si="137"/>
        <v>0.14729999999999999</v>
      </c>
      <c r="Z231" s="197">
        <f t="shared" si="138"/>
        <v>0.14729999999999999</v>
      </c>
      <c r="AA231" s="197">
        <f t="shared" si="139"/>
        <v>0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140"/>
        <v>73</v>
      </c>
      <c r="AE231" s="77" t="str">
        <f t="shared" si="125"/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AF231" s="74" t="str">
        <f t="shared" si="126"/>
        <v>"C:\Program Files (x86)\AstroGrep\AstroGrep.exe" /e /r /s /spath="%USERPROFILE%\AppData\Local\Temp\OnboardLogs" /stypes="app*4024*20170615*" /stext=" 22:.+((SYSTEM_STATE.+slice.+state.+changed )|(ment ac)|(multiple cpu faults)|(system.+state.+changed )|(\[timeout)|(PRM\|1\|D)|(kpr)|(kdp)|(train st.+moving)|(\|lc)|(penalty))"</v>
      </c>
      <c r="AG231" s="209" t="str">
        <f t="shared" si="141"/>
        <v>Shuttle/Test</v>
      </c>
      <c r="AH231" s="78" t="str">
        <f t="shared" si="127"/>
        <v>"%USERPROFILE%\Documents\GitHub\eaglep3\Utilities\RefineRTDCRunTimes.py" --tripid 73-15 --locoid 4024 --swversion DE.1.0.9.0 --startMP 204:1473 --initTime 2017-06-15T16:46:18 --startdatetime 2017-06-15T16:50:01 --delay 3 --endMP 204:1473 --enddatetime 2017-06-15T16:51:00 --enforcementcount 0 &gt;&gt;C:\Users\stu\Documents\GitHub\eaglep3-reporting\EC\2017-06-15-refined-times.txt</v>
      </c>
      <c r="AI231" s="96" t="str">
        <f t="shared" si="128"/>
        <v>echo {"issue":{"subject":"Onboard in-route failure","project_id":79,"tracker_id":40,"status_id":1,"priority_id":2,"assigned_to_id":23,"start_date":"2017-06-15","description":"","custom_fields":[{"id":1,"name":"Subdivision","value":"Shuttle/Test"},{"id":4,"name":"Milepost","value":"0.1473"},{"id":17,"name":"Train ID","value":"73-15"},{"id":16,"name":"Locomotive ID","value":"4024"},{"id":130,"name":"Impact","value":""},{"id":150,"name":"Time of Event (Mountain Time)","value":"16:51:00"},{"id":151,"name":"Denver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129"/>
        <v>start /low /b %USERPROFILE%\Documents\GitHub\eaglep3\Utilities\DownloadLogsFromS3.py --loco 4024 --day 2017-06-15</v>
      </c>
      <c r="AN231" s="151" t="str">
        <f t="shared" si="130"/>
        <v>echo {"issue":{"subject":"Onboard in-route failure","project_id":30,"tracker_id":4,"status_id":1,"priority_id":1,"assigned_to_id":10,"start_date":"2017-06-15","description":"","custom_fields":[{"id":30,"name":"Category","value":"Issue"},{"id":3,"name":"Functional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22:51:00"},{"id":29,"name":"Sharepoint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41" x14ac:dyDescent="0.25">
      <c r="A232" s="32" t="s">
        <v>803</v>
      </c>
      <c r="B232" s="7">
        <v>4022</v>
      </c>
      <c r="C232" s="21" t="s">
        <v>202</v>
      </c>
      <c r="D232" s="21" t="s">
        <v>923</v>
      </c>
      <c r="E232" s="13">
        <v>42901.766793981478</v>
      </c>
      <c r="F232" s="13">
        <v>42901.76829861111</v>
      </c>
      <c r="G232" s="7">
        <v>1</v>
      </c>
      <c r="H232" s="21" t="s">
        <v>594</v>
      </c>
      <c r="I232" s="13">
        <v>42901.780057870368</v>
      </c>
      <c r="J232" s="7">
        <v>0</v>
      </c>
      <c r="K232" s="89" t="str">
        <f t="shared" si="133"/>
        <v>4021/4022</v>
      </c>
      <c r="L232" s="21" t="str">
        <f>VLOOKUP(A232,'Trips&amp;Operators'!$C$1:$G$99999,5,FALSE)</f>
        <v>YORK EDGAR</v>
      </c>
      <c r="M232" s="6">
        <f t="shared" si="134"/>
        <v>1.1759259257814847E-2</v>
      </c>
      <c r="N232" s="7">
        <f>24*60*SUM($M232:$M232)</f>
        <v>16.93333333125338</v>
      </c>
      <c r="O232" s="7"/>
      <c r="P232" s="7"/>
      <c r="Q232" s="22"/>
      <c r="R232" s="170"/>
      <c r="S232" s="213">
        <f t="shared" si="135"/>
        <v>1</v>
      </c>
      <c r="T232" s="195" t="str">
        <f t="shared" si="136"/>
        <v>NorthBound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124"/>
        <v>https://d0f6bd738d7f1b3e5a7ca70fe4ff75f0.us-east-1.aws.found.io/app/kibana#/discover/Steve-Slow-Train-Analysis-(2080s-and-2083s)?_g=(refreshInterval:(display:Off,pause:!f,section:0,value:0),time:(from:'2017-06-15T17:24:11-0600',mode:absolute,to:'2017-06-15T19:43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2" s="197" t="str">
        <f>IF(AA232&lt;VLOOKUP(AG232,Variables!$AC$3:$AD$8,2,FALSE),"Y","N")</f>
        <v>Y</v>
      </c>
      <c r="X232" s="197">
        <f t="shared" si="131"/>
        <v>2</v>
      </c>
      <c r="Y232" s="197">
        <f t="shared" si="137"/>
        <v>4.48E-2</v>
      </c>
      <c r="Z232" s="197">
        <f t="shared" si="138"/>
        <v>2.3304</v>
      </c>
      <c r="AA232" s="197">
        <f t="shared" si="139"/>
        <v>2.2856000000000001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140"/>
        <v>75</v>
      </c>
      <c r="AE232" s="77" t="str">
        <f t="shared" si="125"/>
        <v>aws s3 cp s3://rtdc.mdm.uploadarchive.raw/RTDC4022/ "%USERPROFILE%\AppData\Local\Temp\OnboardLogs"\RTDC4022\2017-06-15 --exclude "*" --recursive --include "*20170615*" &amp; "%USERPROFILE%\Documents\GitHub\mrs-test-scripts\Headless Mode &amp; Sideloading\WalkAndUnGZ.bat" "%USERPROFILE%\AppData\Local\Temp\OnboardLogs"\RTDC4022\2017-06-15 &amp; aws s3 cp s3://rtdc.mdm.uploadarchive.raw/RTDC4022/ "%USERPROFILE%\AppData\Local\Temp\OnboardLogs"\RTDC4022\2017-06-16 --exclude "*" --recursive --include "*20170616*" &amp; "%USERPROFILE%\Documents\GitHub\mrs-test-scripts\Headless Mode &amp; Sideloading\WalkAndUnGZ.bat" "%USERPROFILE%\AppData\Local\Temp\OnboardLogs"\RTDC4022\2017-06-16</v>
      </c>
      <c r="AF232" s="74" t="str">
        <f t="shared" si="126"/>
        <v>"C:\Program Files (x86)\AstroGrep\AstroGrep.exe" /e /r /s /spath="%USERPROFILE%\AppData\Local\Temp\OnboardLogs" /stypes="app*4022*20170616*" /stext=" 00:.+((SYSTEM_STATE.+slice.+state.+changed )|(ment ac)|(multiple cpu faults)|(system.+state.+changed )|(\[timeout)|(PRM\|1\|D)|(kpr)|(kdp)|(train st.+moving)|(\|lc)|(penalty))"</v>
      </c>
      <c r="AG232" s="209" t="str">
        <f t="shared" si="141"/>
        <v>Shuttle/Test</v>
      </c>
      <c r="AH232" s="78" t="str">
        <f t="shared" si="127"/>
        <v>"%USERPROFILE%\Documents\GitHub\eaglep3\Utilities\RefineRTDCRunTimes.py" --tripid 75-15 --locoid 4022 --swversion DE.1.0.9.0 --startMP 204:448 --initTime 2017-06-15T18:24:11 --startdatetime 2017-06-15T18:26:21 --delay 1 --endMP 300:23304 --enddatetime 2017-06-15T18:43:17 --enforcementcount 0 &gt;&gt;C:\Users\stu\Documents\GitHub\eaglep3-reporting\EC\2017-06-15-refined-times.txt</v>
      </c>
      <c r="AI232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2.3304"},{"id":17,"name":"Train ID","value":"75-15"},{"id":16,"name":"Locomotive ID","value":"4022"},{"id":130,"name":"Impact","value":""},{"id":150,"name":"Time of Event (Mountain Time)","value":"18:43:17"},{"id":151,"name":"Denver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129"/>
        <v>start /low /b %USERPROFILE%\Documents\GitHub\eaglep3\Utilities\DownloadLogsFromS3.py --loco 4022 --day 2017-06-15</v>
      </c>
      <c r="AN232" s="151" t="str">
        <f t="shared" si="13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00:43:17"},{"id":29,"name":"Sharepoint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41" x14ac:dyDescent="0.25">
      <c r="A233" s="32" t="s">
        <v>819</v>
      </c>
      <c r="B233" s="7">
        <v>4003</v>
      </c>
      <c r="C233" s="21" t="s">
        <v>202</v>
      </c>
      <c r="D233" s="21" t="s">
        <v>924</v>
      </c>
      <c r="E233" s="13">
        <v>42901.84883101852</v>
      </c>
      <c r="F233" s="13">
        <v>42901.853784722225</v>
      </c>
      <c r="G233" s="7">
        <v>1</v>
      </c>
      <c r="H233" s="21" t="s">
        <v>925</v>
      </c>
      <c r="I233" s="13">
        <v>42901.854826388888</v>
      </c>
      <c r="J233" s="7">
        <v>0</v>
      </c>
      <c r="K233" s="89" t="str">
        <f t="shared" si="133"/>
        <v>4003/4004</v>
      </c>
      <c r="L233" s="21" t="str">
        <f>VLOOKUP(A233,'Trips&amp;Operators'!$C$1:$G$99999,5,FALSE)</f>
        <v>MAGEE KENYA</v>
      </c>
      <c r="M233" s="6">
        <f t="shared" si="134"/>
        <v>1.0416666627861559E-3</v>
      </c>
      <c r="N233" s="7">
        <f>24*60*SUM($M233:$M233)</f>
        <v>1.4999999944120646</v>
      </c>
      <c r="O233" s="7"/>
      <c r="P233" s="7"/>
      <c r="Q233" s="22"/>
      <c r="R233" s="170"/>
      <c r="S233" s="213">
        <f t="shared" si="135"/>
        <v>0</v>
      </c>
      <c r="T233" s="195" t="str">
        <f t="shared" si="136"/>
        <v>NorthBound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124"/>
        <v>https://d0f6bd738d7f1b3e5a7ca70fe4ff75f0.us-east-1.aws.found.io/app/kibana#/discover/Steve-Slow-Train-Analysis-(2080s-and-2083s)?_g=(refreshInterval:(display:Off,pause:!f,section:0,value:0),time:(from:'2017-06-15T19:22:19-0600',mode:absolute,to:'2017-06-15T21:30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3" s="197" t="str">
        <f>IF(AA233&lt;VLOOKUP(AG233,Variables!$AC$3:$AD$8,2,FALSE),"Y","N")</f>
        <v>Y</v>
      </c>
      <c r="X233" s="197">
        <f t="shared" si="131"/>
        <v>2</v>
      </c>
      <c r="Y233" s="197">
        <f t="shared" si="137"/>
        <v>0.50429999999999997</v>
      </c>
      <c r="Z233" s="197">
        <f t="shared" si="138"/>
        <v>0.18049999999999999</v>
      </c>
      <c r="AA233" s="197">
        <f t="shared" si="139"/>
        <v>0.32379999999999998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140"/>
        <v>77</v>
      </c>
      <c r="AE233" s="77" t="str">
        <f t="shared" si="125"/>
        <v>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 &amp; aws s3 cp s3://rtdc.mdm.uploadarchive.raw/RTDC4003/ "%USERPROFILE%\AppData\Local\Temp\OnboardLogs"\RTDC4003\2017-06-16 --exclude "*" --recursive --include "*20170616*" &amp; "%USERPROFILE%\Documents\GitHub\mrs-test-scripts\Headless Mode &amp; Sideloading\WalkAndUnGZ.bat" "%USERPROFILE%\AppData\Local\Temp\OnboardLogs"\RTDC4003\2017-06-16</v>
      </c>
      <c r="AF233" s="74" t="str">
        <f t="shared" si="126"/>
        <v>"C:\Program Files (x86)\AstroGrep\AstroGrep.exe" /e /r /s /spath="%USERPROFILE%\AppData\Local\Temp\OnboardLogs" /stypes="app*4003*20170616*" /stext=" 02:.+((SYSTEM_STATE.+slice.+state.+changed )|(ment ac)|(multiple cpu faults)|(system.+state.+changed )|(\[timeout)|(PRM\|1\|D)|(kpr)|(kdp)|(train st.+moving)|(\|lc)|(penalty))"</v>
      </c>
      <c r="AG233" s="209" t="str">
        <f t="shared" si="141"/>
        <v>Shuttle/Test</v>
      </c>
      <c r="AH233" s="78" t="str">
        <f t="shared" si="127"/>
        <v>"%USERPROFILE%\Documents\GitHub\eaglep3\Utilities\RefineRTDCRunTimes.py" --tripid 77-15 --locoid 4003 --swversion DE.1.0.9.0 --startMP 300:5043 --initTime 2017-06-15T20:22:19 --startdatetime 2017-06-15T20:29:27 --delay 1 --endMP 204:1805 --enddatetime 2017-06-15T20:30:57 --enforcementcount 0 &gt;&gt;C:\Users\stu\Documents\GitHub\eaglep3-reporting\EC\2017-06-15-refined-times.txt</v>
      </c>
      <c r="AI233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0.1805"},{"id":17,"name":"Train ID","value":"77-15"},{"id":16,"name":"Locomotive ID","value":"4003"},{"id":130,"name":"Impact","value":""},{"id":150,"name":"Time of Event (Mountain Time)","value":"20:30:57"},{"id":151,"name":"Denver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129"/>
        <v>start /low /b %USERPROFILE%\Documents\GitHub\eaglep3\Utilities\DownloadLogsFromS3.py --loco 4003 --day 2017-06-15</v>
      </c>
      <c r="AN233" s="151" t="str">
        <f t="shared" si="13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41" x14ac:dyDescent="0.25">
      <c r="A234" s="32" t="s">
        <v>819</v>
      </c>
      <c r="B234" s="7">
        <v>4004</v>
      </c>
      <c r="C234" s="21" t="s">
        <v>202</v>
      </c>
      <c r="D234" s="21" t="s">
        <v>926</v>
      </c>
      <c r="E234" s="13">
        <v>42901.84542824074</v>
      </c>
      <c r="F234" s="13">
        <v>42901.853784722225</v>
      </c>
      <c r="G234" s="7">
        <v>1</v>
      </c>
      <c r="H234" s="21" t="s">
        <v>927</v>
      </c>
      <c r="I234" s="13">
        <v>42901.854826388888</v>
      </c>
      <c r="J234" s="7">
        <v>0</v>
      </c>
      <c r="K234" s="89" t="str">
        <f t="shared" si="133"/>
        <v>4003/4004</v>
      </c>
      <c r="L234" s="21" t="str">
        <f>VLOOKUP(A234,'Trips&amp;Operators'!$C$1:$G$99999,5,FALSE)</f>
        <v>MAGEE KENYA</v>
      </c>
      <c r="M234" s="6">
        <f t="shared" si="134"/>
        <v>1.0416666627861559E-3</v>
      </c>
      <c r="N234" s="7">
        <f>24*60*SUM($M234:$M234)</f>
        <v>1.4999999944120646</v>
      </c>
      <c r="O234" s="7"/>
      <c r="P234" s="7"/>
      <c r="Q234" s="22"/>
      <c r="R234" s="170"/>
      <c r="S234" s="213">
        <f t="shared" si="135"/>
        <v>0</v>
      </c>
      <c r="T234" s="195" t="str">
        <f t="shared" si="136"/>
        <v>NorthBound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124"/>
        <v>https://d0f6bd738d7f1b3e5a7ca70fe4ff75f0.us-east-1.aws.found.io/app/kibana#/discover/Steve-Slow-Train-Analysis-(2080s-and-2083s)?_g=(refreshInterval:(display:Off,pause:!f,section:0,value:0),time:(from:'2017-06-15T19:17:25-0600',mode:absolute,to:'2017-06-15T21:30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4" s="197" t="str">
        <f>IF(AA234&lt;VLOOKUP(AG234,Variables!$AC$3:$AD$8,2,FALSE),"Y","N")</f>
        <v>Y</v>
      </c>
      <c r="X234" s="197">
        <f t="shared" si="131"/>
        <v>0</v>
      </c>
      <c r="Y234" s="197">
        <f t="shared" si="137"/>
        <v>0.11360000000000001</v>
      </c>
      <c r="Z234" s="197">
        <f t="shared" si="138"/>
        <v>0.52510000000000001</v>
      </c>
      <c r="AA234" s="197">
        <f t="shared" si="139"/>
        <v>0.41149999999999998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140"/>
        <v>77</v>
      </c>
      <c r="AE234" s="77" t="str">
        <f t="shared" si="125"/>
        <v>aws s3 cp s3://rtdc.mdm.uploadarchive.raw/RTDC4004/ "%USERPROFILE%\AppData\Local\Temp\OnboardLogs"\RTDC4004\2017-06-15 --exclude "*" --recursive --include "*20170615*" &amp; "%USERPROFILE%\Documents\GitHub\mrs-test-scripts\Headless Mode &amp; Sideloading\WalkAndUnGZ.bat" "%USERPROFILE%\AppData\Local\Temp\OnboardLogs"\RTDC4004\2017-06-15 &amp; aws s3 cp s3://rtdc.mdm.uploadarchive.raw/RTDC4004/ "%USERPROFILE%\AppData\Local\Temp\OnboardLogs"\RTDC4004\2017-06-16 --exclude "*" --recursive --include "*20170616*" &amp; "%USERPROFILE%\Documents\GitHub\mrs-test-scripts\Headless Mode &amp; Sideloading\WalkAndUnGZ.bat" "%USERPROFILE%\AppData\Local\Temp\OnboardLogs"\RTDC4004\2017-06-16</v>
      </c>
      <c r="AF234" s="74" t="str">
        <f t="shared" si="126"/>
        <v>"C:\Program Files (x86)\AstroGrep\AstroGrep.exe" /e /r /s /spath="%USERPROFILE%\AppData\Local\Temp\OnboardLogs" /stypes="app*4004*20170616*" /stext=" 02:.+((SYSTEM_STATE.+slice.+state.+changed )|(ment ac)|(multiple cpu faults)|(system.+state.+changed )|(\[timeout)|(PRM\|1\|D)|(kpr)|(kdp)|(train st.+moving)|(\|lc)|(penalty))"</v>
      </c>
      <c r="AG234" s="209" t="str">
        <f t="shared" si="141"/>
        <v>Shuttle/Test</v>
      </c>
      <c r="AH234" s="78" t="str">
        <f t="shared" si="127"/>
        <v>"%USERPROFILE%\Documents\GitHub\eaglep3\Utilities\RefineRTDCRunTimes.py" --tripid 77-15 --locoid 4004 --swversion DE.1.0.9.0 --startMP 204:1136 --initTime 2017-06-15T20:17:25 --startdatetime 2017-06-15T20:29:27 --delay 1 --endMP 300:5251 --enddatetime 2017-06-15T20:30:57 --enforcementcount 0 &gt;&gt;C:\Users\stu\Documents\GitHub\eaglep3-reporting\EC\2017-06-15-refined-times.txt</v>
      </c>
      <c r="AI234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0.5251"},{"id":17,"name":"Train ID","value":"77-15"},{"id":16,"name":"Locomotive ID","value":"4004"},{"id":130,"name":"Impact","value":""},{"id":150,"name":"Time of Event (Mountain Time)","value":"20:30:57"},{"id":151,"name":"Denver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29"/>
        <v>start /low /b %USERPROFILE%\Documents\GitHub\eaglep3\Utilities\DownloadLogsFromS3.py --loco 4004 --day 2017-06-15</v>
      </c>
      <c r="AN234" s="151" t="str">
        <f t="shared" si="130"/>
        <v>echo {"issue":{"subject":"","project_id":30,"tracker_id":4,"status_id":1,"priority_id":1,"assigned_to_id":10,"start_date":"2017-06-16","description":"","custom_fields":[{"id":30,"name":"Category","value":"Issue"},{"id":3,"name":"Functional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UTC","value":"2017-06-16 02:30:57"},{"id":29,"name":"Sharepoint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41" x14ac:dyDescent="0.25">
      <c r="A235" s="32" t="s">
        <v>794</v>
      </c>
      <c r="B235" s="7">
        <v>4003</v>
      </c>
      <c r="C235" s="21" t="s">
        <v>202</v>
      </c>
      <c r="D235" s="21" t="s">
        <v>928</v>
      </c>
      <c r="E235" s="13">
        <v>42901.740601851852</v>
      </c>
      <c r="F235" s="13">
        <v>42901.744641203702</v>
      </c>
      <c r="G235" s="7">
        <v>5</v>
      </c>
      <c r="H235" s="21" t="s">
        <v>929</v>
      </c>
      <c r="I235" s="13">
        <v>42901.74931712963</v>
      </c>
      <c r="J235" s="7">
        <v>0</v>
      </c>
      <c r="K235" s="89" t="str">
        <f t="shared" si="133"/>
        <v>4003/4004</v>
      </c>
      <c r="L235" s="21" t="str">
        <f>VLOOKUP(A235,'Trips&amp;Operators'!$C$1:$G$99999,5,FALSE)</f>
        <v>BIRENBAUM THOMAS</v>
      </c>
      <c r="M235" s="6">
        <f t="shared" si="134"/>
        <v>4.6759259275859222E-3</v>
      </c>
      <c r="N235" s="7">
        <f>24*60*SUM($M235:$M235)</f>
        <v>6.7333333357237279</v>
      </c>
      <c r="O235" s="7"/>
      <c r="P235" s="7"/>
      <c r="Q235" s="22"/>
      <c r="R235" s="170"/>
      <c r="S235" s="213">
        <f t="shared" si="135"/>
        <v>1</v>
      </c>
      <c r="T235" s="195" t="str">
        <f t="shared" si="136"/>
        <v>Southbound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196" t="str">
        <f t="shared" si="124"/>
        <v>https://d0f6bd738d7f1b3e5a7ca70fe4ff75f0.us-east-1.aws.found.io/app/kibana#/discover/Steve-Slow-Train-Analysis-(2080s-and-2083s)?_g=(refreshInterval:(display:Off,pause:!f,section:0,value:0),time:(from:'2017-06-15T16:46:28-0600',mode:absolute,to:'2017-06-15T18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5" s="197" t="str">
        <f>IF(AA235&lt;VLOOKUP(AG235,Variables!$AC$3:$AD$8,2,FALSE),"Y","N")</f>
        <v>Y</v>
      </c>
      <c r="X235" s="197">
        <f t="shared" si="131"/>
        <v>1</v>
      </c>
      <c r="Y235" s="197">
        <f t="shared" si="137"/>
        <v>2.3540000000000001</v>
      </c>
      <c r="Z235" s="197">
        <f t="shared" si="138"/>
        <v>0.22320000000000001</v>
      </c>
      <c r="AA235" s="197">
        <f t="shared" si="139"/>
        <v>2.1308000000000002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140"/>
        <v>78</v>
      </c>
      <c r="AE235" s="77" t="str">
        <f t="shared" si="125"/>
        <v>aws s3 cp s3://rtdc.mdm.uploadarchive.raw/RTDC4003/ "%USERPROFILE%\AppData\Local\Temp\OnboardLogs"\RTDC4003\2017-06-15 --exclude "*" --recursive --include "*20170615*" &amp; "%USERPROFILE%\Documents\GitHub\mrs-test-scripts\Headless Mode &amp; Sideloading\WalkAndUnGZ.bat" "%USERPROFILE%\AppData\Local\Temp\OnboardLogs"\RTDC4003\2017-06-15 &amp; aws s3 cp s3://rtdc.mdm.uploadarchive.raw/RTDC4003/ "%USERPROFILE%\AppData\Local\Temp\OnboardLogs"\RTDC4003\2017-06-16 --exclude "*" --recursive --include "*20170616*" &amp; "%USERPROFILE%\Documents\GitHub\mrs-test-scripts\Headless Mode &amp; Sideloading\WalkAndUnGZ.bat" "%USERPROFILE%\AppData\Local\Temp\OnboardLogs"\RTDC4003\2017-06-16</v>
      </c>
      <c r="AF235" s="74" t="str">
        <f t="shared" si="126"/>
        <v>"C:\Program Files (x86)\AstroGrep\AstroGrep.exe" /e /r /s /spath="%USERPROFILE%\AppData\Local\Temp\OnboardLogs" /stypes="app*4003*20170615*" /stext=" 23:.+((SYSTEM_STATE.+slice.+state.+changed )|(ment ac)|(multiple cpu faults)|(system.+state.+changed )|(\[timeout)|(PRM\|1\|D)|(kpr)|(kdp)|(train st.+moving)|(\|lc)|(penalty))"</v>
      </c>
      <c r="AG235" s="209" t="str">
        <f t="shared" si="141"/>
        <v>Shuttle/Test</v>
      </c>
      <c r="AH235" s="78" t="str">
        <f t="shared" si="127"/>
        <v>"%USERPROFILE%\Documents\GitHub\eaglep3\Utilities\RefineRTDCRunTimes.py" --tripid 78-15 --locoid 4003 --swversion DE.1.0.9.0 --startMP 300:23540 --initTime 2017-06-15T17:46:28 --startdatetime 2017-06-15T17:52:17 --delay 5 --endMP 204:2232 --enddatetime 2017-06-15T17:59:01 --enforcementcount 0 &gt;&gt;C:\Users\stu\Documents\GitHub\eaglep3-reporting\EC\2017-06-15-refined-times.txt</v>
      </c>
      <c r="AI235" s="96" t="str">
        <f t="shared" si="128"/>
        <v>echo {"issue":{"subject":"","project_id":79,"tracker_id":40,"status_id":1,"priority_id":2,"assigned_to_id":23,"start_date":"2017-06-15","description":"","custom_fields":[{"id":1,"name":"Subdivision","value":"Shuttle/Test"},{"id":4,"name":"Milepost","value":"0.2232"},{"id":17,"name":"Train ID","value":"78-15"},{"id":16,"name":"Locomotive ID","value":"4003"},{"id":130,"name":"Impact","value":""},{"id":150,"name":"Time of Event (Mountain Time)","value":"17:59:01"},{"id":151,"name":"Denver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129"/>
        <v>start /low /b %USERPROFILE%\Documents\GitHub\eaglep3\Utilities\DownloadLogsFromS3.py --loco 4003 --day 2017-06-15</v>
      </c>
      <c r="AN235" s="151" t="str">
        <f t="shared" si="130"/>
        <v>echo {"issue":{"subject":"","project_id":30,"tracker_id":4,"status_id":1,"priority_id":1,"assigned_to_id":10,"start_date":"2017-06-15","description":"","custom_fields":[{"id":30,"name":"Category","value":"Issue"},{"id":3,"name":"Functional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UTC","value":"2017-06-15 23:59:01"},{"id":29,"name":"Sharepoint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4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4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4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4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41" s="20" customForma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4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4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4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4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</sheetData>
  <autoFilter ref="A12:AG280">
    <sortState ref="A13:AG275">
      <sortCondition ref="AG13:AG230"/>
      <sortCondition ref="AD13:AD230"/>
    </sortState>
  </autoFilter>
  <sortState ref="A13:AN233">
    <sortCondition ref="AG13:AG233"/>
    <sortCondition ref="AD13:AD233"/>
  </sortState>
  <mergeCells count="1">
    <mergeCell ref="A11:P11"/>
  </mergeCells>
  <conditionalFormatting sqref="W11:W12 W284:X1048576 W13:X235">
    <cfRule type="cellIs" dxfId="10" priority="415" operator="equal">
      <formula>"Y"</formula>
    </cfRule>
  </conditionalFormatting>
  <conditionalFormatting sqref="X284:X1048576 X13:X235">
    <cfRule type="cellIs" dxfId="9" priority="398" operator="greaterThan">
      <formula>1</formula>
    </cfRule>
  </conditionalFormatting>
  <conditionalFormatting sqref="X284:X1048576 X12:X235">
    <cfRule type="cellIs" dxfId="8" priority="395" operator="equal">
      <formula>0</formula>
    </cfRule>
  </conditionalFormatting>
  <conditionalFormatting sqref="A13:S235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opLeftCell="A2" zoomScaleNormal="100" workbookViewId="0">
      <selection activeCell="D12" sqref="D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3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44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- 2017-06-15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613</v>
      </c>
      <c r="X6" s="208" t="s">
        <v>606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42901.852685185186</v>
      </c>
      <c r="B7" s="30" t="s">
        <v>640</v>
      </c>
      <c r="C7" s="30" t="s">
        <v>659</v>
      </c>
      <c r="D7" s="30" t="s">
        <v>96</v>
      </c>
      <c r="E7" s="30" t="s">
        <v>187</v>
      </c>
      <c r="F7" s="42">
        <v>0</v>
      </c>
      <c r="G7" s="42">
        <v>202</v>
      </c>
      <c r="H7" s="42">
        <v>30957</v>
      </c>
      <c r="I7" s="42">
        <v>30781</v>
      </c>
      <c r="J7" s="30" t="s">
        <v>188</v>
      </c>
      <c r="K7" s="42">
        <v>30970</v>
      </c>
      <c r="L7" s="131" t="s">
        <v>51</v>
      </c>
      <c r="M7" s="132">
        <f t="shared" ref="M7:M53" si="0">CONVERT((I7-K7)/10000,"mi","ft")*IF(L7="Increasing Mileposts (1)",-1,1)</f>
        <v>-99.792000000000002</v>
      </c>
      <c r="N7" s="133" t="str">
        <f>VLOOKUP(C7,'Trips&amp;Operators'!$C$1:$G$99999,5,FALSE)</f>
        <v>ZEWDU DEREJE</v>
      </c>
      <c r="O7" s="203" t="s">
        <v>180</v>
      </c>
      <c r="P7" s="134" t="s">
        <v>397</v>
      </c>
      <c r="Q7" s="30"/>
      <c r="R7" s="81" t="str">
        <f>VLOOKUP(C7,'Train Runs'!$A$13:$AE$9939,31,0)</f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S7" s="84" t="str">
        <f>VLOOKUP(C7,'Train Runs'!$A$13:$AE$9939,22,0)</f>
        <v>https://d0f6bd738d7f1b3e5a7ca70fe4ff75f0.us-east-1.aws.found.io/app/kibana#/discover/Steve-Slow-Train-Analysis-(2080s-and-2083s)?_g=(refreshInterval:(display:Off,pause:!f,section:0,value:0),time:(from:'2017-06-15T18:48:20-0600',mode:absolute,to:'2017-06-15T21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7" s="86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/stypes="*4053*201706160*" /stext=" 02:.+((SYSTEM_STATE.+slice.+state.+changed )|(ment ac)|(multiple cpu faults)|(system.+state.+changed )|(\[timeout)|(PRM\|1\|D)|(kpr)|(kdp)|(train st.+moving)|(\|lc)|(penalty))"</v>
      </c>
      <c r="U7" s="9" t="str">
        <f t="shared" ref="U7:U53" si="2">MID(B7,13,4)</f>
        <v>4053</v>
      </c>
      <c r="V7" s="31">
        <f t="shared" ref="V7:V53" si="3">A7-utc_offset/24</f>
        <v>42902.102685185186</v>
      </c>
      <c r="W7" s="45" t="str">
        <f t="shared" ref="W7:W53" si="4">DetSubdiv(C7)</f>
        <v>EC</v>
      </c>
      <c r="X7" s="22">
        <f t="shared" ref="X7:X53" si="5">VALUE(LEFT(C7,LEN(C7)-3))</f>
        <v>222</v>
      </c>
      <c r="Y7" s="96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arrival","project_id":79,"tracker_id":40,"status_id":1,"priority_id":2,"assigned_to_id":23,"start_date":"2017-06-15","description":"","custom_fields":[{"id":1,"name":"Subdivision","value":"EC"},{"id":4,"name":"Milepost","value":"3.097"},{"id":17,"name":"Train ID","value":"222-15"},{"id":16,"name":"Locomotive ID","value":"4053"},{"id":130,"name":"Impact","value":""},{"id":150,"name":"Time of Event (Mountain Time)","value":"20:27:52"},{"id":151,"name":"Denver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3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/cygdrive/c/Users/stu/AppData/Local/Temp/OnboardLogs/RTDC4053 --include="*4053*201706160*"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"%USERPROFILE%\AppData\Local\Temp\OnboardLogs"\RTDC4053\*4053*201706160* &gt;&gt; 2017-06-15-SliceDisagreementCheck.txt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4053 --day 2017-06-16</v>
      </c>
    </row>
    <row r="8" spans="1:32" s="1" customFormat="1" x14ac:dyDescent="0.25">
      <c r="A8" s="31">
        <v>42901.644016203703</v>
      </c>
      <c r="B8" s="30" t="s">
        <v>483</v>
      </c>
      <c r="C8" s="30" t="s">
        <v>642</v>
      </c>
      <c r="D8" s="30" t="s">
        <v>49</v>
      </c>
      <c r="E8" s="30" t="s">
        <v>187</v>
      </c>
      <c r="F8" s="42">
        <v>0</v>
      </c>
      <c r="G8" s="42">
        <v>206</v>
      </c>
      <c r="H8" s="42">
        <v>33305</v>
      </c>
      <c r="I8" s="42">
        <v>33062</v>
      </c>
      <c r="J8" s="30" t="s">
        <v>188</v>
      </c>
      <c r="K8" s="42">
        <v>33257</v>
      </c>
      <c r="L8" s="131" t="s">
        <v>51</v>
      </c>
      <c r="M8" s="132">
        <f t="shared" si="0"/>
        <v>-102.96</v>
      </c>
      <c r="N8" s="133" t="str">
        <f>VLOOKUP(C8,'Trips&amp;Operators'!$C$1:$G$99999,5,FALSE)</f>
        <v>BERLING GARY</v>
      </c>
      <c r="O8" s="203" t="s">
        <v>180</v>
      </c>
      <c r="P8" s="134" t="s">
        <v>397</v>
      </c>
      <c r="Q8" s="30"/>
      <c r="R8" s="81" t="str">
        <f>VLOOKUP(C8,'Train Runs'!$A$13:$AE$9939,31,0)</f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S8" s="84" t="str">
        <f>VLOOKUP(C8,'Train Runs'!$A$13:$AE$9939,22,0)</f>
        <v>https://d0f6bd738d7f1b3e5a7ca70fe4ff75f0.us-east-1.aws.found.io/app/kibana#/discover/Steve-Slow-Train-Analysis-(2080s-and-2083s)?_g=(refreshInterval:(display:Off,pause:!f,section:0,value:0),time:(from:'2017-06-15T13:44:39-0600',mode:absolute,to:'2017-06-15T16:37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8" s="86" t="str">
        <f t="shared" si="1"/>
        <v>"C:\Program Files (x86)\AstroGrep\AstroGrep.exe" /e /r /s /spath="%USERPROFILE%\AppData\Local\Temp\OnboardLogs" /stypes="*4005*201706152*"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4005</v>
      </c>
      <c r="V8" s="31">
        <f t="shared" si="3"/>
        <v>42901.894016203703</v>
      </c>
      <c r="W8" s="45" t="str">
        <f t="shared" si="4"/>
        <v>EC</v>
      </c>
      <c r="X8" s="22">
        <f t="shared" si="5"/>
        <v>184</v>
      </c>
      <c r="Y8" s="96" t="str">
        <f t="shared" si="6"/>
        <v>echo {"issue":{"subject":"Early arrival","project_id":79,"tracker_id":40,"status_id":1,"priority_id":2,"assigned_to_id":23,"start_date":"2017-06-15","description":"","custom_fields":[{"id":1,"name":"Subdivision","value":"EC"},{"id":4,"name":"Milepost","value":"3.3257"},{"id":17,"name":"Train ID","value":"184-15"},{"id":16,"name":"Locomotive ID","value":"4005"},{"id":130,"name":"Impact","value":""},{"id":150,"name":"Time of Event (Mountain Time)","value":"15:27:23"},{"id":151,"name":"Denver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/cygdrive/c/Users/stu/AppData/Local/Temp/OnboardLogs/RTDC4005 --include="*4005*201706152*"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"%USERPROFILE%\AppData\Local\Temp\OnboardLogs"\RTDC4005\*4005*201706152* &gt;&gt; 2017-06-15-SliceDisagreementCheck.txt</v>
      </c>
      <c r="AE8" s="145" t="str">
        <f t="shared" ref="AE8:AE53" si="9">"start /low /b "&amp;dls3logs&amp;" --loco "&amp;U8&amp;" --day "&amp;TEXT(V8,"YYYY-MM-DD")</f>
        <v>start /low /b %USERPROFILE%\Documents\GitHub\eaglep3\Utilities\DownloadLogsFromS3.py --loco 4005 --day 2017-06-15</v>
      </c>
    </row>
    <row r="9" spans="1:32" s="1" customFormat="1" x14ac:dyDescent="0.25">
      <c r="A9" s="31">
        <v>42901.765266203707</v>
      </c>
      <c r="B9" s="30" t="s">
        <v>442</v>
      </c>
      <c r="C9" s="30" t="s">
        <v>655</v>
      </c>
      <c r="D9" s="30" t="s">
        <v>49</v>
      </c>
      <c r="E9" s="30" t="s">
        <v>187</v>
      </c>
      <c r="F9" s="42">
        <v>280</v>
      </c>
      <c r="G9" s="42">
        <v>333</v>
      </c>
      <c r="H9" s="42">
        <v>58869</v>
      </c>
      <c r="I9" s="42">
        <v>58122</v>
      </c>
      <c r="J9" s="30" t="s">
        <v>188</v>
      </c>
      <c r="K9" s="42">
        <v>58301</v>
      </c>
      <c r="L9" s="131" t="s">
        <v>51</v>
      </c>
      <c r="M9" s="132">
        <f t="shared" si="0"/>
        <v>-94.512</v>
      </c>
      <c r="N9" s="133" t="str">
        <f>VLOOKUP(C9,'Trips&amp;Operators'!$C$1:$G$99999,5,FALSE)</f>
        <v>LEVIN SCOTT</v>
      </c>
      <c r="O9" s="203" t="s">
        <v>180</v>
      </c>
      <c r="P9" s="134" t="s">
        <v>397</v>
      </c>
      <c r="Q9" s="30"/>
      <c r="R9" s="81" t="str">
        <f>VLOOKUP(C9,'Train Runs'!$A$13:$AE$9939,31,0)</f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S9" s="84" t="str">
        <f>VLOOKUP(C9,'Train Runs'!$A$13:$AE$9939,22,0)</f>
        <v>https://d0f6bd738d7f1b3e5a7ca70fe4ff75f0.us-east-1.aws.found.io/app/kibana#/discover/Steve-Slow-Train-Analysis-(2080s-and-2083s)?_g=(refreshInterval:(display:Off,pause:!f,section:0,value:0),time:(from:'2017-06-15T16:54:47-0600',mode:absolute,to:'2017-06-15T19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9" s="86" t="str">
        <f t="shared" si="1"/>
        <v>"C:\Program Files (x86)\AstroGrep\AstroGrep.exe" /e /r /s /spath="%USERPROFILE%\AppData\Local\Temp\OnboardLogs" /stypes="*4001*201706160*" /stext=" 00:.+((SYSTEM_STATE.+slice.+state.+changed )|(ment ac)|(multiple cpu faults)|(system.+state.+changed )|(\[timeout)|(PRM\|1\|D)|(kpr)|(kdp)|(train st.+moving)|(\|lc)|(penalty))"</v>
      </c>
      <c r="U9" s="9" t="str">
        <f t="shared" si="2"/>
        <v>4001</v>
      </c>
      <c r="V9" s="31">
        <f t="shared" si="3"/>
        <v>42902.015266203707</v>
      </c>
      <c r="W9" s="45" t="str">
        <f t="shared" si="4"/>
        <v>EC</v>
      </c>
      <c r="X9" s="22">
        <f t="shared" si="5"/>
        <v>208</v>
      </c>
      <c r="Y9" s="96" t="str">
        <f t="shared" si="6"/>
        <v>echo {"issue":{"subject":"Early arrival","project_id":79,"tracker_id":40,"status_id":1,"priority_id":2,"assigned_to_id":23,"start_date":"2017-06-15","description":"","custom_fields":[{"id":1,"name":"Subdivision","value":"EC"},{"id":4,"name":"Milepost","value":"5.8301"},{"id":17,"name":"Train ID","value":"208-15"},{"id":16,"name":"Locomotive ID","value":"4001"},{"id":130,"name":"Impact","value":""},{"id":150,"name":"Time of Event (Mountain Time)","value":"18:21:59"},{"id":151,"name":"Denver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/cygdrive/c/Users/stu/AppData/Local/Temp/OnboardLogs/RTDC4001 --include="*4001*201706160*"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"%USERPROFILE%\AppData\Local\Temp\OnboardLogs"\RTDC4001\*4001*201706160* &gt;&gt; 2017-06-15-SliceDisagreementCheck.txt</v>
      </c>
      <c r="AE9" s="145" t="str">
        <f t="shared" si="9"/>
        <v>start /low /b %USERPROFILE%\Documents\GitHub\eaglep3\Utilities\DownloadLogsFromS3.py --loco 4001 --day 2017-06-16</v>
      </c>
    </row>
    <row r="10" spans="1:32" s="1" customFormat="1" x14ac:dyDescent="0.25">
      <c r="A10" s="31">
        <v>42901.249814814815</v>
      </c>
      <c r="B10" s="30" t="s">
        <v>358</v>
      </c>
      <c r="C10" s="30" t="s">
        <v>619</v>
      </c>
      <c r="D10" s="30" t="s">
        <v>49</v>
      </c>
      <c r="E10" s="30" t="s">
        <v>187</v>
      </c>
      <c r="F10" s="42">
        <v>340</v>
      </c>
      <c r="G10" s="42">
        <v>394</v>
      </c>
      <c r="H10" s="42">
        <v>62384</v>
      </c>
      <c r="I10" s="42">
        <v>63255</v>
      </c>
      <c r="J10" s="30" t="s">
        <v>188</v>
      </c>
      <c r="K10" s="42">
        <v>63069</v>
      </c>
      <c r="L10" s="131" t="s">
        <v>50</v>
      </c>
      <c r="M10" s="132">
        <f t="shared" si="0"/>
        <v>-98.207999999999998</v>
      </c>
      <c r="N10" s="133" t="str">
        <f>VLOOKUP(C10,'Trips&amp;Operators'!$C$1:$G$99999,5,FALSE)</f>
        <v>HELVIE ADAM</v>
      </c>
      <c r="O10" s="203" t="s">
        <v>180</v>
      </c>
      <c r="P10" s="134" t="s">
        <v>397</v>
      </c>
      <c r="Q10" s="30"/>
      <c r="R10" s="81" t="str">
        <f>VLOOKUP(C10,'Train Runs'!$A$13:$AE$9939,31,0)</f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S10" s="84" t="str">
        <f>VLOOKUP(C10,'Train Runs'!$A$13:$AE$9939,22,0)</f>
        <v>https://d0f6bd738d7f1b3e5a7ca70fe4ff75f0.us-east-1.aws.found.io/app/kibana#/discover/Steve-Slow-Train-Analysis-(2080s-and-2083s)?_g=(refreshInterval:(display:Off,pause:!f,section:0,value:0),time:(from:'2017-06-15T04:44:36-0600',mode:absolute,to:'2017-06-15T07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0" s="86" t="str">
        <f t="shared" si="1"/>
        <v>"C:\Program Files (x86)\AstroGrep\AstroGrep.exe" /e /r /s /spath="%USERPROFILE%\AppData\Local\Temp\OnboardLogs" /stypes="*4042*201706151*" /stext=" 11:.+((SYSTEM_STATE.+slice.+state.+changed )|(ment ac)|(multiple cpu faults)|(system.+state.+changed )|(\[timeout)|(PRM\|1\|D)|(kpr)|(kdp)|(train st.+moving)|(\|lc)|(penalty))"</v>
      </c>
      <c r="U10" s="9" t="str">
        <f t="shared" si="2"/>
        <v>4042</v>
      </c>
      <c r="V10" s="31">
        <f t="shared" si="3"/>
        <v>42901.499814814815</v>
      </c>
      <c r="W10" s="45" t="str">
        <f t="shared" si="4"/>
        <v>EC</v>
      </c>
      <c r="X10" s="22">
        <f t="shared" si="5"/>
        <v>117</v>
      </c>
      <c r="Y10" s="96" t="str">
        <f t="shared" si="6"/>
        <v>echo {"issue":{"subject":"Early arrival","project_id":79,"tracker_id":40,"status_id":1,"priority_id":2,"assigned_to_id":23,"start_date":"2017-06-15","description":"","custom_fields":[{"id":1,"name":"Subdivision","value":"EC"},{"id":4,"name":"Milepost","value":"6.3069"},{"id":17,"name":"Train ID","value":"117-15"},{"id":16,"name":"Locomotive ID","value":"4042"},{"id":130,"name":"Impact","value":""},{"id":150,"name":"Time of Event (Mountain Time)","value":"05:59:44"},{"id":151,"name":"Denver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/cygdrive/c/Users/stu/AppData/Local/Temp/OnboardLogs/RTDC4042 --include="*4042*201706151*"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"%USERPROFILE%\AppData\Local\Temp\OnboardLogs"\RTDC4042\*4042*201706151* &gt;&gt; 2017-06-15-SliceDisagreementCheck.txt</v>
      </c>
      <c r="AE10" s="145" t="str">
        <f t="shared" si="9"/>
        <v>start /low /b %USERPROFILE%\Documents\GitHub\eaglep3\Utilities\DownloadLogsFromS3.py --loco 4042 --day 2017-06-15</v>
      </c>
    </row>
    <row r="11" spans="1:32" s="1" customFormat="1" x14ac:dyDescent="0.25">
      <c r="A11" s="31">
        <v>42901.686574074076</v>
      </c>
      <c r="B11" s="30" t="s">
        <v>358</v>
      </c>
      <c r="C11" s="30" t="s">
        <v>647</v>
      </c>
      <c r="D11" s="30" t="s">
        <v>49</v>
      </c>
      <c r="E11" s="30" t="s">
        <v>187</v>
      </c>
      <c r="F11" s="42">
        <v>360</v>
      </c>
      <c r="G11" s="42">
        <v>489</v>
      </c>
      <c r="H11" s="42">
        <v>61911</v>
      </c>
      <c r="I11" s="42">
        <v>63502</v>
      </c>
      <c r="J11" s="30" t="s">
        <v>188</v>
      </c>
      <c r="K11" s="42">
        <v>63069</v>
      </c>
      <c r="L11" s="131" t="s">
        <v>50</v>
      </c>
      <c r="M11" s="132">
        <f t="shared" si="0"/>
        <v>-228.624</v>
      </c>
      <c r="N11" s="133" t="str">
        <f>VLOOKUP(C11,'Trips&amp;Operators'!$C$1:$G$99999,5,FALSE)</f>
        <v>HOLCOMB KAMDEN</v>
      </c>
      <c r="O11" s="203" t="s">
        <v>180</v>
      </c>
      <c r="P11" s="134" t="s">
        <v>397</v>
      </c>
      <c r="Q11" s="30"/>
      <c r="R11" s="81" t="str">
        <f>VLOOKUP(C11,'Train Runs'!$A$13:$AE$9939,31,0)</f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S11" s="84" t="str">
        <f>VLOOKUP(C11,'Train Runs'!$A$13:$AE$9939,22,0)</f>
        <v>https://d0f6bd738d7f1b3e5a7ca70fe4ff75f0.us-east-1.aws.found.io/app/kibana#/discover/Steve-Slow-Train-Analysis-(2080s-and-2083s)?_g=(refreshInterval:(display:Off,pause:!f,section:0,value:0),time:(from:'2017-06-15T15:08:44-0600',mode:absolute,to:'2017-06-15T17:53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1" s="86" t="str">
        <f t="shared" si="1"/>
        <v>"C:\Program Files (x86)\AstroGrep\AstroGrep.exe" /e /r /s /spath="%USERPROFILE%\AppData\Local\Temp\OnboardLogs" /stypes="*4042*201706152*"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4042</v>
      </c>
      <c r="V11" s="31">
        <f t="shared" si="3"/>
        <v>42901.936574074076</v>
      </c>
      <c r="W11" s="45" t="str">
        <f t="shared" si="4"/>
        <v>EC</v>
      </c>
      <c r="X11" s="22">
        <f t="shared" si="5"/>
        <v>201</v>
      </c>
      <c r="Y11" s="96" t="str">
        <f t="shared" si="6"/>
        <v>echo {"issue":{"subject":"Early arrival","project_id":79,"tracker_id":40,"status_id":1,"priority_id":2,"assigned_to_id":23,"start_date":"2017-06-15","description":"","custom_fields":[{"id":1,"name":"Subdivision","value":"EC"},{"id":4,"name":"Milepost","value":"6.3069"},{"id":17,"name":"Train ID","value":"201-15"},{"id":16,"name":"Locomotive ID","value":"4042"},{"id":130,"name":"Impact","value":""},{"id":150,"name":"Time of Event (Mountain Time)","value":"16:28:40"},{"id":151,"name":"Denver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/cygdrive/c/Users/stu/AppData/Local/Temp/OnboardLogs/RTDC4042 --include="*4042*201706152*"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"%USERPROFILE%\AppData\Local\Temp\OnboardLogs"\RTDC4042\*4042*201706152* &gt;&gt; 2017-06-15-SliceDisagreementCheck.txt</v>
      </c>
      <c r="AE11" s="145" t="str">
        <f t="shared" si="9"/>
        <v>start /low /b %USERPROFILE%\Documents\GitHub\eaglep3\Utilities\DownloadLogsFromS3.py --loco 4042 --day 2017-06-15</v>
      </c>
    </row>
    <row r="12" spans="1:32" s="1" customFormat="1" x14ac:dyDescent="0.25">
      <c r="A12" s="31">
        <v>42901.782650462963</v>
      </c>
      <c r="B12" s="30" t="s">
        <v>640</v>
      </c>
      <c r="C12" s="30" t="s">
        <v>657</v>
      </c>
      <c r="D12" s="30" t="s">
        <v>49</v>
      </c>
      <c r="E12" s="30" t="s">
        <v>200</v>
      </c>
      <c r="F12" s="42">
        <v>200</v>
      </c>
      <c r="G12" s="42">
        <v>328</v>
      </c>
      <c r="H12" s="42">
        <v>6839</v>
      </c>
      <c r="I12" s="42">
        <v>6208</v>
      </c>
      <c r="J12" s="30" t="s">
        <v>201</v>
      </c>
      <c r="K12" s="42">
        <v>5439</v>
      </c>
      <c r="L12" s="131" t="s">
        <v>51</v>
      </c>
      <c r="M12" s="132">
        <f t="shared" si="0"/>
        <v>406.03199999999998</v>
      </c>
      <c r="N12" s="133" t="str">
        <f>VLOOKUP(C12,'Trips&amp;Operators'!$C$1:$G$99999,5,FALSE)</f>
        <v>DELGADO DIANAH</v>
      </c>
      <c r="O12" s="203" t="s">
        <v>180</v>
      </c>
      <c r="P12" s="134" t="s">
        <v>1038</v>
      </c>
      <c r="Q12" s="30"/>
      <c r="R12" s="81" t="str">
        <f>VLOOKUP(C12,'Train Runs'!$A$13:$AE$9939,31,0)</f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S12" s="84" t="str">
        <f>VLOOKUP(C12,'Train Runs'!$A$13:$AE$9939,22,0)</f>
        <v>https://d0f6bd738d7f1b3e5a7ca70fe4ff75f0.us-east-1.aws.found.io/app/kibana#/discover/Steve-Slow-Train-Analysis-(2080s-and-2083s)?_g=(refreshInterval:(display:Off,pause:!f,section:0,value:0),time:(from:'2017-06-15T17:03:48-0600',mode:absolute,to:'2017-06-15T19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2" s="86" t="str">
        <f t="shared" si="1"/>
        <v>"C:\Program Files (x86)\AstroGrep\AstroGrep.exe" /e /r /s /spath="%USERPROFILE%\AppData\Local\Temp\OnboardLogs" /stypes="*4053*201706160*"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4053</v>
      </c>
      <c r="V12" s="31">
        <f t="shared" si="3"/>
        <v>42902.032650462963</v>
      </c>
      <c r="W12" s="45" t="str">
        <f t="shared" si="4"/>
        <v>EC</v>
      </c>
      <c r="X12" s="22">
        <f t="shared" si="5"/>
        <v>210</v>
      </c>
      <c r="Y12" s="96" t="str">
        <f t="shared" si="6"/>
        <v>echo {"issue":{"subject":"Had 21 seconds of warning","project_id":79,"tracker_id":40,"status_id":1,"priority_id":2,"assigned_to_id":23,"start_date":"2017-06-15","description":"","custom_fields":[{"id":1,"name":"Subdivision","value":"EC"},{"id":4,"name":"Milepost","value":"0.5439"},{"id":17,"name":"Train ID","value":"210-15"},{"id":16,"name":"Locomotive ID","value":"4053"},{"id":130,"name":"Impact","value":""},{"id":150,"name":"Time of Event (Mountain Time)","value":"18:47:01"},{"id":151,"name":"Denver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/cygdrive/c/Users/stu/AppData/Local/Temp/OnboardLogs/RTDC4053 --include="*4053*201706160*"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"%USERPROFILE%\AppData\Local\Temp\OnboardLogs"\RTDC4053\*4053*201706160* &gt;&gt; 2017-06-15-SliceDisagreementCheck.txt</v>
      </c>
      <c r="AE12" s="145" t="str">
        <f t="shared" si="9"/>
        <v>start /low /b %USERPROFILE%\Documents\GitHub\eaglep3\Utilities\DownloadLogsFromS3.py --loco 4053 --day 2017-06-16</v>
      </c>
    </row>
    <row r="13" spans="1:32" s="1" customFormat="1" x14ac:dyDescent="0.25">
      <c r="A13" s="31">
        <v>42901.357256944444</v>
      </c>
      <c r="B13" s="30" t="s">
        <v>503</v>
      </c>
      <c r="C13" s="30" t="s">
        <v>628</v>
      </c>
      <c r="D13" s="30" t="s">
        <v>49</v>
      </c>
      <c r="E13" s="30" t="s">
        <v>200</v>
      </c>
      <c r="F13" s="42">
        <v>400</v>
      </c>
      <c r="G13" s="42">
        <v>493</v>
      </c>
      <c r="H13" s="42">
        <v>16679</v>
      </c>
      <c r="I13" s="42">
        <v>17914</v>
      </c>
      <c r="J13" s="30" t="s">
        <v>201</v>
      </c>
      <c r="K13" s="42">
        <v>17867</v>
      </c>
      <c r="L13" s="131" t="s">
        <v>50</v>
      </c>
      <c r="M13" s="132">
        <f t="shared" si="0"/>
        <v>-24.815999999999999</v>
      </c>
      <c r="N13" s="133" t="str">
        <f>VLOOKUP(C13,'Trips&amp;Operators'!$C$1:$G$99999,5,FALSE)</f>
        <v>STARKS ANGELINA</v>
      </c>
      <c r="O13" s="203" t="s">
        <v>180</v>
      </c>
      <c r="P13" s="134"/>
      <c r="Q13" s="30"/>
      <c r="R13" s="81" t="str">
        <f>VLOOKUP(C13,'Train Runs'!$A$13:$AE$9939,31,0)</f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S13" s="84" t="str">
        <f>VLOOKUP(C13,'Train Runs'!$A$13:$AE$9939,22,0)</f>
        <v>https://d0f6bd738d7f1b3e5a7ca70fe4ff75f0.us-east-1.aws.found.io/app/kibana#/discover/Steve-Slow-Train-Analysis-(2080s-and-2083s)?_g=(refreshInterval:(display:Off,pause:!f,section:0,value:0),time:(from:'2017-06-15T07:28:09-0600',mode:absolute,to:'2017-06-15T10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3" s="86" t="str">
        <f t="shared" si="1"/>
        <v>"C:\Program Files (x86)\AstroGrep\AstroGrep.exe" /e /r /s /spath="%USERPROFILE%\AppData\Local\Temp\OnboardLogs" /stypes="*4024*201706151*" /stext=" 14:.+((SYSTEM_STATE.+slice.+state.+changed )|(ment ac)|(multiple cpu faults)|(system.+state.+changed )|(\[timeout)|(PRM\|1\|D)|(kpr)|(kdp)|(train st.+moving)|(\|lc)|(penalty))"</v>
      </c>
      <c r="U13" s="9" t="str">
        <f t="shared" si="2"/>
        <v>4024</v>
      </c>
      <c r="V13" s="31">
        <f t="shared" si="3"/>
        <v>42901.607256944444</v>
      </c>
      <c r="W13" s="45" t="str">
        <f t="shared" si="4"/>
        <v>EC</v>
      </c>
      <c r="X13" s="22">
        <f t="shared" si="5"/>
        <v>139</v>
      </c>
      <c r="Y13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{"issue":{"subject":"","project_id":79,"tracker_id":40,"status_id":1,"priority_id":2,"assigned_to_id":23,"start_date":"2017-06-15","description":"","custom_fields":[{"id":1,"name":"Subdivision","value":"EC"},{"id":4,"name":"Milepost","value":"1.7867"},{"id":17,"name":"Train ID","value":"139-15"},{"id":16,"name":"Locomotive ID","value":"4024"},{"id":130,"name":"Impact","value":""},{"id":150,"name":"Time of Event (Mountain Time)","value":"08:34:27"},{"id":151,"name":"Denver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/cygdrive/c/Users/stu/AppData/Local/Temp/OnboardLogs/RTDC4024 --include="*4024*201706151*"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"%USERPROFILE%\AppData\Local\Temp\OnboardLogs"\RTDC4024\*4024*201706151* &gt;&gt; 2017-06-15-SliceDisagreementCheck.txt</v>
      </c>
      <c r="AE13" s="145" t="str">
        <f t="shared" si="9"/>
        <v>start /low /b %USERPROFILE%\Documents\GitHub\eaglep3\Utilities\DownloadLogsFromS3.py --loco 4024 --day 2017-06-15</v>
      </c>
    </row>
    <row r="14" spans="1:32" x14ac:dyDescent="0.25">
      <c r="A14" s="31">
        <v>42901.671319444446</v>
      </c>
      <c r="B14" s="30" t="s">
        <v>477</v>
      </c>
      <c r="C14" s="30" t="s">
        <v>646</v>
      </c>
      <c r="D14" s="30" t="s">
        <v>49</v>
      </c>
      <c r="E14" s="30" t="s">
        <v>200</v>
      </c>
      <c r="F14" s="42">
        <v>400</v>
      </c>
      <c r="G14" s="42">
        <v>615</v>
      </c>
      <c r="H14" s="42">
        <v>114394</v>
      </c>
      <c r="I14" s="42">
        <v>116498</v>
      </c>
      <c r="J14" s="30" t="s">
        <v>201</v>
      </c>
      <c r="K14" s="42">
        <v>116838</v>
      </c>
      <c r="L14" s="131" t="s">
        <v>50</v>
      </c>
      <c r="M14" s="132">
        <f t="shared" si="0"/>
        <v>179.52</v>
      </c>
      <c r="N14" s="133" t="str">
        <f>VLOOKUP(C14,'Trips&amp;Operators'!$C$1:$G$99999,5,FALSE)</f>
        <v>BERLING GARY</v>
      </c>
      <c r="O14" s="203" t="s">
        <v>180</v>
      </c>
      <c r="P14" s="134"/>
      <c r="Q14" s="30"/>
      <c r="R14" s="81" t="str">
        <f>VLOOKUP(C14,'Train Runs'!$A$13:$AE$9939,31,0)</f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S14" s="84" t="str">
        <f>VLOOKUP(C14,'Train Runs'!$A$13:$AE$9939,22,0)</f>
        <v>https://d0f6bd738d7f1b3e5a7ca70fe4ff75f0.us-east-1.aws.found.io/app/kibana#/discover/Steve-Slow-Train-Analysis-(2080s-and-2083s)?_g=(refreshInterval:(display:Off,pause:!f,section:0,value:0),time:(from:'2017-06-15T14:38:57-0600',mode:absolute,to:'2017-06-15T17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14" s="86" t="str">
        <f t="shared" si="1"/>
        <v>"C:\Program Files (x86)\AstroGrep\AstroGrep.exe" /e /r /s /spath="%USERPROFILE%\AppData\Local\Temp\OnboardLogs" /stypes="*4006*201706152*" /stext=" 22:.+((SYSTEM_STATE.+slice.+state.+changed )|(ment ac)|(multiple cpu faults)|(system.+state.+changed )|(\[timeout)|(PRM\|1\|D)|(kpr)|(kdp)|(train st.+moving)|(\|lc)|(penalty))"</v>
      </c>
      <c r="U14" s="9" t="str">
        <f t="shared" si="2"/>
        <v>4006</v>
      </c>
      <c r="V14" s="31">
        <f t="shared" si="3"/>
        <v>42901.921319444446</v>
      </c>
      <c r="W14" s="45" t="str">
        <f t="shared" si="4"/>
        <v>EC</v>
      </c>
      <c r="X14" s="22">
        <f t="shared" si="5"/>
        <v>197</v>
      </c>
      <c r="Y14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{"issue":{"subject":"","project_id":79,"tracker_id":40,"status_id":1,"priority_id":2,"assigned_to_id":23,"start_date":"2017-06-15","description":"","custom_fields":[{"id":1,"name":"Subdivision","value":"EC"},{"id":4,"name":"Milepost","value":"11.6838"},{"id":17,"name":"Train ID","value":"197-15"},{"id":16,"name":"Locomotive ID","value":"4006"},{"id":130,"name":"Impact","value":""},{"id":150,"name":"Time of Event (Mountain Time)","value":"16:06:42"},{"id":151,"name":"Denver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/cygdrive/c/Users/stu/AppData/Local/Temp/OnboardLogs/RTDC4006 --include="*4006*201706152*"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"%USERPROFILE%\AppData\Local\Temp\OnboardLogs"\RTDC4006\*4006*201706152* &gt;&gt; 2017-06-15-SliceDisagreementCheck.txt</v>
      </c>
      <c r="AE14" s="145" t="str">
        <f t="shared" si="9"/>
        <v>start /low /b %USERPROFILE%\Documents\GitHub\eaglep3\Utilities\DownloadLogsFromS3.py --loco 4006 --day 2017-06-15</v>
      </c>
      <c r="AF14" s="1"/>
    </row>
    <row r="15" spans="1:32" x14ac:dyDescent="0.25">
      <c r="A15" s="31">
        <v>42901.3984375</v>
      </c>
      <c r="B15" s="30" t="s">
        <v>504</v>
      </c>
      <c r="C15" s="30" t="s">
        <v>629</v>
      </c>
      <c r="D15" s="30" t="s">
        <v>49</v>
      </c>
      <c r="E15" s="30" t="s">
        <v>200</v>
      </c>
      <c r="F15" s="42">
        <v>450</v>
      </c>
      <c r="G15" s="42">
        <v>500</v>
      </c>
      <c r="H15" s="42">
        <v>192375</v>
      </c>
      <c r="I15" s="42">
        <v>190889</v>
      </c>
      <c r="J15" s="30" t="s">
        <v>201</v>
      </c>
      <c r="K15" s="42">
        <v>191108</v>
      </c>
      <c r="L15" s="131" t="s">
        <v>51</v>
      </c>
      <c r="M15" s="132">
        <f t="shared" si="0"/>
        <v>-115.63200000000001</v>
      </c>
      <c r="N15" s="133" t="str">
        <f>VLOOKUP(C15,'Trips&amp;Operators'!$C$1:$G$99999,5,FALSE)</f>
        <v>STARKS ANGELINA</v>
      </c>
      <c r="O15" s="203" t="s">
        <v>180</v>
      </c>
      <c r="P15" s="134"/>
      <c r="Q15" s="30"/>
      <c r="R15" s="81" t="str">
        <f>VLOOKUP(C15,'Train Runs'!$A$13:$AE$9939,31,0)</f>
        <v>aws s3 cp s3://rtdc.mdm.uploadarchive.raw/RTDC4023/ "%USERPROFILE%\AppData\Local\Temp\OnboardLogs"\RTDC4023\2017-06-15 --exclude "*" --recursive --include "*20170615*" &amp; "%USERPROFILE%\Documents\GitHub\mrs-test-scripts\Headless Mode &amp; Sideloading\WalkAndUnGZ.bat" "%USERPROFILE%\AppData\Local\Temp\OnboardLogs"\RTDC4023\2017-06-15 &amp; aws s3 cp s3://rtdc.mdm.uploadarchive.raw/RTDC4023/ "%USERPROFILE%\AppData\Local\Temp\OnboardLogs"\RTDC4023\2017-06-16 --exclude "*" --recursive --include "*20170616*" &amp; "%USERPROFILE%\Documents\GitHub\mrs-test-scripts\Headless Mode &amp; Sideloading\WalkAndUnGZ.bat" "%USERPROFILE%\AppData\Local\Temp\OnboardLogs"\RTDC4023\2017-06-16</v>
      </c>
      <c r="S15" s="84" t="str">
        <f>VLOOKUP(C15,'Train Runs'!$A$13:$AE$9939,22,0)</f>
        <v>https://d0f6bd738d7f1b3e5a7ca70fe4ff75f0.us-east-1.aws.found.io/app/kibana#/discover/Steve-Slow-Train-Analysis-(2080s-and-2083s)?_g=(refreshInterval:(display:Off,pause:!f,section:0,value:0),time:(from:'2017-06-15T08:22:20-0600',mode:absolute,to:'2017-06-15T11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6" t="str">
        <f t="shared" si="1"/>
        <v>"C:\Program Files (x86)\AstroGrep\AstroGrep.exe" /e /r /s /spath="%USERPROFILE%\AppData\Local\Temp\OnboardLogs" /stypes="*4023*201706151*"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4023</v>
      </c>
      <c r="V15" s="31">
        <f t="shared" si="3"/>
        <v>42901.6484375</v>
      </c>
      <c r="W15" s="45" t="str">
        <f t="shared" si="4"/>
        <v>EC</v>
      </c>
      <c r="X15" s="22">
        <f t="shared" si="5"/>
        <v>140</v>
      </c>
      <c r="Y15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{"issue":{"subject":"","project_id":79,"tracker_id":40,"status_id":1,"priority_id":2,"assigned_to_id":23,"start_date":"2017-06-15","description":"","custom_fields":[{"id":1,"name":"Subdivision","value":"EC"},{"id":4,"name":"Milepost","value":"19.1108"},{"id":17,"name":"Train ID","value":"140-15"},{"id":16,"name":"Locomotive ID","value":"4023"},{"id":130,"name":"Impact","value":""},{"id":150,"name":"Time of Event (Mountain Time)","value":"09:33:45"},{"id":151,"name":"Denver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/cygdrive/c/Users/stu/AppData/Local/Temp/OnboardLogs/RTDC4023 --include="*4023*201706151*"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"%USERPROFILE%\AppData\Local\Temp\OnboardLogs"\RTDC4023\*4023*201706151* &gt;&gt; 2017-06-15-SliceDisagreementCheck.txt</v>
      </c>
      <c r="AE15" s="145" t="str">
        <f t="shared" si="9"/>
        <v>start /low /b %USERPROFILE%\Documents\GitHub\eaglep3\Utilities\DownloadLogsFromS3.py --loco 4023 --day 2017-06-15</v>
      </c>
      <c r="AF15" s="1"/>
    </row>
    <row r="16" spans="1:32" x14ac:dyDescent="0.25">
      <c r="A16" s="31">
        <v>42901.287708333337</v>
      </c>
      <c r="B16" s="30" t="s">
        <v>449</v>
      </c>
      <c r="C16" s="30" t="s">
        <v>623</v>
      </c>
      <c r="D16" s="30" t="s">
        <v>49</v>
      </c>
      <c r="E16" s="30" t="s">
        <v>362</v>
      </c>
      <c r="F16" s="42">
        <v>0</v>
      </c>
      <c r="G16" s="42">
        <v>162</v>
      </c>
      <c r="H16" s="42">
        <v>51436</v>
      </c>
      <c r="I16" s="42">
        <v>51137</v>
      </c>
      <c r="J16" s="30" t="s">
        <v>363</v>
      </c>
      <c r="K16" s="42">
        <v>50763</v>
      </c>
      <c r="L16" s="131" t="s">
        <v>51</v>
      </c>
      <c r="M16" s="132">
        <f t="shared" si="0"/>
        <v>197.47200000000001</v>
      </c>
      <c r="N16" s="133" t="str">
        <f>VLOOKUP(C16,'Trips&amp;Operators'!$C$1:$G$99999,5,FALSE)</f>
        <v>WILLIAMS DONTE</v>
      </c>
      <c r="O16" s="203" t="s">
        <v>411</v>
      </c>
      <c r="P16" s="134" t="s">
        <v>412</v>
      </c>
      <c r="Q16" s="30"/>
      <c r="R16" s="81" t="str">
        <f>VLOOKUP(C16,'Train Runs'!$A$13:$AE$9939,31,0)</f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S16" s="84" t="str">
        <f>VLOOKUP(C16,'Train Runs'!$A$13:$AE$9939,22,0)</f>
        <v>https://d0f6bd738d7f1b3e5a7ca70fe4ff75f0.us-east-1.aws.found.io/app/kibana#/discover/Steve-Slow-Train-Analysis-(2080s-and-2083s)?_g=(refreshInterval:(display:Off,pause:!f,section:0,value:0),time:(from:'2017-06-15T05:13:12-0600',mode:absolute,to:'2017-06-15T08:09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86" t="str">
        <f t="shared" si="1"/>
        <v>"C:\Program Files (x86)\AstroGrep\AstroGrep.exe" /e /r /s /spath="%USERPROFILE%\AppData\Local\Temp\OnboardLogs" /stypes="*4045*201706151*" /stext=" 12:.+((SYSTEM_STATE.+slice.+state.+changed )|(ment ac)|(multiple cpu faults)|(system.+state.+changed )|(\[timeout)|(PRM\|1\|D)|(kpr)|(kdp)|(train st.+moving)|(\|lc)|(penalty))"</v>
      </c>
      <c r="U16" s="9" t="str">
        <f t="shared" si="2"/>
        <v>4045</v>
      </c>
      <c r="V16" s="31">
        <f t="shared" si="3"/>
        <v>42901.537708333337</v>
      </c>
      <c r="W16" s="45" t="str">
        <f t="shared" si="4"/>
        <v>EC</v>
      </c>
      <c r="X16" s="22">
        <f t="shared" si="5"/>
        <v>116</v>
      </c>
      <c r="Y16" s="96" t="str">
        <f t="shared" si="6"/>
        <v>echo {"issue":{"subject":"Wi-MAX data drop","project_id":79,"tracker_id":40,"status_id":1,"priority_id":2,"assigned_to_id":23,"start_date":"2017-06-15","description":"","custom_fields":[{"id":1,"name":"Subdivision","value":"EC"},{"id":4,"name":"Milepost","value":"5.0763"},{"id":17,"name":"Train ID","value":"116-15"},{"id":16,"name":"Locomotive ID","value":"4045"},{"id":130,"name":"Impact","value":""},{"id":150,"name":"Time of Event (Mountain Time)","value":"06:54:18"},{"id":151,"name":"Denver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/cygdrive/c/Users/stu/AppData/Local/Temp/OnboardLogs/RTDC4045 --include="*4045*201706151*"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"%USERPROFILE%\AppData\Local\Temp\OnboardLogs"\RTDC4045\*4045*201706151* &gt;&gt; 2017-06-15-SliceDisagreementCheck.txt</v>
      </c>
      <c r="AE16" s="145" t="str">
        <f t="shared" si="9"/>
        <v>start /low /b %USERPROFILE%\Documents\GitHub\eaglep3\Utilities\DownloadLogsFromS3.py --loco 4045 --day 2017-06-15</v>
      </c>
      <c r="AF16" s="1"/>
    </row>
    <row r="17" spans="1:32" x14ac:dyDescent="0.25">
      <c r="A17" s="31">
        <v>42901.372361111113</v>
      </c>
      <c r="B17" s="30" t="s">
        <v>503</v>
      </c>
      <c r="C17" s="30" t="s">
        <v>628</v>
      </c>
      <c r="D17" s="30" t="s">
        <v>96</v>
      </c>
      <c r="E17" s="30" t="s">
        <v>362</v>
      </c>
      <c r="F17" s="42">
        <v>0</v>
      </c>
      <c r="G17" s="42">
        <v>681</v>
      </c>
      <c r="H17" s="42">
        <v>149805</v>
      </c>
      <c r="I17" s="42">
        <v>152994</v>
      </c>
      <c r="J17" s="30" t="s">
        <v>363</v>
      </c>
      <c r="K17" s="42">
        <v>149694</v>
      </c>
      <c r="L17" s="131" t="s">
        <v>50</v>
      </c>
      <c r="M17" s="132">
        <f t="shared" si="0"/>
        <v>-1742.4</v>
      </c>
      <c r="N17" s="133" t="str">
        <f>VLOOKUP(C17,'Trips&amp;Operators'!$C$1:$G$99999,5,FALSE)</f>
        <v>STARKS ANGELINA</v>
      </c>
      <c r="O17" s="203" t="s">
        <v>411</v>
      </c>
      <c r="P17" s="134" t="s">
        <v>412</v>
      </c>
      <c r="Q17" s="30"/>
      <c r="R17" s="81" t="str">
        <f>VLOOKUP(C17,'Train Runs'!$A$13:$AE$9939,31,0)</f>
        <v>aws s3 cp s3://rtdc.mdm.uploadarchive.raw/RTDC4024/ "%USERPROFILE%\AppData\Local\Temp\OnboardLogs"\RTDC4024\2017-06-15 --exclude "*" --recursive --include "*20170615*" &amp; "%USERPROFILE%\Documents\GitHub\mrs-test-scripts\Headless Mode &amp; Sideloading\WalkAndUnGZ.bat" "%USERPROFILE%\AppData\Local\Temp\OnboardLogs"\RTDC4024\2017-06-15 &amp; aws s3 cp s3://rtdc.mdm.uploadarchive.raw/RTDC4024/ "%USERPROFILE%\AppData\Local\Temp\OnboardLogs"\RTDC4024\2017-06-16 --exclude "*" --recursive --include "*20170616*" &amp; "%USERPROFILE%\Documents\GitHub\mrs-test-scripts\Headless Mode &amp; Sideloading\WalkAndUnGZ.bat" "%USERPROFILE%\AppData\Local\Temp\OnboardLogs"\RTDC4024\2017-06-16</v>
      </c>
      <c r="S17" s="84" t="str">
        <f>VLOOKUP(C17,'Train Runs'!$A$13:$AE$9939,22,0)</f>
        <v>https://d0f6bd738d7f1b3e5a7ca70fe4ff75f0.us-east-1.aws.found.io/app/kibana#/discover/Steve-Slow-Train-Analysis-(2080s-and-2083s)?_g=(refreshInterval:(display:Off,pause:!f,section:0,value:0),time:(from:'2017-06-15T07:28:09-0600',mode:absolute,to:'2017-06-15T10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17" s="86" t="str">
        <f t="shared" si="1"/>
        <v>"C:\Program Files (x86)\AstroGrep\AstroGrep.exe" /e /r /s /spath="%USERPROFILE%\AppData\Local\Temp\OnboardLogs" /stypes="*4024*201706151*" /stext=" 14:.+((SYSTEM_STATE.+slice.+state.+changed )|(ment ac)|(multiple cpu faults)|(system.+state.+changed )|(\[timeout)|(PRM\|1\|D)|(kpr)|(kdp)|(train st.+moving)|(\|lc)|(penalty))"</v>
      </c>
      <c r="U17" s="9" t="str">
        <f t="shared" si="2"/>
        <v>4024</v>
      </c>
      <c r="V17" s="31">
        <f t="shared" si="3"/>
        <v>42901.622361111113</v>
      </c>
      <c r="W17" s="45" t="str">
        <f t="shared" si="4"/>
        <v>EC</v>
      </c>
      <c r="X17" s="22">
        <f t="shared" si="5"/>
        <v>139</v>
      </c>
      <c r="Y17" s="96" t="str">
        <f t="shared" si="6"/>
        <v>echo {"issue":{"subject":"Wi-MAX data drop","project_id":79,"tracker_id":40,"status_id":1,"priority_id":2,"assigned_to_id":23,"start_date":"2017-06-15","description":"","custom_fields":[{"id":1,"name":"Subdivision","value":"EC"},{"id":4,"name":"Milepost","value":"14.9694"},{"id":17,"name":"Train ID","value":"139-15"},{"id":16,"name":"Locomotive ID","value":"4024"},{"id":130,"name":"Impact","value":""},{"id":150,"name":"Time of Event (Mountain Time)","value":"08:56:12"},{"id":151,"name":"Denver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/cygdrive/c/Users/stu/AppData/Local/Temp/OnboardLogs/RTDC4024 --include="*4024*201706151*"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"%USERPROFILE%\AppData\Local\Temp\OnboardLogs"\RTDC4024\*4024*201706151* &gt;&gt; 2017-06-15-SliceDisagreementCheck.txt</v>
      </c>
      <c r="AE17" s="145" t="str">
        <f t="shared" si="9"/>
        <v>start /low /b %USERPROFILE%\Documents\GitHub\eaglep3\Utilities\DownloadLogsFromS3.py --loco 4024 --day 2017-06-15</v>
      </c>
      <c r="AF17" s="1"/>
    </row>
    <row r="18" spans="1:32" x14ac:dyDescent="0.25">
      <c r="A18" s="31">
        <v>42901.305289351854</v>
      </c>
      <c r="B18" s="30" t="s">
        <v>625</v>
      </c>
      <c r="C18" s="30" t="s">
        <v>626</v>
      </c>
      <c r="D18" s="30" t="s">
        <v>49</v>
      </c>
      <c r="E18" s="30" t="s">
        <v>181</v>
      </c>
      <c r="F18" s="42">
        <v>0</v>
      </c>
      <c r="G18" s="42">
        <v>39</v>
      </c>
      <c r="H18" s="42">
        <v>141</v>
      </c>
      <c r="I18" s="42">
        <v>109</v>
      </c>
      <c r="J18" s="30" t="s">
        <v>182</v>
      </c>
      <c r="K18" s="42">
        <v>1</v>
      </c>
      <c r="L18" s="131" t="s">
        <v>51</v>
      </c>
      <c r="M18" s="132">
        <f t="shared" si="0"/>
        <v>57.024000000000001</v>
      </c>
      <c r="N18" s="133" t="str">
        <f>VLOOKUP(C18,'Trips&amp;Operators'!$C$1:$G$99999,5,FALSE)</f>
        <v>HELVIE ADAM</v>
      </c>
      <c r="O18" s="203" t="s">
        <v>180</v>
      </c>
      <c r="P18" s="134"/>
      <c r="Q18" s="30"/>
      <c r="R18" s="81" t="str">
        <f>VLOOKUP(C18,'Train Runs'!$A$13:$AE$9939,31,0)</f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S18" s="84" t="str">
        <f>VLOOKUP(C18,'Train Runs'!$A$13:$AE$9939,22,0)</f>
        <v>https://d0f6bd738d7f1b3e5a7ca70fe4ff75f0.us-east-1.aws.found.io/app/kibana#/discover/Steve-Slow-Train-Analysis-(2080s-and-2083s)?_g=(refreshInterval:(display:Off,pause:!f,section:0,value:0),time:(from:'2017-06-15T05:37:25-0600',mode:absolute,to:'2017-06-15T08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8" s="86" t="str">
        <f t="shared" si="1"/>
        <v>"C:\Program Files (x86)\AstroGrep\AstroGrep.exe" /e /r /s /spath="%USERPROFILE%\AppData\Local\Temp\OnboardLogs" /stypes="*4041*201706151*" /stext=" 13:.+((SYSTEM_STATE.+slice.+state.+changed )|(ment ac)|(multiple cpu faults)|(system.+state.+changed )|(\[timeout)|(PRM\|1\|D)|(kpr)|(kdp)|(train st.+moving)|(\|lc)|(penalty))"</v>
      </c>
      <c r="U18" s="9" t="str">
        <f t="shared" si="2"/>
        <v>4041</v>
      </c>
      <c r="V18" s="31">
        <f t="shared" si="3"/>
        <v>42901.555289351854</v>
      </c>
      <c r="W18" s="45" t="str">
        <f t="shared" si="4"/>
        <v>EC</v>
      </c>
      <c r="X18" s="22">
        <f t="shared" si="5"/>
        <v>118</v>
      </c>
      <c r="Y18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ID","value":"118-15"},{"id":16,"name":"Locomotive ID","value":"4041"},{"id":130,"name":"Impact","value":""},{"id":150,"name":"Time of Event (Mountain Time)","value":"07:19:37"},{"id":151,"name":"Denver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/cygdrive/c/Users/stu/AppData/Local/Temp/OnboardLogs/RTDC4041 --include="*4041*201706151*"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"%USERPROFILE%\AppData\Local\Temp\OnboardLogs"\RTDC4041\*4041*201706151* &gt;&gt; 2017-06-15-SliceDisagreementCheck.txt</v>
      </c>
      <c r="AE18" s="145" t="str">
        <f t="shared" si="9"/>
        <v>start /low /b %USERPROFILE%\Documents\GitHub\eaglep3\Utilities\DownloadLogsFromS3.py --loco 4041 --day 2017-06-15</v>
      </c>
      <c r="AF18" s="1"/>
    </row>
    <row r="19" spans="1:32" x14ac:dyDescent="0.25">
      <c r="A19" s="31">
        <v>42901.411134259259</v>
      </c>
      <c r="B19" s="30" t="s">
        <v>442</v>
      </c>
      <c r="C19" s="30" t="s">
        <v>630</v>
      </c>
      <c r="D19" s="30" t="s">
        <v>49</v>
      </c>
      <c r="E19" s="30" t="s">
        <v>181</v>
      </c>
      <c r="F19" s="42">
        <v>0</v>
      </c>
      <c r="G19" s="42">
        <v>48</v>
      </c>
      <c r="H19" s="42">
        <v>174</v>
      </c>
      <c r="I19" s="42">
        <v>129</v>
      </c>
      <c r="J19" s="30" t="s">
        <v>182</v>
      </c>
      <c r="K19" s="42">
        <v>1</v>
      </c>
      <c r="L19" s="131" t="s">
        <v>51</v>
      </c>
      <c r="M19" s="132">
        <f t="shared" si="0"/>
        <v>67.584000000000003</v>
      </c>
      <c r="N19" s="133" t="str">
        <f>VLOOKUP(C19,'Trips&amp;Operators'!$C$1:$G$99999,5,FALSE)</f>
        <v>GUZMAN DANNY</v>
      </c>
      <c r="O19" s="203" t="s">
        <v>180</v>
      </c>
      <c r="P19" s="134"/>
      <c r="Q19" s="30"/>
      <c r="R19" s="81" t="str">
        <f>VLOOKUP(C19,'Train Runs'!$A$13:$AE$9939,31,0)</f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S19" s="84" t="str">
        <f>VLOOKUP(C19,'Train Runs'!$A$13:$AE$9939,22,0)</f>
        <v>https://d0f6bd738d7f1b3e5a7ca70fe4ff75f0.us-east-1.aws.found.io/app/kibana#/discover/Steve-Slow-Train-Analysis-(2080s-and-2083s)?_g=(refreshInterval:(display:Off,pause:!f,section:0,value:0),time:(from:'2017-06-15T07:55:02-0600',mode:absolute,to:'2017-06-15T10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9" s="86" t="str">
        <f t="shared" si="1"/>
        <v>"C:\Program Files (x86)\AstroGrep\AstroGrep.exe" /e /r /s /spath="%USERPROFILE%\AppData\Local\Temp\OnboardLogs" /stypes="*4001*201706151*" /stext=" 15:.+((SYSTEM_STATE.+slice.+state.+changed )|(ment ac)|(multiple cpu faults)|(system.+state.+changed )|(\[timeout)|(PRM\|1\|D)|(kpr)|(kdp)|(train st.+moving)|(\|lc)|(penalty))"</v>
      </c>
      <c r="U19" s="9" t="str">
        <f t="shared" si="2"/>
        <v>4001</v>
      </c>
      <c r="V19" s="31">
        <f t="shared" si="3"/>
        <v>42901.661134259259</v>
      </c>
      <c r="W19" s="45" t="str">
        <f t="shared" si="4"/>
        <v>EC</v>
      </c>
      <c r="X19" s="22">
        <f t="shared" si="5"/>
        <v>138</v>
      </c>
      <c r="Y19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ID","value":"138-15"},{"id":16,"name":"Locomotive ID","value":"4001"},{"id":130,"name":"Impact","value":""},{"id":150,"name":"Time of Event (Mountain Time)","value":"09:52:02"},{"id":151,"name":"Denver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/cygdrive/c/Users/stu/AppData/Local/Temp/OnboardLogs/RTDC4001 --include="*4001*201706151*"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"%USERPROFILE%\AppData\Local\Temp\OnboardLogs"\RTDC4001\*4001*201706151* &gt;&gt; 2017-06-15-SliceDisagreementCheck.txt</v>
      </c>
      <c r="AE19" s="145" t="str">
        <f t="shared" si="9"/>
        <v>start /low /b %USERPROFILE%\Documents\GitHub\eaglep3\Utilities\DownloadLogsFromS3.py --loco 4001 --day 2017-06-15</v>
      </c>
      <c r="AF19" s="1"/>
    </row>
    <row r="20" spans="1:32" x14ac:dyDescent="0.25">
      <c r="A20" s="31">
        <v>42901.430173611108</v>
      </c>
      <c r="B20" s="30" t="s">
        <v>483</v>
      </c>
      <c r="C20" s="30" t="s">
        <v>631</v>
      </c>
      <c r="D20" s="30" t="s">
        <v>49</v>
      </c>
      <c r="E20" s="30" t="s">
        <v>181</v>
      </c>
      <c r="F20" s="42">
        <v>0</v>
      </c>
      <c r="G20" s="42">
        <v>94</v>
      </c>
      <c r="H20" s="42">
        <v>353</v>
      </c>
      <c r="I20" s="42">
        <v>242</v>
      </c>
      <c r="J20" s="30" t="s">
        <v>182</v>
      </c>
      <c r="K20" s="42">
        <v>1</v>
      </c>
      <c r="L20" s="131" t="s">
        <v>51</v>
      </c>
      <c r="M20" s="132">
        <f t="shared" si="0"/>
        <v>127.248</v>
      </c>
      <c r="N20" s="133" t="str">
        <f>VLOOKUP(C20,'Trips&amp;Operators'!$C$1:$G$99999,5,FALSE)</f>
        <v>LOZA FIDEL</v>
      </c>
      <c r="O20" s="203" t="s">
        <v>180</v>
      </c>
      <c r="P20" s="134"/>
      <c r="Q20" s="30"/>
      <c r="R20" s="81" t="str">
        <f>VLOOKUP(C20,'Train Runs'!$A$13:$AE$9939,31,0)</f>
        <v>aws s3 cp s3://rtdc.mdm.uploadarchive.raw/RTDC4005/ "%USERPROFILE%\AppData\Local\Temp\OnboardLogs"\RTDC4005\2017-06-15 --exclude "*" --recursive --include "*20170615*" &amp; "%USERPROFILE%\Documents\GitHub\mrs-test-scripts\Headless Mode &amp; Sideloading\WalkAndUnGZ.bat" "%USERPROFILE%\AppData\Local\Temp\OnboardLogs"\RTDC4005\2017-06-15 &amp; aws s3 cp s3://rtdc.mdm.uploadarchive.raw/RTDC4005/ "%USERPROFILE%\AppData\Local\Temp\OnboardLogs"\RTDC4005\2017-06-16 --exclude "*" --recursive --include "*20170616*" &amp; "%USERPROFILE%\Documents\GitHub\mrs-test-scripts\Headless Mode &amp; Sideloading\WalkAndUnGZ.bat" "%USERPROFILE%\AppData\Local\Temp\OnboardLogs"\RTDC4005\2017-06-16</v>
      </c>
      <c r="S20" s="84" t="str">
        <f>VLOOKUP(C20,'Train Runs'!$A$13:$AE$9939,22,0)</f>
        <v>https://d0f6bd738d7f1b3e5a7ca70fe4ff75f0.us-east-1.aws.found.io/app/kibana#/discover/Steve-Slow-Train-Analysis-(2080s-and-2083s)?_g=(refreshInterval:(display:Off,pause:!f,section:0,value:0),time:(from:'2017-06-15T08:27:55-0600',mode:absolute,to:'2017-06-15T11:19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0" s="86" t="str">
        <f t="shared" si="1"/>
        <v>"C:\Program Files (x86)\AstroGrep\AstroGrep.exe" /e /r /s /spath="%USERPROFILE%\AppData\Local\Temp\OnboardLogs" /stypes="*4005*201706151*"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4005</v>
      </c>
      <c r="V20" s="31">
        <f t="shared" si="3"/>
        <v>42901.680173611108</v>
      </c>
      <c r="W20" s="45" t="str">
        <f t="shared" si="4"/>
        <v>EC</v>
      </c>
      <c r="X20" s="22">
        <f t="shared" si="5"/>
        <v>142</v>
      </c>
      <c r="Y20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ID","value":"142-15"},{"id":16,"name":"Locomotive ID","value":"4005"},{"id":130,"name":"Impact","value":""},{"id":150,"name":"Time of Event (Mountain Time)","value":"10:19:27"},{"id":151,"name":"Denver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/cygdrive/c/Users/stu/AppData/Local/Temp/OnboardLogs/RTDC4005 --include="*4005*201706151*"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"%USERPROFILE%\AppData\Local\Temp\OnboardLogs"\RTDC4005\*4005*201706151* &gt;&gt; 2017-06-15-SliceDisagreementCheck.txt</v>
      </c>
      <c r="AE20" s="145" t="str">
        <f t="shared" si="9"/>
        <v>start /low /b %USERPROFILE%\Documents\GitHub\eaglep3\Utilities\DownloadLogsFromS3.py --loco 4005 --day 2017-06-15</v>
      </c>
      <c r="AF20" s="1"/>
    </row>
    <row r="21" spans="1:32" x14ac:dyDescent="0.25">
      <c r="A21" s="31">
        <v>42901.442650462966</v>
      </c>
      <c r="B21" s="30" t="s">
        <v>449</v>
      </c>
      <c r="C21" s="30" t="s">
        <v>632</v>
      </c>
      <c r="D21" s="30" t="s">
        <v>49</v>
      </c>
      <c r="E21" s="30" t="s">
        <v>181</v>
      </c>
      <c r="F21" s="42">
        <v>0</v>
      </c>
      <c r="G21" s="42">
        <v>51</v>
      </c>
      <c r="H21" s="42">
        <v>198</v>
      </c>
      <c r="I21" s="42">
        <v>161</v>
      </c>
      <c r="J21" s="30" t="s">
        <v>182</v>
      </c>
      <c r="K21" s="42">
        <v>1</v>
      </c>
      <c r="L21" s="131" t="s">
        <v>51</v>
      </c>
      <c r="M21" s="132">
        <f t="shared" si="0"/>
        <v>84.48</v>
      </c>
      <c r="N21" s="133" t="str">
        <f>VLOOKUP(C21,'Trips&amp;Operators'!$C$1:$G$99999,5,FALSE)</f>
        <v>WILLIAMS DONTE</v>
      </c>
      <c r="O21" s="203" t="s">
        <v>180</v>
      </c>
      <c r="P21" s="134"/>
      <c r="Q21" s="30"/>
      <c r="R21" s="81" t="str">
        <f>VLOOKUP(C21,'Train Runs'!$A$13:$AE$9939,31,0)</f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S21" s="84" t="str">
        <f>VLOOKUP(C21,'Train Runs'!$A$13:$AE$9939,22,0)</f>
        <v>https://d0f6bd738d7f1b3e5a7ca70fe4ff75f0.us-east-1.aws.found.io/app/kibana#/discover/Steve-Slow-Train-Analysis-(2080s-and-2083s)?_g=(refreshInterval:(display:Off,pause:!f,section:0,value:0),time:(from:'2017-06-15T08:41:36-0600',mode:absolute,to:'2017-06-15T11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1" s="86" t="str">
        <f t="shared" si="1"/>
        <v>"C:\Program Files (x86)\AstroGrep\AstroGrep.exe" /e /r /s /spath="%USERPROFILE%\AppData\Local\Temp\OnboardLogs" /stypes="*4045*201706151*" /stext=" 16:.+((SYSTEM_STATE.+slice.+state.+changed )|(ment ac)|(multiple cpu faults)|(system.+state.+changed )|(\[timeout)|(PRM\|1\|D)|(kpr)|(kdp)|(train st.+moving)|(\|lc)|(penalty))"</v>
      </c>
      <c r="U21" s="9" t="str">
        <f t="shared" si="2"/>
        <v>4045</v>
      </c>
      <c r="V21" s="31">
        <f t="shared" si="3"/>
        <v>42901.692650462966</v>
      </c>
      <c r="W21" s="45" t="str">
        <f t="shared" si="4"/>
        <v>EC</v>
      </c>
      <c r="X21" s="22">
        <f t="shared" si="5"/>
        <v>144</v>
      </c>
      <c r="Y21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ID","value":"144-15"},{"id":16,"name":"Locomotive ID","value":"4045"},{"id":130,"name":"Impact","value":""},{"id":150,"name":"Time of Event (Mountain Time)","value":"10:37:25"},{"id":151,"name":"Denver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/cygdrive/c/Users/stu/AppData/Local/Temp/OnboardLogs/RTDC4045 --include="*4045*201706151*"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"%USERPROFILE%\AppData\Local\Temp\OnboardLogs"\RTDC4045\*4045*201706151* &gt;&gt; 2017-06-15-SliceDisagreementCheck.txt</v>
      </c>
      <c r="AE21" s="145" t="str">
        <f t="shared" si="9"/>
        <v>start /low /b %USERPROFILE%\Documents\GitHub\eaglep3\Utilities\DownloadLogsFromS3.py --loco 4045 --day 2017-06-15</v>
      </c>
      <c r="AF21" s="1"/>
    </row>
    <row r="22" spans="1:32" x14ac:dyDescent="0.25">
      <c r="A22" s="31">
        <v>42901.596944444442</v>
      </c>
      <c r="B22" s="30" t="s">
        <v>625</v>
      </c>
      <c r="C22" s="30" t="s">
        <v>638</v>
      </c>
      <c r="D22" s="30" t="s">
        <v>49</v>
      </c>
      <c r="E22" s="30" t="s">
        <v>181</v>
      </c>
      <c r="F22" s="42">
        <v>0</v>
      </c>
      <c r="G22" s="42">
        <v>57</v>
      </c>
      <c r="H22" s="42">
        <v>209</v>
      </c>
      <c r="I22" s="42">
        <v>178</v>
      </c>
      <c r="J22" s="30" t="s">
        <v>182</v>
      </c>
      <c r="K22" s="42">
        <v>1</v>
      </c>
      <c r="L22" s="131" t="s">
        <v>51</v>
      </c>
      <c r="M22" s="132">
        <f t="shared" si="0"/>
        <v>93.456000000000003</v>
      </c>
      <c r="N22" s="133" t="str">
        <f>VLOOKUP(C22,'Trips&amp;Operators'!$C$1:$G$99999,5,FALSE)</f>
        <v>HOLCOMB KAMDEN</v>
      </c>
      <c r="O22" s="203" t="s">
        <v>180</v>
      </c>
      <c r="P22" s="134"/>
      <c r="Q22" s="30"/>
      <c r="R22" s="81" t="str">
        <f>VLOOKUP(C22,'Train Runs'!$A$13:$AE$9939,31,0)</f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S22" s="84" t="str">
        <f>VLOOKUP(C22,'Train Runs'!$A$13:$AE$9939,22,0)</f>
        <v>https://d0f6bd738d7f1b3e5a7ca70fe4ff75f0.us-east-1.aws.found.io/app/kibana#/discover/Steve-Slow-Train-Analysis-(2080s-and-2083s)?_g=(refreshInterval:(display:Off,pause:!f,section:0,value:0),time:(from:'2017-06-15T12:34:54-0600',mode:absolute,to:'2017-06-15T15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2" s="86" t="str">
        <f t="shared" si="1"/>
        <v>"C:\Program Files (x86)\AstroGrep\AstroGrep.exe" /e /r /s /spath="%USERPROFILE%\AppData\Local\Temp\OnboardLogs" /stypes="*4041*201706152*"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4041</v>
      </c>
      <c r="V22" s="31">
        <f t="shared" si="3"/>
        <v>42901.846944444442</v>
      </c>
      <c r="W22" s="45" t="str">
        <f t="shared" si="4"/>
        <v>EC</v>
      </c>
      <c r="X22" s="22">
        <f t="shared" si="5"/>
        <v>174</v>
      </c>
      <c r="Y22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ID","value":"174-15"},{"id":16,"name":"Locomotive ID","value":"4041"},{"id":130,"name":"Impact","value":""},{"id":150,"name":"Time of Event (Mountain Time)","value":"14:19:36"},{"id":151,"name":"Denver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/cygdrive/c/Users/stu/AppData/Local/Temp/OnboardLogs/RTDC4041 --include="*4041*201706152*"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"%USERPROFILE%\AppData\Local\Temp\OnboardLogs"\RTDC4041\*4041*201706152* &gt;&gt; 2017-06-15-SliceDisagreementCheck.txt</v>
      </c>
      <c r="AE22" s="145" t="str">
        <f t="shared" si="9"/>
        <v>start /low /b %USERPROFILE%\Documents\GitHub\eaglep3\Utilities\DownloadLogsFromS3.py --loco 4041 --day 2017-06-15</v>
      </c>
      <c r="AF22" s="1"/>
    </row>
    <row r="23" spans="1:32" x14ac:dyDescent="0.25">
      <c r="A23" s="31">
        <v>42901.639664351853</v>
      </c>
      <c r="B23" s="30" t="s">
        <v>640</v>
      </c>
      <c r="C23" s="30" t="s">
        <v>641</v>
      </c>
      <c r="D23" s="30" t="s">
        <v>49</v>
      </c>
      <c r="E23" s="30" t="s">
        <v>181</v>
      </c>
      <c r="F23" s="42">
        <v>0</v>
      </c>
      <c r="G23" s="42">
        <v>107</v>
      </c>
      <c r="H23" s="42">
        <v>393</v>
      </c>
      <c r="I23" s="42">
        <v>273</v>
      </c>
      <c r="J23" s="30" t="s">
        <v>182</v>
      </c>
      <c r="K23" s="42">
        <v>1</v>
      </c>
      <c r="L23" s="131" t="s">
        <v>51</v>
      </c>
      <c r="M23" s="132">
        <f t="shared" si="0"/>
        <v>143.61600000000001</v>
      </c>
      <c r="N23" s="133" t="str">
        <f>VLOOKUP(C23,'Trips&amp;Operators'!$C$1:$G$99999,5,FALSE)</f>
        <v>STORY SAMANTHA</v>
      </c>
      <c r="O23" s="203" t="s">
        <v>180</v>
      </c>
      <c r="P23" s="134"/>
      <c r="Q23" s="30"/>
      <c r="R23" s="81" t="str">
        <f>VLOOKUP(C23,'Train Runs'!$A$13:$AE$9939,31,0)</f>
        <v>aws s3 cp s3://rtdc.mdm.uploadarchive.raw/RTDC4053/ "%USERPROFILE%\AppData\Local\Temp\OnboardLogs"\RTDC4053\2017-06-15 --exclude "*" --recursive --include "*20170615*" &amp; "%USERPROFILE%\Documents\GitHub\mrs-test-scripts\Headless Mode &amp; Sideloading\WalkAndUnGZ.bat" "%USERPROFILE%\AppData\Local\Temp\OnboardLogs"\RTDC4053\2017-06-15 &amp; aws s3 cp s3://rtdc.mdm.uploadarchive.raw/RTDC4053/ "%USERPROFILE%\AppData\Local\Temp\OnboardLogs"\RTDC4053\2017-06-16 --exclude "*" --recursive --include "*20170616*" &amp; "%USERPROFILE%\Documents\GitHub\mrs-test-scripts\Headless Mode &amp; Sideloading\WalkAndUnGZ.bat" "%USERPROFILE%\AppData\Local\Temp\OnboardLogs"\RTDC4053\2017-06-16</v>
      </c>
      <c r="S23" s="84" t="str">
        <f>VLOOKUP(C23,'Train Runs'!$A$13:$AE$9939,22,0)</f>
        <v>https://d0f6bd738d7f1b3e5a7ca70fe4ff75f0.us-east-1.aws.found.io/app/kibana#/discover/Steve-Slow-Train-Analysis-(2080s-and-2083s)?_g=(refreshInterval:(display:Off,pause:!f,section:0,value:0),time:(from:'2017-06-15T13:32:01-0600',mode:absolute,to:'2017-06-15T16:21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6" t="str">
        <f t="shared" si="1"/>
        <v>"C:\Program Files (x86)\AstroGrep\AstroGrep.exe" /e /r /s /spath="%USERPROFILE%\AppData\Local\Temp\OnboardLogs" /stypes="*4053*201706152*" /stext=" 21:.+((SYSTEM_STATE.+slice.+state.+changed )|(ment ac)|(multiple cpu faults)|(system.+state.+changed )|(\[timeout)|(PRM\|1\|D)|(kpr)|(kdp)|(train st.+moving)|(\|lc)|(penalty))"</v>
      </c>
      <c r="U23" s="9" t="str">
        <f t="shared" si="2"/>
        <v>4053</v>
      </c>
      <c r="V23" s="31">
        <f t="shared" si="3"/>
        <v>42901.889664351853</v>
      </c>
      <c r="W23" s="45" t="str">
        <f t="shared" si="4"/>
        <v>EC</v>
      </c>
      <c r="X23" s="22">
        <f t="shared" si="5"/>
        <v>182</v>
      </c>
      <c r="Y23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ID","value":"182-15"},{"id":16,"name":"Locomotive ID","value":"4053"},{"id":130,"name":"Impact","value":""},{"id":150,"name":"Time of Event (Mountain Time)","value":"15:21:07"},{"id":151,"name":"Denver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/cygdrive/c/Users/stu/AppData/Local/Temp/OnboardLogs/RTDC4053 --include="*4053*201706152*"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"%USERPROFILE%\AppData\Local\Temp\OnboardLogs"\RTDC4053\*4053*201706152* &gt;&gt; 2017-06-15-SliceDisagreementCheck.txt</v>
      </c>
      <c r="AE23" s="145" t="str">
        <f t="shared" si="9"/>
        <v>start /low /b %USERPROFILE%\Documents\GitHub\eaglep3\Utilities\DownloadLogsFromS3.py --loco 4053 --day 2017-06-15</v>
      </c>
      <c r="AF23" s="1"/>
    </row>
    <row r="24" spans="1:32" x14ac:dyDescent="0.25">
      <c r="A24" s="31">
        <v>42901.660405092596</v>
      </c>
      <c r="B24" s="30" t="s">
        <v>449</v>
      </c>
      <c r="C24" s="30" t="s">
        <v>643</v>
      </c>
      <c r="D24" s="30" t="s">
        <v>49</v>
      </c>
      <c r="E24" s="30" t="s">
        <v>181</v>
      </c>
      <c r="F24" s="42">
        <v>0</v>
      </c>
      <c r="G24" s="42">
        <v>67</v>
      </c>
      <c r="H24" s="42">
        <v>232</v>
      </c>
      <c r="I24" s="42">
        <v>174</v>
      </c>
      <c r="J24" s="30" t="s">
        <v>182</v>
      </c>
      <c r="K24" s="42">
        <v>1</v>
      </c>
      <c r="L24" s="131" t="s">
        <v>51</v>
      </c>
      <c r="M24" s="132">
        <f t="shared" si="0"/>
        <v>91.343999999999994</v>
      </c>
      <c r="N24" s="133" t="str">
        <f>VLOOKUP(C24,'Trips&amp;Operators'!$C$1:$G$99999,5,FALSE)</f>
        <v>SULLIVAN BRANDON</v>
      </c>
      <c r="O24" s="203" t="s">
        <v>180</v>
      </c>
      <c r="P24" s="134"/>
      <c r="Q24" s="30"/>
      <c r="R24" s="81" t="str">
        <f>VLOOKUP(C24,'Train Runs'!$A$13:$AE$9939,31,0)</f>
        <v>aws s3 cp s3://rtdc.mdm.uploadarchive.raw/RTDC4045/ "%USERPROFILE%\AppData\Local\Temp\OnboardLogs"\RTDC4045\2017-06-15 --exclude "*" --recursive --include "*20170615*" &amp; "%USERPROFILE%\Documents\GitHub\mrs-test-scripts\Headless Mode &amp; Sideloading\WalkAndUnGZ.bat" "%USERPROFILE%\AppData\Local\Temp\OnboardLogs"\RTDC4045\2017-06-15 &amp; aws s3 cp s3://rtdc.mdm.uploadarchive.raw/RTDC4045/ "%USERPROFILE%\AppData\Local\Temp\OnboardLogs"\RTDC4045\2017-06-16 --exclude "*" --recursive --include "*20170616*" &amp; "%USERPROFILE%\Documents\GitHub\mrs-test-scripts\Headless Mode &amp; Sideloading\WalkAndUnGZ.bat" "%USERPROFILE%\AppData\Local\Temp\OnboardLogs"\RTDC4045\2017-06-16</v>
      </c>
      <c r="S24" s="84" t="str">
        <f>VLOOKUP(C24,'Train Runs'!$A$13:$AE$9939,22,0)</f>
        <v>https://d0f6bd738d7f1b3e5a7ca70fe4ff75f0.us-east-1.aws.found.io/app/kibana#/discover/Steve-Slow-Train-Analysis-(2080s-and-2083s)?_g=(refreshInterval:(display:Off,pause:!f,section:0,value:0),time:(from:'2017-06-15T14:01:21-0600',mode:absolute,to:'2017-06-15T16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4" s="86" t="str">
        <f t="shared" si="1"/>
        <v>"C:\Program Files (x86)\AstroGrep\AstroGrep.exe" /e /r /s /spath="%USERPROFILE%\AppData\Local\Temp\OnboardLogs" /stypes="*4045*201706152*"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4045</v>
      </c>
      <c r="V24" s="31">
        <f t="shared" si="3"/>
        <v>42901.910405092596</v>
      </c>
      <c r="W24" s="45" t="str">
        <f t="shared" si="4"/>
        <v>EC</v>
      </c>
      <c r="X24" s="22">
        <f t="shared" si="5"/>
        <v>186</v>
      </c>
      <c r="Y24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ID","value":"186-15"},{"id":16,"name":"Locomotive ID","value":"4045"},{"id":130,"name":"Impact","value":""},{"id":150,"name":"Time of Event (Mountain Time)","value":"15:50:59"},{"id":151,"name":"Denver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/cygdrive/c/Users/stu/AppData/Local/Temp/OnboardLogs/RTDC4045 --include="*4045*201706152*"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"%USERPROFILE%\AppData\Local\Temp\OnboardLogs"\RTDC4045\*4045*201706152* &gt;&gt; 2017-06-15-SliceDisagreementCheck.txt</v>
      </c>
      <c r="AE24" s="145" t="str">
        <f t="shared" si="9"/>
        <v>start /low /b %USERPROFILE%\Documents\GitHub\eaglep3\Utilities\DownloadLogsFromS3.py --loco 4045 --day 2017-06-15</v>
      </c>
      <c r="AF24" s="1"/>
    </row>
    <row r="25" spans="1:32" x14ac:dyDescent="0.25">
      <c r="A25" s="31">
        <v>42901.67083333333</v>
      </c>
      <c r="B25" s="30" t="s">
        <v>625</v>
      </c>
      <c r="C25" s="30" t="s">
        <v>645</v>
      </c>
      <c r="D25" s="30" t="s">
        <v>49</v>
      </c>
      <c r="E25" s="30" t="s">
        <v>181</v>
      </c>
      <c r="F25" s="42">
        <v>0</v>
      </c>
      <c r="G25" s="42">
        <v>48</v>
      </c>
      <c r="H25" s="42">
        <v>138</v>
      </c>
      <c r="I25" s="42">
        <v>114</v>
      </c>
      <c r="J25" s="30" t="s">
        <v>182</v>
      </c>
      <c r="K25" s="42">
        <v>1</v>
      </c>
      <c r="L25" s="131" t="s">
        <v>51</v>
      </c>
      <c r="M25" s="132">
        <f t="shared" si="0"/>
        <v>59.664000000000001</v>
      </c>
      <c r="N25" s="133" t="str">
        <f>VLOOKUP(C25,'Trips&amp;Operators'!$C$1:$G$99999,5,FALSE)</f>
        <v>HOLCOMB KAMDEN</v>
      </c>
      <c r="O25" s="203" t="s">
        <v>180</v>
      </c>
      <c r="P25" s="134"/>
      <c r="Q25" s="30"/>
      <c r="R25" s="81" t="str">
        <f>VLOOKUP(C25,'Train Runs'!$A$13:$AE$9939,31,0)</f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S25" s="84" t="str">
        <f>VLOOKUP(C25,'Train Runs'!$A$13:$AE$9939,22,0)</f>
        <v>https://d0f6bd738d7f1b3e5a7ca70fe4ff75f0.us-east-1.aws.found.io/app/kibana#/discover/Steve-Slow-Train-Analysis-(2080s-and-2083s)?_g=(refreshInterval:(display:Off,pause:!f,section:0,value:0),time:(from:'2017-06-15T14:20:29-0600',mode:absolute,to:'2017-06-15T17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5" s="86" t="str">
        <f t="shared" si="1"/>
        <v>"C:\Program Files (x86)\AstroGrep\AstroGrep.exe" /e /r /s /spath="%USERPROFILE%\AppData\Local\Temp\OnboardLogs" /stypes="*4041*201706152*"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4041</v>
      </c>
      <c r="V25" s="31">
        <f t="shared" si="3"/>
        <v>42901.92083333333</v>
      </c>
      <c r="W25" s="45" t="str">
        <f t="shared" si="4"/>
        <v>EC</v>
      </c>
      <c r="X25" s="22">
        <f t="shared" si="5"/>
        <v>188</v>
      </c>
      <c r="Y25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ID","value":"188-15"},{"id":16,"name":"Locomotive ID","value":"4041"},{"id":130,"name":"Impact","value":""},{"id":150,"name":"Time of Event (Mountain Time)","value":"16:06:00"},{"id":151,"name":"Denver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/cygdrive/c/Users/stu/AppData/Local/Temp/OnboardLogs/RTDC4041 --include="*4041*201706152*"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"%USERPROFILE%\AppData\Local\Temp\OnboardLogs"\RTDC4041\*4041*201706152* &gt;&gt; 2017-06-15-SliceDisagreementCheck.txt</v>
      </c>
      <c r="AE25" s="145" t="str">
        <f t="shared" si="9"/>
        <v>start /low /b %USERPROFILE%\Documents\GitHub\eaglep3\Utilities\DownloadLogsFromS3.py --loco 4041 --day 2017-06-15</v>
      </c>
      <c r="AF25" s="1"/>
    </row>
    <row r="26" spans="1:32" x14ac:dyDescent="0.25">
      <c r="A26" s="31">
        <v>42901.742997685185</v>
      </c>
      <c r="B26" s="30" t="s">
        <v>625</v>
      </c>
      <c r="C26" s="30" t="s">
        <v>652</v>
      </c>
      <c r="D26" s="30" t="s">
        <v>49</v>
      </c>
      <c r="E26" s="30" t="s">
        <v>181</v>
      </c>
      <c r="F26" s="42">
        <v>0</v>
      </c>
      <c r="G26" s="42">
        <v>49</v>
      </c>
      <c r="H26" s="42">
        <v>136</v>
      </c>
      <c r="I26" s="42">
        <v>79</v>
      </c>
      <c r="J26" s="30" t="s">
        <v>182</v>
      </c>
      <c r="K26" s="42">
        <v>1</v>
      </c>
      <c r="L26" s="131" t="s">
        <v>51</v>
      </c>
      <c r="M26" s="132">
        <f t="shared" si="0"/>
        <v>41.183999999999997</v>
      </c>
      <c r="N26" s="133" t="str">
        <f>VLOOKUP(C26,'Trips&amp;Operators'!$C$1:$G$99999,5,FALSE)</f>
        <v>HOLCOMB KAMDEN</v>
      </c>
      <c r="O26" s="203" t="s">
        <v>180</v>
      </c>
      <c r="P26" s="134"/>
      <c r="Q26" s="30"/>
      <c r="R26" s="81" t="str">
        <f>VLOOKUP(C26,'Train Runs'!$A$13:$AE$9939,31,0)</f>
        <v>aws s3 cp s3://rtdc.mdm.uploadarchive.raw/RTDC4041/ "%USERPROFILE%\AppData\Local\Temp\OnboardLogs"\RTDC4041\2017-06-15 --exclude "*" --recursive --include "*20170615*" &amp; "%USERPROFILE%\Documents\GitHub\mrs-test-scripts\Headless Mode &amp; Sideloading\WalkAndUnGZ.bat" "%USERPROFILE%\AppData\Local\Temp\OnboardLogs"\RTDC4041\2017-06-15 &amp; aws s3 cp s3://rtdc.mdm.uploadarchive.raw/RTDC4041/ "%USERPROFILE%\AppData\Local\Temp\OnboardLogs"\RTDC4041\2017-06-16 --exclude "*" --recursive --include "*20170616*" &amp; "%USERPROFILE%\Documents\GitHub\mrs-test-scripts\Headless Mode &amp; Sideloading\WalkAndUnGZ.bat" "%USERPROFILE%\AppData\Local\Temp\OnboardLogs"\RTDC4041\2017-06-16</v>
      </c>
      <c r="S26" s="84" t="str">
        <f>VLOOKUP(C26,'Train Runs'!$A$13:$AE$9939,22,0)</f>
        <v>https://d0f6bd738d7f1b3e5a7ca70fe4ff75f0.us-east-1.aws.found.io/app/kibana#/discover/Steve-Slow-Train-Analysis-(2080s-and-2083s)?_g=(refreshInterval:(display:Off,pause:!f,section:0,value:0),time:(from:'2017-06-15T16:08:24-0600',mode:absolute,to:'2017-06-15T18:49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6" s="86" t="str">
        <f t="shared" si="1"/>
        <v>"C:\Program Files (x86)\AstroGrep\AstroGrep.exe" /e /r /s /spath="%USERPROFILE%\AppData\Local\Temp\OnboardLogs" /stypes="*4041*201706152*" /stext=" 23:.+((SYSTEM_STATE.+slice.+state.+changed )|(ment ac)|(multiple cpu faults)|(system.+state.+changed )|(\[timeout)|(PRM\|1\|D)|(kpr)|(kdp)|(train st.+moving)|(\|lc)|(penalty))"</v>
      </c>
      <c r="U26" s="9" t="str">
        <f t="shared" si="2"/>
        <v>4041</v>
      </c>
      <c r="V26" s="31">
        <f t="shared" si="3"/>
        <v>42901.992997685185</v>
      </c>
      <c r="W26" s="45" t="str">
        <f t="shared" si="4"/>
        <v>EC</v>
      </c>
      <c r="X26" s="22">
        <f t="shared" si="5"/>
        <v>202</v>
      </c>
      <c r="Y26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{"issue":{"subject":"","project_id":79,"tracker_id":40,"status_id":1,"priority_id":2,"assigned_to_id":23,"start_date":"2017-06-15","description":"","custom_fields":[{"id":1,"name":"Subdivision","value":"EC"},{"id":4,"name":"Milepost","value":"0.0001"},{"id":17,"name":"Train ID","value":"202-15"},{"id":16,"name":"Locomotive ID","value":"4041"},{"id":130,"name":"Impact","value":""},{"id":150,"name":"Time of Event (Mountain Time)","value":"17:49:55"},{"id":151,"name":"Denver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/cygdrive/c/Users/stu/AppData/Local/Temp/OnboardLogs/RTDC4041 --include="*4041*201706152*"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"%USERPROFILE%\AppData\Local\Temp\OnboardLogs"\RTDC4041\*4041*201706152* &gt;&gt; 2017-06-15-SliceDisagreementCheck.txt</v>
      </c>
      <c r="AE26" s="145" t="str">
        <f t="shared" si="9"/>
        <v>start /low /b %USERPROFILE%\Documents\GitHub\eaglep3\Utilities\DownloadLogsFromS3.py --loco 4041 --day 2017-06-15</v>
      </c>
      <c r="AF26" s="1"/>
    </row>
    <row r="27" spans="1:32" x14ac:dyDescent="0.25">
      <c r="A27" s="31">
        <v>42901.535729166666</v>
      </c>
      <c r="B27" s="30" t="s">
        <v>477</v>
      </c>
      <c r="C27" s="30" t="s">
        <v>634</v>
      </c>
      <c r="D27" s="30" t="s">
        <v>49</v>
      </c>
      <c r="E27" s="30" t="s">
        <v>181</v>
      </c>
      <c r="F27" s="42">
        <v>0</v>
      </c>
      <c r="G27" s="42">
        <v>57</v>
      </c>
      <c r="H27" s="42">
        <v>233289</v>
      </c>
      <c r="I27" s="42">
        <v>233345</v>
      </c>
      <c r="J27" s="30" t="s">
        <v>182</v>
      </c>
      <c r="K27" s="42">
        <v>233491</v>
      </c>
      <c r="L27" s="131" t="s">
        <v>50</v>
      </c>
      <c r="M27" s="132">
        <f t="shared" si="0"/>
        <v>77.087999999999994</v>
      </c>
      <c r="N27" s="133" t="str">
        <f>VLOOKUP(C27,'Trips&amp;Operators'!$C$1:$G$99999,5,FALSE)</f>
        <v>BERLING GARY</v>
      </c>
      <c r="O27" s="203" t="s">
        <v>180</v>
      </c>
      <c r="P27" s="134"/>
      <c r="Q27" s="30"/>
      <c r="R27" s="81" t="str">
        <f>VLOOKUP(C27,'Train Runs'!$A$13:$AE$9939,31,0)</f>
        <v>aws s3 cp s3://rtdc.mdm.uploadarchive.raw/RTDC4006/ "%USERPROFILE%\AppData\Local\Temp\OnboardLogs"\RTDC4006\2017-06-15 --exclude "*" --recursive --include "*20170615*" &amp; "%USERPROFILE%\Documents\GitHub\mrs-test-scripts\Headless Mode &amp; Sideloading\WalkAndUnGZ.bat" "%USERPROFILE%\AppData\Local\Temp\OnboardLogs"\RTDC4006\2017-06-15 &amp; aws s3 cp s3://rtdc.mdm.uploadarchive.raw/RTDC4006/ "%USERPROFILE%\AppData\Local\Temp\OnboardLogs"\RTDC4006\2017-06-16 --exclude "*" --recursive --include "*20170616*" &amp; "%USERPROFILE%\Documents\GitHub\mrs-test-scripts\Headless Mode &amp; Sideloading\WalkAndUnGZ.bat" "%USERPROFILE%\AppData\Local\Temp\OnboardLogs"\RTDC4006\2017-06-16</v>
      </c>
      <c r="S27" s="84" t="str">
        <f>VLOOKUP(C27,'Train Runs'!$A$13:$AE$9939,22,0)</f>
        <v>https://d0f6bd738d7f1b3e5a7ca70fe4ff75f0.us-east-1.aws.found.io/app/kibana#/discover/Steve-Slow-Train-Analysis-(2080s-and-2083s)?_g=(refreshInterval:(display:Off,pause:!f,section:0,value:0),time:(from:'2017-06-15T11:06:47-0600',mode:absolute,to:'2017-06-15T13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27" s="86" t="str">
        <f t="shared" si="1"/>
        <v>"C:\Program Files (x86)\AstroGrep\AstroGrep.exe" /e /r /s /spath="%USERPROFILE%\AppData\Local\Temp\OnboardLogs" /stypes="*4006*201706151*" /stext=" 18:.+((SYSTEM_STATE.+slice.+state.+changed )|(ment ac)|(multiple cpu faults)|(system.+state.+changed )|(\[timeout)|(PRM\|1\|D)|(kpr)|(kdp)|(train st.+moving)|(\|lc)|(penalty))"</v>
      </c>
      <c r="U27" s="9" t="str">
        <f t="shared" si="2"/>
        <v>4006</v>
      </c>
      <c r="V27" s="31">
        <f t="shared" si="3"/>
        <v>42901.785729166666</v>
      </c>
      <c r="W27" s="45" t="str">
        <f t="shared" si="4"/>
        <v>EC</v>
      </c>
      <c r="X27" s="22">
        <f t="shared" si="5"/>
        <v>169</v>
      </c>
      <c r="Y27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{"issue":{"subject":"","project_id":79,"tracker_id":40,"status_id":1,"priority_id":2,"assigned_to_id":23,"start_date":"2017-06-15","description":"","custom_fields":[{"id":1,"name":"Subdivision","value":"EC"},{"id":4,"name":"Milepost","value":"23.3491"},{"id":17,"name":"Train ID","value":"169-15"},{"id":16,"name":"Locomotive ID","value":"4006"},{"id":130,"name":"Impact","value":""},{"id":150,"name":"Time of Event (Mountain Time)","value":"12:51:27"},{"id":151,"name":"Denver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/cygdrive/c/Users/stu/AppData/Local/Temp/OnboardLogs/RTDC4006 --include="*4006*201706151*"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"%USERPROFILE%\AppData\Local\Temp\OnboardLogs"\RTDC4006\*4006*201706151* &gt;&gt; 2017-06-15-SliceDisagreementCheck.txt</v>
      </c>
      <c r="AE27" s="145" t="str">
        <f t="shared" si="9"/>
        <v>start /low /b %USERPROFILE%\Documents\GitHub\eaglep3\Utilities\DownloadLogsFromS3.py --loco 4006 --day 2017-06-15</v>
      </c>
      <c r="AF27" s="1"/>
    </row>
    <row r="28" spans="1:32" x14ac:dyDescent="0.25">
      <c r="A28" s="31">
        <v>42901.556932870371</v>
      </c>
      <c r="B28" s="30" t="s">
        <v>358</v>
      </c>
      <c r="C28" s="30" t="s">
        <v>635</v>
      </c>
      <c r="D28" s="30" t="s">
        <v>49</v>
      </c>
      <c r="E28" s="30" t="s">
        <v>181</v>
      </c>
      <c r="F28" s="42">
        <v>0</v>
      </c>
      <c r="G28" s="42">
        <v>90</v>
      </c>
      <c r="H28" s="42">
        <v>233025</v>
      </c>
      <c r="I28" s="42">
        <v>233107</v>
      </c>
      <c r="J28" s="30" t="s">
        <v>182</v>
      </c>
      <c r="K28" s="42">
        <v>233491</v>
      </c>
      <c r="L28" s="131" t="s">
        <v>50</v>
      </c>
      <c r="M28" s="132">
        <f t="shared" si="0"/>
        <v>202.75200000000001</v>
      </c>
      <c r="N28" s="133" t="str">
        <f>VLOOKUP(C28,'Trips&amp;Operators'!$C$1:$G$99999,5,FALSE)</f>
        <v>HOLCOMB KAMDEN</v>
      </c>
      <c r="O28" s="203" t="s">
        <v>180</v>
      </c>
      <c r="P28" s="134"/>
      <c r="Q28" s="30"/>
      <c r="R28" s="81" t="str">
        <f>VLOOKUP(C28,'Train Runs'!$A$13:$AE$9939,31,0)</f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S28" s="84" t="str">
        <f>VLOOKUP(C28,'Train Runs'!$A$13:$AE$9939,22,0)</f>
        <v>https://d0f6bd738d7f1b3e5a7ca70fe4ff75f0.us-east-1.aws.found.io/app/kibana#/discover/Steve-Slow-Train-Analysis-(2080s-and-2083s)?_g=(refreshInterval:(display:Off,pause:!f,section:0,value:0),time:(from:'2017-06-15T11:39:12-0600',mode:absolute,to:'2017-06-15T14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8" s="86" t="str">
        <f t="shared" si="1"/>
        <v>"C:\Program Files (x86)\AstroGrep\AstroGrep.exe" /e /r /s /spath="%USERPROFILE%\AppData\Local\Temp\OnboardLogs" /stypes="*4042*201706151*"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4042</v>
      </c>
      <c r="V28" s="31">
        <f t="shared" si="3"/>
        <v>42901.806932870371</v>
      </c>
      <c r="W28" s="45" t="str">
        <f t="shared" si="4"/>
        <v>EC</v>
      </c>
      <c r="X28" s="22">
        <f t="shared" si="5"/>
        <v>173</v>
      </c>
      <c r="Y28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{"issue":{"subject":"","project_id":79,"tracker_id":40,"status_id":1,"priority_id":2,"assigned_to_id":23,"start_date":"2017-06-15","description":"","custom_fields":[{"id":1,"name":"Subdivision","value":"EC"},{"id":4,"name":"Milepost","value":"23.3491"},{"id":17,"name":"Train ID","value":"173-15"},{"id":16,"name":"Locomotive ID","value":"4042"},{"id":130,"name":"Impact","value":""},{"id":150,"name":"Time of Event (Mountain Time)","value":"13:21:59"},{"id":151,"name":"Denver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/cygdrive/c/Users/stu/AppData/Local/Temp/OnboardLogs/RTDC4042 --include="*4042*201706151*"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"%USERPROFILE%\AppData\Local\Temp\OnboardLogs"\RTDC4042\*4042*201706151* &gt;&gt; 2017-06-15-SliceDisagreementCheck.txt</v>
      </c>
      <c r="AE28" s="145" t="str">
        <f t="shared" si="9"/>
        <v>start /low /b %USERPROFILE%\Documents\GitHub\eaglep3\Utilities\DownloadLogsFromS3.py --loco 4042 --day 2017-06-15</v>
      </c>
      <c r="AF28" s="1"/>
    </row>
    <row r="29" spans="1:32" x14ac:dyDescent="0.25">
      <c r="A29" s="31">
        <v>42901.55741898148</v>
      </c>
      <c r="B29" s="30" t="s">
        <v>358</v>
      </c>
      <c r="C29" s="30" t="s">
        <v>635</v>
      </c>
      <c r="D29" s="30" t="s">
        <v>49</v>
      </c>
      <c r="E29" s="30" t="s">
        <v>181</v>
      </c>
      <c r="F29" s="42">
        <v>0</v>
      </c>
      <c r="G29" s="42">
        <v>50</v>
      </c>
      <c r="H29" s="42">
        <v>233307</v>
      </c>
      <c r="I29" s="42">
        <v>233326</v>
      </c>
      <c r="J29" s="30" t="s">
        <v>182</v>
      </c>
      <c r="K29" s="42">
        <v>233491</v>
      </c>
      <c r="L29" s="131" t="s">
        <v>50</v>
      </c>
      <c r="M29" s="132">
        <f t="shared" si="0"/>
        <v>87.12</v>
      </c>
      <c r="N29" s="133" t="str">
        <f>VLOOKUP(C29,'Trips&amp;Operators'!$C$1:$G$99999,5,FALSE)</f>
        <v>HOLCOMB KAMDEN</v>
      </c>
      <c r="O29" s="203" t="s">
        <v>180</v>
      </c>
      <c r="P29" s="134"/>
      <c r="Q29" s="30"/>
      <c r="R29" s="81" t="str">
        <f>VLOOKUP(C29,'Train Runs'!$A$13:$AE$9939,31,0)</f>
        <v>aws s3 cp s3://rtdc.mdm.uploadarchive.raw/RTDC4042/ "%USERPROFILE%\AppData\Local\Temp\OnboardLogs"\RTDC4042\2017-06-15 --exclude "*" --recursive --include "*20170615*" &amp; "%USERPROFILE%\Documents\GitHub\mrs-test-scripts\Headless Mode &amp; Sideloading\WalkAndUnGZ.bat" "%USERPROFILE%\AppData\Local\Temp\OnboardLogs"\RTDC4042\2017-06-15 &amp; aws s3 cp s3://rtdc.mdm.uploadarchive.raw/RTDC4042/ "%USERPROFILE%\AppData\Local\Temp\OnboardLogs"\RTDC4042\2017-06-16 --exclude "*" --recursive --include "*20170616*" &amp; "%USERPROFILE%\Documents\GitHub\mrs-test-scripts\Headless Mode &amp; Sideloading\WalkAndUnGZ.bat" "%USERPROFILE%\AppData\Local\Temp\OnboardLogs"\RTDC4042\2017-06-16</v>
      </c>
      <c r="S29" s="84" t="str">
        <f>VLOOKUP(C29,'Train Runs'!$A$13:$AE$9939,22,0)</f>
        <v>https://d0f6bd738d7f1b3e5a7ca70fe4ff75f0.us-east-1.aws.found.io/app/kibana#/discover/Steve-Slow-Train-Analysis-(2080s-and-2083s)?_g=(refreshInterval:(display:Off,pause:!f,section:0,value:0),time:(from:'2017-06-15T11:39:12-0600',mode:absolute,to:'2017-06-15T14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9" s="86" t="str">
        <f t="shared" si="1"/>
        <v>"C:\Program Files (x86)\AstroGrep\AstroGrep.exe" /e /r /s /spath="%USERPROFILE%\AppData\Local\Temp\OnboardLogs" /stypes="*4042*201706151*" /stext=" 19:.+((SYSTEM_STATE.+slice.+state.+changed )|(ment ac)|(multiple cpu faults)|(system.+state.+changed )|(\[timeout)|(PRM\|1\|D)|(kpr)|(kdp)|(train st.+moving)|(\|lc)|(penalty))"</v>
      </c>
      <c r="U29" s="9" t="str">
        <f t="shared" si="2"/>
        <v>4042</v>
      </c>
      <c r="V29" s="31">
        <f t="shared" si="3"/>
        <v>42901.80741898148</v>
      </c>
      <c r="W29" s="45" t="str">
        <f t="shared" si="4"/>
        <v>EC</v>
      </c>
      <c r="X29" s="22">
        <f t="shared" si="5"/>
        <v>173</v>
      </c>
      <c r="Y29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{"issue":{"subject":"","project_id":79,"tracker_id":40,"status_id":1,"priority_id":2,"assigned_to_id":23,"start_date":"2017-06-15","description":"","custom_fields":[{"id":1,"name":"Subdivision","value":"EC"},{"id":4,"name":"Milepost","value":"23.3491"},{"id":17,"name":"Train ID","value":"173-15"},{"id":16,"name":"Locomotive ID","value":"4042"},{"id":130,"name":"Impact","value":""},{"id":150,"name":"Time of Event (Mountain Time)","value":"13:22:41"},{"id":151,"name":"Denver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/cygdrive/c/Users/stu/AppData/Local/Temp/OnboardLogs/RTDC4042 --include="*4042*201706151*"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"%USERPROFILE%\AppData\Local\Temp\OnboardLogs"\RTDC4042\*4042*201706151* &gt;&gt; 2017-06-15-SliceDisagreementCheck.txt</v>
      </c>
      <c r="AE29" s="145" t="str">
        <f t="shared" si="9"/>
        <v>start /low /b %USERPROFILE%\Documents\GitHub\eaglep3\Utilities\DownloadLogsFromS3.py --loco 4042 --day 2017-06-15</v>
      </c>
      <c r="AF29" s="1"/>
    </row>
    <row r="30" spans="1:32" x14ac:dyDescent="0.25">
      <c r="A30" s="31">
        <v>42901.733842592592</v>
      </c>
      <c r="B30" s="30" t="s">
        <v>443</v>
      </c>
      <c r="C30" s="30" t="s">
        <v>651</v>
      </c>
      <c r="D30" s="30" t="s">
        <v>49</v>
      </c>
      <c r="E30" s="30" t="s">
        <v>181</v>
      </c>
      <c r="F30" s="42">
        <v>0</v>
      </c>
      <c r="G30" s="42">
        <v>38</v>
      </c>
      <c r="H30" s="42">
        <v>233389</v>
      </c>
      <c r="I30" s="42">
        <v>233423</v>
      </c>
      <c r="J30" s="30" t="s">
        <v>182</v>
      </c>
      <c r="K30" s="42">
        <v>233491</v>
      </c>
      <c r="L30" s="131" t="s">
        <v>50</v>
      </c>
      <c r="M30" s="132">
        <f t="shared" si="0"/>
        <v>35.904000000000003</v>
      </c>
      <c r="N30" s="133" t="str">
        <f>VLOOKUP(C30,'Trips&amp;Operators'!$C$1:$G$99999,5,FALSE)</f>
        <v>LEVIN SCOTT</v>
      </c>
      <c r="O30" s="203" t="s">
        <v>180</v>
      </c>
      <c r="P30" s="134"/>
      <c r="Q30" s="30"/>
      <c r="R30" s="81" t="str">
        <f>VLOOKUP(C30,'Train Runs'!$A$13:$AE$9939,31,0)</f>
        <v>aws s3 cp s3://rtdc.mdm.uploadarchive.raw/RTDC4002/ "%USERPROFILE%\AppData\Local\Temp\OnboardLogs"\RTDC4002\2017-06-15 --exclude "*" --recursive --include "*20170615*" &amp; "%USERPROFILE%\Documents\GitHub\mrs-test-scripts\Headless Mode &amp; Sideloading\WalkAndUnGZ.bat" "%USERPROFILE%\AppData\Local\Temp\OnboardLogs"\RTDC4002\2017-06-15 &amp; aws s3 cp s3://rtdc.mdm.uploadarchive.raw/RTDC4002/ "%USERPROFILE%\AppData\Local\Temp\OnboardLogs"\RTDC4002\2017-06-16 --exclude "*" --recursive --include "*20170616*" &amp; "%USERPROFILE%\Documents\GitHub\mrs-test-scripts\Headless Mode &amp; Sideloading\WalkAndUnGZ.bat" "%USERPROFILE%\AppData\Local\Temp\OnboardLogs"\RTDC4002\2017-06-16</v>
      </c>
      <c r="S30" s="84" t="str">
        <f>VLOOKUP(C30,'Train Runs'!$A$13:$AE$9939,22,0)</f>
        <v>https://d0f6bd738d7f1b3e5a7ca70fe4ff75f0.us-east-1.aws.found.io/app/kibana#/discover/Steve-Slow-Train-Analysis-(2080s-and-2083s)?_g=(refreshInterval:(display:Off,pause:!f,section:0,value:0),time:(from:'2017-06-15T15:55:06-0600',mode:absolute,to:'2017-06-15T18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0" s="86" t="str">
        <f t="shared" si="1"/>
        <v>"C:\Program Files (x86)\AstroGrep\AstroGrep.exe" /e /r /s /spath="%USERPROFILE%\AppData\Local\Temp\OnboardLogs" /stypes="*4002*201706152*" /stext=" 23:.+((SYSTEM_STATE.+slice.+state.+changed )|(ment ac)|(multiple cpu faults)|(system.+state.+changed )|(\[timeout)|(PRM\|1\|D)|(kpr)|(kdp)|(train st.+moving)|(\|lc)|(penalty))"</v>
      </c>
      <c r="U30" s="9" t="str">
        <f t="shared" si="2"/>
        <v>4002</v>
      </c>
      <c r="V30" s="31">
        <f t="shared" si="3"/>
        <v>42901.983842592592</v>
      </c>
      <c r="W30" s="45" t="str">
        <f t="shared" si="4"/>
        <v>EC</v>
      </c>
      <c r="X30" s="22">
        <f t="shared" si="5"/>
        <v>207</v>
      </c>
      <c r="Y30" s="96" t="str">
        <f t="shared" si="6"/>
        <v>echo {"issue":{"subject":"","project_id":79,"tracker_id":40,"status_id":1,"priority_id":2,"assigned_to_id":23,"start_date":"2017-06-15","description":"","custom_fields":[{"id":1,"name":"Subdivision","value":"EC"},{"id":4,"name":"Milepost","value":"23.3491"},{"id":17,"name":"Train ID","value":"207-15"},{"id":16,"name":"Locomotive ID","value":"4002"},{"id":130,"name":"Impact","value":""},{"id":150,"name":"Time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/cygdrive/c/Users/stu/AppData/Local/Temp/OnboardLogs/RTDC4002 --include="*4002*201706152*"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"%USERPROFILE%\AppData\Local\Temp\OnboardLogs"\RTDC4002\*4002*201706152* &gt;&gt; 2017-06-15-SliceDisagreementCheck.txt</v>
      </c>
      <c r="AE30" s="145" t="str">
        <f t="shared" si="9"/>
        <v>start /low /b %USERPROFILE%\Documents\GitHub\eaglep3\Utilities\DownloadLogsFromS3.py --loco 4002 --day 2017-06-15</v>
      </c>
      <c r="AF30" s="1"/>
    </row>
    <row r="31" spans="1:32" x14ac:dyDescent="0.25">
      <c r="A31" s="31">
        <v>42901.785844907405</v>
      </c>
      <c r="B31" s="30" t="s">
        <v>369</v>
      </c>
      <c r="C31" s="30" t="s">
        <v>656</v>
      </c>
      <c r="D31" s="30" t="s">
        <v>96</v>
      </c>
      <c r="E31" s="30" t="s">
        <v>200</v>
      </c>
      <c r="F31" s="42">
        <v>300</v>
      </c>
      <c r="G31" s="42">
        <v>352</v>
      </c>
      <c r="H31" s="42">
        <v>21000</v>
      </c>
      <c r="I31" s="42">
        <v>20040</v>
      </c>
      <c r="J31" s="30" t="s">
        <v>201</v>
      </c>
      <c r="K31" s="42">
        <v>23491</v>
      </c>
      <c r="L31" s="131" t="s">
        <v>51</v>
      </c>
      <c r="M31" s="132">
        <f t="shared" si="0"/>
        <v>-1822.1279999999999</v>
      </c>
      <c r="N31" s="133" t="str">
        <f>VLOOKUP(C31,'Trips&amp;Operators'!$C$1:$G$99999,5,FALSE)</f>
        <v>STAMBAUGH JAMES</v>
      </c>
      <c r="O31" s="203" t="s">
        <v>180</v>
      </c>
      <c r="P31" s="134"/>
      <c r="Q31" s="30"/>
      <c r="R31" s="81" t="str">
        <f>VLOOKUP(C31,'Train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31" s="84" t="str">
        <f>VLOOKUP(C31,'Train Runs'!$A$13:$AE$9939,22,0)</f>
        <v>https://d0f6bd738d7f1b3e5a7ca70fe4ff75f0.us-east-1.aws.found.io/app/kibana#/discover/Steve-Slow-Train-Analysis-(2080s-and-2083s)?_g=(refreshInterval:(display:Off,pause:!f,section:0,value:0),time:(from:'2017-06-15T17:36:48-0600',mode:absolute,to:'2017-06-15T19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1" s="86" t="str">
        <f t="shared" si="1"/>
        <v>"C:\Program Files (x86)\AstroGrep\AstroGrep.exe" /e /r /s /spath="%USERPROFILE%\AppData\Local\Temp\OnboardLogs" /stypes="*4013*201706160*" /stext=" 00:.+((SYSTEM_STATE.+slice.+state.+changed )|(ment ac)|(multiple cpu faults)|(system.+state.+changed )|(\[timeout)|(PRM\|1\|D)|(kpr)|(kdp)|(train st.+moving)|(\|lc)|(penalty))"</v>
      </c>
      <c r="U31" s="9" t="str">
        <f t="shared" si="2"/>
        <v>4013</v>
      </c>
      <c r="V31" s="31">
        <f t="shared" si="3"/>
        <v>42902.035844907405</v>
      </c>
      <c r="W31" s="45" t="str">
        <f t="shared" si="4"/>
        <v>NW</v>
      </c>
      <c r="X31" s="22">
        <f t="shared" si="5"/>
        <v>838</v>
      </c>
      <c r="Y31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{"issue":{"subject":"","project_id":79,"tracker_id":40,"status_id":1,"priority_id":2,"assigned_to_id":23,"start_date":"2017-06-15","description":"","custom_fields":[{"id":1,"name":"Subdivision","value":"NW"},{"id":4,"name":"Milepost","value":"2.3491"},{"id":17,"name":"Train ID","value":"838-15"},{"id":16,"name":"Locomotive ID","value":"4013"},{"id":130,"name":"Impact","value":""},{"id":150,"name":"Time of Event (Mountain Time)","value":"18:51:37"},{"id":151,"name":"Denver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/cygdrive/c/Users/stu/AppData/Local/Temp/OnboardLogs/RTDC4013 --include="*4013*201706160*"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"%USERPROFILE%\AppData\Local\Temp\OnboardLogs"\RTDC4013\*4013*201706160* &gt;&gt; 2017-06-15-SliceDisagreementCheck.txt</v>
      </c>
      <c r="AE31" s="145" t="str">
        <f t="shared" si="9"/>
        <v>start /low /b %USERPROFILE%\Documents\GitHub\eaglep3\Utilities\DownloadLogsFromS3.py --loco 4013 --day 2017-06-16</v>
      </c>
      <c r="AF31" s="1"/>
    </row>
    <row r="32" spans="1:32" s="20" customFormat="1" x14ac:dyDescent="0.25">
      <c r="A32" s="31">
        <v>42901.717812499999</v>
      </c>
      <c r="B32" s="30" t="s">
        <v>617</v>
      </c>
      <c r="C32" s="30" t="s">
        <v>650</v>
      </c>
      <c r="D32" s="30" t="s">
        <v>96</v>
      </c>
      <c r="E32" s="30" t="s">
        <v>200</v>
      </c>
      <c r="F32" s="42">
        <v>150</v>
      </c>
      <c r="G32" s="42">
        <v>201</v>
      </c>
      <c r="H32" s="42">
        <v>56845</v>
      </c>
      <c r="I32" s="42">
        <v>56382</v>
      </c>
      <c r="J32" s="30" t="s">
        <v>201</v>
      </c>
      <c r="K32" s="42">
        <v>59060</v>
      </c>
      <c r="L32" s="131" t="s">
        <v>51</v>
      </c>
      <c r="M32" s="132">
        <f t="shared" si="0"/>
        <v>-1413.9839999999999</v>
      </c>
      <c r="N32" s="133" t="str">
        <f>VLOOKUP(C32,'Trips&amp;Operators'!$C$1:$G$99999,5,FALSE)</f>
        <v>HAITHCOX MICHAEL</v>
      </c>
      <c r="O32" s="203" t="s">
        <v>180</v>
      </c>
      <c r="P32" s="134"/>
      <c r="Q32" s="30"/>
      <c r="R32" s="81" t="str">
        <f>VLOOKUP(C32,'Train Runs'!$A$13:$AE$9939,31,0)</f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S32" s="84" t="str">
        <f>VLOOKUP(C32,'Train Runs'!$A$13:$AE$9939,22,0)</f>
        <v>https://d0f6bd738d7f1b3e5a7ca70fe4ff75f0.us-east-1.aws.found.io/app/kibana#/discover/Steve-Slow-Train-Analysis-(2080s-and-2083s)?_g=(refreshInterval:(display:Off,pause:!f,section:0,value:0),time:(from:'2017-06-15T16:07:36-0600',mode:absolute,to:'2017-06-15T18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2" s="86" t="str">
        <f t="shared" si="1"/>
        <v>"C:\Program Files (x86)\AstroGrep\AstroGrep.exe" /e /r /s /spath="%USERPROFILE%\AppData\Local\Temp\OnboardLogs" /stypes="*4057*201706152*" /stext=" 23:.+((SYSTEM_STATE.+slice.+state.+changed )|(ment ac)|(multiple cpu faults)|(system.+state.+changed )|(\[timeout)|(PRM\|1\|D)|(kpr)|(kdp)|(train st.+moving)|(\|lc)|(penalty))"</v>
      </c>
      <c r="U32" s="9" t="str">
        <f t="shared" si="2"/>
        <v>4057</v>
      </c>
      <c r="V32" s="31">
        <f t="shared" si="3"/>
        <v>42901.967812499999</v>
      </c>
      <c r="W32" s="45" t="str">
        <f t="shared" si="4"/>
        <v>NW</v>
      </c>
      <c r="X32" s="22">
        <f t="shared" si="5"/>
        <v>832</v>
      </c>
      <c r="Y32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{"issue":{"subject":"","project_id":79,"tracker_id":40,"status_id":1,"priority_id":2,"assigned_to_id":23,"start_date":"2017-06-15","description":"","custom_fields":[{"id":1,"name":"Subdivision","value":"NW"},{"id":4,"name":"Milepost","value":"5.906"},{"id":17,"name":"Train ID","value":"832-15"},{"id":16,"name":"Locomotive ID","value":"4057"},{"id":130,"name":"Impact","value":""},{"id":150,"name":"Time of Event (Mountain Time)","value":"17:13:39"},{"id":151,"name":"Denver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/cygdrive/c/Users/stu/AppData/Local/Temp/OnboardLogs/RTDC4057 --include="*4057*201706152*"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"%USERPROFILE%\AppData\Local\Temp\OnboardLogs"\RTDC4057\*4057*201706152* &gt;&gt; 2017-06-15-SliceDisagreementCheck.txt</v>
      </c>
      <c r="AE32" s="145" t="str">
        <f t="shared" si="9"/>
        <v>start /low /b %USERPROFILE%\Documents\GitHub\eaglep3\Utilities\DownloadLogsFromS3.py --loco 4057 --day 2017-06-15</v>
      </c>
      <c r="AF32" s="1"/>
    </row>
    <row r="33" spans="1:32" x14ac:dyDescent="0.25">
      <c r="A33" s="31">
        <v>42901.781134259261</v>
      </c>
      <c r="B33" s="30" t="s">
        <v>369</v>
      </c>
      <c r="C33" s="30" t="s">
        <v>656</v>
      </c>
      <c r="D33" s="30" t="s">
        <v>96</v>
      </c>
      <c r="E33" s="30" t="s">
        <v>200</v>
      </c>
      <c r="F33" s="42">
        <v>150</v>
      </c>
      <c r="G33" s="42">
        <v>210</v>
      </c>
      <c r="H33" s="42">
        <v>56974</v>
      </c>
      <c r="I33" s="42">
        <v>56456</v>
      </c>
      <c r="J33" s="30" t="s">
        <v>201</v>
      </c>
      <c r="K33" s="42">
        <v>59060</v>
      </c>
      <c r="L33" s="131" t="s">
        <v>51</v>
      </c>
      <c r="M33" s="132">
        <f t="shared" si="0"/>
        <v>-1374.9120000000003</v>
      </c>
      <c r="N33" s="133" t="str">
        <f>VLOOKUP(C33,'Trips&amp;Operators'!$C$1:$G$99999,5,FALSE)</f>
        <v>STAMBAUGH JAMES</v>
      </c>
      <c r="O33" s="203" t="s">
        <v>180</v>
      </c>
      <c r="P33" s="134"/>
      <c r="Q33" s="30"/>
      <c r="R33" s="81" t="str">
        <f>VLOOKUP(C33,'Train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33" s="84" t="str">
        <f>VLOOKUP(C33,'Train Runs'!$A$13:$AE$9939,22,0)</f>
        <v>https://d0f6bd738d7f1b3e5a7ca70fe4ff75f0.us-east-1.aws.found.io/app/kibana#/discover/Steve-Slow-Train-Analysis-(2080s-and-2083s)?_g=(refreshInterval:(display:Off,pause:!f,section:0,value:0),time:(from:'2017-06-15T17:36:48-0600',mode:absolute,to:'2017-06-15T19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3" s="86" t="str">
        <f t="shared" si="1"/>
        <v>"C:\Program Files (x86)\AstroGrep\AstroGrep.exe" /e /r /s /spath="%USERPROFILE%\AppData\Local\Temp\OnboardLogs" /stypes="*4013*201706160*" /stext=" 00:.+((SYSTEM_STATE.+slice.+state.+changed )|(ment ac)|(multiple cpu faults)|(system.+state.+changed )|(\[timeout)|(PRM\|1\|D)|(kpr)|(kdp)|(train st.+moving)|(\|lc)|(penalty))"</v>
      </c>
      <c r="U33" s="9" t="str">
        <f t="shared" si="2"/>
        <v>4013</v>
      </c>
      <c r="V33" s="31">
        <f t="shared" si="3"/>
        <v>42902.031134259261</v>
      </c>
      <c r="W33" s="45" t="str">
        <f t="shared" si="4"/>
        <v>NW</v>
      </c>
      <c r="X33" s="22">
        <f t="shared" si="5"/>
        <v>838</v>
      </c>
      <c r="Y33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{"issue":{"subject":"","project_id":79,"tracker_id":40,"status_id":1,"priority_id":2,"assigned_to_id":23,"start_date":"2017-06-15","description":"","custom_fields":[{"id":1,"name":"Subdivision","value":"NW"},{"id":4,"name":"Milepost","value":"5.906"},{"id":17,"name":"Train ID","value":"838-15"},{"id":16,"name":"Locomotive ID","value":"4013"},{"id":130,"name":"Impact","value":""},{"id":150,"name":"Time of Event (Mountain Time)","value":"18:44:50"},{"id":151,"name":"Denver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/cygdrive/c/Users/stu/AppData/Local/Temp/OnboardLogs/RTDC4013 --include="*4013*201706160*"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"%USERPROFILE%\AppData\Local\Temp\OnboardLogs"\RTDC4013\*4013*201706160* &gt;&gt; 2017-06-15-SliceDisagreementCheck.txt</v>
      </c>
      <c r="AE33" s="145" t="str">
        <f t="shared" si="9"/>
        <v>start /low /b %USERPROFILE%\Documents\GitHub\eaglep3\Utilities\DownloadLogsFromS3.py --loco 4013 --day 2017-06-16</v>
      </c>
      <c r="AF33" s="1"/>
    </row>
    <row r="34" spans="1:32" x14ac:dyDescent="0.25">
      <c r="A34" s="31">
        <v>42901.580543981479</v>
      </c>
      <c r="B34" s="30" t="s">
        <v>369</v>
      </c>
      <c r="C34" s="30" t="s">
        <v>637</v>
      </c>
      <c r="D34" s="30" t="s">
        <v>49</v>
      </c>
      <c r="E34" s="30" t="s">
        <v>362</v>
      </c>
      <c r="F34" s="42">
        <v>0</v>
      </c>
      <c r="G34" s="42">
        <v>119</v>
      </c>
      <c r="H34" s="42">
        <v>5173</v>
      </c>
      <c r="I34" s="42">
        <v>5063</v>
      </c>
      <c r="J34" s="30" t="s">
        <v>363</v>
      </c>
      <c r="K34" s="42">
        <v>4790</v>
      </c>
      <c r="L34" s="131" t="s">
        <v>51</v>
      </c>
      <c r="M34" s="132">
        <f t="shared" si="0"/>
        <v>144.14400000000001</v>
      </c>
      <c r="N34" s="133" t="str">
        <f>VLOOKUP(C34,'Trips&amp;Operators'!$C$1:$G$99999,5,FALSE)</f>
        <v>STAMBAUGH JAMES</v>
      </c>
      <c r="O34" s="203" t="s">
        <v>180</v>
      </c>
      <c r="P34" s="134" t="s">
        <v>1036</v>
      </c>
      <c r="Q34" s="30"/>
      <c r="R34" s="81" t="str">
        <f>VLOOKUP(C34,'Train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34" s="84" t="str">
        <f>VLOOKUP(C34,'Train Runs'!$A$13:$AE$9939,22,0)</f>
        <v>https://d0f6bd738d7f1b3e5a7ca70fe4ff75f0.us-east-1.aws.found.io/app/kibana#/discover/Steve-Slow-Train-Analysis-(2080s-and-2083s)?_g=(refreshInterval:(display:Off,pause:!f,section:0,value:0),time:(from:'2017-06-15T12:42:48-0600',mode:absolute,to:'2017-06-15T14:59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4" s="86" t="str">
        <f t="shared" si="1"/>
        <v>"C:\Program Files (x86)\AstroGrep\AstroGrep.exe" /e /r /s /spath="%USERPROFILE%\AppData\Local\Temp\OnboardLogs" /stypes="*4013*201706151*"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4013</v>
      </c>
      <c r="V34" s="31">
        <f t="shared" si="3"/>
        <v>42901.830543981479</v>
      </c>
      <c r="W34" s="45" t="str">
        <f t="shared" si="4"/>
        <v>NW</v>
      </c>
      <c r="X34" s="22">
        <f t="shared" si="5"/>
        <v>822</v>
      </c>
      <c r="Y34" s="96" t="str">
        <f t="shared" si="6"/>
        <v>echo {"issue":{"subject":"DUS 28S STOP, cleared after","project_id":79,"tracker_id":40,"status_id":1,"priority_id":2,"assigned_to_id":23,"start_date":"2017-06-15","description":"","custom_fields":[{"id":1,"name":"Subdivision","value":"NW"},{"id":4,"name":"Milepost","value":"0.479"},{"id":17,"name":"Train ID","value":"822-15"},{"id":16,"name":"Locomotive ID","value":"4013"},{"id":130,"name":"Impact","value":""},{"id":150,"name":"Time of Event (Mountain Time)","value":"13:55:59"},{"id":151,"name":"Denver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/cygdrive/c/Users/stu/AppData/Local/Temp/OnboardLogs/RTDC4013 --include="*4013*201706151*"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"%USERPROFILE%\AppData\Local\Temp\OnboardLogs"\RTDC4013\*4013*201706151* &gt;&gt; 2017-06-15-SliceDisagreementCheck.txt</v>
      </c>
      <c r="AE34" s="145" t="str">
        <f t="shared" si="9"/>
        <v>start /low /b %USERPROFILE%\Documents\GitHub\eaglep3\Utilities\DownloadLogsFromS3.py --loco 4013 --day 2017-06-15</v>
      </c>
      <c r="AF34" s="1"/>
    </row>
    <row r="35" spans="1:32" x14ac:dyDescent="0.25">
      <c r="A35" s="31">
        <v>42901.749548611115</v>
      </c>
      <c r="B35" s="30" t="s">
        <v>615</v>
      </c>
      <c r="C35" s="30" t="s">
        <v>654</v>
      </c>
      <c r="D35" s="30" t="s">
        <v>49</v>
      </c>
      <c r="E35" s="30" t="s">
        <v>362</v>
      </c>
      <c r="F35" s="42">
        <v>0</v>
      </c>
      <c r="G35" s="42">
        <v>294</v>
      </c>
      <c r="H35" s="42">
        <v>36865</v>
      </c>
      <c r="I35" s="42">
        <v>37853</v>
      </c>
      <c r="J35" s="30" t="s">
        <v>363</v>
      </c>
      <c r="K35" s="42">
        <v>37575</v>
      </c>
      <c r="L35" s="131" t="s">
        <v>50</v>
      </c>
      <c r="M35" s="132">
        <f t="shared" si="0"/>
        <v>-146.78399999999999</v>
      </c>
      <c r="N35" s="133" t="str">
        <f>VLOOKUP(C35,'Trips&amp;Operators'!$C$1:$G$99999,5,FALSE)</f>
        <v>HAITHCOX MICHAEL</v>
      </c>
      <c r="O35" s="203" t="s">
        <v>411</v>
      </c>
      <c r="P35" s="134" t="s">
        <v>412</v>
      </c>
      <c r="Q35" s="30"/>
      <c r="R35" s="81" t="str">
        <f>VLOOKUP(C35,'Train Runs'!$A$13:$AE$9939,31,0)</f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S35" s="84" t="str">
        <f>VLOOKUP(C35,'Train Runs'!$A$13:$AE$9939,22,0)</f>
        <v>https://d0f6bd738d7f1b3e5a7ca70fe4ff75f0.us-east-1.aws.found.io/app/kibana#/discover/Steve-Slow-Train-Analysis-(2080s-and-2083s)?_g=(refreshInterval:(display:Off,pause:!f,section:0,value:0),time:(from:'2017-06-15T16:29:41-0600',mode:absolute,to:'2017-06-15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35" s="86" t="str">
        <f t="shared" si="1"/>
        <v>"C:\Program Files (x86)\AstroGrep\AstroGrep.exe" /e /r /s /spath="%USERPROFILE%\AppData\Local\Temp\OnboardLogs" /stypes="*4058*201706152*"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4058</v>
      </c>
      <c r="V35" s="31">
        <f t="shared" si="3"/>
        <v>42901.999548611115</v>
      </c>
      <c r="W35" s="45" t="str">
        <f t="shared" si="4"/>
        <v>NW</v>
      </c>
      <c r="X35" s="22">
        <f t="shared" si="5"/>
        <v>835</v>
      </c>
      <c r="Y35" s="96" t="str">
        <f t="shared" si="6"/>
        <v>echo {"issue":{"subject":"Wi-MAX data drop","project_id":79,"tracker_id":40,"status_id":1,"priority_id":2,"assigned_to_id":23,"start_date":"2017-06-15","description":"","custom_fields":[{"id":1,"name":"Subdivision","value":"NW"},{"id":4,"name":"Milepost","value":"3.7575"},{"id":17,"name":"Train ID","value":"835-15"},{"id":16,"name":"Locomotive ID","value":"4058"},{"id":130,"name":"Impact","value":""},{"id":150,"name":"Time of Event (Mountain Time)","value":"17:59:21"},{"id":151,"name":"Denver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/cygdrive/c/Users/stu/AppData/Local/Temp/OnboardLogs/RTDC4058 --include="*4058*201706152*"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"%USERPROFILE%\AppData\Local\Temp\OnboardLogs"\RTDC4058\*4058*201706152* &gt;&gt; 2017-06-15-SliceDisagreementCheck.txt</v>
      </c>
      <c r="AE35" s="145" t="str">
        <f t="shared" si="9"/>
        <v>start /low /b %USERPROFILE%\Documents\GitHub\eaglep3\Utilities\DownloadLogsFromS3.py --loco 4058 --day 2017-06-15</v>
      </c>
      <c r="AF35" s="1"/>
    </row>
    <row r="36" spans="1:32" x14ac:dyDescent="0.25">
      <c r="A36" s="31">
        <v>42901.22625</v>
      </c>
      <c r="B36" s="30" t="s">
        <v>617</v>
      </c>
      <c r="C36" s="30" t="s">
        <v>618</v>
      </c>
      <c r="D36" s="30" t="s">
        <v>49</v>
      </c>
      <c r="E36" s="30" t="s">
        <v>181</v>
      </c>
      <c r="F36" s="42">
        <v>0</v>
      </c>
      <c r="G36" s="42">
        <v>16</v>
      </c>
      <c r="H36" s="42">
        <v>605</v>
      </c>
      <c r="I36" s="42">
        <v>601</v>
      </c>
      <c r="J36" s="30" t="s">
        <v>182</v>
      </c>
      <c r="K36" s="42">
        <v>575</v>
      </c>
      <c r="L36" s="131" t="s">
        <v>51</v>
      </c>
      <c r="M36" s="132">
        <f t="shared" si="0"/>
        <v>13.728</v>
      </c>
      <c r="N36" s="133" t="str">
        <f>VLOOKUP(C36,'Trips&amp;Operators'!$C$1:$G$99999,5,FALSE)</f>
        <v>DAVIS WENDY</v>
      </c>
      <c r="O36" s="203" t="s">
        <v>180</v>
      </c>
      <c r="P36" s="134"/>
      <c r="Q36" s="30"/>
      <c r="R36" s="81" t="str">
        <f>VLOOKUP(C36,'Train Runs'!$A$13:$AE$9939,31,0)</f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S36" s="84" t="str">
        <f>VLOOKUP(C36,'Train Runs'!$A$13:$AE$9939,22,0)</f>
        <v>https://d0f6bd738d7f1b3e5a7ca70fe4ff75f0.us-east-1.aws.found.io/app/kibana#/discover/Steve-Slow-Train-Analysis-(2080s-and-2083s)?_g=(refreshInterval:(display:Off,pause:!f,section:0,value:0),time:(from:'2017-06-15T04:01:51-0600',mode:absolute,to:'2017-06-15T06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6" s="86" t="str">
        <f t="shared" si="1"/>
        <v>"C:\Program Files (x86)\AstroGrep\AstroGrep.exe" /e /r /s /spath="%USERPROFILE%\AppData\Local\Temp\OnboardLogs" /stypes="*4057*201706151*"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4057</v>
      </c>
      <c r="V36" s="31">
        <f t="shared" si="3"/>
        <v>42901.47625</v>
      </c>
      <c r="W36" s="45" t="str">
        <f t="shared" si="4"/>
        <v>NW</v>
      </c>
      <c r="X36" s="22">
        <f t="shared" si="5"/>
        <v>800</v>
      </c>
      <c r="Y36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ID","value":"800-15"},{"id":16,"name":"Locomotive ID","value":"4057"},{"id":130,"name":"Impact","value":""},{"id":150,"name":"Time of Event (Mountain Time)","value":"05:25:48"},{"id":151,"name":"Denver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/cygdrive/c/Users/stu/AppData/Local/Temp/OnboardLogs/RTDC4057 --include="*4057*201706151*"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"%USERPROFILE%\AppData\Local\Temp\OnboardLogs"\RTDC4057\*4057*201706151* &gt;&gt; 2017-06-15-SliceDisagreementCheck.txt</v>
      </c>
      <c r="AE36" s="145" t="str">
        <f t="shared" si="9"/>
        <v>start /low /b %USERPROFILE%\Documents\GitHub\eaglep3\Utilities\DownloadLogsFromS3.py --loco 4057 --day 2017-06-15</v>
      </c>
      <c r="AF36" s="1"/>
    </row>
    <row r="37" spans="1:32" x14ac:dyDescent="0.25">
      <c r="A37" s="31">
        <v>42901.269074074073</v>
      </c>
      <c r="B37" s="30" t="s">
        <v>617</v>
      </c>
      <c r="C37" s="30" t="s">
        <v>621</v>
      </c>
      <c r="D37" s="30" t="s">
        <v>49</v>
      </c>
      <c r="E37" s="30" t="s">
        <v>181</v>
      </c>
      <c r="F37" s="42">
        <v>0</v>
      </c>
      <c r="G37" s="42">
        <v>52</v>
      </c>
      <c r="H37" s="42">
        <v>741</v>
      </c>
      <c r="I37" s="42">
        <v>710</v>
      </c>
      <c r="J37" s="30" t="s">
        <v>182</v>
      </c>
      <c r="K37" s="42">
        <v>575</v>
      </c>
      <c r="L37" s="131" t="s">
        <v>51</v>
      </c>
      <c r="M37" s="132">
        <f t="shared" si="0"/>
        <v>71.28</v>
      </c>
      <c r="N37" s="133" t="str">
        <f>VLOOKUP(C37,'Trips&amp;Operators'!$C$1:$G$99999,5,FALSE)</f>
        <v>DAVIS WENDY</v>
      </c>
      <c r="O37" s="203" t="s">
        <v>180</v>
      </c>
      <c r="P37" s="134"/>
      <c r="Q37" s="30"/>
      <c r="R37" s="81" t="str">
        <f>VLOOKUP(C37,'Train Runs'!$A$13:$AE$9939,31,0)</f>
        <v>aws s3 cp s3://rtdc.mdm.uploadarchive.raw/RTDC4057/ "%USERPROFILE%\AppData\Local\Temp\OnboardLogs"\RTDC4057\2017-06-15 --exclude "*" --recursive --include "*20170615*" &amp; "%USERPROFILE%\Documents\GitHub\mrs-test-scripts\Headless Mode &amp; Sideloading\WalkAndUnGZ.bat" "%USERPROFILE%\AppData\Local\Temp\OnboardLogs"\RTDC4057\2017-06-15 &amp; aws s3 cp s3://rtdc.mdm.uploadarchive.raw/RTDC4057/ "%USERPROFILE%\AppData\Local\Temp\OnboardLogs"\RTDC4057\2017-06-16 --exclude "*" --recursive --include "*20170616*" &amp; "%USERPROFILE%\Documents\GitHub\mrs-test-scripts\Headless Mode &amp; Sideloading\WalkAndUnGZ.bat" "%USERPROFILE%\AppData\Local\Temp\OnboardLogs"\RTDC4057\2017-06-16</v>
      </c>
      <c r="S37" s="84" t="str">
        <f>VLOOKUP(C37,'Train Runs'!$A$13:$AE$9939,22,0)</f>
        <v>https://d0f6bd738d7f1b3e5a7ca70fe4ff75f0.us-east-1.aws.found.io/app/kibana#/discover/Steve-Slow-Train-Analysis-(2080s-and-2083s)?_g=(refreshInterval:(display:Off,pause:!f,section:0,value:0),time:(from:'2017-06-15T05:07:21-0600',mode:absolute,to:'2017-06-15T07:27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7" s="86" t="str">
        <f t="shared" si="1"/>
        <v>"C:\Program Files (x86)\AstroGrep\AstroGrep.exe" /e /r /s /spath="%USERPROFILE%\AppData\Local\Temp\OnboardLogs" /stypes="*4057*201706151*" /stext=" 12:.+((SYSTEM_STATE.+slice.+state.+changed )|(ment ac)|(multiple cpu faults)|(system.+state.+changed )|(\[timeout)|(PRM\|1\|D)|(kpr)|(kdp)|(train st.+moving)|(\|lc)|(penalty))"</v>
      </c>
      <c r="U37" s="9" t="str">
        <f t="shared" si="2"/>
        <v>4057</v>
      </c>
      <c r="V37" s="31">
        <f t="shared" si="3"/>
        <v>42901.519074074073</v>
      </c>
      <c r="W37" s="45" t="str">
        <f t="shared" si="4"/>
        <v>NW</v>
      </c>
      <c r="X37" s="22">
        <f t="shared" si="5"/>
        <v>802</v>
      </c>
      <c r="Y37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ID","value":"802-15"},{"id":16,"name":"Locomotive ID","value":"4057"},{"id":130,"name":"Impact","value":""},{"id":150,"name":"Time of Event (Mountain Time)","value":"06:27:28"},{"id":151,"name":"Denver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/cygdrive/c/Users/stu/AppData/Local/Temp/OnboardLogs/RTDC4057 --include="*4057*201706151*"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"%USERPROFILE%\AppData\Local\Temp\OnboardLogs"\RTDC4057\*4057*201706151* &gt;&gt; 2017-06-15-SliceDisagreementCheck.txt</v>
      </c>
      <c r="AE37" s="145" t="str">
        <f t="shared" si="9"/>
        <v>start /low /b %USERPROFILE%\Documents\GitHub\eaglep3\Utilities\DownloadLogsFromS3.py --loco 4057 --day 2017-06-15</v>
      </c>
      <c r="AF37" s="1"/>
    </row>
    <row r="38" spans="1:32" x14ac:dyDescent="0.25">
      <c r="A38" s="31">
        <v>42901.458252314813</v>
      </c>
      <c r="B38" s="30" t="s">
        <v>369</v>
      </c>
      <c r="C38" s="30" t="s">
        <v>633</v>
      </c>
      <c r="D38" s="30" t="s">
        <v>49</v>
      </c>
      <c r="E38" s="30" t="s">
        <v>181</v>
      </c>
      <c r="F38" s="42">
        <v>0</v>
      </c>
      <c r="G38" s="42">
        <v>39</v>
      </c>
      <c r="H38" s="42">
        <v>705</v>
      </c>
      <c r="I38" s="42">
        <v>670</v>
      </c>
      <c r="J38" s="30" t="s">
        <v>182</v>
      </c>
      <c r="K38" s="42">
        <v>575</v>
      </c>
      <c r="L38" s="131" t="s">
        <v>51</v>
      </c>
      <c r="M38" s="132">
        <f t="shared" si="0"/>
        <v>50.16</v>
      </c>
      <c r="N38" s="133" t="str">
        <f>VLOOKUP(C38,'Trips&amp;Operators'!$C$1:$G$99999,5,FALSE)</f>
        <v>YANG JAN</v>
      </c>
      <c r="O38" s="203" t="s">
        <v>180</v>
      </c>
      <c r="P38" s="134"/>
      <c r="Q38" s="30"/>
      <c r="R38" s="81" t="str">
        <f>VLOOKUP(C38,'Train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38" s="84" t="str">
        <f>VLOOKUP(C38,'Train Runs'!$A$13:$AE$9939,22,0)</f>
        <v>https://d0f6bd738d7f1b3e5a7ca70fe4ff75f0.us-east-1.aws.found.io/app/kibana#/discover/Steve-Slow-Train-Analysis-(2080s-and-2083s)?_g=(refreshInterval:(display:Off,pause:!f,section:0,value:0),time:(from:'2017-06-15T09:36:57-0600',mode:absolute,to:'2017-06-15T11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86" t="str">
        <f t="shared" si="1"/>
        <v>"C:\Program Files (x86)\AstroGrep\AstroGrep.exe" /e /r /s /spath="%USERPROFILE%\AppData\Local\Temp\OnboardLogs" /stypes="*4013*201706151*" /stext=" 16:.+((SYSTEM_STATE.+slice.+state.+changed )|(ment ac)|(multiple cpu faults)|(system.+state.+changed )|(\[timeout)|(PRM\|1\|D)|(kpr)|(kdp)|(train st.+moving)|(\|lc)|(penalty))"</v>
      </c>
      <c r="U38" s="9" t="str">
        <f t="shared" si="2"/>
        <v>4013</v>
      </c>
      <c r="V38" s="31">
        <f t="shared" si="3"/>
        <v>42901.708252314813</v>
      </c>
      <c r="W38" s="45" t="str">
        <f t="shared" si="4"/>
        <v>NW</v>
      </c>
      <c r="X38" s="22">
        <f t="shared" si="5"/>
        <v>816</v>
      </c>
      <c r="Y38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ID","value":"816-15"},{"id":16,"name":"Locomotive ID","value":"4013"},{"id":130,"name":"Impact","value":""},{"id":150,"name":"Time of Event (Mountain Time)","value":"10:59:53"},{"id":151,"name":"Denver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/cygdrive/c/Users/stu/AppData/Local/Temp/OnboardLogs/RTDC4013 --include="*4013*201706151*"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"%USERPROFILE%\AppData\Local\Temp\OnboardLogs"\RTDC4013\*4013*201706151* &gt;&gt; 2017-06-15-SliceDisagreementCheck.txt</v>
      </c>
      <c r="AE38" s="145" t="str">
        <f t="shared" si="9"/>
        <v>start /low /b %USERPROFILE%\Documents\GitHub\eaglep3\Utilities\DownloadLogsFromS3.py --loco 4013 --day 2017-06-15</v>
      </c>
      <c r="AF38" s="1"/>
    </row>
    <row r="39" spans="1:32" x14ac:dyDescent="0.25">
      <c r="A39" s="31">
        <v>42901.621782407405</v>
      </c>
      <c r="B39" s="30" t="s">
        <v>369</v>
      </c>
      <c r="C39" s="30" t="s">
        <v>639</v>
      </c>
      <c r="D39" s="30" t="s">
        <v>49</v>
      </c>
      <c r="E39" s="30" t="s">
        <v>181</v>
      </c>
      <c r="F39" s="42">
        <v>0</v>
      </c>
      <c r="G39" s="42">
        <v>30</v>
      </c>
      <c r="H39" s="42">
        <v>664</v>
      </c>
      <c r="I39" s="42">
        <v>642</v>
      </c>
      <c r="J39" s="30" t="s">
        <v>182</v>
      </c>
      <c r="K39" s="42">
        <v>575</v>
      </c>
      <c r="L39" s="131" t="s">
        <v>51</v>
      </c>
      <c r="M39" s="132">
        <f t="shared" si="0"/>
        <v>35.375999999999998</v>
      </c>
      <c r="N39" s="133" t="str">
        <f>VLOOKUP(C39,'Trips&amp;Operators'!$C$1:$G$99999,5,FALSE)</f>
        <v>STAMBAUGH JAMES</v>
      </c>
      <c r="O39" s="203" t="s">
        <v>180</v>
      </c>
      <c r="P39" s="134"/>
      <c r="Q39" s="30"/>
      <c r="R39" s="81" t="str">
        <f>VLOOKUP(C39,'Train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39" s="84" t="str">
        <f>VLOOKUP(C39,'Train Runs'!$A$13:$AE$9939,22,0)</f>
        <v>https://d0f6bd738d7f1b3e5a7ca70fe4ff75f0.us-east-1.aws.found.io/app/kibana#/discover/Steve-Slow-Train-Analysis-(2080s-and-2083s)?_g=(refreshInterval:(display:Off,pause:!f,section:0,value:0),time:(from:'2017-06-15T13:35:16-0600',mode:absolute,to:'2017-06-15T15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9" s="86" t="str">
        <f t="shared" si="1"/>
        <v>"C:\Program Files (x86)\AstroGrep\AstroGrep.exe" /e /r /s /spath="%USERPROFILE%\AppData\Local\Temp\OnboardLogs" /stypes="*4013*201706152*" /stext=" 20:.+((SYSTEM_STATE.+slice.+state.+changed )|(ment ac)|(multiple cpu faults)|(system.+state.+changed )|(\[timeout)|(PRM\|1\|D)|(kpr)|(kdp)|(train st.+moving)|(\|lc)|(penalty))"</v>
      </c>
      <c r="U39" s="9" t="str">
        <f t="shared" si="2"/>
        <v>4013</v>
      </c>
      <c r="V39" s="31">
        <f t="shared" si="3"/>
        <v>42901.871782407405</v>
      </c>
      <c r="W39" s="45" t="str">
        <f t="shared" si="4"/>
        <v>NW</v>
      </c>
      <c r="X39" s="22">
        <f t="shared" si="5"/>
        <v>824</v>
      </c>
      <c r="Y39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ID","value":"824-15"},{"id":16,"name":"Locomotive ID","value":"4013"},{"id":130,"name":"Impact","value":""},{"id":150,"name":"Time of Event (Mountain Time)","value":"14:55:22"},{"id":151,"name":"Denver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/cygdrive/c/Users/stu/AppData/Local/Temp/OnboardLogs/RTDC4013 --include="*4013*201706152*"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"%USERPROFILE%\AppData\Local\Temp\OnboardLogs"\RTDC4013\*4013*201706152* &gt;&gt; 2017-06-15-SliceDisagreementCheck.txt</v>
      </c>
      <c r="AE39" s="145" t="str">
        <f t="shared" si="9"/>
        <v>start /low /b %USERPROFILE%\Documents\GitHub\eaglep3\Utilities\DownloadLogsFromS3.py --loco 4013 --day 2017-06-15</v>
      </c>
      <c r="AF39" s="1"/>
    </row>
    <row r="40" spans="1:32" x14ac:dyDescent="0.25">
      <c r="A40" s="31">
        <v>42901.66333333333</v>
      </c>
      <c r="B40" s="30" t="s">
        <v>369</v>
      </c>
      <c r="C40" s="30" t="s">
        <v>644</v>
      </c>
      <c r="D40" s="30" t="s">
        <v>49</v>
      </c>
      <c r="E40" s="30" t="s">
        <v>181</v>
      </c>
      <c r="F40" s="42">
        <v>0</v>
      </c>
      <c r="G40" s="42">
        <v>39</v>
      </c>
      <c r="H40" s="42">
        <v>705</v>
      </c>
      <c r="I40" s="42">
        <v>670</v>
      </c>
      <c r="J40" s="30" t="s">
        <v>182</v>
      </c>
      <c r="K40" s="42">
        <v>575</v>
      </c>
      <c r="L40" s="131" t="s">
        <v>51</v>
      </c>
      <c r="M40" s="132">
        <f t="shared" si="0"/>
        <v>50.16</v>
      </c>
      <c r="N40" s="133" t="str">
        <f>VLOOKUP(C40,'Trips&amp;Operators'!$C$1:$G$99999,5,FALSE)</f>
        <v>STAMBAUGH JAMES</v>
      </c>
      <c r="O40" s="203" t="s">
        <v>180</v>
      </c>
      <c r="P40" s="134"/>
      <c r="Q40" s="30"/>
      <c r="R40" s="81" t="str">
        <f>VLOOKUP(C40,'Train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40" s="84" t="str">
        <f>VLOOKUP(C40,'Train Runs'!$A$13:$AE$9939,22,0)</f>
        <v>https://d0f6bd738d7f1b3e5a7ca70fe4ff75f0.us-east-1.aws.found.io/app/kibana#/discover/Steve-Slow-Train-Analysis-(2080s-and-2083s)?_g=(refreshInterval:(display:Off,pause:!f,section:0,value:0),time:(from:'2017-06-15T14:36:58-0600',mode:absolute,to:'2017-06-15T16:55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0" s="86" t="str">
        <f t="shared" si="1"/>
        <v>"C:\Program Files (x86)\AstroGrep\AstroGrep.exe" /e /r /s /spath="%USERPROFILE%\AppData\Local\Temp\OnboardLogs" /stypes="*4013*201706152*" /stext=" 21:.+((SYSTEM_STATE.+slice.+state.+changed )|(ment ac)|(multiple cpu faults)|(system.+state.+changed )|(\[timeout)|(PRM\|1\|D)|(kpr)|(kdp)|(train st.+moving)|(\|lc)|(penalty))"</v>
      </c>
      <c r="U40" s="9" t="str">
        <f t="shared" si="2"/>
        <v>4013</v>
      </c>
      <c r="V40" s="31">
        <f t="shared" si="3"/>
        <v>42901.91333333333</v>
      </c>
      <c r="W40" s="45" t="str">
        <f t="shared" si="4"/>
        <v>NW</v>
      </c>
      <c r="X40" s="22">
        <f t="shared" si="5"/>
        <v>826</v>
      </c>
      <c r="Y40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ID","value":"826-15"},{"id":16,"name":"Locomotive ID","value":"4013"},{"id":130,"name":"Impact","value":""},{"id":150,"name":"Time of Event (Mountain Time)","value":"15:55:12"},{"id":151,"name":"Denver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/cygdrive/c/Users/stu/AppData/Local/Temp/OnboardLogs/RTDC4013 --include="*4013*201706152*"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"%USERPROFILE%\AppData\Local\Temp\OnboardLogs"\RTDC4013\*4013*201706152* &gt;&gt; 2017-06-15-SliceDisagreementCheck.txt</v>
      </c>
      <c r="AE40" s="145" t="str">
        <f t="shared" si="9"/>
        <v>start /low /b %USERPROFILE%\Documents\GitHub\eaglep3\Utilities\DownloadLogsFromS3.py --loco 4013 --day 2017-06-15</v>
      </c>
      <c r="AF40" s="1"/>
    </row>
    <row r="41" spans="1:32" x14ac:dyDescent="0.25">
      <c r="A41" s="31">
        <v>42901.705081018517</v>
      </c>
      <c r="B41" s="30" t="s">
        <v>369</v>
      </c>
      <c r="C41" s="30" t="s">
        <v>649</v>
      </c>
      <c r="D41" s="30" t="s">
        <v>49</v>
      </c>
      <c r="E41" s="30" t="s">
        <v>181</v>
      </c>
      <c r="F41" s="42">
        <v>0</v>
      </c>
      <c r="G41" s="42">
        <v>15</v>
      </c>
      <c r="H41" s="42">
        <v>607</v>
      </c>
      <c r="I41" s="42">
        <v>603</v>
      </c>
      <c r="J41" s="30" t="s">
        <v>182</v>
      </c>
      <c r="K41" s="42">
        <v>575</v>
      </c>
      <c r="L41" s="131" t="s">
        <v>51</v>
      </c>
      <c r="M41" s="132">
        <f t="shared" si="0"/>
        <v>14.784000000000001</v>
      </c>
      <c r="N41" s="133" t="str">
        <f>VLOOKUP(C41,'Trips&amp;Operators'!$C$1:$G$99999,5,FALSE)</f>
        <v>STAMBAUGH JAMES</v>
      </c>
      <c r="O41" s="203" t="s">
        <v>180</v>
      </c>
      <c r="P41" s="134"/>
      <c r="Q41" s="30"/>
      <c r="R41" s="81" t="str">
        <f>VLOOKUP(C41,'Train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41" s="84" t="str">
        <f>VLOOKUP(C41,'Train Runs'!$A$13:$AE$9939,22,0)</f>
        <v>https://d0f6bd738d7f1b3e5a7ca70fe4ff75f0.us-east-1.aws.found.io/app/kibana#/discover/Steve-Slow-Train-Analysis-(2080s-and-2083s)?_g=(refreshInterval:(display:Off,pause:!f,section:0,value:0),time:(from:'2017-06-15T15:35:57-0600',mode:absolute,to:'2017-06-15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86" t="str">
        <f t="shared" si="1"/>
        <v>"C:\Program Files (x86)\AstroGrep\AstroGrep.exe" /e /r /s /spath="%USERPROFILE%\AppData\Local\Temp\OnboardLogs" /stypes="*4013*201706152*" /stext=" 22:.+((SYSTEM_STATE.+slice.+state.+changed )|(ment ac)|(multiple cpu faults)|(system.+state.+changed )|(\[timeout)|(PRM\|1\|D)|(kpr)|(kdp)|(train st.+moving)|(\|lc)|(penalty))"</v>
      </c>
      <c r="U41" s="9" t="str">
        <f t="shared" si="2"/>
        <v>4013</v>
      </c>
      <c r="V41" s="31">
        <f t="shared" si="3"/>
        <v>42901.955081018517</v>
      </c>
      <c r="W41" s="45" t="str">
        <f t="shared" si="4"/>
        <v>NW</v>
      </c>
      <c r="X41" s="22">
        <f t="shared" si="5"/>
        <v>830</v>
      </c>
      <c r="Y41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ID","value":"830-15"},{"id":16,"name":"Locomotive ID","value":"4013"},{"id":130,"name":"Impact","value":""},{"id":150,"name":"Time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/cygdrive/c/Users/stu/AppData/Local/Temp/OnboardLogs/RTDC4013 --include="*4013*201706152*"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"%USERPROFILE%\AppData\Local\Temp\OnboardLogs"\RTDC4013\*4013*201706152* &gt;&gt; 2017-06-15-SliceDisagreementCheck.txt</v>
      </c>
      <c r="AE41" s="145" t="str">
        <f t="shared" si="9"/>
        <v>start /low /b %USERPROFILE%\Documents\GitHub\eaglep3\Utilities\DownloadLogsFromS3.py --loco 4013 --day 2017-06-15</v>
      </c>
      <c r="AF41" s="1"/>
    </row>
    <row r="42" spans="1:32" x14ac:dyDescent="0.25">
      <c r="A42" s="31">
        <v>42901.747094907405</v>
      </c>
      <c r="B42" s="30" t="s">
        <v>369</v>
      </c>
      <c r="C42" s="30" t="s">
        <v>653</v>
      </c>
      <c r="D42" s="30" t="s">
        <v>49</v>
      </c>
      <c r="E42" s="30" t="s">
        <v>181</v>
      </c>
      <c r="F42" s="42">
        <v>0</v>
      </c>
      <c r="G42" s="42">
        <v>21</v>
      </c>
      <c r="H42" s="42">
        <v>619</v>
      </c>
      <c r="I42" s="42">
        <v>603</v>
      </c>
      <c r="J42" s="30" t="s">
        <v>182</v>
      </c>
      <c r="K42" s="42">
        <v>575</v>
      </c>
      <c r="L42" s="131" t="s">
        <v>51</v>
      </c>
      <c r="M42" s="132">
        <f t="shared" si="0"/>
        <v>14.784000000000001</v>
      </c>
      <c r="N42" s="133" t="str">
        <f>VLOOKUP(C42,'Trips&amp;Operators'!$C$1:$G$99999,5,FALSE)</f>
        <v>STAMBAUGH JAMES</v>
      </c>
      <c r="O42" s="203" t="s">
        <v>180</v>
      </c>
      <c r="P42" s="134"/>
      <c r="Q42" s="30"/>
      <c r="R42" s="81" t="str">
        <f>VLOOKUP(C42,'Train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42" s="84" t="str">
        <f>VLOOKUP(C42,'Train Runs'!$A$13:$AE$9939,22,0)</f>
        <v>https://d0f6bd738d7f1b3e5a7ca70fe4ff75f0.us-east-1.aws.found.io/app/kibana#/discover/Steve-Slow-Train-Analysis-(2080s-and-2083s)?_g=(refreshInterval:(display:Off,pause:!f,section:0,value:0),time:(from:'2017-06-15T16:36:00-0600',mode:absolute,to:'2017-06-15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2" s="86" t="str">
        <f t="shared" si="1"/>
        <v>"C:\Program Files (x86)\AstroGrep\AstroGrep.exe" /e /r /s /spath="%USERPROFILE%\AppData\Local\Temp\OnboardLogs" /stypes="*4013*201706152*" /stext=" 23:.+((SYSTEM_STATE.+slice.+state.+changed )|(ment ac)|(multiple cpu faults)|(system.+state.+changed )|(\[timeout)|(PRM\|1\|D)|(kpr)|(kdp)|(train st.+moving)|(\|lc)|(penalty))"</v>
      </c>
      <c r="U42" s="9" t="str">
        <f t="shared" si="2"/>
        <v>4013</v>
      </c>
      <c r="V42" s="31">
        <f t="shared" si="3"/>
        <v>42901.997094907405</v>
      </c>
      <c r="W42" s="45" t="str">
        <f t="shared" si="4"/>
        <v>NW</v>
      </c>
      <c r="X42" s="22">
        <f t="shared" si="5"/>
        <v>834</v>
      </c>
      <c r="Y42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ID","value":"834-15"},{"id":16,"name":"Locomotive ID","value":"4013"},{"id":130,"name":"Impact","value":""},{"id":150,"name":"Time of Event (Mountain Time)","value":"17:55:49"},{"id":151,"name":"Denver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/cygdrive/c/Users/stu/AppData/Local/Temp/OnboardLogs/RTDC4013 --include="*4013*201706152*"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"%USERPROFILE%\AppData\Local\Temp\OnboardLogs"\RTDC4013\*4013*201706152* &gt;&gt; 2017-06-15-SliceDisagreementCheck.txt</v>
      </c>
      <c r="AE42" s="145" t="str">
        <f t="shared" si="9"/>
        <v>start /low /b %USERPROFILE%\Documents\GitHub\eaglep3\Utilities\DownloadLogsFromS3.py --loco 4013 --day 2017-06-15</v>
      </c>
      <c r="AF42" s="1"/>
    </row>
    <row r="43" spans="1:32" x14ac:dyDescent="0.25">
      <c r="A43" s="31">
        <v>42901.790243055555</v>
      </c>
      <c r="B43" s="30" t="s">
        <v>369</v>
      </c>
      <c r="C43" s="30" t="s">
        <v>656</v>
      </c>
      <c r="D43" s="30" t="s">
        <v>49</v>
      </c>
      <c r="E43" s="30" t="s">
        <v>181</v>
      </c>
      <c r="F43" s="42">
        <v>0</v>
      </c>
      <c r="G43" s="42">
        <v>26</v>
      </c>
      <c r="H43" s="42">
        <v>649</v>
      </c>
      <c r="I43" s="42">
        <v>631</v>
      </c>
      <c r="J43" s="30" t="s">
        <v>182</v>
      </c>
      <c r="K43" s="42">
        <v>575</v>
      </c>
      <c r="L43" s="131" t="s">
        <v>51</v>
      </c>
      <c r="M43" s="132">
        <f t="shared" si="0"/>
        <v>29.568000000000001</v>
      </c>
      <c r="N43" s="133" t="str">
        <f>VLOOKUP(C43,'Trips&amp;Operators'!$C$1:$G$99999,5,FALSE)</f>
        <v>STAMBAUGH JAMES</v>
      </c>
      <c r="O43" s="203" t="s">
        <v>180</v>
      </c>
      <c r="P43" s="134"/>
      <c r="Q43" s="30"/>
      <c r="R43" s="81" t="str">
        <f>VLOOKUP(C43,'Train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43" s="84" t="str">
        <f>VLOOKUP(C43,'Train Runs'!$A$13:$AE$9939,22,0)</f>
        <v>https://d0f6bd738d7f1b3e5a7ca70fe4ff75f0.us-east-1.aws.found.io/app/kibana#/discover/Steve-Slow-Train-Analysis-(2080s-and-2083s)?_g=(refreshInterval:(display:Off,pause:!f,section:0,value:0),time:(from:'2017-06-15T17:36:48-0600',mode:absolute,to:'2017-06-15T19:57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86" t="str">
        <f t="shared" si="1"/>
        <v>"C:\Program Files (x86)\AstroGrep\AstroGrep.exe" /e /r /s /spath="%USERPROFILE%\AppData\Local\Temp\OnboardLogs" /stypes="*4013*201706160*" /stext=" 00:.+((SYSTEM_STATE.+slice.+state.+changed )|(ment ac)|(multiple cpu faults)|(system.+state.+changed )|(\[timeout)|(PRM\|1\|D)|(kpr)|(kdp)|(train st.+moving)|(\|lc)|(penalty))"</v>
      </c>
      <c r="U43" s="9" t="str">
        <f t="shared" si="2"/>
        <v>4013</v>
      </c>
      <c r="V43" s="31">
        <f t="shared" si="3"/>
        <v>42902.040243055555</v>
      </c>
      <c r="W43" s="45" t="str">
        <f t="shared" si="4"/>
        <v>NW</v>
      </c>
      <c r="X43" s="22">
        <f t="shared" si="5"/>
        <v>838</v>
      </c>
      <c r="Y43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ID","value":"838-15"},{"id":16,"name":"Locomotive ID","value":"4013"},{"id":130,"name":"Impact","value":""},{"id":150,"name":"Time of Event (Mountain Time)","value":"18:57:57"},{"id":151,"name":"Denver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/cygdrive/c/Users/stu/AppData/Local/Temp/OnboardLogs/RTDC4013 --include="*4013*201706160*"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"%USERPROFILE%\AppData\Local\Temp\OnboardLogs"\RTDC4013\*4013*201706160* &gt;&gt; 2017-06-15-SliceDisagreementCheck.txt</v>
      </c>
      <c r="AE43" s="145" t="str">
        <f t="shared" si="9"/>
        <v>start /low /b %USERPROFILE%\Documents\GitHub\eaglep3\Utilities\DownloadLogsFromS3.py --loco 4013 --day 2017-06-16</v>
      </c>
      <c r="AF43" s="1"/>
    </row>
    <row r="44" spans="1:32" x14ac:dyDescent="0.25">
      <c r="A44" s="31">
        <v>42901.829826388886</v>
      </c>
      <c r="B44" s="30" t="s">
        <v>369</v>
      </c>
      <c r="C44" s="30" t="s">
        <v>658</v>
      </c>
      <c r="D44" s="30" t="s">
        <v>49</v>
      </c>
      <c r="E44" s="30" t="s">
        <v>181</v>
      </c>
      <c r="F44" s="42">
        <v>0</v>
      </c>
      <c r="G44" s="42">
        <v>16</v>
      </c>
      <c r="H44" s="42">
        <v>614</v>
      </c>
      <c r="I44" s="42">
        <v>605</v>
      </c>
      <c r="J44" s="30" t="s">
        <v>182</v>
      </c>
      <c r="K44" s="42">
        <v>575</v>
      </c>
      <c r="L44" s="131" t="s">
        <v>51</v>
      </c>
      <c r="M44" s="132">
        <f t="shared" si="0"/>
        <v>15.84</v>
      </c>
      <c r="N44" s="133" t="str">
        <f>VLOOKUP(C44,'Trips&amp;Operators'!$C$1:$G$99999,5,FALSE)</f>
        <v>STAMBAUGH JAMES</v>
      </c>
      <c r="O44" s="203" t="s">
        <v>180</v>
      </c>
      <c r="P44" s="134"/>
      <c r="Q44" s="30"/>
      <c r="R44" s="81" t="str">
        <f>VLOOKUP(C44,'Train Runs'!$A$13:$AE$9939,31,0)</f>
        <v>aws s3 cp s3://rtdc.mdm.uploadarchive.raw/RTDC4013/ "%USERPROFILE%\AppData\Local\Temp\OnboardLogs"\RTDC4013\2017-06-15 --exclude "*" --recursive --include "*20170615*" &amp; "%USERPROFILE%\Documents\GitHub\mrs-test-scripts\Headless Mode &amp; Sideloading\WalkAndUnGZ.bat" "%USERPROFILE%\AppData\Local\Temp\OnboardLogs"\RTDC4013\2017-06-15 &amp; aws s3 cp s3://rtdc.mdm.uploadarchive.raw/RTDC4013/ "%USERPROFILE%\AppData\Local\Temp\OnboardLogs"\RTDC4013\2017-06-16 --exclude "*" --recursive --include "*20170616*" &amp; "%USERPROFILE%\Documents\GitHub\mrs-test-scripts\Headless Mode &amp; Sideloading\WalkAndUnGZ.bat" "%USERPROFILE%\AppData\Local\Temp\OnboardLogs"\RTDC4013\2017-06-16</v>
      </c>
      <c r="S44" s="84" t="str">
        <f>VLOOKUP(C44,'Train Runs'!$A$13:$AE$9939,22,0)</f>
        <v>https://d0f6bd738d7f1b3e5a7ca70fe4ff75f0.us-east-1.aws.found.io/app/kibana#/discover/Steve-Slow-Train-Analysis-(2080s-and-2083s)?_g=(refreshInterval:(display:Off,pause:!f,section:0,value:0),time:(from:'2017-06-15T18:36:01-0600',mode:absolute,to:'2017-06-15T20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86" t="str">
        <f t="shared" si="1"/>
        <v>"C:\Program Files (x86)\AstroGrep\AstroGrep.exe" /e /r /s /spath="%USERPROFILE%\AppData\Local\Temp\OnboardLogs" /stypes="*4013*201706160*" /stext=" 01:.+((SYSTEM_STATE.+slice.+state.+changed )|(ment ac)|(multiple cpu faults)|(system.+state.+changed )|(\[timeout)|(PRM\|1\|D)|(kpr)|(kdp)|(train st.+moving)|(\|lc)|(penalty))"</v>
      </c>
      <c r="U44" s="9" t="str">
        <f t="shared" si="2"/>
        <v>4013</v>
      </c>
      <c r="V44" s="31">
        <f t="shared" si="3"/>
        <v>42902.079826388886</v>
      </c>
      <c r="W44" s="45" t="str">
        <f t="shared" si="4"/>
        <v>NW</v>
      </c>
      <c r="X44" s="22">
        <f t="shared" si="5"/>
        <v>840</v>
      </c>
      <c r="Y44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{"issue":{"subject":"","project_id":79,"tracker_id":40,"status_id":1,"priority_id":2,"assigned_to_id":23,"start_date":"2017-06-15","description":"","custom_fields":[{"id":1,"name":"Subdivision","value":"NW"},{"id":4,"name":"Milepost","value":"0.0575"},{"id":17,"name":"Train ID","value":"840-15"},{"id":16,"name":"Locomotive ID","value":"4013"},{"id":130,"name":"Impact","value":""},{"id":150,"name":"Time of Event (Mountain Time)","value":"19:54:57"},{"id":151,"name":"Denver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/cygdrive/c/Users/stu/AppData/Local/Temp/OnboardLogs/RTDC4013 --include="*4013*201706160*"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"%USERPROFILE%\AppData\Local\Temp\OnboardLogs"\RTDC4013\*4013*201706160* &gt;&gt; 2017-06-15-SliceDisagreementCheck.txt</v>
      </c>
      <c r="AE44" s="145" t="str">
        <f t="shared" si="9"/>
        <v>start /low /b %USERPROFILE%\Documents\GitHub\eaglep3\Utilities\DownloadLogsFromS3.py --loco 4013 --day 2017-06-16</v>
      </c>
      <c r="AF44" s="1"/>
    </row>
    <row r="45" spans="1:32" x14ac:dyDescent="0.25">
      <c r="A45" s="31">
        <v>42901.254143518519</v>
      </c>
      <c r="B45" s="30" t="s">
        <v>615</v>
      </c>
      <c r="C45" s="30" t="s">
        <v>620</v>
      </c>
      <c r="D45" s="30" t="s">
        <v>49</v>
      </c>
      <c r="E45" s="30" t="s">
        <v>181</v>
      </c>
      <c r="F45" s="42">
        <v>0</v>
      </c>
      <c r="G45" s="42">
        <v>14</v>
      </c>
      <c r="H45" s="42">
        <v>59044</v>
      </c>
      <c r="I45" s="42">
        <v>0</v>
      </c>
      <c r="J45" s="30" t="s">
        <v>182</v>
      </c>
      <c r="K45" s="42">
        <v>59048</v>
      </c>
      <c r="L45" s="131" t="s">
        <v>50</v>
      </c>
      <c r="M45" s="132">
        <f t="shared" si="0"/>
        <v>31177.344000000001</v>
      </c>
      <c r="N45" s="133" t="str">
        <f>VLOOKUP(C45,'Trips&amp;Operators'!$C$1:$G$99999,5,FALSE)</f>
        <v>DAVIS WENDY</v>
      </c>
      <c r="O45" s="203" t="s">
        <v>180</v>
      </c>
      <c r="P45" s="134"/>
      <c r="Q45" s="30"/>
      <c r="R45" s="81" t="str">
        <f>VLOOKUP(C45,'Train Runs'!$A$13:$AE$9939,31,0)</f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S45" s="84" t="str">
        <f>VLOOKUP(C45,'Train Runs'!$A$13:$AE$9939,22,0)</f>
        <v>https://d0f6bd738d7f1b3e5a7ca70fe4ff75f0.us-east-1.aws.found.io/app/kibana#/discover/Steve-Slow-Train-Analysis-(2080s-and-2083s)?_g=(refreshInterval:(display:Off,pause:!f,section:0,value:0),time:(from:'2017-06-15T04:47:28-0600',mode:absolute,to:'2017-06-15T07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5" s="86" t="str">
        <f t="shared" si="1"/>
        <v>"C:\Program Files (x86)\AstroGrep\AstroGrep.exe" /e /r /s /spath="%USERPROFILE%\AppData\Local\Temp\OnboardLogs" /stypes="*4058*201706151*" /stext=" 12:.+((SYSTEM_STATE.+slice.+state.+changed )|(ment ac)|(multiple cpu faults)|(system.+state.+changed )|(\[timeout)|(PRM\|1\|D)|(kpr)|(kdp)|(train st.+moving)|(\|lc)|(penalty))"</v>
      </c>
      <c r="U45" s="9" t="str">
        <f t="shared" si="2"/>
        <v>4058</v>
      </c>
      <c r="V45" s="31">
        <f t="shared" si="3"/>
        <v>42901.504143518519</v>
      </c>
      <c r="W45" s="45" t="str">
        <f t="shared" si="4"/>
        <v>NW</v>
      </c>
      <c r="X45" s="22">
        <f t="shared" si="5"/>
        <v>801</v>
      </c>
      <c r="Y45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{"issue":{"subject":"","project_id":79,"tracker_id":40,"status_id":1,"priority_id":2,"assigned_to_id":23,"start_date":"2017-06-15","description":"","custom_fields":[{"id":1,"name":"Subdivision","value":"NW"},{"id":4,"name":"Milepost","value":"5.9048"},{"id":17,"name":"Train ID","value":"801-15"},{"id":16,"name":"Locomotive ID","value":"4058"},{"id":130,"name":"Impact","value":""},{"id":150,"name":"Time of Event (Mountain Time)","value":"06:05:58"},{"id":151,"name":"Denver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/cygdrive/c/Users/stu/AppData/Local/Temp/OnboardLogs/RTDC4058 --include="*4058*201706151*"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"%USERPROFILE%\AppData\Local\Temp\OnboardLogs"\RTDC4058\*4058*201706151* &gt;&gt; 2017-06-15-SliceDisagreementCheck.txt</v>
      </c>
      <c r="AE45" s="145" t="str">
        <f t="shared" si="9"/>
        <v>start /low /b %USERPROFILE%\Documents\GitHub\eaglep3\Utilities\DownloadLogsFromS3.py --loco 4058 --day 2017-06-15</v>
      </c>
      <c r="AF45" s="1"/>
    </row>
    <row r="46" spans="1:32" x14ac:dyDescent="0.25">
      <c r="A46" s="31">
        <v>42901.274131944447</v>
      </c>
      <c r="B46" s="30" t="s">
        <v>375</v>
      </c>
      <c r="C46" s="30" t="s">
        <v>622</v>
      </c>
      <c r="D46" s="30" t="s">
        <v>49</v>
      </c>
      <c r="E46" s="30" t="s">
        <v>181</v>
      </c>
      <c r="F46" s="42">
        <v>0</v>
      </c>
      <c r="G46" s="42">
        <v>51</v>
      </c>
      <c r="H46" s="42">
        <v>58905</v>
      </c>
      <c r="I46" s="42">
        <v>58948</v>
      </c>
      <c r="J46" s="30" t="s">
        <v>182</v>
      </c>
      <c r="K46" s="42">
        <v>59048</v>
      </c>
      <c r="L46" s="131" t="s">
        <v>50</v>
      </c>
      <c r="M46" s="132">
        <f t="shared" si="0"/>
        <v>52.8</v>
      </c>
      <c r="N46" s="133" t="str">
        <f>VLOOKUP(C46,'Trips&amp;Operators'!$C$1:$G$99999,5,FALSE)</f>
        <v>YANG JAN</v>
      </c>
      <c r="O46" s="203" t="s">
        <v>180</v>
      </c>
      <c r="P46" s="134"/>
      <c r="Q46" s="30"/>
      <c r="R46" s="81" t="str">
        <f>VLOOKUP(C46,'Train Runs'!$A$13:$AE$9939,31,0)</f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S46" s="84" t="str">
        <f>VLOOKUP(C46,'Train Runs'!$A$13:$AE$9939,22,0)</f>
        <v>https://d0f6bd738d7f1b3e5a7ca70fe4ff75f0.us-east-1.aws.found.io/app/kibana#/discover/Steve-Slow-Train-Analysis-(2080s-and-2083s)?_g=(refreshInterval:(display:Off,pause:!f,section:0,value:0),time:(from:'2017-06-15T05:13:45-0600',mode:absolute,to:'2017-06-15T07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6" s="86" t="str">
        <f t="shared" si="1"/>
        <v>"C:\Program Files (x86)\AstroGrep\AstroGrep.exe" /e /r /s /spath="%USERPROFILE%\AppData\Local\Temp\OnboardLogs" /stypes="*4014*201706151*" /stext=" 12:.+((SYSTEM_STATE.+slice.+state.+changed )|(ment ac)|(multiple cpu faults)|(system.+state.+changed )|(\[timeout)|(PRM\|1\|D)|(kpr)|(kdp)|(train st.+moving)|(\|lc)|(penalty))"</v>
      </c>
      <c r="U46" s="9" t="str">
        <f t="shared" si="2"/>
        <v>4014</v>
      </c>
      <c r="V46" s="31">
        <f t="shared" si="3"/>
        <v>42901.524131944447</v>
      </c>
      <c r="W46" s="45" t="str">
        <f t="shared" si="4"/>
        <v>NW</v>
      </c>
      <c r="X46" s="22">
        <f t="shared" si="5"/>
        <v>803</v>
      </c>
      <c r="Y46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{"issue":{"subject":"","project_id":79,"tracker_id":40,"status_id":1,"priority_id":2,"assigned_to_id":23,"start_date":"2017-06-15","description":"","custom_fields":[{"id":1,"name":"Subdivision","value":"NW"},{"id":4,"name":"Milepost","value":"5.9048"},{"id":17,"name":"Train ID","value":"803-15"},{"id":16,"name":"Locomotive ID","value":"4014"},{"id":130,"name":"Impact","value":""},{"id":150,"name":"Time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/cygdrive/c/Users/stu/AppData/Local/Temp/OnboardLogs/RTDC4014 --include="*4014*201706151*"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"%USERPROFILE%\AppData\Local\Temp\OnboardLogs"\RTDC4014\*4014*201706151* &gt;&gt; 2017-06-15-SliceDisagreementCheck.txt</v>
      </c>
      <c r="AE46" s="145" t="str">
        <f t="shared" si="9"/>
        <v>start /low /b %USERPROFILE%\Documents\GitHub\eaglep3\Utilities\DownloadLogsFromS3.py --loco 4014 --day 2017-06-15</v>
      </c>
      <c r="AF46" s="1"/>
    </row>
    <row r="47" spans="1:32" x14ac:dyDescent="0.25">
      <c r="A47" s="31">
        <v>42901.29519675926</v>
      </c>
      <c r="B47" s="30" t="s">
        <v>615</v>
      </c>
      <c r="C47" s="30" t="s">
        <v>624</v>
      </c>
      <c r="D47" s="30" t="s">
        <v>49</v>
      </c>
      <c r="E47" s="30" t="s">
        <v>181</v>
      </c>
      <c r="F47" s="42">
        <v>0</v>
      </c>
      <c r="G47" s="42">
        <v>10</v>
      </c>
      <c r="H47" s="42">
        <v>59037</v>
      </c>
      <c r="I47" s="42">
        <v>59037</v>
      </c>
      <c r="J47" s="30" t="s">
        <v>182</v>
      </c>
      <c r="K47" s="42">
        <v>59048</v>
      </c>
      <c r="L47" s="131" t="s">
        <v>50</v>
      </c>
      <c r="M47" s="132">
        <f t="shared" si="0"/>
        <v>5.8079999999999998</v>
      </c>
      <c r="N47" s="133" t="str">
        <f>VLOOKUP(C47,'Trips&amp;Operators'!$C$1:$G$99999,5,FALSE)</f>
        <v>DAVIS WENDY</v>
      </c>
      <c r="O47" s="203" t="s">
        <v>180</v>
      </c>
      <c r="P47" s="134"/>
      <c r="Q47" s="30"/>
      <c r="R47" s="81" t="str">
        <f>VLOOKUP(C47,'Train Runs'!$A$13:$AE$9939,31,0)</f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S47" s="84" t="str">
        <f>VLOOKUP(C47,'Train Runs'!$A$13:$AE$9939,22,0)</f>
        <v>https://d0f6bd738d7f1b3e5a7ca70fe4ff75f0.us-east-1.aws.found.io/app/kibana#/discover/Steve-Slow-Train-Analysis-(2080s-and-2083s)?_g=(refreshInterval:(display:Off,pause:!f,section:0,value:0),time:(from:'2017-06-15T05:48:24-0600',mode:absolute,to:'2017-06-15T08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7" s="86" t="str">
        <f t="shared" si="1"/>
        <v>"C:\Program Files (x86)\AstroGrep\AstroGrep.exe" /e /r /s /spath="%USERPROFILE%\AppData\Local\Temp\OnboardLogs" /stypes="*4058*201706151*" /stext=" 13:.+((SYSTEM_STATE.+slice.+state.+changed )|(ment ac)|(multiple cpu faults)|(system.+state.+changed )|(\[timeout)|(PRM\|1\|D)|(kpr)|(kdp)|(train st.+moving)|(\|lc)|(penalty))"</v>
      </c>
      <c r="U47" s="9" t="str">
        <f t="shared" si="2"/>
        <v>4058</v>
      </c>
      <c r="V47" s="31">
        <f t="shared" si="3"/>
        <v>42901.54519675926</v>
      </c>
      <c r="W47" s="45" t="str">
        <f t="shared" si="4"/>
        <v>NW</v>
      </c>
      <c r="X47" s="22">
        <f t="shared" si="5"/>
        <v>805</v>
      </c>
      <c r="Y47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{"issue":{"subject":"","project_id":79,"tracker_id":40,"status_id":1,"priority_id":2,"assigned_to_id":23,"start_date":"2017-06-15","description":"","custom_fields":[{"id":1,"name":"Subdivision","value":"NW"},{"id":4,"name":"Milepost","value":"5.9048"},{"id":17,"name":"Train ID","value":"805-15"},{"id":16,"name":"Locomotive ID","value":"4058"},{"id":130,"name":"Impact","value":""},{"id":150,"name":"Time of Event (Mountain Time)","value":"07:05:05"},{"id":151,"name":"Denver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/cygdrive/c/Users/stu/AppData/Local/Temp/OnboardLogs/RTDC4058 --include="*4058*201706151*"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"%USERPROFILE%\AppData\Local\Temp\OnboardLogs"\RTDC4058\*4058*201706151* &gt;&gt; 2017-06-15-SliceDisagreementCheck.txt</v>
      </c>
      <c r="AE47" s="145" t="str">
        <f t="shared" si="9"/>
        <v>start /low /b %USERPROFILE%\Documents\GitHub\eaglep3\Utilities\DownloadLogsFromS3.py --loco 4058 --day 2017-06-15</v>
      </c>
      <c r="AF47" s="1"/>
    </row>
    <row r="48" spans="1:32" x14ac:dyDescent="0.25">
      <c r="A48" s="31">
        <v>42901.337372685186</v>
      </c>
      <c r="B48" s="30" t="s">
        <v>615</v>
      </c>
      <c r="C48" s="30" t="s">
        <v>627</v>
      </c>
      <c r="D48" s="30" t="s">
        <v>49</v>
      </c>
      <c r="E48" s="30" t="s">
        <v>181</v>
      </c>
      <c r="F48" s="42">
        <v>0</v>
      </c>
      <c r="G48" s="42">
        <v>9</v>
      </c>
      <c r="H48" s="42">
        <v>59033</v>
      </c>
      <c r="I48" s="42">
        <v>59037</v>
      </c>
      <c r="J48" s="30" t="s">
        <v>182</v>
      </c>
      <c r="K48" s="42">
        <v>59048</v>
      </c>
      <c r="L48" s="131" t="s">
        <v>50</v>
      </c>
      <c r="M48" s="132">
        <f t="shared" si="0"/>
        <v>5.8079999999999998</v>
      </c>
      <c r="N48" s="133" t="str">
        <f>VLOOKUP(C48,'Trips&amp;Operators'!$C$1:$G$99999,5,FALSE)</f>
        <v>DAVIS WENDY</v>
      </c>
      <c r="O48" s="203" t="s">
        <v>180</v>
      </c>
      <c r="P48" s="134"/>
      <c r="Q48" s="30"/>
      <c r="R48" s="81" t="str">
        <f>VLOOKUP(C48,'Train Runs'!$A$13:$AE$9939,31,0)</f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S48" s="84" t="str">
        <f>VLOOKUP(C48,'Train Runs'!$A$13:$AE$9939,22,0)</f>
        <v>https://d0f6bd738d7f1b3e5a7ca70fe4ff75f0.us-east-1.aws.found.io/app/kibana#/discover/Steve-Slow-Train-Analysis-(2080s-and-2083s)?_g=(refreshInterval:(display:Off,pause:!f,section:0,value:0),time:(from:'2017-06-15T06:49:13-0600',mode:absolute,to:'2017-06-15T09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48" s="86" t="str">
        <f t="shared" si="1"/>
        <v>"C:\Program Files (x86)\AstroGrep\AstroGrep.exe" /e /r /s /spath="%USERPROFILE%\AppData\Local\Temp\OnboardLogs" /stypes="*4058*201706151*" /stext=" 14:.+((SYSTEM_STATE.+slice.+state.+changed )|(ment ac)|(multiple cpu faults)|(system.+state.+changed )|(\[timeout)|(PRM\|1\|D)|(kpr)|(kdp)|(train st.+moving)|(\|lc)|(penalty))"</v>
      </c>
      <c r="U48" s="9" t="str">
        <f t="shared" si="2"/>
        <v>4058</v>
      </c>
      <c r="V48" s="31">
        <f t="shared" si="3"/>
        <v>42901.587372685186</v>
      </c>
      <c r="W48" s="45" t="str">
        <f t="shared" si="4"/>
        <v>NW</v>
      </c>
      <c r="X48" s="22">
        <f t="shared" si="5"/>
        <v>809</v>
      </c>
      <c r="Y48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{"issue":{"subject":"","project_id":79,"tracker_id":40,"status_id":1,"priority_id":2,"assigned_to_id":23,"start_date":"2017-06-15","description":"","custom_fields":[{"id":1,"name":"Subdivision","value":"NW"},{"id":4,"name":"Milepost","value":"5.9048"},{"id":17,"name":"Train ID","value":"809-15"},{"id":16,"name":"Locomotive ID","value":"4058"},{"id":130,"name":"Impact","value":""},{"id":150,"name":"Time of Event (Mountain Time)","value":"08:05:49"},{"id":151,"name":"Denver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/cygdrive/c/Users/stu/AppData/Local/Temp/OnboardLogs/RTDC4058 --include="*4058*201706151*"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"%USERPROFILE%\AppData\Local\Temp\OnboardLogs"\RTDC4058\*4058*201706151* &gt;&gt; 2017-06-15-SliceDisagreementCheck.txt</v>
      </c>
      <c r="AE48" s="145" t="str">
        <f t="shared" si="9"/>
        <v>start /low /b %USERPROFILE%\Documents\GitHub\eaglep3\Utilities\DownloadLogsFromS3.py --loco 4058 --day 2017-06-15</v>
      </c>
      <c r="AF48" s="1"/>
    </row>
    <row r="49" spans="1:32" x14ac:dyDescent="0.25">
      <c r="A49" s="31">
        <v>42901.569953703707</v>
      </c>
      <c r="B49" s="30" t="s">
        <v>375</v>
      </c>
      <c r="C49" s="30" t="s">
        <v>636</v>
      </c>
      <c r="D49" s="30" t="s">
        <v>49</v>
      </c>
      <c r="E49" s="30" t="s">
        <v>181</v>
      </c>
      <c r="F49" s="42">
        <v>0</v>
      </c>
      <c r="G49" s="42">
        <v>93</v>
      </c>
      <c r="H49" s="42">
        <v>58749</v>
      </c>
      <c r="I49" s="42">
        <v>58841</v>
      </c>
      <c r="J49" s="30" t="s">
        <v>182</v>
      </c>
      <c r="K49" s="42">
        <v>59048</v>
      </c>
      <c r="L49" s="131" t="s">
        <v>50</v>
      </c>
      <c r="M49" s="132">
        <f t="shared" si="0"/>
        <v>109.29600000000001</v>
      </c>
      <c r="N49" s="133" t="str">
        <f>VLOOKUP(C49,'Trips&amp;Operators'!$C$1:$G$99999,5,FALSE)</f>
        <v>STAMBAUGH JAMES</v>
      </c>
      <c r="O49" s="203" t="s">
        <v>180</v>
      </c>
      <c r="P49" s="134"/>
      <c r="Q49" s="30"/>
      <c r="R49" s="81" t="str">
        <f>VLOOKUP(C49,'Train Runs'!$A$13:$AE$9939,31,0)</f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S49" s="84" t="str">
        <f>VLOOKUP(C49,'Train Runs'!$A$13:$AE$9939,22,0)</f>
        <v>https://d0f6bd738d7f1b3e5a7ca70fe4ff75f0.us-east-1.aws.found.io/app/kibana#/discover/Steve-Slow-Train-Analysis-(2080s-and-2083s)?_g=(refreshInterval:(display:Off,pause:!f,section:0,value:0),time:(from:'2017-06-15T11:59:27-0600',mode:absolute,to:'2017-06-15T14:40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49" s="86" t="str">
        <f t="shared" si="1"/>
        <v>"C:\Program Files (x86)\AstroGrep\AstroGrep.exe" /e /r /s /spath="%USERPROFILE%\AppData\Local\Temp\OnboardLogs" /stypes="*4014*201706151*" /stext=" 19:.+((SYSTEM_STATE.+slice.+state.+changed )|(ment ac)|(multiple cpu faults)|(system.+state.+changed )|(\[timeout)|(PRM\|1\|D)|(kpr)|(kdp)|(train st.+moving)|(\|lc)|(penalty))"</v>
      </c>
      <c r="U49" s="9" t="str">
        <f t="shared" si="2"/>
        <v>4014</v>
      </c>
      <c r="V49" s="31">
        <f t="shared" si="3"/>
        <v>42901.819953703707</v>
      </c>
      <c r="W49" s="45" t="str">
        <f t="shared" si="4"/>
        <v>NW</v>
      </c>
      <c r="X49" s="22">
        <f t="shared" si="5"/>
        <v>821</v>
      </c>
      <c r="Y49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{"issue":{"subject":"","project_id":79,"tracker_id":40,"status_id":1,"priority_id":2,"assigned_to_id":23,"start_date":"2017-06-15","description":"","custom_fields":[{"id":1,"name":"Subdivision","value":"NW"},{"id":4,"name":"Milepost","value":"5.9048"},{"id":17,"name":"Train ID","value":"821-15"},{"id":16,"name":"Locomotive ID","value":"4014"},{"id":130,"name":"Impact","value":""},{"id":150,"name":"Time of Event (Mountain Time)","value":"13:40:44"},{"id":151,"name":"Denver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/cygdrive/c/Users/stu/AppData/Local/Temp/OnboardLogs/RTDC4014 --include="*4014*201706151*"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"%USERPROFILE%\AppData\Local\Temp\OnboardLogs"\RTDC4014\*4014*201706151* &gt;&gt; 2017-06-15-SliceDisagreementCheck.txt</v>
      </c>
      <c r="AE49" s="145" t="str">
        <f t="shared" si="9"/>
        <v>start /low /b %USERPROFILE%\Documents\GitHub\eaglep3\Utilities\DownloadLogsFromS3.py --loco 4014 --day 2017-06-15</v>
      </c>
      <c r="AF49" s="1"/>
    </row>
    <row r="50" spans="1:32" x14ac:dyDescent="0.25">
      <c r="A50" s="31">
        <v>42901.690405092595</v>
      </c>
      <c r="B50" s="30" t="s">
        <v>375</v>
      </c>
      <c r="C50" s="30" t="s">
        <v>648</v>
      </c>
      <c r="D50" s="30" t="s">
        <v>49</v>
      </c>
      <c r="E50" s="30" t="s">
        <v>181</v>
      </c>
      <c r="F50" s="42">
        <v>0</v>
      </c>
      <c r="G50" s="42">
        <v>61</v>
      </c>
      <c r="H50" s="42">
        <v>58863</v>
      </c>
      <c r="I50" s="42">
        <v>58929</v>
      </c>
      <c r="J50" s="30" t="s">
        <v>182</v>
      </c>
      <c r="K50" s="42">
        <v>59058</v>
      </c>
      <c r="L50" s="131" t="s">
        <v>50</v>
      </c>
      <c r="M50" s="132">
        <f t="shared" si="0"/>
        <v>68.111999999999995</v>
      </c>
      <c r="N50" s="133" t="str">
        <f>VLOOKUP(C50,'Trips&amp;Operators'!$C$1:$G$99999,5,FALSE)</f>
        <v>STAMBAUGH JAMES</v>
      </c>
      <c r="O50" s="203" t="s">
        <v>180</v>
      </c>
      <c r="P50" s="134"/>
      <c r="Q50" s="30"/>
      <c r="R50" s="81" t="str">
        <f>VLOOKUP(C50,'Train Runs'!$A$13:$AE$9939,31,0)</f>
        <v>aws s3 cp s3://rtdc.mdm.uploadarchive.raw/RTDC4014/ "%USERPROFILE%\AppData\Local\Temp\OnboardLogs"\RTDC4014\2017-06-15 --exclude "*" --recursive --include "*20170615*" &amp; "%USERPROFILE%\Documents\GitHub\mrs-test-scripts\Headless Mode &amp; Sideloading\WalkAndUnGZ.bat" "%USERPROFILE%\AppData\Local\Temp\OnboardLogs"\RTDC4014\2017-06-15 &amp; aws s3 cp s3://rtdc.mdm.uploadarchive.raw/RTDC4014/ "%USERPROFILE%\AppData\Local\Temp\OnboardLogs"\RTDC4014\2017-06-16 --exclude "*" --recursive --include "*20170616*" &amp; "%USERPROFILE%\Documents\GitHub\mrs-test-scripts\Headless Mode &amp; Sideloading\WalkAndUnGZ.bat" "%USERPROFILE%\AppData\Local\Temp\OnboardLogs"\RTDC4014\2017-06-16</v>
      </c>
      <c r="S50" s="84" t="str">
        <f>VLOOKUP(C50,'Train Runs'!$A$13:$AE$9939,22,0)</f>
        <v>https://d0f6bd738d7f1b3e5a7ca70fe4ff75f0.us-east-1.aws.found.io/app/kibana#/discover/Steve-Slow-Train-Analysis-(2080s-and-2083s)?_g=(refreshInterval:(display:Off,pause:!f,section:0,value:0),time:(from:'2017-06-15T14:59:23-0600',mode:absolute,to:'2017-06-15T17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0" s="86" t="str">
        <f t="shared" si="1"/>
        <v>"C:\Program Files (x86)\AstroGrep\AstroGrep.exe" /e /r /s /spath="%USERPROFILE%\AppData\Local\Temp\OnboardLogs" /stypes="*4014*201706152*" /stext=" 22:.+((SYSTEM_STATE.+slice.+state.+changed )|(ment ac)|(multiple cpu faults)|(system.+state.+changed )|(\[timeout)|(PRM\|1\|D)|(kpr)|(kdp)|(train st.+moving)|(\|lc)|(penalty))"</v>
      </c>
      <c r="U50" s="9" t="str">
        <f t="shared" si="2"/>
        <v>4014</v>
      </c>
      <c r="V50" s="31">
        <f t="shared" si="3"/>
        <v>42901.940405092595</v>
      </c>
      <c r="W50" s="45" t="str">
        <f t="shared" si="4"/>
        <v>NW</v>
      </c>
      <c r="X50" s="22">
        <f t="shared" si="5"/>
        <v>829</v>
      </c>
      <c r="Y50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{"issue":{"subject":"","project_id":79,"tracker_id":40,"status_id":1,"priority_id":2,"assigned_to_id":23,"start_date":"2017-06-15","description":"","custom_fields":[{"id":1,"name":"Subdivision","value":"NW"},{"id":4,"name":"Milepost","value":"5.9058"},{"id":17,"name":"Train ID","value":"829-15"},{"id":16,"name":"Locomotive ID","value":"4014"},{"id":130,"name":"Impact","value":""},{"id":150,"name":"Time of Event (Mountain Time)","value":"16:34:11"},{"id":151,"name":"Denver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/cygdrive/c/Users/stu/AppData/Local/Temp/OnboardLogs/RTDC4014 --include="*4014*201706152*"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"%USERPROFILE%\AppData\Local\Temp\OnboardLogs"\RTDC4014\*4014*201706152* &gt;&gt; 2017-06-15-SliceDisagreementCheck.txt</v>
      </c>
      <c r="AE50" s="145" t="str">
        <f t="shared" si="9"/>
        <v>start /low /b %USERPROFILE%\Documents\GitHub\eaglep3\Utilities\DownloadLogsFromS3.py --loco 4014 --day 2017-06-15</v>
      </c>
      <c r="AF50" s="1"/>
    </row>
    <row r="51" spans="1:32" x14ac:dyDescent="0.25">
      <c r="A51" s="31">
        <v>42901.754502314812</v>
      </c>
      <c r="B51" s="30" t="s">
        <v>615</v>
      </c>
      <c r="C51" s="30" t="s">
        <v>654</v>
      </c>
      <c r="D51" s="30" t="s">
        <v>49</v>
      </c>
      <c r="E51" s="30" t="s">
        <v>181</v>
      </c>
      <c r="F51" s="42">
        <v>0</v>
      </c>
      <c r="G51" s="42">
        <v>101</v>
      </c>
      <c r="H51" s="42">
        <v>58687</v>
      </c>
      <c r="I51" s="42">
        <v>58801</v>
      </c>
      <c r="J51" s="30" t="s">
        <v>182</v>
      </c>
      <c r="K51" s="42">
        <v>59058</v>
      </c>
      <c r="L51" s="131" t="s">
        <v>50</v>
      </c>
      <c r="M51" s="132">
        <f t="shared" si="0"/>
        <v>135.696</v>
      </c>
      <c r="N51" s="133" t="str">
        <f>VLOOKUP(C51,'Trips&amp;Operators'!$C$1:$G$99999,5,FALSE)</f>
        <v>HAITHCOX MICHAEL</v>
      </c>
      <c r="O51" s="203" t="s">
        <v>180</v>
      </c>
      <c r="P51" s="134"/>
      <c r="Q51" s="30"/>
      <c r="R51" s="81" t="str">
        <f>VLOOKUP(C51,'Train Runs'!$A$13:$AE$9939,31,0)</f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S51" s="84" t="str">
        <f>VLOOKUP(C51,'Train Runs'!$A$13:$AE$9939,22,0)</f>
        <v>https://d0f6bd738d7f1b3e5a7ca70fe4ff75f0.us-east-1.aws.found.io/app/kibana#/discover/Steve-Slow-Train-Analysis-(2080s-and-2083s)?_g=(refreshInterval:(display:Off,pause:!f,section:0,value:0),time:(from:'2017-06-15T16:29:41-0600',mode:absolute,to:'2017-06-15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1" s="86" t="str">
        <f t="shared" si="1"/>
        <v>"C:\Program Files (x86)\AstroGrep\AstroGrep.exe" /e /r /s /spath="%USERPROFILE%\AppData\Local\Temp\OnboardLogs" /stypes="*4058*201706160*" /stext=" 00:.+((SYSTEM_STATE.+slice.+state.+changed )|(ment ac)|(multiple cpu faults)|(system.+state.+changed )|(\[timeout)|(PRM\|1\|D)|(kpr)|(kdp)|(train st.+moving)|(\|lc)|(penalty))"</v>
      </c>
      <c r="U51" s="9" t="str">
        <f t="shared" si="2"/>
        <v>4058</v>
      </c>
      <c r="V51" s="31">
        <f t="shared" si="3"/>
        <v>42902.004502314812</v>
      </c>
      <c r="W51" s="45" t="str">
        <f t="shared" si="4"/>
        <v>NW</v>
      </c>
      <c r="X51" s="22">
        <f t="shared" si="5"/>
        <v>835</v>
      </c>
      <c r="Y51" s="96" t="str">
        <f t="shared" si="6"/>
        <v>echo {"issue":{"subject":"","project_id":79,"tracker_id":40,"status_id":1,"priority_id":2,"assigned_to_id":23,"start_date":"2017-06-15","description":"","custom_fields":[{"id":1,"name":"Subdivision","value":"NW"},{"id":4,"name":"Milepost","value":"5.9058"},{"id":17,"name":"Train ID","value":"835-15"},{"id":16,"name":"Locomotive ID","value":"4058"},{"id":130,"name":"Impact","value":""},{"id":150,"name":"Time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7"/>
        <v>grep -hrE -A400 "Enforcement Action" /cygdrive/c/Users/stu/AppData/Local/Temp/OnboardLogs/RTDC4058 --include="*4058*201706160*"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"%USERPROFILE%\AppData\Local\Temp\OnboardLogs"\RTDC4058\*4058*201706160* &gt;&gt; 2017-06-15-SliceDisagreementCheck.txt</v>
      </c>
      <c r="AE51" s="145" t="str">
        <f t="shared" si="9"/>
        <v>start /low /b %USERPROFILE%\Documents\GitHub\eaglep3\Utilities\DownloadLogsFromS3.py --loco 4058 --day 2017-06-16</v>
      </c>
      <c r="AF51" s="1"/>
    </row>
    <row r="52" spans="1:32" x14ac:dyDescent="0.25">
      <c r="A52" s="31">
        <v>42901.180439814816</v>
      </c>
      <c r="B52" s="30" t="s">
        <v>442</v>
      </c>
      <c r="C52" s="30" t="s">
        <v>614</v>
      </c>
      <c r="D52" s="30" t="s">
        <v>96</v>
      </c>
      <c r="E52" s="30" t="s">
        <v>362</v>
      </c>
      <c r="F52" s="42">
        <v>0</v>
      </c>
      <c r="G52" s="42">
        <v>38</v>
      </c>
      <c r="H52" s="42">
        <v>18912</v>
      </c>
      <c r="I52" s="42">
        <v>18862</v>
      </c>
      <c r="J52" s="30" t="s">
        <v>363</v>
      </c>
      <c r="K52" s="42">
        <v>19000</v>
      </c>
      <c r="L52" s="131" t="s">
        <v>51</v>
      </c>
      <c r="M52" s="132">
        <f t="shared" si="0"/>
        <v>-72.864000000000004</v>
      </c>
      <c r="N52" s="133" t="str">
        <f>VLOOKUP(C52,'Trips&amp;Operators'!$C$1:$G$99999,5,FALSE)</f>
        <v>GUZMAN DANNY</v>
      </c>
      <c r="O52" s="203" t="s">
        <v>180</v>
      </c>
      <c r="P52" s="134"/>
      <c r="Q52" s="30"/>
      <c r="R52" s="81" t="str">
        <f>VLOOKUP(C52,'Train Runs'!$A$13:$AE$9939,31,0)</f>
        <v>aws s3 cp s3://rtdc.mdm.uploadarchive.raw/RTDC4001/ "%USERPROFILE%\AppData\Local\Temp\OnboardLogs"\RTDC4001\2017-06-15 --exclude "*" --recursive --include "*20170615*" &amp; "%USERPROFILE%\Documents\GitHub\mrs-test-scripts\Headless Mode &amp; Sideloading\WalkAndUnGZ.bat" "%USERPROFILE%\AppData\Local\Temp\OnboardLogs"\RTDC4001\2017-06-15 &amp; aws s3 cp s3://rtdc.mdm.uploadarchive.raw/RTDC4001/ "%USERPROFILE%\AppData\Local\Temp\OnboardLogs"\RTDC4001\2017-06-16 --exclude "*" --recursive --include "*20170616*" &amp; "%USERPROFILE%\Documents\GitHub\mrs-test-scripts\Headless Mode &amp; Sideloading\WalkAndUnGZ.bat" "%USERPROFILE%\AppData\Local\Temp\OnboardLogs"\RTDC4001\2017-06-16</v>
      </c>
      <c r="S52" s="84" t="str">
        <f>VLOOKUP(C52,'Train Runs'!$A$13:$AE$9939,22,0)</f>
        <v>https://d0f6bd738d7f1b3e5a7ca70fe4ff75f0.us-east-1.aws.found.io/app/kibana#/discover/Steve-Slow-Train-Analysis-(2080s-and-2083s)?_g=(refreshInterval:(display:Off,pause:!f,section:0,value:0),time:(from:'2017-06-15T03:11:57-0600',mode:absolute,to:'2017-06-15T05:25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52" s="86" t="str">
        <f t="shared" si="1"/>
        <v>"C:\Program Files (x86)\AstroGrep\AstroGrep.exe" /e /r /s /spath="%USERPROFILE%\AppData\Local\Temp\OnboardLogs" /stypes="*4001*201706151*" /stext=" 10:.+((SYSTEM_STATE.+slice.+state.+changed )|(ment ac)|(multiple cpu faults)|(system.+state.+changed )|(\[timeout)|(PRM\|1\|D)|(kpr)|(kdp)|(train st.+moving)|(\|lc)|(penalty))"</v>
      </c>
      <c r="U52" s="9" t="str">
        <f t="shared" si="2"/>
        <v>4001</v>
      </c>
      <c r="V52" s="31">
        <f t="shared" si="3"/>
        <v>42901.430439814816</v>
      </c>
      <c r="W52" s="45" t="str">
        <f t="shared" si="4"/>
        <v>Other</v>
      </c>
      <c r="X52" s="22">
        <f t="shared" si="5"/>
        <v>308</v>
      </c>
      <c r="Y52" s="96" t="str">
        <f t="shared" si="6"/>
        <v>echo {"issue":{"subject":"","project_id":79,"tracker_id":40,"status_id":1,"priority_id":2,"assigned_to_id":23,"start_date":"2017-06-15","description":"","custom_fields":[{"id":1,"name":"Subdivision","value":"Other"},{"id":4,"name":"Milepost","value":"1.9"},{"id":17,"name":"Train ID","value":"308-15"},{"id":16,"name":"Locomotive ID","value":"4001"},{"id":130,"name":"Impact","value":""},{"id":150,"name":"Time of Event (Mountain Time)","value":"04:19:50"},{"id":151,"name":"Denver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7"/>
        <v>grep -hrE -A400 "Enforcement Action" /cygdrive/c/Users/stu/AppData/Local/Temp/OnboardLogs/RTDC4001 --include="*4001*201706151*"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"%USERPROFILE%\AppData\Local\Temp\OnboardLogs"\RTDC4001\*4001*201706151* &gt;&gt; 2017-06-15-SliceDisagreementCheck.txt</v>
      </c>
      <c r="AE52" s="145" t="str">
        <f t="shared" si="9"/>
        <v>start /low /b %USERPROFILE%\Documents\GitHub\eaglep3\Utilities\DownloadLogsFromS3.py --loco 4001 --day 2017-06-15</v>
      </c>
      <c r="AF52" s="1"/>
    </row>
    <row r="53" spans="1:32" x14ac:dyDescent="0.25">
      <c r="A53" s="31">
        <v>42901.208414351851</v>
      </c>
      <c r="B53" s="30" t="s">
        <v>615</v>
      </c>
      <c r="C53" s="30" t="s">
        <v>616</v>
      </c>
      <c r="D53" s="30" t="s">
        <v>96</v>
      </c>
      <c r="E53" s="30" t="s">
        <v>181</v>
      </c>
      <c r="F53" s="42">
        <v>0</v>
      </c>
      <c r="G53" s="42">
        <v>8</v>
      </c>
      <c r="H53" s="42">
        <v>59048</v>
      </c>
      <c r="I53" s="42">
        <v>0</v>
      </c>
      <c r="J53" s="30" t="s">
        <v>182</v>
      </c>
      <c r="K53" s="42">
        <v>59048</v>
      </c>
      <c r="L53" s="131" t="s">
        <v>50</v>
      </c>
      <c r="M53" s="132">
        <f t="shared" si="0"/>
        <v>31177.344000000001</v>
      </c>
      <c r="N53" s="133" t="str">
        <f>VLOOKUP(C53,'Trips&amp;Operators'!$C$1:$G$99999,5,FALSE)</f>
        <v>DAVIS WENDY</v>
      </c>
      <c r="O53" s="203" t="s">
        <v>180</v>
      </c>
      <c r="P53" s="134"/>
      <c r="Q53" s="30"/>
      <c r="R53" s="81" t="str">
        <f>VLOOKUP(C53,'Train Runs'!$A$13:$AE$9939,31,0)</f>
        <v>aws s3 cp s3://rtdc.mdm.uploadarchive.raw/RTDC4058/ "%USERPROFILE%\AppData\Local\Temp\OnboardLogs"\RTDC4058\2017-06-15 --exclude "*" --recursive --include "*20170615*" &amp; "%USERPROFILE%\Documents\GitHub\mrs-test-scripts\Headless Mode &amp; Sideloading\WalkAndUnGZ.bat" "%USERPROFILE%\AppData\Local\Temp\OnboardLogs"\RTDC4058\2017-06-15 &amp; aws s3 cp s3://rtdc.mdm.uploadarchive.raw/RTDC4058/ "%USERPROFILE%\AppData\Local\Temp\OnboardLogs"\RTDC4058\2017-06-16 --exclude "*" --recursive --include "*20170616*" &amp; "%USERPROFILE%\Documents\GitHub\mrs-test-scripts\Headless Mode &amp; Sideloading\WalkAndUnGZ.bat" "%USERPROFILE%\AppData\Local\Temp\OnboardLogs"\RTDC4058\2017-06-16</v>
      </c>
      <c r="S53" s="84" t="str">
        <f>VLOOKUP(C53,'Train Runs'!$A$13:$AE$9939,22,0)</f>
        <v>https://d0f6bd738d7f1b3e5a7ca70fe4ff75f0.us-east-1.aws.found.io/app/kibana#/discover/Steve-Slow-Train-Analysis-(2080s-and-2083s)?_g=(refreshInterval:(display:Off,pause:!f,section:0,value:0),time:(from:'2017-06-15T03:42:56-0600',mode:absolute,to:'2017-06-15T05:59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53" s="86" t="str">
        <f t="shared" si="1"/>
        <v>"C:\Program Files (x86)\AstroGrep\AstroGrep.exe" /e /r /s /spath="%USERPROFILE%\AppData\Local\Temp\OnboardLogs" /stypes="*4058*201706151*" /stext=" 11:.+((SYSTEM_STATE.+slice.+state.+changed )|(ment ac)|(multiple cpu faults)|(system.+state.+changed )|(\[timeout)|(PRM\|1\|D)|(kpr)|(kdp)|(train st.+moving)|(\|lc)|(penalty))"</v>
      </c>
      <c r="U53" s="9" t="str">
        <f t="shared" si="2"/>
        <v>4058</v>
      </c>
      <c r="V53" s="31">
        <f t="shared" si="3"/>
        <v>42901.458414351851</v>
      </c>
      <c r="W53" s="45" t="str">
        <f t="shared" si="4"/>
        <v>Other</v>
      </c>
      <c r="X53" s="22">
        <f t="shared" si="5"/>
        <v>901</v>
      </c>
      <c r="Y53" s="96" t="str">
        <f t="shared" si="6"/>
        <v>echo {"issue":{"subject":"","project_id":79,"tracker_id":40,"status_id":1,"priority_id":2,"assigned_to_id":23,"start_date":"2017-06-15","description":"","custom_fields":[{"id":1,"name":"Subdivision","value":"Other"},{"id":4,"name":"Milepost","value":"5.9048"},{"id":17,"name":"Train ID","value":"901-15"},{"id":16,"name":"Locomotive ID","value":"4058"},{"id":130,"name":"Impact","value":""},{"id":150,"name":"Time of Event (Mountain Time)","value":"05:00:07"},{"id":151,"name":"Denver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7"/>
        <v>grep -hrE -A400 "Enforcement Action" /cygdrive/c/Users/stu/AppData/Local/Temp/OnboardLogs/RTDC4058 --include="*4058*201706151*"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"%USERPROFILE%\AppData\Local\Temp\OnboardLogs"\RTDC4058\*4058*201706151* &gt;&gt; 2017-06-15-SliceDisagreementCheck.txt</v>
      </c>
      <c r="AE53" s="145" t="str">
        <f t="shared" si="9"/>
        <v>start /low /b %USERPROFILE%\Documents\GitHub\eaglep3\Utilities\DownloadLogsFromS3.py --loco 4058 --day 2017-06-15</v>
      </c>
      <c r="AF53" s="1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>
    <sortState ref="A7:AC76">
      <sortCondition ref="W7:W53"/>
      <sortCondition ref="E7:E53"/>
      <sortCondition ref="K7:K53"/>
      <sortCondition ref="F7:F53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5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6"/>
  <sheetViews>
    <sheetView workbookViewId="0">
      <selection activeCell="A3" sqref="A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2017-06-15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-15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" s="30" t="e">
        <f>VLOOKUP(B3,'Train Runs'!$A$13:$A$99936,1,FALSE)</f>
        <v>#N/A</v>
      </c>
    </row>
    <row r="4" spans="1:10" x14ac:dyDescent="0.25">
      <c r="A4" s="195"/>
      <c r="B4" s="42" t="str">
        <f>A4&amp;"-"&amp;IF(DAY(Variables!$A$2)&lt;10,0,"")&amp;DAY(Variables!$A$2)</f>
        <v>-15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" s="30" t="e">
        <f>VLOOKUP(B4,'Train Runs'!$A$13:$A$99936,1,FALSE)</f>
        <v>#N/A</v>
      </c>
    </row>
    <row r="5" spans="1:10" x14ac:dyDescent="0.25">
      <c r="A5" s="195"/>
      <c r="B5" s="42" t="str">
        <f>A5&amp;"-"&amp;IF(DAY(Variables!$A$2)&lt;10,0,"")&amp;DAY(Variables!$A$2)</f>
        <v>-15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" s="30" t="e">
        <f>VLOOKUP(B5,'Train Runs'!$A$13:$A$99936,1,FALSE)</f>
        <v>#N/A</v>
      </c>
    </row>
    <row r="6" spans="1:10" x14ac:dyDescent="0.25">
      <c r="A6" s="195"/>
      <c r="B6" s="42" t="str">
        <f>A6&amp;"-"&amp;IF(DAY(Variables!$A$2)&lt;10,0,"")&amp;DAY(Variables!$A$2)</f>
        <v>-15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6" s="30" t="e">
        <f>VLOOKUP(B6,'Train Runs'!$A$13:$A$99936,1,FALSE)</f>
        <v>#N/A</v>
      </c>
    </row>
    <row r="7" spans="1:10" x14ac:dyDescent="0.25">
      <c r="A7" s="195"/>
      <c r="B7" s="42" t="str">
        <f>A7&amp;"-"&amp;IF(DAY(Variables!$A$2)&lt;10,0,"")&amp;DAY(Variables!$A$2)</f>
        <v>-15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7" s="30" t="e">
        <f>VLOOKUP(B7,'Train Runs'!$A$13:$A$99936,1,FALSE)</f>
        <v>#N/A</v>
      </c>
    </row>
    <row r="8" spans="1:10" x14ac:dyDescent="0.25">
      <c r="A8" s="195"/>
      <c r="B8" s="42" t="str">
        <f>A8&amp;"-"&amp;IF(DAY(Variables!$A$2)&lt;10,0,"")&amp;DAY(Variables!$A$2)</f>
        <v>-15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8" s="30" t="e">
        <f>VLOOKUP(B8,'Train Runs'!$A$13:$A$99936,1,FALSE)</f>
        <v>#N/A</v>
      </c>
    </row>
    <row r="9" spans="1:10" x14ac:dyDescent="0.25">
      <c r="A9" s="195"/>
      <c r="B9" s="42" t="str">
        <f>A9&amp;"-"&amp;IF(DAY(Variables!$A$2)&lt;10,0,"")&amp;DAY(Variables!$A$2)</f>
        <v>-15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9" s="30" t="e">
        <f>VLOOKUP(B9,'Train Runs'!$A$13:$A$99936,1,FALSE)</f>
        <v>#N/A</v>
      </c>
    </row>
    <row r="10" spans="1:10" x14ac:dyDescent="0.25">
      <c r="A10" s="195"/>
      <c r="B10" s="42" t="str">
        <f>A10&amp;"-"&amp;IF(DAY(Variables!$A$2)&lt;10,0,"")&amp;DAY(Variables!$A$2)</f>
        <v>-15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0" s="30" t="e">
        <f>VLOOKUP(B10,'Train Runs'!$A$13:$A$99936,1,FALSE)</f>
        <v>#N/A</v>
      </c>
    </row>
    <row r="11" spans="1:10" x14ac:dyDescent="0.25">
      <c r="A11" s="195"/>
      <c r="B11" s="42" t="str">
        <f>A11&amp;"-"&amp;IF(DAY(Variables!$A$2)&lt;10,0,"")&amp;DAY(Variables!$A$2)</f>
        <v>-15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1" s="30" t="e">
        <f>VLOOKUP(B11,'Train Runs'!$A$13:$A$99936,1,FALSE)</f>
        <v>#N/A</v>
      </c>
    </row>
    <row r="12" spans="1:10" x14ac:dyDescent="0.25">
      <c r="A12" s="195"/>
      <c r="B12" s="42" t="str">
        <f>A12&amp;"-"&amp;IF(DAY(Variables!$A$2)&lt;10,0,"")&amp;DAY(Variables!$A$2)</f>
        <v>-15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2" s="30" t="e">
        <f>VLOOKUP(B12,'Train Runs'!$A$13:$A$99936,1,FALSE)</f>
        <v>#N/A</v>
      </c>
    </row>
    <row r="13" spans="1:10" x14ac:dyDescent="0.25">
      <c r="A13" s="195"/>
      <c r="B13" s="42" t="str">
        <f>A13&amp;"-"&amp;IF(DAY(Variables!$A$2)&lt;10,0,"")&amp;DAY(Variables!$A$2)</f>
        <v>-15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3" s="30" t="e">
        <f>VLOOKUP(B13,'Train Runs'!$A$13:$A$99936,1,FALSE)</f>
        <v>#N/A</v>
      </c>
    </row>
    <row r="14" spans="1:10" x14ac:dyDescent="0.25">
      <c r="A14" s="195"/>
      <c r="B14" s="42" t="str">
        <f>A14&amp;"-"&amp;IF(DAY(Variables!$A$2)&lt;10,0,"")&amp;DAY(Variables!$A$2)</f>
        <v>-15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4" s="30" t="e">
        <f>VLOOKUP(B14,'Train Runs'!$A$13:$A$99936,1,FALSE)</f>
        <v>#N/A</v>
      </c>
    </row>
    <row r="15" spans="1:10" x14ac:dyDescent="0.25">
      <c r="A15" s="195"/>
      <c r="B15" s="42" t="str">
        <f>A15&amp;"-"&amp;IF(DAY(Variables!$A$2)&lt;10,0,"")&amp;DAY(Variables!$A$2)</f>
        <v>-15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5" s="30" t="e">
        <f>VLOOKUP(B15,'Train Runs'!$A$13:$A$99936,1,FALSE)</f>
        <v>#N/A</v>
      </c>
    </row>
    <row r="16" spans="1:10" x14ac:dyDescent="0.25">
      <c r="A16" s="195"/>
      <c r="B16" s="42" t="str">
        <f>A16&amp;"-"&amp;IF(DAY(Variables!$A$2)&lt;10,0,"")&amp;DAY(Variables!$A$2)</f>
        <v>-15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6" s="30" t="e">
        <f>VLOOKUP(B16,'Train Runs'!$A$13:$A$99936,1,FALSE)</f>
        <v>#N/A</v>
      </c>
    </row>
    <row r="17" spans="1:10" x14ac:dyDescent="0.25">
      <c r="A17" s="195"/>
      <c r="B17" s="42" t="str">
        <f>A17&amp;"-"&amp;IF(DAY(Variables!$A$2)&lt;10,0,"")&amp;DAY(Variables!$A$2)</f>
        <v>-15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7" s="30" t="e">
        <f>VLOOKUP(B17,'Train Runs'!$A$13:$A$99936,1,FALSE)</f>
        <v>#N/A</v>
      </c>
    </row>
    <row r="18" spans="1:10" x14ac:dyDescent="0.25">
      <c r="A18" s="195"/>
      <c r="B18" s="42" t="str">
        <f>A18&amp;"-"&amp;IF(DAY(Variables!$A$2)&lt;10,0,"")&amp;DAY(Variables!$A$2)</f>
        <v>-15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8" s="30" t="e">
        <f>VLOOKUP(B18,'Train Runs'!$A$13:$A$99936,1,FALSE)</f>
        <v>#N/A</v>
      </c>
    </row>
    <row r="19" spans="1:10" x14ac:dyDescent="0.25">
      <c r="A19" s="195"/>
      <c r="B19" s="42" t="str">
        <f>A19&amp;"-"&amp;IF(DAY(Variables!$A$2)&lt;10,0,"")&amp;DAY(Variables!$A$2)</f>
        <v>-15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19" s="30" t="e">
        <f>VLOOKUP(B19,'Train Runs'!$A$13:$A$99936,1,FALSE)</f>
        <v>#N/A</v>
      </c>
    </row>
    <row r="20" spans="1:10" x14ac:dyDescent="0.25">
      <c r="A20" s="195"/>
      <c r="B20" s="42" t="str">
        <f>A20&amp;"-"&amp;IF(DAY(Variables!$A$2)&lt;10,0,"")&amp;DAY(Variables!$A$2)</f>
        <v>-15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0" s="30" t="e">
        <f>VLOOKUP(B20,'Train Runs'!$A$13:$A$99936,1,FALSE)</f>
        <v>#N/A</v>
      </c>
    </row>
    <row r="21" spans="1:10" x14ac:dyDescent="0.25">
      <c r="A21" s="195"/>
      <c r="B21" s="42" t="str">
        <f>A21&amp;"-"&amp;IF(DAY(Variables!$A$2)&lt;10,0,"")&amp;DAY(Variables!$A$2)</f>
        <v>-15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1" s="30" t="e">
        <f>VLOOKUP(B21,'Train Runs'!$A$13:$A$99936,1,FALSE)</f>
        <v>#N/A</v>
      </c>
    </row>
    <row r="22" spans="1:10" x14ac:dyDescent="0.25">
      <c r="A22" s="195"/>
      <c r="B22" s="42" t="str">
        <f>A22&amp;"-"&amp;IF(DAY(Variables!$A$2)&lt;10,0,"")&amp;DAY(Variables!$A$2)</f>
        <v>-15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2" s="30" t="e">
        <f>VLOOKUP(B22,'Train Runs'!$A$13:$A$99936,1,FALSE)</f>
        <v>#N/A</v>
      </c>
    </row>
    <row r="23" spans="1:10" x14ac:dyDescent="0.25">
      <c r="A23" s="195"/>
      <c r="B23" s="42" t="str">
        <f>A23&amp;"-"&amp;IF(DAY(Variables!$A$2)&lt;10,0,"")&amp;DAY(Variables!$A$2)</f>
        <v>-15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3" s="30" t="e">
        <f>VLOOKUP(B23,'Train Runs'!$A$13:$A$99936,1,FALSE)</f>
        <v>#N/A</v>
      </c>
    </row>
    <row r="24" spans="1:10" x14ac:dyDescent="0.25">
      <c r="A24" s="195"/>
      <c r="B24" s="42" t="str">
        <f>A24&amp;"-"&amp;IF(DAY(Variables!$A$2)&lt;10,0,"")&amp;DAY(Variables!$A$2)</f>
        <v>-15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4" s="30" t="e">
        <f>VLOOKUP(B24,'Train Runs'!$A$13:$A$99936,1,FALSE)</f>
        <v>#N/A</v>
      </c>
    </row>
    <row r="25" spans="1:10" x14ac:dyDescent="0.25">
      <c r="A25" s="195"/>
      <c r="B25" s="42" t="str">
        <f>A25&amp;"-"&amp;IF(DAY(Variables!$A$2)&lt;10,0,"")&amp;DAY(Variables!$A$2)</f>
        <v>-15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5" s="30" t="e">
        <f>VLOOKUP(B25,'Train Runs'!$A$13:$A$99936,1,FALSE)</f>
        <v>#N/A</v>
      </c>
    </row>
    <row r="26" spans="1:10" x14ac:dyDescent="0.25">
      <c r="A26" s="195"/>
      <c r="B26" s="42" t="str">
        <f>A26&amp;"-"&amp;IF(DAY(Variables!$A$2)&lt;10,0,"")&amp;DAY(Variables!$A$2)</f>
        <v>-15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6" s="30" t="e">
        <f>VLOOKUP(B26,'Train Runs'!$A$13:$A$99936,1,FALSE)</f>
        <v>#N/A</v>
      </c>
    </row>
    <row r="27" spans="1:10" x14ac:dyDescent="0.25">
      <c r="A27" s="195"/>
      <c r="B27" s="42" t="str">
        <f>A27&amp;"-"&amp;IF(DAY(Variables!$A$2)&lt;10,0,"")&amp;DAY(Variables!$A$2)</f>
        <v>-15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7" s="30" t="e">
        <f>VLOOKUP(B27,'Train Runs'!$A$13:$A$99936,1,FALSE)</f>
        <v>#N/A</v>
      </c>
    </row>
    <row r="28" spans="1:10" x14ac:dyDescent="0.25">
      <c r="A28" s="195"/>
      <c r="B28" s="42" t="str">
        <f>A28&amp;"-"&amp;IF(DAY(Variables!$A$2)&lt;10,0,"")&amp;DAY(Variables!$A$2)</f>
        <v>-15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8" s="30" t="e">
        <f>VLOOKUP(B28,'Train Runs'!$A$13:$A$99936,1,FALSE)</f>
        <v>#N/A</v>
      </c>
    </row>
    <row r="29" spans="1:10" x14ac:dyDescent="0.25">
      <c r="A29" s="195"/>
      <c r="B29" s="42" t="str">
        <f>A29&amp;"-"&amp;IF(DAY(Variables!$A$2)&lt;10,0,"")&amp;DAY(Variables!$A$2)</f>
        <v>-15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29" s="30" t="e">
        <f>VLOOKUP(B29,'Train Runs'!$A$13:$A$99936,1,FALSE)</f>
        <v>#N/A</v>
      </c>
    </row>
    <row r="30" spans="1:10" x14ac:dyDescent="0.25">
      <c r="A30" s="195"/>
      <c r="B30" s="42" t="str">
        <f>A30&amp;"-"&amp;IF(DAY(Variables!$A$2)&lt;10,0,"")&amp;DAY(Variables!$A$2)</f>
        <v>-15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ref="I30:I50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0" s="30" t="e">
        <f>VLOOKUP(B30,'Train Runs'!$A$13:$A$99936,1,FALSE)</f>
        <v>#N/A</v>
      </c>
    </row>
    <row r="31" spans="1:10" x14ac:dyDescent="0.25">
      <c r="A31" s="195"/>
      <c r="B31" s="42" t="str">
        <f>A31&amp;"-"&amp;IF(DAY(Variables!$A$2)&lt;10,0,"")&amp;DAY(Variables!$A$2)</f>
        <v>-15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1" s="30" t="e">
        <f>VLOOKUP(B31,'Train Runs'!$A$13:$A$99936,1,FALSE)</f>
        <v>#N/A</v>
      </c>
    </row>
    <row r="32" spans="1:10" x14ac:dyDescent="0.25">
      <c r="A32" s="195"/>
      <c r="B32" s="42" t="str">
        <f>A32&amp;"-"&amp;IF(DAY(Variables!$A$2)&lt;10,0,"")&amp;DAY(Variables!$A$2)</f>
        <v>-15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2" s="30" t="e">
        <f>VLOOKUP(B32,'Train Runs'!$A$13:$A$99936,1,FALSE)</f>
        <v>#N/A</v>
      </c>
    </row>
    <row r="33" spans="1:10" x14ac:dyDescent="0.25">
      <c r="A33" s="195"/>
      <c r="B33" s="42" t="str">
        <f>A33&amp;"-"&amp;IF(DAY(Variables!$A$2)&lt;10,0,"")&amp;DAY(Variables!$A$2)</f>
        <v>-15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3" s="30" t="e">
        <f>VLOOKUP(B33,'Train Runs'!$A$13:$A$99936,1,FALSE)</f>
        <v>#N/A</v>
      </c>
    </row>
    <row r="34" spans="1:10" x14ac:dyDescent="0.25">
      <c r="A34" s="195"/>
      <c r="B34" s="42" t="str">
        <f>A34&amp;"-"&amp;IF(DAY(Variables!$A$2)&lt;10,0,"")&amp;DAY(Variables!$A$2)</f>
        <v>-15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4" s="30" t="e">
        <f>VLOOKUP(B34,'Train Runs'!$A$13:$A$99936,1,FALSE)</f>
        <v>#N/A</v>
      </c>
    </row>
    <row r="35" spans="1:10" x14ac:dyDescent="0.25">
      <c r="A35" s="195"/>
      <c r="B35" s="42" t="str">
        <f>A35&amp;"-"&amp;IF(DAY(Variables!$A$2)&lt;10,0,"")&amp;DAY(Variables!$A$2)</f>
        <v>-15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5" s="30" t="e">
        <f>VLOOKUP(B35,'Train Runs'!$A$13:$A$99936,1,FALSE)</f>
        <v>#N/A</v>
      </c>
    </row>
    <row r="36" spans="1:10" x14ac:dyDescent="0.25">
      <c r="A36" s="195"/>
      <c r="B36" s="42" t="str">
        <f>A36&amp;"-"&amp;IF(DAY(Variables!$A$2)&lt;10,0,"")&amp;DAY(Variables!$A$2)</f>
        <v>-15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6" s="30" t="e">
        <f>VLOOKUP(B36,'Train Runs'!$A$13:$A$99936,1,FALSE)</f>
        <v>#N/A</v>
      </c>
    </row>
    <row r="37" spans="1:10" x14ac:dyDescent="0.25">
      <c r="A37" s="195"/>
      <c r="B37" s="42" t="str">
        <f>A37&amp;"-"&amp;IF(DAY(Variables!$A$2)&lt;10,0,"")&amp;DAY(Variables!$A$2)</f>
        <v>-15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7" s="30" t="e">
        <f>VLOOKUP(B37,'Train Runs'!$A$13:$A$99936,1,FALSE)</f>
        <v>#N/A</v>
      </c>
    </row>
    <row r="38" spans="1:10" x14ac:dyDescent="0.25">
      <c r="A38" s="195"/>
      <c r="B38" s="42" t="str">
        <f>A38&amp;"-"&amp;IF(DAY(Variables!$A$2)&lt;10,0,"")&amp;DAY(Variables!$A$2)</f>
        <v>-15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8" s="30" t="e">
        <f>VLOOKUP(B38,'Train Runs'!$A$13:$A$99936,1,FALSE)</f>
        <v>#N/A</v>
      </c>
    </row>
    <row r="39" spans="1:10" x14ac:dyDescent="0.25">
      <c r="A39" s="195"/>
      <c r="B39" s="42" t="str">
        <f>A39&amp;"-"&amp;IF(DAY(Variables!$A$2)&lt;10,0,"")&amp;DAY(Variables!$A$2)</f>
        <v>-15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39" s="30" t="e">
        <f>VLOOKUP(B39,'Train Runs'!$A$13:$A$99936,1,FALSE)</f>
        <v>#N/A</v>
      </c>
    </row>
    <row r="40" spans="1:10" x14ac:dyDescent="0.25">
      <c r="A40" s="195"/>
      <c r="B40" s="42" t="str">
        <f>A40&amp;"-"&amp;IF(DAY(Variables!$A$2)&lt;10,0,"")&amp;DAY(Variables!$A$2)</f>
        <v>-15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0" s="30" t="e">
        <f>VLOOKUP(B40,'Train Runs'!$A$13:$A$99936,1,FALSE)</f>
        <v>#N/A</v>
      </c>
    </row>
    <row r="41" spans="1:10" x14ac:dyDescent="0.25">
      <c r="A41" s="195"/>
      <c r="B41" s="42" t="str">
        <f>A41&amp;"-"&amp;IF(DAY(Variables!$A$2)&lt;10,0,"")&amp;DAY(Variables!$A$2)</f>
        <v>-15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1" s="30" t="e">
        <f>VLOOKUP(B41,'Train Runs'!$A$13:$A$99936,1,FALSE)</f>
        <v>#N/A</v>
      </c>
    </row>
    <row r="42" spans="1:10" x14ac:dyDescent="0.25">
      <c r="A42" s="195"/>
      <c r="B42" s="42" t="str">
        <f>A42&amp;"-"&amp;IF(DAY(Variables!$A$2)&lt;10,0,"")&amp;DAY(Variables!$A$2)</f>
        <v>-15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2" s="30" t="e">
        <f>VLOOKUP(B42,'Train Runs'!$A$13:$A$99936,1,FALSE)</f>
        <v>#N/A</v>
      </c>
    </row>
    <row r="43" spans="1:10" x14ac:dyDescent="0.25">
      <c r="A43" s="195"/>
      <c r="B43" s="42" t="str">
        <f>A43&amp;"-"&amp;IF(DAY(Variables!$A$2)&lt;10,0,"")&amp;DAY(Variables!$A$2)</f>
        <v>-15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3" s="30" t="e">
        <f>VLOOKUP(B43,'Train Runs'!$A$13:$A$99936,1,FALSE)</f>
        <v>#N/A</v>
      </c>
    </row>
    <row r="44" spans="1:10" x14ac:dyDescent="0.25">
      <c r="A44" s="195"/>
      <c r="B44" s="42" t="str">
        <f>A44&amp;"-"&amp;IF(DAY(Variables!$A$2)&lt;10,0,"")&amp;DAY(Variables!$A$2)</f>
        <v>-15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4" s="30" t="e">
        <f>VLOOKUP(B44,'Train Runs'!$A$13:$A$99936,1,FALSE)</f>
        <v>#N/A</v>
      </c>
    </row>
    <row r="45" spans="1:10" x14ac:dyDescent="0.25">
      <c r="A45" s="195"/>
      <c r="B45" s="42" t="str">
        <f>A45&amp;"-"&amp;IF(DAY(Variables!$A$2)&lt;10,0,"")&amp;DAY(Variables!$A$2)</f>
        <v>-15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5" s="30" t="e">
        <f>VLOOKUP(B45,'Train Runs'!$A$13:$A$99936,1,FALSE)</f>
        <v>#N/A</v>
      </c>
    </row>
    <row r="46" spans="1:10" x14ac:dyDescent="0.25">
      <c r="A46" s="195"/>
      <c r="B46" s="42" t="str">
        <f>A46&amp;"-"&amp;IF(DAY(Variables!$A$2)&lt;10,0,"")&amp;DAY(Variables!$A$2)</f>
        <v>-15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6" s="30" t="e">
        <f>VLOOKUP(B46,'Train Runs'!$A$13:$A$99936,1,FALSE)</f>
        <v>#N/A</v>
      </c>
    </row>
    <row r="47" spans="1:10" x14ac:dyDescent="0.25">
      <c r="A47" s="195"/>
      <c r="B47" s="42" t="str">
        <f>A47&amp;"-"&amp;IF(DAY(Variables!$A$2)&lt;10,0,"")&amp;DAY(Variables!$A$2)</f>
        <v>-15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7" s="30" t="e">
        <f>VLOOKUP(B47,'Train Runs'!$A$13:$A$99936,1,FALSE)</f>
        <v>#N/A</v>
      </c>
    </row>
    <row r="48" spans="1:10" x14ac:dyDescent="0.25">
      <c r="A48" s="195"/>
      <c r="B48" s="42" t="str">
        <f>A48&amp;"-"&amp;IF(DAY(Variables!$A$2)&lt;10,0,"")&amp;DAY(Variables!$A$2)</f>
        <v>-15</v>
      </c>
      <c r="C48" s="135"/>
      <c r="D48" s="153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8" s="30" t="e">
        <f>VLOOKUP(B48,'Train Runs'!$A$13:$A$99936,1,FALSE)</f>
        <v>#N/A</v>
      </c>
    </row>
    <row r="49" spans="1:10" x14ac:dyDescent="0.25">
      <c r="A49" s="195"/>
      <c r="B49" s="42" t="str">
        <f>A49&amp;"-"&amp;IF(DAY(Variables!$A$2)&lt;10,0,"")&amp;DAY(Variables!$A$2)</f>
        <v>-15</v>
      </c>
      <c r="C49" s="135"/>
      <c r="D49" s="153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49" s="30" t="e">
        <f>VLOOKUP(B49,'Train Runs'!$A$13:$A$99936,1,FALSE)</f>
        <v>#N/A</v>
      </c>
    </row>
    <row r="50" spans="1:10" x14ac:dyDescent="0.25">
      <c r="A50" s="195"/>
      <c r="B50" s="42" t="str">
        <f>A50&amp;"-"&amp;IF(DAY(Variables!$A$2)&lt;10,0,"")&amp;DAY(Variables!$A$2)</f>
        <v>-15</v>
      </c>
      <c r="C50" s="135"/>
      <c r="D50" s="153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-15%22)),sort:!(Time.ISO8601,asc))</v>
      </c>
      <c r="J50" s="30" t="e">
        <f>VLOOKUP(B50,'Train Runs'!$A$13:$A$99936,1,FALSE)</f>
        <v>#N/A</v>
      </c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  <row r="104" spans="1:10" x14ac:dyDescent="0.25">
      <c r="A104" s="195"/>
      <c r="B104" s="42"/>
      <c r="C104" s="135"/>
      <c r="D104" s="153"/>
      <c r="E104" s="30"/>
      <c r="F104" s="21"/>
      <c r="G104" s="21"/>
      <c r="H104" s="29"/>
      <c r="I104" s="45"/>
      <c r="J104" s="30"/>
    </row>
    <row r="105" spans="1:10" x14ac:dyDescent="0.25">
      <c r="A105" s="195"/>
      <c r="B105" s="42"/>
      <c r="C105" s="135"/>
      <c r="D105" s="153"/>
      <c r="E105" s="30"/>
      <c r="F105" s="21"/>
      <c r="G105" s="21"/>
      <c r="H105" s="29"/>
      <c r="I105" s="45"/>
      <c r="J105" s="30"/>
    </row>
    <row r="106" spans="1:10" x14ac:dyDescent="0.25">
      <c r="A106" s="195"/>
      <c r="B106" s="42"/>
      <c r="C106" s="135"/>
      <c r="D106" s="153"/>
      <c r="E106" s="30"/>
      <c r="F106" s="21"/>
      <c r="G106" s="21"/>
      <c r="H106" s="29"/>
      <c r="I106" s="45"/>
      <c r="J106" s="30"/>
    </row>
  </sheetData>
  <autoFilter ref="A2:J5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activeCell="A2" sqref="A2:F25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42901.031446759262</v>
      </c>
      <c r="B2" s="20" t="s">
        <v>456</v>
      </c>
      <c r="C2" s="20" t="s">
        <v>563</v>
      </c>
      <c r="D2" s="138">
        <v>2230000</v>
      </c>
      <c r="E2" s="20" t="s">
        <v>342</v>
      </c>
      <c r="F2" s="20" t="s">
        <v>192</v>
      </c>
      <c r="G2" s="8" t="str">
        <f>E2&amp;" "&amp;F2</f>
        <v>SMITH MICHAEL</v>
      </c>
    </row>
    <row r="3" spans="1:7" x14ac:dyDescent="0.25">
      <c r="A3" s="8">
        <v>42901.04791666667</v>
      </c>
      <c r="B3" s="20" t="s">
        <v>425</v>
      </c>
      <c r="C3" s="20" t="s">
        <v>564</v>
      </c>
      <c r="D3" s="138">
        <v>2090000</v>
      </c>
      <c r="E3" s="20" t="s">
        <v>471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42901.048888888887</v>
      </c>
      <c r="B4" s="20" t="s">
        <v>425</v>
      </c>
      <c r="C4" s="20" t="s">
        <v>564</v>
      </c>
      <c r="D4" s="138">
        <v>2090000</v>
      </c>
      <c r="E4" s="20" t="s">
        <v>471</v>
      </c>
      <c r="F4" s="20" t="s">
        <v>192</v>
      </c>
      <c r="G4" s="8" t="str">
        <f t="shared" si="0"/>
        <v>HAITHCOX MICHAEL</v>
      </c>
    </row>
    <row r="5" spans="1:7" x14ac:dyDescent="0.25">
      <c r="A5" s="8">
        <v>42901.055069444446</v>
      </c>
      <c r="B5" s="20" t="s">
        <v>450</v>
      </c>
      <c r="C5" s="20" t="s">
        <v>545</v>
      </c>
      <c r="D5" s="138">
        <v>970000</v>
      </c>
      <c r="E5" s="20" t="s">
        <v>561</v>
      </c>
      <c r="F5" s="20" t="s">
        <v>562</v>
      </c>
      <c r="G5" s="8" t="str">
        <f t="shared" si="0"/>
        <v>JACKSON WILLIAM</v>
      </c>
    </row>
    <row r="6" spans="1:7" x14ac:dyDescent="0.25">
      <c r="A6" s="8">
        <v>42901.069421296299</v>
      </c>
      <c r="B6" s="20" t="s">
        <v>447</v>
      </c>
      <c r="C6" s="20" t="s">
        <v>565</v>
      </c>
      <c r="D6" s="138">
        <v>2230000</v>
      </c>
      <c r="E6" s="20" t="s">
        <v>342</v>
      </c>
      <c r="F6" s="20" t="s">
        <v>192</v>
      </c>
      <c r="G6" s="8" t="str">
        <f t="shared" si="0"/>
        <v>SMITH MICHAEL</v>
      </c>
    </row>
    <row r="7" spans="1:7" x14ac:dyDescent="0.25">
      <c r="A7" s="8">
        <v>42901.093043981484</v>
      </c>
      <c r="B7" s="20" t="s">
        <v>451</v>
      </c>
      <c r="C7" s="20" t="s">
        <v>566</v>
      </c>
      <c r="D7" s="138">
        <v>3090000</v>
      </c>
      <c r="E7" s="20" t="s">
        <v>376</v>
      </c>
      <c r="F7" s="20" t="s">
        <v>377</v>
      </c>
      <c r="G7" s="8" t="str">
        <f t="shared" si="0"/>
        <v>LAMAR NEKESHA</v>
      </c>
    </row>
    <row r="8" spans="1:7" x14ac:dyDescent="0.25">
      <c r="A8" s="8">
        <v>42901.114930555559</v>
      </c>
      <c r="B8" s="20" t="s">
        <v>640</v>
      </c>
      <c r="C8" s="20" t="s">
        <v>660</v>
      </c>
      <c r="D8" s="138">
        <v>1110000</v>
      </c>
      <c r="E8" s="20" t="s">
        <v>481</v>
      </c>
      <c r="F8" s="20" t="s">
        <v>482</v>
      </c>
      <c r="G8" s="8" t="str">
        <f t="shared" si="0"/>
        <v>STARKS ANGELINA</v>
      </c>
    </row>
    <row r="9" spans="1:7" ht="15.75" thickBot="1" x14ac:dyDescent="0.3">
      <c r="A9" s="24">
        <v>42901.127106481479</v>
      </c>
      <c r="B9" s="20" t="s">
        <v>401</v>
      </c>
      <c r="C9" s="20" t="s">
        <v>661</v>
      </c>
      <c r="D9" s="138">
        <v>1090000</v>
      </c>
      <c r="E9" s="20" t="s">
        <v>506</v>
      </c>
      <c r="F9" s="20" t="s">
        <v>192</v>
      </c>
      <c r="G9" s="8" t="str">
        <f t="shared" si="0"/>
        <v>SPECTOR MICHAEL</v>
      </c>
    </row>
    <row r="10" spans="1:7" x14ac:dyDescent="0.25">
      <c r="A10" s="8">
        <v>42901.133101851854</v>
      </c>
      <c r="B10" s="20" t="s">
        <v>503</v>
      </c>
      <c r="C10" s="20" t="s">
        <v>662</v>
      </c>
      <c r="D10" s="138">
        <v>1110000</v>
      </c>
      <c r="E10" s="20" t="s">
        <v>481</v>
      </c>
      <c r="F10" s="20" t="s">
        <v>482</v>
      </c>
      <c r="G10" s="8" t="str">
        <f t="shared" si="0"/>
        <v>STARKS ANGELINA</v>
      </c>
    </row>
    <row r="11" spans="1:7" x14ac:dyDescent="0.25">
      <c r="A11" s="8">
        <v>42901.135196759256</v>
      </c>
      <c r="B11" s="20" t="s">
        <v>449</v>
      </c>
      <c r="C11" s="20" t="s">
        <v>663</v>
      </c>
      <c r="D11" s="138">
        <v>3040000</v>
      </c>
      <c r="E11" s="20" t="s">
        <v>383</v>
      </c>
      <c r="F11" s="20" t="s">
        <v>384</v>
      </c>
      <c r="G11" s="8" t="str">
        <f t="shared" si="0"/>
        <v>WILLIAMS DONTE</v>
      </c>
    </row>
    <row r="12" spans="1:7" x14ac:dyDescent="0.25">
      <c r="A12" s="8">
        <v>42901.140138888892</v>
      </c>
      <c r="B12" s="20" t="s">
        <v>640</v>
      </c>
      <c r="C12" s="20" t="s">
        <v>664</v>
      </c>
      <c r="D12" s="138">
        <v>1090000</v>
      </c>
      <c r="E12" s="20" t="s">
        <v>506</v>
      </c>
      <c r="F12" s="20" t="s">
        <v>192</v>
      </c>
      <c r="G12" s="8" t="str">
        <f t="shared" si="0"/>
        <v>SPECTOR MICHAEL</v>
      </c>
    </row>
    <row r="13" spans="1:7" x14ac:dyDescent="0.25">
      <c r="A13" s="8">
        <v>42901.148252314815</v>
      </c>
      <c r="B13" s="20" t="s">
        <v>448</v>
      </c>
      <c r="C13" s="20" t="s">
        <v>665</v>
      </c>
      <c r="D13" s="138">
        <v>3040000</v>
      </c>
      <c r="E13" s="20" t="s">
        <v>383</v>
      </c>
      <c r="F13" s="20" t="s">
        <v>384</v>
      </c>
      <c r="G13" s="8" t="str">
        <f t="shared" si="0"/>
        <v>WILLIAMS DONTE</v>
      </c>
    </row>
    <row r="14" spans="1:7" x14ac:dyDescent="0.25">
      <c r="A14" s="8">
        <v>42901.156805555554</v>
      </c>
      <c r="B14" s="20" t="s">
        <v>370</v>
      </c>
      <c r="C14" s="20" t="s">
        <v>666</v>
      </c>
      <c r="D14" s="138">
        <v>940000</v>
      </c>
      <c r="E14" s="20" t="s">
        <v>479</v>
      </c>
      <c r="F14" s="20" t="s">
        <v>480</v>
      </c>
      <c r="G14" s="8" t="str">
        <f t="shared" si="0"/>
        <v>BONDS REYNALDO</v>
      </c>
    </row>
    <row r="15" spans="1:7" x14ac:dyDescent="0.25">
      <c r="A15" s="8">
        <v>42901.167766203704</v>
      </c>
      <c r="B15" s="20" t="s">
        <v>366</v>
      </c>
      <c r="C15" s="20" t="s">
        <v>667</v>
      </c>
      <c r="D15" s="138">
        <v>1100000</v>
      </c>
      <c r="E15" s="20" t="s">
        <v>550</v>
      </c>
      <c r="F15" s="20" t="s">
        <v>551</v>
      </c>
      <c r="G15" s="8" t="str">
        <f t="shared" si="0"/>
        <v>GEBRETEKLE DAGNEW</v>
      </c>
    </row>
    <row r="16" spans="1:7" x14ac:dyDescent="0.25">
      <c r="A16" s="8">
        <v>42901.168692129628</v>
      </c>
      <c r="B16" s="20" t="s">
        <v>373</v>
      </c>
      <c r="C16" s="20" t="s">
        <v>668</v>
      </c>
      <c r="D16" s="138">
        <v>940000</v>
      </c>
      <c r="E16" s="20" t="s">
        <v>479</v>
      </c>
      <c r="F16" s="20" t="s">
        <v>480</v>
      </c>
      <c r="G16" s="8" t="str">
        <f t="shared" si="0"/>
        <v>BONDS REYNALDO</v>
      </c>
    </row>
    <row r="17" spans="1:7" x14ac:dyDescent="0.25">
      <c r="A17" s="8">
        <v>42901.172962962963</v>
      </c>
      <c r="B17" s="20" t="s">
        <v>504</v>
      </c>
      <c r="C17" s="20" t="s">
        <v>669</v>
      </c>
      <c r="D17" s="138">
        <v>1110000</v>
      </c>
      <c r="E17" s="20" t="s">
        <v>481</v>
      </c>
      <c r="F17" s="20" t="s">
        <v>482</v>
      </c>
      <c r="G17" s="8" t="str">
        <f t="shared" si="0"/>
        <v>STARKS ANGELINA</v>
      </c>
    </row>
    <row r="18" spans="1:7" x14ac:dyDescent="0.25">
      <c r="A18" s="8">
        <v>42901.175543981481</v>
      </c>
      <c r="B18" s="20" t="s">
        <v>442</v>
      </c>
      <c r="C18" s="20" t="s">
        <v>614</v>
      </c>
      <c r="D18" s="138">
        <v>2970000</v>
      </c>
      <c r="E18" s="20" t="s">
        <v>380</v>
      </c>
      <c r="F18" s="20" t="s">
        <v>381</v>
      </c>
      <c r="G18" s="8" t="str">
        <f t="shared" si="0"/>
        <v>GUZMAN DANNY</v>
      </c>
    </row>
    <row r="19" spans="1:7" x14ac:dyDescent="0.25">
      <c r="A19" s="8">
        <v>42901.182638888888</v>
      </c>
      <c r="B19" s="20" t="s">
        <v>341</v>
      </c>
      <c r="C19" s="20" t="s">
        <v>670</v>
      </c>
      <c r="D19" s="138">
        <v>1100000</v>
      </c>
      <c r="E19" s="20" t="s">
        <v>550</v>
      </c>
      <c r="F19" s="20" t="s">
        <v>551</v>
      </c>
      <c r="G19" s="8" t="str">
        <f t="shared" si="0"/>
        <v>GEBRETEKLE DAGNEW</v>
      </c>
    </row>
    <row r="20" spans="1:7" x14ac:dyDescent="0.25">
      <c r="A20" s="8">
        <v>42901.185763888891</v>
      </c>
      <c r="B20" s="20" t="s">
        <v>449</v>
      </c>
      <c r="C20" s="20" t="s">
        <v>671</v>
      </c>
      <c r="D20" s="138">
        <v>3040000</v>
      </c>
      <c r="E20" s="20" t="s">
        <v>383</v>
      </c>
      <c r="F20" s="20" t="s">
        <v>384</v>
      </c>
      <c r="G20" s="8" t="str">
        <f t="shared" si="0"/>
        <v>WILLIAMS DONTE</v>
      </c>
    </row>
    <row r="21" spans="1:7" x14ac:dyDescent="0.25">
      <c r="A21" s="8">
        <v>42901.194571759261</v>
      </c>
      <c r="B21" s="20" t="s">
        <v>443</v>
      </c>
      <c r="C21" s="20" t="s">
        <v>672</v>
      </c>
      <c r="D21" s="138">
        <v>2970000</v>
      </c>
      <c r="E21" s="20" t="s">
        <v>380</v>
      </c>
      <c r="F21" s="20" t="s">
        <v>381</v>
      </c>
      <c r="G21" s="8" t="str">
        <f t="shared" si="0"/>
        <v>GUZMAN DANNY</v>
      </c>
    </row>
    <row r="22" spans="1:7" x14ac:dyDescent="0.25">
      <c r="A22" s="26">
        <v>42901.197002314817</v>
      </c>
      <c r="B22" s="20" t="s">
        <v>615</v>
      </c>
      <c r="C22" s="20" t="s">
        <v>616</v>
      </c>
      <c r="D22" s="138">
        <v>1990000</v>
      </c>
      <c r="E22" s="20" t="s">
        <v>415</v>
      </c>
      <c r="F22" s="20" t="s">
        <v>546</v>
      </c>
      <c r="G22" s="8" t="str">
        <f t="shared" si="0"/>
        <v>DAVIS WENDY</v>
      </c>
    </row>
    <row r="23" spans="1:7" x14ac:dyDescent="0.25">
      <c r="A23" s="8">
        <v>42901.202650462961</v>
      </c>
      <c r="B23" s="20" t="s">
        <v>483</v>
      </c>
      <c r="C23" s="20" t="s">
        <v>673</v>
      </c>
      <c r="D23" s="138">
        <v>890000</v>
      </c>
      <c r="E23" s="20" t="s">
        <v>507</v>
      </c>
      <c r="F23" s="20" t="s">
        <v>508</v>
      </c>
      <c r="G23" s="8" t="str">
        <f t="shared" si="0"/>
        <v>LOZA FIDEL</v>
      </c>
    </row>
    <row r="24" spans="1:7" x14ac:dyDescent="0.25">
      <c r="A24" s="8">
        <v>42901.205000000002</v>
      </c>
      <c r="B24" s="20" t="s">
        <v>503</v>
      </c>
      <c r="C24" s="20" t="s">
        <v>674</v>
      </c>
      <c r="D24" s="138">
        <v>1110000</v>
      </c>
      <c r="E24" s="20" t="s">
        <v>481</v>
      </c>
      <c r="F24" s="20" t="s">
        <v>482</v>
      </c>
      <c r="G24" s="8" t="str">
        <f t="shared" si="0"/>
        <v>STARKS ANGELINA</v>
      </c>
    </row>
    <row r="25" spans="1:7" x14ac:dyDescent="0.25">
      <c r="A25" s="8">
        <v>42901.210069444445</v>
      </c>
      <c r="B25" s="20" t="s">
        <v>617</v>
      </c>
      <c r="C25" s="20" t="s">
        <v>618</v>
      </c>
      <c r="D25" s="138">
        <v>1990000</v>
      </c>
      <c r="E25" s="20" t="s">
        <v>415</v>
      </c>
      <c r="F25" s="20" t="s">
        <v>546</v>
      </c>
      <c r="G25" s="8" t="str">
        <f t="shared" si="0"/>
        <v>DAVIS WENDY</v>
      </c>
    </row>
    <row r="26" spans="1:7" x14ac:dyDescent="0.25">
      <c r="A26" s="8">
        <v>42901.214699074073</v>
      </c>
      <c r="B26" s="20" t="s">
        <v>366</v>
      </c>
      <c r="C26" s="20" t="s">
        <v>675</v>
      </c>
      <c r="D26" s="138">
        <v>1100000</v>
      </c>
      <c r="E26" s="20" t="s">
        <v>550</v>
      </c>
      <c r="F26" s="20" t="s">
        <v>551</v>
      </c>
      <c r="G26" s="8" t="str">
        <f t="shared" si="0"/>
        <v>GEBRETEKLE DAGNEW</v>
      </c>
    </row>
    <row r="27" spans="1:7" x14ac:dyDescent="0.25">
      <c r="A27" s="8">
        <v>42901.214756944442</v>
      </c>
      <c r="B27" s="20" t="s">
        <v>370</v>
      </c>
      <c r="C27" s="20" t="s">
        <v>676</v>
      </c>
      <c r="D27" s="138">
        <v>940000</v>
      </c>
      <c r="E27" s="20" t="s">
        <v>479</v>
      </c>
      <c r="F27" s="20" t="s">
        <v>480</v>
      </c>
      <c r="G27" s="8" t="str">
        <f t="shared" si="0"/>
        <v>BONDS REYNALDO</v>
      </c>
    </row>
    <row r="28" spans="1:7" x14ac:dyDescent="0.25">
      <c r="A28" s="8">
        <v>42901.217187499999</v>
      </c>
      <c r="B28" s="20" t="s">
        <v>477</v>
      </c>
      <c r="C28" s="20" t="s">
        <v>677</v>
      </c>
      <c r="D28" s="138">
        <v>890000</v>
      </c>
      <c r="E28" s="20" t="s">
        <v>507</v>
      </c>
      <c r="F28" s="20" t="s">
        <v>508</v>
      </c>
      <c r="G28" s="8" t="str">
        <f t="shared" si="0"/>
        <v>LOZA FIDEL</v>
      </c>
    </row>
    <row r="29" spans="1:7" x14ac:dyDescent="0.25">
      <c r="A29" s="8">
        <v>42901.219317129631</v>
      </c>
      <c r="B29" s="20" t="s">
        <v>625</v>
      </c>
      <c r="C29" s="20" t="s">
        <v>678</v>
      </c>
      <c r="D29" s="138">
        <v>1540000</v>
      </c>
      <c r="E29" s="20" t="s">
        <v>484</v>
      </c>
      <c r="F29" s="20" t="s">
        <v>485</v>
      </c>
      <c r="G29" s="8" t="str">
        <f t="shared" si="0"/>
        <v>HELVIE ADAM</v>
      </c>
    </row>
    <row r="30" spans="1:7" x14ac:dyDescent="0.25">
      <c r="A30" s="8">
        <v>42901.226018518515</v>
      </c>
      <c r="B30" s="20" t="s">
        <v>442</v>
      </c>
      <c r="C30" s="20" t="s">
        <v>679</v>
      </c>
      <c r="D30" s="138">
        <v>2970000</v>
      </c>
      <c r="E30" s="20" t="s">
        <v>380</v>
      </c>
      <c r="F30" s="20" t="s">
        <v>381</v>
      </c>
      <c r="G30" s="8" t="str">
        <f t="shared" si="0"/>
        <v>GUZMAN DANNY</v>
      </c>
    </row>
    <row r="31" spans="1:7" x14ac:dyDescent="0.25">
      <c r="A31" s="8">
        <v>42901.22828703704</v>
      </c>
      <c r="B31" s="20" t="s">
        <v>448</v>
      </c>
      <c r="C31" s="20" t="s">
        <v>680</v>
      </c>
      <c r="D31" s="138">
        <v>3040000</v>
      </c>
      <c r="E31" s="20" t="s">
        <v>383</v>
      </c>
      <c r="F31" s="20" t="s">
        <v>384</v>
      </c>
      <c r="G31" s="8" t="str">
        <f t="shared" si="0"/>
        <v>WILLIAMS DONTE</v>
      </c>
    </row>
    <row r="32" spans="1:7" x14ac:dyDescent="0.25">
      <c r="A32" s="8">
        <v>42901.239699074074</v>
      </c>
      <c r="B32" s="20" t="s">
        <v>358</v>
      </c>
      <c r="C32" s="20" t="s">
        <v>619</v>
      </c>
      <c r="D32" s="138">
        <v>1540000</v>
      </c>
      <c r="E32" s="20" t="s">
        <v>484</v>
      </c>
      <c r="F32" s="20" t="s">
        <v>485</v>
      </c>
      <c r="G32" s="8" t="str">
        <f t="shared" si="0"/>
        <v>HELVIE ADAM</v>
      </c>
    </row>
    <row r="33" spans="1:7" x14ac:dyDescent="0.25">
      <c r="A33" s="8">
        <v>42901.241805555554</v>
      </c>
      <c r="B33" s="20" t="s">
        <v>615</v>
      </c>
      <c r="C33" s="20" t="s">
        <v>620</v>
      </c>
      <c r="D33" s="138">
        <v>1990000</v>
      </c>
      <c r="E33" s="20" t="s">
        <v>415</v>
      </c>
      <c r="F33" s="20" t="s">
        <v>546</v>
      </c>
      <c r="G33" s="8" t="str">
        <f t="shared" si="0"/>
        <v>DAVIS WENDY</v>
      </c>
    </row>
    <row r="34" spans="1:7" x14ac:dyDescent="0.25">
      <c r="A34" s="8">
        <v>42901.246053240742</v>
      </c>
      <c r="B34" s="20" t="s">
        <v>373</v>
      </c>
      <c r="C34" s="20" t="s">
        <v>681</v>
      </c>
      <c r="D34" s="138">
        <v>940000</v>
      </c>
      <c r="E34" s="20" t="s">
        <v>479</v>
      </c>
      <c r="F34" s="20" t="s">
        <v>480</v>
      </c>
      <c r="G34" s="8" t="str">
        <f t="shared" si="0"/>
        <v>BONDS REYNALDO</v>
      </c>
    </row>
    <row r="35" spans="1:7" x14ac:dyDescent="0.25">
      <c r="A35" s="8">
        <v>42901.246770833335</v>
      </c>
      <c r="B35" s="20" t="s">
        <v>504</v>
      </c>
      <c r="C35" s="20" t="s">
        <v>682</v>
      </c>
      <c r="D35" s="138">
        <v>1110000</v>
      </c>
      <c r="E35" s="20" t="s">
        <v>481</v>
      </c>
      <c r="F35" s="20" t="s">
        <v>482</v>
      </c>
      <c r="G35" s="8" t="str">
        <f t="shared" si="0"/>
        <v>STARKS ANGELINA</v>
      </c>
    </row>
    <row r="36" spans="1:7" x14ac:dyDescent="0.25">
      <c r="A36" s="8">
        <v>42901.248460648145</v>
      </c>
      <c r="B36" s="20" t="s">
        <v>369</v>
      </c>
      <c r="C36" s="20" t="s">
        <v>683</v>
      </c>
      <c r="D36" s="138">
        <v>2730000</v>
      </c>
      <c r="E36" s="20" t="s">
        <v>684</v>
      </c>
      <c r="F36" s="20" t="s">
        <v>685</v>
      </c>
      <c r="G36" s="8" t="str">
        <f t="shared" si="0"/>
        <v>YANG JAN</v>
      </c>
    </row>
    <row r="37" spans="1:7" x14ac:dyDescent="0.25">
      <c r="A37" s="8">
        <v>42901.250833333332</v>
      </c>
      <c r="B37" s="20" t="s">
        <v>483</v>
      </c>
      <c r="C37" s="20" t="s">
        <v>686</v>
      </c>
      <c r="D37" s="138">
        <v>890000</v>
      </c>
      <c r="E37" s="20" t="s">
        <v>507</v>
      </c>
      <c r="F37" s="20" t="s">
        <v>508</v>
      </c>
      <c r="G37" s="8" t="str">
        <f t="shared" si="0"/>
        <v>LOZA FIDEL</v>
      </c>
    </row>
    <row r="38" spans="1:7" x14ac:dyDescent="0.25">
      <c r="A38" s="8">
        <v>42901.255428240744</v>
      </c>
      <c r="B38" s="20" t="s">
        <v>617</v>
      </c>
      <c r="C38" s="20" t="s">
        <v>621</v>
      </c>
      <c r="D38" s="138">
        <v>1990000</v>
      </c>
      <c r="E38" s="20" t="s">
        <v>415</v>
      </c>
      <c r="F38" s="20" t="s">
        <v>546</v>
      </c>
      <c r="G38" s="8" t="str">
        <f t="shared" si="0"/>
        <v>DAVIS WENDY</v>
      </c>
    </row>
    <row r="39" spans="1:7" x14ac:dyDescent="0.25">
      <c r="A39" s="8">
        <v>42901.257013888891</v>
      </c>
      <c r="B39" s="20" t="s">
        <v>341</v>
      </c>
      <c r="C39" s="20" t="s">
        <v>687</v>
      </c>
      <c r="D39" s="138">
        <v>1100000</v>
      </c>
      <c r="E39" s="20" t="s">
        <v>550</v>
      </c>
      <c r="F39" s="20" t="s">
        <v>551</v>
      </c>
      <c r="G39" s="8" t="str">
        <f t="shared" si="0"/>
        <v>GEBRETEKLE DAGNEW</v>
      </c>
    </row>
    <row r="40" spans="1:7" x14ac:dyDescent="0.25">
      <c r="A40" s="8">
        <v>42901.259733796294</v>
      </c>
      <c r="B40" s="25" t="s">
        <v>449</v>
      </c>
      <c r="C40" s="20" t="s">
        <v>623</v>
      </c>
      <c r="D40" s="138">
        <v>3040000</v>
      </c>
      <c r="E40" s="20" t="s">
        <v>383</v>
      </c>
      <c r="F40" s="20" t="s">
        <v>384</v>
      </c>
      <c r="G40" s="8" t="str">
        <f t="shared" si="0"/>
        <v>WILLIAMS DONTE</v>
      </c>
    </row>
    <row r="41" spans="1:7" x14ac:dyDescent="0.25">
      <c r="A41" s="8">
        <v>42901.260231481479</v>
      </c>
      <c r="B41" s="20" t="s">
        <v>375</v>
      </c>
      <c r="C41" s="20" t="s">
        <v>622</v>
      </c>
      <c r="D41" s="138">
        <v>2730000</v>
      </c>
      <c r="E41" s="20" t="s">
        <v>684</v>
      </c>
      <c r="F41" s="20" t="s">
        <v>685</v>
      </c>
      <c r="G41" s="8" t="str">
        <f t="shared" si="0"/>
        <v>YANG JAN</v>
      </c>
    </row>
    <row r="42" spans="1:7" x14ac:dyDescent="0.25">
      <c r="A42" s="8">
        <v>42901.266817129632</v>
      </c>
      <c r="B42" s="20" t="s">
        <v>443</v>
      </c>
      <c r="C42" s="20" t="s">
        <v>688</v>
      </c>
      <c r="D42" s="138">
        <v>2970000</v>
      </c>
      <c r="E42" s="20" t="s">
        <v>380</v>
      </c>
      <c r="F42" s="20" t="s">
        <v>381</v>
      </c>
      <c r="G42" s="8" t="str">
        <f t="shared" si="0"/>
        <v>GUZMAN DANNY</v>
      </c>
    </row>
    <row r="43" spans="1:7" x14ac:dyDescent="0.25">
      <c r="A43" s="8">
        <v>42901.275902777779</v>
      </c>
      <c r="B43" s="20" t="s">
        <v>369</v>
      </c>
      <c r="C43" s="20" t="s">
        <v>689</v>
      </c>
      <c r="D43" s="138">
        <v>2730000</v>
      </c>
      <c r="E43" s="20" t="s">
        <v>684</v>
      </c>
      <c r="F43" s="20" t="s">
        <v>685</v>
      </c>
      <c r="G43" s="8" t="str">
        <f t="shared" si="0"/>
        <v>YANG JAN</v>
      </c>
    </row>
    <row r="44" spans="1:7" x14ac:dyDescent="0.25">
      <c r="A44" s="8">
        <v>42901.276782407411</v>
      </c>
      <c r="B44" s="20" t="s">
        <v>625</v>
      </c>
      <c r="C44" s="20" t="s">
        <v>626</v>
      </c>
      <c r="D44" s="138">
        <v>1540000</v>
      </c>
      <c r="E44" s="20" t="s">
        <v>484</v>
      </c>
      <c r="F44" s="20" t="s">
        <v>485</v>
      </c>
      <c r="G44" s="8" t="str">
        <f t="shared" si="0"/>
        <v>HELVIE ADAM</v>
      </c>
    </row>
    <row r="45" spans="1:7" x14ac:dyDescent="0.25">
      <c r="A45" s="8">
        <v>42901.278912037036</v>
      </c>
      <c r="B45" s="20" t="s">
        <v>503</v>
      </c>
      <c r="C45" s="20" t="s">
        <v>690</v>
      </c>
      <c r="D45" s="138">
        <v>1110000</v>
      </c>
      <c r="E45" s="20" t="s">
        <v>481</v>
      </c>
      <c r="F45" s="20" t="s">
        <v>482</v>
      </c>
      <c r="G45" s="8" t="str">
        <f t="shared" si="0"/>
        <v>STARKS ANGELINA</v>
      </c>
    </row>
    <row r="46" spans="1:7" x14ac:dyDescent="0.25">
      <c r="A46" s="8">
        <v>42901.283912037034</v>
      </c>
      <c r="B46" s="20" t="s">
        <v>615</v>
      </c>
      <c r="C46" s="20" t="s">
        <v>624</v>
      </c>
      <c r="D46" s="138">
        <v>1990000</v>
      </c>
      <c r="E46" s="20" t="s">
        <v>415</v>
      </c>
      <c r="F46" s="20" t="s">
        <v>546</v>
      </c>
      <c r="G46" s="8" t="str">
        <f t="shared" si="0"/>
        <v>DAVIS WENDY</v>
      </c>
    </row>
    <row r="47" spans="1:7" x14ac:dyDescent="0.25">
      <c r="A47" s="8">
        <v>42901.287465277775</v>
      </c>
      <c r="B47" s="20" t="s">
        <v>366</v>
      </c>
      <c r="C47" s="20" t="s">
        <v>691</v>
      </c>
      <c r="D47" s="138">
        <v>1100000</v>
      </c>
      <c r="E47" s="20" t="s">
        <v>550</v>
      </c>
      <c r="F47" s="20" t="s">
        <v>551</v>
      </c>
      <c r="G47" s="8" t="str">
        <f t="shared" si="0"/>
        <v>GEBRETEKLE DAGNEW</v>
      </c>
    </row>
    <row r="48" spans="1:7" x14ac:dyDescent="0.25">
      <c r="A48" s="8">
        <v>42901.287465277775</v>
      </c>
      <c r="B48" s="20" t="s">
        <v>370</v>
      </c>
      <c r="C48" s="20" t="s">
        <v>692</v>
      </c>
      <c r="D48" s="138">
        <v>940000</v>
      </c>
      <c r="E48" s="20" t="s">
        <v>479</v>
      </c>
      <c r="F48" s="20" t="s">
        <v>480</v>
      </c>
      <c r="G48" s="8" t="str">
        <f t="shared" si="0"/>
        <v>BONDS REYNALDO</v>
      </c>
    </row>
    <row r="49" spans="1:7" x14ac:dyDescent="0.25">
      <c r="A49" s="8">
        <v>42901.289479166669</v>
      </c>
      <c r="B49" s="20" t="s">
        <v>477</v>
      </c>
      <c r="C49" s="20" t="s">
        <v>693</v>
      </c>
      <c r="D49" s="138">
        <v>890000</v>
      </c>
      <c r="E49" s="20" t="s">
        <v>507</v>
      </c>
      <c r="F49" s="20" t="s">
        <v>508</v>
      </c>
      <c r="G49" s="8" t="str">
        <f t="shared" si="0"/>
        <v>LOZA FIDEL</v>
      </c>
    </row>
    <row r="50" spans="1:7" x14ac:dyDescent="0.25">
      <c r="A50" s="8">
        <v>42901.295486111114</v>
      </c>
      <c r="B50" s="20" t="s">
        <v>375</v>
      </c>
      <c r="C50" s="20" t="s">
        <v>694</v>
      </c>
      <c r="D50" s="138">
        <v>2730000</v>
      </c>
      <c r="E50" s="20" t="s">
        <v>684</v>
      </c>
      <c r="F50" s="20" t="s">
        <v>685</v>
      </c>
      <c r="G50" s="8" t="str">
        <f t="shared" si="0"/>
        <v>YANG JAN</v>
      </c>
    </row>
    <row r="51" spans="1:7" x14ac:dyDescent="0.25">
      <c r="A51" s="8">
        <v>42901.296782407408</v>
      </c>
      <c r="B51" s="20" t="s">
        <v>617</v>
      </c>
      <c r="C51" s="20" t="s">
        <v>695</v>
      </c>
      <c r="D51" s="138">
        <v>1990000</v>
      </c>
      <c r="E51" s="20" t="s">
        <v>415</v>
      </c>
      <c r="F51" s="20" t="s">
        <v>546</v>
      </c>
      <c r="G51" s="8" t="str">
        <f t="shared" si="0"/>
        <v>DAVIS WENDY</v>
      </c>
    </row>
    <row r="52" spans="1:7" x14ac:dyDescent="0.25">
      <c r="A52" s="8">
        <v>42901.29891203704</v>
      </c>
      <c r="B52" s="20" t="s">
        <v>442</v>
      </c>
      <c r="C52" s="20" t="s">
        <v>696</v>
      </c>
      <c r="D52" s="138">
        <v>2970000</v>
      </c>
      <c r="E52" s="20" t="s">
        <v>380</v>
      </c>
      <c r="F52" s="20" t="s">
        <v>381</v>
      </c>
      <c r="G52" s="8" t="str">
        <f t="shared" si="0"/>
        <v>GUZMAN DANNY</v>
      </c>
    </row>
    <row r="53" spans="1:7" x14ac:dyDescent="0.25">
      <c r="A53" s="8">
        <v>42901.301180555558</v>
      </c>
      <c r="B53" s="20" t="s">
        <v>448</v>
      </c>
      <c r="C53" s="20" t="s">
        <v>697</v>
      </c>
      <c r="D53" s="138">
        <v>3040000</v>
      </c>
      <c r="E53" s="20" t="s">
        <v>383</v>
      </c>
      <c r="F53" s="20" t="s">
        <v>384</v>
      </c>
      <c r="G53" s="8" t="str">
        <f t="shared" si="0"/>
        <v>WILLIAMS DONTE</v>
      </c>
    </row>
    <row r="54" spans="1:7" x14ac:dyDescent="0.25">
      <c r="A54" s="8">
        <v>42901.310983796298</v>
      </c>
      <c r="B54" s="20" t="s">
        <v>358</v>
      </c>
      <c r="C54" s="20" t="s">
        <v>698</v>
      </c>
      <c r="D54" s="138">
        <v>1540000</v>
      </c>
      <c r="E54" s="20" t="s">
        <v>484</v>
      </c>
      <c r="F54" s="20" t="s">
        <v>485</v>
      </c>
      <c r="G54" s="8" t="str">
        <f t="shared" si="0"/>
        <v>HELVIE ADAM</v>
      </c>
    </row>
    <row r="55" spans="1:7" x14ac:dyDescent="0.25">
      <c r="A55" s="8">
        <v>42901.317858796298</v>
      </c>
      <c r="B55" s="20" t="s">
        <v>369</v>
      </c>
      <c r="C55" s="20" t="s">
        <v>699</v>
      </c>
      <c r="D55" s="138">
        <v>2730000</v>
      </c>
      <c r="E55" s="20" t="s">
        <v>684</v>
      </c>
      <c r="F55" s="20" t="s">
        <v>685</v>
      </c>
      <c r="G55" s="8" t="str">
        <f t="shared" si="0"/>
        <v>YANG JAN</v>
      </c>
    </row>
    <row r="56" spans="1:7" x14ac:dyDescent="0.25">
      <c r="A56" s="8">
        <v>42901.319525462961</v>
      </c>
      <c r="B56" s="20" t="s">
        <v>504</v>
      </c>
      <c r="C56" s="20" t="s">
        <v>700</v>
      </c>
      <c r="D56" s="138">
        <v>1110000</v>
      </c>
      <c r="E56" s="20" t="s">
        <v>481</v>
      </c>
      <c r="F56" s="20" t="s">
        <v>482</v>
      </c>
      <c r="G56" s="8" t="str">
        <f t="shared" si="0"/>
        <v>STARKS ANGELINA</v>
      </c>
    </row>
    <row r="57" spans="1:7" x14ac:dyDescent="0.25">
      <c r="A57" s="8">
        <v>42901.319594907407</v>
      </c>
      <c r="B57" s="20" t="s">
        <v>373</v>
      </c>
      <c r="C57" s="20" t="s">
        <v>701</v>
      </c>
      <c r="D57" s="138">
        <v>940000</v>
      </c>
      <c r="E57" s="20" t="s">
        <v>479</v>
      </c>
      <c r="F57" s="20" t="s">
        <v>480</v>
      </c>
      <c r="G57" s="8" t="str">
        <f t="shared" si="0"/>
        <v>BONDS REYNALDO</v>
      </c>
    </row>
    <row r="58" spans="1:7" x14ac:dyDescent="0.25">
      <c r="A58" s="8">
        <v>42901.326215277775</v>
      </c>
      <c r="B58" s="20" t="s">
        <v>615</v>
      </c>
      <c r="C58" s="20" t="s">
        <v>627</v>
      </c>
      <c r="D58" s="138">
        <v>1990000</v>
      </c>
      <c r="E58" s="20" t="s">
        <v>415</v>
      </c>
      <c r="F58" s="20" t="s">
        <v>546</v>
      </c>
      <c r="G58" s="8" t="str">
        <f t="shared" si="0"/>
        <v>DAVIS WENDY</v>
      </c>
    </row>
    <row r="59" spans="1:7" x14ac:dyDescent="0.25">
      <c r="A59" s="8">
        <v>42901.329629629632</v>
      </c>
      <c r="B59" s="20" t="s">
        <v>483</v>
      </c>
      <c r="C59" s="20" t="s">
        <v>702</v>
      </c>
      <c r="D59" s="138">
        <v>890000</v>
      </c>
      <c r="E59" s="20" t="s">
        <v>507</v>
      </c>
      <c r="F59" s="20" t="s">
        <v>508</v>
      </c>
      <c r="G59" s="8" t="str">
        <f t="shared" si="0"/>
        <v>LOZA FIDEL</v>
      </c>
    </row>
    <row r="60" spans="1:7" x14ac:dyDescent="0.25">
      <c r="A60" s="8">
        <v>42901.330752314818</v>
      </c>
      <c r="B60" s="20" t="s">
        <v>341</v>
      </c>
      <c r="C60" s="20" t="s">
        <v>703</v>
      </c>
      <c r="D60" s="138">
        <v>1100000</v>
      </c>
      <c r="E60" s="20" t="s">
        <v>550</v>
      </c>
      <c r="F60" s="20" t="s">
        <v>551</v>
      </c>
      <c r="G60" s="8" t="str">
        <f t="shared" si="0"/>
        <v>GEBRETEKLE DAGNEW</v>
      </c>
    </row>
    <row r="61" spans="1:7" x14ac:dyDescent="0.25">
      <c r="A61" s="8">
        <v>42901.331006944441</v>
      </c>
      <c r="B61" s="20" t="s">
        <v>449</v>
      </c>
      <c r="C61" s="20" t="s">
        <v>704</v>
      </c>
      <c r="D61" s="138">
        <v>3040000</v>
      </c>
      <c r="E61" s="20" t="s">
        <v>383</v>
      </c>
      <c r="F61" s="20" t="s">
        <v>384</v>
      </c>
      <c r="G61" s="8" t="str">
        <f t="shared" si="0"/>
        <v>WILLIAMS DONTE</v>
      </c>
    </row>
    <row r="62" spans="1:7" x14ac:dyDescent="0.25">
      <c r="A62" s="8">
        <v>42901.333391203705</v>
      </c>
      <c r="B62" s="20" t="s">
        <v>375</v>
      </c>
      <c r="C62" s="20" t="s">
        <v>705</v>
      </c>
      <c r="D62" s="138">
        <v>2730000</v>
      </c>
      <c r="E62" s="20" t="s">
        <v>684</v>
      </c>
      <c r="F62" s="20" t="s">
        <v>685</v>
      </c>
      <c r="G62" s="8" t="str">
        <f t="shared" si="0"/>
        <v>YANG JAN</v>
      </c>
    </row>
    <row r="63" spans="1:7" x14ac:dyDescent="0.25">
      <c r="A63" s="8">
        <v>42901.33866898148</v>
      </c>
      <c r="B63" s="20" t="s">
        <v>617</v>
      </c>
      <c r="C63" s="20" t="s">
        <v>706</v>
      </c>
      <c r="D63" s="138">
        <v>1990000</v>
      </c>
      <c r="E63" s="20" t="s">
        <v>415</v>
      </c>
      <c r="F63" s="20" t="s">
        <v>546</v>
      </c>
      <c r="G63" s="8" t="str">
        <f t="shared" si="0"/>
        <v>DAVIS WENDY</v>
      </c>
    </row>
    <row r="64" spans="1:7" x14ac:dyDescent="0.25">
      <c r="A64" s="26">
        <v>42901.340011574073</v>
      </c>
      <c r="B64" s="20" t="s">
        <v>443</v>
      </c>
      <c r="C64" s="20" t="s">
        <v>707</v>
      </c>
      <c r="D64" s="138">
        <v>2970000</v>
      </c>
      <c r="E64" s="20" t="s">
        <v>380</v>
      </c>
      <c r="F64" s="20" t="s">
        <v>381</v>
      </c>
      <c r="G64" s="8" t="str">
        <f t="shared" si="0"/>
        <v>GUZMAN DANNY</v>
      </c>
    </row>
    <row r="65" spans="1:7" x14ac:dyDescent="0.25">
      <c r="A65" s="8">
        <v>42901.349814814814</v>
      </c>
      <c r="B65" s="20" t="s">
        <v>625</v>
      </c>
      <c r="C65" s="20" t="s">
        <v>708</v>
      </c>
      <c r="D65" s="138">
        <v>1540000</v>
      </c>
      <c r="E65" s="20" t="s">
        <v>484</v>
      </c>
      <c r="F65" s="20" t="s">
        <v>485</v>
      </c>
      <c r="G65" s="8" t="str">
        <f t="shared" si="0"/>
        <v>HELVIE ADAM</v>
      </c>
    </row>
    <row r="66" spans="1:7" x14ac:dyDescent="0.25">
      <c r="A66" s="8">
        <v>42901.352534722224</v>
      </c>
      <c r="B66" s="20" t="s">
        <v>615</v>
      </c>
      <c r="C66" s="20" t="s">
        <v>709</v>
      </c>
      <c r="D66" s="138">
        <v>1990000</v>
      </c>
      <c r="E66" s="20" t="s">
        <v>415</v>
      </c>
      <c r="F66" s="20" t="s">
        <v>546</v>
      </c>
      <c r="G66" s="8" t="str">
        <f t="shared" si="0"/>
        <v>DAVIS WENDY</v>
      </c>
    </row>
    <row r="67" spans="1:7" x14ac:dyDescent="0.25">
      <c r="A67" s="8">
        <v>42901.353298611109</v>
      </c>
      <c r="B67" s="20" t="s">
        <v>503</v>
      </c>
      <c r="C67" s="20" t="s">
        <v>628</v>
      </c>
      <c r="D67" s="138">
        <v>1110000</v>
      </c>
      <c r="E67" s="20" t="s">
        <v>481</v>
      </c>
      <c r="F67" s="20" t="s">
        <v>482</v>
      </c>
      <c r="G67" s="8" t="str">
        <f t="shared" ref="G67:G130" si="1">E67&amp;" "&amp;F67</f>
        <v>STARKS ANGELINA</v>
      </c>
    </row>
    <row r="68" spans="1:7" x14ac:dyDescent="0.25">
      <c r="A68" s="8">
        <v>42901.359560185185</v>
      </c>
      <c r="B68" s="20" t="s">
        <v>369</v>
      </c>
      <c r="C68" s="20" t="s">
        <v>710</v>
      </c>
      <c r="D68" s="138">
        <v>2730000</v>
      </c>
      <c r="E68" s="20" t="s">
        <v>684</v>
      </c>
      <c r="F68" s="20" t="s">
        <v>685</v>
      </c>
      <c r="G68" s="8" t="str">
        <f t="shared" si="1"/>
        <v>YANG JAN</v>
      </c>
    </row>
    <row r="69" spans="1:7" x14ac:dyDescent="0.25">
      <c r="A69" s="8">
        <v>42901.360706018517</v>
      </c>
      <c r="B69" s="20" t="s">
        <v>366</v>
      </c>
      <c r="C69" s="20" t="s">
        <v>711</v>
      </c>
      <c r="D69" s="138">
        <v>1100000</v>
      </c>
      <c r="E69" s="20" t="s">
        <v>550</v>
      </c>
      <c r="F69" s="20" t="s">
        <v>551</v>
      </c>
      <c r="G69" s="8" t="str">
        <f t="shared" si="1"/>
        <v>GEBRETEKLE DAGNEW</v>
      </c>
    </row>
    <row r="70" spans="1:7" x14ac:dyDescent="0.25">
      <c r="A70" s="8">
        <v>42901.360983796294</v>
      </c>
      <c r="B70" s="20" t="s">
        <v>370</v>
      </c>
      <c r="C70" s="20" t="s">
        <v>712</v>
      </c>
      <c r="D70" s="138">
        <v>940000</v>
      </c>
      <c r="E70" s="20" t="s">
        <v>479</v>
      </c>
      <c r="F70" s="20" t="s">
        <v>480</v>
      </c>
      <c r="G70" s="8" t="str">
        <f t="shared" si="1"/>
        <v>BONDS REYNALDO</v>
      </c>
    </row>
    <row r="71" spans="1:7" x14ac:dyDescent="0.25">
      <c r="A71" s="8">
        <v>42901.361226851855</v>
      </c>
      <c r="B71" s="20" t="s">
        <v>477</v>
      </c>
      <c r="C71" s="20" t="s">
        <v>713</v>
      </c>
      <c r="D71" s="138">
        <v>890000</v>
      </c>
      <c r="E71" s="20" t="s">
        <v>507</v>
      </c>
      <c r="F71" s="20" t="s">
        <v>508</v>
      </c>
      <c r="G71" s="8" t="str">
        <f t="shared" si="1"/>
        <v>LOZA FIDEL</v>
      </c>
    </row>
    <row r="72" spans="1:7" x14ac:dyDescent="0.25">
      <c r="A72" s="8">
        <v>42901.371898148151</v>
      </c>
      <c r="B72" s="20" t="s">
        <v>442</v>
      </c>
      <c r="C72" s="20" t="s">
        <v>630</v>
      </c>
      <c r="D72" s="138">
        <v>2970000</v>
      </c>
      <c r="E72" s="20" t="s">
        <v>380</v>
      </c>
      <c r="F72" s="20" t="s">
        <v>381</v>
      </c>
      <c r="G72" s="8" t="str">
        <f t="shared" si="1"/>
        <v>GUZMAN DANNY</v>
      </c>
    </row>
    <row r="73" spans="1:7" x14ac:dyDescent="0.25">
      <c r="A73" s="8">
        <v>42901.372546296298</v>
      </c>
      <c r="B73" s="20" t="s">
        <v>448</v>
      </c>
      <c r="C73" s="20" t="s">
        <v>714</v>
      </c>
      <c r="D73" s="138">
        <v>3040000</v>
      </c>
      <c r="E73" s="20" t="s">
        <v>383</v>
      </c>
      <c r="F73" s="20" t="s">
        <v>384</v>
      </c>
      <c r="G73" s="8" t="str">
        <f t="shared" si="1"/>
        <v>WILLIAMS DONTE</v>
      </c>
    </row>
    <row r="74" spans="1:7" x14ac:dyDescent="0.25">
      <c r="A74" s="8">
        <v>42901.380150462966</v>
      </c>
      <c r="B74" s="20" t="s">
        <v>339</v>
      </c>
      <c r="C74" s="20" t="s">
        <v>715</v>
      </c>
      <c r="D74" s="138">
        <v>1340000</v>
      </c>
      <c r="E74" s="20" t="s">
        <v>548</v>
      </c>
      <c r="F74" s="20" t="s">
        <v>549</v>
      </c>
      <c r="G74" s="8" t="str">
        <f t="shared" si="1"/>
        <v>BEAM ROSS</v>
      </c>
    </row>
    <row r="75" spans="1:7" x14ac:dyDescent="0.25">
      <c r="A75" s="8">
        <v>42901.382395833331</v>
      </c>
      <c r="B75" s="20" t="s">
        <v>358</v>
      </c>
      <c r="C75" s="20" t="s">
        <v>716</v>
      </c>
      <c r="D75" s="138">
        <v>1540000</v>
      </c>
      <c r="E75" s="20" t="s">
        <v>484</v>
      </c>
      <c r="F75" s="20" t="s">
        <v>485</v>
      </c>
      <c r="G75" s="8" t="str">
        <f t="shared" si="1"/>
        <v>HELVIE ADAM</v>
      </c>
    </row>
    <row r="76" spans="1:7" x14ac:dyDescent="0.25">
      <c r="A76" s="8">
        <v>42901.385462962964</v>
      </c>
      <c r="B76" s="20" t="s">
        <v>375</v>
      </c>
      <c r="C76" s="20" t="s">
        <v>717</v>
      </c>
      <c r="D76" s="138">
        <v>2730000</v>
      </c>
      <c r="E76" s="20" t="s">
        <v>684</v>
      </c>
      <c r="F76" s="20" t="s">
        <v>685</v>
      </c>
      <c r="G76" s="8" t="str">
        <f t="shared" si="1"/>
        <v>YANG JAN</v>
      </c>
    </row>
    <row r="77" spans="1:7" x14ac:dyDescent="0.25">
      <c r="A77" s="8">
        <v>42901.391087962962</v>
      </c>
      <c r="B77" s="20" t="s">
        <v>504</v>
      </c>
      <c r="C77" s="20" t="s">
        <v>629</v>
      </c>
      <c r="D77" s="138">
        <v>1110000</v>
      </c>
      <c r="E77" s="20" t="s">
        <v>481</v>
      </c>
      <c r="F77" s="20" t="s">
        <v>482</v>
      </c>
      <c r="G77" s="8" t="str">
        <f t="shared" si="1"/>
        <v>STARKS ANGELINA</v>
      </c>
    </row>
    <row r="78" spans="1:7" x14ac:dyDescent="0.25">
      <c r="A78" s="8">
        <v>42901.392916666664</v>
      </c>
      <c r="B78" s="20" t="s">
        <v>373</v>
      </c>
      <c r="C78" s="20" t="s">
        <v>718</v>
      </c>
      <c r="D78" s="138">
        <v>940000</v>
      </c>
      <c r="E78" s="20" t="s">
        <v>479</v>
      </c>
      <c r="F78" s="20" t="s">
        <v>480</v>
      </c>
      <c r="G78" s="8" t="str">
        <f t="shared" si="1"/>
        <v>BONDS REYNALDO</v>
      </c>
    </row>
    <row r="79" spans="1:7" x14ac:dyDescent="0.25">
      <c r="A79" s="8">
        <v>42901.39471064815</v>
      </c>
      <c r="B79" s="20" t="s">
        <v>483</v>
      </c>
      <c r="C79" s="20" t="s">
        <v>631</v>
      </c>
      <c r="D79" s="138">
        <v>890000</v>
      </c>
      <c r="E79" s="20" t="s">
        <v>507</v>
      </c>
      <c r="F79" s="20" t="s">
        <v>508</v>
      </c>
      <c r="G79" s="8" t="str">
        <f t="shared" si="1"/>
        <v>LOZA FIDEL</v>
      </c>
    </row>
    <row r="80" spans="1:7" x14ac:dyDescent="0.25">
      <c r="A80" s="8">
        <v>42901.401724537034</v>
      </c>
      <c r="B80" s="20" t="s">
        <v>369</v>
      </c>
      <c r="C80" s="20" t="s">
        <v>719</v>
      </c>
      <c r="D80" s="138">
        <v>2730000</v>
      </c>
      <c r="E80" s="20" t="s">
        <v>684</v>
      </c>
      <c r="F80" s="20" t="s">
        <v>685</v>
      </c>
      <c r="G80" s="8" t="str">
        <f t="shared" si="1"/>
        <v>YANG JAN</v>
      </c>
    </row>
    <row r="81" spans="1:7" x14ac:dyDescent="0.25">
      <c r="A81" s="8">
        <v>42901.402812499997</v>
      </c>
      <c r="B81" s="20" t="s">
        <v>341</v>
      </c>
      <c r="C81" s="20" t="s">
        <v>720</v>
      </c>
      <c r="D81" s="138">
        <v>1100000</v>
      </c>
      <c r="E81" s="20" t="s">
        <v>550</v>
      </c>
      <c r="F81" s="20" t="s">
        <v>551</v>
      </c>
      <c r="G81" s="8" t="str">
        <f t="shared" si="1"/>
        <v>GEBRETEKLE DAGNEW</v>
      </c>
    </row>
    <row r="82" spans="1:7" x14ac:dyDescent="0.25">
      <c r="A82" s="8">
        <v>42901.404467592591</v>
      </c>
      <c r="B82" s="20" t="s">
        <v>449</v>
      </c>
      <c r="C82" s="20" t="s">
        <v>632</v>
      </c>
      <c r="D82" s="138">
        <v>3040000</v>
      </c>
      <c r="E82" s="20" t="s">
        <v>383</v>
      </c>
      <c r="F82" s="20" t="s">
        <v>384</v>
      </c>
      <c r="G82" s="8" t="str">
        <f t="shared" si="1"/>
        <v>WILLIAMS DONTE</v>
      </c>
    </row>
    <row r="83" spans="1:7" x14ac:dyDescent="0.25">
      <c r="A83" s="8">
        <v>42901.41300925926</v>
      </c>
      <c r="B83" s="20" t="s">
        <v>443</v>
      </c>
      <c r="C83" s="20" t="s">
        <v>721</v>
      </c>
      <c r="D83" s="138">
        <v>2970000</v>
      </c>
      <c r="E83" s="20" t="s">
        <v>380</v>
      </c>
      <c r="F83" s="20" t="s">
        <v>381</v>
      </c>
      <c r="G83" s="8" t="str">
        <f t="shared" si="1"/>
        <v>GUZMAN DANNY</v>
      </c>
    </row>
    <row r="84" spans="1:7" x14ac:dyDescent="0.25">
      <c r="A84" s="8">
        <v>42901.416481481479</v>
      </c>
      <c r="B84" s="20" t="s">
        <v>399</v>
      </c>
      <c r="C84" s="20" t="s">
        <v>722</v>
      </c>
      <c r="D84" s="138">
        <v>900000</v>
      </c>
      <c r="E84" s="20" t="s">
        <v>723</v>
      </c>
      <c r="F84" s="20" t="s">
        <v>724</v>
      </c>
      <c r="G84" s="8" t="str">
        <f t="shared" si="1"/>
        <v>ROCHA YAOTL</v>
      </c>
    </row>
    <row r="85" spans="1:7" x14ac:dyDescent="0.25">
      <c r="A85" s="8">
        <v>42901.421006944445</v>
      </c>
      <c r="B85" s="20" t="s">
        <v>375</v>
      </c>
      <c r="C85" s="20" t="s">
        <v>725</v>
      </c>
      <c r="D85" s="138">
        <v>2730000</v>
      </c>
      <c r="E85" s="20" t="s">
        <v>684</v>
      </c>
      <c r="F85" s="20" t="s">
        <v>685</v>
      </c>
      <c r="G85" s="8" t="str">
        <f t="shared" si="1"/>
        <v>YANG JAN</v>
      </c>
    </row>
    <row r="86" spans="1:7" x14ac:dyDescent="0.25">
      <c r="A86" s="8">
        <v>42901.423171296294</v>
      </c>
      <c r="B86" s="20" t="s">
        <v>625</v>
      </c>
      <c r="C86" s="20" t="s">
        <v>726</v>
      </c>
      <c r="D86" s="138">
        <v>1540000</v>
      </c>
      <c r="E86" s="20" t="s">
        <v>484</v>
      </c>
      <c r="F86" s="20" t="s">
        <v>485</v>
      </c>
      <c r="G86" s="8" t="str">
        <f t="shared" si="1"/>
        <v>HELVIE ADAM</v>
      </c>
    </row>
    <row r="87" spans="1:7" x14ac:dyDescent="0.25">
      <c r="A87" s="8">
        <v>42901.425358796296</v>
      </c>
      <c r="B87" s="20" t="s">
        <v>503</v>
      </c>
      <c r="C87" s="20" t="s">
        <v>727</v>
      </c>
      <c r="D87" s="138">
        <v>1990000</v>
      </c>
      <c r="E87" s="20" t="s">
        <v>415</v>
      </c>
      <c r="F87" s="20" t="s">
        <v>546</v>
      </c>
      <c r="G87" s="8" t="str">
        <f t="shared" si="1"/>
        <v>DAVIS WENDY</v>
      </c>
    </row>
    <row r="88" spans="1:7" x14ac:dyDescent="0.25">
      <c r="A88" s="8">
        <v>42901.426053240742</v>
      </c>
      <c r="B88" s="20" t="s">
        <v>398</v>
      </c>
      <c r="C88" s="20" t="s">
        <v>722</v>
      </c>
      <c r="D88" s="138">
        <v>900000</v>
      </c>
      <c r="E88" s="20" t="s">
        <v>723</v>
      </c>
      <c r="F88" s="20" t="s">
        <v>724</v>
      </c>
      <c r="G88" s="8" t="str">
        <f t="shared" si="1"/>
        <v>ROCHA YAOTL</v>
      </c>
    </row>
    <row r="89" spans="1:7" x14ac:dyDescent="0.25">
      <c r="A89" s="8">
        <v>42901.432291666664</v>
      </c>
      <c r="B89" s="20" t="s">
        <v>366</v>
      </c>
      <c r="C89" s="20" t="s">
        <v>728</v>
      </c>
      <c r="D89" s="138">
        <v>1100000</v>
      </c>
      <c r="E89" s="20" t="s">
        <v>550</v>
      </c>
      <c r="F89" s="20" t="s">
        <v>551</v>
      </c>
      <c r="G89" s="8" t="str">
        <f t="shared" si="1"/>
        <v>GEBRETEKLE DAGNEW</v>
      </c>
    </row>
    <row r="90" spans="1:7" x14ac:dyDescent="0.25">
      <c r="A90" s="8">
        <v>42901.433287037034</v>
      </c>
      <c r="B90" s="20" t="s">
        <v>370</v>
      </c>
      <c r="C90" s="20" t="s">
        <v>729</v>
      </c>
      <c r="D90" s="138">
        <v>940000</v>
      </c>
      <c r="E90" s="20" t="s">
        <v>479</v>
      </c>
      <c r="F90" s="20" t="s">
        <v>480</v>
      </c>
      <c r="G90" s="8" t="str">
        <f t="shared" si="1"/>
        <v>BONDS REYNALDO</v>
      </c>
    </row>
    <row r="91" spans="1:7" x14ac:dyDescent="0.25">
      <c r="A91" s="8">
        <v>42901.43414351852</v>
      </c>
      <c r="B91" s="20" t="s">
        <v>477</v>
      </c>
      <c r="C91" s="20" t="s">
        <v>730</v>
      </c>
      <c r="D91" s="138">
        <v>890000</v>
      </c>
      <c r="E91" s="20" t="s">
        <v>507</v>
      </c>
      <c r="F91" s="20" t="s">
        <v>508</v>
      </c>
      <c r="G91" s="8" t="str">
        <f t="shared" si="1"/>
        <v>LOZA FIDEL</v>
      </c>
    </row>
    <row r="92" spans="1:7" x14ac:dyDescent="0.25">
      <c r="A92" s="8">
        <v>42901.442696759259</v>
      </c>
      <c r="B92" s="20" t="s">
        <v>369</v>
      </c>
      <c r="C92" s="20" t="s">
        <v>633</v>
      </c>
      <c r="D92" s="138">
        <v>2730000</v>
      </c>
      <c r="E92" s="20" t="s">
        <v>684</v>
      </c>
      <c r="F92" s="20" t="s">
        <v>685</v>
      </c>
      <c r="G92" s="8" t="str">
        <f t="shared" si="1"/>
        <v>YANG JAN</v>
      </c>
    </row>
    <row r="93" spans="1:7" x14ac:dyDescent="0.25">
      <c r="A93" s="8">
        <v>42901.445196759261</v>
      </c>
      <c r="B93" s="20" t="s">
        <v>442</v>
      </c>
      <c r="C93" s="20" t="s">
        <v>731</v>
      </c>
      <c r="D93" s="138">
        <v>2970000</v>
      </c>
      <c r="E93" s="20" t="s">
        <v>380</v>
      </c>
      <c r="F93" s="20" t="s">
        <v>381</v>
      </c>
      <c r="G93" s="8" t="str">
        <f t="shared" si="1"/>
        <v>GUZMAN DANNY</v>
      </c>
    </row>
    <row r="94" spans="1:7" x14ac:dyDescent="0.25">
      <c r="A94" s="8">
        <v>42901.445833333331</v>
      </c>
      <c r="B94" s="20" t="s">
        <v>544</v>
      </c>
      <c r="C94" s="20" t="s">
        <v>732</v>
      </c>
      <c r="D94" s="138">
        <v>2140000</v>
      </c>
      <c r="E94" s="20" t="s">
        <v>413</v>
      </c>
      <c r="F94" s="20" t="s">
        <v>414</v>
      </c>
      <c r="G94" s="8" t="str">
        <f t="shared" si="1"/>
        <v>ROBINSON KADDIBA</v>
      </c>
    </row>
    <row r="95" spans="1:7" x14ac:dyDescent="0.25">
      <c r="A95" s="8">
        <v>42901.446018518516</v>
      </c>
      <c r="B95" s="20" t="s">
        <v>448</v>
      </c>
      <c r="C95" s="20" t="s">
        <v>733</v>
      </c>
      <c r="D95" s="138">
        <v>3010000</v>
      </c>
      <c r="E95" s="20" t="s">
        <v>394</v>
      </c>
      <c r="F95" s="20" t="s">
        <v>395</v>
      </c>
      <c r="G95" s="8" t="str">
        <f t="shared" si="1"/>
        <v>SULLIVAN BRANDON</v>
      </c>
    </row>
    <row r="96" spans="1:7" x14ac:dyDescent="0.25">
      <c r="A96" s="8">
        <v>42901.456562500003</v>
      </c>
      <c r="B96" s="20" t="s">
        <v>358</v>
      </c>
      <c r="C96" s="20" t="s">
        <v>734</v>
      </c>
      <c r="D96" s="138">
        <v>1540000</v>
      </c>
      <c r="E96" s="20" t="s">
        <v>484</v>
      </c>
      <c r="F96" s="20" t="s">
        <v>485</v>
      </c>
      <c r="G96" s="8" t="str">
        <f t="shared" si="1"/>
        <v>HELVIE ADAM</v>
      </c>
    </row>
    <row r="97" spans="1:7" x14ac:dyDescent="0.25">
      <c r="A97" s="8">
        <v>42901.461168981485</v>
      </c>
      <c r="B97" s="20" t="s">
        <v>375</v>
      </c>
      <c r="C97" s="20" t="s">
        <v>735</v>
      </c>
      <c r="D97" s="138">
        <v>2730000</v>
      </c>
      <c r="E97" s="20" t="s">
        <v>684</v>
      </c>
      <c r="F97" s="20" t="s">
        <v>685</v>
      </c>
      <c r="G97" s="8" t="str">
        <f t="shared" si="1"/>
        <v>YANG JAN</v>
      </c>
    </row>
    <row r="98" spans="1:7" x14ac:dyDescent="0.25">
      <c r="A98" s="8">
        <v>42901.464953703704</v>
      </c>
      <c r="B98" s="20" t="s">
        <v>504</v>
      </c>
      <c r="C98" s="20" t="s">
        <v>736</v>
      </c>
      <c r="D98" s="138">
        <v>1990000</v>
      </c>
      <c r="E98" s="20" t="s">
        <v>415</v>
      </c>
      <c r="F98" s="20" t="s">
        <v>546</v>
      </c>
      <c r="G98" s="8" t="str">
        <f t="shared" si="1"/>
        <v>DAVIS WENDY</v>
      </c>
    </row>
    <row r="99" spans="1:7" x14ac:dyDescent="0.25">
      <c r="A99" s="8">
        <v>42901.46638888889</v>
      </c>
      <c r="B99" s="20" t="s">
        <v>373</v>
      </c>
      <c r="C99" s="20" t="s">
        <v>737</v>
      </c>
      <c r="D99" s="138">
        <v>880000</v>
      </c>
      <c r="E99" s="20" t="s">
        <v>509</v>
      </c>
      <c r="F99" s="20" t="s">
        <v>192</v>
      </c>
      <c r="G99" s="8" t="str">
        <f t="shared" si="1"/>
        <v>STEWART MICHAEL</v>
      </c>
    </row>
    <row r="100" spans="1:7" x14ac:dyDescent="0.25">
      <c r="A100" s="8">
        <v>42901.46775462963</v>
      </c>
      <c r="B100" s="20" t="s">
        <v>483</v>
      </c>
      <c r="C100" s="20" t="s">
        <v>738</v>
      </c>
      <c r="D100" s="138">
        <v>890000</v>
      </c>
      <c r="E100" s="20" t="s">
        <v>507</v>
      </c>
      <c r="F100" s="20" t="s">
        <v>508</v>
      </c>
      <c r="G100" s="8" t="str">
        <f t="shared" si="1"/>
        <v>LOZA FIDEL</v>
      </c>
    </row>
    <row r="101" spans="1:7" x14ac:dyDescent="0.25">
      <c r="A101" s="8">
        <v>42901.474432870367</v>
      </c>
      <c r="B101" s="20" t="s">
        <v>341</v>
      </c>
      <c r="C101" s="20" t="s">
        <v>739</v>
      </c>
      <c r="D101" s="138">
        <v>1830000</v>
      </c>
      <c r="E101" s="20" t="s">
        <v>740</v>
      </c>
      <c r="F101" s="20" t="s">
        <v>741</v>
      </c>
      <c r="G101" s="8" t="str">
        <f t="shared" si="1"/>
        <v>YORK EDGAR</v>
      </c>
    </row>
    <row r="102" spans="1:7" x14ac:dyDescent="0.25">
      <c r="A102" s="8">
        <v>42901.477372685185</v>
      </c>
      <c r="B102" s="20" t="s">
        <v>442</v>
      </c>
      <c r="C102" s="20" t="s">
        <v>731</v>
      </c>
      <c r="D102" s="138">
        <v>2970000</v>
      </c>
      <c r="E102" s="20" t="s">
        <v>380</v>
      </c>
      <c r="F102" s="20" t="s">
        <v>381</v>
      </c>
      <c r="G102" s="8" t="str">
        <f t="shared" si="1"/>
        <v>GUZMAN DANNY</v>
      </c>
    </row>
    <row r="103" spans="1:7" x14ac:dyDescent="0.25">
      <c r="A103" s="8">
        <v>42901.477962962963</v>
      </c>
      <c r="B103" s="20" t="s">
        <v>541</v>
      </c>
      <c r="C103" s="20" t="s">
        <v>742</v>
      </c>
      <c r="D103" s="138">
        <v>940000</v>
      </c>
      <c r="E103" s="20" t="s">
        <v>479</v>
      </c>
      <c r="F103" s="20" t="s">
        <v>480</v>
      </c>
      <c r="G103" s="8" t="str">
        <f t="shared" si="1"/>
        <v>BONDS REYNALDO</v>
      </c>
    </row>
    <row r="104" spans="1:7" x14ac:dyDescent="0.25">
      <c r="A104" s="8">
        <v>42901.48196759259</v>
      </c>
      <c r="B104" s="20" t="s">
        <v>449</v>
      </c>
      <c r="C104" s="20" t="s">
        <v>743</v>
      </c>
      <c r="D104" s="138">
        <v>3010000</v>
      </c>
      <c r="E104" s="20" t="s">
        <v>394</v>
      </c>
      <c r="F104" s="20" t="s">
        <v>395</v>
      </c>
      <c r="G104" s="8" t="str">
        <f t="shared" si="1"/>
        <v>SULLIVAN BRANDON</v>
      </c>
    </row>
    <row r="105" spans="1:7" x14ac:dyDescent="0.25">
      <c r="A105" s="8">
        <v>42901.486724537041</v>
      </c>
      <c r="B105" s="20" t="s">
        <v>369</v>
      </c>
      <c r="C105" s="20" t="s">
        <v>744</v>
      </c>
      <c r="D105" s="138">
        <v>2730000</v>
      </c>
      <c r="E105" s="20" t="s">
        <v>684</v>
      </c>
      <c r="F105" s="20" t="s">
        <v>685</v>
      </c>
      <c r="G105" s="8" t="str">
        <f t="shared" si="1"/>
        <v>YANG JAN</v>
      </c>
    </row>
    <row r="106" spans="1:7" x14ac:dyDescent="0.25">
      <c r="A106" s="8">
        <v>42901.487696759257</v>
      </c>
      <c r="B106" s="20" t="s">
        <v>443</v>
      </c>
      <c r="C106" s="20" t="s">
        <v>745</v>
      </c>
      <c r="D106" s="138">
        <v>1300000</v>
      </c>
      <c r="E106" s="20" t="s">
        <v>510</v>
      </c>
      <c r="F106" s="20" t="s">
        <v>511</v>
      </c>
      <c r="G106" s="8" t="str">
        <f t="shared" si="1"/>
        <v>LEVIN SCOTT</v>
      </c>
    </row>
    <row r="107" spans="1:7" x14ac:dyDescent="0.25">
      <c r="A107" s="8">
        <v>42901.495266203703</v>
      </c>
      <c r="B107" s="20" t="s">
        <v>625</v>
      </c>
      <c r="C107" s="20" t="s">
        <v>746</v>
      </c>
      <c r="D107" s="138">
        <v>1540000</v>
      </c>
      <c r="E107" s="20" t="s">
        <v>484</v>
      </c>
      <c r="F107" s="20" t="s">
        <v>485</v>
      </c>
      <c r="G107" s="8" t="str">
        <f t="shared" si="1"/>
        <v>HELVIE ADAM</v>
      </c>
    </row>
    <row r="108" spans="1:7" x14ac:dyDescent="0.25">
      <c r="A108" s="8">
        <v>42901.497361111113</v>
      </c>
      <c r="B108" s="20" t="s">
        <v>503</v>
      </c>
      <c r="C108" s="20" t="s">
        <v>747</v>
      </c>
      <c r="D108" s="138">
        <v>2370000</v>
      </c>
      <c r="E108" s="20" t="s">
        <v>554</v>
      </c>
      <c r="F108" s="20" t="s">
        <v>555</v>
      </c>
      <c r="G108" s="8" t="str">
        <f t="shared" si="1"/>
        <v>DELGADO DIANAH</v>
      </c>
    </row>
    <row r="109" spans="1:7" x14ac:dyDescent="0.25">
      <c r="A109" s="8">
        <v>42901.505474537036</v>
      </c>
      <c r="B109" s="20" t="s">
        <v>366</v>
      </c>
      <c r="C109" s="20" t="s">
        <v>748</v>
      </c>
      <c r="D109" s="138">
        <v>1830000</v>
      </c>
      <c r="E109" s="20" t="s">
        <v>740</v>
      </c>
      <c r="F109" s="20" t="s">
        <v>741</v>
      </c>
      <c r="G109" s="8" t="str">
        <f t="shared" si="1"/>
        <v>YORK EDGAR</v>
      </c>
    </row>
    <row r="110" spans="1:7" x14ac:dyDescent="0.25">
      <c r="A110" s="8">
        <v>42901.505509259259</v>
      </c>
      <c r="B110" s="20" t="s">
        <v>477</v>
      </c>
      <c r="C110" s="20" t="s">
        <v>634</v>
      </c>
      <c r="D110" s="138">
        <v>2350000</v>
      </c>
      <c r="E110" s="20" t="s">
        <v>559</v>
      </c>
      <c r="F110" s="20" t="s">
        <v>560</v>
      </c>
      <c r="G110" s="8" t="str">
        <f t="shared" si="1"/>
        <v>BERLING GARY</v>
      </c>
    </row>
    <row r="111" spans="1:7" x14ac:dyDescent="0.25">
      <c r="A111" s="8">
        <v>42901.506643518522</v>
      </c>
      <c r="B111" s="20" t="s">
        <v>370</v>
      </c>
      <c r="C111" s="20" t="s">
        <v>749</v>
      </c>
      <c r="D111" s="138">
        <v>880000</v>
      </c>
      <c r="E111" s="20" t="s">
        <v>509</v>
      </c>
      <c r="F111" s="20" t="s">
        <v>192</v>
      </c>
      <c r="G111" s="8" t="str">
        <f t="shared" si="1"/>
        <v>STEWART MICHAEL</v>
      </c>
    </row>
    <row r="112" spans="1:7" x14ac:dyDescent="0.25">
      <c r="A112" s="8">
        <v>42901.5075462963</v>
      </c>
      <c r="B112" s="20" t="s">
        <v>375</v>
      </c>
      <c r="C112" s="20" t="s">
        <v>750</v>
      </c>
      <c r="D112" s="138">
        <v>2730000</v>
      </c>
      <c r="E112" s="20" t="s">
        <v>684</v>
      </c>
      <c r="F112" s="20" t="s">
        <v>685</v>
      </c>
      <c r="G112" s="8" t="str">
        <f t="shared" si="1"/>
        <v>YANG JAN</v>
      </c>
    </row>
    <row r="113" spans="1:7" x14ac:dyDescent="0.25">
      <c r="A113" s="8">
        <v>42901.516215277778</v>
      </c>
      <c r="B113" s="20" t="s">
        <v>448</v>
      </c>
      <c r="C113" s="20" t="s">
        <v>751</v>
      </c>
      <c r="D113" s="138">
        <v>3010000</v>
      </c>
      <c r="E113" s="20" t="s">
        <v>394</v>
      </c>
      <c r="F113" s="20" t="s">
        <v>395</v>
      </c>
      <c r="G113" s="8" t="str">
        <f t="shared" si="1"/>
        <v>SULLIVAN BRANDON</v>
      </c>
    </row>
    <row r="114" spans="1:7" x14ac:dyDescent="0.25">
      <c r="A114" s="8">
        <v>42901.527337962965</v>
      </c>
      <c r="B114" s="20" t="s">
        <v>369</v>
      </c>
      <c r="C114" s="20" t="s">
        <v>752</v>
      </c>
      <c r="D114" s="138">
        <v>2730000</v>
      </c>
      <c r="E114" s="20" t="s">
        <v>684</v>
      </c>
      <c r="F114" s="20" t="s">
        <v>685</v>
      </c>
      <c r="G114" s="8" t="str">
        <f t="shared" si="1"/>
        <v>YANG JAN</v>
      </c>
    </row>
    <row r="115" spans="1:7" x14ac:dyDescent="0.25">
      <c r="A115" s="8">
        <v>42901.527870370373</v>
      </c>
      <c r="B115" s="20" t="s">
        <v>358</v>
      </c>
      <c r="C115" s="20" t="s">
        <v>635</v>
      </c>
      <c r="D115" s="138">
        <v>2420000</v>
      </c>
      <c r="E115" s="20" t="s">
        <v>556</v>
      </c>
      <c r="F115" s="20" t="s">
        <v>557</v>
      </c>
      <c r="G115" s="8" t="str">
        <f t="shared" si="1"/>
        <v>HOLCOMB KAMDEN</v>
      </c>
    </row>
    <row r="116" spans="1:7" x14ac:dyDescent="0.25">
      <c r="A116" s="8">
        <v>42901.528043981481</v>
      </c>
      <c r="B116" s="20" t="s">
        <v>442</v>
      </c>
      <c r="C116" s="20" t="s">
        <v>753</v>
      </c>
      <c r="D116" s="138">
        <v>1300000</v>
      </c>
      <c r="E116" s="20" t="s">
        <v>510</v>
      </c>
      <c r="F116" s="20" t="s">
        <v>511</v>
      </c>
      <c r="G116" s="8" t="str">
        <f t="shared" si="1"/>
        <v>LEVIN SCOTT</v>
      </c>
    </row>
    <row r="117" spans="1:7" x14ac:dyDescent="0.25">
      <c r="A117" s="8">
        <v>42901.531655092593</v>
      </c>
      <c r="B117" s="20" t="s">
        <v>504</v>
      </c>
      <c r="C117" s="20" t="s">
        <v>754</v>
      </c>
      <c r="D117" s="138">
        <v>2370000</v>
      </c>
      <c r="E117" s="20" t="s">
        <v>554</v>
      </c>
      <c r="F117" s="20" t="s">
        <v>555</v>
      </c>
      <c r="G117" s="8" t="str">
        <f t="shared" si="1"/>
        <v>DELGADO DIANAH</v>
      </c>
    </row>
    <row r="118" spans="1:7" x14ac:dyDescent="0.25">
      <c r="A118" s="8">
        <v>42901.538055555553</v>
      </c>
      <c r="B118" s="20" t="s">
        <v>504</v>
      </c>
      <c r="C118" s="20" t="s">
        <v>754</v>
      </c>
      <c r="D118" s="138">
        <v>2370000</v>
      </c>
      <c r="E118" s="20" t="s">
        <v>554</v>
      </c>
      <c r="F118" s="20" t="s">
        <v>555</v>
      </c>
      <c r="G118" s="8" t="str">
        <f t="shared" si="1"/>
        <v>DELGADO DIANAH</v>
      </c>
    </row>
    <row r="119" spans="1:7" x14ac:dyDescent="0.25">
      <c r="A119" s="8">
        <v>42901.538263888891</v>
      </c>
      <c r="B119" s="20" t="s">
        <v>373</v>
      </c>
      <c r="C119" s="20" t="s">
        <v>755</v>
      </c>
      <c r="D119" s="138">
        <v>880000</v>
      </c>
      <c r="E119" s="20" t="s">
        <v>509</v>
      </c>
      <c r="F119" s="20" t="s">
        <v>192</v>
      </c>
      <c r="G119" s="8" t="str">
        <f t="shared" si="1"/>
        <v>STEWART MICHAEL</v>
      </c>
    </row>
    <row r="120" spans="1:7" x14ac:dyDescent="0.25">
      <c r="A120" s="8">
        <v>42901.542013888888</v>
      </c>
      <c r="B120" s="20" t="s">
        <v>375</v>
      </c>
      <c r="C120" s="20" t="s">
        <v>636</v>
      </c>
      <c r="D120" s="138">
        <v>2000000</v>
      </c>
      <c r="E120" s="20" t="s">
        <v>558</v>
      </c>
      <c r="F120" s="20" t="s">
        <v>189</v>
      </c>
      <c r="G120" s="8" t="str">
        <f t="shared" si="1"/>
        <v>STAMBAUGH JAMES</v>
      </c>
    </row>
    <row r="121" spans="1:7" x14ac:dyDescent="0.25">
      <c r="A121" s="8">
        <v>42901.54446759259</v>
      </c>
      <c r="B121" s="20" t="s">
        <v>483</v>
      </c>
      <c r="C121" s="20" t="s">
        <v>756</v>
      </c>
      <c r="D121" s="138">
        <v>2350000</v>
      </c>
      <c r="E121" s="20" t="s">
        <v>559</v>
      </c>
      <c r="F121" s="20" t="s">
        <v>560</v>
      </c>
      <c r="G121" s="8" t="str">
        <f t="shared" si="1"/>
        <v>BERLING GARY</v>
      </c>
    </row>
    <row r="122" spans="1:7" x14ac:dyDescent="0.25">
      <c r="A122" s="8">
        <v>42901.546643518515</v>
      </c>
      <c r="B122" s="25" t="s">
        <v>341</v>
      </c>
      <c r="C122" s="20" t="s">
        <v>757</v>
      </c>
      <c r="D122" s="138">
        <v>1830000</v>
      </c>
      <c r="E122" s="20" t="s">
        <v>740</v>
      </c>
      <c r="F122" s="20" t="s">
        <v>741</v>
      </c>
      <c r="G122" s="8" t="str">
        <f t="shared" si="1"/>
        <v>YORK EDGAR</v>
      </c>
    </row>
    <row r="123" spans="1:7" x14ac:dyDescent="0.25">
      <c r="A123" s="8">
        <v>42901.551898148151</v>
      </c>
      <c r="B123" s="20" t="s">
        <v>401</v>
      </c>
      <c r="C123" s="20" t="s">
        <v>758</v>
      </c>
      <c r="D123" s="138">
        <v>1780000</v>
      </c>
      <c r="E123" s="20" t="s">
        <v>552</v>
      </c>
      <c r="F123" s="20" t="s">
        <v>553</v>
      </c>
      <c r="G123" s="8" t="str">
        <f t="shared" si="1"/>
        <v>DE LA ROSA ALEX</v>
      </c>
    </row>
    <row r="124" spans="1:7" x14ac:dyDescent="0.25">
      <c r="A124" s="8">
        <v>42901.553078703706</v>
      </c>
      <c r="B124" s="20" t="s">
        <v>401</v>
      </c>
      <c r="C124" s="20" t="s">
        <v>758</v>
      </c>
      <c r="D124" s="138">
        <v>1780000</v>
      </c>
      <c r="E124" s="20" t="s">
        <v>552</v>
      </c>
      <c r="F124" s="20" t="s">
        <v>553</v>
      </c>
      <c r="G124" s="8" t="str">
        <f t="shared" si="1"/>
        <v>DE LA ROSA ALEX</v>
      </c>
    </row>
    <row r="125" spans="1:7" x14ac:dyDescent="0.25">
      <c r="A125" s="8">
        <v>42901.554826388892</v>
      </c>
      <c r="B125" s="20" t="s">
        <v>449</v>
      </c>
      <c r="C125" s="20" t="s">
        <v>759</v>
      </c>
      <c r="D125" s="138">
        <v>3010000</v>
      </c>
      <c r="E125" s="20" t="s">
        <v>394</v>
      </c>
      <c r="F125" s="20" t="s">
        <v>395</v>
      </c>
      <c r="G125" s="8" t="str">
        <f t="shared" si="1"/>
        <v>SULLIVAN BRANDON</v>
      </c>
    </row>
    <row r="126" spans="1:7" x14ac:dyDescent="0.25">
      <c r="A126" s="8">
        <v>42901.556689814817</v>
      </c>
      <c r="B126" s="20" t="s">
        <v>640</v>
      </c>
      <c r="C126" s="20" t="s">
        <v>758</v>
      </c>
      <c r="D126" s="138">
        <v>1780000</v>
      </c>
      <c r="E126" s="20" t="s">
        <v>552</v>
      </c>
      <c r="F126" s="20" t="s">
        <v>553</v>
      </c>
      <c r="G126" s="8" t="str">
        <f t="shared" si="1"/>
        <v>DE LA ROSA ALEX</v>
      </c>
    </row>
    <row r="127" spans="1:7" x14ac:dyDescent="0.25">
      <c r="A127" s="8">
        <v>42901.560208333336</v>
      </c>
      <c r="B127" s="20" t="s">
        <v>443</v>
      </c>
      <c r="C127" s="20" t="s">
        <v>760</v>
      </c>
      <c r="D127" s="138">
        <v>1300000</v>
      </c>
      <c r="E127" s="20" t="s">
        <v>510</v>
      </c>
      <c r="F127" s="20" t="s">
        <v>511</v>
      </c>
      <c r="G127" s="8" t="str">
        <f t="shared" si="1"/>
        <v>LEVIN SCOTT</v>
      </c>
    </row>
    <row r="128" spans="1:7" x14ac:dyDescent="0.25">
      <c r="A128" s="8">
        <v>42901.56354166667</v>
      </c>
      <c r="B128" s="20" t="s">
        <v>401</v>
      </c>
      <c r="C128" s="20" t="s">
        <v>761</v>
      </c>
      <c r="D128" s="138">
        <v>1740000</v>
      </c>
      <c r="E128" s="20" t="s">
        <v>486</v>
      </c>
      <c r="F128" s="20" t="s">
        <v>487</v>
      </c>
      <c r="G128" s="8" t="str">
        <f t="shared" si="1"/>
        <v>STORY SAMANTHA</v>
      </c>
    </row>
    <row r="129" spans="1:7" x14ac:dyDescent="0.25">
      <c r="A129" s="8">
        <v>42901.566261574073</v>
      </c>
      <c r="B129" s="20" t="s">
        <v>625</v>
      </c>
      <c r="C129" s="20" t="s">
        <v>638</v>
      </c>
      <c r="D129" s="138">
        <v>2420000</v>
      </c>
      <c r="E129" s="20" t="s">
        <v>556</v>
      </c>
      <c r="F129" s="20" t="s">
        <v>557</v>
      </c>
      <c r="G129" s="8" t="str">
        <f t="shared" si="1"/>
        <v>HOLCOMB KAMDEN</v>
      </c>
    </row>
    <row r="130" spans="1:7" x14ac:dyDescent="0.25">
      <c r="A130" s="8">
        <v>42901.571886574071</v>
      </c>
      <c r="B130" s="20" t="s">
        <v>369</v>
      </c>
      <c r="C130" s="20" t="s">
        <v>637</v>
      </c>
      <c r="D130" s="138">
        <v>2000000</v>
      </c>
      <c r="E130" s="20" t="s">
        <v>558</v>
      </c>
      <c r="F130" s="20" t="s">
        <v>189</v>
      </c>
      <c r="G130" s="8" t="str">
        <f t="shared" si="1"/>
        <v>STAMBAUGH JAMES</v>
      </c>
    </row>
    <row r="131" spans="1:7" x14ac:dyDescent="0.25">
      <c r="A131" s="8">
        <v>42901.579097222224</v>
      </c>
      <c r="B131" s="20" t="s">
        <v>370</v>
      </c>
      <c r="C131" s="20" t="s">
        <v>762</v>
      </c>
      <c r="D131" s="138">
        <v>880000</v>
      </c>
      <c r="E131" s="20" t="s">
        <v>509</v>
      </c>
      <c r="F131" s="20" t="s">
        <v>192</v>
      </c>
      <c r="G131" s="8" t="str">
        <f t="shared" ref="G131:G194" si="2">E131&amp;" "&amp;F131</f>
        <v>STEWART MICHAEL</v>
      </c>
    </row>
    <row r="132" spans="1:7" x14ac:dyDescent="0.25">
      <c r="A132" s="8">
        <v>42901.579143518517</v>
      </c>
      <c r="B132" s="20" t="s">
        <v>366</v>
      </c>
      <c r="C132" s="20" t="s">
        <v>763</v>
      </c>
      <c r="D132" s="138">
        <v>1830000</v>
      </c>
      <c r="E132" s="20" t="s">
        <v>740</v>
      </c>
      <c r="F132" s="20" t="s">
        <v>741</v>
      </c>
      <c r="G132" s="8" t="str">
        <f t="shared" si="2"/>
        <v>YORK EDGAR</v>
      </c>
    </row>
    <row r="133" spans="1:7" x14ac:dyDescent="0.25">
      <c r="A133" s="8">
        <v>42901.579861111109</v>
      </c>
      <c r="B133" s="20" t="s">
        <v>477</v>
      </c>
      <c r="C133" s="20" t="s">
        <v>764</v>
      </c>
      <c r="D133" s="138">
        <v>2350000</v>
      </c>
      <c r="E133" s="20" t="s">
        <v>559</v>
      </c>
      <c r="F133" s="20" t="s">
        <v>560</v>
      </c>
      <c r="G133" s="8" t="str">
        <f t="shared" si="2"/>
        <v>BERLING GARY</v>
      </c>
    </row>
    <row r="134" spans="1:7" x14ac:dyDescent="0.25">
      <c r="A134" s="8">
        <v>42901.584467592591</v>
      </c>
      <c r="B134" s="20" t="s">
        <v>375</v>
      </c>
      <c r="C134" s="20" t="s">
        <v>765</v>
      </c>
      <c r="D134" s="138">
        <v>2000000</v>
      </c>
      <c r="E134" s="20" t="s">
        <v>558</v>
      </c>
      <c r="F134" s="20" t="s">
        <v>189</v>
      </c>
      <c r="G134" s="8" t="str">
        <f t="shared" si="2"/>
        <v>STAMBAUGH JAMES</v>
      </c>
    </row>
    <row r="135" spans="1:7" x14ac:dyDescent="0.25">
      <c r="A135" s="8">
        <v>42901.589594907404</v>
      </c>
      <c r="B135" s="20" t="s">
        <v>448</v>
      </c>
      <c r="C135" s="20" t="s">
        <v>766</v>
      </c>
      <c r="D135" s="138">
        <v>3010000</v>
      </c>
      <c r="E135" s="20" t="s">
        <v>394</v>
      </c>
      <c r="F135" s="20" t="s">
        <v>395</v>
      </c>
      <c r="G135" s="8" t="str">
        <f t="shared" si="2"/>
        <v>SULLIVAN BRANDON</v>
      </c>
    </row>
    <row r="136" spans="1:7" x14ac:dyDescent="0.25">
      <c r="A136" s="8">
        <v>42901.598541666666</v>
      </c>
      <c r="B136" s="20" t="s">
        <v>358</v>
      </c>
      <c r="C136" s="20" t="s">
        <v>767</v>
      </c>
      <c r="D136" s="138">
        <v>2420000</v>
      </c>
      <c r="E136" s="20" t="s">
        <v>556</v>
      </c>
      <c r="F136" s="20" t="s">
        <v>557</v>
      </c>
      <c r="G136" s="8" t="str">
        <f t="shared" si="2"/>
        <v>HOLCOMB KAMDEN</v>
      </c>
    </row>
    <row r="137" spans="1:7" x14ac:dyDescent="0.25">
      <c r="A137" s="8">
        <v>42901.60052083333</v>
      </c>
      <c r="B137" s="20" t="s">
        <v>442</v>
      </c>
      <c r="C137" s="20" t="s">
        <v>768</v>
      </c>
      <c r="D137" s="138">
        <v>1300000</v>
      </c>
      <c r="E137" s="20" t="s">
        <v>510</v>
      </c>
      <c r="F137" s="20" t="s">
        <v>511</v>
      </c>
      <c r="G137" s="8" t="str">
        <f t="shared" si="2"/>
        <v>LEVIN SCOTT</v>
      </c>
    </row>
    <row r="138" spans="1:7" x14ac:dyDescent="0.25">
      <c r="A138" s="8">
        <v>42901.606122685182</v>
      </c>
      <c r="B138" s="20" t="s">
        <v>640</v>
      </c>
      <c r="C138" s="20" t="s">
        <v>641</v>
      </c>
      <c r="D138" s="138">
        <v>1740000</v>
      </c>
      <c r="E138" s="20" t="s">
        <v>486</v>
      </c>
      <c r="F138" s="20" t="s">
        <v>487</v>
      </c>
      <c r="G138" s="8" t="str">
        <f t="shared" si="2"/>
        <v>STORY SAMANTHA</v>
      </c>
    </row>
    <row r="139" spans="1:7" x14ac:dyDescent="0.25">
      <c r="A139" s="8">
        <v>42901.608182870368</v>
      </c>
      <c r="B139" s="20" t="s">
        <v>369</v>
      </c>
      <c r="C139" s="20" t="s">
        <v>639</v>
      </c>
      <c r="D139" s="138">
        <v>2000000</v>
      </c>
      <c r="E139" s="20" t="s">
        <v>558</v>
      </c>
      <c r="F139" s="20" t="s">
        <v>189</v>
      </c>
      <c r="G139" s="8" t="str">
        <f t="shared" si="2"/>
        <v>STAMBAUGH JAMES</v>
      </c>
    </row>
    <row r="140" spans="1:7" x14ac:dyDescent="0.25">
      <c r="A140" s="8">
        <v>42901.611006944448</v>
      </c>
      <c r="B140" s="20" t="s">
        <v>373</v>
      </c>
      <c r="C140" s="20" t="s">
        <v>769</v>
      </c>
      <c r="D140" s="138">
        <v>880000</v>
      </c>
      <c r="E140" s="20" t="s">
        <v>509</v>
      </c>
      <c r="F140" s="20" t="s">
        <v>192</v>
      </c>
      <c r="G140" s="8" t="str">
        <f t="shared" si="2"/>
        <v>STEWART MICHAEL</v>
      </c>
    </row>
    <row r="141" spans="1:7" x14ac:dyDescent="0.25">
      <c r="A141" s="8">
        <v>42901.615324074075</v>
      </c>
      <c r="B141" s="20" t="s">
        <v>483</v>
      </c>
      <c r="C141" s="20" t="s">
        <v>642</v>
      </c>
      <c r="D141" s="138">
        <v>2350000</v>
      </c>
      <c r="E141" s="20" t="s">
        <v>559</v>
      </c>
      <c r="F141" s="20" t="s">
        <v>560</v>
      </c>
      <c r="G141" s="8" t="str">
        <f t="shared" si="2"/>
        <v>BERLING GARY</v>
      </c>
    </row>
    <row r="142" spans="1:7" x14ac:dyDescent="0.25">
      <c r="A142" s="8">
        <v>42901.619328703702</v>
      </c>
      <c r="B142" s="20" t="s">
        <v>341</v>
      </c>
      <c r="C142" s="20" t="s">
        <v>770</v>
      </c>
      <c r="D142" s="138">
        <v>1830000</v>
      </c>
      <c r="E142" s="20" t="s">
        <v>740</v>
      </c>
      <c r="F142" s="20" t="s">
        <v>741</v>
      </c>
      <c r="G142" s="8" t="str">
        <f t="shared" si="2"/>
        <v>YORK EDGAR</v>
      </c>
    </row>
    <row r="143" spans="1:7" x14ac:dyDescent="0.25">
      <c r="A143" s="8">
        <v>42901.623900462961</v>
      </c>
      <c r="B143" s="20" t="s">
        <v>375</v>
      </c>
      <c r="C143" s="20" t="s">
        <v>771</v>
      </c>
      <c r="D143" s="138">
        <v>2000000</v>
      </c>
      <c r="E143" s="20" t="s">
        <v>558</v>
      </c>
      <c r="F143" s="20" t="s">
        <v>189</v>
      </c>
      <c r="G143" s="8" t="str">
        <f t="shared" si="2"/>
        <v>STAMBAUGH JAMES</v>
      </c>
    </row>
    <row r="144" spans="1:7" x14ac:dyDescent="0.25">
      <c r="A144" s="8">
        <v>42901.626250000001</v>
      </c>
      <c r="B144" s="20" t="s">
        <v>449</v>
      </c>
      <c r="C144" s="20" t="s">
        <v>643</v>
      </c>
      <c r="D144" s="138">
        <v>3010000</v>
      </c>
      <c r="E144" s="20" t="s">
        <v>394</v>
      </c>
      <c r="F144" s="20" t="s">
        <v>395</v>
      </c>
      <c r="G144" s="8" t="str">
        <f t="shared" si="2"/>
        <v>SULLIVAN BRANDON</v>
      </c>
    </row>
    <row r="145" spans="1:7" x14ac:dyDescent="0.25">
      <c r="A145" s="8">
        <v>42901.631689814814</v>
      </c>
      <c r="B145" s="20" t="s">
        <v>443</v>
      </c>
      <c r="C145" s="20" t="s">
        <v>772</v>
      </c>
      <c r="D145" s="138">
        <v>1300000</v>
      </c>
      <c r="E145" s="20" t="s">
        <v>510</v>
      </c>
      <c r="F145" s="20" t="s">
        <v>511</v>
      </c>
      <c r="G145" s="8" t="str">
        <f t="shared" si="2"/>
        <v>LEVIN SCOTT</v>
      </c>
    </row>
    <row r="146" spans="1:7" x14ac:dyDescent="0.25">
      <c r="A146" s="8">
        <v>42901.63208333333</v>
      </c>
      <c r="B146" s="20" t="s">
        <v>617</v>
      </c>
      <c r="C146" s="20" t="s">
        <v>773</v>
      </c>
      <c r="D146" s="138">
        <v>2090000</v>
      </c>
      <c r="E146" s="20" t="s">
        <v>471</v>
      </c>
      <c r="F146" s="20" t="s">
        <v>192</v>
      </c>
      <c r="G146" s="8" t="str">
        <f t="shared" si="2"/>
        <v>HAITHCOX MICHAEL</v>
      </c>
    </row>
    <row r="147" spans="1:7" x14ac:dyDescent="0.25">
      <c r="A147" s="8">
        <v>42901.634432870371</v>
      </c>
      <c r="B147" s="20" t="s">
        <v>617</v>
      </c>
      <c r="C147" s="20" t="s">
        <v>773</v>
      </c>
      <c r="D147" s="138">
        <v>2090000</v>
      </c>
      <c r="E147" s="20" t="s">
        <v>471</v>
      </c>
      <c r="F147" s="20" t="s">
        <v>192</v>
      </c>
      <c r="G147" s="8" t="str">
        <f t="shared" si="2"/>
        <v>HAITHCOX MICHAEL</v>
      </c>
    </row>
    <row r="148" spans="1:7" x14ac:dyDescent="0.25">
      <c r="A148" s="8">
        <v>42901.639606481483</v>
      </c>
      <c r="B148" s="20" t="s">
        <v>625</v>
      </c>
      <c r="C148" s="20" t="s">
        <v>645</v>
      </c>
      <c r="D148" s="138">
        <v>2420000</v>
      </c>
      <c r="E148" s="20" t="s">
        <v>556</v>
      </c>
      <c r="F148" s="20" t="s">
        <v>557</v>
      </c>
      <c r="G148" s="8" t="str">
        <f t="shared" si="2"/>
        <v>HOLCOMB KAMDEN</v>
      </c>
    </row>
    <row r="149" spans="1:7" x14ac:dyDescent="0.25">
      <c r="A149" s="8">
        <v>42901.643148148149</v>
      </c>
      <c r="B149" s="20" t="s">
        <v>401</v>
      </c>
      <c r="C149" s="20" t="s">
        <v>774</v>
      </c>
      <c r="D149" s="138">
        <v>2370000</v>
      </c>
      <c r="E149" s="20" t="s">
        <v>554</v>
      </c>
      <c r="F149" s="20" t="s">
        <v>555</v>
      </c>
      <c r="G149" s="8" t="str">
        <f t="shared" si="2"/>
        <v>DELGADO DIANAH</v>
      </c>
    </row>
    <row r="150" spans="1:7" x14ac:dyDescent="0.25">
      <c r="A150" s="8">
        <v>42901.645370370374</v>
      </c>
      <c r="B150" s="20" t="s">
        <v>615</v>
      </c>
      <c r="C150" s="20" t="s">
        <v>775</v>
      </c>
      <c r="D150" s="138">
        <v>2090000</v>
      </c>
      <c r="E150" s="20" t="s">
        <v>471</v>
      </c>
      <c r="F150" s="20" t="s">
        <v>192</v>
      </c>
      <c r="G150" s="8" t="str">
        <f t="shared" si="2"/>
        <v>HAITHCOX MICHAEL</v>
      </c>
    </row>
    <row r="151" spans="1:7" x14ac:dyDescent="0.25">
      <c r="A151" s="8">
        <v>42901.65053240741</v>
      </c>
      <c r="B151" s="20" t="s">
        <v>370</v>
      </c>
      <c r="C151" s="20" t="s">
        <v>776</v>
      </c>
      <c r="D151" s="138">
        <v>880000</v>
      </c>
      <c r="E151" s="20" t="s">
        <v>509</v>
      </c>
      <c r="F151" s="20" t="s">
        <v>192</v>
      </c>
      <c r="G151" s="8" t="str">
        <f t="shared" si="2"/>
        <v>STEWART MICHAEL</v>
      </c>
    </row>
    <row r="152" spans="1:7" x14ac:dyDescent="0.25">
      <c r="A152" s="8">
        <v>42901.651226851849</v>
      </c>
      <c r="B152" s="20" t="s">
        <v>366</v>
      </c>
      <c r="C152" s="20" t="s">
        <v>777</v>
      </c>
      <c r="D152" s="138">
        <v>1830000</v>
      </c>
      <c r="E152" s="20" t="s">
        <v>740</v>
      </c>
      <c r="F152" s="20" t="s">
        <v>741</v>
      </c>
      <c r="G152" s="8" t="str">
        <f t="shared" si="2"/>
        <v>YORK EDGAR</v>
      </c>
    </row>
    <row r="153" spans="1:7" x14ac:dyDescent="0.25">
      <c r="A153" s="8">
        <v>42901.651238425926</v>
      </c>
      <c r="B153" s="20" t="s">
        <v>369</v>
      </c>
      <c r="C153" s="20" t="s">
        <v>644</v>
      </c>
      <c r="D153" s="138">
        <v>2000000</v>
      </c>
      <c r="E153" s="20" t="s">
        <v>558</v>
      </c>
      <c r="F153" s="20" t="s">
        <v>189</v>
      </c>
      <c r="G153" s="8" t="str">
        <f t="shared" si="2"/>
        <v>STAMBAUGH JAMES</v>
      </c>
    </row>
    <row r="154" spans="1:7" x14ac:dyDescent="0.25">
      <c r="A154" s="8">
        <v>42901.652395833335</v>
      </c>
      <c r="B154" s="20" t="s">
        <v>477</v>
      </c>
      <c r="C154" s="20" t="s">
        <v>646</v>
      </c>
      <c r="D154" s="138">
        <v>2350000</v>
      </c>
      <c r="E154" s="20" t="s">
        <v>559</v>
      </c>
      <c r="F154" s="20" t="s">
        <v>560</v>
      </c>
      <c r="G154" s="8" t="str">
        <f t="shared" si="2"/>
        <v>BERLING GARY</v>
      </c>
    </row>
    <row r="155" spans="1:7" x14ac:dyDescent="0.25">
      <c r="A155" s="8">
        <v>42901.662326388891</v>
      </c>
      <c r="B155" s="20" t="s">
        <v>448</v>
      </c>
      <c r="C155" s="20" t="s">
        <v>778</v>
      </c>
      <c r="D155" s="138">
        <v>3010000</v>
      </c>
      <c r="E155" s="20" t="s">
        <v>394</v>
      </c>
      <c r="F155" s="20" t="s">
        <v>395</v>
      </c>
      <c r="G155" s="8" t="str">
        <f t="shared" si="2"/>
        <v>SULLIVAN BRANDON</v>
      </c>
    </row>
    <row r="156" spans="1:7" x14ac:dyDescent="0.25">
      <c r="A156" s="8">
        <v>42901.666539351849</v>
      </c>
      <c r="B156" s="20" t="s">
        <v>375</v>
      </c>
      <c r="C156" s="20" t="s">
        <v>648</v>
      </c>
      <c r="D156" s="138">
        <v>2000000</v>
      </c>
      <c r="E156" s="20" t="s">
        <v>558</v>
      </c>
      <c r="F156" s="20" t="s">
        <v>189</v>
      </c>
      <c r="G156" s="8" t="str">
        <f t="shared" si="2"/>
        <v>STAMBAUGH JAMES</v>
      </c>
    </row>
    <row r="157" spans="1:7" x14ac:dyDescent="0.25">
      <c r="A157" s="8">
        <v>42901.672372685185</v>
      </c>
      <c r="B157" s="20" t="s">
        <v>442</v>
      </c>
      <c r="C157" s="20" t="s">
        <v>651</v>
      </c>
      <c r="D157" s="138">
        <v>1300000</v>
      </c>
      <c r="E157" s="20" t="s">
        <v>510</v>
      </c>
      <c r="F157" s="20" t="s">
        <v>511</v>
      </c>
      <c r="G157" s="8" t="str">
        <f t="shared" si="2"/>
        <v>LEVIN SCOTT</v>
      </c>
    </row>
    <row r="158" spans="1:7" x14ac:dyDescent="0.25">
      <c r="A158" s="8">
        <v>42901.672476851854</v>
      </c>
      <c r="B158" s="20" t="s">
        <v>617</v>
      </c>
      <c r="C158" s="20" t="s">
        <v>779</v>
      </c>
      <c r="D158" s="138">
        <v>2090000</v>
      </c>
      <c r="E158" s="20" t="s">
        <v>471</v>
      </c>
      <c r="F158" s="20" t="s">
        <v>192</v>
      </c>
      <c r="G158" s="8" t="str">
        <f t="shared" si="2"/>
        <v>HAITHCOX MICHAEL</v>
      </c>
    </row>
    <row r="159" spans="1:7" x14ac:dyDescent="0.25">
      <c r="A159" s="8">
        <v>42901.67291666667</v>
      </c>
      <c r="B159" s="20" t="s">
        <v>442</v>
      </c>
      <c r="C159" s="20" t="s">
        <v>780</v>
      </c>
      <c r="D159" s="138">
        <v>1300000</v>
      </c>
      <c r="E159" s="20" t="s">
        <v>510</v>
      </c>
      <c r="F159" s="20" t="s">
        <v>511</v>
      </c>
      <c r="G159" s="8" t="str">
        <f t="shared" si="2"/>
        <v>LEVIN SCOTT</v>
      </c>
    </row>
    <row r="160" spans="1:7" x14ac:dyDescent="0.25">
      <c r="A160" s="8">
        <v>42901.673020833332</v>
      </c>
      <c r="B160" s="20" t="s">
        <v>358</v>
      </c>
      <c r="C160" s="20" t="s">
        <v>647</v>
      </c>
      <c r="D160" s="138">
        <v>2420000</v>
      </c>
      <c r="E160" s="20" t="s">
        <v>556</v>
      </c>
      <c r="F160" s="20" t="s">
        <v>557</v>
      </c>
      <c r="G160" s="8" t="str">
        <f t="shared" si="2"/>
        <v>HOLCOMB KAMDEN</v>
      </c>
    </row>
    <row r="161" spans="1:7" x14ac:dyDescent="0.25">
      <c r="A161" s="8">
        <v>42901.678414351853</v>
      </c>
      <c r="B161" s="20" t="s">
        <v>640</v>
      </c>
      <c r="C161" s="20" t="s">
        <v>781</v>
      </c>
      <c r="D161" s="138">
        <v>2370000</v>
      </c>
      <c r="E161" s="20" t="s">
        <v>554</v>
      </c>
      <c r="F161" s="20" t="s">
        <v>555</v>
      </c>
      <c r="G161" s="8" t="str">
        <f t="shared" si="2"/>
        <v>DELGADO DIANAH</v>
      </c>
    </row>
    <row r="162" spans="1:7" x14ac:dyDescent="0.25">
      <c r="A162" s="8">
        <v>42901.683912037035</v>
      </c>
      <c r="B162" s="20" t="s">
        <v>373</v>
      </c>
      <c r="C162" s="20" t="s">
        <v>782</v>
      </c>
      <c r="D162" s="138">
        <v>880000</v>
      </c>
      <c r="E162" s="20" t="s">
        <v>509</v>
      </c>
      <c r="F162" s="20" t="s">
        <v>192</v>
      </c>
      <c r="G162" s="8" t="str">
        <f t="shared" si="2"/>
        <v>STEWART MICHAEL</v>
      </c>
    </row>
    <row r="163" spans="1:7" x14ac:dyDescent="0.25">
      <c r="A163" s="8">
        <v>42901.686759259261</v>
      </c>
      <c r="B163" s="20" t="s">
        <v>615</v>
      </c>
      <c r="C163" s="20" t="s">
        <v>783</v>
      </c>
      <c r="D163" s="138">
        <v>2090000</v>
      </c>
      <c r="E163" s="20" t="s">
        <v>471</v>
      </c>
      <c r="F163" s="20" t="s">
        <v>192</v>
      </c>
      <c r="G163" s="8" t="str">
        <f t="shared" si="2"/>
        <v>HAITHCOX MICHAEL</v>
      </c>
    </row>
    <row r="164" spans="1:7" x14ac:dyDescent="0.25">
      <c r="A164" s="8">
        <v>42901.690266203703</v>
      </c>
      <c r="B164" s="20" t="s">
        <v>483</v>
      </c>
      <c r="C164" s="20" t="s">
        <v>784</v>
      </c>
      <c r="D164" s="138">
        <v>2350000</v>
      </c>
      <c r="E164" s="20" t="s">
        <v>559</v>
      </c>
      <c r="F164" s="20" t="s">
        <v>560</v>
      </c>
      <c r="G164" s="8" t="str">
        <f t="shared" si="2"/>
        <v>BERLING GARY</v>
      </c>
    </row>
    <row r="165" spans="1:7" x14ac:dyDescent="0.25">
      <c r="A165" s="8">
        <v>42901.692152777781</v>
      </c>
      <c r="B165" s="20" t="s">
        <v>369</v>
      </c>
      <c r="C165" s="20" t="s">
        <v>649</v>
      </c>
      <c r="D165" s="138">
        <v>2000000</v>
      </c>
      <c r="E165" s="20" t="s">
        <v>558</v>
      </c>
      <c r="F165" s="20" t="s">
        <v>189</v>
      </c>
      <c r="G165" s="8" t="str">
        <f t="shared" si="2"/>
        <v>STAMBAUGH JAMES</v>
      </c>
    </row>
    <row r="166" spans="1:7" x14ac:dyDescent="0.25">
      <c r="A166" s="8">
        <v>42901.694143518522</v>
      </c>
      <c r="B166" s="20" t="s">
        <v>341</v>
      </c>
      <c r="C166" s="20" t="s">
        <v>785</v>
      </c>
      <c r="D166" s="138">
        <v>1830000</v>
      </c>
      <c r="E166" s="20" t="s">
        <v>740</v>
      </c>
      <c r="F166" s="20" t="s">
        <v>741</v>
      </c>
      <c r="G166" s="8" t="str">
        <f t="shared" si="2"/>
        <v>YORK EDGAR</v>
      </c>
    </row>
    <row r="167" spans="1:7" x14ac:dyDescent="0.25">
      <c r="A167" s="8">
        <v>42901.694305555553</v>
      </c>
      <c r="B167" s="20" t="s">
        <v>483</v>
      </c>
      <c r="C167" s="20" t="s">
        <v>784</v>
      </c>
      <c r="D167" s="138">
        <v>2350000</v>
      </c>
      <c r="E167" s="20" t="s">
        <v>559</v>
      </c>
      <c r="F167" s="20" t="s">
        <v>560</v>
      </c>
      <c r="G167" s="8" t="str">
        <f t="shared" si="2"/>
        <v>BERLING GARY</v>
      </c>
    </row>
    <row r="168" spans="1:7" x14ac:dyDescent="0.25">
      <c r="A168" s="8">
        <v>42901.699016203704</v>
      </c>
      <c r="B168" s="20" t="s">
        <v>449</v>
      </c>
      <c r="C168" s="20" t="s">
        <v>786</v>
      </c>
      <c r="D168" s="138">
        <v>3010000</v>
      </c>
      <c r="E168" s="20" t="s">
        <v>394</v>
      </c>
      <c r="F168" s="20" t="s">
        <v>395</v>
      </c>
      <c r="G168" s="8" t="str">
        <f t="shared" si="2"/>
        <v>SULLIVAN BRANDON</v>
      </c>
    </row>
    <row r="169" spans="1:7" x14ac:dyDescent="0.25">
      <c r="A169" s="8">
        <v>42901.7</v>
      </c>
      <c r="B169" s="20" t="s">
        <v>503</v>
      </c>
      <c r="C169" s="20" t="s">
        <v>787</v>
      </c>
      <c r="D169" s="138">
        <v>1740000</v>
      </c>
      <c r="E169" s="20" t="s">
        <v>486</v>
      </c>
      <c r="F169" s="20" t="s">
        <v>487</v>
      </c>
      <c r="G169" s="8" t="str">
        <f t="shared" si="2"/>
        <v>STORY SAMANTHA</v>
      </c>
    </row>
    <row r="170" spans="1:7" x14ac:dyDescent="0.25">
      <c r="A170" s="8">
        <v>42901.705416666664</v>
      </c>
      <c r="B170" s="20" t="s">
        <v>443</v>
      </c>
      <c r="C170" s="20" t="s">
        <v>651</v>
      </c>
      <c r="D170" s="138">
        <v>1300000</v>
      </c>
      <c r="E170" s="20" t="s">
        <v>510</v>
      </c>
      <c r="F170" s="20" t="s">
        <v>511</v>
      </c>
      <c r="G170" s="8" t="str">
        <f t="shared" si="2"/>
        <v>LEVIN SCOTT</v>
      </c>
    </row>
    <row r="171" spans="1:7" x14ac:dyDescent="0.25">
      <c r="A171" s="8">
        <v>42901.706365740742</v>
      </c>
      <c r="B171" s="20" t="s">
        <v>375</v>
      </c>
      <c r="C171" s="20" t="s">
        <v>788</v>
      </c>
      <c r="D171" s="138">
        <v>2000000</v>
      </c>
      <c r="E171" s="20" t="s">
        <v>558</v>
      </c>
      <c r="F171" s="20" t="s">
        <v>189</v>
      </c>
      <c r="G171" s="8" t="str">
        <f t="shared" si="2"/>
        <v>STAMBAUGH JAMES</v>
      </c>
    </row>
    <row r="172" spans="1:7" x14ac:dyDescent="0.25">
      <c r="A172" s="8">
        <v>42901.71398148148</v>
      </c>
      <c r="B172" s="20" t="s">
        <v>617</v>
      </c>
      <c r="C172" s="20" t="s">
        <v>650</v>
      </c>
      <c r="D172" s="138">
        <v>2090000</v>
      </c>
      <c r="E172" s="20" t="s">
        <v>471</v>
      </c>
      <c r="F172" s="20" t="s">
        <v>192</v>
      </c>
      <c r="G172" s="8" t="str">
        <f t="shared" si="2"/>
        <v>HAITHCOX MICHAEL</v>
      </c>
    </row>
    <row r="173" spans="1:7" x14ac:dyDescent="0.25">
      <c r="A173" s="8">
        <v>42901.714456018519</v>
      </c>
      <c r="B173" s="20" t="s">
        <v>625</v>
      </c>
      <c r="C173" s="20" t="s">
        <v>652</v>
      </c>
      <c r="D173" s="138">
        <v>2420000</v>
      </c>
      <c r="E173" s="20" t="s">
        <v>556</v>
      </c>
      <c r="F173" s="20" t="s">
        <v>557</v>
      </c>
      <c r="G173" s="8" t="str">
        <f t="shared" si="2"/>
        <v>HOLCOMB KAMDEN</v>
      </c>
    </row>
    <row r="174" spans="1:7" x14ac:dyDescent="0.25">
      <c r="A174" s="8">
        <v>42901.716145833336</v>
      </c>
      <c r="B174" s="20" t="s">
        <v>401</v>
      </c>
      <c r="C174" s="20" t="s">
        <v>789</v>
      </c>
      <c r="D174" s="138">
        <v>2370000</v>
      </c>
      <c r="E174" s="20" t="s">
        <v>554</v>
      </c>
      <c r="F174" s="20" t="s">
        <v>555</v>
      </c>
      <c r="G174" s="8" t="str">
        <f t="shared" si="2"/>
        <v>DELGADO DIANAH</v>
      </c>
    </row>
    <row r="175" spans="1:7" x14ac:dyDescent="0.25">
      <c r="A175" s="8">
        <v>42901.723055555558</v>
      </c>
      <c r="B175" s="20" t="s">
        <v>370</v>
      </c>
      <c r="C175" s="20" t="s">
        <v>790</v>
      </c>
      <c r="D175" s="138">
        <v>880000</v>
      </c>
      <c r="E175" s="20" t="s">
        <v>509</v>
      </c>
      <c r="F175" s="20" t="s">
        <v>192</v>
      </c>
      <c r="G175" s="8" t="str">
        <f t="shared" si="2"/>
        <v>STEWART MICHAEL</v>
      </c>
    </row>
    <row r="176" spans="1:7" x14ac:dyDescent="0.25">
      <c r="A176" s="8">
        <v>42901.725972222222</v>
      </c>
      <c r="B176" s="20" t="s">
        <v>477</v>
      </c>
      <c r="C176" s="20" t="s">
        <v>791</v>
      </c>
      <c r="D176" s="138">
        <v>2350000</v>
      </c>
      <c r="E176" s="20" t="s">
        <v>559</v>
      </c>
      <c r="F176" s="20" t="s">
        <v>560</v>
      </c>
      <c r="G176" s="8" t="str">
        <f t="shared" si="2"/>
        <v>BERLING GARY</v>
      </c>
    </row>
    <row r="177" spans="1:7" x14ac:dyDescent="0.25">
      <c r="A177" s="8">
        <v>42901.727824074071</v>
      </c>
      <c r="B177" s="20" t="s">
        <v>366</v>
      </c>
      <c r="C177" s="20" t="s">
        <v>792</v>
      </c>
      <c r="D177" s="138">
        <v>1830000</v>
      </c>
      <c r="E177" s="20" t="s">
        <v>740</v>
      </c>
      <c r="F177" s="20" t="s">
        <v>741</v>
      </c>
      <c r="G177" s="8" t="str">
        <f t="shared" si="2"/>
        <v>YORK EDGAR</v>
      </c>
    </row>
    <row r="178" spans="1:7" x14ac:dyDescent="0.25">
      <c r="A178" s="8">
        <v>42901.729317129626</v>
      </c>
      <c r="B178" s="20" t="s">
        <v>615</v>
      </c>
      <c r="C178" s="20" t="s">
        <v>654</v>
      </c>
      <c r="D178" s="138">
        <v>2090000</v>
      </c>
      <c r="E178" s="20" t="s">
        <v>471</v>
      </c>
      <c r="F178" s="20" t="s">
        <v>192</v>
      </c>
      <c r="G178" s="8" t="str">
        <f t="shared" si="2"/>
        <v>HAITHCOX MICHAEL</v>
      </c>
    </row>
    <row r="179" spans="1:7" x14ac:dyDescent="0.25">
      <c r="A179" s="8">
        <v>42901.733611111114</v>
      </c>
      <c r="B179" s="20" t="s">
        <v>369</v>
      </c>
      <c r="C179" s="20" t="s">
        <v>653</v>
      </c>
      <c r="D179" s="138">
        <v>2000000</v>
      </c>
      <c r="E179" s="20" t="s">
        <v>558</v>
      </c>
      <c r="F179" s="20" t="s">
        <v>189</v>
      </c>
      <c r="G179" s="8" t="str">
        <f t="shared" si="2"/>
        <v>STAMBAUGH JAMES</v>
      </c>
    </row>
    <row r="180" spans="1:7" x14ac:dyDescent="0.25">
      <c r="A180" s="8">
        <v>42901.739432870374</v>
      </c>
      <c r="B180" s="20" t="s">
        <v>448</v>
      </c>
      <c r="C180" s="20" t="s">
        <v>793</v>
      </c>
      <c r="D180" s="138">
        <v>2230000</v>
      </c>
      <c r="E180" s="20" t="s">
        <v>342</v>
      </c>
      <c r="F180" s="20" t="s">
        <v>192</v>
      </c>
      <c r="G180" s="8" t="str">
        <f t="shared" si="2"/>
        <v>SMITH MICHAEL</v>
      </c>
    </row>
    <row r="181" spans="1:7" x14ac:dyDescent="0.25">
      <c r="A181" s="8">
        <v>42901.741111111114</v>
      </c>
      <c r="B181" s="20" t="s">
        <v>543</v>
      </c>
      <c r="C181" s="20" t="s">
        <v>794</v>
      </c>
      <c r="D181" s="138">
        <v>3030000</v>
      </c>
      <c r="E181" s="20" t="s">
        <v>382</v>
      </c>
      <c r="F181" s="20" t="s">
        <v>367</v>
      </c>
      <c r="G181" s="8" t="str">
        <f t="shared" si="2"/>
        <v>BIRENBAUM THOMAS</v>
      </c>
    </row>
    <row r="182" spans="1:7" x14ac:dyDescent="0.25">
      <c r="A182" s="8">
        <v>42901.744363425925</v>
      </c>
      <c r="B182" s="20" t="s">
        <v>358</v>
      </c>
      <c r="C182" s="20" t="s">
        <v>795</v>
      </c>
      <c r="D182" s="138">
        <v>2420000</v>
      </c>
      <c r="E182" s="20" t="s">
        <v>556</v>
      </c>
      <c r="F182" s="20" t="s">
        <v>557</v>
      </c>
      <c r="G182" s="8" t="str">
        <f t="shared" si="2"/>
        <v>HOLCOMB KAMDEN</v>
      </c>
    </row>
    <row r="183" spans="1:7" x14ac:dyDescent="0.25">
      <c r="A183" s="8">
        <v>42901.746724537035</v>
      </c>
      <c r="B183" s="20" t="s">
        <v>442</v>
      </c>
      <c r="C183" s="20" t="s">
        <v>655</v>
      </c>
      <c r="D183" s="138">
        <v>1300000</v>
      </c>
      <c r="E183" s="20" t="s">
        <v>510</v>
      </c>
      <c r="F183" s="20" t="s">
        <v>511</v>
      </c>
      <c r="G183" s="8" t="str">
        <f t="shared" si="2"/>
        <v>LEVIN SCOTT</v>
      </c>
    </row>
    <row r="184" spans="1:7" x14ac:dyDescent="0.25">
      <c r="A184" s="8">
        <v>42901.748680555553</v>
      </c>
      <c r="B184" s="20" t="s">
        <v>375</v>
      </c>
      <c r="C184" s="20" t="s">
        <v>796</v>
      </c>
      <c r="D184" s="138">
        <v>2000000</v>
      </c>
      <c r="E184" s="20" t="s">
        <v>558</v>
      </c>
      <c r="F184" s="20" t="s">
        <v>189</v>
      </c>
      <c r="G184" s="8" t="str">
        <f t="shared" si="2"/>
        <v>STAMBAUGH JAMES</v>
      </c>
    </row>
    <row r="185" spans="1:7" x14ac:dyDescent="0.25">
      <c r="A185" s="8">
        <v>42901.753159722219</v>
      </c>
      <c r="B185" s="20" t="s">
        <v>640</v>
      </c>
      <c r="C185" s="20" t="s">
        <v>657</v>
      </c>
      <c r="D185" s="138">
        <v>2370000</v>
      </c>
      <c r="E185" s="20" t="s">
        <v>554</v>
      </c>
      <c r="F185" s="20" t="s">
        <v>555</v>
      </c>
      <c r="G185" s="8" t="str">
        <f t="shared" si="2"/>
        <v>DELGADO DIANAH</v>
      </c>
    </row>
    <row r="186" spans="1:7" x14ac:dyDescent="0.25">
      <c r="A186" s="8">
        <v>42901.756585648145</v>
      </c>
      <c r="B186" s="20" t="s">
        <v>617</v>
      </c>
      <c r="C186" s="20" t="s">
        <v>797</v>
      </c>
      <c r="D186" s="138">
        <v>2090000</v>
      </c>
      <c r="E186" s="20" t="s">
        <v>471</v>
      </c>
      <c r="F186" s="20" t="s">
        <v>192</v>
      </c>
      <c r="G186" s="8" t="str">
        <f t="shared" si="2"/>
        <v>HAITHCOX MICHAEL</v>
      </c>
    </row>
    <row r="187" spans="1:7" x14ac:dyDescent="0.25">
      <c r="A187" s="8">
        <v>42901.757245370369</v>
      </c>
      <c r="B187" s="20" t="s">
        <v>373</v>
      </c>
      <c r="C187" s="20" t="s">
        <v>798</v>
      </c>
      <c r="D187" s="138">
        <v>2620000</v>
      </c>
      <c r="E187" s="20" t="s">
        <v>799</v>
      </c>
      <c r="F187" s="20" t="s">
        <v>800</v>
      </c>
      <c r="G187" s="8" t="str">
        <f t="shared" si="2"/>
        <v>PERKINS DARREN</v>
      </c>
    </row>
    <row r="188" spans="1:7" x14ac:dyDescent="0.25">
      <c r="A188" s="8">
        <v>42901.764687499999</v>
      </c>
      <c r="B188" s="20" t="s">
        <v>483</v>
      </c>
      <c r="C188" s="20" t="s">
        <v>801</v>
      </c>
      <c r="D188" s="138">
        <v>2350000</v>
      </c>
      <c r="E188" s="20" t="s">
        <v>559</v>
      </c>
      <c r="F188" s="20" t="s">
        <v>560</v>
      </c>
      <c r="G188" s="8" t="str">
        <f t="shared" si="2"/>
        <v>BERLING GARY</v>
      </c>
    </row>
    <row r="189" spans="1:7" x14ac:dyDescent="0.25">
      <c r="A189" s="8">
        <v>42901.76489583333</v>
      </c>
      <c r="B189" s="20" t="s">
        <v>502</v>
      </c>
      <c r="C189" s="20" t="s">
        <v>802</v>
      </c>
      <c r="D189" s="138">
        <v>3000000</v>
      </c>
      <c r="E189" s="20" t="s">
        <v>426</v>
      </c>
      <c r="F189" s="20" t="s">
        <v>427</v>
      </c>
      <c r="G189" s="8" t="str">
        <f t="shared" si="2"/>
        <v>FORTUNATO FRANK</v>
      </c>
    </row>
    <row r="190" spans="1:7" x14ac:dyDescent="0.25">
      <c r="A190" s="8">
        <v>42901.767083333332</v>
      </c>
      <c r="B190" s="20" t="s">
        <v>341</v>
      </c>
      <c r="C190" s="20" t="s">
        <v>803</v>
      </c>
      <c r="D190" s="138">
        <v>1830000</v>
      </c>
      <c r="E190" s="20" t="s">
        <v>740</v>
      </c>
      <c r="F190" s="20" t="s">
        <v>741</v>
      </c>
      <c r="G190" s="8" t="str">
        <f t="shared" si="2"/>
        <v>YORK EDGAR</v>
      </c>
    </row>
    <row r="191" spans="1:7" x14ac:dyDescent="0.25">
      <c r="A191" s="8">
        <v>42901.770405092589</v>
      </c>
      <c r="B191" s="20" t="s">
        <v>615</v>
      </c>
      <c r="C191" s="20" t="s">
        <v>804</v>
      </c>
      <c r="D191" s="138">
        <v>2090000</v>
      </c>
      <c r="E191" s="20" t="s">
        <v>471</v>
      </c>
      <c r="F191" s="20" t="s">
        <v>192</v>
      </c>
      <c r="G191" s="8" t="str">
        <f t="shared" si="2"/>
        <v>HAITHCOX MICHAEL</v>
      </c>
    </row>
    <row r="192" spans="1:7" x14ac:dyDescent="0.25">
      <c r="A192" s="8">
        <v>42901.773831018516</v>
      </c>
      <c r="B192" s="20" t="s">
        <v>449</v>
      </c>
      <c r="C192" s="20" t="s">
        <v>805</v>
      </c>
      <c r="D192" s="138">
        <v>2230000</v>
      </c>
      <c r="E192" s="20" t="s">
        <v>342</v>
      </c>
      <c r="F192" s="20" t="s">
        <v>192</v>
      </c>
      <c r="G192" s="8" t="str">
        <f t="shared" si="2"/>
        <v>SMITH MICHAEL</v>
      </c>
    </row>
    <row r="193" spans="1:7" x14ac:dyDescent="0.25">
      <c r="A193" s="8">
        <v>42901.775914351849</v>
      </c>
      <c r="B193" s="20" t="s">
        <v>369</v>
      </c>
      <c r="C193" s="20" t="s">
        <v>656</v>
      </c>
      <c r="D193" s="138">
        <v>2000000</v>
      </c>
      <c r="E193" s="20" t="s">
        <v>558</v>
      </c>
      <c r="F193" s="20" t="s">
        <v>189</v>
      </c>
      <c r="G193" s="8" t="str">
        <f t="shared" si="2"/>
        <v>STAMBAUGH JAMES</v>
      </c>
    </row>
    <row r="194" spans="1:7" x14ac:dyDescent="0.25">
      <c r="A194" s="8">
        <v>42901.776863425926</v>
      </c>
      <c r="B194" s="20" t="s">
        <v>443</v>
      </c>
      <c r="C194" s="20" t="s">
        <v>806</v>
      </c>
      <c r="D194" s="138">
        <v>1300000</v>
      </c>
      <c r="E194" s="20" t="s">
        <v>510</v>
      </c>
      <c r="F194" s="20" t="s">
        <v>511</v>
      </c>
      <c r="G194" s="8" t="str">
        <f t="shared" si="2"/>
        <v>LEVIN SCOTT</v>
      </c>
    </row>
    <row r="195" spans="1:7" x14ac:dyDescent="0.25">
      <c r="A195" s="8">
        <v>42901.785613425927</v>
      </c>
      <c r="B195" s="20" t="s">
        <v>625</v>
      </c>
      <c r="C195" s="20" t="s">
        <v>807</v>
      </c>
      <c r="D195" s="138">
        <v>2420000</v>
      </c>
      <c r="E195" s="20" t="s">
        <v>556</v>
      </c>
      <c r="F195" s="20" t="s">
        <v>557</v>
      </c>
      <c r="G195" s="8" t="str">
        <f t="shared" ref="G195:G258" si="3">E195&amp;" "&amp;F195</f>
        <v>HOLCOMB KAMDEN</v>
      </c>
    </row>
    <row r="196" spans="1:7" x14ac:dyDescent="0.25">
      <c r="A196" s="8">
        <v>42901.788865740738</v>
      </c>
      <c r="B196" s="20" t="s">
        <v>401</v>
      </c>
      <c r="C196" s="20" t="s">
        <v>808</v>
      </c>
      <c r="D196" s="138">
        <v>3130000</v>
      </c>
      <c r="E196" s="20" t="s">
        <v>385</v>
      </c>
      <c r="F196" s="20" t="s">
        <v>386</v>
      </c>
      <c r="G196" s="8" t="str">
        <f t="shared" si="3"/>
        <v>ZEWDU DEREJE</v>
      </c>
    </row>
    <row r="197" spans="1:7" x14ac:dyDescent="0.25">
      <c r="A197" s="8">
        <v>42901.791527777779</v>
      </c>
      <c r="B197" s="20" t="s">
        <v>375</v>
      </c>
      <c r="C197" s="20" t="s">
        <v>809</v>
      </c>
      <c r="D197" s="138">
        <v>2000000</v>
      </c>
      <c r="E197" s="20" t="s">
        <v>558</v>
      </c>
      <c r="F197" s="20" t="s">
        <v>189</v>
      </c>
      <c r="G197" s="8" t="str">
        <f t="shared" si="3"/>
        <v>STAMBAUGH JAMES</v>
      </c>
    </row>
    <row r="198" spans="1:7" x14ac:dyDescent="0.25">
      <c r="A198" s="8">
        <v>42901.792986111112</v>
      </c>
      <c r="B198" s="20" t="s">
        <v>370</v>
      </c>
      <c r="C198" s="20" t="s">
        <v>810</v>
      </c>
      <c r="D198" s="138">
        <v>2620000</v>
      </c>
      <c r="E198" s="20" t="s">
        <v>799</v>
      </c>
      <c r="F198" s="20" t="s">
        <v>800</v>
      </c>
      <c r="G198" s="8" t="str">
        <f t="shared" si="3"/>
        <v>PERKINS DARREN</v>
      </c>
    </row>
    <row r="199" spans="1:7" x14ac:dyDescent="0.25">
      <c r="A199" s="8">
        <v>42901.79650462963</v>
      </c>
      <c r="B199" s="20" t="s">
        <v>617</v>
      </c>
      <c r="C199" s="20" t="s">
        <v>811</v>
      </c>
      <c r="D199" s="138">
        <v>2090000</v>
      </c>
      <c r="E199" s="20" t="s">
        <v>471</v>
      </c>
      <c r="F199" s="20" t="s">
        <v>192</v>
      </c>
      <c r="G199" s="8" t="str">
        <f t="shared" si="3"/>
        <v>HAITHCOX MICHAEL</v>
      </c>
    </row>
    <row r="200" spans="1:7" x14ac:dyDescent="0.25">
      <c r="A200" s="8">
        <v>42901.798888888887</v>
      </c>
      <c r="B200" s="20" t="s">
        <v>477</v>
      </c>
      <c r="C200" s="20" t="s">
        <v>812</v>
      </c>
      <c r="D200" s="138">
        <v>2350000</v>
      </c>
      <c r="E200" s="20" t="s">
        <v>559</v>
      </c>
      <c r="F200" s="20" t="s">
        <v>560</v>
      </c>
      <c r="G200" s="8" t="str">
        <f t="shared" si="3"/>
        <v>BERLING GARY</v>
      </c>
    </row>
    <row r="201" spans="1:7" x14ac:dyDescent="0.25">
      <c r="A201" s="8">
        <v>42901.800891203704</v>
      </c>
      <c r="B201" s="20" t="s">
        <v>501</v>
      </c>
      <c r="C201" s="20" t="s">
        <v>813</v>
      </c>
      <c r="D201" s="138">
        <v>3000000</v>
      </c>
      <c r="E201" s="20" t="s">
        <v>426</v>
      </c>
      <c r="F201" s="20" t="s">
        <v>427</v>
      </c>
      <c r="G201" s="8" t="str">
        <f t="shared" si="3"/>
        <v>FORTUNATO FRANK</v>
      </c>
    </row>
    <row r="202" spans="1:7" x14ac:dyDescent="0.25">
      <c r="A202" s="26">
        <v>42901.808483796296</v>
      </c>
      <c r="B202" s="20" t="s">
        <v>448</v>
      </c>
      <c r="C202" s="20" t="s">
        <v>814</v>
      </c>
      <c r="D202" s="138">
        <v>2230000</v>
      </c>
      <c r="E202" s="20" t="s">
        <v>342</v>
      </c>
      <c r="F202" s="20" t="s">
        <v>192</v>
      </c>
      <c r="G202" s="8" t="str">
        <f t="shared" si="3"/>
        <v>SMITH MICHAEL</v>
      </c>
    </row>
    <row r="203" spans="1:7" x14ac:dyDescent="0.25">
      <c r="A203" s="8">
        <v>42901.817187499997</v>
      </c>
      <c r="B203" s="20" t="s">
        <v>369</v>
      </c>
      <c r="C203" s="20" t="s">
        <v>658</v>
      </c>
      <c r="D203" s="138">
        <v>2000000</v>
      </c>
      <c r="E203" s="20" t="s">
        <v>558</v>
      </c>
      <c r="F203" s="20" t="s">
        <v>189</v>
      </c>
      <c r="G203" s="8" t="str">
        <f t="shared" si="3"/>
        <v>STAMBAUGH JAMES</v>
      </c>
    </row>
    <row r="204" spans="1:7" x14ac:dyDescent="0.25">
      <c r="A204" s="8">
        <v>42901.818796296298</v>
      </c>
      <c r="B204" s="20" t="s">
        <v>358</v>
      </c>
      <c r="C204" s="20" t="s">
        <v>815</v>
      </c>
      <c r="D204" s="138">
        <v>2420000</v>
      </c>
      <c r="E204" s="20" t="s">
        <v>556</v>
      </c>
      <c r="F204" s="20" t="s">
        <v>557</v>
      </c>
      <c r="G204" s="8" t="str">
        <f t="shared" si="3"/>
        <v>HOLCOMB KAMDEN</v>
      </c>
    </row>
    <row r="205" spans="1:7" x14ac:dyDescent="0.25">
      <c r="A205" s="8">
        <v>42901.819837962961</v>
      </c>
      <c r="B205" s="20" t="s">
        <v>401</v>
      </c>
      <c r="C205" s="20" t="s">
        <v>659</v>
      </c>
      <c r="D205" s="138">
        <v>3130000</v>
      </c>
      <c r="E205" s="20" t="s">
        <v>385</v>
      </c>
      <c r="F205" s="20" t="s">
        <v>386</v>
      </c>
      <c r="G205" s="8" t="str">
        <f t="shared" si="3"/>
        <v>ZEWDU DEREJE</v>
      </c>
    </row>
    <row r="206" spans="1:7" x14ac:dyDescent="0.25">
      <c r="A206" s="8">
        <v>42901.820243055554</v>
      </c>
      <c r="B206" s="20" t="s">
        <v>358</v>
      </c>
      <c r="C206" s="20" t="s">
        <v>815</v>
      </c>
      <c r="D206" s="138">
        <v>2420000</v>
      </c>
      <c r="E206" s="20" t="s">
        <v>556</v>
      </c>
      <c r="F206" s="20" t="s">
        <v>557</v>
      </c>
      <c r="G206" s="8" t="str">
        <f t="shared" si="3"/>
        <v>HOLCOMB KAMDEN</v>
      </c>
    </row>
    <row r="207" spans="1:7" x14ac:dyDescent="0.25">
      <c r="A207" s="8">
        <v>42901.825787037036</v>
      </c>
      <c r="B207" s="20" t="s">
        <v>640</v>
      </c>
      <c r="C207" s="20" t="s">
        <v>659</v>
      </c>
      <c r="D207" s="138">
        <v>3130000</v>
      </c>
      <c r="E207" s="20" t="s">
        <v>385</v>
      </c>
      <c r="F207" s="20" t="s">
        <v>386</v>
      </c>
      <c r="G207" s="8" t="str">
        <f t="shared" si="3"/>
        <v>ZEWDU DEREJE</v>
      </c>
    </row>
    <row r="208" spans="1:7" x14ac:dyDescent="0.25">
      <c r="A208" s="8">
        <v>42901.829212962963</v>
      </c>
      <c r="B208" s="20" t="s">
        <v>373</v>
      </c>
      <c r="C208" s="20" t="s">
        <v>816</v>
      </c>
      <c r="D208" s="138">
        <v>2620000</v>
      </c>
      <c r="E208" s="20" t="s">
        <v>799</v>
      </c>
      <c r="F208" s="20" t="s">
        <v>800</v>
      </c>
      <c r="G208" s="8" t="str">
        <f t="shared" si="3"/>
        <v>PERKINS DARREN</v>
      </c>
    </row>
    <row r="209" spans="1:7" x14ac:dyDescent="0.25">
      <c r="A209" s="8">
        <v>42901.833414351851</v>
      </c>
      <c r="B209" s="20" t="s">
        <v>375</v>
      </c>
      <c r="C209" s="20" t="s">
        <v>817</v>
      </c>
      <c r="D209" s="138">
        <v>2000000</v>
      </c>
      <c r="E209" s="20" t="s">
        <v>558</v>
      </c>
      <c r="F209" s="20" t="s">
        <v>189</v>
      </c>
      <c r="G209" s="8" t="str">
        <f t="shared" si="3"/>
        <v>STAMBAUGH JAMES</v>
      </c>
    </row>
    <row r="210" spans="1:7" x14ac:dyDescent="0.25">
      <c r="A210" s="8">
        <v>42901.844236111108</v>
      </c>
      <c r="B210" s="20" t="s">
        <v>449</v>
      </c>
      <c r="C210" s="20" t="s">
        <v>818</v>
      </c>
      <c r="D210" s="138">
        <v>2230000</v>
      </c>
      <c r="E210" s="20" t="s">
        <v>342</v>
      </c>
      <c r="F210" s="20" t="s">
        <v>192</v>
      </c>
      <c r="G210" s="8" t="str">
        <f t="shared" si="3"/>
        <v>SMITH MICHAEL</v>
      </c>
    </row>
    <row r="211" spans="1:7" x14ac:dyDescent="0.25">
      <c r="A211" s="8">
        <v>42901.845856481479</v>
      </c>
      <c r="B211" s="20" t="s">
        <v>547</v>
      </c>
      <c r="C211" s="20" t="s">
        <v>819</v>
      </c>
      <c r="D211" s="138">
        <v>2610000</v>
      </c>
      <c r="E211" s="20" t="s">
        <v>418</v>
      </c>
      <c r="F211" s="20" t="s">
        <v>419</v>
      </c>
      <c r="G211" s="8" t="str">
        <f t="shared" si="3"/>
        <v>MAGEE KENYA</v>
      </c>
    </row>
    <row r="212" spans="1:7" x14ac:dyDescent="0.25">
      <c r="A212" s="8">
        <v>42901.849317129629</v>
      </c>
      <c r="B212" s="20" t="s">
        <v>543</v>
      </c>
      <c r="C212" s="20" t="s">
        <v>819</v>
      </c>
      <c r="D212" s="138">
        <v>2610000</v>
      </c>
      <c r="E212" s="20" t="s">
        <v>418</v>
      </c>
      <c r="F212" s="20" t="s">
        <v>419</v>
      </c>
      <c r="G212" s="8" t="str">
        <f t="shared" si="3"/>
        <v>MAGEE KENYA</v>
      </c>
    </row>
    <row r="213" spans="1:7" x14ac:dyDescent="0.25">
      <c r="A213" s="8">
        <v>42901.849548611113</v>
      </c>
      <c r="B213" s="20" t="s">
        <v>502</v>
      </c>
      <c r="C213" s="20" t="s">
        <v>820</v>
      </c>
      <c r="D213" s="138">
        <v>3030000</v>
      </c>
      <c r="E213" s="20" t="s">
        <v>382</v>
      </c>
      <c r="F213" s="20" t="s">
        <v>367</v>
      </c>
      <c r="G213" s="8" t="str">
        <f t="shared" si="3"/>
        <v>BIRENBAUM THOMAS</v>
      </c>
    </row>
    <row r="214" spans="1:7" x14ac:dyDescent="0.25">
      <c r="A214" s="8">
        <v>42901.858657407407</v>
      </c>
      <c r="B214" s="20" t="s">
        <v>369</v>
      </c>
      <c r="C214" s="20" t="s">
        <v>821</v>
      </c>
      <c r="D214" s="138">
        <v>2000000</v>
      </c>
      <c r="E214" s="20" t="s">
        <v>558</v>
      </c>
      <c r="F214" s="20" t="s">
        <v>189</v>
      </c>
      <c r="G214" s="8" t="str">
        <f t="shared" si="3"/>
        <v>STAMBAUGH JAMES</v>
      </c>
    </row>
    <row r="215" spans="1:7" x14ac:dyDescent="0.25">
      <c r="A215" s="8">
        <v>42901.867280092592</v>
      </c>
      <c r="B215" s="20" t="s">
        <v>370</v>
      </c>
      <c r="C215" s="20" t="s">
        <v>822</v>
      </c>
      <c r="D215" s="138">
        <v>2620000</v>
      </c>
      <c r="E215" s="20" t="s">
        <v>799</v>
      </c>
      <c r="F215" s="20" t="s">
        <v>800</v>
      </c>
      <c r="G215" s="8" t="str">
        <f t="shared" si="3"/>
        <v>PERKINS DARREN</v>
      </c>
    </row>
    <row r="216" spans="1:7" x14ac:dyDescent="0.25">
      <c r="A216" s="8">
        <v>42901.870682870373</v>
      </c>
      <c r="B216" s="20" t="s">
        <v>401</v>
      </c>
      <c r="C216" s="20" t="s">
        <v>823</v>
      </c>
      <c r="D216" s="138">
        <v>3090000</v>
      </c>
      <c r="E216" s="20" t="s">
        <v>376</v>
      </c>
      <c r="F216" s="20" t="s">
        <v>377</v>
      </c>
      <c r="G216" s="8" t="str">
        <f t="shared" si="3"/>
        <v>LAMAR NEKESHA</v>
      </c>
    </row>
    <row r="217" spans="1:7" x14ac:dyDescent="0.25">
      <c r="A217" s="8">
        <v>42901.879340277781</v>
      </c>
      <c r="B217" s="20" t="s">
        <v>375</v>
      </c>
      <c r="C217" s="20" t="s">
        <v>824</v>
      </c>
      <c r="D217" s="138">
        <v>2090000</v>
      </c>
      <c r="E217" s="20" t="s">
        <v>471</v>
      </c>
      <c r="F217" s="20" t="s">
        <v>192</v>
      </c>
      <c r="G217" s="8" t="str">
        <f t="shared" si="3"/>
        <v>HAITHCOX MICHAEL</v>
      </c>
    </row>
    <row r="218" spans="1:7" x14ac:dyDescent="0.25">
      <c r="A218" s="8">
        <v>42901.887592592589</v>
      </c>
      <c r="B218" s="20" t="s">
        <v>448</v>
      </c>
      <c r="C218" s="20" t="s">
        <v>825</v>
      </c>
      <c r="D218" s="138">
        <v>2230000</v>
      </c>
      <c r="E218" s="20" t="s">
        <v>342</v>
      </c>
      <c r="F218" s="20" t="s">
        <v>192</v>
      </c>
      <c r="G218" s="8" t="str">
        <f t="shared" si="3"/>
        <v>SMITH MICHAEL</v>
      </c>
    </row>
    <row r="219" spans="1:7" x14ac:dyDescent="0.25">
      <c r="A219" s="8">
        <v>42901.890173611115</v>
      </c>
      <c r="B219" s="20" t="s">
        <v>501</v>
      </c>
      <c r="C219" s="20" t="s">
        <v>826</v>
      </c>
      <c r="D219" s="138">
        <v>3030000</v>
      </c>
      <c r="E219" s="20" t="s">
        <v>382</v>
      </c>
      <c r="F219" s="20" t="s">
        <v>367</v>
      </c>
      <c r="G219" s="8" t="str">
        <f t="shared" si="3"/>
        <v>BIRENBAUM THOMAS</v>
      </c>
    </row>
    <row r="220" spans="1:7" x14ac:dyDescent="0.25">
      <c r="A220" s="8">
        <v>42901.901018518518</v>
      </c>
      <c r="B220" s="20" t="s">
        <v>369</v>
      </c>
      <c r="C220" s="20" t="s">
        <v>827</v>
      </c>
      <c r="D220" s="138">
        <v>2090000</v>
      </c>
      <c r="E220" s="20" t="s">
        <v>471</v>
      </c>
      <c r="F220" s="20" t="s">
        <v>192</v>
      </c>
      <c r="G220" s="8" t="str">
        <f t="shared" si="3"/>
        <v>HAITHCOX MICHAEL</v>
      </c>
    </row>
    <row r="221" spans="1:7" x14ac:dyDescent="0.25">
      <c r="A221" s="8">
        <v>42901.908321759256</v>
      </c>
      <c r="B221" s="20" t="s">
        <v>373</v>
      </c>
      <c r="C221" s="20" t="s">
        <v>828</v>
      </c>
      <c r="D221" s="138">
        <v>2620000</v>
      </c>
      <c r="E221" s="20" t="s">
        <v>799</v>
      </c>
      <c r="F221" s="20" t="s">
        <v>800</v>
      </c>
      <c r="G221" s="8" t="str">
        <f t="shared" si="3"/>
        <v>PERKINS DARREN</v>
      </c>
    </row>
    <row r="222" spans="1:7" x14ac:dyDescent="0.25">
      <c r="A222" s="8">
        <v>42901.910046296296</v>
      </c>
      <c r="B222" s="20" t="s">
        <v>640</v>
      </c>
      <c r="C222" s="20" t="s">
        <v>829</v>
      </c>
      <c r="D222" s="138">
        <v>3090000</v>
      </c>
      <c r="E222" s="20" t="s">
        <v>376</v>
      </c>
      <c r="F222" s="20" t="s">
        <v>377</v>
      </c>
      <c r="G222" s="8" t="str">
        <f t="shared" si="3"/>
        <v>LAMAR NEKESHA</v>
      </c>
    </row>
    <row r="223" spans="1:7" x14ac:dyDescent="0.25">
      <c r="A223" s="8">
        <v>42901.915462962963</v>
      </c>
      <c r="B223" s="20" t="s">
        <v>375</v>
      </c>
      <c r="C223" s="20" t="s">
        <v>830</v>
      </c>
      <c r="D223" s="138">
        <v>2090000</v>
      </c>
      <c r="E223" s="20" t="s">
        <v>471</v>
      </c>
      <c r="F223" s="20" t="s">
        <v>192</v>
      </c>
      <c r="G223" s="8" t="str">
        <f t="shared" si="3"/>
        <v>HAITHCOX MICHAEL</v>
      </c>
    </row>
    <row r="224" spans="1:7" x14ac:dyDescent="0.25">
      <c r="A224" s="8">
        <v>42901.924513888887</v>
      </c>
      <c r="B224" t="s">
        <v>449</v>
      </c>
      <c r="C224" t="s">
        <v>831</v>
      </c>
      <c r="D224" s="138">
        <v>2230000</v>
      </c>
      <c r="E224" t="s">
        <v>342</v>
      </c>
      <c r="F224" s="20" t="s">
        <v>192</v>
      </c>
      <c r="G224" s="8" t="str">
        <f t="shared" si="3"/>
        <v>SMITH MICHAEL</v>
      </c>
    </row>
    <row r="225" spans="1:7" x14ac:dyDescent="0.25">
      <c r="A225" s="8">
        <v>42901.927928240744</v>
      </c>
      <c r="B225" t="s">
        <v>502</v>
      </c>
      <c r="C225" t="s">
        <v>832</v>
      </c>
      <c r="D225" s="138">
        <v>3000000</v>
      </c>
      <c r="E225" t="s">
        <v>426</v>
      </c>
      <c r="F225" s="20" t="s">
        <v>427</v>
      </c>
      <c r="G225" s="8" t="str">
        <f t="shared" si="3"/>
        <v>FORTUNATO FRANK</v>
      </c>
    </row>
    <row r="226" spans="1:7" x14ac:dyDescent="0.25">
      <c r="A226" s="8">
        <v>42901.943020833336</v>
      </c>
      <c r="B226" t="s">
        <v>369</v>
      </c>
      <c r="C226" t="s">
        <v>833</v>
      </c>
      <c r="D226" s="138">
        <v>2090000</v>
      </c>
      <c r="E226" t="s">
        <v>471</v>
      </c>
      <c r="F226" s="20" t="s">
        <v>192</v>
      </c>
      <c r="G226" s="8" t="str">
        <f t="shared" si="3"/>
        <v>HAITHCOX MICHAEL</v>
      </c>
    </row>
    <row r="227" spans="1:7" x14ac:dyDescent="0.25">
      <c r="A227" s="8">
        <v>42901.949374999997</v>
      </c>
      <c r="B227" t="s">
        <v>370</v>
      </c>
      <c r="C227" t="s">
        <v>834</v>
      </c>
      <c r="D227" s="138">
        <v>2620000</v>
      </c>
      <c r="E227" t="s">
        <v>799</v>
      </c>
      <c r="F227" s="20" t="s">
        <v>800</v>
      </c>
      <c r="G227" s="8" t="str">
        <f t="shared" si="3"/>
        <v>PERKINS DARREN</v>
      </c>
    </row>
    <row r="228" spans="1:7" x14ac:dyDescent="0.25">
      <c r="A228" s="8">
        <v>42901.951631944445</v>
      </c>
      <c r="B228" t="s">
        <v>401</v>
      </c>
      <c r="C228" t="s">
        <v>835</v>
      </c>
      <c r="D228" s="138">
        <v>3130000</v>
      </c>
      <c r="E228" t="s">
        <v>385</v>
      </c>
      <c r="F228" s="20" t="s">
        <v>386</v>
      </c>
      <c r="G228" s="8" t="str">
        <f t="shared" si="3"/>
        <v>ZEWDU DEREJE</v>
      </c>
    </row>
    <row r="229" spans="1:7" x14ac:dyDescent="0.25">
      <c r="A229" s="8">
        <v>42901.96601851852</v>
      </c>
      <c r="B229" t="s">
        <v>448</v>
      </c>
      <c r="C229" t="s">
        <v>836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42901.966504629629</v>
      </c>
      <c r="B230" t="s">
        <v>501</v>
      </c>
      <c r="C230" t="s">
        <v>837</v>
      </c>
      <c r="D230" s="138">
        <v>3000000</v>
      </c>
      <c r="E230" t="s">
        <v>426</v>
      </c>
      <c r="F230" s="20" t="s">
        <v>427</v>
      </c>
      <c r="G230" s="8" t="str">
        <f t="shared" si="3"/>
        <v>FORTUNATO FRANK</v>
      </c>
    </row>
    <row r="231" spans="1:7" x14ac:dyDescent="0.25">
      <c r="A231" s="8">
        <v>42901.991805555554</v>
      </c>
      <c r="B231" t="s">
        <v>640</v>
      </c>
      <c r="C231" t="s">
        <v>1018</v>
      </c>
      <c r="D231" s="138">
        <v>3130000</v>
      </c>
      <c r="E231" t="s">
        <v>385</v>
      </c>
      <c r="F231" s="20" t="s">
        <v>386</v>
      </c>
      <c r="G231" s="8" t="str">
        <f t="shared" si="3"/>
        <v>ZEWDU DEREJE</v>
      </c>
    </row>
    <row r="232" spans="1:7" x14ac:dyDescent="0.25">
      <c r="A232" s="8">
        <v>42901.992928240739</v>
      </c>
      <c r="B232" t="s">
        <v>373</v>
      </c>
      <c r="C232" t="s">
        <v>1020</v>
      </c>
      <c r="D232" s="138">
        <v>2620000</v>
      </c>
      <c r="E232" t="s">
        <v>799</v>
      </c>
      <c r="F232" s="20" t="s">
        <v>800</v>
      </c>
      <c r="G232" s="8" t="str">
        <f t="shared" si="3"/>
        <v>PERKINS DARREN</v>
      </c>
    </row>
    <row r="233" spans="1:7" x14ac:dyDescent="0.25">
      <c r="A233" s="8">
        <v>42902.006111111114</v>
      </c>
      <c r="B233" t="s">
        <v>502</v>
      </c>
      <c r="C233" t="s">
        <v>1023</v>
      </c>
      <c r="D233" s="138">
        <v>3000000</v>
      </c>
      <c r="E233" t="s">
        <v>426</v>
      </c>
      <c r="F233" s="20" t="s">
        <v>427</v>
      </c>
      <c r="G233" s="8" t="str">
        <f t="shared" si="3"/>
        <v>FORTUNATO FRANK</v>
      </c>
    </row>
    <row r="234" spans="1:7" x14ac:dyDescent="0.25">
      <c r="A234" s="8">
        <v>42902.013460648152</v>
      </c>
      <c r="B234" t="s">
        <v>449</v>
      </c>
      <c r="C234" t="s">
        <v>1019</v>
      </c>
      <c r="D234" s="138">
        <v>2230000</v>
      </c>
      <c r="E234" t="s">
        <v>342</v>
      </c>
      <c r="F234" s="20" t="s">
        <v>192</v>
      </c>
      <c r="G234" s="8" t="str">
        <f t="shared" si="3"/>
        <v>SMITH MICHAEL</v>
      </c>
    </row>
    <row r="235" spans="1:7" x14ac:dyDescent="0.25">
      <c r="A235" s="8">
        <v>42902.027928240743</v>
      </c>
      <c r="B235" t="s">
        <v>401</v>
      </c>
      <c r="C235" t="s">
        <v>1025</v>
      </c>
      <c r="D235" s="138">
        <v>3090000</v>
      </c>
      <c r="E235" t="s">
        <v>376</v>
      </c>
      <c r="F235" s="20" t="s">
        <v>377</v>
      </c>
      <c r="G235" s="8" t="str">
        <f t="shared" si="3"/>
        <v>LAMAR NEKESHA</v>
      </c>
    </row>
    <row r="236" spans="1:7" x14ac:dyDescent="0.25">
      <c r="A236" s="8">
        <v>42902.032777777778</v>
      </c>
      <c r="B236" t="s">
        <v>370</v>
      </c>
      <c r="C236" t="s">
        <v>1022</v>
      </c>
      <c r="D236" s="138">
        <v>2620000</v>
      </c>
      <c r="E236" t="s">
        <v>799</v>
      </c>
      <c r="F236" s="20" t="s">
        <v>800</v>
      </c>
      <c r="G236" s="8" t="str">
        <f t="shared" si="3"/>
        <v>PERKINS DARREN</v>
      </c>
    </row>
    <row r="237" spans="1:7" x14ac:dyDescent="0.25">
      <c r="A237" s="8">
        <v>42902.048391203702</v>
      </c>
      <c r="B237" t="s">
        <v>501</v>
      </c>
      <c r="C237" t="s">
        <v>1024</v>
      </c>
      <c r="D237" s="138">
        <v>3000000</v>
      </c>
      <c r="E237" t="s">
        <v>426</v>
      </c>
      <c r="F237" s="20" t="s">
        <v>427</v>
      </c>
      <c r="G237" s="8" t="str">
        <f t="shared" si="3"/>
        <v>FORTUNATO FRANK</v>
      </c>
    </row>
    <row r="238" spans="1:7" x14ac:dyDescent="0.25">
      <c r="A238" s="8">
        <v>42902.049259259256</v>
      </c>
      <c r="B238" t="s">
        <v>448</v>
      </c>
      <c r="C238" t="s">
        <v>1026</v>
      </c>
      <c r="D238" s="138">
        <v>2230000</v>
      </c>
      <c r="E238" t="s">
        <v>342</v>
      </c>
      <c r="F238" s="20" t="s">
        <v>192</v>
      </c>
      <c r="G238" s="8" t="str">
        <f t="shared" si="3"/>
        <v>SMITH MICHAEL</v>
      </c>
    </row>
    <row r="239" spans="1:7" x14ac:dyDescent="0.25">
      <c r="A239" s="8">
        <v>42902.050671296296</v>
      </c>
      <c r="B239" t="s">
        <v>448</v>
      </c>
      <c r="C239" t="s">
        <v>1026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42902.068773148145</v>
      </c>
      <c r="B240" t="s">
        <v>373</v>
      </c>
      <c r="C240" t="s">
        <v>1027</v>
      </c>
      <c r="D240" s="138">
        <v>2620000</v>
      </c>
      <c r="E240" t="s">
        <v>799</v>
      </c>
      <c r="F240" s="20" t="s">
        <v>800</v>
      </c>
      <c r="G240" s="8" t="str">
        <f t="shared" si="3"/>
        <v>PERKINS DARREN</v>
      </c>
    </row>
    <row r="241" spans="1:7" x14ac:dyDescent="0.25">
      <c r="A241" s="8">
        <v>42902.069409722222</v>
      </c>
      <c r="B241" t="s">
        <v>373</v>
      </c>
      <c r="C241" t="s">
        <v>1027</v>
      </c>
      <c r="D241" s="138">
        <v>2620000</v>
      </c>
      <c r="E241" t="s">
        <v>799</v>
      </c>
      <c r="F241" s="20" t="s">
        <v>800</v>
      </c>
      <c r="G241" s="8" t="str">
        <f t="shared" si="3"/>
        <v>PERKINS DARREN</v>
      </c>
    </row>
    <row r="242" spans="1:7" x14ac:dyDescent="0.25">
      <c r="A242" s="8">
        <v>42902.070057870369</v>
      </c>
      <c r="B242" t="s">
        <v>373</v>
      </c>
      <c r="C242" t="s">
        <v>1027</v>
      </c>
      <c r="D242" s="138">
        <v>2620000</v>
      </c>
      <c r="E242" t="s">
        <v>799</v>
      </c>
      <c r="F242" s="20" t="s">
        <v>800</v>
      </c>
      <c r="G242" s="8" t="str">
        <f t="shared" si="3"/>
        <v>PERKINS DARREN</v>
      </c>
    </row>
    <row r="243" spans="1:7" x14ac:dyDescent="0.25">
      <c r="A243" s="8">
        <v>42902.07136574074</v>
      </c>
      <c r="B243" t="s">
        <v>373</v>
      </c>
      <c r="C243" t="s">
        <v>1027</v>
      </c>
      <c r="D243" s="138">
        <v>2620000</v>
      </c>
      <c r="E243" t="s">
        <v>799</v>
      </c>
      <c r="F243" s="20" t="s">
        <v>800</v>
      </c>
      <c r="G243" s="8" t="str">
        <f t="shared" si="3"/>
        <v>PERKINS DARREN</v>
      </c>
    </row>
    <row r="244" spans="1:7" x14ac:dyDescent="0.25">
      <c r="A244" s="8">
        <v>42902.089062500003</v>
      </c>
      <c r="B244" t="s">
        <v>502</v>
      </c>
      <c r="C244" t="s">
        <v>1028</v>
      </c>
      <c r="D244" s="138">
        <v>3000000</v>
      </c>
      <c r="E244" t="s">
        <v>426</v>
      </c>
      <c r="F244" s="20" t="s">
        <v>427</v>
      </c>
      <c r="G244" s="8" t="str">
        <f t="shared" si="3"/>
        <v>FORTUNATO FRANK</v>
      </c>
    </row>
    <row r="245" spans="1:7" x14ac:dyDescent="0.25">
      <c r="A245" s="8">
        <v>42902.115844907406</v>
      </c>
      <c r="B245" t="s">
        <v>421</v>
      </c>
      <c r="C245" t="s">
        <v>1029</v>
      </c>
      <c r="D245" s="138">
        <v>1110000</v>
      </c>
      <c r="E245" t="s">
        <v>481</v>
      </c>
      <c r="F245" s="20" t="s">
        <v>482</v>
      </c>
      <c r="G245" s="8" t="str">
        <f t="shared" si="3"/>
        <v>STARKS ANGELINA</v>
      </c>
    </row>
    <row r="246" spans="1:7" x14ac:dyDescent="0.25">
      <c r="A246" s="8">
        <v>42902.116840277777</v>
      </c>
      <c r="B246" t="s">
        <v>421</v>
      </c>
      <c r="C246" t="s">
        <v>1029</v>
      </c>
      <c r="D246" s="138">
        <v>1110000</v>
      </c>
      <c r="E246" t="s">
        <v>481</v>
      </c>
      <c r="F246" s="20" t="s">
        <v>482</v>
      </c>
      <c r="G246" s="8" t="str">
        <f t="shared" si="3"/>
        <v>STARKS ANGELINA</v>
      </c>
    </row>
    <row r="247" spans="1:7" x14ac:dyDescent="0.25">
      <c r="A247" s="8">
        <v>42902.118067129632</v>
      </c>
      <c r="B247" t="s">
        <v>421</v>
      </c>
      <c r="C247" t="s">
        <v>1029</v>
      </c>
      <c r="D247" s="138">
        <v>1110000</v>
      </c>
      <c r="E247" t="s">
        <v>481</v>
      </c>
      <c r="F247" s="20" t="s">
        <v>482</v>
      </c>
      <c r="G247" s="8" t="str">
        <f t="shared" si="3"/>
        <v>STARKS ANGELINA</v>
      </c>
    </row>
    <row r="248" spans="1:7" x14ac:dyDescent="0.25">
      <c r="A248" s="8">
        <v>42902.133263888885</v>
      </c>
      <c r="B248" t="s">
        <v>425</v>
      </c>
      <c r="C248" t="s">
        <v>1030</v>
      </c>
      <c r="D248" s="138">
        <v>1090000</v>
      </c>
      <c r="E248" t="s">
        <v>506</v>
      </c>
      <c r="F248" s="20" t="s">
        <v>192</v>
      </c>
      <c r="G248" s="8" t="str">
        <f t="shared" si="3"/>
        <v>SPECTOR MICHAEL</v>
      </c>
    </row>
    <row r="249" spans="1:7" x14ac:dyDescent="0.25">
      <c r="A249" s="8">
        <v>42902.135659722226</v>
      </c>
      <c r="B249" t="s">
        <v>478</v>
      </c>
      <c r="C249" t="s">
        <v>1031</v>
      </c>
      <c r="D249" s="138">
        <v>1110000</v>
      </c>
      <c r="E249" t="s">
        <v>481</v>
      </c>
      <c r="F249" s="20" t="s">
        <v>482</v>
      </c>
      <c r="G249" s="8" t="str">
        <f t="shared" si="3"/>
        <v>STARKS ANGELINA</v>
      </c>
    </row>
    <row r="250" spans="1:7" x14ac:dyDescent="0.25">
      <c r="A250" s="8">
        <v>42902.143425925926</v>
      </c>
      <c r="B250" t="s">
        <v>421</v>
      </c>
      <c r="C250" t="s">
        <v>1032</v>
      </c>
      <c r="D250" s="138">
        <v>1090000</v>
      </c>
      <c r="E250" t="s">
        <v>506</v>
      </c>
      <c r="F250" s="20" t="s">
        <v>192</v>
      </c>
      <c r="G250" s="8" t="str">
        <f t="shared" si="3"/>
        <v>SPECTOR MICHAEL</v>
      </c>
    </row>
    <row r="251" spans="1:7" x14ac:dyDescent="0.25">
      <c r="A251" s="8">
        <v>42902.149305555555</v>
      </c>
      <c r="B251" t="s">
        <v>542</v>
      </c>
      <c r="C251" t="s">
        <v>1033</v>
      </c>
      <c r="D251" s="138">
        <v>900000</v>
      </c>
      <c r="E251" t="s">
        <v>723</v>
      </c>
      <c r="F251" s="20" t="s">
        <v>724</v>
      </c>
      <c r="G251" s="8" t="str">
        <f t="shared" si="3"/>
        <v>ROCHA YAOTL</v>
      </c>
    </row>
    <row r="252" spans="1:7" x14ac:dyDescent="0.25">
      <c r="A252" s="8">
        <v>42902.152303240742</v>
      </c>
      <c r="B252" t="s">
        <v>425</v>
      </c>
      <c r="C252" t="s">
        <v>1034</v>
      </c>
      <c r="D252" s="138">
        <v>1090000</v>
      </c>
      <c r="E252" t="s">
        <v>506</v>
      </c>
      <c r="F252" s="20" t="s">
        <v>192</v>
      </c>
      <c r="G252" s="8" t="str">
        <f t="shared" si="3"/>
        <v>SPECTOR MICHAEL</v>
      </c>
    </row>
    <row r="253" spans="1:7" x14ac:dyDescent="0.25">
      <c r="A253" s="8">
        <v>42902.159745370373</v>
      </c>
      <c r="B253" t="s">
        <v>450</v>
      </c>
      <c r="C253" t="s">
        <v>1035</v>
      </c>
      <c r="D253" s="138">
        <v>940000</v>
      </c>
      <c r="E253" t="s">
        <v>479</v>
      </c>
      <c r="F253" s="20" t="s">
        <v>480</v>
      </c>
      <c r="G253" s="8" t="str">
        <f t="shared" si="3"/>
        <v>BONDS REYNALDO</v>
      </c>
    </row>
    <row r="254" spans="1:7" x14ac:dyDescent="0.25">
      <c r="A254" s="8">
        <v>42899.985891203702</v>
      </c>
      <c r="B254" t="s">
        <v>477</v>
      </c>
      <c r="C254" t="s">
        <v>512</v>
      </c>
      <c r="D254" s="138">
        <v>3000000</v>
      </c>
      <c r="E254" t="s">
        <v>426</v>
      </c>
      <c r="F254" s="20" t="s">
        <v>427</v>
      </c>
      <c r="G254" s="8" t="str">
        <f t="shared" si="3"/>
        <v>FORTUNATO FRANK</v>
      </c>
    </row>
    <row r="255" spans="1:7" x14ac:dyDescent="0.25">
      <c r="A255" s="8">
        <v>42899.989768518521</v>
      </c>
      <c r="B255" t="s">
        <v>501</v>
      </c>
      <c r="C255" t="s">
        <v>505</v>
      </c>
      <c r="D255" s="138">
        <v>2090000</v>
      </c>
      <c r="E255" t="s">
        <v>471</v>
      </c>
      <c r="F255" s="20" t="s">
        <v>192</v>
      </c>
      <c r="G255" s="8" t="str">
        <f t="shared" si="3"/>
        <v>HAITHCOX MICHAEL</v>
      </c>
    </row>
    <row r="256" spans="1:7" x14ac:dyDescent="0.25">
      <c r="A256" s="8">
        <v>42900.010150462964</v>
      </c>
      <c r="B256" t="s">
        <v>442</v>
      </c>
      <c r="C256" t="s">
        <v>513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448</v>
      </c>
      <c r="C257" t="s">
        <v>514</v>
      </c>
      <c r="D257" s="138">
        <v>3090000</v>
      </c>
      <c r="E257" t="s">
        <v>376</v>
      </c>
      <c r="F257" s="20" t="s">
        <v>377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502</v>
      </c>
      <c r="C258" t="s">
        <v>515</v>
      </c>
      <c r="D258" s="138">
        <v>2090000</v>
      </c>
      <c r="E258" t="s">
        <v>471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483</v>
      </c>
      <c r="C259" t="s">
        <v>516</v>
      </c>
      <c r="D259" s="138">
        <v>3000000</v>
      </c>
      <c r="E259" t="s">
        <v>426</v>
      </c>
      <c r="F259" s="20" t="s">
        <v>427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502</v>
      </c>
      <c r="C260" t="s">
        <v>515</v>
      </c>
      <c r="D260" s="138">
        <v>2090000</v>
      </c>
      <c r="E260" t="s">
        <v>471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502</v>
      </c>
      <c r="C261" t="s">
        <v>515</v>
      </c>
      <c r="D261" s="138">
        <v>2090000</v>
      </c>
      <c r="E261" t="s">
        <v>471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502</v>
      </c>
      <c r="C262" t="s">
        <v>515</v>
      </c>
      <c r="D262" s="138">
        <v>2090000</v>
      </c>
      <c r="E262" t="s">
        <v>471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449</v>
      </c>
      <c r="C263" t="s">
        <v>517</v>
      </c>
      <c r="D263" s="138">
        <v>3090000</v>
      </c>
      <c r="E263" t="s">
        <v>376</v>
      </c>
      <c r="F263" s="20" t="s">
        <v>377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443</v>
      </c>
      <c r="C264" t="s">
        <v>518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443</v>
      </c>
      <c r="C265" t="s">
        <v>518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477</v>
      </c>
      <c r="C266" t="s">
        <v>519</v>
      </c>
      <c r="D266" s="138">
        <v>3000000</v>
      </c>
      <c r="E266" t="s">
        <v>426</v>
      </c>
      <c r="F266" s="20" t="s">
        <v>427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448</v>
      </c>
      <c r="C267" t="s">
        <v>520</v>
      </c>
      <c r="D267" s="138">
        <v>3090000</v>
      </c>
      <c r="E267" t="s">
        <v>376</v>
      </c>
      <c r="F267" s="20" t="s">
        <v>377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398</v>
      </c>
      <c r="C268" t="s">
        <v>423</v>
      </c>
      <c r="D268" s="138">
        <v>2680000</v>
      </c>
      <c r="E268" t="s">
        <v>416</v>
      </c>
      <c r="F268" s="20" t="s">
        <v>417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429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425</v>
      </c>
      <c r="C270" t="s">
        <v>430</v>
      </c>
      <c r="D270" s="138">
        <v>2610000</v>
      </c>
      <c r="E270" t="s">
        <v>418</v>
      </c>
      <c r="F270" s="20" t="s">
        <v>419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358</v>
      </c>
      <c r="C271" t="s">
        <v>431</v>
      </c>
      <c r="D271" s="138">
        <v>2140000</v>
      </c>
      <c r="E271" t="s">
        <v>413</v>
      </c>
      <c r="F271" s="20" t="s">
        <v>414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422</v>
      </c>
      <c r="C272" t="s">
        <v>432</v>
      </c>
      <c r="D272" s="138">
        <v>3000000</v>
      </c>
      <c r="E272" t="s">
        <v>426</v>
      </c>
      <c r="F272" s="20" t="s">
        <v>427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399</v>
      </c>
      <c r="C273" t="s">
        <v>428</v>
      </c>
      <c r="D273" s="138">
        <v>2680000</v>
      </c>
      <c r="E273" t="s">
        <v>416</v>
      </c>
      <c r="F273" s="20" t="s">
        <v>417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433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421</v>
      </c>
      <c r="C275" t="s">
        <v>434</v>
      </c>
      <c r="D275" s="138">
        <v>2610000</v>
      </c>
      <c r="E275" t="s">
        <v>418</v>
      </c>
      <c r="F275" s="20" t="s">
        <v>419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424</v>
      </c>
      <c r="C276" t="s">
        <v>435</v>
      </c>
      <c r="D276" s="138">
        <v>3000000</v>
      </c>
      <c r="E276" t="s">
        <v>426</v>
      </c>
      <c r="F276" s="20" t="s">
        <v>427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425</v>
      </c>
      <c r="C277" t="s">
        <v>436</v>
      </c>
      <c r="D277" s="138">
        <v>2610000</v>
      </c>
      <c r="E277" t="s">
        <v>418</v>
      </c>
      <c r="F277" s="20" t="s">
        <v>419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402</v>
      </c>
      <c r="C278" t="s">
        <v>403</v>
      </c>
      <c r="D278" s="138">
        <v>2970000</v>
      </c>
      <c r="E278" t="s">
        <v>380</v>
      </c>
      <c r="F278" s="20" t="s">
        <v>381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401</v>
      </c>
      <c r="C279" t="s">
        <v>407</v>
      </c>
      <c r="D279" s="138">
        <v>1810000</v>
      </c>
      <c r="E279" t="s">
        <v>368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408</v>
      </c>
      <c r="D280" s="138">
        <v>3090000</v>
      </c>
      <c r="E280" t="s">
        <v>376</v>
      </c>
      <c r="F280" s="20" t="s">
        <v>377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399</v>
      </c>
      <c r="C281" t="s">
        <v>404</v>
      </c>
      <c r="D281" s="138">
        <v>3010000</v>
      </c>
      <c r="E281" t="s">
        <v>394</v>
      </c>
      <c r="F281" s="20" t="s">
        <v>395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405</v>
      </c>
      <c r="C282" t="s">
        <v>406</v>
      </c>
      <c r="D282" s="138">
        <v>2970000</v>
      </c>
      <c r="E282" t="s">
        <v>380</v>
      </c>
      <c r="F282" s="20" t="s">
        <v>381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398</v>
      </c>
      <c r="C283" t="s">
        <v>404</v>
      </c>
      <c r="D283" s="138">
        <v>3010000</v>
      </c>
      <c r="E283" t="s">
        <v>394</v>
      </c>
      <c r="F283" s="20" t="s">
        <v>395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400</v>
      </c>
      <c r="C284" t="s">
        <v>409</v>
      </c>
      <c r="D284" s="138">
        <v>3030000</v>
      </c>
      <c r="E284" t="s">
        <v>382</v>
      </c>
      <c r="F284" s="20" t="s">
        <v>367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398</v>
      </c>
      <c r="C285" t="s">
        <v>404</v>
      </c>
      <c r="D285" s="138">
        <v>3010000</v>
      </c>
      <c r="E285" t="s">
        <v>394</v>
      </c>
      <c r="F285" s="20" t="s">
        <v>395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402</v>
      </c>
      <c r="C286" t="s">
        <v>403</v>
      </c>
      <c r="D286" s="138">
        <v>2970000</v>
      </c>
      <c r="E286" t="s">
        <v>380</v>
      </c>
      <c r="F286" s="20" t="s">
        <v>381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405</v>
      </c>
      <c r="C287" t="s">
        <v>406</v>
      </c>
      <c r="D287" s="138">
        <v>2970000</v>
      </c>
      <c r="E287" t="s">
        <v>380</v>
      </c>
      <c r="F287" s="20" t="s">
        <v>381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410</v>
      </c>
      <c r="D288" s="138">
        <v>3090000</v>
      </c>
      <c r="E288" t="s">
        <v>376</v>
      </c>
      <c r="F288" s="20" t="s">
        <v>377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402</v>
      </c>
      <c r="C289" t="s">
        <v>403</v>
      </c>
      <c r="D289" s="138">
        <v>2970000</v>
      </c>
      <c r="E289" t="s">
        <v>380</v>
      </c>
      <c r="F289" s="20" t="s">
        <v>381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399</v>
      </c>
      <c r="C290" t="s">
        <v>404</v>
      </c>
      <c r="D290" s="138">
        <v>3010000</v>
      </c>
      <c r="E290" t="s">
        <v>394</v>
      </c>
      <c r="F290" s="20" t="s">
        <v>395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399</v>
      </c>
      <c r="C291" t="s">
        <v>404</v>
      </c>
      <c r="D291" s="138">
        <v>3010000</v>
      </c>
      <c r="E291" t="s">
        <v>394</v>
      </c>
      <c r="F291" s="20" t="s">
        <v>395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399</v>
      </c>
      <c r="C292" t="s">
        <v>404</v>
      </c>
      <c r="D292" s="138">
        <v>3010000</v>
      </c>
      <c r="E292" t="s">
        <v>394</v>
      </c>
      <c r="F292" s="20" t="s">
        <v>395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399</v>
      </c>
      <c r="C293" t="s">
        <v>404</v>
      </c>
      <c r="D293" s="138">
        <v>3010000</v>
      </c>
      <c r="E293" t="s">
        <v>394</v>
      </c>
      <c r="F293" s="20" t="s">
        <v>395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405</v>
      </c>
      <c r="C294" t="s">
        <v>406</v>
      </c>
      <c r="D294" s="138">
        <v>2970000</v>
      </c>
      <c r="E294" t="s">
        <v>380</v>
      </c>
      <c r="F294" s="20" t="s">
        <v>381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387</v>
      </c>
      <c r="D295" s="138">
        <v>1800000</v>
      </c>
      <c r="E295" t="s">
        <v>378</v>
      </c>
      <c r="F295" s="20" t="s">
        <v>379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366</v>
      </c>
      <c r="C296" t="s">
        <v>388</v>
      </c>
      <c r="D296" s="138">
        <v>3030000</v>
      </c>
      <c r="E296" t="s">
        <v>382</v>
      </c>
      <c r="F296" s="20" t="s">
        <v>367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375</v>
      </c>
      <c r="C297" t="s">
        <v>371</v>
      </c>
      <c r="D297" s="138">
        <v>2970000</v>
      </c>
      <c r="E297" t="s">
        <v>380</v>
      </c>
      <c r="F297" s="20" t="s">
        <v>381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358</v>
      </c>
      <c r="C298" t="s">
        <v>389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369</v>
      </c>
      <c r="C299" t="s">
        <v>371</v>
      </c>
      <c r="D299" s="138">
        <v>2970000</v>
      </c>
      <c r="E299" t="s">
        <v>380</v>
      </c>
      <c r="F299" s="20" t="s">
        <v>381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370</v>
      </c>
      <c r="C300" t="s">
        <v>374</v>
      </c>
      <c r="D300" s="138">
        <v>3130000</v>
      </c>
      <c r="E300" t="s">
        <v>385</v>
      </c>
      <c r="F300" s="20" t="s">
        <v>386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369</v>
      </c>
      <c r="C301" t="s">
        <v>371</v>
      </c>
      <c r="D301" s="138">
        <v>2970000</v>
      </c>
      <c r="E301" t="s">
        <v>380</v>
      </c>
      <c r="F301" s="20" t="s">
        <v>381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364</v>
      </c>
      <c r="C302" t="s">
        <v>372</v>
      </c>
      <c r="D302" s="138">
        <v>3040000</v>
      </c>
      <c r="E302" t="s">
        <v>383</v>
      </c>
      <c r="F302" s="20" t="s">
        <v>384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364</v>
      </c>
      <c r="C303" t="s">
        <v>372</v>
      </c>
      <c r="D303" s="138">
        <v>3040000</v>
      </c>
      <c r="E303" t="s">
        <v>383</v>
      </c>
      <c r="F303" s="20" t="s">
        <v>384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390</v>
      </c>
      <c r="D304" s="138">
        <v>3030000</v>
      </c>
      <c r="E304" t="s">
        <v>382</v>
      </c>
      <c r="F304" s="20" t="s">
        <v>367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375</v>
      </c>
      <c r="C305" t="s">
        <v>371</v>
      </c>
      <c r="D305" s="138">
        <v>2970000</v>
      </c>
      <c r="E305" t="s">
        <v>380</v>
      </c>
      <c r="F305" s="20" t="s">
        <v>381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369</v>
      </c>
      <c r="C306" t="s">
        <v>371</v>
      </c>
      <c r="D306" s="138">
        <v>2970000</v>
      </c>
      <c r="E306" t="s">
        <v>380</v>
      </c>
      <c r="F306" s="20" t="s">
        <v>381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365</v>
      </c>
      <c r="C307" t="s">
        <v>372</v>
      </c>
      <c r="D307" s="138">
        <v>3040000</v>
      </c>
      <c r="E307" t="s">
        <v>383</v>
      </c>
      <c r="F307" s="20" t="s">
        <v>384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373</v>
      </c>
      <c r="C308" t="s">
        <v>391</v>
      </c>
      <c r="D308" s="138">
        <v>3130000</v>
      </c>
      <c r="E308" t="s">
        <v>385</v>
      </c>
      <c r="F308" s="20" t="s">
        <v>386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364</v>
      </c>
      <c r="C309" t="s">
        <v>372</v>
      </c>
      <c r="D309" s="138">
        <v>3040000</v>
      </c>
      <c r="E309" t="s">
        <v>383</v>
      </c>
      <c r="F309" s="20" t="s">
        <v>384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375</v>
      </c>
      <c r="C310" t="s">
        <v>371</v>
      </c>
      <c r="D310" s="138">
        <v>2970000</v>
      </c>
      <c r="E310" t="s">
        <v>380</v>
      </c>
      <c r="F310" s="20" t="s">
        <v>381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369</v>
      </c>
      <c r="C311" t="s">
        <v>371</v>
      </c>
      <c r="D311" s="138">
        <v>2970000</v>
      </c>
      <c r="E311" t="s">
        <v>380</v>
      </c>
      <c r="F311" s="20" t="s">
        <v>381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8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567</v>
      </c>
      <c r="O1" s="171" t="s">
        <v>156</v>
      </c>
      <c r="P1" s="171" t="s">
        <v>163</v>
      </c>
      <c r="Q1" s="171" t="s">
        <v>568</v>
      </c>
      <c r="R1" s="171" t="s">
        <v>160</v>
      </c>
    </row>
    <row r="2" spans="1:18" x14ac:dyDescent="0.25">
      <c r="A2" s="172">
        <v>64.02</v>
      </c>
      <c r="B2" s="172">
        <v>0.01</v>
      </c>
      <c r="C2" s="172">
        <v>36.56</v>
      </c>
      <c r="D2" s="8">
        <v>42901</v>
      </c>
      <c r="E2" s="172">
        <v>0.33</v>
      </c>
      <c r="F2" s="172" t="s">
        <v>488</v>
      </c>
      <c r="G2" s="172">
        <v>308.45</v>
      </c>
      <c r="H2" s="172">
        <v>0</v>
      </c>
      <c r="I2" s="172">
        <v>0</v>
      </c>
      <c r="J2" s="172">
        <v>1010.7</v>
      </c>
      <c r="K2" s="172" t="s">
        <v>489</v>
      </c>
      <c r="L2" s="172">
        <v>66.33</v>
      </c>
      <c r="M2" s="172">
        <v>1497506400</v>
      </c>
      <c r="N2" s="172">
        <v>0</v>
      </c>
      <c r="O2" s="172">
        <v>10</v>
      </c>
      <c r="P2" s="172">
        <v>270</v>
      </c>
      <c r="Q2" s="172">
        <v>7.45</v>
      </c>
      <c r="R2" s="172">
        <v>2.79</v>
      </c>
    </row>
    <row r="3" spans="1:18" x14ac:dyDescent="0.25">
      <c r="A3" s="172">
        <v>61.1</v>
      </c>
      <c r="B3" s="172">
        <v>0.01</v>
      </c>
      <c r="C3" s="172">
        <v>36.14</v>
      </c>
      <c r="D3" s="8">
        <v>42901.041666666664</v>
      </c>
      <c r="E3" s="172">
        <v>0.35</v>
      </c>
      <c r="F3" s="172" t="s">
        <v>488</v>
      </c>
      <c r="G3" s="172">
        <v>309.41000000000003</v>
      </c>
      <c r="H3" s="172">
        <v>0</v>
      </c>
      <c r="I3" s="172">
        <v>0</v>
      </c>
      <c r="J3" s="172">
        <v>1011.26</v>
      </c>
      <c r="K3" s="172" t="s">
        <v>489</v>
      </c>
      <c r="L3" s="172">
        <v>64.209999999999994</v>
      </c>
      <c r="M3" s="172">
        <v>1497510000</v>
      </c>
      <c r="N3" s="172">
        <v>0</v>
      </c>
      <c r="O3" s="172">
        <v>10</v>
      </c>
      <c r="P3" s="172">
        <v>154</v>
      </c>
      <c r="Q3" s="172">
        <v>6.83</v>
      </c>
      <c r="R3" s="172">
        <v>4.08</v>
      </c>
    </row>
    <row r="4" spans="1:18" x14ac:dyDescent="0.25">
      <c r="A4" s="172">
        <v>59.57</v>
      </c>
      <c r="B4" s="172">
        <v>0</v>
      </c>
      <c r="C4" s="172">
        <v>36.130000000000003</v>
      </c>
      <c r="D4" s="8">
        <v>42901.083333333336</v>
      </c>
      <c r="E4" s="172">
        <v>0.37</v>
      </c>
      <c r="F4" s="172" t="s">
        <v>488</v>
      </c>
      <c r="G4" s="172">
        <v>310.48</v>
      </c>
      <c r="H4" s="172">
        <v>0</v>
      </c>
      <c r="I4" s="172">
        <v>0</v>
      </c>
      <c r="J4" s="172">
        <v>1011.9</v>
      </c>
      <c r="K4" s="172" t="s">
        <v>489</v>
      </c>
      <c r="L4" s="172">
        <v>62.45</v>
      </c>
      <c r="M4" s="172">
        <v>1497513600</v>
      </c>
      <c r="N4" s="172">
        <v>0</v>
      </c>
      <c r="O4" s="172">
        <v>10</v>
      </c>
      <c r="P4" s="172">
        <v>274</v>
      </c>
      <c r="Q4" s="172">
        <v>7.8</v>
      </c>
      <c r="R4" s="172">
        <v>3.49</v>
      </c>
    </row>
    <row r="5" spans="1:18" x14ac:dyDescent="0.25">
      <c r="A5" s="172">
        <v>58.04</v>
      </c>
      <c r="B5" s="172">
        <v>0</v>
      </c>
      <c r="C5" s="172">
        <v>36.61</v>
      </c>
      <c r="D5" s="8">
        <v>42901.125</v>
      </c>
      <c r="E5" s="172">
        <v>0.41</v>
      </c>
      <c r="F5" s="172" t="s">
        <v>488</v>
      </c>
      <c r="G5" s="172">
        <v>311.44</v>
      </c>
      <c r="H5" s="172">
        <v>0</v>
      </c>
      <c r="I5" s="172">
        <v>0</v>
      </c>
      <c r="J5" s="172">
        <v>1012.66</v>
      </c>
      <c r="K5" s="172" t="s">
        <v>489</v>
      </c>
      <c r="L5" s="172">
        <v>60.73</v>
      </c>
      <c r="M5" s="172">
        <v>1497517200</v>
      </c>
      <c r="N5" s="172">
        <v>0</v>
      </c>
      <c r="O5" s="172">
        <v>10</v>
      </c>
      <c r="P5" s="172">
        <v>229</v>
      </c>
      <c r="Q5" s="172">
        <v>6.95</v>
      </c>
      <c r="R5" s="172">
        <v>3.11</v>
      </c>
    </row>
    <row r="6" spans="1:18" x14ac:dyDescent="0.25">
      <c r="A6" s="172">
        <v>56.97</v>
      </c>
      <c r="B6" s="172">
        <v>0</v>
      </c>
      <c r="C6" s="172">
        <v>36.83</v>
      </c>
      <c r="D6" s="8">
        <v>42901.166666666664</v>
      </c>
      <c r="E6" s="172">
        <v>0.43</v>
      </c>
      <c r="F6" s="172" t="s">
        <v>488</v>
      </c>
      <c r="G6" s="172">
        <v>312.27999999999997</v>
      </c>
      <c r="H6" s="172">
        <v>0</v>
      </c>
      <c r="I6" s="172">
        <v>0</v>
      </c>
      <c r="J6" s="172">
        <v>1012.92</v>
      </c>
      <c r="K6" s="172" t="s">
        <v>489</v>
      </c>
      <c r="L6" s="172">
        <v>59.53</v>
      </c>
      <c r="M6" s="172">
        <v>1497520800</v>
      </c>
      <c r="N6" s="172">
        <v>0</v>
      </c>
      <c r="O6" s="172">
        <v>10</v>
      </c>
      <c r="P6" s="172">
        <v>152</v>
      </c>
      <c r="Q6" s="172">
        <v>6.17</v>
      </c>
      <c r="R6" s="172">
        <v>2.79</v>
      </c>
    </row>
    <row r="7" spans="1:18" x14ac:dyDescent="0.25">
      <c r="A7" s="172">
        <v>54.37</v>
      </c>
      <c r="B7" s="172">
        <v>0</v>
      </c>
      <c r="C7" s="172">
        <v>37.020000000000003</v>
      </c>
      <c r="D7" s="8">
        <v>42901.208333333336</v>
      </c>
      <c r="E7" s="172">
        <v>0.47</v>
      </c>
      <c r="F7" s="172" t="s">
        <v>488</v>
      </c>
      <c r="G7" s="172">
        <v>313.02</v>
      </c>
      <c r="H7" s="172">
        <v>0</v>
      </c>
      <c r="I7" s="172">
        <v>0</v>
      </c>
      <c r="J7" s="172">
        <v>1013.09</v>
      </c>
      <c r="K7" s="172" t="s">
        <v>489</v>
      </c>
      <c r="L7" s="172">
        <v>57.22</v>
      </c>
      <c r="M7" s="172">
        <v>1497524400</v>
      </c>
      <c r="N7" s="172">
        <v>0</v>
      </c>
      <c r="O7" s="172">
        <v>10</v>
      </c>
      <c r="P7" s="172">
        <v>158</v>
      </c>
      <c r="Q7" s="172">
        <v>4.7699999999999996</v>
      </c>
      <c r="R7" s="172">
        <v>3.21</v>
      </c>
    </row>
    <row r="8" spans="1:18" x14ac:dyDescent="0.25">
      <c r="A8" s="172">
        <v>54.64</v>
      </c>
      <c r="B8" s="172">
        <v>0</v>
      </c>
      <c r="C8" s="172">
        <v>36.72</v>
      </c>
      <c r="D8" s="8">
        <v>42901.25</v>
      </c>
      <c r="E8" s="172">
        <v>0.45</v>
      </c>
      <c r="F8" s="172" t="s">
        <v>490</v>
      </c>
      <c r="G8" s="172">
        <v>313.85000000000002</v>
      </c>
      <c r="H8" s="172">
        <v>0</v>
      </c>
      <c r="I8" s="172">
        <v>0</v>
      </c>
      <c r="J8" s="172">
        <v>1013.03</v>
      </c>
      <c r="K8" s="172" t="s">
        <v>489</v>
      </c>
      <c r="L8" s="172">
        <v>57.69</v>
      </c>
      <c r="M8" s="172">
        <v>1497528000</v>
      </c>
      <c r="N8" s="172">
        <v>0</v>
      </c>
      <c r="O8" s="172">
        <v>10</v>
      </c>
      <c r="P8" s="172">
        <v>232</v>
      </c>
      <c r="Q8" s="172">
        <v>3.66</v>
      </c>
      <c r="R8" s="172">
        <v>3.56</v>
      </c>
    </row>
    <row r="9" spans="1:18" x14ac:dyDescent="0.25">
      <c r="A9" s="172">
        <v>59.84</v>
      </c>
      <c r="B9" s="172">
        <v>0</v>
      </c>
      <c r="C9" s="172">
        <v>36.840000000000003</v>
      </c>
      <c r="D9" s="8">
        <v>42901.291666666664</v>
      </c>
      <c r="E9" s="172">
        <v>0.39</v>
      </c>
      <c r="F9" s="172" t="s">
        <v>490</v>
      </c>
      <c r="G9" s="172">
        <v>313.22000000000003</v>
      </c>
      <c r="H9" s="172">
        <v>0</v>
      </c>
      <c r="I9" s="172">
        <v>0</v>
      </c>
      <c r="J9" s="172">
        <v>1013.06</v>
      </c>
      <c r="K9" s="172" t="s">
        <v>489</v>
      </c>
      <c r="L9" s="172">
        <v>62.23</v>
      </c>
      <c r="M9" s="172">
        <v>1497531600</v>
      </c>
      <c r="N9" s="172">
        <v>1</v>
      </c>
      <c r="O9" s="172">
        <v>10</v>
      </c>
      <c r="P9" s="172">
        <v>164</v>
      </c>
      <c r="Q9" s="172">
        <v>3.56</v>
      </c>
      <c r="R9" s="172">
        <v>2.68</v>
      </c>
    </row>
    <row r="10" spans="1:18" x14ac:dyDescent="0.25">
      <c r="A10" s="172">
        <v>67.05</v>
      </c>
      <c r="B10" s="172">
        <v>0</v>
      </c>
      <c r="C10" s="172">
        <v>36.909999999999997</v>
      </c>
      <c r="D10" s="8">
        <v>42901.333333333336</v>
      </c>
      <c r="E10" s="172">
        <v>0.31</v>
      </c>
      <c r="F10" s="172" t="s">
        <v>490</v>
      </c>
      <c r="G10" s="172">
        <v>311.85000000000002</v>
      </c>
      <c r="H10" s="172">
        <v>0</v>
      </c>
      <c r="I10" s="172">
        <v>0</v>
      </c>
      <c r="J10" s="172">
        <v>1012.97</v>
      </c>
      <c r="K10" s="172" t="s">
        <v>489</v>
      </c>
      <c r="L10" s="172">
        <v>69.03</v>
      </c>
      <c r="M10" s="172">
        <v>1497535200</v>
      </c>
      <c r="N10" s="172">
        <v>1</v>
      </c>
      <c r="O10" s="172">
        <v>10</v>
      </c>
      <c r="P10" s="172">
        <v>0</v>
      </c>
      <c r="Q10" s="172">
        <v>4.6900000000000004</v>
      </c>
      <c r="R10" s="172">
        <v>2.44</v>
      </c>
    </row>
    <row r="11" spans="1:18" x14ac:dyDescent="0.25">
      <c r="A11" s="172">
        <v>73.239999999999995</v>
      </c>
      <c r="B11" s="172">
        <v>0</v>
      </c>
      <c r="C11" s="172">
        <v>36.18</v>
      </c>
      <c r="D11" s="8">
        <v>42901.375</v>
      </c>
      <c r="E11" s="172">
        <v>0.24</v>
      </c>
      <c r="F11" s="172" t="s">
        <v>490</v>
      </c>
      <c r="G11" s="172">
        <v>310.89999999999998</v>
      </c>
      <c r="H11" s="172">
        <v>0</v>
      </c>
      <c r="I11" s="172">
        <v>0</v>
      </c>
      <c r="J11" s="172">
        <v>1012.77</v>
      </c>
      <c r="K11" s="172" t="s">
        <v>489</v>
      </c>
      <c r="L11" s="172">
        <v>75.150000000000006</v>
      </c>
      <c r="M11" s="172">
        <v>1497538800</v>
      </c>
      <c r="N11" s="172">
        <v>3</v>
      </c>
      <c r="O11" s="172">
        <v>10</v>
      </c>
      <c r="P11" s="172">
        <v>56</v>
      </c>
      <c r="Q11" s="172">
        <v>3.37</v>
      </c>
      <c r="R11" s="172">
        <v>2.63</v>
      </c>
    </row>
    <row r="12" spans="1:18" x14ac:dyDescent="0.25">
      <c r="A12" s="172">
        <v>76.86</v>
      </c>
      <c r="B12" s="172">
        <v>7.0000000000000007E-2</v>
      </c>
      <c r="C12" s="172">
        <v>34.700000000000003</v>
      </c>
      <c r="D12" s="8">
        <v>42901.416666666664</v>
      </c>
      <c r="E12" s="172">
        <v>0.2</v>
      </c>
      <c r="F12" s="172" t="s">
        <v>490</v>
      </c>
      <c r="G12" s="172">
        <v>310.8</v>
      </c>
      <c r="H12" s="172">
        <v>0</v>
      </c>
      <c r="I12" s="172">
        <v>0</v>
      </c>
      <c r="J12" s="172">
        <v>1011.82</v>
      </c>
      <c r="K12" s="172" t="s">
        <v>489</v>
      </c>
      <c r="L12" s="172">
        <v>79.2</v>
      </c>
      <c r="M12" s="172">
        <v>1497542400</v>
      </c>
      <c r="N12" s="172">
        <v>5</v>
      </c>
      <c r="O12" s="172">
        <v>10</v>
      </c>
      <c r="P12" s="172">
        <v>64</v>
      </c>
      <c r="Q12" s="172">
        <v>5.51</v>
      </c>
      <c r="R12" s="172">
        <v>3.47</v>
      </c>
    </row>
    <row r="13" spans="1:18" x14ac:dyDescent="0.25">
      <c r="A13" s="172">
        <v>79.709999999999994</v>
      </c>
      <c r="B13" s="172">
        <v>0.18</v>
      </c>
      <c r="C13" s="172">
        <v>34</v>
      </c>
      <c r="D13" s="8">
        <v>42901.458333333336</v>
      </c>
      <c r="E13" s="172">
        <v>0.18</v>
      </c>
      <c r="F13" s="172" t="s">
        <v>490</v>
      </c>
      <c r="G13" s="172">
        <v>311.01</v>
      </c>
      <c r="H13" s="172">
        <v>0</v>
      </c>
      <c r="I13" s="172">
        <v>0</v>
      </c>
      <c r="J13" s="172">
        <v>1010.55</v>
      </c>
      <c r="K13" s="172" t="s">
        <v>489</v>
      </c>
      <c r="L13" s="172">
        <v>82.29</v>
      </c>
      <c r="M13" s="172">
        <v>1497546000</v>
      </c>
      <c r="N13" s="172">
        <v>8</v>
      </c>
      <c r="O13" s="172">
        <v>10</v>
      </c>
      <c r="P13" s="172">
        <v>95</v>
      </c>
      <c r="Q13" s="172">
        <v>8.3800000000000008</v>
      </c>
      <c r="R13" s="172">
        <v>4.04</v>
      </c>
    </row>
    <row r="14" spans="1:18" x14ac:dyDescent="0.25">
      <c r="A14" s="172">
        <v>81.99</v>
      </c>
      <c r="B14" s="172">
        <v>0.22</v>
      </c>
      <c r="C14" s="172">
        <v>34.340000000000003</v>
      </c>
      <c r="D14" s="8">
        <v>42901.5</v>
      </c>
      <c r="E14" s="172">
        <v>0.17</v>
      </c>
      <c r="F14" s="172" t="s">
        <v>490</v>
      </c>
      <c r="G14" s="172">
        <v>312.18</v>
      </c>
      <c r="H14" s="172">
        <v>0</v>
      </c>
      <c r="I14" s="172">
        <v>0</v>
      </c>
      <c r="J14" s="172">
        <v>1009.47</v>
      </c>
      <c r="K14" s="172" t="s">
        <v>489</v>
      </c>
      <c r="L14" s="172">
        <v>84.74</v>
      </c>
      <c r="M14" s="172">
        <v>1497549600</v>
      </c>
      <c r="N14" s="172">
        <v>10</v>
      </c>
      <c r="O14" s="172">
        <v>10</v>
      </c>
      <c r="P14" s="172">
        <v>106</v>
      </c>
      <c r="Q14" s="172">
        <v>12.6</v>
      </c>
      <c r="R14" s="172">
        <v>4.62</v>
      </c>
    </row>
    <row r="15" spans="1:18" x14ac:dyDescent="0.25">
      <c r="A15" s="172">
        <v>84.44</v>
      </c>
      <c r="B15" s="172">
        <v>0.22</v>
      </c>
      <c r="C15" s="172">
        <v>32.24</v>
      </c>
      <c r="D15" s="8">
        <v>42901.541666666664</v>
      </c>
      <c r="E15" s="172">
        <v>0.14000000000000001</v>
      </c>
      <c r="F15" s="172" t="s">
        <v>490</v>
      </c>
      <c r="G15" s="172">
        <v>311.86</v>
      </c>
      <c r="H15" s="172">
        <v>0</v>
      </c>
      <c r="I15" s="172">
        <v>0</v>
      </c>
      <c r="J15" s="172">
        <v>1008.51</v>
      </c>
      <c r="K15" s="172" t="s">
        <v>489</v>
      </c>
      <c r="L15" s="172">
        <v>87.08</v>
      </c>
      <c r="M15" s="172">
        <v>1497553200</v>
      </c>
      <c r="N15" s="172">
        <v>11</v>
      </c>
      <c r="O15" s="172">
        <v>10</v>
      </c>
      <c r="P15" s="172">
        <v>90</v>
      </c>
      <c r="Q15" s="172">
        <v>14.05</v>
      </c>
      <c r="R15" s="172">
        <v>4.21</v>
      </c>
    </row>
    <row r="16" spans="1:18" x14ac:dyDescent="0.25">
      <c r="A16" s="172">
        <v>86.8</v>
      </c>
      <c r="B16" s="172">
        <v>0.21</v>
      </c>
      <c r="C16" s="172">
        <v>30.18</v>
      </c>
      <c r="D16" s="8">
        <v>42901.583333333336</v>
      </c>
      <c r="E16" s="172">
        <v>0.12</v>
      </c>
      <c r="F16" s="172" t="s">
        <v>490</v>
      </c>
      <c r="G16" s="172">
        <v>311.11</v>
      </c>
      <c r="H16" s="172">
        <v>0</v>
      </c>
      <c r="I16" s="172">
        <v>0</v>
      </c>
      <c r="J16" s="172">
        <v>1007.78</v>
      </c>
      <c r="K16" s="172" t="s">
        <v>489</v>
      </c>
      <c r="L16" s="172">
        <v>89.18</v>
      </c>
      <c r="M16" s="172">
        <v>1497556800</v>
      </c>
      <c r="N16" s="172">
        <v>10</v>
      </c>
      <c r="O16" s="172">
        <v>10</v>
      </c>
      <c r="P16" s="172">
        <v>65</v>
      </c>
      <c r="Q16" s="172">
        <v>15.8</v>
      </c>
      <c r="R16" s="172">
        <v>3.53</v>
      </c>
    </row>
    <row r="17" spans="1:18" x14ac:dyDescent="0.25">
      <c r="A17" s="172">
        <v>89.32</v>
      </c>
      <c r="B17" s="172">
        <v>0.21</v>
      </c>
      <c r="C17" s="172">
        <v>29.11</v>
      </c>
      <c r="D17" s="8">
        <v>42901.625</v>
      </c>
      <c r="E17" s="172">
        <v>0.11</v>
      </c>
      <c r="F17" s="172" t="s">
        <v>490</v>
      </c>
      <c r="G17" s="172">
        <v>310.26</v>
      </c>
      <c r="H17" s="172">
        <v>0</v>
      </c>
      <c r="I17" s="172">
        <v>0</v>
      </c>
      <c r="J17" s="172">
        <v>1007.1</v>
      </c>
      <c r="K17" s="172" t="s">
        <v>489</v>
      </c>
      <c r="L17" s="172">
        <v>91.64</v>
      </c>
      <c r="M17" s="172">
        <v>1497560400</v>
      </c>
      <c r="N17" s="172">
        <v>8</v>
      </c>
      <c r="O17" s="172">
        <v>10</v>
      </c>
      <c r="P17" s="172">
        <v>38</v>
      </c>
      <c r="Q17" s="172">
        <v>14.39</v>
      </c>
      <c r="R17" s="172">
        <v>3.43</v>
      </c>
    </row>
    <row r="18" spans="1:18" x14ac:dyDescent="0.25">
      <c r="A18" s="172">
        <v>89.26</v>
      </c>
      <c r="B18" s="172">
        <v>0.4</v>
      </c>
      <c r="C18" s="172">
        <v>29.61</v>
      </c>
      <c r="D18" s="8">
        <v>42901.666666666664</v>
      </c>
      <c r="E18" s="172">
        <v>0.11</v>
      </c>
      <c r="F18" s="172" t="s">
        <v>838</v>
      </c>
      <c r="G18" s="172">
        <v>309.52</v>
      </c>
      <c r="H18" s="172">
        <v>0</v>
      </c>
      <c r="I18" s="172">
        <v>0</v>
      </c>
      <c r="J18" s="172">
        <v>1006.4</v>
      </c>
      <c r="K18" s="172" t="s">
        <v>839</v>
      </c>
      <c r="L18" s="172">
        <v>92.49</v>
      </c>
      <c r="M18" s="172">
        <v>1497564000</v>
      </c>
      <c r="N18" s="172">
        <v>4</v>
      </c>
      <c r="O18" s="172">
        <v>10</v>
      </c>
      <c r="P18" s="172">
        <v>356</v>
      </c>
      <c r="Q18" s="172">
        <v>13.11</v>
      </c>
      <c r="R18" s="172">
        <v>5.31</v>
      </c>
    </row>
    <row r="19" spans="1:18" x14ac:dyDescent="0.25">
      <c r="A19" s="172">
        <v>89.26</v>
      </c>
      <c r="B19" s="172">
        <v>0.5</v>
      </c>
      <c r="C19" s="172">
        <v>30.84</v>
      </c>
      <c r="D19" s="8">
        <v>42901.708333333336</v>
      </c>
      <c r="E19" s="172">
        <v>0.11</v>
      </c>
      <c r="F19" s="172" t="s">
        <v>838</v>
      </c>
      <c r="G19" s="172">
        <v>308.67</v>
      </c>
      <c r="H19" s="172">
        <v>0</v>
      </c>
      <c r="I19" s="172">
        <v>0</v>
      </c>
      <c r="J19" s="172">
        <v>1005.7</v>
      </c>
      <c r="K19" s="172" t="s">
        <v>839</v>
      </c>
      <c r="L19" s="172">
        <v>92.37</v>
      </c>
      <c r="M19" s="172">
        <v>1497567600</v>
      </c>
      <c r="N19" s="172">
        <v>2</v>
      </c>
      <c r="O19" s="172">
        <v>10</v>
      </c>
      <c r="P19" s="172">
        <v>357</v>
      </c>
      <c r="Q19" s="172">
        <v>13.83</v>
      </c>
      <c r="R19" s="172">
        <v>5.29</v>
      </c>
    </row>
    <row r="20" spans="1:18" x14ac:dyDescent="0.25">
      <c r="A20" s="172">
        <v>85.95</v>
      </c>
      <c r="B20" s="172">
        <v>0.64</v>
      </c>
      <c r="C20" s="172">
        <v>33.51</v>
      </c>
      <c r="D20" s="8">
        <v>42901.75</v>
      </c>
      <c r="E20" s="172">
        <v>0.14000000000000001</v>
      </c>
      <c r="F20" s="172" t="s">
        <v>838</v>
      </c>
      <c r="G20" s="172">
        <v>306.42</v>
      </c>
      <c r="H20" s="172">
        <v>0</v>
      </c>
      <c r="I20" s="172">
        <v>0</v>
      </c>
      <c r="J20" s="172">
        <v>1005.34</v>
      </c>
      <c r="K20" s="172" t="s">
        <v>840</v>
      </c>
      <c r="L20" s="172">
        <v>89.3</v>
      </c>
      <c r="M20" s="172">
        <v>1497571200</v>
      </c>
      <c r="N20" s="172">
        <v>1</v>
      </c>
      <c r="O20" s="172">
        <v>10</v>
      </c>
      <c r="P20" s="172">
        <v>42</v>
      </c>
      <c r="Q20" s="172">
        <v>9.14</v>
      </c>
      <c r="R20" s="172">
        <v>5.97</v>
      </c>
    </row>
    <row r="21" spans="1:18" x14ac:dyDescent="0.25">
      <c r="A21" s="172">
        <v>82.58</v>
      </c>
      <c r="B21" s="172">
        <v>0.71</v>
      </c>
      <c r="C21" s="172">
        <v>35.58</v>
      </c>
      <c r="D21" s="8">
        <v>42901.791666666664</v>
      </c>
      <c r="E21" s="172">
        <v>0.17</v>
      </c>
      <c r="F21" s="172" t="s">
        <v>838</v>
      </c>
      <c r="G21" s="172">
        <v>306.31</v>
      </c>
      <c r="H21" s="172">
        <v>0</v>
      </c>
      <c r="I21" s="172">
        <v>0</v>
      </c>
      <c r="J21" s="172">
        <v>1005.86</v>
      </c>
      <c r="K21" s="172" t="s">
        <v>840</v>
      </c>
      <c r="L21" s="172">
        <v>86.12</v>
      </c>
      <c r="M21" s="172">
        <v>1497574800</v>
      </c>
      <c r="N21" s="172">
        <v>0</v>
      </c>
      <c r="O21" s="172">
        <v>10</v>
      </c>
      <c r="P21" s="172">
        <v>41</v>
      </c>
      <c r="Q21" s="172">
        <v>9.64</v>
      </c>
      <c r="R21" s="172">
        <v>6.47</v>
      </c>
    </row>
    <row r="22" spans="1:18" x14ac:dyDescent="0.25">
      <c r="A22" s="172">
        <v>79.25</v>
      </c>
      <c r="B22" s="172">
        <v>0.66</v>
      </c>
      <c r="C22" s="172">
        <v>36.869999999999997</v>
      </c>
      <c r="D22" s="8">
        <v>42901.833333333336</v>
      </c>
      <c r="E22" s="172">
        <v>0.2</v>
      </c>
      <c r="F22" s="172" t="s">
        <v>838</v>
      </c>
      <c r="G22" s="172">
        <v>306.83999999999997</v>
      </c>
      <c r="H22" s="172">
        <v>0</v>
      </c>
      <c r="I22" s="172">
        <v>0</v>
      </c>
      <c r="J22" s="172">
        <v>1006.81</v>
      </c>
      <c r="K22" s="172" t="s">
        <v>840</v>
      </c>
      <c r="L22" s="172">
        <v>81.94</v>
      </c>
      <c r="M22" s="172">
        <v>1497578400</v>
      </c>
      <c r="N22" s="172">
        <v>0</v>
      </c>
      <c r="O22" s="172">
        <v>10</v>
      </c>
      <c r="P22" s="172">
        <v>40</v>
      </c>
      <c r="Q22" s="172">
        <v>7.99</v>
      </c>
      <c r="R22" s="172">
        <v>4.7699999999999996</v>
      </c>
    </row>
    <row r="23" spans="1:18" x14ac:dyDescent="0.25">
      <c r="A23" s="172">
        <v>75.17</v>
      </c>
      <c r="B23" s="172">
        <v>0.55000000000000004</v>
      </c>
      <c r="C23" s="172">
        <v>36.729999999999997</v>
      </c>
      <c r="D23" s="8">
        <v>42901.875</v>
      </c>
      <c r="E23" s="172">
        <v>0.23</v>
      </c>
      <c r="F23" s="172" t="s">
        <v>841</v>
      </c>
      <c r="G23" s="172">
        <v>307.27999999999997</v>
      </c>
      <c r="H23" s="172">
        <v>0</v>
      </c>
      <c r="I23" s="172">
        <v>0</v>
      </c>
      <c r="J23" s="172">
        <v>1008.04</v>
      </c>
      <c r="K23" s="172" t="s">
        <v>839</v>
      </c>
      <c r="L23" s="172">
        <v>77.52</v>
      </c>
      <c r="M23" s="172">
        <v>1497582000</v>
      </c>
      <c r="N23" s="172">
        <v>0</v>
      </c>
      <c r="O23" s="172">
        <v>10</v>
      </c>
      <c r="P23" s="172">
        <v>38</v>
      </c>
      <c r="Q23" s="172">
        <v>6.28</v>
      </c>
      <c r="R23" s="172">
        <v>3.76</v>
      </c>
    </row>
    <row r="24" spans="1:18" x14ac:dyDescent="0.25">
      <c r="A24" s="172">
        <v>73.05</v>
      </c>
      <c r="B24" s="172">
        <v>0.47</v>
      </c>
      <c r="C24" s="172">
        <v>36.909999999999997</v>
      </c>
      <c r="D24" s="8">
        <v>42901.916666666664</v>
      </c>
      <c r="E24" s="172">
        <v>0.25</v>
      </c>
      <c r="F24" s="172" t="s">
        <v>841</v>
      </c>
      <c r="G24" s="172">
        <v>307.7</v>
      </c>
      <c r="H24" s="172">
        <v>0</v>
      </c>
      <c r="I24" s="172">
        <v>0</v>
      </c>
      <c r="J24" s="172">
        <v>1008.57</v>
      </c>
      <c r="K24" s="172" t="s">
        <v>839</v>
      </c>
      <c r="L24" s="172">
        <v>74.819999999999993</v>
      </c>
      <c r="M24" s="172">
        <v>1497585600</v>
      </c>
      <c r="N24" s="172">
        <v>0</v>
      </c>
      <c r="O24" s="172">
        <v>10</v>
      </c>
      <c r="P24" s="172">
        <v>46</v>
      </c>
      <c r="Q24" s="172">
        <v>6.08</v>
      </c>
      <c r="R24" s="172">
        <v>2.4700000000000002</v>
      </c>
    </row>
    <row r="25" spans="1:18" x14ac:dyDescent="0.25">
      <c r="A25" s="172">
        <v>70.290000000000006</v>
      </c>
      <c r="B25" s="172">
        <v>0.33</v>
      </c>
      <c r="C25" s="172">
        <v>37.07</v>
      </c>
      <c r="D25" s="8">
        <v>42901.958333333336</v>
      </c>
      <c r="E25" s="172">
        <v>0.27</v>
      </c>
      <c r="F25" s="172" t="s">
        <v>841</v>
      </c>
      <c r="G25" s="172">
        <v>308.02</v>
      </c>
      <c r="H25" s="172">
        <v>0</v>
      </c>
      <c r="I25" s="172">
        <v>0</v>
      </c>
      <c r="J25" s="172">
        <v>1008.72</v>
      </c>
      <c r="K25" s="172" t="s">
        <v>839</v>
      </c>
      <c r="L25" s="172">
        <v>72.5</v>
      </c>
      <c r="M25" s="172">
        <v>1497589200</v>
      </c>
      <c r="N25" s="172">
        <v>0</v>
      </c>
      <c r="O25" s="172">
        <v>10</v>
      </c>
      <c r="P25" s="172">
        <v>216</v>
      </c>
      <c r="Q25" s="172">
        <v>6.86</v>
      </c>
      <c r="R25" s="172">
        <v>3.18</v>
      </c>
    </row>
    <row r="26" spans="1:18" x14ac:dyDescent="0.25">
      <c r="A26" s="172">
        <v>68.25</v>
      </c>
      <c r="B26" s="172">
        <v>0.08</v>
      </c>
      <c r="C26" s="172">
        <v>36.75</v>
      </c>
      <c r="D26" s="8">
        <v>42902</v>
      </c>
      <c r="E26" s="172">
        <v>0.28999999999999998</v>
      </c>
      <c r="F26" s="172" t="s">
        <v>488</v>
      </c>
      <c r="G26" s="172">
        <v>308.33999999999997</v>
      </c>
      <c r="H26" s="172">
        <v>0</v>
      </c>
      <c r="I26" s="172">
        <v>0</v>
      </c>
      <c r="J26" s="172">
        <v>1009.01</v>
      </c>
      <c r="K26" s="172" t="s">
        <v>489</v>
      </c>
      <c r="L26" s="172">
        <v>70.790000000000006</v>
      </c>
      <c r="M26" s="172">
        <v>1497592800</v>
      </c>
      <c r="N26" s="172">
        <v>0</v>
      </c>
      <c r="O26" s="172">
        <v>10</v>
      </c>
      <c r="P26" s="172">
        <v>226</v>
      </c>
      <c r="Q26" s="172">
        <v>4.66</v>
      </c>
      <c r="R26" s="172">
        <v>3.61</v>
      </c>
    </row>
    <row r="27" spans="1:18" x14ac:dyDescent="0.25">
      <c r="A27" s="172">
        <v>66.14</v>
      </c>
      <c r="B27" s="172">
        <v>0.05</v>
      </c>
      <c r="C27" s="172">
        <v>35.65</v>
      </c>
      <c r="D27" s="8">
        <v>42902.041666666664</v>
      </c>
      <c r="E27" s="172">
        <v>0.28999999999999998</v>
      </c>
      <c r="F27" s="172" t="s">
        <v>488</v>
      </c>
      <c r="G27" s="172">
        <v>308.56</v>
      </c>
      <c r="H27" s="172">
        <v>0</v>
      </c>
      <c r="I27" s="172">
        <v>0</v>
      </c>
      <c r="J27" s="172">
        <v>1009.28</v>
      </c>
      <c r="K27" s="172" t="s">
        <v>489</v>
      </c>
      <c r="L27" s="172">
        <v>69.099999999999994</v>
      </c>
      <c r="M27" s="172">
        <v>1497596400</v>
      </c>
      <c r="N27" s="172">
        <v>0</v>
      </c>
      <c r="O27" s="172">
        <v>10</v>
      </c>
      <c r="P27" s="172">
        <v>212</v>
      </c>
      <c r="Q27" s="172">
        <v>5.3</v>
      </c>
      <c r="R27" s="172">
        <v>4.07</v>
      </c>
    </row>
    <row r="28" spans="1:18" x14ac:dyDescent="0.25">
      <c r="A28" s="172">
        <v>64.36</v>
      </c>
      <c r="B28" s="172">
        <v>0.09</v>
      </c>
      <c r="C28" s="172">
        <v>34.6</v>
      </c>
      <c r="D28" s="8">
        <v>42902.083333333336</v>
      </c>
      <c r="E28" s="172">
        <v>0.28999999999999998</v>
      </c>
      <c r="F28" s="172" t="s">
        <v>488</v>
      </c>
      <c r="G28" s="172">
        <v>308.56</v>
      </c>
      <c r="H28" s="172">
        <v>0</v>
      </c>
      <c r="I28" s="172">
        <v>0</v>
      </c>
      <c r="J28" s="172">
        <v>1009.65</v>
      </c>
      <c r="K28" s="172" t="s">
        <v>489</v>
      </c>
      <c r="L28" s="172">
        <v>67.87</v>
      </c>
      <c r="M28" s="172">
        <v>1497600000</v>
      </c>
      <c r="N28" s="172">
        <v>0</v>
      </c>
      <c r="O28" s="172">
        <v>10</v>
      </c>
      <c r="P28" s="172">
        <v>240</v>
      </c>
      <c r="Q28" s="172">
        <v>5.07</v>
      </c>
      <c r="R28" s="172">
        <v>4.84</v>
      </c>
    </row>
    <row r="29" spans="1:18" x14ac:dyDescent="0.25">
      <c r="A29" s="172">
        <v>63.83</v>
      </c>
      <c r="B29" s="172">
        <v>0.03</v>
      </c>
      <c r="C29" s="172">
        <v>33.44</v>
      </c>
      <c r="D29" s="8">
        <v>42902.125</v>
      </c>
      <c r="E29" s="172">
        <v>0.28000000000000003</v>
      </c>
      <c r="F29" s="172" t="s">
        <v>488</v>
      </c>
      <c r="G29" s="172">
        <v>308.33999999999997</v>
      </c>
      <c r="H29" s="172">
        <v>0</v>
      </c>
      <c r="I29" s="172">
        <v>0</v>
      </c>
      <c r="J29" s="172">
        <v>1010.06</v>
      </c>
      <c r="K29" s="172" t="s">
        <v>489</v>
      </c>
      <c r="L29" s="172">
        <v>67.430000000000007</v>
      </c>
      <c r="M29" s="172">
        <v>1497603600</v>
      </c>
      <c r="N29" s="172">
        <v>0</v>
      </c>
      <c r="O29" s="172">
        <v>10</v>
      </c>
      <c r="P29" s="172">
        <v>241</v>
      </c>
      <c r="Q29" s="172">
        <v>5.61</v>
      </c>
      <c r="R29" s="172">
        <v>4.7699999999999996</v>
      </c>
    </row>
    <row r="30" spans="1:18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8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42901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607</v>
      </c>
      <c r="AE2" s="56" t="s">
        <v>610</v>
      </c>
      <c r="AF2" s="56" t="s">
        <v>611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608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609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612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1000</v>
      </c>
      <c r="J20" s="140" t="s">
        <v>87</v>
      </c>
      <c r="M20" s="154" t="s">
        <v>361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1001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1002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1003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1005</v>
      </c>
      <c r="J25" s="140" t="s">
        <v>146</v>
      </c>
      <c r="M25" s="154" t="b">
        <v>1</v>
      </c>
    </row>
    <row r="26" spans="3:24" x14ac:dyDescent="0.25">
      <c r="C26" t="s">
        <v>1006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C:\Users\stu\Documents\GitHub\eaglep3-reporting\EC\2017-06-15-refined-times.txt</v>
      </c>
    </row>
    <row r="27" spans="3:24" x14ac:dyDescent="0.25">
      <c r="C27" t="s">
        <v>1007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C:\Users\stu\Documents\GitHub\eaglep3-reporting\EC\2017-06-15-Enforcements.txt</v>
      </c>
    </row>
    <row r="28" spans="3:24" x14ac:dyDescent="0.25">
      <c r="C28" t="s">
        <v>1008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C:\Users\stu\Documents\GitHub\eaglep3-reporting\EC\2017-06-15-Runs-refined.txt</v>
      </c>
    </row>
    <row r="29" spans="3:24" x14ac:dyDescent="0.25">
      <c r="C29" t="s">
        <v>1009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C:\Users\stu\Documents\GitHub\eaglep3-reporting\EC\2017-06-15-Trips.txt</v>
      </c>
    </row>
    <row r="30" spans="3:24" x14ac:dyDescent="0.25">
      <c r="C30" t="s">
        <v>1010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C:\Users\stu\Documents\GitHub\eaglep3-reporting\EC\2017-06-15-Weather.txt</v>
      </c>
    </row>
    <row r="31" spans="3:24" x14ac:dyDescent="0.25">
      <c r="C31" t="s">
        <v>1011</v>
      </c>
      <c r="J31" s="140" t="s">
        <v>196</v>
      </c>
      <c r="M31" s="154" t="s">
        <v>197</v>
      </c>
    </row>
    <row r="32" spans="3:24" x14ac:dyDescent="0.25">
      <c r="C32" t="s">
        <v>1012</v>
      </c>
    </row>
    <row r="33" spans="3:3" x14ac:dyDescent="0.25">
      <c r="C33" t="s">
        <v>1013</v>
      </c>
    </row>
    <row r="34" spans="3:3" x14ac:dyDescent="0.25">
      <c r="C34" t="s">
        <v>1014</v>
      </c>
    </row>
    <row r="35" spans="3:3" x14ac:dyDescent="0.25">
      <c r="C35" t="s">
        <v>1015</v>
      </c>
    </row>
    <row r="36" spans="3:3" x14ac:dyDescent="0.25">
      <c r="C36" t="s">
        <v>1016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2017-06-16T15:33:41Z</dcterms:modified>
</cp:coreProperties>
</file>