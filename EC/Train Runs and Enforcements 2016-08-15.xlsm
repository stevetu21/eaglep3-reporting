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18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</sheets>
  <definedNames>
    <definedName name="_xlnm._FilterDatabase" localSheetId="1" hidden="1">Enforcements!$A$6:$V$89</definedName>
    <definedName name="_xlnm._FilterDatabase" localSheetId="2" hidden="1">'Missing Trips'!$A$2:$H$2</definedName>
    <definedName name="_xlnm._FilterDatabase" localSheetId="0" hidden="1">'Train Runs'!$A$12:$AG$215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Runs'!$A$12:$J$45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0" i="1" l="1"/>
  <c r="L20" i="1"/>
  <c r="M20" i="1"/>
  <c r="N20" i="1"/>
  <c r="K21" i="1"/>
  <c r="L21" i="1"/>
  <c r="M21" i="1"/>
  <c r="N21" i="1"/>
  <c r="K22" i="1"/>
  <c r="L22" i="1"/>
  <c r="M22" i="1"/>
  <c r="N22" i="1"/>
  <c r="K23" i="1"/>
  <c r="L23" i="1"/>
  <c r="M23" i="1"/>
  <c r="N23" i="1"/>
  <c r="K24" i="1"/>
  <c r="L24" i="1"/>
  <c r="M24" i="1"/>
  <c r="N24" i="1"/>
  <c r="K25" i="1"/>
  <c r="L25" i="1"/>
  <c r="M25" i="1"/>
  <c r="N25" i="1"/>
  <c r="K26" i="1"/>
  <c r="L26" i="1"/>
  <c r="M26" i="1"/>
  <c r="N26" i="1"/>
  <c r="K27" i="1"/>
  <c r="L27" i="1"/>
  <c r="M27" i="1"/>
  <c r="N27" i="1"/>
  <c r="K28" i="1"/>
  <c r="L28" i="1"/>
  <c r="M28" i="1"/>
  <c r="P28" i="1"/>
  <c r="K29" i="1"/>
  <c r="L29" i="1"/>
  <c r="M29" i="1"/>
  <c r="K30" i="1"/>
  <c r="L30" i="1"/>
  <c r="M30" i="1"/>
  <c r="N30" i="1" s="1"/>
  <c r="K31" i="1"/>
  <c r="L31" i="1"/>
  <c r="M31" i="1"/>
  <c r="N31" i="1" s="1"/>
  <c r="K32" i="1"/>
  <c r="L32" i="1"/>
  <c r="M32" i="1"/>
  <c r="N32" i="1" s="1"/>
  <c r="K33" i="1"/>
  <c r="L33" i="1"/>
  <c r="M33" i="1"/>
  <c r="N33" i="1" s="1"/>
  <c r="K34" i="1"/>
  <c r="L34" i="1"/>
  <c r="M34" i="1"/>
  <c r="N34" i="1" s="1"/>
  <c r="K35" i="1"/>
  <c r="L35" i="1"/>
  <c r="M35" i="1"/>
  <c r="N35" i="1" s="1"/>
  <c r="K36" i="1"/>
  <c r="L36" i="1"/>
  <c r="M36" i="1"/>
  <c r="N36" i="1" s="1"/>
  <c r="K37" i="1"/>
  <c r="L37" i="1"/>
  <c r="M37" i="1"/>
  <c r="N37" i="1" s="1"/>
  <c r="K38" i="1"/>
  <c r="L38" i="1"/>
  <c r="M38" i="1"/>
  <c r="N38" i="1" s="1"/>
  <c r="K39" i="1"/>
  <c r="L39" i="1"/>
  <c r="M39" i="1"/>
  <c r="N39" i="1" s="1"/>
  <c r="K40" i="1"/>
  <c r="L40" i="1"/>
  <c r="M40" i="1"/>
  <c r="N40" i="1" s="1"/>
  <c r="K41" i="1"/>
  <c r="L41" i="1"/>
  <c r="M41" i="1"/>
  <c r="N41" i="1" s="1"/>
  <c r="K42" i="1"/>
  <c r="L42" i="1"/>
  <c r="M42" i="1"/>
  <c r="P42" i="1" s="1"/>
  <c r="K43" i="1"/>
  <c r="L43" i="1"/>
  <c r="M43" i="1"/>
  <c r="N43" i="1" s="1"/>
  <c r="K44" i="1"/>
  <c r="L44" i="1"/>
  <c r="M44" i="1"/>
  <c r="N44" i="1" s="1"/>
  <c r="K45" i="1"/>
  <c r="L45" i="1"/>
  <c r="M45" i="1"/>
  <c r="N45" i="1" s="1"/>
  <c r="K46" i="1"/>
  <c r="L46" i="1"/>
  <c r="M46" i="1"/>
  <c r="N46" i="1" s="1"/>
  <c r="K47" i="1"/>
  <c r="L47" i="1"/>
  <c r="M47" i="1"/>
  <c r="N47" i="1" s="1"/>
  <c r="K48" i="1"/>
  <c r="L48" i="1"/>
  <c r="M48" i="1"/>
  <c r="N48" i="1" s="1"/>
  <c r="K49" i="1"/>
  <c r="L49" i="1"/>
  <c r="M49" i="1"/>
  <c r="N49" i="1" s="1"/>
  <c r="K50" i="1"/>
  <c r="L50" i="1"/>
  <c r="M50" i="1"/>
  <c r="N50" i="1" s="1"/>
  <c r="K51" i="1"/>
  <c r="L51" i="1"/>
  <c r="M51" i="1"/>
  <c r="N51" i="1" s="1"/>
  <c r="K52" i="1"/>
  <c r="L52" i="1"/>
  <c r="M52" i="1"/>
  <c r="N52" i="1" s="1"/>
  <c r="K53" i="1"/>
  <c r="L53" i="1"/>
  <c r="M53" i="1"/>
  <c r="N53" i="1" s="1"/>
  <c r="K54" i="1"/>
  <c r="L54" i="1"/>
  <c r="M54" i="1"/>
  <c r="N54" i="1" s="1"/>
  <c r="K55" i="1"/>
  <c r="L55" i="1"/>
  <c r="M55" i="1"/>
  <c r="N55" i="1" s="1"/>
  <c r="K56" i="1"/>
  <c r="L56" i="1"/>
  <c r="M56" i="1"/>
  <c r="N56" i="1" s="1"/>
  <c r="K57" i="1"/>
  <c r="L57" i="1"/>
  <c r="M57" i="1"/>
  <c r="N57" i="1" s="1"/>
  <c r="K58" i="1"/>
  <c r="L58" i="1"/>
  <c r="M58" i="1"/>
  <c r="N58" i="1" s="1"/>
  <c r="K59" i="1"/>
  <c r="L59" i="1"/>
  <c r="M59" i="1"/>
  <c r="N59" i="1" s="1"/>
  <c r="K60" i="1"/>
  <c r="L60" i="1"/>
  <c r="M60" i="1"/>
  <c r="N60" i="1" s="1"/>
  <c r="K61" i="1"/>
  <c r="L61" i="1"/>
  <c r="M61" i="1"/>
  <c r="N61" i="1" s="1"/>
  <c r="K62" i="1"/>
  <c r="L62" i="1"/>
  <c r="M62" i="1"/>
  <c r="N62" i="1" s="1"/>
  <c r="K63" i="1"/>
  <c r="L63" i="1"/>
  <c r="M63" i="1"/>
  <c r="N63" i="1" s="1"/>
  <c r="K64" i="1"/>
  <c r="L64" i="1"/>
  <c r="M64" i="1"/>
  <c r="N64" i="1" s="1"/>
  <c r="K65" i="1"/>
  <c r="L65" i="1"/>
  <c r="M65" i="1"/>
  <c r="N65" i="1" s="1"/>
  <c r="K66" i="1"/>
  <c r="L66" i="1"/>
  <c r="M66" i="1"/>
  <c r="N66" i="1" s="1"/>
  <c r="K67" i="1"/>
  <c r="L67" i="1"/>
  <c r="M67" i="1"/>
  <c r="N67" i="1" s="1"/>
  <c r="K68" i="1"/>
  <c r="L68" i="1"/>
  <c r="M68" i="1"/>
  <c r="N68" i="1" s="1"/>
  <c r="K69" i="1"/>
  <c r="L69" i="1"/>
  <c r="M69" i="1"/>
  <c r="N69" i="1" s="1"/>
  <c r="K70" i="1"/>
  <c r="L70" i="1"/>
  <c r="M70" i="1"/>
  <c r="N70" i="1" s="1"/>
  <c r="K71" i="1"/>
  <c r="L71" i="1"/>
  <c r="M71" i="1"/>
  <c r="N71" i="1" s="1"/>
  <c r="K72" i="1"/>
  <c r="L72" i="1"/>
  <c r="M72" i="1"/>
  <c r="N72" i="1" s="1"/>
  <c r="K73" i="1"/>
  <c r="L73" i="1"/>
  <c r="M73" i="1"/>
  <c r="N73" i="1" s="1"/>
  <c r="K74" i="1"/>
  <c r="L74" i="1"/>
  <c r="M74" i="1"/>
  <c r="N74" i="1" s="1"/>
  <c r="K75" i="1"/>
  <c r="L75" i="1"/>
  <c r="M75" i="1"/>
  <c r="N75" i="1" s="1"/>
  <c r="K76" i="1"/>
  <c r="L76" i="1"/>
  <c r="M76" i="1"/>
  <c r="N76" i="1" s="1"/>
  <c r="K77" i="1"/>
  <c r="L77" i="1"/>
  <c r="M77" i="1"/>
  <c r="N77" i="1" s="1"/>
  <c r="K78" i="1"/>
  <c r="L78" i="1"/>
  <c r="M78" i="1"/>
  <c r="N78" i="1" s="1"/>
  <c r="K79" i="1"/>
  <c r="L79" i="1"/>
  <c r="M79" i="1"/>
  <c r="N79" i="1" s="1"/>
  <c r="K80" i="1"/>
  <c r="L80" i="1"/>
  <c r="M80" i="1"/>
  <c r="N80" i="1" s="1"/>
  <c r="K81" i="1"/>
  <c r="L81" i="1"/>
  <c r="M81" i="1"/>
  <c r="N81" i="1" s="1"/>
  <c r="K82" i="1"/>
  <c r="L82" i="1"/>
  <c r="M82" i="1"/>
  <c r="N82" i="1" s="1"/>
  <c r="K83" i="1"/>
  <c r="L83" i="1"/>
  <c r="M83" i="1"/>
  <c r="N83" i="1" s="1"/>
  <c r="K84" i="1"/>
  <c r="L84" i="1"/>
  <c r="M84" i="1"/>
  <c r="N84" i="1" s="1"/>
  <c r="K85" i="1"/>
  <c r="L85" i="1"/>
  <c r="M85" i="1"/>
  <c r="N85" i="1" s="1"/>
  <c r="K86" i="1"/>
  <c r="L86" i="1"/>
  <c r="M86" i="1"/>
  <c r="N86" i="1" s="1"/>
  <c r="K87" i="1"/>
  <c r="L87" i="1"/>
  <c r="M87" i="1"/>
  <c r="N87" i="1" s="1"/>
  <c r="K88" i="1"/>
  <c r="L88" i="1"/>
  <c r="M88" i="1"/>
  <c r="N88" i="1" s="1"/>
  <c r="K89" i="1"/>
  <c r="L89" i="1"/>
  <c r="M89" i="1"/>
  <c r="N89" i="1" s="1"/>
  <c r="K90" i="1"/>
  <c r="L90" i="1"/>
  <c r="M90" i="1"/>
  <c r="N90" i="1" s="1"/>
  <c r="K91" i="1"/>
  <c r="L91" i="1"/>
  <c r="M91" i="1"/>
  <c r="N91" i="1" s="1"/>
  <c r="K92" i="1"/>
  <c r="L92" i="1"/>
  <c r="M92" i="1"/>
  <c r="N92" i="1" s="1"/>
  <c r="K93" i="1"/>
  <c r="L93" i="1"/>
  <c r="M93" i="1"/>
  <c r="N93" i="1" s="1"/>
  <c r="K94" i="1"/>
  <c r="L94" i="1"/>
  <c r="M94" i="1"/>
  <c r="N94" i="1" s="1"/>
  <c r="K95" i="1"/>
  <c r="L95" i="1"/>
  <c r="M95" i="1"/>
  <c r="N95" i="1" s="1"/>
  <c r="K96" i="1"/>
  <c r="L96" i="1"/>
  <c r="M96" i="1"/>
  <c r="N96" i="1" s="1"/>
  <c r="K97" i="1"/>
  <c r="L97" i="1"/>
  <c r="M97" i="1"/>
  <c r="N97" i="1" s="1"/>
  <c r="K98" i="1"/>
  <c r="L98" i="1"/>
  <c r="M98" i="1"/>
  <c r="N98" i="1" s="1"/>
  <c r="K99" i="1"/>
  <c r="L99" i="1"/>
  <c r="M99" i="1"/>
  <c r="N99" i="1" s="1"/>
  <c r="K100" i="1"/>
  <c r="L100" i="1"/>
  <c r="M100" i="1"/>
  <c r="N100" i="1" s="1"/>
  <c r="K101" i="1"/>
  <c r="L101" i="1"/>
  <c r="M101" i="1"/>
  <c r="N101" i="1" s="1"/>
  <c r="K102" i="1"/>
  <c r="L102" i="1"/>
  <c r="M102" i="1"/>
  <c r="N102" i="1" s="1"/>
  <c r="K103" i="1"/>
  <c r="L103" i="1"/>
  <c r="M103" i="1"/>
  <c r="N103" i="1" s="1"/>
  <c r="K104" i="1"/>
  <c r="L104" i="1"/>
  <c r="M104" i="1"/>
  <c r="N104" i="1" s="1"/>
  <c r="K105" i="1"/>
  <c r="L105" i="1"/>
  <c r="M105" i="1"/>
  <c r="N105" i="1" s="1"/>
  <c r="K106" i="1"/>
  <c r="L106" i="1"/>
  <c r="M106" i="1"/>
  <c r="N106" i="1" s="1"/>
  <c r="K107" i="1"/>
  <c r="L107" i="1"/>
  <c r="M107" i="1"/>
  <c r="N107" i="1" s="1"/>
  <c r="K108" i="1"/>
  <c r="L108" i="1"/>
  <c r="M108" i="1"/>
  <c r="N108" i="1" s="1"/>
  <c r="K109" i="1"/>
  <c r="L109" i="1"/>
  <c r="M109" i="1"/>
  <c r="P109" i="1" s="1"/>
  <c r="K110" i="1"/>
  <c r="L110" i="1"/>
  <c r="M110" i="1"/>
  <c r="N110" i="1" s="1"/>
  <c r="K111" i="1"/>
  <c r="L111" i="1"/>
  <c r="M111" i="1"/>
  <c r="N111" i="1" s="1"/>
  <c r="K112" i="1"/>
  <c r="L112" i="1"/>
  <c r="M112" i="1"/>
  <c r="N112" i="1" s="1"/>
  <c r="K113" i="1"/>
  <c r="L113" i="1"/>
  <c r="M113" i="1"/>
  <c r="N113" i="1" s="1"/>
  <c r="K114" i="1"/>
  <c r="L114" i="1"/>
  <c r="M114" i="1"/>
  <c r="N114" i="1" s="1"/>
  <c r="K115" i="1"/>
  <c r="L115" i="1"/>
  <c r="M115" i="1"/>
  <c r="N115" i="1" s="1"/>
  <c r="K116" i="1"/>
  <c r="L116" i="1"/>
  <c r="M116" i="1"/>
  <c r="N116" i="1" s="1"/>
  <c r="K117" i="1"/>
  <c r="L117" i="1"/>
  <c r="M117" i="1"/>
  <c r="N117" i="1" s="1"/>
  <c r="K118" i="1"/>
  <c r="L118" i="1"/>
  <c r="M118" i="1"/>
  <c r="N118" i="1" s="1"/>
  <c r="K119" i="1"/>
  <c r="L119" i="1"/>
  <c r="M119" i="1"/>
  <c r="N119" i="1" s="1"/>
  <c r="K120" i="1"/>
  <c r="L120" i="1"/>
  <c r="M120" i="1"/>
  <c r="N120" i="1" s="1"/>
  <c r="K121" i="1"/>
  <c r="L121" i="1"/>
  <c r="M121" i="1"/>
  <c r="N121" i="1" s="1"/>
  <c r="K122" i="1"/>
  <c r="L122" i="1"/>
  <c r="M122" i="1"/>
  <c r="N122" i="1" s="1"/>
  <c r="K123" i="1"/>
  <c r="L123" i="1"/>
  <c r="M123" i="1"/>
  <c r="N123" i="1" s="1"/>
  <c r="K124" i="1"/>
  <c r="L124" i="1"/>
  <c r="M124" i="1"/>
  <c r="N124" i="1" s="1"/>
  <c r="K125" i="1"/>
  <c r="L125" i="1"/>
  <c r="M125" i="1"/>
  <c r="N125" i="1" s="1"/>
  <c r="K126" i="1"/>
  <c r="L126" i="1"/>
  <c r="M126" i="1"/>
  <c r="N126" i="1" s="1"/>
  <c r="K127" i="1"/>
  <c r="L127" i="1"/>
  <c r="M127" i="1"/>
  <c r="N127" i="1" s="1"/>
  <c r="K128" i="1"/>
  <c r="L128" i="1"/>
  <c r="M128" i="1"/>
  <c r="N128" i="1" s="1"/>
  <c r="K129" i="1"/>
  <c r="L129" i="1"/>
  <c r="M129" i="1"/>
  <c r="N129" i="1" s="1"/>
  <c r="K130" i="1"/>
  <c r="L130" i="1"/>
  <c r="M130" i="1"/>
  <c r="N130" i="1" s="1"/>
  <c r="K131" i="1"/>
  <c r="L131" i="1"/>
  <c r="M131" i="1"/>
  <c r="N131" i="1" s="1"/>
  <c r="K132" i="1"/>
  <c r="L132" i="1"/>
  <c r="M132" i="1"/>
  <c r="N132" i="1" s="1"/>
  <c r="K133" i="1"/>
  <c r="L133" i="1"/>
  <c r="M133" i="1"/>
  <c r="N133" i="1" s="1"/>
  <c r="K134" i="1"/>
  <c r="L134" i="1"/>
  <c r="M134" i="1"/>
  <c r="N134" i="1" s="1"/>
  <c r="K135" i="1"/>
  <c r="L135" i="1"/>
  <c r="M135" i="1"/>
  <c r="N135" i="1" s="1"/>
  <c r="K136" i="1"/>
  <c r="L136" i="1"/>
  <c r="M136" i="1"/>
  <c r="N136" i="1" s="1"/>
  <c r="K137" i="1"/>
  <c r="L137" i="1"/>
  <c r="M137" i="1"/>
  <c r="N137" i="1" s="1"/>
  <c r="K138" i="1"/>
  <c r="L138" i="1"/>
  <c r="M138" i="1"/>
  <c r="N138" i="1" s="1"/>
  <c r="K139" i="1"/>
  <c r="L139" i="1"/>
  <c r="M139" i="1"/>
  <c r="N139" i="1" s="1"/>
  <c r="K140" i="1"/>
  <c r="L140" i="1"/>
  <c r="M140" i="1"/>
  <c r="N140" i="1" s="1"/>
  <c r="K141" i="1"/>
  <c r="L141" i="1"/>
  <c r="M141" i="1"/>
  <c r="N141" i="1" s="1"/>
  <c r="K142" i="1"/>
  <c r="L142" i="1"/>
  <c r="M142" i="1"/>
  <c r="N142" i="1" s="1"/>
  <c r="K143" i="1"/>
  <c r="L143" i="1"/>
  <c r="M143" i="1"/>
  <c r="N143" i="1" s="1"/>
  <c r="K144" i="1"/>
  <c r="L144" i="1"/>
  <c r="M144" i="1"/>
  <c r="N144" i="1" s="1"/>
  <c r="K145" i="1"/>
  <c r="L145" i="1"/>
  <c r="M145" i="1"/>
  <c r="N145" i="1" s="1"/>
  <c r="K146" i="1"/>
  <c r="L146" i="1"/>
  <c r="M146" i="1"/>
  <c r="N146" i="1" s="1"/>
  <c r="K147" i="1"/>
  <c r="L147" i="1"/>
  <c r="M147" i="1"/>
  <c r="N147" i="1" s="1"/>
  <c r="K148" i="1"/>
  <c r="L148" i="1"/>
  <c r="M148" i="1"/>
  <c r="N148" i="1" s="1"/>
  <c r="K149" i="1"/>
  <c r="L149" i="1"/>
  <c r="M149" i="1"/>
  <c r="N149" i="1" s="1"/>
  <c r="K150" i="1"/>
  <c r="L150" i="1"/>
  <c r="M150" i="1"/>
  <c r="N150" i="1" s="1"/>
  <c r="K151" i="1"/>
  <c r="L151" i="1"/>
  <c r="M151" i="1"/>
  <c r="N151" i="1" s="1"/>
  <c r="K152" i="1"/>
  <c r="L152" i="1"/>
  <c r="M152" i="1"/>
  <c r="N152" i="1" s="1"/>
  <c r="K153" i="1"/>
  <c r="L153" i="1"/>
  <c r="M153" i="1"/>
  <c r="N153" i="1" s="1"/>
  <c r="K154" i="1"/>
  <c r="L154" i="1"/>
  <c r="M154" i="1"/>
  <c r="N154" i="1" s="1"/>
  <c r="K155" i="1"/>
  <c r="L155" i="1"/>
  <c r="M155" i="1"/>
  <c r="N155" i="1" s="1"/>
  <c r="K156" i="1"/>
  <c r="L156" i="1"/>
  <c r="M156" i="1"/>
  <c r="N156" i="1" s="1"/>
  <c r="K157" i="1"/>
  <c r="L157" i="1"/>
  <c r="M157" i="1"/>
  <c r="N157" i="1" s="1"/>
  <c r="K158" i="1"/>
  <c r="L158" i="1"/>
  <c r="M158" i="1"/>
  <c r="N158" i="1" s="1"/>
  <c r="K159" i="1"/>
  <c r="L159" i="1"/>
  <c r="M159" i="1"/>
  <c r="N159" i="1" s="1"/>
  <c r="K160" i="1"/>
  <c r="L160" i="1"/>
  <c r="M160" i="1"/>
  <c r="N160" i="1" s="1"/>
  <c r="K161" i="1"/>
  <c r="L161" i="1"/>
  <c r="M161" i="1"/>
  <c r="N161" i="1" s="1"/>
  <c r="K162" i="1"/>
  <c r="L162" i="1"/>
  <c r="M162" i="1"/>
  <c r="N162" i="1" s="1"/>
  <c r="K163" i="1"/>
  <c r="L163" i="1"/>
  <c r="M163" i="1"/>
  <c r="N163" i="1" s="1"/>
  <c r="K164" i="1"/>
  <c r="L164" i="1"/>
  <c r="M164" i="1"/>
  <c r="N164" i="1" s="1"/>
  <c r="K165" i="1"/>
  <c r="L165" i="1"/>
  <c r="M165" i="1"/>
  <c r="N165" i="1" s="1"/>
  <c r="K166" i="1"/>
  <c r="L166" i="1"/>
  <c r="M166" i="1"/>
  <c r="N166" i="1" s="1"/>
  <c r="K167" i="1"/>
  <c r="L167" i="1"/>
  <c r="M167" i="1"/>
  <c r="N167" i="1" s="1"/>
  <c r="K168" i="1"/>
  <c r="L168" i="1"/>
  <c r="M168" i="1"/>
  <c r="N168" i="1" s="1"/>
  <c r="K169" i="1"/>
  <c r="L169" i="1"/>
  <c r="M169" i="1"/>
  <c r="N169" i="1" s="1"/>
  <c r="K170" i="1"/>
  <c r="L170" i="1"/>
  <c r="M170" i="1"/>
  <c r="N170" i="1" s="1"/>
  <c r="K171" i="1"/>
  <c r="L171" i="1"/>
  <c r="M171" i="1"/>
  <c r="P171" i="1" s="1"/>
  <c r="K172" i="1"/>
  <c r="L172" i="1"/>
  <c r="M172" i="1"/>
  <c r="N172" i="1" s="1"/>
  <c r="K173" i="1"/>
  <c r="L173" i="1"/>
  <c r="M173" i="1"/>
  <c r="N173" i="1" s="1"/>
  <c r="K174" i="1"/>
  <c r="L174" i="1"/>
  <c r="M174" i="1"/>
  <c r="N174" i="1" s="1"/>
  <c r="K175" i="1"/>
  <c r="L175" i="1"/>
  <c r="M175" i="1"/>
  <c r="N175" i="1" s="1"/>
  <c r="K176" i="1"/>
  <c r="L176" i="1"/>
  <c r="M176" i="1"/>
  <c r="N176" i="1" s="1"/>
  <c r="K177" i="1"/>
  <c r="L177" i="1"/>
  <c r="M177" i="1"/>
  <c r="N177" i="1" s="1"/>
  <c r="K178" i="1"/>
  <c r="L178" i="1"/>
  <c r="M178" i="1"/>
  <c r="N178" i="1" s="1"/>
  <c r="K179" i="1"/>
  <c r="L179" i="1"/>
  <c r="M179" i="1"/>
  <c r="N179" i="1" s="1"/>
  <c r="K180" i="1"/>
  <c r="L180" i="1"/>
  <c r="M180" i="1"/>
  <c r="N180" i="1" s="1"/>
  <c r="K181" i="1"/>
  <c r="L181" i="1"/>
  <c r="M181" i="1"/>
  <c r="N181" i="1" s="1"/>
  <c r="K182" i="1"/>
  <c r="L182" i="1"/>
  <c r="M182" i="1"/>
  <c r="N182" i="1" s="1"/>
  <c r="K183" i="1"/>
  <c r="L183" i="1"/>
  <c r="M183" i="1"/>
  <c r="N183" i="1" s="1"/>
  <c r="K184" i="1"/>
  <c r="L184" i="1"/>
  <c r="M184" i="1"/>
  <c r="N184" i="1" s="1"/>
  <c r="K185" i="1"/>
  <c r="L185" i="1"/>
  <c r="M185" i="1"/>
  <c r="N185" i="1" s="1"/>
  <c r="K186" i="1"/>
  <c r="L186" i="1"/>
  <c r="M186" i="1"/>
  <c r="N186" i="1" s="1"/>
  <c r="K187" i="1"/>
  <c r="L187" i="1"/>
  <c r="M187" i="1"/>
  <c r="N187" i="1" s="1"/>
  <c r="K188" i="1"/>
  <c r="L188" i="1"/>
  <c r="M188" i="1"/>
  <c r="N188" i="1" s="1"/>
  <c r="K189" i="1"/>
  <c r="L189" i="1"/>
  <c r="M189" i="1"/>
  <c r="N189" i="1" s="1"/>
  <c r="K190" i="1"/>
  <c r="L190" i="1"/>
  <c r="M190" i="1"/>
  <c r="N190" i="1" s="1"/>
  <c r="K191" i="1"/>
  <c r="L191" i="1"/>
  <c r="M191" i="1"/>
  <c r="N191" i="1" s="1"/>
  <c r="K192" i="1"/>
  <c r="L192" i="1"/>
  <c r="M192" i="1"/>
  <c r="N192" i="1" s="1"/>
  <c r="K193" i="1"/>
  <c r="L193" i="1"/>
  <c r="M193" i="1"/>
  <c r="N193" i="1" s="1"/>
  <c r="K194" i="1"/>
  <c r="L194" i="1"/>
  <c r="M194" i="1"/>
  <c r="N194" i="1" s="1"/>
  <c r="K195" i="1"/>
  <c r="L195" i="1"/>
  <c r="M195" i="1"/>
  <c r="N195" i="1" s="1"/>
  <c r="K196" i="1"/>
  <c r="L196" i="1"/>
  <c r="M196" i="1"/>
  <c r="N196" i="1" s="1"/>
  <c r="K197" i="1"/>
  <c r="L197" i="1"/>
  <c r="M197" i="1"/>
  <c r="N197" i="1" s="1"/>
  <c r="K198" i="1"/>
  <c r="L198" i="1"/>
  <c r="M198" i="1"/>
  <c r="N198" i="1" s="1"/>
  <c r="K199" i="1"/>
  <c r="L199" i="1"/>
  <c r="M199" i="1"/>
  <c r="N199" i="1" s="1"/>
  <c r="K200" i="1"/>
  <c r="L200" i="1"/>
  <c r="M200" i="1"/>
  <c r="N200" i="1" s="1"/>
  <c r="K201" i="1"/>
  <c r="L201" i="1"/>
  <c r="M201" i="1"/>
  <c r="N201" i="1" s="1"/>
  <c r="K202" i="1"/>
  <c r="L202" i="1"/>
  <c r="M202" i="1"/>
  <c r="N202" i="1" s="1"/>
  <c r="K203" i="1"/>
  <c r="L203" i="1"/>
  <c r="M203" i="1"/>
  <c r="N203" i="1" s="1"/>
  <c r="K204" i="1"/>
  <c r="L204" i="1"/>
  <c r="M204" i="1"/>
  <c r="N204" i="1" s="1"/>
  <c r="K205" i="1"/>
  <c r="L205" i="1"/>
  <c r="M205" i="1"/>
  <c r="N205" i="1" s="1"/>
  <c r="K206" i="1"/>
  <c r="L206" i="1"/>
  <c r="M206" i="1"/>
  <c r="N206" i="1" s="1"/>
  <c r="K207" i="1"/>
  <c r="L207" i="1"/>
  <c r="M207" i="1"/>
  <c r="N207" i="1" s="1"/>
  <c r="K208" i="1"/>
  <c r="L208" i="1"/>
  <c r="M208" i="1"/>
  <c r="N208" i="1" s="1"/>
  <c r="K209" i="1"/>
  <c r="L209" i="1"/>
  <c r="M209" i="1"/>
  <c r="N209" i="1" s="1"/>
  <c r="K210" i="1"/>
  <c r="L210" i="1"/>
  <c r="M210" i="1"/>
  <c r="N210" i="1" s="1"/>
  <c r="K211" i="1"/>
  <c r="L211" i="1"/>
  <c r="M211" i="1"/>
  <c r="N211" i="1" s="1"/>
  <c r="K212" i="1"/>
  <c r="L212" i="1"/>
  <c r="M212" i="1"/>
  <c r="N212" i="1" s="1"/>
  <c r="K213" i="1"/>
  <c r="L213" i="1"/>
  <c r="M213" i="1"/>
  <c r="N213" i="1" s="1"/>
  <c r="K214" i="1"/>
  <c r="L214" i="1"/>
  <c r="M214" i="1"/>
  <c r="N214" i="1" s="1"/>
  <c r="K215" i="1"/>
  <c r="L215" i="1"/>
  <c r="M215" i="1"/>
  <c r="N215" i="1" s="1"/>
  <c r="Y16" i="1"/>
  <c r="Y17" i="1"/>
  <c r="Y18" i="1"/>
  <c r="Y19" i="1"/>
  <c r="Y20" i="1"/>
  <c r="Y21" i="1"/>
  <c r="Y22" i="1"/>
  <c r="Y23" i="1"/>
  <c r="Y24" i="1"/>
  <c r="Y25" i="1"/>
  <c r="V40" i="1"/>
  <c r="Y40" i="1"/>
  <c r="V41" i="1"/>
  <c r="Y41" i="1"/>
  <c r="V42" i="1"/>
  <c r="Y42" i="1"/>
  <c r="V43" i="1"/>
  <c r="Y43" i="1"/>
  <c r="V44" i="1"/>
  <c r="Y44" i="1"/>
  <c r="V45" i="1"/>
  <c r="Y45" i="1"/>
  <c r="V46" i="1"/>
  <c r="Y46" i="1"/>
  <c r="V47" i="1"/>
  <c r="Y47" i="1"/>
  <c r="V48" i="1"/>
  <c r="Y48" i="1"/>
  <c r="V49" i="1"/>
  <c r="Y49" i="1"/>
  <c r="V50" i="1"/>
  <c r="Y50" i="1"/>
  <c r="L42" i="3" l="1"/>
  <c r="S42" i="3"/>
  <c r="R42" i="3" s="1"/>
  <c r="T42" i="3"/>
  <c r="U42" i="3"/>
  <c r="V42" i="3"/>
  <c r="L73" i="3"/>
  <c r="S73" i="3"/>
  <c r="R73" i="3" s="1"/>
  <c r="T73" i="3"/>
  <c r="U73" i="3"/>
  <c r="V73" i="3"/>
  <c r="L9" i="3"/>
  <c r="S9" i="3"/>
  <c r="R9" i="3" s="1"/>
  <c r="T9" i="3"/>
  <c r="U9" i="3"/>
  <c r="V9" i="3"/>
  <c r="L57" i="3"/>
  <c r="S57" i="3"/>
  <c r="R57" i="3" s="1"/>
  <c r="T57" i="3"/>
  <c r="U57" i="3"/>
  <c r="V57" i="3"/>
  <c r="L14" i="3"/>
  <c r="S14" i="3"/>
  <c r="R14" i="3" s="1"/>
  <c r="T14" i="3"/>
  <c r="U14" i="3"/>
  <c r="V14" i="3"/>
  <c r="L63" i="3"/>
  <c r="S63" i="3"/>
  <c r="R63" i="3" s="1"/>
  <c r="T63" i="3"/>
  <c r="U63" i="3"/>
  <c r="V63" i="3"/>
  <c r="L40" i="3"/>
  <c r="S40" i="3"/>
  <c r="R40" i="3" s="1"/>
  <c r="T40" i="3"/>
  <c r="U40" i="3"/>
  <c r="V40" i="3"/>
  <c r="L74" i="3"/>
  <c r="S74" i="3"/>
  <c r="R74" i="3" s="1"/>
  <c r="T74" i="3"/>
  <c r="U74" i="3"/>
  <c r="V74" i="3"/>
  <c r="L83" i="3"/>
  <c r="S83" i="3"/>
  <c r="R83" i="3" s="1"/>
  <c r="T83" i="3"/>
  <c r="U83" i="3"/>
  <c r="V83" i="3"/>
  <c r="L10" i="3"/>
  <c r="R10" i="3"/>
  <c r="S10" i="3"/>
  <c r="T10" i="3"/>
  <c r="U10" i="3"/>
  <c r="V10" i="3"/>
  <c r="L43" i="3"/>
  <c r="S43" i="3"/>
  <c r="R43" i="3" s="1"/>
  <c r="T43" i="3"/>
  <c r="U43" i="3"/>
  <c r="V43" i="3"/>
  <c r="L75" i="3"/>
  <c r="S75" i="3"/>
  <c r="R75" i="3" s="1"/>
  <c r="T75" i="3"/>
  <c r="U75" i="3"/>
  <c r="V75" i="3"/>
  <c r="L84" i="3"/>
  <c r="S84" i="3"/>
  <c r="R84" i="3" s="1"/>
  <c r="T84" i="3"/>
  <c r="U84" i="3"/>
  <c r="V84" i="3"/>
  <c r="L44" i="3"/>
  <c r="S44" i="3"/>
  <c r="R44" i="3" s="1"/>
  <c r="T44" i="3"/>
  <c r="U44" i="3"/>
  <c r="V44" i="3"/>
  <c r="L36" i="3"/>
  <c r="S36" i="3"/>
  <c r="R36" i="3" s="1"/>
  <c r="T36" i="3"/>
  <c r="U36" i="3"/>
  <c r="V36" i="3"/>
  <c r="L37" i="3"/>
  <c r="S37" i="3"/>
  <c r="R37" i="3" s="1"/>
  <c r="T37" i="3"/>
  <c r="U37" i="3"/>
  <c r="V37" i="3"/>
  <c r="L50" i="3"/>
  <c r="S50" i="3"/>
  <c r="R50" i="3" s="1"/>
  <c r="T50" i="3"/>
  <c r="U50" i="3"/>
  <c r="V50" i="3"/>
  <c r="L41" i="3"/>
  <c r="S41" i="3"/>
  <c r="R41" i="3" s="1"/>
  <c r="T41" i="3"/>
  <c r="U41" i="3"/>
  <c r="V41" i="3"/>
  <c r="L76" i="3"/>
  <c r="S76" i="3"/>
  <c r="R76" i="3" s="1"/>
  <c r="T76" i="3"/>
  <c r="U76" i="3"/>
  <c r="V76" i="3"/>
  <c r="L30" i="3"/>
  <c r="S30" i="3"/>
  <c r="R30" i="3" s="1"/>
  <c r="T30" i="3"/>
  <c r="U30" i="3"/>
  <c r="V30" i="3"/>
  <c r="L45" i="3"/>
  <c r="S45" i="3"/>
  <c r="R45" i="3" s="1"/>
  <c r="T45" i="3"/>
  <c r="U45" i="3"/>
  <c r="V45" i="3"/>
  <c r="L31" i="3"/>
  <c r="S31" i="3"/>
  <c r="R31" i="3" s="1"/>
  <c r="T31" i="3"/>
  <c r="U31" i="3"/>
  <c r="V31" i="3"/>
  <c r="L70" i="3"/>
  <c r="S70" i="3"/>
  <c r="R70" i="3" s="1"/>
  <c r="T70" i="3"/>
  <c r="U70" i="3"/>
  <c r="V70" i="3"/>
  <c r="L35" i="3"/>
  <c r="S35" i="3"/>
  <c r="R35" i="3" s="1"/>
  <c r="T35" i="3"/>
  <c r="U35" i="3"/>
  <c r="V35" i="3"/>
  <c r="L46" i="3"/>
  <c r="S46" i="3"/>
  <c r="R46" i="3" s="1"/>
  <c r="T46" i="3"/>
  <c r="U46" i="3"/>
  <c r="V46" i="3"/>
  <c r="L26" i="3"/>
  <c r="S26" i="3"/>
  <c r="R26" i="3" s="1"/>
  <c r="T26" i="3"/>
  <c r="U26" i="3"/>
  <c r="V26" i="3"/>
  <c r="L16" i="3"/>
  <c r="S16" i="3"/>
  <c r="R16" i="3" s="1"/>
  <c r="T16" i="3"/>
  <c r="U16" i="3"/>
  <c r="V16" i="3"/>
  <c r="L47" i="3"/>
  <c r="S47" i="3"/>
  <c r="R47" i="3" s="1"/>
  <c r="T47" i="3"/>
  <c r="U47" i="3"/>
  <c r="V47" i="3"/>
  <c r="L11" i="3"/>
  <c r="S11" i="3"/>
  <c r="R11" i="3" s="1"/>
  <c r="T11" i="3"/>
  <c r="U11" i="3"/>
  <c r="V11" i="3"/>
  <c r="L51" i="3"/>
  <c r="S51" i="3"/>
  <c r="R51" i="3" s="1"/>
  <c r="T51" i="3"/>
  <c r="U51" i="3"/>
  <c r="V51" i="3"/>
  <c r="L77" i="3"/>
  <c r="S77" i="3"/>
  <c r="R77" i="3" s="1"/>
  <c r="T77" i="3"/>
  <c r="U77" i="3"/>
  <c r="V77" i="3"/>
  <c r="L27" i="3"/>
  <c r="S27" i="3"/>
  <c r="R27" i="3" s="1"/>
  <c r="T27" i="3"/>
  <c r="U27" i="3"/>
  <c r="V27" i="3"/>
  <c r="L78" i="3"/>
  <c r="S78" i="3"/>
  <c r="R78" i="3" s="1"/>
  <c r="T78" i="3"/>
  <c r="U78" i="3"/>
  <c r="V78" i="3"/>
  <c r="L28" i="3"/>
  <c r="S28" i="3"/>
  <c r="R28" i="3" s="1"/>
  <c r="T28" i="3"/>
  <c r="U28" i="3"/>
  <c r="V28" i="3"/>
  <c r="L60" i="3"/>
  <c r="S60" i="3"/>
  <c r="R60" i="3" s="1"/>
  <c r="T60" i="3"/>
  <c r="U60" i="3"/>
  <c r="V60" i="3"/>
  <c r="L72" i="3"/>
  <c r="S72" i="3"/>
  <c r="R72" i="3" s="1"/>
  <c r="T72" i="3"/>
  <c r="U72" i="3"/>
  <c r="V72" i="3"/>
  <c r="L66" i="3"/>
  <c r="R66" i="3"/>
  <c r="S66" i="3"/>
  <c r="T66" i="3"/>
  <c r="U66" i="3"/>
  <c r="V66" i="3"/>
  <c r="L79" i="3"/>
  <c r="S79" i="3"/>
  <c r="R79" i="3" s="1"/>
  <c r="T79" i="3"/>
  <c r="U79" i="3"/>
  <c r="V79" i="3"/>
  <c r="L33" i="3"/>
  <c r="S33" i="3"/>
  <c r="R33" i="3" s="1"/>
  <c r="T33" i="3"/>
  <c r="U33" i="3"/>
  <c r="V33" i="3"/>
  <c r="L21" i="3"/>
  <c r="S21" i="3"/>
  <c r="R21" i="3" s="1"/>
  <c r="T21" i="3"/>
  <c r="U21" i="3"/>
  <c r="V21" i="3"/>
  <c r="L34" i="3"/>
  <c r="S34" i="3"/>
  <c r="R34" i="3" s="1"/>
  <c r="T34" i="3"/>
  <c r="U34" i="3"/>
  <c r="V34" i="3"/>
  <c r="L22" i="3"/>
  <c r="S22" i="3"/>
  <c r="R22" i="3" s="1"/>
  <c r="T22" i="3"/>
  <c r="U22" i="3"/>
  <c r="V22" i="3"/>
  <c r="L8" i="3"/>
  <c r="S8" i="3"/>
  <c r="R8" i="3" s="1"/>
  <c r="T8" i="3"/>
  <c r="U8" i="3"/>
  <c r="V8" i="3"/>
  <c r="L17" i="3"/>
  <c r="S17" i="3"/>
  <c r="R17" i="3" s="1"/>
  <c r="T17" i="3"/>
  <c r="U17" i="3"/>
  <c r="V17" i="3"/>
  <c r="L38" i="3"/>
  <c r="S38" i="3"/>
  <c r="R38" i="3" s="1"/>
  <c r="T38" i="3"/>
  <c r="U38" i="3"/>
  <c r="V38" i="3"/>
  <c r="L23" i="3"/>
  <c r="S23" i="3"/>
  <c r="R23" i="3" s="1"/>
  <c r="T23" i="3"/>
  <c r="U23" i="3"/>
  <c r="V23" i="3"/>
  <c r="L64" i="3"/>
  <c r="S64" i="3"/>
  <c r="R64" i="3" s="1"/>
  <c r="T64" i="3"/>
  <c r="U64" i="3"/>
  <c r="V64" i="3"/>
  <c r="L25" i="3"/>
  <c r="S25" i="3"/>
  <c r="R25" i="3" s="1"/>
  <c r="T25" i="3"/>
  <c r="U25" i="3"/>
  <c r="V25" i="3"/>
  <c r="L20" i="3"/>
  <c r="S20" i="3"/>
  <c r="R20" i="3" s="1"/>
  <c r="T20" i="3"/>
  <c r="U20" i="3"/>
  <c r="V20" i="3"/>
  <c r="L56" i="3"/>
  <c r="P56" i="3"/>
  <c r="Q56" i="3"/>
  <c r="S56" i="3"/>
  <c r="R56" i="3" s="1"/>
  <c r="T56" i="3"/>
  <c r="U56" i="3"/>
  <c r="V56" i="3"/>
  <c r="L52" i="3"/>
  <c r="S52" i="3"/>
  <c r="R52" i="3" s="1"/>
  <c r="T52" i="3"/>
  <c r="U52" i="3"/>
  <c r="V52" i="3"/>
  <c r="L18" i="3"/>
  <c r="S18" i="3"/>
  <c r="R18" i="3" s="1"/>
  <c r="T18" i="3"/>
  <c r="U18" i="3"/>
  <c r="V18" i="3"/>
  <c r="L32" i="3"/>
  <c r="S32" i="3"/>
  <c r="R32" i="3" s="1"/>
  <c r="T32" i="3"/>
  <c r="U32" i="3"/>
  <c r="V32" i="3"/>
  <c r="L12" i="3"/>
  <c r="R12" i="3"/>
  <c r="S12" i="3"/>
  <c r="T12" i="3"/>
  <c r="U12" i="3"/>
  <c r="V12" i="3"/>
  <c r="L29" i="3"/>
  <c r="S29" i="3"/>
  <c r="R29" i="3" s="1"/>
  <c r="T29" i="3"/>
  <c r="U29" i="3"/>
  <c r="V29" i="3"/>
  <c r="L53" i="3"/>
  <c r="S53" i="3"/>
  <c r="R53" i="3" s="1"/>
  <c r="T53" i="3"/>
  <c r="U53" i="3"/>
  <c r="V53" i="3"/>
  <c r="L13" i="3"/>
  <c r="S13" i="3"/>
  <c r="R13" i="3" s="1"/>
  <c r="T13" i="3"/>
  <c r="U13" i="3"/>
  <c r="V13" i="3"/>
  <c r="L24" i="3"/>
  <c r="S24" i="3"/>
  <c r="R24" i="3" s="1"/>
  <c r="T24" i="3"/>
  <c r="U24" i="3"/>
  <c r="V24" i="3"/>
  <c r="L65" i="3"/>
  <c r="S65" i="3"/>
  <c r="R65" i="3" s="1"/>
  <c r="T65" i="3"/>
  <c r="U65" i="3"/>
  <c r="V65" i="3"/>
  <c r="L67" i="3"/>
  <c r="S67" i="3"/>
  <c r="R67" i="3" s="1"/>
  <c r="T67" i="3"/>
  <c r="U67" i="3"/>
  <c r="V67" i="3"/>
  <c r="L58" i="3"/>
  <c r="S58" i="3"/>
  <c r="R58" i="3" s="1"/>
  <c r="T58" i="3"/>
  <c r="U58" i="3"/>
  <c r="V58" i="3"/>
  <c r="L7" i="3"/>
  <c r="S7" i="3"/>
  <c r="R7" i="3" s="1"/>
  <c r="T7" i="3"/>
  <c r="U7" i="3"/>
  <c r="V7" i="3"/>
  <c r="L80" i="3"/>
  <c r="S80" i="3"/>
  <c r="R80" i="3" s="1"/>
  <c r="T80" i="3"/>
  <c r="U80" i="3"/>
  <c r="V80" i="3"/>
  <c r="L61" i="3"/>
  <c r="P61" i="3"/>
  <c r="Q61" i="3"/>
  <c r="S61" i="3"/>
  <c r="R61" i="3" s="1"/>
  <c r="T61" i="3"/>
  <c r="U61" i="3"/>
  <c r="V61" i="3"/>
  <c r="L48" i="3"/>
  <c r="S48" i="3"/>
  <c r="R48" i="3" s="1"/>
  <c r="T48" i="3"/>
  <c r="U48" i="3"/>
  <c r="V48" i="3"/>
  <c r="L54" i="3"/>
  <c r="S54" i="3"/>
  <c r="R54" i="3" s="1"/>
  <c r="T54" i="3"/>
  <c r="U54" i="3"/>
  <c r="V54" i="3"/>
  <c r="L71" i="3"/>
  <c r="S71" i="3"/>
  <c r="R71" i="3" s="1"/>
  <c r="T71" i="3"/>
  <c r="U71" i="3"/>
  <c r="V71" i="3"/>
  <c r="L85" i="3"/>
  <c r="P85" i="3"/>
  <c r="Q85" i="3"/>
  <c r="S85" i="3"/>
  <c r="R85" i="3" s="1"/>
  <c r="T85" i="3"/>
  <c r="U85" i="3"/>
  <c r="V85" i="3"/>
  <c r="L68" i="3"/>
  <c r="P68" i="3"/>
  <c r="Q68" i="3"/>
  <c r="S68" i="3"/>
  <c r="R68" i="3" s="1"/>
  <c r="T68" i="3"/>
  <c r="U68" i="3"/>
  <c r="V68" i="3"/>
  <c r="L62" i="3"/>
  <c r="P62" i="3"/>
  <c r="Q62" i="3"/>
  <c r="S62" i="3"/>
  <c r="R62" i="3" s="1"/>
  <c r="T62" i="3"/>
  <c r="U62" i="3"/>
  <c r="V62" i="3"/>
  <c r="L39" i="3"/>
  <c r="S39" i="3"/>
  <c r="R39" i="3" s="1"/>
  <c r="T39" i="3"/>
  <c r="U39" i="3"/>
  <c r="V39" i="3"/>
  <c r="L81" i="3"/>
  <c r="P81" i="3"/>
  <c r="Q81" i="3"/>
  <c r="S81" i="3"/>
  <c r="R81" i="3" s="1"/>
  <c r="T81" i="3"/>
  <c r="U81" i="3"/>
  <c r="V81" i="3"/>
  <c r="L86" i="3"/>
  <c r="P86" i="3"/>
  <c r="Q86" i="3"/>
  <c r="S86" i="3"/>
  <c r="R86" i="3" s="1"/>
  <c r="T86" i="3"/>
  <c r="U86" i="3"/>
  <c r="V86" i="3"/>
  <c r="L87" i="3"/>
  <c r="P87" i="3"/>
  <c r="Q87" i="3"/>
  <c r="S87" i="3"/>
  <c r="R87" i="3" s="1"/>
  <c r="T87" i="3"/>
  <c r="U87" i="3"/>
  <c r="V87" i="3"/>
  <c r="L82" i="3"/>
  <c r="P82" i="3"/>
  <c r="Q82" i="3"/>
  <c r="S82" i="3"/>
  <c r="R82" i="3" s="1"/>
  <c r="T82" i="3"/>
  <c r="U82" i="3"/>
  <c r="V82" i="3"/>
  <c r="L88" i="3"/>
  <c r="P88" i="3"/>
  <c r="Q88" i="3"/>
  <c r="S88" i="3"/>
  <c r="R88" i="3" s="1"/>
  <c r="T88" i="3"/>
  <c r="U88" i="3"/>
  <c r="V88" i="3"/>
  <c r="L55" i="3"/>
  <c r="P55" i="3"/>
  <c r="Q55" i="3"/>
  <c r="S55" i="3"/>
  <c r="R55" i="3" s="1"/>
  <c r="T55" i="3"/>
  <c r="U55" i="3"/>
  <c r="V55" i="3"/>
  <c r="L49" i="3"/>
  <c r="S49" i="3"/>
  <c r="R49" i="3" s="1"/>
  <c r="T49" i="3"/>
  <c r="U49" i="3"/>
  <c r="V49" i="3"/>
  <c r="L89" i="3"/>
  <c r="P89" i="3"/>
  <c r="Q89" i="3"/>
  <c r="S89" i="3"/>
  <c r="R89" i="3" s="1"/>
  <c r="T89" i="3"/>
  <c r="U89" i="3"/>
  <c r="V89" i="3"/>
  <c r="L69" i="3"/>
  <c r="P69" i="3"/>
  <c r="Q69" i="3"/>
  <c r="S69" i="3"/>
  <c r="R69" i="3" s="1"/>
  <c r="T69" i="3"/>
  <c r="U69" i="3"/>
  <c r="V69" i="3"/>
  <c r="L15" i="3"/>
  <c r="S15" i="3"/>
  <c r="R15" i="3" s="1"/>
  <c r="T15" i="3"/>
  <c r="U15" i="3"/>
  <c r="V15" i="3"/>
  <c r="L59" i="3"/>
  <c r="P59" i="3"/>
  <c r="Q59" i="3"/>
  <c r="S59" i="3"/>
  <c r="R59" i="3" s="1"/>
  <c r="T59" i="3"/>
  <c r="U59" i="3"/>
  <c r="V59" i="3"/>
  <c r="K14" i="1"/>
  <c r="L14" i="1"/>
  <c r="M14" i="1"/>
  <c r="N14" i="1" s="1"/>
  <c r="V14" i="1"/>
  <c r="Y14" i="1"/>
  <c r="Z14" i="1"/>
  <c r="AB14" i="1"/>
  <c r="AC14" i="1"/>
  <c r="AD14" i="1"/>
  <c r="AG14" i="1" s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K16" i="1"/>
  <c r="L16" i="1"/>
  <c r="M16" i="1"/>
  <c r="N16" i="1" s="1"/>
  <c r="V16" i="1"/>
  <c r="Q42" i="3" s="1"/>
  <c r="Z16" i="1"/>
  <c r="AB16" i="1"/>
  <c r="AC16" i="1"/>
  <c r="AD16" i="1"/>
  <c r="AE16" i="1"/>
  <c r="P42" i="3" s="1"/>
  <c r="AF16" i="1"/>
  <c r="AH16" i="1"/>
  <c r="K17" i="1"/>
  <c r="L17" i="1"/>
  <c r="M17" i="1"/>
  <c r="N17" i="1" s="1"/>
  <c r="V17" i="1"/>
  <c r="Z17" i="1"/>
  <c r="AB17" i="1"/>
  <c r="AC17" i="1"/>
  <c r="AD17" i="1"/>
  <c r="AE17" i="1"/>
  <c r="AF17" i="1"/>
  <c r="AH17" i="1"/>
  <c r="K18" i="1"/>
  <c r="L18" i="1"/>
  <c r="M18" i="1"/>
  <c r="N18" i="1" s="1"/>
  <c r="V18" i="1"/>
  <c r="Z18" i="1"/>
  <c r="AB18" i="1"/>
  <c r="AC18" i="1"/>
  <c r="AD18" i="1"/>
  <c r="AG18" i="1" s="1"/>
  <c r="AE18" i="1"/>
  <c r="AF18" i="1"/>
  <c r="AH18" i="1"/>
  <c r="K19" i="1"/>
  <c r="L19" i="1"/>
  <c r="M19" i="1"/>
  <c r="V19" i="1"/>
  <c r="Z19" i="1"/>
  <c r="AB19" i="1"/>
  <c r="AC19" i="1"/>
  <c r="AD19" i="1"/>
  <c r="AG19" i="1" s="1"/>
  <c r="AE19" i="1"/>
  <c r="AF19" i="1"/>
  <c r="AH19" i="1"/>
  <c r="V20" i="1"/>
  <c r="Q9" i="3" s="1"/>
  <c r="Z20" i="1"/>
  <c r="AB20" i="1"/>
  <c r="AC20" i="1"/>
  <c r="AD20" i="1"/>
  <c r="AE20" i="1"/>
  <c r="P9" i="3" s="1"/>
  <c r="AF20" i="1"/>
  <c r="AH20" i="1"/>
  <c r="V21" i="1"/>
  <c r="Z21" i="1"/>
  <c r="AB21" i="1"/>
  <c r="AC21" i="1"/>
  <c r="AD21" i="1"/>
  <c r="AE21" i="1"/>
  <c r="AF21" i="1"/>
  <c r="AH21" i="1"/>
  <c r="V22" i="1"/>
  <c r="Z22" i="1"/>
  <c r="AB22" i="1"/>
  <c r="AC22" i="1"/>
  <c r="AD22" i="1"/>
  <c r="AE22" i="1"/>
  <c r="AF22" i="1"/>
  <c r="AH22" i="1"/>
  <c r="V23" i="1"/>
  <c r="Z23" i="1"/>
  <c r="AB23" i="1"/>
  <c r="AC23" i="1"/>
  <c r="AD23" i="1"/>
  <c r="AE23" i="1"/>
  <c r="AF23" i="1"/>
  <c r="AH23" i="1"/>
  <c r="V24" i="1"/>
  <c r="Z24" i="1"/>
  <c r="AB24" i="1"/>
  <c r="AC24" i="1"/>
  <c r="AD24" i="1"/>
  <c r="AE24" i="1"/>
  <c r="AF24" i="1"/>
  <c r="AH24" i="1"/>
  <c r="V25" i="1"/>
  <c r="Z25" i="1"/>
  <c r="AB25" i="1"/>
  <c r="AC25" i="1"/>
  <c r="AD25" i="1"/>
  <c r="AE25" i="1"/>
  <c r="AF25" i="1"/>
  <c r="AH25" i="1"/>
  <c r="V26" i="1"/>
  <c r="Y26" i="1"/>
  <c r="Z26" i="1"/>
  <c r="AB26" i="1"/>
  <c r="AC26" i="1"/>
  <c r="AD26" i="1"/>
  <c r="AE26" i="1"/>
  <c r="AF26" i="1"/>
  <c r="AH26" i="1"/>
  <c r="V27" i="1"/>
  <c r="Y27" i="1"/>
  <c r="Z27" i="1"/>
  <c r="AB27" i="1"/>
  <c r="AC27" i="1"/>
  <c r="AD27" i="1"/>
  <c r="AE27" i="1"/>
  <c r="AF27" i="1"/>
  <c r="AH27" i="1"/>
  <c r="V28" i="1"/>
  <c r="Q40" i="3" s="1"/>
  <c r="Y28" i="1"/>
  <c r="Z28" i="1"/>
  <c r="AB28" i="1"/>
  <c r="AC28" i="1"/>
  <c r="AD28" i="1"/>
  <c r="AE28" i="1"/>
  <c r="P40" i="3" s="1"/>
  <c r="AF28" i="1"/>
  <c r="AH28" i="1"/>
  <c r="V29" i="1"/>
  <c r="Y29" i="1"/>
  <c r="Z29" i="1"/>
  <c r="AB29" i="1"/>
  <c r="AC29" i="1"/>
  <c r="AD29" i="1"/>
  <c r="AE29" i="1"/>
  <c r="AF29" i="1"/>
  <c r="AH29" i="1"/>
  <c r="V30" i="1"/>
  <c r="Y30" i="1"/>
  <c r="Z30" i="1"/>
  <c r="AB30" i="1"/>
  <c r="AC30" i="1"/>
  <c r="AD30" i="1"/>
  <c r="AE30" i="1"/>
  <c r="AF30" i="1"/>
  <c r="AH30" i="1"/>
  <c r="V31" i="1"/>
  <c r="Q43" i="3" s="1"/>
  <c r="Y31" i="1"/>
  <c r="Z31" i="1"/>
  <c r="AB31" i="1"/>
  <c r="AC31" i="1"/>
  <c r="AD31" i="1"/>
  <c r="AE31" i="1"/>
  <c r="P10" i="3" s="1"/>
  <c r="AF31" i="1"/>
  <c r="AH31" i="1"/>
  <c r="V32" i="1"/>
  <c r="Y32" i="1"/>
  <c r="Z32" i="1"/>
  <c r="AB32" i="1"/>
  <c r="AC32" i="1"/>
  <c r="AD32" i="1"/>
  <c r="AE32" i="1"/>
  <c r="AF32" i="1"/>
  <c r="AH32" i="1"/>
  <c r="V33" i="1"/>
  <c r="Q44" i="3" s="1"/>
  <c r="Y33" i="1"/>
  <c r="Z33" i="1"/>
  <c r="AB33" i="1"/>
  <c r="AC33" i="1"/>
  <c r="AD33" i="1"/>
  <c r="AE33" i="1"/>
  <c r="P44" i="3" s="1"/>
  <c r="AF33" i="1"/>
  <c r="AH33" i="1"/>
  <c r="V34" i="1"/>
  <c r="Q14" i="3" s="1"/>
  <c r="Y34" i="1"/>
  <c r="Z34" i="1"/>
  <c r="AB34" i="1"/>
  <c r="AC34" i="1"/>
  <c r="AD34" i="1"/>
  <c r="AE34" i="1"/>
  <c r="P14" i="3" s="1"/>
  <c r="AF34" i="1"/>
  <c r="AH34" i="1"/>
  <c r="V35" i="1"/>
  <c r="Y35" i="1"/>
  <c r="Z35" i="1"/>
  <c r="AB35" i="1"/>
  <c r="AC35" i="1"/>
  <c r="AD35" i="1"/>
  <c r="AE35" i="1"/>
  <c r="AF35" i="1"/>
  <c r="AH35" i="1"/>
  <c r="V36" i="1"/>
  <c r="Y36" i="1"/>
  <c r="Z36" i="1"/>
  <c r="AB36" i="1"/>
  <c r="AC36" i="1"/>
  <c r="AD36" i="1"/>
  <c r="AE36" i="1"/>
  <c r="AF36" i="1"/>
  <c r="AH36" i="1"/>
  <c r="V37" i="1"/>
  <c r="Y37" i="1"/>
  <c r="Z37" i="1"/>
  <c r="AB37" i="1"/>
  <c r="AC37" i="1"/>
  <c r="AD37" i="1"/>
  <c r="AE37" i="1"/>
  <c r="AF37" i="1"/>
  <c r="AH37" i="1"/>
  <c r="V38" i="1"/>
  <c r="Y38" i="1"/>
  <c r="Z38" i="1"/>
  <c r="AB38" i="1"/>
  <c r="AC38" i="1"/>
  <c r="AD38" i="1"/>
  <c r="AE38" i="1"/>
  <c r="AF38" i="1"/>
  <c r="AH38" i="1"/>
  <c r="V39" i="1"/>
  <c r="Q36" i="3" s="1"/>
  <c r="Y39" i="1"/>
  <c r="Z39" i="1"/>
  <c r="AB39" i="1"/>
  <c r="AC39" i="1"/>
  <c r="AD39" i="1"/>
  <c r="AE39" i="1"/>
  <c r="P37" i="3" s="1"/>
  <c r="AF39" i="1"/>
  <c r="AH39" i="1"/>
  <c r="Z40" i="1"/>
  <c r="AB40" i="1"/>
  <c r="AC40" i="1"/>
  <c r="AD40" i="1"/>
  <c r="AE40" i="1"/>
  <c r="AF40" i="1"/>
  <c r="AH40" i="1"/>
  <c r="Q41" i="3"/>
  <c r="Z41" i="1"/>
  <c r="AB41" i="1"/>
  <c r="AC41" i="1"/>
  <c r="AD41" i="1"/>
  <c r="AE41" i="1"/>
  <c r="P41" i="3" s="1"/>
  <c r="AF41" i="1"/>
  <c r="AH41" i="1"/>
  <c r="Z42" i="1"/>
  <c r="AB42" i="1"/>
  <c r="AC42" i="1"/>
  <c r="AD42" i="1"/>
  <c r="AE42" i="1"/>
  <c r="AF42" i="1"/>
  <c r="AH42" i="1"/>
  <c r="Z43" i="1"/>
  <c r="AB43" i="1"/>
  <c r="AC43" i="1"/>
  <c r="AD43" i="1"/>
  <c r="AE43" i="1"/>
  <c r="AF43" i="1"/>
  <c r="AH43" i="1"/>
  <c r="Q50" i="3"/>
  <c r="Z44" i="1"/>
  <c r="AB44" i="1"/>
  <c r="AC44" i="1"/>
  <c r="AD44" i="1"/>
  <c r="AE44" i="1"/>
  <c r="P50" i="3" s="1"/>
  <c r="AF44" i="1"/>
  <c r="AH44" i="1"/>
  <c r="Q45" i="3"/>
  <c r="Z45" i="1"/>
  <c r="AA45" i="1" s="1"/>
  <c r="AB45" i="1"/>
  <c r="AC45" i="1"/>
  <c r="AD45" i="1"/>
  <c r="AE45" i="1"/>
  <c r="P45" i="3" s="1"/>
  <c r="AF45" i="1"/>
  <c r="AH45" i="1"/>
  <c r="Z46" i="1"/>
  <c r="AB46" i="1"/>
  <c r="AC46" i="1"/>
  <c r="AD46" i="1"/>
  <c r="AE46" i="1"/>
  <c r="AF46" i="1"/>
  <c r="AH46" i="1"/>
  <c r="Q30" i="3"/>
  <c r="Z47" i="1"/>
  <c r="AB47" i="1"/>
  <c r="AC47" i="1"/>
  <c r="AD47" i="1"/>
  <c r="AE47" i="1"/>
  <c r="P30" i="3" s="1"/>
  <c r="AF47" i="1"/>
  <c r="AH47" i="1"/>
  <c r="Z48" i="1"/>
  <c r="AA48" i="1" s="1"/>
  <c r="AB48" i="1"/>
  <c r="AC48" i="1"/>
  <c r="AD48" i="1"/>
  <c r="AE48" i="1"/>
  <c r="AF48" i="1"/>
  <c r="AH48" i="1"/>
  <c r="Q46" i="3"/>
  <c r="Z49" i="1"/>
  <c r="AB49" i="1"/>
  <c r="AC49" i="1"/>
  <c r="AD49" i="1"/>
  <c r="AE49" i="1"/>
  <c r="P46" i="3" s="1"/>
  <c r="AF49" i="1"/>
  <c r="AH49" i="1"/>
  <c r="Z50" i="1"/>
  <c r="AB50" i="1"/>
  <c r="AC50" i="1"/>
  <c r="AD50" i="1"/>
  <c r="AE50" i="1"/>
  <c r="AF50" i="1"/>
  <c r="AH50" i="1"/>
  <c r="V51" i="1"/>
  <c r="Y51" i="1"/>
  <c r="Z51" i="1"/>
  <c r="AB51" i="1"/>
  <c r="AC51" i="1"/>
  <c r="AD51" i="1"/>
  <c r="AE51" i="1"/>
  <c r="AF51" i="1"/>
  <c r="AH51" i="1"/>
  <c r="V52" i="1"/>
  <c r="Q31" i="3" s="1"/>
  <c r="Y52" i="1"/>
  <c r="Z52" i="1"/>
  <c r="AB52" i="1"/>
  <c r="AC52" i="1"/>
  <c r="AD52" i="1"/>
  <c r="AE52" i="1"/>
  <c r="P31" i="3" s="1"/>
  <c r="AF52" i="1"/>
  <c r="AH52" i="1"/>
  <c r="V53" i="1"/>
  <c r="Q35" i="3" s="1"/>
  <c r="Y53" i="1"/>
  <c r="Z53" i="1"/>
  <c r="AB53" i="1"/>
  <c r="AC53" i="1"/>
  <c r="AD53" i="1"/>
  <c r="AE53" i="1"/>
  <c r="P35" i="3" s="1"/>
  <c r="AF53" i="1"/>
  <c r="AH53" i="1"/>
  <c r="V54" i="1"/>
  <c r="Y54" i="1"/>
  <c r="Z54" i="1"/>
  <c r="AB54" i="1"/>
  <c r="AC54" i="1"/>
  <c r="AD54" i="1"/>
  <c r="AE54" i="1"/>
  <c r="AF54" i="1"/>
  <c r="AH54" i="1"/>
  <c r="V55" i="1"/>
  <c r="Y55" i="1"/>
  <c r="Z55" i="1"/>
  <c r="AB55" i="1"/>
  <c r="AC55" i="1"/>
  <c r="AD55" i="1"/>
  <c r="AE55" i="1"/>
  <c r="AF55" i="1"/>
  <c r="AH55" i="1"/>
  <c r="V56" i="1"/>
  <c r="Y56" i="1"/>
  <c r="Z56" i="1"/>
  <c r="AB56" i="1"/>
  <c r="AC56" i="1"/>
  <c r="AD56" i="1"/>
  <c r="AE56" i="1"/>
  <c r="AF56" i="1"/>
  <c r="AH56" i="1"/>
  <c r="V57" i="1"/>
  <c r="Q11" i="3" s="1"/>
  <c r="Y57" i="1"/>
  <c r="Z57" i="1"/>
  <c r="AB57" i="1"/>
  <c r="AC57" i="1"/>
  <c r="AD57" i="1"/>
  <c r="AE57" i="1"/>
  <c r="P11" i="3" s="1"/>
  <c r="AF57" i="1"/>
  <c r="AH57" i="1"/>
  <c r="V58" i="1"/>
  <c r="Y58" i="1"/>
  <c r="Z58" i="1"/>
  <c r="AB58" i="1"/>
  <c r="AC58" i="1"/>
  <c r="AD58" i="1"/>
  <c r="AE58" i="1"/>
  <c r="AF58" i="1"/>
  <c r="AH58" i="1"/>
  <c r="V59" i="1"/>
  <c r="Y59" i="1"/>
  <c r="Z59" i="1"/>
  <c r="AB59" i="1"/>
  <c r="AC59" i="1"/>
  <c r="AD59" i="1"/>
  <c r="AE59" i="1"/>
  <c r="AF59" i="1"/>
  <c r="AH59" i="1"/>
  <c r="V60" i="1"/>
  <c r="Y60" i="1"/>
  <c r="Z60" i="1"/>
  <c r="AB60" i="1"/>
  <c r="AC60" i="1"/>
  <c r="AD60" i="1"/>
  <c r="AE60" i="1"/>
  <c r="AF60" i="1"/>
  <c r="AH60" i="1"/>
  <c r="V61" i="1"/>
  <c r="Y61" i="1"/>
  <c r="Z61" i="1"/>
  <c r="AB61" i="1"/>
  <c r="AC61" i="1"/>
  <c r="AD61" i="1"/>
  <c r="AE61" i="1"/>
  <c r="AF61" i="1"/>
  <c r="AH61" i="1"/>
  <c r="V62" i="1"/>
  <c r="Y62" i="1"/>
  <c r="Z62" i="1"/>
  <c r="AB62" i="1"/>
  <c r="AC62" i="1"/>
  <c r="AD62" i="1"/>
  <c r="AE62" i="1"/>
  <c r="AF62" i="1"/>
  <c r="AH62" i="1"/>
  <c r="V63" i="1"/>
  <c r="Y63" i="1"/>
  <c r="Z63" i="1"/>
  <c r="AB63" i="1"/>
  <c r="AC63" i="1"/>
  <c r="AD63" i="1"/>
  <c r="AE63" i="1"/>
  <c r="AF63" i="1"/>
  <c r="AH63" i="1"/>
  <c r="V64" i="1"/>
  <c r="Y64" i="1"/>
  <c r="Z64" i="1"/>
  <c r="AB64" i="1"/>
  <c r="AC64" i="1"/>
  <c r="AD64" i="1"/>
  <c r="AE64" i="1"/>
  <c r="AF64" i="1"/>
  <c r="AH64" i="1"/>
  <c r="V65" i="1"/>
  <c r="Y65" i="1"/>
  <c r="Z65" i="1"/>
  <c r="AB65" i="1"/>
  <c r="AC65" i="1"/>
  <c r="AD65" i="1"/>
  <c r="AE65" i="1"/>
  <c r="AF65" i="1"/>
  <c r="AH65" i="1"/>
  <c r="V66" i="1"/>
  <c r="Q51" i="3" s="1"/>
  <c r="Y66" i="1"/>
  <c r="Z66" i="1"/>
  <c r="AB66" i="1"/>
  <c r="AC66" i="1"/>
  <c r="AD66" i="1"/>
  <c r="AE66" i="1"/>
  <c r="P51" i="3" s="1"/>
  <c r="AF66" i="1"/>
  <c r="AH66" i="1"/>
  <c r="V67" i="1"/>
  <c r="Y67" i="1"/>
  <c r="Z67" i="1"/>
  <c r="AB67" i="1"/>
  <c r="AC67" i="1"/>
  <c r="AD67" i="1"/>
  <c r="AE67" i="1"/>
  <c r="AF67" i="1"/>
  <c r="AH67" i="1"/>
  <c r="V68" i="1"/>
  <c r="Y68" i="1"/>
  <c r="Z68" i="1"/>
  <c r="AB68" i="1"/>
  <c r="AC68" i="1"/>
  <c r="AD68" i="1"/>
  <c r="AE68" i="1"/>
  <c r="AF68" i="1"/>
  <c r="AH68" i="1"/>
  <c r="V69" i="1"/>
  <c r="Y69" i="1"/>
  <c r="Z69" i="1"/>
  <c r="AB69" i="1"/>
  <c r="AC69" i="1"/>
  <c r="AD69" i="1"/>
  <c r="AE69" i="1"/>
  <c r="AF69" i="1"/>
  <c r="AH69" i="1"/>
  <c r="V70" i="1"/>
  <c r="Y70" i="1"/>
  <c r="Z70" i="1"/>
  <c r="AB70" i="1"/>
  <c r="AC70" i="1"/>
  <c r="AD70" i="1"/>
  <c r="AE70" i="1"/>
  <c r="AF70" i="1"/>
  <c r="AH70" i="1"/>
  <c r="V71" i="1"/>
  <c r="Y71" i="1"/>
  <c r="Z71" i="1"/>
  <c r="AB71" i="1"/>
  <c r="AC71" i="1"/>
  <c r="AD71" i="1"/>
  <c r="AE71" i="1"/>
  <c r="AF71" i="1"/>
  <c r="AH71" i="1"/>
  <c r="V72" i="1"/>
  <c r="Q27" i="3" s="1"/>
  <c r="Y72" i="1"/>
  <c r="Z72" i="1"/>
  <c r="AB72" i="1"/>
  <c r="AC72" i="1"/>
  <c r="AD72" i="1"/>
  <c r="AE72" i="1"/>
  <c r="P27" i="3" s="1"/>
  <c r="AF72" i="1"/>
  <c r="AH72" i="1"/>
  <c r="V73" i="1"/>
  <c r="Y73" i="1"/>
  <c r="Z73" i="1"/>
  <c r="AB73" i="1"/>
  <c r="AC73" i="1"/>
  <c r="AD73" i="1"/>
  <c r="AE73" i="1"/>
  <c r="AF73" i="1"/>
  <c r="AH73" i="1"/>
  <c r="V74" i="1"/>
  <c r="Y74" i="1"/>
  <c r="Z74" i="1"/>
  <c r="AB74" i="1"/>
  <c r="AC74" i="1"/>
  <c r="AD74" i="1"/>
  <c r="AE74" i="1"/>
  <c r="AF74" i="1"/>
  <c r="AH74" i="1"/>
  <c r="V75" i="1"/>
  <c r="Y75" i="1"/>
  <c r="Z75" i="1"/>
  <c r="AB75" i="1"/>
  <c r="AC75" i="1"/>
  <c r="AD75" i="1"/>
  <c r="AE75" i="1"/>
  <c r="AF75" i="1"/>
  <c r="AH75" i="1"/>
  <c r="V76" i="1"/>
  <c r="Y76" i="1"/>
  <c r="Z76" i="1"/>
  <c r="AB76" i="1"/>
  <c r="AC76" i="1"/>
  <c r="AD76" i="1"/>
  <c r="AE76" i="1"/>
  <c r="AF76" i="1"/>
  <c r="AH76" i="1"/>
  <c r="V77" i="1"/>
  <c r="Y77" i="1"/>
  <c r="Z77" i="1"/>
  <c r="AB77" i="1"/>
  <c r="AC77" i="1"/>
  <c r="AD77" i="1"/>
  <c r="AE77" i="1"/>
  <c r="AF77" i="1"/>
  <c r="AH77" i="1"/>
  <c r="V78" i="1"/>
  <c r="Q28" i="3" s="1"/>
  <c r="Y78" i="1"/>
  <c r="Z78" i="1"/>
  <c r="AB78" i="1"/>
  <c r="AC78" i="1"/>
  <c r="AD78" i="1"/>
  <c r="AE78" i="1"/>
  <c r="P28" i="3" s="1"/>
  <c r="AF78" i="1"/>
  <c r="AH78" i="1"/>
  <c r="V79" i="1"/>
  <c r="Q21" i="3" s="1"/>
  <c r="Y79" i="1"/>
  <c r="Z79" i="1"/>
  <c r="AB79" i="1"/>
  <c r="AC79" i="1"/>
  <c r="AD79" i="1"/>
  <c r="AE79" i="1"/>
  <c r="P21" i="3" s="1"/>
  <c r="AF79" i="1"/>
  <c r="AH79" i="1"/>
  <c r="V80" i="1"/>
  <c r="Y80" i="1"/>
  <c r="Z80" i="1"/>
  <c r="AB80" i="1"/>
  <c r="AC80" i="1"/>
  <c r="AD80" i="1"/>
  <c r="AE80" i="1"/>
  <c r="AF80" i="1"/>
  <c r="AH80" i="1"/>
  <c r="V81" i="1"/>
  <c r="Q34" i="3" s="1"/>
  <c r="Y81" i="1"/>
  <c r="Z81" i="1"/>
  <c r="AB81" i="1"/>
  <c r="AC81" i="1"/>
  <c r="AD81" i="1"/>
  <c r="AE81" i="1"/>
  <c r="P34" i="3" s="1"/>
  <c r="AF81" i="1"/>
  <c r="AH81" i="1"/>
  <c r="V82" i="1"/>
  <c r="Y82" i="1"/>
  <c r="Z82" i="1"/>
  <c r="AB82" i="1"/>
  <c r="AC82" i="1"/>
  <c r="AD82" i="1"/>
  <c r="AE82" i="1"/>
  <c r="AF82" i="1"/>
  <c r="AH82" i="1"/>
  <c r="V83" i="1"/>
  <c r="Q33" i="3" s="1"/>
  <c r="Y83" i="1"/>
  <c r="Z83" i="1"/>
  <c r="AB83" i="1"/>
  <c r="AC83" i="1"/>
  <c r="AD83" i="1"/>
  <c r="AE83" i="1"/>
  <c r="P33" i="3" s="1"/>
  <c r="AF83" i="1"/>
  <c r="AH83" i="1"/>
  <c r="V84" i="1"/>
  <c r="Y84" i="1"/>
  <c r="Z84" i="1"/>
  <c r="AB84" i="1"/>
  <c r="AC84" i="1"/>
  <c r="AD84" i="1"/>
  <c r="AE84" i="1"/>
  <c r="AF84" i="1"/>
  <c r="AH84" i="1"/>
  <c r="V85" i="1"/>
  <c r="Y85" i="1"/>
  <c r="Z85" i="1"/>
  <c r="AB85" i="1"/>
  <c r="AC85" i="1"/>
  <c r="AD85" i="1"/>
  <c r="AE85" i="1"/>
  <c r="AF85" i="1"/>
  <c r="AH85" i="1"/>
  <c r="V86" i="1"/>
  <c r="Y86" i="1"/>
  <c r="Z86" i="1"/>
  <c r="AB86" i="1"/>
  <c r="AC86" i="1"/>
  <c r="AD86" i="1"/>
  <c r="AE86" i="1"/>
  <c r="AF86" i="1"/>
  <c r="AH86" i="1"/>
  <c r="V87" i="1"/>
  <c r="Q17" i="3" s="1"/>
  <c r="Y87" i="1"/>
  <c r="Z87" i="1"/>
  <c r="AB87" i="1"/>
  <c r="AC87" i="1"/>
  <c r="AD87" i="1"/>
  <c r="AE87" i="1"/>
  <c r="P17" i="3" s="1"/>
  <c r="AF87" i="1"/>
  <c r="AH87" i="1"/>
  <c r="V88" i="1"/>
  <c r="Y88" i="1"/>
  <c r="Z88" i="1"/>
  <c r="AB88" i="1"/>
  <c r="AC88" i="1"/>
  <c r="AD88" i="1"/>
  <c r="AE88" i="1"/>
  <c r="AF88" i="1"/>
  <c r="AH88" i="1"/>
  <c r="V89" i="1"/>
  <c r="Y89" i="1"/>
  <c r="Z89" i="1"/>
  <c r="AB89" i="1"/>
  <c r="AC89" i="1"/>
  <c r="AD89" i="1"/>
  <c r="AE89" i="1"/>
  <c r="AF89" i="1"/>
  <c r="AH89" i="1"/>
  <c r="V90" i="1"/>
  <c r="Y90" i="1"/>
  <c r="Z90" i="1"/>
  <c r="AB90" i="1"/>
  <c r="AC90" i="1"/>
  <c r="AD90" i="1"/>
  <c r="AE90" i="1"/>
  <c r="AF90" i="1"/>
  <c r="AH90" i="1"/>
  <c r="V91" i="1"/>
  <c r="Q38" i="3" s="1"/>
  <c r="Y91" i="1"/>
  <c r="Z91" i="1"/>
  <c r="AB91" i="1"/>
  <c r="AC91" i="1"/>
  <c r="AD91" i="1"/>
  <c r="AE91" i="1"/>
  <c r="P38" i="3" s="1"/>
  <c r="AF91" i="1"/>
  <c r="AH91" i="1"/>
  <c r="V92" i="1"/>
  <c r="Q8" i="3" s="1"/>
  <c r="Y92" i="1"/>
  <c r="Z92" i="1"/>
  <c r="AB92" i="1"/>
  <c r="AC92" i="1"/>
  <c r="AD92" i="1"/>
  <c r="AE92" i="1"/>
  <c r="P8" i="3" s="1"/>
  <c r="AF92" i="1"/>
  <c r="AH92" i="1"/>
  <c r="V93" i="1"/>
  <c r="Y93" i="1"/>
  <c r="Z93" i="1"/>
  <c r="AB93" i="1"/>
  <c r="AC93" i="1"/>
  <c r="AD93" i="1"/>
  <c r="AE93" i="1"/>
  <c r="AF93" i="1"/>
  <c r="AH93" i="1"/>
  <c r="V94" i="1"/>
  <c r="Y94" i="1"/>
  <c r="Z94" i="1"/>
  <c r="AB94" i="1"/>
  <c r="AC94" i="1"/>
  <c r="AD94" i="1"/>
  <c r="AE94" i="1"/>
  <c r="AF94" i="1"/>
  <c r="AH94" i="1"/>
  <c r="V95" i="1"/>
  <c r="Y95" i="1"/>
  <c r="Z95" i="1"/>
  <c r="AB95" i="1"/>
  <c r="AC95" i="1"/>
  <c r="AD95" i="1"/>
  <c r="AE95" i="1"/>
  <c r="AF95" i="1"/>
  <c r="AH95" i="1"/>
  <c r="V96" i="1"/>
  <c r="Q25" i="3" s="1"/>
  <c r="Y96" i="1"/>
  <c r="Z96" i="1"/>
  <c r="AB96" i="1"/>
  <c r="AC96" i="1"/>
  <c r="AD96" i="1"/>
  <c r="AE96" i="1"/>
  <c r="P25" i="3" s="1"/>
  <c r="AF96" i="1"/>
  <c r="AH96" i="1"/>
  <c r="V97" i="1"/>
  <c r="Y97" i="1"/>
  <c r="Z97" i="1"/>
  <c r="AB97" i="1"/>
  <c r="AC97" i="1"/>
  <c r="AD97" i="1"/>
  <c r="AE97" i="1"/>
  <c r="AF97" i="1"/>
  <c r="AH97" i="1"/>
  <c r="V98" i="1"/>
  <c r="Y98" i="1"/>
  <c r="Z98" i="1"/>
  <c r="AB98" i="1"/>
  <c r="AC98" i="1"/>
  <c r="AD98" i="1"/>
  <c r="AE98" i="1"/>
  <c r="AF98" i="1"/>
  <c r="AH98" i="1"/>
  <c r="V99" i="1"/>
  <c r="Q12" i="3" s="1"/>
  <c r="Y99" i="1"/>
  <c r="Z99" i="1"/>
  <c r="AB99" i="1"/>
  <c r="AC99" i="1"/>
  <c r="AD99" i="1"/>
  <c r="AE99" i="1"/>
  <c r="P12" i="3" s="1"/>
  <c r="AF99" i="1"/>
  <c r="AH99" i="1"/>
  <c r="V100" i="1"/>
  <c r="Y100" i="1"/>
  <c r="Z100" i="1"/>
  <c r="AB100" i="1"/>
  <c r="AC100" i="1"/>
  <c r="AD100" i="1"/>
  <c r="AE100" i="1"/>
  <c r="AF100" i="1"/>
  <c r="AH100" i="1"/>
  <c r="V101" i="1"/>
  <c r="Q13" i="3" s="1"/>
  <c r="Y101" i="1"/>
  <c r="Z101" i="1"/>
  <c r="AB101" i="1"/>
  <c r="AC101" i="1"/>
  <c r="AD101" i="1"/>
  <c r="AE101" i="1"/>
  <c r="P18" i="3" s="1"/>
  <c r="AF101" i="1"/>
  <c r="AH101" i="1"/>
  <c r="V102" i="1"/>
  <c r="Q52" i="3" s="1"/>
  <c r="Y102" i="1"/>
  <c r="Z102" i="1"/>
  <c r="AB102" i="1"/>
  <c r="AC102" i="1"/>
  <c r="AD102" i="1"/>
  <c r="AE102" i="1"/>
  <c r="P52" i="3" s="1"/>
  <c r="AF102" i="1"/>
  <c r="AH102" i="1"/>
  <c r="V103" i="1"/>
  <c r="Y103" i="1"/>
  <c r="Z103" i="1"/>
  <c r="AB103" i="1"/>
  <c r="AC103" i="1"/>
  <c r="AD103" i="1"/>
  <c r="AE103" i="1"/>
  <c r="AF103" i="1"/>
  <c r="AH103" i="1"/>
  <c r="V104" i="1"/>
  <c r="Q32" i="3" s="1"/>
  <c r="Y104" i="1"/>
  <c r="Z104" i="1"/>
  <c r="AB104" i="1"/>
  <c r="AC104" i="1"/>
  <c r="AD104" i="1"/>
  <c r="AE104" i="1"/>
  <c r="P32" i="3" s="1"/>
  <c r="AF104" i="1"/>
  <c r="AH104" i="1"/>
  <c r="V105" i="1"/>
  <c r="Y105" i="1"/>
  <c r="Z105" i="1"/>
  <c r="AB105" i="1"/>
  <c r="AC105" i="1"/>
  <c r="AD105" i="1"/>
  <c r="AE105" i="1"/>
  <c r="AF105" i="1"/>
  <c r="AH105" i="1"/>
  <c r="V106" i="1"/>
  <c r="Y106" i="1"/>
  <c r="Z106" i="1"/>
  <c r="AB106" i="1"/>
  <c r="AC106" i="1"/>
  <c r="AD106" i="1"/>
  <c r="AE106" i="1"/>
  <c r="AF106" i="1"/>
  <c r="AH106" i="1"/>
  <c r="V107" i="1"/>
  <c r="Q48" i="3" s="1"/>
  <c r="Y107" i="1"/>
  <c r="Z107" i="1"/>
  <c r="AB107" i="1"/>
  <c r="AC107" i="1"/>
  <c r="AD107" i="1"/>
  <c r="AE107" i="1"/>
  <c r="P48" i="3" s="1"/>
  <c r="AF107" i="1"/>
  <c r="AH107" i="1"/>
  <c r="V108" i="1"/>
  <c r="Y108" i="1"/>
  <c r="Z108" i="1"/>
  <c r="AB108" i="1"/>
  <c r="AC108" i="1"/>
  <c r="AD108" i="1"/>
  <c r="AE108" i="1"/>
  <c r="AF108" i="1"/>
  <c r="AH108" i="1"/>
  <c r="V109" i="1"/>
  <c r="Y109" i="1"/>
  <c r="Z109" i="1"/>
  <c r="AB109" i="1"/>
  <c r="AC109" i="1"/>
  <c r="AD109" i="1"/>
  <c r="AE109" i="1"/>
  <c r="AF109" i="1"/>
  <c r="AH109" i="1"/>
  <c r="V110" i="1"/>
  <c r="Y110" i="1"/>
  <c r="Z110" i="1"/>
  <c r="AB110" i="1"/>
  <c r="AC110" i="1"/>
  <c r="AD110" i="1"/>
  <c r="AE110" i="1"/>
  <c r="AF110" i="1"/>
  <c r="AH110" i="1"/>
  <c r="V111" i="1"/>
  <c r="Y111" i="1"/>
  <c r="Z111" i="1"/>
  <c r="AB111" i="1"/>
  <c r="AC111" i="1"/>
  <c r="AD111" i="1"/>
  <c r="AE111" i="1"/>
  <c r="AF111" i="1"/>
  <c r="AH111" i="1"/>
  <c r="V112" i="1"/>
  <c r="Y112" i="1"/>
  <c r="Z112" i="1"/>
  <c r="AB112" i="1"/>
  <c r="AC112" i="1"/>
  <c r="AD112" i="1"/>
  <c r="AE112" i="1"/>
  <c r="AF112" i="1"/>
  <c r="AH112" i="1"/>
  <c r="V113" i="1"/>
  <c r="Y113" i="1"/>
  <c r="Z113" i="1"/>
  <c r="AB113" i="1"/>
  <c r="AC113" i="1"/>
  <c r="AD113" i="1"/>
  <c r="AE113" i="1"/>
  <c r="AF113" i="1"/>
  <c r="AH113" i="1"/>
  <c r="V114" i="1"/>
  <c r="Q7" i="3" s="1"/>
  <c r="Y114" i="1"/>
  <c r="Z114" i="1"/>
  <c r="AB114" i="1"/>
  <c r="AC114" i="1"/>
  <c r="AD114" i="1"/>
  <c r="AE114" i="1"/>
  <c r="P7" i="3" s="1"/>
  <c r="AF114" i="1"/>
  <c r="AH114" i="1"/>
  <c r="V115" i="1"/>
  <c r="Q39" i="3" s="1"/>
  <c r="Y115" i="1"/>
  <c r="Z115" i="1"/>
  <c r="AB115" i="1"/>
  <c r="AC115" i="1"/>
  <c r="AD115" i="1"/>
  <c r="AE115" i="1"/>
  <c r="P39" i="3" s="1"/>
  <c r="AF115" i="1"/>
  <c r="AH115" i="1"/>
  <c r="V116" i="1"/>
  <c r="Y116" i="1"/>
  <c r="Z116" i="1"/>
  <c r="AB116" i="1"/>
  <c r="AC116" i="1"/>
  <c r="AD116" i="1"/>
  <c r="AE116" i="1"/>
  <c r="AF116" i="1"/>
  <c r="AH116" i="1"/>
  <c r="V117" i="1"/>
  <c r="Y117" i="1"/>
  <c r="Z117" i="1"/>
  <c r="AB117" i="1"/>
  <c r="AC117" i="1"/>
  <c r="AD117" i="1"/>
  <c r="AE117" i="1"/>
  <c r="AF117" i="1"/>
  <c r="AH117" i="1"/>
  <c r="V118" i="1"/>
  <c r="Y118" i="1"/>
  <c r="Z118" i="1"/>
  <c r="AB118" i="1"/>
  <c r="AC118" i="1"/>
  <c r="AD118" i="1"/>
  <c r="AE118" i="1"/>
  <c r="AF118" i="1"/>
  <c r="AH118" i="1"/>
  <c r="V119" i="1"/>
  <c r="Y119" i="1"/>
  <c r="Z119" i="1"/>
  <c r="AB119" i="1"/>
  <c r="AC119" i="1"/>
  <c r="AD119" i="1"/>
  <c r="AE119" i="1"/>
  <c r="AF119" i="1"/>
  <c r="AH119" i="1"/>
  <c r="V120" i="1"/>
  <c r="Y120" i="1"/>
  <c r="Z120" i="1"/>
  <c r="AB120" i="1"/>
  <c r="AC120" i="1"/>
  <c r="AD120" i="1"/>
  <c r="AE120" i="1"/>
  <c r="AF120" i="1"/>
  <c r="AH120" i="1"/>
  <c r="V121" i="1"/>
  <c r="Y121" i="1"/>
  <c r="Z121" i="1"/>
  <c r="AB121" i="1"/>
  <c r="AC121" i="1"/>
  <c r="AD121" i="1"/>
  <c r="AE121" i="1"/>
  <c r="AF121" i="1"/>
  <c r="AH121" i="1"/>
  <c r="V122" i="1"/>
  <c r="Y122" i="1"/>
  <c r="Z122" i="1"/>
  <c r="AB122" i="1"/>
  <c r="AC122" i="1"/>
  <c r="AD122" i="1"/>
  <c r="AE122" i="1"/>
  <c r="AF122" i="1"/>
  <c r="AH122" i="1"/>
  <c r="V123" i="1"/>
  <c r="Y123" i="1"/>
  <c r="Z123" i="1"/>
  <c r="AB123" i="1"/>
  <c r="AC123" i="1"/>
  <c r="AD123" i="1"/>
  <c r="AE123" i="1"/>
  <c r="AF123" i="1"/>
  <c r="AH123" i="1"/>
  <c r="V124" i="1"/>
  <c r="Y124" i="1"/>
  <c r="Z124" i="1"/>
  <c r="AB124" i="1"/>
  <c r="AC124" i="1"/>
  <c r="AD124" i="1"/>
  <c r="AE124" i="1"/>
  <c r="AF124" i="1"/>
  <c r="AH124" i="1"/>
  <c r="V125" i="1"/>
  <c r="Y125" i="1"/>
  <c r="Z125" i="1"/>
  <c r="AB125" i="1"/>
  <c r="AC125" i="1"/>
  <c r="AD125" i="1"/>
  <c r="AE125" i="1"/>
  <c r="AF125" i="1"/>
  <c r="AH125" i="1"/>
  <c r="V126" i="1"/>
  <c r="Y126" i="1"/>
  <c r="Z126" i="1"/>
  <c r="AB126" i="1"/>
  <c r="AC126" i="1"/>
  <c r="AD126" i="1"/>
  <c r="AE126" i="1"/>
  <c r="AF126" i="1"/>
  <c r="AH126" i="1"/>
  <c r="V127" i="1"/>
  <c r="Y127" i="1"/>
  <c r="Z127" i="1"/>
  <c r="AB127" i="1"/>
  <c r="AC127" i="1"/>
  <c r="AD127" i="1"/>
  <c r="AE127" i="1"/>
  <c r="AF127" i="1"/>
  <c r="AH127" i="1"/>
  <c r="V128" i="1"/>
  <c r="Y128" i="1"/>
  <c r="Z128" i="1"/>
  <c r="AB128" i="1"/>
  <c r="AC128" i="1"/>
  <c r="AD128" i="1"/>
  <c r="AE128" i="1"/>
  <c r="AF128" i="1"/>
  <c r="AH128" i="1"/>
  <c r="V129" i="1"/>
  <c r="Y129" i="1"/>
  <c r="Z129" i="1"/>
  <c r="AB129" i="1"/>
  <c r="AC129" i="1"/>
  <c r="AD129" i="1"/>
  <c r="AE129" i="1"/>
  <c r="AF129" i="1"/>
  <c r="AH129" i="1"/>
  <c r="V130" i="1"/>
  <c r="Y130" i="1"/>
  <c r="Z130" i="1"/>
  <c r="AB130" i="1"/>
  <c r="AC130" i="1"/>
  <c r="AD130" i="1"/>
  <c r="AE130" i="1"/>
  <c r="AF130" i="1"/>
  <c r="AH130" i="1"/>
  <c r="V131" i="1"/>
  <c r="Q49" i="3" s="1"/>
  <c r="Y131" i="1"/>
  <c r="Z131" i="1"/>
  <c r="AB131" i="1"/>
  <c r="AC131" i="1"/>
  <c r="AD131" i="1"/>
  <c r="AE131" i="1"/>
  <c r="P49" i="3" s="1"/>
  <c r="AF131" i="1"/>
  <c r="AH131" i="1"/>
  <c r="V132" i="1"/>
  <c r="Y132" i="1"/>
  <c r="Z132" i="1"/>
  <c r="AB132" i="1"/>
  <c r="AC132" i="1"/>
  <c r="AD132" i="1"/>
  <c r="AE132" i="1"/>
  <c r="AF132" i="1"/>
  <c r="AH132" i="1"/>
  <c r="V133" i="1"/>
  <c r="Y133" i="1"/>
  <c r="Z133" i="1"/>
  <c r="AB133" i="1"/>
  <c r="AC133" i="1"/>
  <c r="AD133" i="1"/>
  <c r="AE133" i="1"/>
  <c r="AF133" i="1"/>
  <c r="AH133" i="1"/>
  <c r="V134" i="1"/>
  <c r="Y134" i="1"/>
  <c r="Z134" i="1"/>
  <c r="AB134" i="1"/>
  <c r="AC134" i="1"/>
  <c r="AD134" i="1"/>
  <c r="AE134" i="1"/>
  <c r="AF134" i="1"/>
  <c r="AH134" i="1"/>
  <c r="V135" i="1"/>
  <c r="Y135" i="1"/>
  <c r="Z135" i="1"/>
  <c r="AB135" i="1"/>
  <c r="AC135" i="1"/>
  <c r="AD135" i="1"/>
  <c r="AE135" i="1"/>
  <c r="AF135" i="1"/>
  <c r="AH135" i="1"/>
  <c r="V136" i="1"/>
  <c r="Y136" i="1"/>
  <c r="Z136" i="1"/>
  <c r="AB136" i="1"/>
  <c r="AC136" i="1"/>
  <c r="AD136" i="1"/>
  <c r="AE136" i="1"/>
  <c r="AF136" i="1"/>
  <c r="AH136" i="1"/>
  <c r="V137" i="1"/>
  <c r="Y137" i="1"/>
  <c r="Z137" i="1"/>
  <c r="AB137" i="1"/>
  <c r="AC137" i="1"/>
  <c r="AD137" i="1"/>
  <c r="AE137" i="1"/>
  <c r="AF137" i="1"/>
  <c r="AH137" i="1"/>
  <c r="V138" i="1"/>
  <c r="Y138" i="1"/>
  <c r="Z138" i="1"/>
  <c r="AB138" i="1"/>
  <c r="AC138" i="1"/>
  <c r="AD138" i="1"/>
  <c r="AE138" i="1"/>
  <c r="AF138" i="1"/>
  <c r="AH138" i="1"/>
  <c r="V139" i="1"/>
  <c r="Y139" i="1"/>
  <c r="Z139" i="1"/>
  <c r="AB139" i="1"/>
  <c r="AC139" i="1"/>
  <c r="AD139" i="1"/>
  <c r="AE139" i="1"/>
  <c r="AF139" i="1"/>
  <c r="AH139" i="1"/>
  <c r="V140" i="1"/>
  <c r="Y140" i="1"/>
  <c r="Z140" i="1"/>
  <c r="AB140" i="1"/>
  <c r="AC140" i="1"/>
  <c r="AD140" i="1"/>
  <c r="AE140" i="1"/>
  <c r="AF140" i="1"/>
  <c r="AH140" i="1"/>
  <c r="V141" i="1"/>
  <c r="Q15" i="3" s="1"/>
  <c r="Y141" i="1"/>
  <c r="Z141" i="1"/>
  <c r="AB141" i="1"/>
  <c r="AC141" i="1"/>
  <c r="AD141" i="1"/>
  <c r="AE141" i="1"/>
  <c r="P15" i="3" s="1"/>
  <c r="AF141" i="1"/>
  <c r="AH141" i="1"/>
  <c r="V142" i="1"/>
  <c r="Y142" i="1"/>
  <c r="Z142" i="1"/>
  <c r="AB142" i="1"/>
  <c r="AC142" i="1"/>
  <c r="AD142" i="1"/>
  <c r="AE142" i="1"/>
  <c r="AF142" i="1"/>
  <c r="AH142" i="1"/>
  <c r="V143" i="1"/>
  <c r="Y143" i="1"/>
  <c r="Z143" i="1"/>
  <c r="AB143" i="1"/>
  <c r="AC143" i="1"/>
  <c r="AD143" i="1"/>
  <c r="AE143" i="1"/>
  <c r="AF143" i="1"/>
  <c r="AH143" i="1"/>
  <c r="V144" i="1"/>
  <c r="Y144" i="1"/>
  <c r="Z144" i="1"/>
  <c r="AB144" i="1"/>
  <c r="AC144" i="1"/>
  <c r="AD144" i="1"/>
  <c r="AE144" i="1"/>
  <c r="AF144" i="1"/>
  <c r="AH144" i="1"/>
  <c r="V145" i="1"/>
  <c r="Y145" i="1"/>
  <c r="Z145" i="1"/>
  <c r="AB145" i="1"/>
  <c r="AC145" i="1"/>
  <c r="AD145" i="1"/>
  <c r="AE145" i="1"/>
  <c r="AF145" i="1"/>
  <c r="AH145" i="1"/>
  <c r="V146" i="1"/>
  <c r="Y146" i="1"/>
  <c r="Z146" i="1"/>
  <c r="AB146" i="1"/>
  <c r="AC146" i="1"/>
  <c r="AD146" i="1"/>
  <c r="AE146" i="1"/>
  <c r="AF146" i="1"/>
  <c r="AH146" i="1"/>
  <c r="V147" i="1"/>
  <c r="Y147" i="1"/>
  <c r="Z147" i="1"/>
  <c r="AB147" i="1"/>
  <c r="AC147" i="1"/>
  <c r="AD147" i="1"/>
  <c r="AE147" i="1"/>
  <c r="AF147" i="1"/>
  <c r="AH147" i="1"/>
  <c r="V148" i="1"/>
  <c r="Y148" i="1"/>
  <c r="Z148" i="1"/>
  <c r="AB148" i="1"/>
  <c r="AC148" i="1"/>
  <c r="AD148" i="1"/>
  <c r="AE148" i="1"/>
  <c r="AF148" i="1"/>
  <c r="AH148" i="1"/>
  <c r="V149" i="1"/>
  <c r="Y149" i="1"/>
  <c r="Z149" i="1"/>
  <c r="AB149" i="1"/>
  <c r="AC149" i="1"/>
  <c r="AD149" i="1"/>
  <c r="AE149" i="1"/>
  <c r="AF149" i="1"/>
  <c r="AH149" i="1"/>
  <c r="V150" i="1"/>
  <c r="Y150" i="1"/>
  <c r="Z150" i="1"/>
  <c r="AB150" i="1"/>
  <c r="AC150" i="1"/>
  <c r="AD150" i="1"/>
  <c r="AE150" i="1"/>
  <c r="AF150" i="1"/>
  <c r="AH150" i="1"/>
  <c r="V151" i="1"/>
  <c r="Y151" i="1"/>
  <c r="Z151" i="1"/>
  <c r="AB151" i="1"/>
  <c r="AC151" i="1"/>
  <c r="AD151" i="1"/>
  <c r="AE151" i="1"/>
  <c r="AF151" i="1"/>
  <c r="AH151" i="1"/>
  <c r="V152" i="1"/>
  <c r="Y152" i="1"/>
  <c r="Z152" i="1"/>
  <c r="AB152" i="1"/>
  <c r="AC152" i="1"/>
  <c r="AD152" i="1"/>
  <c r="AE152" i="1"/>
  <c r="AF152" i="1"/>
  <c r="AH152" i="1"/>
  <c r="V153" i="1"/>
  <c r="Y153" i="1"/>
  <c r="Z153" i="1"/>
  <c r="AB153" i="1"/>
  <c r="AC153" i="1"/>
  <c r="AD153" i="1"/>
  <c r="AE153" i="1"/>
  <c r="AF153" i="1"/>
  <c r="AH153" i="1"/>
  <c r="V154" i="1"/>
  <c r="Y154" i="1"/>
  <c r="Z154" i="1"/>
  <c r="AB154" i="1"/>
  <c r="AC154" i="1"/>
  <c r="AD154" i="1"/>
  <c r="AE154" i="1"/>
  <c r="AF154" i="1"/>
  <c r="AH154" i="1"/>
  <c r="V155" i="1"/>
  <c r="Y155" i="1"/>
  <c r="Z155" i="1"/>
  <c r="AB155" i="1"/>
  <c r="AC155" i="1"/>
  <c r="AD155" i="1"/>
  <c r="AE155" i="1"/>
  <c r="AF155" i="1"/>
  <c r="AH155" i="1"/>
  <c r="V156" i="1"/>
  <c r="Y156" i="1"/>
  <c r="Z156" i="1"/>
  <c r="AB156" i="1"/>
  <c r="AC156" i="1"/>
  <c r="AD156" i="1"/>
  <c r="AE156" i="1"/>
  <c r="AF156" i="1"/>
  <c r="AH156" i="1"/>
  <c r="V157" i="1"/>
  <c r="Y157" i="1"/>
  <c r="Z157" i="1"/>
  <c r="AB157" i="1"/>
  <c r="AC157" i="1"/>
  <c r="AD157" i="1"/>
  <c r="AE157" i="1"/>
  <c r="AF157" i="1"/>
  <c r="AH157" i="1"/>
  <c r="V158" i="1"/>
  <c r="Q73" i="3" s="1"/>
  <c r="Y158" i="1"/>
  <c r="Z158" i="1"/>
  <c r="AB158" i="1"/>
  <c r="AC158" i="1"/>
  <c r="AD158" i="1"/>
  <c r="AE158" i="1"/>
  <c r="P73" i="3" s="1"/>
  <c r="AF158" i="1"/>
  <c r="AH158" i="1"/>
  <c r="V159" i="1"/>
  <c r="Y159" i="1"/>
  <c r="Z159" i="1"/>
  <c r="AB159" i="1"/>
  <c r="AC159" i="1"/>
  <c r="AD159" i="1"/>
  <c r="AE159" i="1"/>
  <c r="AF159" i="1"/>
  <c r="AH159" i="1"/>
  <c r="V160" i="1"/>
  <c r="Y160" i="1"/>
  <c r="Z160" i="1"/>
  <c r="AB160" i="1"/>
  <c r="AC160" i="1"/>
  <c r="AD160" i="1"/>
  <c r="AE160" i="1"/>
  <c r="AF160" i="1"/>
  <c r="AH160" i="1"/>
  <c r="V161" i="1"/>
  <c r="Y161" i="1"/>
  <c r="Z161" i="1"/>
  <c r="AB161" i="1"/>
  <c r="AC161" i="1"/>
  <c r="AD161" i="1"/>
  <c r="AE161" i="1"/>
  <c r="AF161" i="1"/>
  <c r="AH161" i="1"/>
  <c r="V162" i="1"/>
  <c r="Q74" i="3" s="1"/>
  <c r="Y162" i="1"/>
  <c r="Z162" i="1"/>
  <c r="AB162" i="1"/>
  <c r="AC162" i="1"/>
  <c r="AD162" i="1"/>
  <c r="AE162" i="1"/>
  <c r="P74" i="3" s="1"/>
  <c r="AF162" i="1"/>
  <c r="AH162" i="1"/>
  <c r="V163" i="1"/>
  <c r="Q83" i="3" s="1"/>
  <c r="Y163" i="1"/>
  <c r="Z163" i="1"/>
  <c r="AB163" i="1"/>
  <c r="AC163" i="1"/>
  <c r="AD163" i="1"/>
  <c r="AE163" i="1"/>
  <c r="P83" i="3" s="1"/>
  <c r="AF163" i="1"/>
  <c r="AH163" i="1"/>
  <c r="V164" i="1"/>
  <c r="Q75" i="3" s="1"/>
  <c r="Y164" i="1"/>
  <c r="Z164" i="1"/>
  <c r="AB164" i="1"/>
  <c r="AC164" i="1"/>
  <c r="AD164" i="1"/>
  <c r="AE164" i="1"/>
  <c r="P75" i="3" s="1"/>
  <c r="AF164" i="1"/>
  <c r="AH164" i="1"/>
  <c r="V165" i="1"/>
  <c r="Q84" i="3" s="1"/>
  <c r="Y165" i="1"/>
  <c r="Z165" i="1"/>
  <c r="AB165" i="1"/>
  <c r="AC165" i="1"/>
  <c r="AD165" i="1"/>
  <c r="AE165" i="1"/>
  <c r="P84" i="3" s="1"/>
  <c r="AF165" i="1"/>
  <c r="AH165" i="1"/>
  <c r="V166" i="1"/>
  <c r="Y166" i="1"/>
  <c r="Z166" i="1"/>
  <c r="AB166" i="1"/>
  <c r="AC166" i="1"/>
  <c r="AD166" i="1"/>
  <c r="AE166" i="1"/>
  <c r="AF166" i="1"/>
  <c r="AH166" i="1"/>
  <c r="V167" i="1"/>
  <c r="Y167" i="1"/>
  <c r="Z167" i="1"/>
  <c r="AB167" i="1"/>
  <c r="AC167" i="1"/>
  <c r="AD167" i="1"/>
  <c r="AE167" i="1"/>
  <c r="AF167" i="1"/>
  <c r="AH167" i="1"/>
  <c r="V168" i="1"/>
  <c r="Q76" i="3" s="1"/>
  <c r="Y168" i="1"/>
  <c r="Z168" i="1"/>
  <c r="AB168" i="1"/>
  <c r="AC168" i="1"/>
  <c r="AD168" i="1"/>
  <c r="AE168" i="1"/>
  <c r="P76" i="3" s="1"/>
  <c r="AF168" i="1"/>
  <c r="AH168" i="1"/>
  <c r="V169" i="1"/>
  <c r="Y169" i="1"/>
  <c r="Z169" i="1"/>
  <c r="AB169" i="1"/>
  <c r="AC169" i="1"/>
  <c r="AD169" i="1"/>
  <c r="AE169" i="1"/>
  <c r="AF169" i="1"/>
  <c r="AH169" i="1"/>
  <c r="V170" i="1"/>
  <c r="Y170" i="1"/>
  <c r="Z170" i="1"/>
  <c r="AB170" i="1"/>
  <c r="AC170" i="1"/>
  <c r="AD170" i="1"/>
  <c r="AE170" i="1"/>
  <c r="AF170" i="1"/>
  <c r="AH170" i="1"/>
  <c r="V171" i="1"/>
  <c r="Q70" i="3" s="1"/>
  <c r="Y171" i="1"/>
  <c r="Z171" i="1"/>
  <c r="AB171" i="1"/>
  <c r="AC171" i="1"/>
  <c r="AD171" i="1"/>
  <c r="AE171" i="1"/>
  <c r="P70" i="3" s="1"/>
  <c r="AF171" i="1"/>
  <c r="AH171" i="1"/>
  <c r="V172" i="1"/>
  <c r="Y172" i="1"/>
  <c r="Z172" i="1"/>
  <c r="AB172" i="1"/>
  <c r="AC172" i="1"/>
  <c r="AD172" i="1"/>
  <c r="AE172" i="1"/>
  <c r="AF172" i="1"/>
  <c r="AH172" i="1"/>
  <c r="V173" i="1"/>
  <c r="Y173" i="1"/>
  <c r="Z173" i="1"/>
  <c r="AB173" i="1"/>
  <c r="AC173" i="1"/>
  <c r="AD173" i="1"/>
  <c r="AE173" i="1"/>
  <c r="AF173" i="1"/>
  <c r="AH173" i="1"/>
  <c r="V174" i="1"/>
  <c r="Q77" i="3" s="1"/>
  <c r="Y174" i="1"/>
  <c r="Z174" i="1"/>
  <c r="AB174" i="1"/>
  <c r="AC174" i="1"/>
  <c r="AD174" i="1"/>
  <c r="AE174" i="1"/>
  <c r="P77" i="3" s="1"/>
  <c r="AF174" i="1"/>
  <c r="AH174" i="1"/>
  <c r="V175" i="1"/>
  <c r="Y175" i="1"/>
  <c r="Z175" i="1"/>
  <c r="AB175" i="1"/>
  <c r="AC175" i="1"/>
  <c r="AD175" i="1"/>
  <c r="AE175" i="1"/>
  <c r="AF175" i="1"/>
  <c r="AH175" i="1"/>
  <c r="V176" i="1"/>
  <c r="Q78" i="3" s="1"/>
  <c r="Y176" i="1"/>
  <c r="Z176" i="1"/>
  <c r="AB176" i="1"/>
  <c r="AC176" i="1"/>
  <c r="AD176" i="1"/>
  <c r="AE176" i="1"/>
  <c r="P78" i="3" s="1"/>
  <c r="AF176" i="1"/>
  <c r="AH176" i="1"/>
  <c r="V177" i="1"/>
  <c r="Q72" i="3" s="1"/>
  <c r="Y177" i="1"/>
  <c r="AB177" i="1"/>
  <c r="AC177" i="1"/>
  <c r="AD177" i="1"/>
  <c r="X177" i="1" s="1"/>
  <c r="AE177" i="1"/>
  <c r="P72" i="3" s="1"/>
  <c r="AF177" i="1"/>
  <c r="AH177" i="1"/>
  <c r="V178" i="1"/>
  <c r="Y178" i="1"/>
  <c r="Z178" i="1"/>
  <c r="AB178" i="1"/>
  <c r="AC178" i="1"/>
  <c r="AD178" i="1"/>
  <c r="AE178" i="1"/>
  <c r="AF178" i="1"/>
  <c r="AH178" i="1"/>
  <c r="V179" i="1"/>
  <c r="Y179" i="1"/>
  <c r="Z179" i="1"/>
  <c r="AB179" i="1"/>
  <c r="AC179" i="1"/>
  <c r="AD179" i="1"/>
  <c r="AE179" i="1"/>
  <c r="AF179" i="1"/>
  <c r="AH179" i="1"/>
  <c r="V180" i="1"/>
  <c r="Y180" i="1"/>
  <c r="Z180" i="1"/>
  <c r="AB180" i="1"/>
  <c r="AC180" i="1"/>
  <c r="AD180" i="1"/>
  <c r="X180" i="1" s="1"/>
  <c r="AE180" i="1"/>
  <c r="AF180" i="1"/>
  <c r="AH180" i="1"/>
  <c r="V181" i="1"/>
  <c r="Q64" i="3" s="1"/>
  <c r="Y181" i="1"/>
  <c r="Z181" i="1"/>
  <c r="AB181" i="1"/>
  <c r="AC181" i="1"/>
  <c r="AD181" i="1"/>
  <c r="AE181" i="1"/>
  <c r="P64" i="3" s="1"/>
  <c r="AF181" i="1"/>
  <c r="AH181" i="1"/>
  <c r="V182" i="1"/>
  <c r="Y182" i="1"/>
  <c r="Z182" i="1"/>
  <c r="AB182" i="1"/>
  <c r="AC182" i="1"/>
  <c r="AD182" i="1"/>
  <c r="AE182" i="1"/>
  <c r="AF182" i="1"/>
  <c r="AH182" i="1"/>
  <c r="V183" i="1"/>
  <c r="Y183" i="1"/>
  <c r="Z183" i="1"/>
  <c r="AB183" i="1"/>
  <c r="AC183" i="1"/>
  <c r="AD183" i="1"/>
  <c r="AE183" i="1"/>
  <c r="AF183" i="1"/>
  <c r="AH183" i="1"/>
  <c r="V184" i="1"/>
  <c r="Y184" i="1"/>
  <c r="Z184" i="1"/>
  <c r="AB184" i="1"/>
  <c r="AC184" i="1"/>
  <c r="AD184" i="1"/>
  <c r="AE184" i="1"/>
  <c r="AF184" i="1"/>
  <c r="AH184" i="1"/>
  <c r="V185" i="1"/>
  <c r="Q65" i="3" s="1"/>
  <c r="Y185" i="1"/>
  <c r="Z185" i="1"/>
  <c r="AB185" i="1"/>
  <c r="AC185" i="1"/>
  <c r="AD185" i="1"/>
  <c r="AE185" i="1"/>
  <c r="P65" i="3" s="1"/>
  <c r="AF185" i="1"/>
  <c r="AH185" i="1"/>
  <c r="V186" i="1"/>
  <c r="Y186" i="1"/>
  <c r="Z186" i="1"/>
  <c r="AB186" i="1"/>
  <c r="AC186" i="1"/>
  <c r="AD186" i="1"/>
  <c r="AE186" i="1"/>
  <c r="AF186" i="1"/>
  <c r="AH186" i="1"/>
  <c r="V187" i="1"/>
  <c r="Y187" i="1"/>
  <c r="Z187" i="1"/>
  <c r="AB187" i="1"/>
  <c r="AC187" i="1"/>
  <c r="AD187" i="1"/>
  <c r="AE187" i="1"/>
  <c r="AF187" i="1"/>
  <c r="AH187" i="1"/>
  <c r="V188" i="1"/>
  <c r="Q71" i="3" s="1"/>
  <c r="Y188" i="1"/>
  <c r="Z188" i="1"/>
  <c r="AB188" i="1"/>
  <c r="AC188" i="1"/>
  <c r="AD188" i="1"/>
  <c r="AE188" i="1"/>
  <c r="P71" i="3" s="1"/>
  <c r="AF188" i="1"/>
  <c r="AH188" i="1"/>
  <c r="V189" i="1"/>
  <c r="Y189" i="1"/>
  <c r="Z189" i="1"/>
  <c r="AB189" i="1"/>
  <c r="AC189" i="1"/>
  <c r="AD189" i="1"/>
  <c r="AE189" i="1"/>
  <c r="AF189" i="1"/>
  <c r="AH189" i="1"/>
  <c r="V190" i="1"/>
  <c r="Y190" i="1"/>
  <c r="Z190" i="1"/>
  <c r="AB190" i="1"/>
  <c r="AC190" i="1"/>
  <c r="AD190" i="1"/>
  <c r="AE190" i="1"/>
  <c r="AF190" i="1"/>
  <c r="AH190" i="1"/>
  <c r="V191" i="1"/>
  <c r="Y191" i="1"/>
  <c r="Z191" i="1"/>
  <c r="AB191" i="1"/>
  <c r="AC191" i="1"/>
  <c r="AD191" i="1"/>
  <c r="AE191" i="1"/>
  <c r="AF191" i="1"/>
  <c r="AH191" i="1"/>
  <c r="V192" i="1"/>
  <c r="Y192" i="1"/>
  <c r="Z192" i="1"/>
  <c r="AB192" i="1"/>
  <c r="AC192" i="1"/>
  <c r="AD192" i="1"/>
  <c r="AE192" i="1"/>
  <c r="AF192" i="1"/>
  <c r="AH192" i="1"/>
  <c r="V193" i="1"/>
  <c r="Y193" i="1"/>
  <c r="Z193" i="1"/>
  <c r="AB193" i="1"/>
  <c r="AC193" i="1"/>
  <c r="AD193" i="1"/>
  <c r="AE193" i="1"/>
  <c r="AF193" i="1"/>
  <c r="AH193" i="1"/>
  <c r="V194" i="1"/>
  <c r="Y194" i="1"/>
  <c r="Z194" i="1"/>
  <c r="AB194" i="1"/>
  <c r="AC194" i="1"/>
  <c r="AD194" i="1"/>
  <c r="AE194" i="1"/>
  <c r="AF194" i="1"/>
  <c r="AH194" i="1"/>
  <c r="V195" i="1"/>
  <c r="Y195" i="1"/>
  <c r="Z195" i="1"/>
  <c r="AB195" i="1"/>
  <c r="AC195" i="1"/>
  <c r="AD195" i="1"/>
  <c r="AE195" i="1"/>
  <c r="AF195" i="1"/>
  <c r="AH195" i="1"/>
  <c r="V196" i="1"/>
  <c r="Y196" i="1"/>
  <c r="Z196" i="1"/>
  <c r="AB196" i="1"/>
  <c r="AC196" i="1"/>
  <c r="AD196" i="1"/>
  <c r="AE196" i="1"/>
  <c r="AF196" i="1"/>
  <c r="AH196" i="1"/>
  <c r="V197" i="1"/>
  <c r="Y197" i="1"/>
  <c r="Z197" i="1"/>
  <c r="AB197" i="1"/>
  <c r="AC197" i="1"/>
  <c r="AD197" i="1"/>
  <c r="AE197" i="1"/>
  <c r="AF197" i="1"/>
  <c r="AH197" i="1"/>
  <c r="V198" i="1"/>
  <c r="Y198" i="1"/>
  <c r="Z198" i="1"/>
  <c r="AB198" i="1"/>
  <c r="AC198" i="1"/>
  <c r="AD198" i="1"/>
  <c r="AE198" i="1"/>
  <c r="AF198" i="1"/>
  <c r="AH198" i="1"/>
  <c r="V199" i="1"/>
  <c r="Y199" i="1"/>
  <c r="Z199" i="1"/>
  <c r="AB199" i="1"/>
  <c r="AC199" i="1"/>
  <c r="AD199" i="1"/>
  <c r="AE199" i="1"/>
  <c r="AF199" i="1"/>
  <c r="AH199" i="1"/>
  <c r="V200" i="1"/>
  <c r="Y200" i="1"/>
  <c r="Z200" i="1"/>
  <c r="AB200" i="1"/>
  <c r="AC200" i="1"/>
  <c r="AD200" i="1"/>
  <c r="AE200" i="1"/>
  <c r="AF200" i="1"/>
  <c r="AH200" i="1"/>
  <c r="V201" i="1"/>
  <c r="Y201" i="1"/>
  <c r="Z201" i="1"/>
  <c r="AB201" i="1"/>
  <c r="AC201" i="1"/>
  <c r="AD201" i="1"/>
  <c r="AE201" i="1"/>
  <c r="AF201" i="1"/>
  <c r="AH201" i="1"/>
  <c r="V202" i="1"/>
  <c r="Y202" i="1"/>
  <c r="Z202" i="1"/>
  <c r="AB202" i="1"/>
  <c r="AC202" i="1"/>
  <c r="AD202" i="1"/>
  <c r="AE202" i="1"/>
  <c r="AF202" i="1"/>
  <c r="AH202" i="1"/>
  <c r="V203" i="1"/>
  <c r="Y203" i="1"/>
  <c r="Z203" i="1"/>
  <c r="AB203" i="1"/>
  <c r="AC203" i="1"/>
  <c r="AD203" i="1"/>
  <c r="AE203" i="1"/>
  <c r="AF203" i="1"/>
  <c r="AH203" i="1"/>
  <c r="V204" i="1"/>
  <c r="Y204" i="1"/>
  <c r="Z204" i="1"/>
  <c r="AB204" i="1"/>
  <c r="AC204" i="1"/>
  <c r="AD204" i="1"/>
  <c r="AE204" i="1"/>
  <c r="AF204" i="1"/>
  <c r="AH204" i="1"/>
  <c r="V205" i="1"/>
  <c r="Y205" i="1"/>
  <c r="Z205" i="1"/>
  <c r="AB205" i="1"/>
  <c r="AC205" i="1"/>
  <c r="AD205" i="1"/>
  <c r="AE205" i="1"/>
  <c r="AF205" i="1"/>
  <c r="AH205" i="1"/>
  <c r="V206" i="1"/>
  <c r="Y206" i="1"/>
  <c r="Z206" i="1"/>
  <c r="AB206" i="1"/>
  <c r="AC206" i="1"/>
  <c r="AD206" i="1"/>
  <c r="AE206" i="1"/>
  <c r="AF206" i="1"/>
  <c r="AH206" i="1"/>
  <c r="V207" i="1"/>
  <c r="Y207" i="1"/>
  <c r="Z207" i="1"/>
  <c r="AB207" i="1"/>
  <c r="AC207" i="1"/>
  <c r="AD207" i="1"/>
  <c r="AE207" i="1"/>
  <c r="AF207" i="1"/>
  <c r="AH207" i="1"/>
  <c r="V208" i="1"/>
  <c r="Y208" i="1"/>
  <c r="Z208" i="1"/>
  <c r="AB208" i="1"/>
  <c r="AC208" i="1"/>
  <c r="AD208" i="1"/>
  <c r="AE208" i="1"/>
  <c r="AF208" i="1"/>
  <c r="AH208" i="1"/>
  <c r="V209" i="1"/>
  <c r="Y209" i="1"/>
  <c r="Z209" i="1"/>
  <c r="AB209" i="1"/>
  <c r="AC209" i="1"/>
  <c r="AD209" i="1"/>
  <c r="AE209" i="1"/>
  <c r="AF209" i="1"/>
  <c r="AH209" i="1"/>
  <c r="V210" i="1"/>
  <c r="Y210" i="1"/>
  <c r="Z210" i="1"/>
  <c r="AB210" i="1"/>
  <c r="AC210" i="1"/>
  <c r="AD210" i="1"/>
  <c r="AE210" i="1"/>
  <c r="AF210" i="1"/>
  <c r="AH210" i="1"/>
  <c r="V211" i="1"/>
  <c r="Y211" i="1"/>
  <c r="Z211" i="1"/>
  <c r="AB211" i="1"/>
  <c r="AC211" i="1"/>
  <c r="AD211" i="1"/>
  <c r="AE211" i="1"/>
  <c r="AF211" i="1"/>
  <c r="AH211" i="1"/>
  <c r="V212" i="1"/>
  <c r="Y212" i="1"/>
  <c r="Z212" i="1"/>
  <c r="AB212" i="1"/>
  <c r="AC212" i="1"/>
  <c r="AD212" i="1"/>
  <c r="AE212" i="1"/>
  <c r="AF212" i="1"/>
  <c r="AH212" i="1"/>
  <c r="V213" i="1"/>
  <c r="Y213" i="1"/>
  <c r="Z213" i="1"/>
  <c r="AB213" i="1"/>
  <c r="AC213" i="1"/>
  <c r="AD213" i="1"/>
  <c r="AE213" i="1"/>
  <c r="AF213" i="1"/>
  <c r="AH213" i="1"/>
  <c r="V215" i="1"/>
  <c r="Y215" i="1"/>
  <c r="Z215" i="1"/>
  <c r="AB215" i="1"/>
  <c r="AC215" i="1"/>
  <c r="AD215" i="1"/>
  <c r="AE215" i="1"/>
  <c r="AF215" i="1"/>
  <c r="AH214" i="1"/>
  <c r="V214" i="1"/>
  <c r="Y214" i="1"/>
  <c r="Z214" i="1"/>
  <c r="AB214" i="1"/>
  <c r="AC214" i="1"/>
  <c r="AD214" i="1"/>
  <c r="AE214" i="1"/>
  <c r="AF214" i="1"/>
  <c r="AH215" i="1"/>
  <c r="X181" i="1" l="1"/>
  <c r="X176" i="1"/>
  <c r="AA198" i="1"/>
  <c r="X183" i="1"/>
  <c r="X179" i="1"/>
  <c r="X182" i="1"/>
  <c r="X178" i="1"/>
  <c r="T213" i="1"/>
  <c r="AG213" i="1"/>
  <c r="T201" i="1"/>
  <c r="AG201" i="1"/>
  <c r="T185" i="1"/>
  <c r="AG185" i="1"/>
  <c r="T176" i="1"/>
  <c r="AG176" i="1"/>
  <c r="T164" i="1"/>
  <c r="AG164" i="1"/>
  <c r="T152" i="1"/>
  <c r="AG152" i="1"/>
  <c r="T140" i="1"/>
  <c r="AG140" i="1"/>
  <c r="T132" i="1"/>
  <c r="AG132" i="1"/>
  <c r="T120" i="1"/>
  <c r="U120" i="1" s="1"/>
  <c r="S120" i="1" s="1"/>
  <c r="AG120" i="1"/>
  <c r="T112" i="1"/>
  <c r="AG112" i="1"/>
  <c r="T104" i="1"/>
  <c r="U104" i="1" s="1"/>
  <c r="S104" i="1" s="1"/>
  <c r="AG104" i="1"/>
  <c r="T88" i="1"/>
  <c r="AG88" i="1"/>
  <c r="T72" i="1"/>
  <c r="AG72" i="1"/>
  <c r="T60" i="1"/>
  <c r="AG60" i="1"/>
  <c r="T31" i="1"/>
  <c r="U31" i="1" s="1"/>
  <c r="S31" i="1" s="1"/>
  <c r="AG31" i="1"/>
  <c r="X17" i="1"/>
  <c r="AG17" i="1"/>
  <c r="T212" i="1"/>
  <c r="AG212" i="1"/>
  <c r="T208" i="1"/>
  <c r="AG208" i="1"/>
  <c r="T204" i="1"/>
  <c r="AG204" i="1"/>
  <c r="T200" i="1"/>
  <c r="AG200" i="1"/>
  <c r="T196" i="1"/>
  <c r="AG196" i="1"/>
  <c r="T192" i="1"/>
  <c r="AG192" i="1"/>
  <c r="T188" i="1"/>
  <c r="AG188" i="1"/>
  <c r="T184" i="1"/>
  <c r="AG184" i="1"/>
  <c r="T180" i="1"/>
  <c r="AG180" i="1"/>
  <c r="T175" i="1"/>
  <c r="AG175" i="1"/>
  <c r="T171" i="1"/>
  <c r="AG171" i="1"/>
  <c r="T167" i="1"/>
  <c r="AG167" i="1"/>
  <c r="T163" i="1"/>
  <c r="AG163" i="1"/>
  <c r="T159" i="1"/>
  <c r="AG159" i="1"/>
  <c r="T155" i="1"/>
  <c r="AG155" i="1"/>
  <c r="T151" i="1"/>
  <c r="AG151" i="1"/>
  <c r="T147" i="1"/>
  <c r="AG147" i="1"/>
  <c r="T143" i="1"/>
  <c r="AG143" i="1"/>
  <c r="T139" i="1"/>
  <c r="AG139" i="1"/>
  <c r="T135" i="1"/>
  <c r="AG135" i="1"/>
  <c r="T131" i="1"/>
  <c r="AG131" i="1"/>
  <c r="T127" i="1"/>
  <c r="AG127" i="1"/>
  <c r="T123" i="1"/>
  <c r="U123" i="1" s="1"/>
  <c r="S123" i="1" s="1"/>
  <c r="AG123" i="1"/>
  <c r="T119" i="1"/>
  <c r="U119" i="1" s="1"/>
  <c r="S119" i="1" s="1"/>
  <c r="AG119" i="1"/>
  <c r="T115" i="1"/>
  <c r="AG115" i="1"/>
  <c r="T111" i="1"/>
  <c r="AG111" i="1"/>
  <c r="T107" i="1"/>
  <c r="AG107" i="1"/>
  <c r="T103" i="1"/>
  <c r="U103" i="1" s="1"/>
  <c r="S103" i="1" s="1"/>
  <c r="AG103" i="1"/>
  <c r="T99" i="1"/>
  <c r="AG99" i="1"/>
  <c r="T95" i="1"/>
  <c r="U95" i="1" s="1"/>
  <c r="S95" i="1" s="1"/>
  <c r="AG95" i="1"/>
  <c r="T91" i="1"/>
  <c r="AG91" i="1"/>
  <c r="T87" i="1"/>
  <c r="AG87" i="1"/>
  <c r="T83" i="1"/>
  <c r="AG83" i="1"/>
  <c r="T79" i="1"/>
  <c r="AG79" i="1"/>
  <c r="T75" i="1"/>
  <c r="AG75" i="1"/>
  <c r="T71" i="1"/>
  <c r="AG71" i="1"/>
  <c r="T67" i="1"/>
  <c r="AG67" i="1"/>
  <c r="T63" i="1"/>
  <c r="AG63" i="1"/>
  <c r="T59" i="1"/>
  <c r="AG59" i="1"/>
  <c r="T55" i="1"/>
  <c r="AG55" i="1"/>
  <c r="T51" i="1"/>
  <c r="AG51" i="1"/>
  <c r="T49" i="1"/>
  <c r="AG49" i="1"/>
  <c r="T48" i="1"/>
  <c r="AG48" i="1"/>
  <c r="T41" i="1"/>
  <c r="U41" i="1" s="1"/>
  <c r="S41" i="1" s="1"/>
  <c r="AG41" i="1"/>
  <c r="T40" i="1"/>
  <c r="AG40" i="1"/>
  <c r="T38" i="1"/>
  <c r="U38" i="1" s="1"/>
  <c r="S38" i="1" s="1"/>
  <c r="AG38" i="1"/>
  <c r="T34" i="1"/>
  <c r="AG34" i="1"/>
  <c r="T30" i="1"/>
  <c r="AG30" i="1"/>
  <c r="T26" i="1"/>
  <c r="AG26" i="1"/>
  <c r="T209" i="1"/>
  <c r="AG209" i="1"/>
  <c r="T197" i="1"/>
  <c r="AG197" i="1"/>
  <c r="T189" i="1"/>
  <c r="AG189" i="1"/>
  <c r="T168" i="1"/>
  <c r="AG168" i="1"/>
  <c r="T156" i="1"/>
  <c r="AG156" i="1"/>
  <c r="T144" i="1"/>
  <c r="AG144" i="1"/>
  <c r="T128" i="1"/>
  <c r="U128" i="1" s="1"/>
  <c r="S128" i="1" s="1"/>
  <c r="AG128" i="1"/>
  <c r="T108" i="1"/>
  <c r="AG108" i="1"/>
  <c r="T96" i="1"/>
  <c r="U96" i="1" s="1"/>
  <c r="S96" i="1" s="1"/>
  <c r="AG96" i="1"/>
  <c r="T80" i="1"/>
  <c r="AG80" i="1"/>
  <c r="T68" i="1"/>
  <c r="AG68" i="1"/>
  <c r="T56" i="1"/>
  <c r="AG56" i="1"/>
  <c r="T52" i="1"/>
  <c r="AG52" i="1"/>
  <c r="T47" i="1"/>
  <c r="AG47" i="1"/>
  <c r="T46" i="1"/>
  <c r="AG46" i="1"/>
  <c r="T35" i="1"/>
  <c r="U35" i="1" s="1"/>
  <c r="S35" i="1" s="1"/>
  <c r="AG35" i="1"/>
  <c r="T195" i="1"/>
  <c r="AG195" i="1"/>
  <c r="T191" i="1"/>
  <c r="AG191" i="1"/>
  <c r="T187" i="1"/>
  <c r="AG187" i="1"/>
  <c r="T183" i="1"/>
  <c r="AG183" i="1"/>
  <c r="T179" i="1"/>
  <c r="AG179" i="1"/>
  <c r="T174" i="1"/>
  <c r="AG174" i="1"/>
  <c r="T170" i="1"/>
  <c r="AG170" i="1"/>
  <c r="T166" i="1"/>
  <c r="AG166" i="1"/>
  <c r="T162" i="1"/>
  <c r="AG162" i="1"/>
  <c r="T158" i="1"/>
  <c r="AG158" i="1"/>
  <c r="T154" i="1"/>
  <c r="AG154" i="1"/>
  <c r="T150" i="1"/>
  <c r="AG150" i="1"/>
  <c r="T146" i="1"/>
  <c r="AG146" i="1"/>
  <c r="T142" i="1"/>
  <c r="AG142" i="1"/>
  <c r="T138" i="1"/>
  <c r="U138" i="1" s="1"/>
  <c r="S138" i="1" s="1"/>
  <c r="AG138" i="1"/>
  <c r="T134" i="1"/>
  <c r="AG134" i="1"/>
  <c r="T130" i="1"/>
  <c r="AG130" i="1"/>
  <c r="T126" i="1"/>
  <c r="AG126" i="1"/>
  <c r="T122" i="1"/>
  <c r="AG122" i="1"/>
  <c r="T118" i="1"/>
  <c r="AG118" i="1"/>
  <c r="T114" i="1"/>
  <c r="AG114" i="1"/>
  <c r="T110" i="1"/>
  <c r="AG110" i="1"/>
  <c r="T106" i="1"/>
  <c r="AG106" i="1"/>
  <c r="T102" i="1"/>
  <c r="AG102" i="1"/>
  <c r="T98" i="1"/>
  <c r="AG98" i="1"/>
  <c r="T94" i="1"/>
  <c r="AG94" i="1"/>
  <c r="T90" i="1"/>
  <c r="AG90" i="1"/>
  <c r="T86" i="1"/>
  <c r="AG86" i="1"/>
  <c r="T82" i="1"/>
  <c r="AG82" i="1"/>
  <c r="T78" i="1"/>
  <c r="AG78" i="1"/>
  <c r="T74" i="1"/>
  <c r="AG74" i="1"/>
  <c r="T70" i="1"/>
  <c r="AG70" i="1"/>
  <c r="T66" i="1"/>
  <c r="AG66" i="1"/>
  <c r="T62" i="1"/>
  <c r="AG62" i="1"/>
  <c r="T58" i="1"/>
  <c r="AG58" i="1"/>
  <c r="T54" i="1"/>
  <c r="AG54" i="1"/>
  <c r="T50" i="1"/>
  <c r="AG50" i="1"/>
  <c r="T42" i="1"/>
  <c r="AG42" i="1"/>
  <c r="T37" i="1"/>
  <c r="AG37" i="1"/>
  <c r="T33" i="1"/>
  <c r="AG33" i="1"/>
  <c r="T29" i="1"/>
  <c r="AG29" i="1"/>
  <c r="T25" i="1"/>
  <c r="AG25" i="1"/>
  <c r="T24" i="1"/>
  <c r="U24" i="1" s="1"/>
  <c r="S24" i="1" s="1"/>
  <c r="AG24" i="1"/>
  <c r="T23" i="1"/>
  <c r="AG23" i="1"/>
  <c r="T22" i="1"/>
  <c r="U22" i="1" s="1"/>
  <c r="S22" i="1" s="1"/>
  <c r="AG22" i="1"/>
  <c r="T21" i="1"/>
  <c r="AG21" i="1"/>
  <c r="T20" i="1"/>
  <c r="U20" i="1" s="1"/>
  <c r="S20" i="1" s="1"/>
  <c r="AG20" i="1"/>
  <c r="T205" i="1"/>
  <c r="AG205" i="1"/>
  <c r="T193" i="1"/>
  <c r="AG193" i="1"/>
  <c r="T181" i="1"/>
  <c r="AG181" i="1"/>
  <c r="T177" i="1"/>
  <c r="AG177" i="1"/>
  <c r="T172" i="1"/>
  <c r="AG172" i="1"/>
  <c r="T160" i="1"/>
  <c r="AG160" i="1"/>
  <c r="T148" i="1"/>
  <c r="AG148" i="1"/>
  <c r="T136" i="1"/>
  <c r="AG136" i="1"/>
  <c r="T124" i="1"/>
  <c r="AG124" i="1"/>
  <c r="T116" i="1"/>
  <c r="AG116" i="1"/>
  <c r="T100" i="1"/>
  <c r="AG100" i="1"/>
  <c r="T92" i="1"/>
  <c r="AG92" i="1"/>
  <c r="T84" i="1"/>
  <c r="AG84" i="1"/>
  <c r="T76" i="1"/>
  <c r="AG76" i="1"/>
  <c r="T64" i="1"/>
  <c r="AG64" i="1"/>
  <c r="T39" i="1"/>
  <c r="AG39" i="1"/>
  <c r="T27" i="1"/>
  <c r="AG27" i="1"/>
  <c r="T214" i="1"/>
  <c r="AG214" i="1"/>
  <c r="T211" i="1"/>
  <c r="AG211" i="1"/>
  <c r="T207" i="1"/>
  <c r="AG207" i="1"/>
  <c r="T203" i="1"/>
  <c r="AG203" i="1"/>
  <c r="T199" i="1"/>
  <c r="AG199" i="1"/>
  <c r="T210" i="1"/>
  <c r="AG210" i="1"/>
  <c r="T206" i="1"/>
  <c r="AG206" i="1"/>
  <c r="T202" i="1"/>
  <c r="AG202" i="1"/>
  <c r="T198" i="1"/>
  <c r="AG198" i="1"/>
  <c r="T194" i="1"/>
  <c r="AG194" i="1"/>
  <c r="T190" i="1"/>
  <c r="AG190" i="1"/>
  <c r="T186" i="1"/>
  <c r="AG186" i="1"/>
  <c r="T182" i="1"/>
  <c r="AG182" i="1"/>
  <c r="T178" i="1"/>
  <c r="AG178" i="1"/>
  <c r="T173" i="1"/>
  <c r="AG173" i="1"/>
  <c r="T169" i="1"/>
  <c r="AG169" i="1"/>
  <c r="T165" i="1"/>
  <c r="U165" i="1" s="1"/>
  <c r="S165" i="1" s="1"/>
  <c r="AG165" i="1"/>
  <c r="T161" i="1"/>
  <c r="AG161" i="1"/>
  <c r="T157" i="1"/>
  <c r="AG157" i="1"/>
  <c r="T153" i="1"/>
  <c r="U153" i="1" s="1"/>
  <c r="S153" i="1" s="1"/>
  <c r="AG153" i="1"/>
  <c r="T149" i="1"/>
  <c r="AG149" i="1"/>
  <c r="T145" i="1"/>
  <c r="AG145" i="1"/>
  <c r="T141" i="1"/>
  <c r="AG141" i="1"/>
  <c r="T137" i="1"/>
  <c r="AG137" i="1"/>
  <c r="T133" i="1"/>
  <c r="AG133" i="1"/>
  <c r="T129" i="1"/>
  <c r="AG129" i="1"/>
  <c r="T125" i="1"/>
  <c r="AG125" i="1"/>
  <c r="T121" i="1"/>
  <c r="AG121" i="1"/>
  <c r="T117" i="1"/>
  <c r="AG117" i="1"/>
  <c r="T113" i="1"/>
  <c r="AG113" i="1"/>
  <c r="T109" i="1"/>
  <c r="AG109" i="1"/>
  <c r="T105" i="1"/>
  <c r="AG105" i="1"/>
  <c r="T101" i="1"/>
  <c r="U101" i="1" s="1"/>
  <c r="S101" i="1" s="1"/>
  <c r="AG101" i="1"/>
  <c r="T97" i="1"/>
  <c r="AG97" i="1"/>
  <c r="T93" i="1"/>
  <c r="U93" i="1" s="1"/>
  <c r="S93" i="1" s="1"/>
  <c r="AG93" i="1"/>
  <c r="T89" i="1"/>
  <c r="AG89" i="1"/>
  <c r="T85" i="1"/>
  <c r="U85" i="1" s="1"/>
  <c r="S85" i="1" s="1"/>
  <c r="AG85" i="1"/>
  <c r="T81" i="1"/>
  <c r="AG81" i="1"/>
  <c r="T77" i="1"/>
  <c r="AG77" i="1"/>
  <c r="T73" i="1"/>
  <c r="AG73" i="1"/>
  <c r="T69" i="1"/>
  <c r="AG69" i="1"/>
  <c r="T65" i="1"/>
  <c r="AG65" i="1"/>
  <c r="T61" i="1"/>
  <c r="AG61" i="1"/>
  <c r="T57" i="1"/>
  <c r="AG57" i="1"/>
  <c r="T53" i="1"/>
  <c r="AG53" i="1"/>
  <c r="T45" i="1"/>
  <c r="AG45" i="1"/>
  <c r="T44" i="1"/>
  <c r="AG44" i="1"/>
  <c r="T43" i="1"/>
  <c r="AG43" i="1"/>
  <c r="T36" i="1"/>
  <c r="U36" i="1" s="1"/>
  <c r="S36" i="1" s="1"/>
  <c r="AG36" i="1"/>
  <c r="T32" i="1"/>
  <c r="U32" i="1" s="1"/>
  <c r="S32" i="1" s="1"/>
  <c r="AG32" i="1"/>
  <c r="T28" i="1"/>
  <c r="U28" i="1" s="1"/>
  <c r="AG28" i="1"/>
  <c r="X16" i="1"/>
  <c r="AG16" i="1"/>
  <c r="T215" i="1"/>
  <c r="AG215" i="1"/>
  <c r="X168" i="1"/>
  <c r="X160" i="1"/>
  <c r="X152" i="1"/>
  <c r="X144" i="1"/>
  <c r="X47" i="1"/>
  <c r="X171" i="1"/>
  <c r="X167" i="1"/>
  <c r="X163" i="1"/>
  <c r="X155" i="1"/>
  <c r="X147" i="1"/>
  <c r="AA34" i="1"/>
  <c r="U26" i="1"/>
  <c r="S26" i="1" s="1"/>
  <c r="X170" i="1"/>
  <c r="X158" i="1"/>
  <c r="X154" i="1"/>
  <c r="U130" i="1"/>
  <c r="S130" i="1" s="1"/>
  <c r="X42" i="1"/>
  <c r="X25" i="1"/>
  <c r="AA211" i="1"/>
  <c r="AA203" i="1"/>
  <c r="AA183" i="1"/>
  <c r="X141" i="1"/>
  <c r="X137" i="1"/>
  <c r="X133" i="1"/>
  <c r="U125" i="1"/>
  <c r="S125" i="1" s="1"/>
  <c r="X65" i="1"/>
  <c r="X71" i="1"/>
  <c r="X70" i="1"/>
  <c r="X69" i="1"/>
  <c r="X68" i="1"/>
  <c r="X67" i="1"/>
  <c r="X66" i="1"/>
  <c r="X64" i="1"/>
  <c r="X63" i="1"/>
  <c r="X62" i="1"/>
  <c r="X22" i="1"/>
  <c r="X18" i="1"/>
  <c r="X23" i="1"/>
  <c r="X19" i="1"/>
  <c r="X21" i="1"/>
  <c r="X24" i="1"/>
  <c r="X20" i="1"/>
  <c r="AA18" i="1"/>
  <c r="W18" i="1" s="1"/>
  <c r="X50" i="1"/>
  <c r="X45" i="1"/>
  <c r="X44" i="1"/>
  <c r="X48" i="1"/>
  <c r="X40" i="1"/>
  <c r="P19" i="1"/>
  <c r="X49" i="1"/>
  <c r="X46" i="1"/>
  <c r="X43" i="1"/>
  <c r="X41" i="1"/>
  <c r="AA32" i="1"/>
  <c r="AA19" i="1"/>
  <c r="T18" i="1"/>
  <c r="U18" i="1" s="1"/>
  <c r="S18" i="1" s="1"/>
  <c r="AA28" i="1"/>
  <c r="AA42" i="1"/>
  <c r="AA39" i="1"/>
  <c r="X55" i="1"/>
  <c r="AA101" i="1"/>
  <c r="AA129" i="1"/>
  <c r="AA84" i="1"/>
  <c r="AA83" i="1"/>
  <c r="AA77" i="1"/>
  <c r="AA171" i="1"/>
  <c r="AA120" i="1"/>
  <c r="W120" i="1" s="1"/>
  <c r="AA108" i="1"/>
  <c r="P13" i="3"/>
  <c r="Q18" i="3"/>
  <c r="AA135" i="1"/>
  <c r="AA92" i="1"/>
  <c r="AA51" i="1"/>
  <c r="W51" i="1" s="1"/>
  <c r="AA49" i="1"/>
  <c r="Q37" i="3"/>
  <c r="P36" i="3"/>
  <c r="AA61" i="1"/>
  <c r="AA50" i="1"/>
  <c r="AA105" i="1"/>
  <c r="AA90" i="1"/>
  <c r="AA80" i="1"/>
  <c r="AA44" i="1"/>
  <c r="AA43" i="1"/>
  <c r="AA31" i="1"/>
  <c r="Q16" i="3"/>
  <c r="Q10" i="3"/>
  <c r="AA214" i="1"/>
  <c r="AA155" i="1"/>
  <c r="AA195" i="1"/>
  <c r="AA163" i="1"/>
  <c r="AA147" i="1"/>
  <c r="X138" i="1"/>
  <c r="AA117" i="1"/>
  <c r="W117" i="1" s="1"/>
  <c r="AA76" i="1"/>
  <c r="X57" i="1"/>
  <c r="AA46" i="1"/>
  <c r="AA41" i="1"/>
  <c r="AA40" i="1"/>
  <c r="AA26" i="1"/>
  <c r="AA25" i="1"/>
  <c r="P16" i="3"/>
  <c r="AA206" i="1"/>
  <c r="AA182" i="1"/>
  <c r="AA181" i="1"/>
  <c r="AA215" i="1"/>
  <c r="AA202" i="1"/>
  <c r="AA201" i="1"/>
  <c r="AA194" i="1"/>
  <c r="AA191" i="1"/>
  <c r="AA177" i="1"/>
  <c r="X162" i="1"/>
  <c r="X146" i="1"/>
  <c r="X134" i="1"/>
  <c r="AA127" i="1"/>
  <c r="AA126" i="1"/>
  <c r="X117" i="1"/>
  <c r="AA68" i="1"/>
  <c r="X58" i="1"/>
  <c r="AA52" i="1"/>
  <c r="AA47" i="1"/>
  <c r="AA37" i="1"/>
  <c r="AA207" i="1"/>
  <c r="AA186" i="1"/>
  <c r="X166" i="1"/>
  <c r="X159" i="1"/>
  <c r="X150" i="1"/>
  <c r="X132" i="1"/>
  <c r="AA125" i="1"/>
  <c r="AA118" i="1"/>
  <c r="AA104" i="1"/>
  <c r="W104" i="1" s="1"/>
  <c r="AA22" i="1"/>
  <c r="AA21" i="1"/>
  <c r="AA17" i="1"/>
  <c r="AA15" i="1"/>
  <c r="X151" i="1"/>
  <c r="X131" i="1"/>
  <c r="AA130" i="1"/>
  <c r="AA128" i="1"/>
  <c r="W128" i="1" s="1"/>
  <c r="X125" i="1"/>
  <c r="AA124" i="1"/>
  <c r="AA123" i="1"/>
  <c r="AA122" i="1"/>
  <c r="AA98" i="1"/>
  <c r="AA91" i="1"/>
  <c r="AA89" i="1"/>
  <c r="AA72" i="1"/>
  <c r="W72" i="1" s="1"/>
  <c r="AA62" i="1"/>
  <c r="AA58" i="1"/>
  <c r="AA55" i="1"/>
  <c r="AA35" i="1"/>
  <c r="AA30" i="1"/>
  <c r="X26" i="1"/>
  <c r="AA24" i="1"/>
  <c r="Q23" i="3"/>
  <c r="AA192" i="1"/>
  <c r="P66" i="3"/>
  <c r="P79" i="3"/>
  <c r="AA174" i="1"/>
  <c r="AA139" i="1"/>
  <c r="X119" i="1"/>
  <c r="AA116" i="1"/>
  <c r="Q20" i="3"/>
  <c r="Q29" i="3"/>
  <c r="Q53" i="3"/>
  <c r="Q24" i="3"/>
  <c r="AA99" i="1"/>
  <c r="AA93" i="1"/>
  <c r="AA81" i="1"/>
  <c r="P43" i="3"/>
  <c r="X28" i="1"/>
  <c r="AA27" i="1"/>
  <c r="Q57" i="3"/>
  <c r="Q63" i="3"/>
  <c r="X135" i="1"/>
  <c r="AA208" i="1"/>
  <c r="AA197" i="1"/>
  <c r="AA196" i="1"/>
  <c r="Q67" i="3"/>
  <c r="Q58" i="3"/>
  <c r="Q80" i="3"/>
  <c r="AA179" i="1"/>
  <c r="AA167" i="1"/>
  <c r="AA159" i="1"/>
  <c r="AA151" i="1"/>
  <c r="AA143" i="1"/>
  <c r="X139" i="1"/>
  <c r="X136" i="1"/>
  <c r="X123" i="1"/>
  <c r="P54" i="3"/>
  <c r="P23" i="3"/>
  <c r="AA79" i="1"/>
  <c r="AA75" i="1"/>
  <c r="Q26" i="3"/>
  <c r="Q47" i="3"/>
  <c r="X52" i="1"/>
  <c r="AA16" i="1"/>
  <c r="Q54" i="3"/>
  <c r="P22" i="3"/>
  <c r="AA199" i="1"/>
  <c r="Q60" i="3"/>
  <c r="X142" i="1"/>
  <c r="AA213" i="1"/>
  <c r="AA212" i="1"/>
  <c r="AA190" i="1"/>
  <c r="AA210" i="1"/>
  <c r="AA187" i="1"/>
  <c r="P67" i="3"/>
  <c r="P58" i="3"/>
  <c r="P80" i="3"/>
  <c r="Q66" i="3"/>
  <c r="Q79" i="3"/>
  <c r="P60" i="3"/>
  <c r="X172" i="1"/>
  <c r="X164" i="1"/>
  <c r="P57" i="3"/>
  <c r="P63" i="3"/>
  <c r="X156" i="1"/>
  <c r="X148" i="1"/>
  <c r="X145" i="1"/>
  <c r="X143" i="1"/>
  <c r="X140" i="1"/>
  <c r="AA131" i="1"/>
  <c r="X129" i="1"/>
  <c r="AA121" i="1"/>
  <c r="AA119" i="1"/>
  <c r="W119" i="1" s="1"/>
  <c r="AA114" i="1"/>
  <c r="AA113" i="1"/>
  <c r="W113" i="1" s="1"/>
  <c r="P20" i="3"/>
  <c r="P29" i="3"/>
  <c r="P53" i="3"/>
  <c r="AA106" i="1"/>
  <c r="AA103" i="1"/>
  <c r="P24" i="3"/>
  <c r="AA100" i="1"/>
  <c r="AA97" i="1"/>
  <c r="Q22" i="3"/>
  <c r="AA87" i="1"/>
  <c r="W87" i="1" s="1"/>
  <c r="AA73" i="1"/>
  <c r="AA65" i="1"/>
  <c r="X56" i="1"/>
  <c r="AA38" i="1"/>
  <c r="AA69" i="1"/>
  <c r="AA54" i="1"/>
  <c r="AA36" i="1"/>
  <c r="AA20" i="1"/>
  <c r="W20" i="1" s="1"/>
  <c r="P47" i="3"/>
  <c r="P26" i="3"/>
  <c r="AA57" i="1"/>
  <c r="X54" i="1"/>
  <c r="AA53" i="1"/>
  <c r="W53" i="1" s="1"/>
  <c r="AA33" i="1"/>
  <c r="W33" i="1" s="1"/>
  <c r="AA29" i="1"/>
  <c r="AA23" i="1"/>
  <c r="AA193" i="1"/>
  <c r="AA188" i="1"/>
  <c r="AA175" i="1"/>
  <c r="X173" i="1"/>
  <c r="AA170" i="1"/>
  <c r="X169" i="1"/>
  <c r="AA166" i="1"/>
  <c r="W166" i="1" s="1"/>
  <c r="X165" i="1"/>
  <c r="AA162" i="1"/>
  <c r="X161" i="1"/>
  <c r="AA158" i="1"/>
  <c r="X157" i="1"/>
  <c r="AA154" i="1"/>
  <c r="X153" i="1"/>
  <c r="AA150" i="1"/>
  <c r="X149" i="1"/>
  <c r="AA146" i="1"/>
  <c r="AA142" i="1"/>
  <c r="AA138" i="1"/>
  <c r="AA134" i="1"/>
  <c r="X127" i="1"/>
  <c r="X121" i="1"/>
  <c r="AA205" i="1"/>
  <c r="AA200" i="1"/>
  <c r="AA185" i="1"/>
  <c r="AA178" i="1"/>
  <c r="AA176" i="1"/>
  <c r="AA172" i="1"/>
  <c r="AA168" i="1"/>
  <c r="AA164" i="1"/>
  <c r="AA160" i="1"/>
  <c r="AA156" i="1"/>
  <c r="AA152" i="1"/>
  <c r="AA148" i="1"/>
  <c r="AA144" i="1"/>
  <c r="AA140" i="1"/>
  <c r="AA136" i="1"/>
  <c r="AA132" i="1"/>
  <c r="AA115" i="1"/>
  <c r="AA209" i="1"/>
  <c r="AA204" i="1"/>
  <c r="AA189" i="1"/>
  <c r="AA184" i="1"/>
  <c r="AA180" i="1"/>
  <c r="AA173" i="1"/>
  <c r="W173" i="1" s="1"/>
  <c r="AA169" i="1"/>
  <c r="AA165" i="1"/>
  <c r="W165" i="1" s="1"/>
  <c r="AA161" i="1"/>
  <c r="AA157" i="1"/>
  <c r="W157" i="1" s="1"/>
  <c r="AA153" i="1"/>
  <c r="AA149" i="1"/>
  <c r="W149" i="1" s="1"/>
  <c r="AA145" i="1"/>
  <c r="AA141" i="1"/>
  <c r="AA137" i="1"/>
  <c r="AA133" i="1"/>
  <c r="AA109" i="1"/>
  <c r="AA95" i="1"/>
  <c r="W95" i="1" s="1"/>
  <c r="AA94" i="1"/>
  <c r="AA88" i="1"/>
  <c r="AA112" i="1"/>
  <c r="AA86" i="1"/>
  <c r="AA14" i="1"/>
  <c r="AA71" i="1"/>
  <c r="AA67" i="1"/>
  <c r="AA64" i="1"/>
  <c r="AA60" i="1"/>
  <c r="X37" i="1"/>
  <c r="T19" i="1"/>
  <c r="AA110" i="1"/>
  <c r="AA107" i="1"/>
  <c r="W107" i="1" s="1"/>
  <c r="AA96" i="1"/>
  <c r="AA85" i="1"/>
  <c r="AA82" i="1"/>
  <c r="AA78" i="1"/>
  <c r="AA74" i="1"/>
  <c r="AA70" i="1"/>
  <c r="AA66" i="1"/>
  <c r="AA63" i="1"/>
  <c r="AA59" i="1"/>
  <c r="AA56" i="1"/>
  <c r="X39" i="1"/>
  <c r="X33" i="1"/>
  <c r="X111" i="1"/>
  <c r="X110" i="1"/>
  <c r="X102" i="1"/>
  <c r="X100" i="1"/>
  <c r="X214" i="1"/>
  <c r="X215" i="1"/>
  <c r="X213" i="1"/>
  <c r="X212" i="1"/>
  <c r="X211" i="1"/>
  <c r="X210" i="1"/>
  <c r="X209" i="1"/>
  <c r="X208" i="1"/>
  <c r="X207" i="1"/>
  <c r="X206" i="1"/>
  <c r="X205" i="1"/>
  <c r="X204" i="1"/>
  <c r="X203" i="1"/>
  <c r="X202" i="1"/>
  <c r="X201" i="1"/>
  <c r="X200" i="1"/>
  <c r="X199" i="1"/>
  <c r="X198" i="1"/>
  <c r="X197" i="1"/>
  <c r="X196" i="1"/>
  <c r="X195" i="1"/>
  <c r="X194" i="1"/>
  <c r="X193" i="1"/>
  <c r="X192" i="1"/>
  <c r="X191" i="1"/>
  <c r="X190" i="1"/>
  <c r="X189" i="1"/>
  <c r="X188" i="1"/>
  <c r="X187" i="1"/>
  <c r="X186" i="1"/>
  <c r="X185" i="1"/>
  <c r="X184" i="1"/>
  <c r="X175" i="1"/>
  <c r="X174" i="1"/>
  <c r="X116" i="1"/>
  <c r="X109" i="1"/>
  <c r="X108" i="1"/>
  <c r="U115" i="1"/>
  <c r="S115" i="1" s="1"/>
  <c r="X115" i="1"/>
  <c r="X114" i="1"/>
  <c r="X107" i="1"/>
  <c r="X106" i="1"/>
  <c r="X94" i="1"/>
  <c r="X86" i="1"/>
  <c r="X130" i="1"/>
  <c r="X128" i="1"/>
  <c r="X126" i="1"/>
  <c r="X124" i="1"/>
  <c r="X122" i="1"/>
  <c r="X120" i="1"/>
  <c r="X118" i="1"/>
  <c r="U113" i="1"/>
  <c r="S113" i="1" s="1"/>
  <c r="X113" i="1"/>
  <c r="X112" i="1"/>
  <c r="AA111" i="1"/>
  <c r="AA102" i="1"/>
  <c r="X92" i="1"/>
  <c r="X84" i="1"/>
  <c r="X98" i="1"/>
  <c r="X90" i="1"/>
  <c r="X104" i="1"/>
  <c r="X96" i="1"/>
  <c r="X88" i="1"/>
  <c r="X105" i="1"/>
  <c r="X103" i="1"/>
  <c r="X101" i="1"/>
  <c r="X99" i="1"/>
  <c r="X97" i="1"/>
  <c r="X95" i="1"/>
  <c r="X93" i="1"/>
  <c r="X91" i="1"/>
  <c r="X89" i="1"/>
  <c r="U87" i="1"/>
  <c r="S87" i="1" s="1"/>
  <c r="X87" i="1"/>
  <c r="X85" i="1"/>
  <c r="X83" i="1"/>
  <c r="X82" i="1"/>
  <c r="X81" i="1"/>
  <c r="X80" i="1"/>
  <c r="X79" i="1"/>
  <c r="X78" i="1"/>
  <c r="X77" i="1"/>
  <c r="X76" i="1"/>
  <c r="X75" i="1"/>
  <c r="X74" i="1"/>
  <c r="X73" i="1"/>
  <c r="X72" i="1"/>
  <c r="X61" i="1"/>
  <c r="X60" i="1"/>
  <c r="X59" i="1"/>
  <c r="X35" i="1"/>
  <c r="X31" i="1"/>
  <c r="X29" i="1"/>
  <c r="X27" i="1"/>
  <c r="T17" i="1"/>
  <c r="T16" i="1"/>
  <c r="T15" i="1"/>
  <c r="X15" i="1"/>
  <c r="T14" i="1"/>
  <c r="X53" i="1"/>
  <c r="X51" i="1"/>
  <c r="X38" i="1"/>
  <c r="X36" i="1"/>
  <c r="X34" i="1"/>
  <c r="X32" i="1"/>
  <c r="X30" i="1"/>
  <c r="U149" i="1" l="1"/>
  <c r="S149" i="1" s="1"/>
  <c r="U45" i="1"/>
  <c r="S45" i="1" s="1"/>
  <c r="U89" i="1"/>
  <c r="S89" i="1" s="1"/>
  <c r="U97" i="1"/>
  <c r="S97" i="1" s="1"/>
  <c r="U105" i="1"/>
  <c r="S105" i="1" s="1"/>
  <c r="U121" i="1"/>
  <c r="S121" i="1" s="1"/>
  <c r="U129" i="1"/>
  <c r="S129" i="1" s="1"/>
  <c r="U203" i="1"/>
  <c r="S203" i="1" s="1"/>
  <c r="U21" i="1"/>
  <c r="S21" i="1" s="1"/>
  <c r="U23" i="1"/>
  <c r="S23" i="1" s="1"/>
  <c r="U33" i="1"/>
  <c r="S33" i="1" s="1"/>
  <c r="U70" i="1"/>
  <c r="S70" i="1" s="1"/>
  <c r="U158" i="1"/>
  <c r="S158" i="1" s="1"/>
  <c r="U166" i="1"/>
  <c r="S166" i="1" s="1"/>
  <c r="U34" i="1"/>
  <c r="S34" i="1" s="1"/>
  <c r="U48" i="1"/>
  <c r="S48" i="1" s="1"/>
  <c r="U51" i="1"/>
  <c r="S51" i="1" s="1"/>
  <c r="U107" i="1"/>
  <c r="S107" i="1" s="1"/>
  <c r="W153" i="1"/>
  <c r="W169" i="1"/>
  <c r="W93" i="1"/>
  <c r="W31" i="1"/>
  <c r="W183" i="1"/>
  <c r="U53" i="1"/>
  <c r="S53" i="1" s="1"/>
  <c r="U157" i="1"/>
  <c r="S157" i="1" s="1"/>
  <c r="U173" i="1"/>
  <c r="S173" i="1" s="1"/>
  <c r="U39" i="1"/>
  <c r="S39" i="1" s="1"/>
  <c r="U122" i="1"/>
  <c r="S122" i="1" s="1"/>
  <c r="U55" i="1"/>
  <c r="S55" i="1" s="1"/>
  <c r="W70" i="1"/>
  <c r="W36" i="1"/>
  <c r="W103" i="1"/>
  <c r="W121" i="1"/>
  <c r="W24" i="1"/>
  <c r="W123" i="1"/>
  <c r="W130" i="1"/>
  <c r="W17" i="1"/>
  <c r="W127" i="1"/>
  <c r="W26" i="1"/>
  <c r="W105" i="1"/>
  <c r="W21" i="1"/>
  <c r="W101" i="1"/>
  <c r="W28" i="1"/>
  <c r="W32" i="1"/>
  <c r="W88" i="1"/>
  <c r="W99" i="1"/>
  <c r="W55" i="1"/>
  <c r="W43" i="1"/>
  <c r="W49" i="1"/>
  <c r="W85" i="1"/>
  <c r="W115" i="1"/>
  <c r="W96" i="1"/>
  <c r="W23" i="1"/>
  <c r="W122" i="1"/>
  <c r="W125" i="1"/>
  <c r="W34" i="1"/>
  <c r="W22" i="1"/>
  <c r="U196" i="1"/>
  <c r="S196" i="1" s="1"/>
  <c r="U29" i="1"/>
  <c r="S28" i="1" s="1"/>
  <c r="U126" i="1"/>
  <c r="S126" i="1" s="1"/>
  <c r="W110" i="1"/>
  <c r="U37" i="1"/>
  <c r="S37" i="1" s="1"/>
  <c r="U176" i="1"/>
  <c r="S176" i="1" s="1"/>
  <c r="U174" i="1"/>
  <c r="S174" i="1" s="1"/>
  <c r="U181" i="1"/>
  <c r="S181" i="1" s="1"/>
  <c r="W198" i="1"/>
  <c r="U76" i="1"/>
  <c r="S76" i="1" s="1"/>
  <c r="U180" i="1"/>
  <c r="S180" i="1" s="1"/>
  <c r="U124" i="1"/>
  <c r="S124" i="1" s="1"/>
  <c r="U60" i="1"/>
  <c r="S60" i="1" s="1"/>
  <c r="U67" i="1"/>
  <c r="S67" i="1" s="1"/>
  <c r="U75" i="1"/>
  <c r="S75" i="1" s="1"/>
  <c r="U205" i="1"/>
  <c r="S205" i="1" s="1"/>
  <c r="U145" i="1"/>
  <c r="S145" i="1" s="1"/>
  <c r="U186" i="1"/>
  <c r="S186" i="1" s="1"/>
  <c r="W58" i="1"/>
  <c r="U56" i="1"/>
  <c r="S56" i="1" s="1"/>
  <c r="U143" i="1"/>
  <c r="S143" i="1" s="1"/>
  <c r="U184" i="1"/>
  <c r="S184" i="1" s="1"/>
  <c r="U208" i="1"/>
  <c r="S208" i="1" s="1"/>
  <c r="U192" i="1"/>
  <c r="S192" i="1" s="1"/>
  <c r="U193" i="1"/>
  <c r="S193" i="1" s="1"/>
  <c r="U206" i="1"/>
  <c r="S206" i="1" s="1"/>
  <c r="U188" i="1"/>
  <c r="S188" i="1" s="1"/>
  <c r="U150" i="1"/>
  <c r="S150" i="1" s="1"/>
  <c r="U62" i="1"/>
  <c r="S62" i="1" s="1"/>
  <c r="U162" i="1"/>
  <c r="S162" i="1" s="1"/>
  <c r="U118" i="1"/>
  <c r="S118" i="1" s="1"/>
  <c r="U30" i="1"/>
  <c r="S30" i="1" s="1"/>
  <c r="U63" i="1"/>
  <c r="S63" i="1" s="1"/>
  <c r="U134" i="1"/>
  <c r="S134" i="1" s="1"/>
  <c r="U190" i="1"/>
  <c r="S190" i="1" s="1"/>
  <c r="U199" i="1"/>
  <c r="S199" i="1" s="1"/>
  <c r="U73" i="1"/>
  <c r="S73" i="1" s="1"/>
  <c r="U161" i="1"/>
  <c r="S161" i="1" s="1"/>
  <c r="U131" i="1"/>
  <c r="S131" i="1" s="1"/>
  <c r="W118" i="1"/>
  <c r="U214" i="1"/>
  <c r="S214" i="1" s="1"/>
  <c r="U74" i="1"/>
  <c r="S74" i="1" s="1"/>
  <c r="W37" i="1"/>
  <c r="U57" i="1"/>
  <c r="S57" i="1" s="1"/>
  <c r="U72" i="1"/>
  <c r="S72" i="1" s="1"/>
  <c r="U78" i="1"/>
  <c r="S78" i="1" s="1"/>
  <c r="U69" i="1"/>
  <c r="S69" i="1" s="1"/>
  <c r="W45" i="1"/>
  <c r="U91" i="1"/>
  <c r="S91" i="1" s="1"/>
  <c r="U99" i="1"/>
  <c r="S99" i="1" s="1"/>
  <c r="U88" i="1"/>
  <c r="S88" i="1" s="1"/>
  <c r="U169" i="1"/>
  <c r="S169" i="1" s="1"/>
  <c r="U64" i="1"/>
  <c r="S64" i="1" s="1"/>
  <c r="U71" i="1"/>
  <c r="S71" i="1" s="1"/>
  <c r="W80" i="1"/>
  <c r="U132" i="1"/>
  <c r="S132" i="1" s="1"/>
  <c r="U140" i="1"/>
  <c r="S140" i="1" s="1"/>
  <c r="U148" i="1"/>
  <c r="S148" i="1" s="1"/>
  <c r="U156" i="1"/>
  <c r="S156" i="1" s="1"/>
  <c r="U164" i="1"/>
  <c r="S164" i="1" s="1"/>
  <c r="U172" i="1"/>
  <c r="S172" i="1" s="1"/>
  <c r="U178" i="1"/>
  <c r="S178" i="1" s="1"/>
  <c r="U185" i="1"/>
  <c r="S185" i="1" s="1"/>
  <c r="U200" i="1"/>
  <c r="S200" i="1" s="1"/>
  <c r="U127" i="1"/>
  <c r="S127" i="1" s="1"/>
  <c r="U212" i="1"/>
  <c r="S212" i="1" s="1"/>
  <c r="U189" i="1"/>
  <c r="S189" i="1" s="1"/>
  <c r="W29" i="1"/>
  <c r="U54" i="1"/>
  <c r="S54" i="1" s="1"/>
  <c r="W38" i="1"/>
  <c r="U197" i="1"/>
  <c r="S197" i="1" s="1"/>
  <c r="U213" i="1"/>
  <c r="S213" i="1" s="1"/>
  <c r="U209" i="1"/>
  <c r="S209" i="1" s="1"/>
  <c r="U142" i="1"/>
  <c r="S142" i="1" s="1"/>
  <c r="U210" i="1"/>
  <c r="S210" i="1" s="1"/>
  <c r="U81" i="1"/>
  <c r="S81" i="1" s="1"/>
  <c r="U135" i="1"/>
  <c r="S135" i="1" s="1"/>
  <c r="U187" i="1"/>
  <c r="S187" i="1" s="1"/>
  <c r="W30" i="1"/>
  <c r="W89" i="1"/>
  <c r="W203" i="1"/>
  <c r="W129" i="1"/>
  <c r="W39" i="1"/>
  <c r="W48" i="1"/>
  <c r="W74" i="1"/>
  <c r="U82" i="1"/>
  <c r="S82" i="1" s="1"/>
  <c r="W211" i="1"/>
  <c r="U177" i="1"/>
  <c r="S177" i="1" s="1"/>
  <c r="U201" i="1"/>
  <c r="S201" i="1" s="1"/>
  <c r="U117" i="1"/>
  <c r="S117" i="1" s="1"/>
  <c r="W97" i="1"/>
  <c r="U179" i="1"/>
  <c r="S179" i="1" s="1"/>
  <c r="U204" i="1"/>
  <c r="S204" i="1" s="1"/>
  <c r="U146" i="1"/>
  <c r="S146" i="1" s="1"/>
  <c r="U175" i="1"/>
  <c r="S175" i="1" s="1"/>
  <c r="U66" i="1"/>
  <c r="S66" i="1" s="1"/>
  <c r="W91" i="1"/>
  <c r="W124" i="1"/>
  <c r="W126" i="1"/>
  <c r="U183" i="1"/>
  <c r="S183" i="1" s="1"/>
  <c r="U49" i="1"/>
  <c r="S49" i="1" s="1"/>
  <c r="W25" i="1"/>
  <c r="W50" i="1"/>
  <c r="W42" i="1"/>
  <c r="U43" i="1"/>
  <c r="S43" i="1" s="1"/>
  <c r="W16" i="1"/>
  <c r="U170" i="1"/>
  <c r="S170" i="1" s="1"/>
  <c r="W19" i="1"/>
  <c r="W78" i="1"/>
  <c r="W57" i="1"/>
  <c r="W69" i="1"/>
  <c r="U59" i="1"/>
  <c r="S59" i="1" s="1"/>
  <c r="U46" i="1"/>
  <c r="S46" i="1" s="1"/>
  <c r="W202" i="1"/>
  <c r="U141" i="1"/>
  <c r="S141" i="1" s="1"/>
  <c r="W35" i="1"/>
  <c r="U50" i="1"/>
  <c r="S50" i="1" s="1"/>
  <c r="W182" i="1"/>
  <c r="W163" i="1"/>
  <c r="W171" i="1"/>
  <c r="W112" i="1"/>
  <c r="W40" i="1"/>
  <c r="W131" i="1"/>
  <c r="W135" i="1"/>
  <c r="W62" i="1"/>
  <c r="W41" i="1"/>
  <c r="W44" i="1"/>
  <c r="W108" i="1"/>
  <c r="U163" i="1"/>
  <c r="S163" i="1" s="1"/>
  <c r="W83" i="1"/>
  <c r="U44" i="1"/>
  <c r="S44" i="1" s="1"/>
  <c r="W133" i="1"/>
  <c r="W141" i="1"/>
  <c r="W180" i="1"/>
  <c r="W167" i="1"/>
  <c r="W207" i="1"/>
  <c r="W138" i="1"/>
  <c r="W68" i="1"/>
  <c r="W77" i="1"/>
  <c r="W214" i="1"/>
  <c r="W47" i="1"/>
  <c r="W46" i="1"/>
  <c r="W14" i="1"/>
  <c r="W155" i="1"/>
  <c r="W215" i="1"/>
  <c r="W142" i="1"/>
  <c r="W61" i="1"/>
  <c r="U137" i="1"/>
  <c r="S137" i="1" s="1"/>
  <c r="W143" i="1"/>
  <c r="W59" i="1"/>
  <c r="U133" i="1"/>
  <c r="S133" i="1" s="1"/>
  <c r="W158" i="1"/>
  <c r="U27" i="1"/>
  <c r="S27" i="1" s="1"/>
  <c r="W154" i="1"/>
  <c r="W170" i="1"/>
  <c r="W109" i="1"/>
  <c r="W184" i="1"/>
  <c r="U151" i="1"/>
  <c r="S151" i="1" s="1"/>
  <c r="W150" i="1"/>
  <c r="W179" i="1"/>
  <c r="W193" i="1"/>
  <c r="W54" i="1"/>
  <c r="W192" i="1"/>
  <c r="U68" i="1"/>
  <c r="S68" i="1" s="1"/>
  <c r="W161" i="1"/>
  <c r="W189" i="1"/>
  <c r="U65" i="1"/>
  <c r="S65" i="1" s="1"/>
  <c r="W208" i="1"/>
  <c r="U47" i="1"/>
  <c r="S47" i="1" s="1"/>
  <c r="U19" i="1"/>
  <c r="S19" i="1" s="1"/>
  <c r="W73" i="1"/>
  <c r="W190" i="1"/>
  <c r="W212" i="1"/>
  <c r="W76" i="1"/>
  <c r="U154" i="1"/>
  <c r="S154" i="1" s="1"/>
  <c r="W177" i="1"/>
  <c r="U52" i="1"/>
  <c r="S52" i="1" s="1"/>
  <c r="U25" i="1"/>
  <c r="S25" i="1" s="1"/>
  <c r="W195" i="1"/>
  <c r="W147" i="1"/>
  <c r="W134" i="1"/>
  <c r="W188" i="1"/>
  <c r="W197" i="1"/>
  <c r="W52" i="1"/>
  <c r="U147" i="1"/>
  <c r="S147" i="1" s="1"/>
  <c r="W209" i="1"/>
  <c r="W159" i="1"/>
  <c r="U198" i="1"/>
  <c r="S198" i="1" s="1"/>
  <c r="W146" i="1"/>
  <c r="W213" i="1"/>
  <c r="W187" i="1"/>
  <c r="W27" i="1"/>
  <c r="W100" i="1"/>
  <c r="W56" i="1"/>
  <c r="W66" i="1"/>
  <c r="W79" i="1"/>
  <c r="U58" i="1"/>
  <c r="S58" i="1" s="1"/>
  <c r="W175" i="1"/>
  <c r="W186" i="1"/>
  <c r="U171" i="1"/>
  <c r="S171" i="1" s="1"/>
  <c r="U77" i="1"/>
  <c r="S77" i="1" s="1"/>
  <c r="U155" i="1"/>
  <c r="S155" i="1" s="1"/>
  <c r="W139" i="1"/>
  <c r="W151" i="1"/>
  <c r="W206" i="1"/>
  <c r="W140" i="1"/>
  <c r="U40" i="1"/>
  <c r="S40" i="1" s="1"/>
  <c r="U139" i="1"/>
  <c r="S139" i="1" s="1"/>
  <c r="U167" i="1"/>
  <c r="S167" i="1" s="1"/>
  <c r="U61" i="1"/>
  <c r="S61" i="1" s="1"/>
  <c r="W205" i="1"/>
  <c r="U215" i="1"/>
  <c r="S215" i="1" s="1"/>
  <c r="W162" i="1"/>
  <c r="W65" i="1"/>
  <c r="U42" i="1"/>
  <c r="S42" i="1" s="1"/>
  <c r="U159" i="1"/>
  <c r="S159" i="1" s="1"/>
  <c r="W204" i="1"/>
  <c r="W200" i="1"/>
  <c r="W210" i="1"/>
  <c r="W81" i="1"/>
  <c r="U79" i="1"/>
  <c r="S79" i="1" s="1"/>
  <c r="W63" i="1"/>
  <c r="W199" i="1"/>
  <c r="W71" i="1"/>
  <c r="W144" i="1"/>
  <c r="W160" i="1"/>
  <c r="W168" i="1"/>
  <c r="W176" i="1"/>
  <c r="W111" i="1"/>
  <c r="U136" i="1"/>
  <c r="S136" i="1" s="1"/>
  <c r="U144" i="1"/>
  <c r="S144" i="1" s="1"/>
  <c r="U152" i="1"/>
  <c r="S152" i="1" s="1"/>
  <c r="U160" i="1"/>
  <c r="S160" i="1" s="1"/>
  <c r="U168" i="1"/>
  <c r="S168" i="1" s="1"/>
  <c r="U80" i="1"/>
  <c r="S80" i="1" s="1"/>
  <c r="W60" i="1"/>
  <c r="W75" i="1"/>
  <c r="W137" i="1"/>
  <c r="W145" i="1"/>
  <c r="W132" i="1"/>
  <c r="U182" i="1"/>
  <c r="S182" i="1" s="1"/>
  <c r="U211" i="1"/>
  <c r="S211" i="1" s="1"/>
  <c r="W181" i="1"/>
  <c r="W201" i="1"/>
  <c r="U195" i="1"/>
  <c r="S195" i="1" s="1"/>
  <c r="W152" i="1"/>
  <c r="U194" i="1"/>
  <c r="S194" i="1" s="1"/>
  <c r="U83" i="1"/>
  <c r="S83" i="1" s="1"/>
  <c r="W64" i="1"/>
  <c r="W136" i="1"/>
  <c r="W148" i="1"/>
  <c r="W156" i="1"/>
  <c r="W164" i="1"/>
  <c r="W172" i="1"/>
  <c r="W178" i="1"/>
  <c r="W185" i="1"/>
  <c r="U202" i="1"/>
  <c r="S202" i="1" s="1"/>
  <c r="W174" i="1"/>
  <c r="W196" i="1"/>
  <c r="W194" i="1"/>
  <c r="W82" i="1"/>
  <c r="W67" i="1"/>
  <c r="U191" i="1"/>
  <c r="S191" i="1" s="1"/>
  <c r="U207" i="1"/>
  <c r="S207" i="1" s="1"/>
  <c r="W191" i="1"/>
  <c r="U90" i="1"/>
  <c r="S90" i="1" s="1"/>
  <c r="U14" i="1"/>
  <c r="S14" i="1" s="1"/>
  <c r="U15" i="1"/>
  <c r="S15" i="1" s="1"/>
  <c r="U114" i="1"/>
  <c r="S114" i="1" s="1"/>
  <c r="W114" i="1"/>
  <c r="U111" i="1"/>
  <c r="S111" i="1" s="1"/>
  <c r="U98" i="1"/>
  <c r="S98" i="1" s="1"/>
  <c r="U84" i="1"/>
  <c r="S84" i="1" s="1"/>
  <c r="U92" i="1"/>
  <c r="S92" i="1" s="1"/>
  <c r="W90" i="1"/>
  <c r="W98" i="1"/>
  <c r="U112" i="1"/>
  <c r="S112" i="1" s="1"/>
  <c r="U86" i="1"/>
  <c r="S86" i="1" s="1"/>
  <c r="W84" i="1"/>
  <c r="W92" i="1"/>
  <c r="U102" i="1"/>
  <c r="S102" i="1" s="1"/>
  <c r="U116" i="1"/>
  <c r="S116" i="1" s="1"/>
  <c r="U16" i="1"/>
  <c r="S16" i="1" s="1"/>
  <c r="U109" i="1"/>
  <c r="S109" i="1" s="1"/>
  <c r="U108" i="1"/>
  <c r="S108" i="1" s="1"/>
  <c r="U110" i="1"/>
  <c r="S110" i="1" s="1"/>
  <c r="U17" i="1"/>
  <c r="S17" i="1" s="1"/>
  <c r="W102" i="1"/>
  <c r="U94" i="1"/>
  <c r="S94" i="1" s="1"/>
  <c r="U106" i="1"/>
  <c r="S106" i="1" s="1"/>
  <c r="W86" i="1"/>
  <c r="W94" i="1"/>
  <c r="W106" i="1"/>
  <c r="W15" i="1"/>
  <c r="U100" i="1"/>
  <c r="S100" i="1" s="1"/>
  <c r="W116" i="1"/>
  <c r="L19" i="3" l="1"/>
  <c r="S19" i="3"/>
  <c r="R19" i="3" s="1"/>
  <c r="T19" i="3"/>
  <c r="U19" i="3"/>
  <c r="V19" i="3"/>
  <c r="Q19" i="3"/>
  <c r="P19" i="3"/>
  <c r="K13" i="1" l="1"/>
  <c r="AH13" i="1" l="1"/>
  <c r="E3" i="6" l="1"/>
  <c r="F3" i="6"/>
  <c r="G3" i="6"/>
  <c r="H3" i="6"/>
  <c r="E4" i="6"/>
  <c r="F4" i="6"/>
  <c r="G4" i="6"/>
  <c r="H4" i="6"/>
  <c r="E5" i="6"/>
  <c r="F5" i="6"/>
  <c r="G5" i="6"/>
  <c r="H5" i="6"/>
  <c r="E6" i="6"/>
  <c r="F6" i="6"/>
  <c r="G6" i="6"/>
  <c r="H6" i="6"/>
  <c r="E7" i="6"/>
  <c r="F7" i="6"/>
  <c r="G7" i="6"/>
  <c r="H7" i="6"/>
  <c r="E8" i="6"/>
  <c r="F8" i="6"/>
  <c r="G8" i="6"/>
  <c r="H8" i="6"/>
  <c r="X6" i="1" l="1"/>
  <c r="W6" i="1"/>
  <c r="V6" i="1"/>
  <c r="S6" i="1"/>
  <c r="R2" i="1"/>
  <c r="I2" i="1"/>
  <c r="O6" i="1"/>
  <c r="N6" i="1"/>
  <c r="M6" i="1"/>
  <c r="J6" i="1"/>
  <c r="P3" i="5" l="1"/>
  <c r="V13" i="1" l="1"/>
  <c r="AF13" i="1" l="1"/>
  <c r="AE13" i="1" l="1"/>
  <c r="M18" i="5" l="1"/>
  <c r="AD13" i="1" l="1"/>
  <c r="X14" i="1" l="1"/>
  <c r="AG13" i="1"/>
  <c r="X13" i="1"/>
  <c r="T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AC13" i="1" l="1"/>
  <c r="AB13" i="1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L13" i="1" l="1"/>
  <c r="M13" i="1"/>
  <c r="N13" i="1" s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Y13" i="1"/>
  <c r="Z13" i="1"/>
  <c r="S9" i="1" l="1"/>
  <c r="U13" i="1"/>
  <c r="S13" i="1" s="1"/>
  <c r="J9" i="1"/>
  <c r="AA13" i="1"/>
  <c r="W13" i="1" s="1"/>
  <c r="S11" i="1" l="1"/>
  <c r="A11" i="1"/>
  <c r="A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<sst xmlns="http://schemas.openxmlformats.org/spreadsheetml/2006/main" count="2314" uniqueCount="666">
  <si>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</si>
  <si>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</si>
  <si>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</si>
  <si>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</si>
  <si>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</si>
  <si>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</si>
  <si>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</si>
  <si>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</si>
  <si>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</si>
  <si>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</si>
  <si>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</si>
  <si>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</si>
  <si>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</si>
  <si>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</si>
  <si>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</si>
  <si>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</si>
  <si>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</si>
  <si>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</si>
  <si>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</si>
  <si>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</si>
  <si>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</si>
  <si>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</si>
  <si>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</si>
  <si>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</si>
  <si>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</si>
  <si>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</si>
  <si>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</si>
  <si>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</si>
  <si>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</si>
  <si>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</si>
  <si>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</si>
  <si>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</si>
  <si>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</si>
  <si>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</si>
  <si>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</si>
  <si>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</si>
  <si>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</si>
  <si>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</si>
  <si>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</si>
  <si>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</si>
  <si>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</si>
  <si>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</si>
  <si>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</si>
  <si>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</si>
  <si>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</si>
  <si>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</si>
  <si>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</si>
  <si>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</si>
  <si>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</si>
  <si>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</si>
  <si>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</si>
  <si>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</si>
  <si>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</si>
  <si>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</si>
  <si>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</si>
  <si>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</si>
  <si>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</si>
  <si>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</si>
  <si>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</si>
  <si>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</si>
  <si>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</si>
  <si>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204:460</t>
  </si>
  <si>
    <t>204:232977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</si>
  <si>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</si>
  <si>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</si>
  <si>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</si>
  <si>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</si>
  <si>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</si>
  <si>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</si>
  <si>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</si>
  <si>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</si>
  <si>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</si>
  <si>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</si>
  <si>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</si>
  <si>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</si>
  <si>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</si>
  <si>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</si>
  <si>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</si>
  <si>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</si>
  <si>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</si>
  <si>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</si>
  <si>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</si>
  <si>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</si>
  <si>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</si>
  <si>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</si>
  <si>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</si>
  <si>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</si>
  <si>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</si>
  <si>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Y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</si>
  <si>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</si>
  <si>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</si>
  <si>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</si>
  <si>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</si>
  <si>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</si>
  <si>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</si>
  <si>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</si>
  <si>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rtdc.l.rtdc.4027:itc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</si>
  <si>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</si>
  <si>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</si>
  <si>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</si>
  <si>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</si>
  <si>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</si>
  <si>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</si>
  <si>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</si>
  <si>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</si>
  <si>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</si>
  <si>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</si>
  <si>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</si>
  <si>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</si>
  <si>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</si>
  <si>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</si>
  <si>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rtdc.l.rtdc.4015:itc</t>
  </si>
  <si>
    <t>EC or NWGL</t>
  </si>
  <si>
    <t>204:464</t>
  </si>
  <si>
    <t>204:462</t>
  </si>
  <si>
    <t>Omit due to TWC &lt; 1</t>
  </si>
  <si>
    <t>Reactive Enforcement (3)</t>
  </si>
  <si>
    <t>204:233293</t>
  </si>
  <si>
    <t>rtdc.l.rtdc.4014:itc</t>
  </si>
  <si>
    <t>DE.1.0.7.0</t>
  </si>
  <si>
    <t>rtdc.l.rtdc.4031:itc</t>
  </si>
  <si>
    <t>rtdc.l.rtdc.4032:itc</t>
  </si>
  <si>
    <t>204:232993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</si>
  <si>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</si>
  <si>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</si>
  <si>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</si>
  <si>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</si>
  <si>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</si>
  <si>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</si>
  <si>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</si>
  <si>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</si>
  <si>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</si>
  <si>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204:232998</t>
  </si>
  <si>
    <t>204:455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</si>
  <si>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</si>
  <si>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</si>
  <si>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</si>
  <si>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</si>
  <si>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</si>
  <si>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</si>
  <si>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204:147</t>
  </si>
  <si>
    <t>204:453</t>
  </si>
  <si>
    <t>204:233289</t>
  </si>
  <si>
    <t>204:232994</t>
  </si>
  <si>
    <t>204:449</t>
  </si>
  <si>
    <t>204:149</t>
  </si>
  <si>
    <t>204:145</t>
  </si>
  <si>
    <t>204:232996</t>
  </si>
  <si>
    <t>204:233312</t>
  </si>
  <si>
    <t>204:232959</t>
  </si>
  <si>
    <t>204:488</t>
  </si>
  <si>
    <t>ISHMAEL</t>
  </si>
  <si>
    <t>204:232983</t>
  </si>
  <si>
    <t>204:469</t>
  </si>
  <si>
    <t>204:458</t>
  </si>
  <si>
    <t>204:139</t>
  </si>
  <si>
    <t>204:232978</t>
  </si>
  <si>
    <t>204:467</t>
  </si>
  <si>
    <t>LEVIN</t>
  </si>
  <si>
    <t>204:163</t>
  </si>
  <si>
    <t>204:457</t>
  </si>
  <si>
    <t>204:233310</t>
  </si>
  <si>
    <t>204:138</t>
  </si>
  <si>
    <t>204:233320</t>
  </si>
  <si>
    <t>300:58615</t>
  </si>
  <si>
    <t>STAMBAUGH</t>
  </si>
  <si>
    <t>rtdc.l.rtdc.4037:itc</t>
  </si>
  <si>
    <t xml:space="preserve">baselines for EC: </t>
  </si>
  <si>
    <t>baselines for NWES:</t>
  </si>
  <si>
    <t>M - F = 47 trips</t>
  </si>
  <si>
    <t>Sat - Sun = 33 Trips</t>
  </si>
  <si>
    <t>204:233300</t>
  </si>
  <si>
    <t>204:172</t>
  </si>
  <si>
    <t>204:233280</t>
  </si>
  <si>
    <t>204:466</t>
  </si>
  <si>
    <t>204:160</t>
  </si>
  <si>
    <t>204:232986</t>
  </si>
  <si>
    <t>204:442</t>
  </si>
  <si>
    <t>204:165</t>
  </si>
  <si>
    <t>204:444</t>
  </si>
  <si>
    <t>rtdc.l.rtdc.4028:itc</t>
  </si>
  <si>
    <t>rtdc.l.rtdc.4042:itc</t>
  </si>
  <si>
    <t>rtdc.l.rtdc.4021:itc</t>
  </si>
  <si>
    <t>rtdc.l.rtdc.4041:itc</t>
  </si>
  <si>
    <t>MALAVE</t>
  </si>
  <si>
    <t>YORK</t>
  </si>
  <si>
    <t>rtdc.l.rtdc.4038:itc</t>
  </si>
  <si>
    <t>SHOOK</t>
  </si>
  <si>
    <t>204:232985</t>
  </si>
  <si>
    <t>204:150</t>
  </si>
  <si>
    <t>204:233001</t>
  </si>
  <si>
    <t>204:156</t>
  </si>
  <si>
    <t>204:233297</t>
  </si>
  <si>
    <t>204:232981</t>
  </si>
  <si>
    <t>204:451</t>
  </si>
  <si>
    <t>204:233291</t>
  </si>
  <si>
    <t>204:154</t>
  </si>
  <si>
    <t>204:233303</t>
  </si>
  <si>
    <t>204:232963</t>
  </si>
  <si>
    <t>204:233304</t>
  </si>
  <si>
    <t>204:232965</t>
  </si>
  <si>
    <t>204:477</t>
  </si>
  <si>
    <t>204:232976</t>
  </si>
  <si>
    <t>204:233013</t>
  </si>
  <si>
    <t>204:233010</t>
  </si>
  <si>
    <t>204:438</t>
  </si>
  <si>
    <t>230-12</t>
  </si>
  <si>
    <t>231-12</t>
  </si>
  <si>
    <t>232-12</t>
  </si>
  <si>
    <t>233-12</t>
  </si>
  <si>
    <t>234-12</t>
  </si>
  <si>
    <t>235-12</t>
  </si>
  <si>
    <t>236-12</t>
  </si>
  <si>
    <t>237-12</t>
  </si>
  <si>
    <t>238-12</t>
  </si>
  <si>
    <t>239-12</t>
  </si>
  <si>
    <t>204:478</t>
  </si>
  <si>
    <t>240-12</t>
  </si>
  <si>
    <t>241-12</t>
  </si>
  <si>
    <t>242-12</t>
  </si>
  <si>
    <t>243-12</t>
  </si>
  <si>
    <t>244-12</t>
  </si>
  <si>
    <t>245-12</t>
  </si>
  <si>
    <t>246-12</t>
  </si>
  <si>
    <t>300:23306</t>
  </si>
  <si>
    <t>309-12</t>
  </si>
  <si>
    <t>311-12</t>
  </si>
  <si>
    <t>315-12</t>
  </si>
  <si>
    <t>64-12</t>
  </si>
  <si>
    <t>844-12</t>
  </si>
  <si>
    <t>847-12</t>
  </si>
  <si>
    <t>908-12</t>
  </si>
  <si>
    <t>rtdc.l.rtdc.4008:itc</t>
  </si>
  <si>
    <t>rtdc.l.rtdc.4020:itc</t>
  </si>
  <si>
    <t>SWITCH UNKNOWN</t>
  </si>
  <si>
    <t>Track device (7)</t>
  </si>
  <si>
    <t>rtdc.l.rtdc.4019:itc</t>
  </si>
  <si>
    <t>rtdc.l.rtdc.4007:itc</t>
  </si>
  <si>
    <t>DAVIS</t>
  </si>
  <si>
    <t>STEWART</t>
  </si>
  <si>
    <t>MAYBERRY</t>
  </si>
  <si>
    <t>NELSON</t>
  </si>
  <si>
    <t>YANAI</t>
  </si>
  <si>
    <t>rtdc.l.rtdc.4022:itc</t>
  </si>
  <si>
    <t>HOMIK</t>
  </si>
  <si>
    <t>313-12</t>
  </si>
  <si>
    <t>204:129</t>
  </si>
  <si>
    <t>204:233288</t>
  </si>
  <si>
    <t>204:233295</t>
  </si>
  <si>
    <t>204:232982</t>
  </si>
  <si>
    <t>204:233315</t>
  </si>
  <si>
    <t>204:232984</t>
  </si>
  <si>
    <t>204:127</t>
  </si>
  <si>
    <t>204:446</t>
  </si>
  <si>
    <t>204:426</t>
  </si>
  <si>
    <t>204:167</t>
  </si>
  <si>
    <t>204:233308</t>
  </si>
  <si>
    <t>204:233004</t>
  </si>
  <si>
    <t>204:132</t>
  </si>
  <si>
    <t>204:152</t>
  </si>
  <si>
    <t>300:58638</t>
  </si>
  <si>
    <t>300:58621</t>
  </si>
  <si>
    <t>204:748</t>
  </si>
  <si>
    <t>204:701</t>
  </si>
  <si>
    <t>204:233341</t>
  </si>
  <si>
    <t>204:480</t>
  </si>
  <si>
    <t>204:233327</t>
  </si>
  <si>
    <t>204:475</t>
  </si>
  <si>
    <t>204:233305</t>
  </si>
  <si>
    <t>300:23301</t>
  </si>
  <si>
    <t>rtdc.l.rtdc.4044:itc</t>
  </si>
  <si>
    <t>rtdc.l.rtdc.4011:itc</t>
  </si>
  <si>
    <t>rtdc.l.rtdc.4043:itc</t>
  </si>
  <si>
    <t>GRADE CROSSING</t>
  </si>
  <si>
    <t>Bulletin (2)</t>
  </si>
  <si>
    <t>rtdc.l.rtdc.4009:itc</t>
  </si>
  <si>
    <t>ACKERMAN</t>
  </si>
  <si>
    <t>STORY</t>
  </si>
  <si>
    <t>rtdc.l.rtdc.4010:itc</t>
  </si>
  <si>
    <t>BARTLETT</t>
  </si>
  <si>
    <t>BRUDER</t>
  </si>
  <si>
    <t>NEWELL</t>
  </si>
  <si>
    <t>204:232650</t>
  </si>
  <si>
    <t>204:232987</t>
  </si>
  <si>
    <t>204:232971</t>
  </si>
  <si>
    <t>204:232969</t>
  </si>
  <si>
    <t>204:232989</t>
  </si>
  <si>
    <t>204:141</t>
  </si>
  <si>
    <t>204:233286</t>
  </si>
  <si>
    <t>204:161</t>
  </si>
  <si>
    <t>204:178</t>
  </si>
  <si>
    <t>204:134</t>
  </si>
  <si>
    <t>204:482</t>
  </si>
  <si>
    <t>204:233368</t>
  </si>
  <si>
    <t>204:233309</t>
  </si>
  <si>
    <t>204:663</t>
  </si>
  <si>
    <t>204:685</t>
  </si>
  <si>
    <t>300:58611</t>
  </si>
  <si>
    <t>204:687</t>
  </si>
  <si>
    <t>300:58928</t>
  </si>
  <si>
    <t>300:58924</t>
  </si>
  <si>
    <t>204:946</t>
  </si>
  <si>
    <t>300:58929</t>
  </si>
  <si>
    <t>204:810</t>
  </si>
  <si>
    <t>204:666</t>
  </si>
  <si>
    <t>204:427</t>
  </si>
  <si>
    <t>204:233030</t>
  </si>
  <si>
    <t>204:473</t>
  </si>
  <si>
    <t>204:233325</t>
  </si>
  <si>
    <t>204:233026</t>
  </si>
  <si>
    <t>204:447</t>
  </si>
  <si>
    <t>204:233311</t>
  </si>
  <si>
    <t>204:233363</t>
  </si>
  <si>
    <t>204:233007</t>
  </si>
  <si>
    <t>204:233028</t>
  </si>
  <si>
    <t>204:233278</t>
  </si>
  <si>
    <t>204:334</t>
  </si>
  <si>
    <t>204:233324</t>
  </si>
  <si>
    <t>244-14</t>
  </si>
  <si>
    <t>311-14</t>
  </si>
  <si>
    <t>300:23302</t>
  </si>
  <si>
    <t>315-14</t>
  </si>
  <si>
    <t>rtdc.l.rtdc.4025:itc</t>
  </si>
  <si>
    <t>rtdc.l.rtdc.4016:itc</t>
  </si>
  <si>
    <t>rtdc.l.rtdc.4026:itc</t>
  </si>
  <si>
    <t>STARKS</t>
  </si>
  <si>
    <t>YOUNG</t>
  </si>
  <si>
    <t>COOPER</t>
  </si>
  <si>
    <t>313-14</t>
  </si>
  <si>
    <t>101-15</t>
  </si>
  <si>
    <t>204:797</t>
  </si>
  <si>
    <t>102-15</t>
  </si>
  <si>
    <t>103-15</t>
  </si>
  <si>
    <t>104-15</t>
  </si>
  <si>
    <t>204:232729</t>
  </si>
  <si>
    <t>105-15</t>
  </si>
  <si>
    <t>204:673</t>
  </si>
  <si>
    <t>106-15</t>
  </si>
  <si>
    <t>204:232654</t>
  </si>
  <si>
    <t>107-15</t>
  </si>
  <si>
    <t>108-15</t>
  </si>
  <si>
    <t>109-15</t>
  </si>
  <si>
    <t>110-15</t>
  </si>
  <si>
    <t>111-15</t>
  </si>
  <si>
    <t>204:812</t>
  </si>
  <si>
    <t>112-15</t>
  </si>
  <si>
    <t>113-15</t>
  </si>
  <si>
    <t>114-15</t>
  </si>
  <si>
    <t>115-15</t>
  </si>
  <si>
    <t>116-15</t>
  </si>
  <si>
    <t>204:232964</t>
  </si>
  <si>
    <t>204:67645</t>
  </si>
  <si>
    <t>204:30057</t>
  </si>
  <si>
    <t>117-15</t>
  </si>
  <si>
    <t>204:489</t>
  </si>
  <si>
    <t>118-15</t>
  </si>
  <si>
    <t>204:232975</t>
  </si>
  <si>
    <t>119-15</t>
  </si>
  <si>
    <t>204:737</t>
  </si>
  <si>
    <t>120-15</t>
  </si>
  <si>
    <t>121-15</t>
  </si>
  <si>
    <t>122-15</t>
  </si>
  <si>
    <t>204:233017</t>
  </si>
  <si>
    <t>123-15</t>
  </si>
  <si>
    <t>124-15</t>
  </si>
  <si>
    <t>125-15</t>
  </si>
  <si>
    <t>126-15</t>
  </si>
  <si>
    <t>127-15</t>
  </si>
  <si>
    <t>128-15</t>
  </si>
  <si>
    <t>204:232972</t>
  </si>
  <si>
    <t>129-15</t>
  </si>
  <si>
    <t>204:19142</t>
  </si>
  <si>
    <t>130-15</t>
  </si>
  <si>
    <t>131-15</t>
  </si>
  <si>
    <t>204:233238</t>
  </si>
  <si>
    <t>132-15</t>
  </si>
  <si>
    <t>204:232955</t>
  </si>
  <si>
    <t>133-15</t>
  </si>
  <si>
    <t>134-15</t>
  </si>
  <si>
    <t>135-15</t>
  </si>
  <si>
    <t>204:233338</t>
  </si>
  <si>
    <t>136-15</t>
  </si>
  <si>
    <t>137-15</t>
  </si>
  <si>
    <t>138-15</t>
  </si>
  <si>
    <t>139-15</t>
  </si>
  <si>
    <t>140-15</t>
  </si>
  <si>
    <t>141-15</t>
  </si>
  <si>
    <t>142-15</t>
  </si>
  <si>
    <t>143-15</t>
  </si>
  <si>
    <t>204:233263</t>
  </si>
  <si>
    <t>144-15</t>
  </si>
  <si>
    <t>204:232966</t>
  </si>
  <si>
    <t>145-15</t>
  </si>
  <si>
    <t>204:233334</t>
  </si>
  <si>
    <t>146-15</t>
  </si>
  <si>
    <t>204:233021</t>
  </si>
  <si>
    <t>147-15</t>
  </si>
  <si>
    <t>148-15</t>
  </si>
  <si>
    <t>204:118</t>
  </si>
  <si>
    <t>149-15</t>
  </si>
  <si>
    <t>150-15</t>
  </si>
  <si>
    <t>151-15</t>
  </si>
  <si>
    <t>152-15</t>
  </si>
  <si>
    <t>153-15</t>
  </si>
  <si>
    <t>154-15</t>
  </si>
  <si>
    <t>155-15</t>
  </si>
  <si>
    <t>156-15</t>
  </si>
  <si>
    <t>157-15</t>
  </si>
  <si>
    <t>158-15</t>
  </si>
  <si>
    <t>159-15</t>
  </si>
  <si>
    <t>204:431</t>
  </si>
  <si>
    <t>160-15</t>
  </si>
  <si>
    <t>161-15</t>
  </si>
  <si>
    <t>204:416</t>
  </si>
  <si>
    <t>162-15</t>
  </si>
  <si>
    <t>204:183</t>
  </si>
  <si>
    <t>163-15</t>
  </si>
  <si>
    <t>204:233344</t>
  </si>
  <si>
    <t>164-15</t>
  </si>
  <si>
    <t>165-15</t>
  </si>
  <si>
    <t>204:233253</t>
  </si>
  <si>
    <t>166-15</t>
  </si>
  <si>
    <t>167-15</t>
  </si>
  <si>
    <t>168-15</t>
  </si>
  <si>
    <t>169-15</t>
  </si>
  <si>
    <t>170-15</t>
  </si>
  <si>
    <t>171-15</t>
  </si>
  <si>
    <t>172-15</t>
  </si>
  <si>
    <t>204:233060</t>
  </si>
  <si>
    <t>173-15</t>
  </si>
  <si>
    <t>204:233264</t>
  </si>
  <si>
    <t>174-15</t>
  </si>
  <si>
    <t>204:191</t>
  </si>
  <si>
    <t>175-15</t>
  </si>
  <si>
    <t>204:486</t>
  </si>
  <si>
    <t>176-15</t>
  </si>
  <si>
    <t>177-15</t>
  </si>
  <si>
    <t>178-15</t>
  </si>
  <si>
    <t>179-15</t>
  </si>
  <si>
    <t>180-15</t>
  </si>
  <si>
    <t>181-15</t>
  </si>
  <si>
    <t>182-15</t>
  </si>
  <si>
    <t>183-15</t>
  </si>
  <si>
    <t>184-15</t>
  </si>
  <si>
    <t>204:232974</t>
  </si>
  <si>
    <t>185-15</t>
  </si>
  <si>
    <t>186-15</t>
  </si>
  <si>
    <t>187-15</t>
  </si>
  <si>
    <t>188-15</t>
  </si>
  <si>
    <t>189-15</t>
  </si>
  <si>
    <t>190-15</t>
  </si>
  <si>
    <t>204:232988</t>
  </si>
  <si>
    <t>191-15</t>
  </si>
  <si>
    <t>192-15</t>
  </si>
  <si>
    <t>193-15</t>
  </si>
  <si>
    <t>194-15</t>
  </si>
  <si>
    <t>195-15</t>
  </si>
  <si>
    <t>196-15</t>
  </si>
  <si>
    <t>204:231233</t>
  </si>
  <si>
    <t>197-15</t>
  </si>
  <si>
    <t>198-15</t>
  </si>
  <si>
    <t>199-15</t>
  </si>
  <si>
    <t>200-15</t>
  </si>
  <si>
    <t>201-15</t>
  </si>
  <si>
    <t>202-15</t>
  </si>
  <si>
    <t>203-15</t>
  </si>
  <si>
    <t>204-15</t>
  </si>
  <si>
    <t>204:174</t>
  </si>
  <si>
    <t>205-15</t>
  </si>
  <si>
    <t>204:233326</t>
  </si>
  <si>
    <t>206-15</t>
  </si>
  <si>
    <t>207-15</t>
  </si>
  <si>
    <t>208-15</t>
  </si>
  <si>
    <t>204:232962</t>
  </si>
  <si>
    <t>209-15</t>
  </si>
  <si>
    <t>210-15</t>
  </si>
  <si>
    <t>211-15</t>
  </si>
  <si>
    <t>212-15</t>
  </si>
  <si>
    <t>213-15</t>
  </si>
  <si>
    <t>214-15</t>
  </si>
  <si>
    <t>215-15</t>
  </si>
  <si>
    <t>216-15</t>
  </si>
  <si>
    <t>204:198</t>
  </si>
  <si>
    <t>217-15</t>
  </si>
  <si>
    <t>218-15</t>
  </si>
  <si>
    <t>219-15</t>
  </si>
  <si>
    <t>220-15</t>
  </si>
  <si>
    <t>221-15</t>
  </si>
  <si>
    <t>222-15</t>
  </si>
  <si>
    <t>223-15</t>
  </si>
  <si>
    <t>224-15</t>
  </si>
  <si>
    <t>225-15</t>
  </si>
  <si>
    <t>226-15</t>
  </si>
  <si>
    <t>227-15</t>
  </si>
  <si>
    <t>228-15</t>
  </si>
  <si>
    <t>229-15</t>
  </si>
  <si>
    <t>230-15</t>
  </si>
  <si>
    <t>231-15</t>
  </si>
  <si>
    <t>232-15</t>
  </si>
  <si>
    <t>233-15</t>
  </si>
  <si>
    <t>204:497</t>
  </si>
  <si>
    <t>204:233270</t>
  </si>
  <si>
    <t>234-15</t>
  </si>
  <si>
    <t>235-15</t>
  </si>
  <si>
    <t>236-15</t>
  </si>
  <si>
    <t>237-15</t>
  </si>
  <si>
    <t>238-15</t>
  </si>
  <si>
    <t>204:157</t>
  </si>
  <si>
    <t>239-15</t>
  </si>
  <si>
    <t>240-15</t>
  </si>
  <si>
    <t>204:126</t>
  </si>
  <si>
    <t>241-15</t>
  </si>
  <si>
    <t>242-15</t>
  </si>
  <si>
    <t>204:155</t>
  </si>
  <si>
    <t>243-15</t>
  </si>
  <si>
    <t>244-15</t>
  </si>
  <si>
    <t>204:97</t>
  </si>
  <si>
    <t>302-15</t>
  </si>
  <si>
    <t>300:25130</t>
  </si>
  <si>
    <t>300:24510</t>
  </si>
  <si>
    <t>303-15</t>
  </si>
  <si>
    <t>307-15</t>
  </si>
  <si>
    <t>204:498</t>
  </si>
  <si>
    <t>309-15</t>
  </si>
  <si>
    <t>204:413</t>
  </si>
  <si>
    <t>313-15</t>
  </si>
  <si>
    <t>300:23299</t>
  </si>
  <si>
    <t>315-15</t>
  </si>
  <si>
    <t>300:23123</t>
  </si>
  <si>
    <t>63-15</t>
  </si>
  <si>
    <t>300:22812</t>
  </si>
  <si>
    <t>800-15</t>
  </si>
  <si>
    <t>204:638</t>
  </si>
  <si>
    <t>801-15</t>
  </si>
  <si>
    <t>204:927</t>
  </si>
  <si>
    <t>802-15</t>
  </si>
  <si>
    <t>204:654</t>
  </si>
  <si>
    <t>803-15</t>
  </si>
  <si>
    <t>300:58950</t>
  </si>
  <si>
    <t>804-15</t>
  </si>
  <si>
    <t>805-15</t>
  </si>
  <si>
    <t>300:58922</t>
  </si>
  <si>
    <t>806-15</t>
  </si>
  <si>
    <t>300:58606</t>
  </si>
  <si>
    <t>807-15</t>
  </si>
  <si>
    <t>204:943</t>
  </si>
  <si>
    <t>300:58954</t>
  </si>
  <si>
    <t>808-15</t>
  </si>
  <si>
    <t>300:58643</t>
  </si>
  <si>
    <t>204:642</t>
  </si>
  <si>
    <t>809-15</t>
  </si>
  <si>
    <t>204:930</t>
  </si>
  <si>
    <t>300:58931</t>
  </si>
  <si>
    <t>810-15</t>
  </si>
  <si>
    <t>300:58608</t>
  </si>
  <si>
    <t>811-15</t>
  </si>
  <si>
    <t>204:941</t>
  </si>
  <si>
    <t>300:58837</t>
  </si>
  <si>
    <t>812-15</t>
  </si>
  <si>
    <t>300:58517</t>
  </si>
  <si>
    <t>813-15</t>
  </si>
  <si>
    <t>204:932</t>
  </si>
  <si>
    <t>204:2794</t>
  </si>
  <si>
    <t>814-15</t>
  </si>
  <si>
    <t>300:58726</t>
  </si>
  <si>
    <t>815-15</t>
  </si>
  <si>
    <t>204:955</t>
  </si>
  <si>
    <t>300:58997</t>
  </si>
  <si>
    <t>816-15</t>
  </si>
  <si>
    <t>300:58677</t>
  </si>
  <si>
    <t>204:680</t>
  </si>
  <si>
    <t>817-15</t>
  </si>
  <si>
    <t>204:978</t>
  </si>
  <si>
    <t>300:58980</t>
  </si>
  <si>
    <t>818-15</t>
  </si>
  <si>
    <t>300:58666</t>
  </si>
  <si>
    <t>819-15</t>
  </si>
  <si>
    <t>204:951</t>
  </si>
  <si>
    <t>300:23105</t>
  </si>
  <si>
    <t>820-15</t>
  </si>
  <si>
    <t>300:58687</t>
  </si>
  <si>
    <t>204:643</t>
  </si>
  <si>
    <t>821-15</t>
  </si>
  <si>
    <t>204:934</t>
  </si>
  <si>
    <t>822-15</t>
  </si>
  <si>
    <t>823-15</t>
  </si>
  <si>
    <t>204:967</t>
  </si>
  <si>
    <t>824-15</t>
  </si>
  <si>
    <t>825-15</t>
  </si>
  <si>
    <t>826-15</t>
  </si>
  <si>
    <t>300:58604</t>
  </si>
  <si>
    <t>204:801</t>
  </si>
  <si>
    <t>827-15</t>
  </si>
  <si>
    <t>204:383</t>
  </si>
  <si>
    <t>300:58969</t>
  </si>
  <si>
    <t>828-15</t>
  </si>
  <si>
    <t>300:58641</t>
  </si>
  <si>
    <t>204:771</t>
  </si>
  <si>
    <t>829-15</t>
  </si>
  <si>
    <t>204:1100</t>
  </si>
  <si>
    <t>300:58918</t>
  </si>
  <si>
    <t>830-15</t>
  </si>
  <si>
    <t>300:58602</t>
  </si>
  <si>
    <t>831-15</t>
  </si>
  <si>
    <t>204:1063</t>
  </si>
  <si>
    <t>300:58978</t>
  </si>
  <si>
    <t>832-15</t>
  </si>
  <si>
    <t>300:58664</t>
  </si>
  <si>
    <t>204:675</t>
  </si>
  <si>
    <t>833-15</t>
  </si>
  <si>
    <t>300:58914</t>
  </si>
  <si>
    <t>834-15</t>
  </si>
  <si>
    <t>835-15</t>
  </si>
  <si>
    <t>204:965</t>
  </si>
  <si>
    <t>836-15</t>
  </si>
  <si>
    <t>300:58668</t>
  </si>
  <si>
    <t>837-15</t>
  </si>
  <si>
    <t>300:58909</t>
  </si>
  <si>
    <t>838-15</t>
  </si>
  <si>
    <t>839-15</t>
  </si>
  <si>
    <t>204:918</t>
  </si>
  <si>
    <t>300:58965</t>
  </si>
  <si>
    <t>840-15</t>
  </si>
  <si>
    <t>841-15</t>
  </si>
  <si>
    <t>204:985</t>
  </si>
  <si>
    <t>842-15</t>
  </si>
  <si>
    <t>843-15</t>
  </si>
  <si>
    <t>300:58926</t>
  </si>
  <si>
    <t>844-15</t>
  </si>
  <si>
    <t>300:58656</t>
  </si>
  <si>
    <t>204:635</t>
  </si>
  <si>
    <t>845-15</t>
  </si>
  <si>
    <t>300:58967</t>
  </si>
  <si>
    <t>847-15</t>
  </si>
  <si>
    <t>300:58973</t>
  </si>
  <si>
    <t>904-15</t>
  </si>
  <si>
    <t>300:30809</t>
  </si>
  <si>
    <t>204:63</t>
  </si>
  <si>
    <t>906-15</t>
  </si>
  <si>
    <t>300:28744</t>
  </si>
  <si>
    <t>908-15</t>
  </si>
  <si>
    <t>300:58651</t>
  </si>
  <si>
    <t>300:21678</t>
  </si>
  <si>
    <t>Decreasing Mileposts (2</t>
  </si>
  <si>
    <t>SWANSON</t>
  </si>
  <si>
    <t>SANTIZO</t>
  </si>
  <si>
    <t>SPECTOR</t>
  </si>
  <si>
    <t>ROCHA</t>
  </si>
  <si>
    <t>HAITHCOX</t>
  </si>
  <si>
    <t>HELVIE</t>
  </si>
  <si>
    <t>OUN</t>
  </si>
  <si>
    <t>CHANDLER</t>
  </si>
  <si>
    <t>LEVERE</t>
  </si>
  <si>
    <t>ISHMAE</t>
  </si>
  <si>
    <t>Wi-MAX outage</t>
  </si>
  <si>
    <t>Onboard in-route failure</t>
  </si>
  <si>
    <t>Early arrival</t>
  </si>
  <si>
    <t>Other trains were moving at DUS, flipped DUS 28N to stop. Also potential TMDS issue.</t>
  </si>
  <si>
    <t>Premature downgrade at NW0109XH (BNSF FUEL CROSSING) 14-2T 2S</t>
  </si>
  <si>
    <t>Premature downgrade at NW0226RH (CRMF MAIN) Signal 2N</t>
  </si>
  <si>
    <t>Pena 4S was STOP, signal cleared a minute later</t>
  </si>
  <si>
    <t>40th 4S was STOP, signal cleared a minute later</t>
  </si>
  <si>
    <t>Overspeed</t>
  </si>
  <si>
    <t>Known issue with DUS 28N when train is on Track 2</t>
  </si>
  <si>
    <t>Poor GPS signal at DUS</t>
  </si>
  <si>
    <t>:.+((SYSTEM_STATE.+slice.+state.+changed )|(ment ac)|(system.+state.+changed )|(\|lc)|(penalty)|(\[timeout)|(PRM\|1\|D)|(kpr)|(kdp)|(\|loc))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</si>
</sst>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169" fontId="0" fillId="0" borderId="0"/>
    <xf numFmtId="169" fontId="7" fillId="0" borderId="0"/>
    <xf numFmtId="9" fontId="11" fillId="0" borderId="0" applyFont="0" applyFill="0" applyBorder="0" applyAlignment="0" applyProtection="0"/>
  </cellStyleXfs>
  <cellXfs count="1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7" fontId="1" fillId="0" borderId="5" xfId="0" applyNumberFormat="1" applyFont="1" applyFill="1" applyBorder="1" applyAlignment="1">
      <alignment horizontal="center" vertical="center" wrapText="1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10" fillId="0" borderId="0" xfId="0" applyFont="1" applyBorder="1" applyAlignment="1">
      <alignment horizontal="center" vertical="center" wrapText="1"/>
    </xf>
    <xf numFmtId="169" fontId="10" fillId="0" borderId="0" xfId="0" applyFont="1" applyFill="1" applyBorder="1"/>
    <xf numFmtId="169" fontId="10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10" fillId="0" borderId="0" xfId="0" applyNumberFormat="1" applyFont="1" applyBorder="1" applyAlignment="1">
      <alignment horizontal="center" vertical="center" wrapText="1"/>
    </xf>
    <xf numFmtId="170" fontId="10" fillId="0" borderId="0" xfId="0" applyNumberFormat="1" applyFont="1" applyBorder="1" applyAlignment="1">
      <alignment horizontal="left" vertical="center" wrapText="1"/>
    </xf>
    <xf numFmtId="170" fontId="10" fillId="0" borderId="0" xfId="0" applyNumberFormat="1" applyFont="1" applyFill="1" applyBorder="1" applyAlignment="1">
      <alignment horizontal="left"/>
    </xf>
    <xf numFmtId="170" fontId="10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10" fillId="0" borderId="0" xfId="0" applyNumberFormat="1" applyFont="1" applyBorder="1" applyAlignment="1">
      <alignment horizontal="left" vertical="center" wrapText="1"/>
    </xf>
    <xf numFmtId="1" fontId="10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10" fillId="0" borderId="0" xfId="0" applyNumberFormat="1" applyFont="1" applyBorder="1" applyAlignment="1">
      <alignment horizontal="center" vertical="center" wrapText="1"/>
    </xf>
    <xf numFmtId="171" fontId="10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169" fontId="1" fillId="0" borderId="5" xfId="0" applyFont="1" applyFill="1" applyBorder="1" applyAlignment="1">
      <alignment horizontal="center" vertical="center" wrapText="1"/>
    </xf>
    <xf numFmtId="1" fontId="1" fillId="0" borderId="5" xfId="0" applyNumberFormat="1" applyFont="1" applyFill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10" fillId="5" borderId="0" xfId="0" applyFont="1" applyFill="1" applyBorder="1" applyAlignment="1">
      <alignment horizontal="center" vertical="center" wrapText="1"/>
    </xf>
    <xf numFmtId="169" fontId="10" fillId="5" borderId="0" xfId="0" applyFont="1" applyFill="1"/>
    <xf numFmtId="169" fontId="0" fillId="6" borderId="0" xfId="0" applyFill="1"/>
    <xf numFmtId="169" fontId="10" fillId="6" borderId="0" xfId="0" applyFont="1" applyFill="1" applyBorder="1" applyAlignment="1">
      <alignment horizontal="center" vertical="center" wrapText="1"/>
    </xf>
    <xf numFmtId="169" fontId="10" fillId="6" borderId="0" xfId="0" applyFont="1" applyFill="1"/>
    <xf numFmtId="169" fontId="10" fillId="7" borderId="0" xfId="0" applyFont="1" applyFill="1"/>
    <xf numFmtId="169" fontId="10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10" fillId="8" borderId="0" xfId="0" applyFont="1" applyFill="1" applyBorder="1" applyAlignment="1">
      <alignment horizontal="center" vertical="center" wrapText="1"/>
    </xf>
    <xf numFmtId="169" fontId="10" fillId="8" borderId="0" xfId="0" applyFont="1" applyFill="1" applyBorder="1"/>
    <xf numFmtId="169" fontId="1" fillId="0" borderId="0" xfId="0" applyNumberFormat="1" applyFont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 applyAlignment="1">
      <alignment horizontal="center" vertical="center" wrapText="1"/>
    </xf>
    <xf numFmtId="169" fontId="10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>
      <alignment horizontal="center" vertical="center" wrapText="1"/>
    </xf>
    <xf numFmtId="169" fontId="10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0" fillId="5" borderId="5" xfId="0" applyFont="1" applyFill="1" applyBorder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10" fillId="0" borderId="0" xfId="0" applyNumberFormat="1" applyFont="1" applyBorder="1" applyAlignment="1">
      <alignment horizontal="center" vertical="center" wrapText="1"/>
    </xf>
    <xf numFmtId="0" fontId="10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1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1" xfId="0" applyFill="1" applyBorder="1" applyAlignment="1">
      <alignment vertical="center"/>
    </xf>
    <xf numFmtId="169" fontId="0" fillId="2" borderId="12" xfId="0" applyFill="1" applyBorder="1" applyAlignment="1">
      <alignment horizontal="left" vertical="center"/>
    </xf>
    <xf numFmtId="0" fontId="0" fillId="2" borderId="13" xfId="0" applyNumberFormat="1" applyFill="1" applyBorder="1" applyAlignment="1"/>
    <xf numFmtId="169" fontId="0" fillId="0" borderId="0" xfId="0" applyAlignment="1"/>
    <xf numFmtId="169" fontId="0" fillId="0" borderId="14" xfId="0" applyBorder="1" applyAlignment="1">
      <alignment vertical="center"/>
    </xf>
    <xf numFmtId="169" fontId="0" fillId="0" borderId="15" xfId="0" applyBorder="1" applyAlignment="1">
      <alignment horizontal="left" vertical="center"/>
    </xf>
    <xf numFmtId="0" fontId="0" fillId="0" borderId="16" xfId="0" applyNumberFormat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3">
    <cellStyle name="Normal" xfId="0" builtinId="0"/>
    <cellStyle name="Normal_XINGS" xfId="1"/>
    <cellStyle name="Percent" xfId="2" builtinId="5"/>
  </cellStyles>
  <dxfs count="16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M215"/>
  <sheetViews>
    <sheetView topLeftCell="A10" zoomScaleNormal="100" workbookViewId="0">
      <selection activeCell="AF35" sqref="AF35"/>
    </sheetView>
  </sheetViews>
  <sheetFormatPr defaultRowHeight="15" x14ac:dyDescent="0.25"/>
  <cols>
    <col min="1" max="1" width="8" style="42" customWidth="1"/>
    <col min="2" max="2" width="6.140625" style="44" customWidth="1"/>
    <col min="3" max="3" width="13.5703125" style="31" hidden="1" customWidth="1"/>
    <col min="4" max="4" width="16.140625" style="31" hidden="1" customWidth="1"/>
    <col min="5" max="5" width="19.5703125" style="41" hidden="1" customWidth="1"/>
    <col min="6" max="6" width="18.28515625" style="41" customWidth="1"/>
    <col min="7" max="7" width="4.85546875" style="44" hidden="1" customWidth="1"/>
    <col min="8" max="8" width="22.140625" style="41" hidden="1" customWidth="1"/>
    <col min="9" max="9" width="18.5703125" style="41" customWidth="1"/>
    <col min="10" max="10" width="7.28515625" style="44" customWidth="1"/>
    <col min="11" max="11" width="10.42578125" style="31" customWidth="1"/>
    <col min="12" max="12" width="13.28515625" style="31" customWidth="1"/>
    <col min="13" max="13" width="9.5703125" style="43" customWidth="1"/>
    <col min="14" max="14" width="4.7109375" style="44" customWidth="1"/>
    <col min="15" max="15" width="4.7109375" style="2" customWidth="1"/>
    <col min="16" max="16" width="4" style="2" customWidth="1"/>
    <col min="17" max="17" width="5.85546875" hidden="1" customWidth="1"/>
    <col min="18" max="18" width="47" customWidth="1"/>
    <col min="19" max="19" width="7.7109375" style="24" customWidth="1"/>
    <col min="20" max="20" width="3.85546875" customWidth="1"/>
    <col min="21" max="21" width="5" style="123" customWidth="1"/>
    <col min="22" max="22" width="5.7109375" style="109" customWidth="1"/>
    <col min="23" max="23" width="3.85546875" style="23" customWidth="1"/>
    <col min="24" max="24" width="5.28515625" style="127" customWidth="1"/>
    <col min="25" max="25" width="9.140625" style="68"/>
    <col min="26" max="26" width="7.28515625" style="68" customWidth="1"/>
    <col min="27" max="27" width="9.140625" style="68"/>
    <col min="28" max="28" width="10.7109375" style="65" hidden="1" customWidth="1"/>
    <col min="29" max="29" width="9.42578125" style="59" hidden="1" customWidth="1"/>
    <col min="30" max="30" width="7.85546875" style="60" customWidth="1"/>
    <col min="31" max="31" width="4.5703125" style="102" customWidth="1"/>
    <col min="32" max="32" width="6.28515625" style="99" customWidth="1"/>
    <col min="33" max="33" width="5.42578125" customWidth="1"/>
    <col min="34" max="34" width="5" style="105" customWidth="1"/>
  </cols>
  <sheetData>
    <row r="1" spans="1:91" s="24" customFormat="1" ht="15.75" thickBot="1" x14ac:dyDescent="0.3">
      <c r="A1" s="42"/>
      <c r="B1" s="44"/>
      <c r="C1" s="31"/>
      <c r="D1" s="31"/>
      <c r="E1" s="41"/>
      <c r="F1" s="41"/>
      <c r="G1" s="44"/>
      <c r="H1" s="41"/>
      <c r="I1" s="41" t="s">
        <v>129</v>
      </c>
      <c r="J1" s="44"/>
      <c r="K1" s="31"/>
      <c r="L1" s="31"/>
      <c r="M1" s="43"/>
      <c r="N1" s="44"/>
      <c r="O1" s="2"/>
      <c r="P1" s="2"/>
      <c r="R1" s="41" t="s">
        <v>130</v>
      </c>
      <c r="S1" s="44"/>
      <c r="T1" s="31"/>
      <c r="U1" s="130"/>
      <c r="V1" s="43"/>
      <c r="W1" s="44"/>
      <c r="X1" s="123"/>
      <c r="Y1" s="68"/>
      <c r="Z1" s="68"/>
      <c r="AA1" s="68"/>
      <c r="AB1" s="65"/>
      <c r="AC1" s="59"/>
      <c r="AD1" s="60"/>
      <c r="AE1" s="1"/>
      <c r="AF1" s="1"/>
      <c r="AG1" s="1"/>
      <c r="AH1" s="56"/>
    </row>
    <row r="2" spans="1:91" s="24" customFormat="1" ht="15.75" thickBot="1" x14ac:dyDescent="0.3">
      <c r="A2" s="42"/>
      <c r="B2" s="44"/>
      <c r="C2" s="31"/>
      <c r="D2" s="31"/>
      <c r="E2" s="41"/>
      <c r="F2" s="41"/>
      <c r="G2" s="44"/>
      <c r="H2" s="41"/>
      <c r="I2" s="83">
        <f>Variables!$A$2</f>
        <v>42597</v>
      </c>
      <c r="J2" s="84"/>
      <c r="K2" s="85"/>
      <c r="L2" s="85"/>
      <c r="M2" s="86" t="s">
        <v>8</v>
      </c>
      <c r="N2" s="87"/>
      <c r="O2" s="88"/>
      <c r="P2" s="2"/>
      <c r="R2" s="83">
        <f>Variables!$A$2</f>
        <v>42597</v>
      </c>
      <c r="S2" s="84"/>
      <c r="T2" s="85"/>
      <c r="U2" s="131"/>
      <c r="V2" s="107" t="s">
        <v>8</v>
      </c>
      <c r="W2" s="87"/>
      <c r="X2" s="124"/>
      <c r="Y2" s="68"/>
      <c r="Z2" s="68"/>
      <c r="AA2" s="68"/>
      <c r="AB2" s="65"/>
      <c r="AC2" s="59"/>
      <c r="AD2" s="60"/>
      <c r="AE2" s="1"/>
      <c r="AF2" s="1"/>
      <c r="AG2" s="1"/>
      <c r="AH2" s="56"/>
    </row>
    <row r="3" spans="1:91" s="24" customFormat="1" ht="15.75" thickBot="1" x14ac:dyDescent="0.3">
      <c r="A3" s="42"/>
      <c r="B3" s="44"/>
      <c r="C3" s="31"/>
      <c r="D3" s="31"/>
      <c r="E3" s="41"/>
      <c r="F3" s="41"/>
      <c r="G3" s="44"/>
      <c r="H3" s="41"/>
      <c r="I3" s="89" t="s">
        <v>10</v>
      </c>
      <c r="J3" s="90"/>
      <c r="K3" s="91"/>
      <c r="L3" s="91"/>
      <c r="M3" s="45" t="s">
        <v>11</v>
      </c>
      <c r="N3" s="46" t="s">
        <v>12</v>
      </c>
      <c r="O3" s="3" t="s">
        <v>13</v>
      </c>
      <c r="P3" s="2"/>
      <c r="R3" s="89" t="s">
        <v>10</v>
      </c>
      <c r="S3" s="90"/>
      <c r="T3" s="91"/>
      <c r="U3" s="132"/>
      <c r="V3" s="45" t="s">
        <v>11</v>
      </c>
      <c r="W3" s="46" t="s">
        <v>12</v>
      </c>
      <c r="X3" s="125" t="s">
        <v>13</v>
      </c>
      <c r="Y3" s="68"/>
      <c r="Z3" s="68"/>
      <c r="AA3" s="68"/>
      <c r="AB3" s="65"/>
      <c r="AC3" s="59"/>
      <c r="AD3" s="60"/>
      <c r="AE3" s="1"/>
      <c r="AF3" s="1"/>
      <c r="AG3" s="1"/>
      <c r="AH3" s="56"/>
    </row>
    <row r="4" spans="1:91" s="24" customFormat="1" ht="15.75" thickBot="1" x14ac:dyDescent="0.3">
      <c r="A4" s="42"/>
      <c r="B4" s="44"/>
      <c r="C4" s="31"/>
      <c r="D4" s="31"/>
      <c r="E4" s="41"/>
      <c r="F4" s="41"/>
      <c r="G4" s="44"/>
      <c r="H4" s="41"/>
      <c r="I4" s="92" t="s">
        <v>14</v>
      </c>
      <c r="J4" s="58">
        <f>SUM(J5:J7)</f>
        <v>144</v>
      </c>
      <c r="K4" s="47"/>
      <c r="L4" s="47"/>
      <c r="M4" s="48" t="s">
        <v>15</v>
      </c>
      <c r="N4" s="46" t="s">
        <v>15</v>
      </c>
      <c r="O4" s="3" t="s">
        <v>15</v>
      </c>
      <c r="P4" s="2"/>
      <c r="R4" s="92" t="s">
        <v>14</v>
      </c>
      <c r="S4" s="58">
        <f>SUM(S5:S7)</f>
        <v>47</v>
      </c>
      <c r="T4" s="47"/>
      <c r="U4" s="133"/>
      <c r="V4" s="48" t="s">
        <v>15</v>
      </c>
      <c r="W4" s="46" t="s">
        <v>15</v>
      </c>
      <c r="X4" s="125" t="s">
        <v>15</v>
      </c>
      <c r="Y4" s="68"/>
      <c r="Z4" s="68"/>
      <c r="AA4" s="68"/>
      <c r="AB4" s="65"/>
      <c r="AC4" s="59"/>
      <c r="AD4" s="60"/>
      <c r="AE4" s="1"/>
      <c r="AF4" s="1"/>
      <c r="AG4" s="1"/>
      <c r="AH4" s="56"/>
    </row>
    <row r="5" spans="1:91" s="24" customFormat="1" ht="15.75" thickBot="1" x14ac:dyDescent="0.3">
      <c r="A5" s="42"/>
      <c r="B5" s="44"/>
      <c r="C5" s="31"/>
      <c r="D5" s="31"/>
      <c r="E5" s="41"/>
      <c r="F5" s="41"/>
      <c r="G5" s="44"/>
      <c r="H5" s="41"/>
      <c r="I5" s="92" t="s">
        <v>17</v>
      </c>
      <c r="J5" s="58">
        <f>COUNTIFS($N$13:$N$9375,"&gt;0",$AG$13:$AG$9375,I1)</f>
        <v>140</v>
      </c>
      <c r="K5" s="47"/>
      <c r="L5" s="47"/>
      <c r="M5" s="48">
        <f>AVERAGEIFS($N$13:$N$9375,$AG$13:$AG$9375,I1)</f>
        <v>45.949642857761191</v>
      </c>
      <c r="N5" s="46">
        <f t="array" ref="N5">MIN(IF($AG$13:$AG$9375=I1,IF(ISNUMBER($N$13:$N$9375),IF($N$13:$N$9375&gt;0,$N$13:$N$9375))))</f>
        <v>36.183333336375654</v>
      </c>
      <c r="O5" s="3">
        <f t="array" ref="O5">MAX(IF($AG$13:$AG$9375=I1,IF(ISNUMBER($N$13:$N$9375),IF($N$13:$N$9375&gt;0,$N$13:$N$9375))))</f>
        <v>64.516666671261191</v>
      </c>
      <c r="P5" s="2"/>
      <c r="R5" s="92" t="s">
        <v>17</v>
      </c>
      <c r="S5" s="58">
        <f>COUNTIFS($N$13:$N$9375,"&gt;0",$AG$13:$AG$9375,R1)</f>
        <v>46</v>
      </c>
      <c r="T5" s="47"/>
      <c r="U5" s="133"/>
      <c r="V5" s="48">
        <f>AVERAGEIFS($N$13:$N$9375,$AG$13:$AG$9375,R1)</f>
        <v>21.678260870166529</v>
      </c>
      <c r="W5" s="46">
        <f t="array" ref="W5">MIN(IF($AG$13:$AG$9375=R1,IF(ISNUMBER($N$13:$N$9375),IF($N$13:$N$9375&gt;0,$N$13:$N$9375))))</f>
        <v>13.483333331532776</v>
      </c>
      <c r="X5" s="125">
        <f t="array" ref="X5">MAX(IF($AG$13:$AG$9375=R1,IF(ISNUMBER($N$13:$N$9375),IF($N$13:$N$9375&gt;0,$N$13:$N$9375))))</f>
        <v>37.733333331998438</v>
      </c>
      <c r="Y5" s="68"/>
      <c r="Z5" s="68"/>
      <c r="AA5" s="68"/>
      <c r="AB5" s="65"/>
      <c r="AC5" s="59"/>
      <c r="AD5" s="60"/>
      <c r="AE5" s="1"/>
      <c r="AF5" s="1"/>
      <c r="AG5" s="1"/>
      <c r="AH5" s="56"/>
    </row>
    <row r="6" spans="1:91" s="24" customFormat="1" ht="15.75" thickBot="1" x14ac:dyDescent="0.3">
      <c r="A6" s="42"/>
      <c r="B6" s="44"/>
      <c r="C6" s="31"/>
      <c r="D6" s="31"/>
      <c r="E6" s="41"/>
      <c r="F6" s="41"/>
      <c r="G6" s="44"/>
      <c r="H6" s="41"/>
      <c r="I6" s="93" t="s">
        <v>43</v>
      </c>
      <c r="J6" s="58">
        <f>COUNT($O$13:$O$120)</f>
        <v>0</v>
      </c>
      <c r="K6" s="47"/>
      <c r="L6" s="47"/>
      <c r="M6" s="48">
        <f>IFERROR(AVERAGE($O$13:$O$120),0)</f>
        <v>0</v>
      </c>
      <c r="N6" s="46">
        <f>MIN($O$13:$O$120)</f>
        <v>0</v>
      </c>
      <c r="O6" s="3">
        <f>MAX($O$13:$O$120)</f>
        <v>0</v>
      </c>
      <c r="P6" s="2"/>
      <c r="R6" s="93" t="s">
        <v>43</v>
      </c>
      <c r="S6" s="58">
        <f>COUNT($O$13:$O$120)</f>
        <v>0</v>
      </c>
      <c r="T6" s="47"/>
      <c r="U6" s="133"/>
      <c r="V6" s="48">
        <f>IFERROR(AVERAGE($O$13:$O$120),0)</f>
        <v>0</v>
      </c>
      <c r="W6" s="46">
        <f>MIN($O$13:$O$120)</f>
        <v>0</v>
      </c>
      <c r="X6" s="125">
        <f>MAX($O$13:$O$120)</f>
        <v>0</v>
      </c>
      <c r="Y6" s="68"/>
      <c r="Z6" s="68"/>
      <c r="AA6" s="68"/>
      <c r="AB6" s="65"/>
      <c r="AC6" s="59"/>
      <c r="AD6" s="60"/>
      <c r="AE6" s="1"/>
      <c r="AF6" s="1"/>
      <c r="AG6" s="1"/>
      <c r="AH6" s="56"/>
    </row>
    <row r="7" spans="1:91" s="24" customFormat="1" ht="15.75" thickBot="1" x14ac:dyDescent="0.3">
      <c r="A7" s="42"/>
      <c r="B7" s="44"/>
      <c r="C7" s="31"/>
      <c r="D7" s="31"/>
      <c r="E7" s="41"/>
      <c r="F7" s="41"/>
      <c r="G7" s="44"/>
      <c r="H7" s="41"/>
      <c r="I7" s="94" t="s">
        <v>9</v>
      </c>
      <c r="J7" s="58">
        <f>COUNTIFS($P$13:$P$9375,"&gt;0",$AG$13:$AG$9375,I1)</f>
        <v>4</v>
      </c>
      <c r="K7" s="47"/>
      <c r="L7" s="47"/>
      <c r="M7" s="46" t="s">
        <v>15</v>
      </c>
      <c r="N7" s="46" t="s">
        <v>15</v>
      </c>
      <c r="O7" s="3" t="s">
        <v>15</v>
      </c>
      <c r="P7" s="2"/>
      <c r="R7" s="94" t="s">
        <v>9</v>
      </c>
      <c r="S7" s="58">
        <f>COUNTIFS($P$13:$P$9375,"&gt;0",$AG$13:$AG$9375,R1)</f>
        <v>1</v>
      </c>
      <c r="T7" s="47"/>
      <c r="U7" s="133"/>
      <c r="V7" s="48" t="s">
        <v>15</v>
      </c>
      <c r="W7" s="46" t="s">
        <v>15</v>
      </c>
      <c r="X7" s="125" t="s">
        <v>15</v>
      </c>
      <c r="Y7" s="68"/>
      <c r="Z7" s="68"/>
      <c r="AA7" s="68"/>
      <c r="AB7" s="65"/>
      <c r="AC7" s="59"/>
      <c r="AD7" s="60"/>
      <c r="AE7" s="1"/>
      <c r="AF7" s="1"/>
      <c r="AG7" s="1"/>
      <c r="AH7" s="56"/>
    </row>
    <row r="8" spans="1:91" s="24" customFormat="1" ht="15.75" thickBot="1" x14ac:dyDescent="0.3">
      <c r="A8" s="42"/>
      <c r="B8" s="44"/>
      <c r="C8" s="31"/>
      <c r="D8" s="31"/>
      <c r="E8" s="41"/>
      <c r="F8" s="41"/>
      <c r="G8" s="44"/>
      <c r="H8" s="41"/>
      <c r="I8" s="92" t="s">
        <v>16</v>
      </c>
      <c r="J8" s="58">
        <f>J5</f>
        <v>140</v>
      </c>
      <c r="K8" s="47"/>
      <c r="L8" s="47"/>
      <c r="M8" s="48">
        <f>M5</f>
        <v>45.949642857761191</v>
      </c>
      <c r="N8" s="46">
        <f>N5</f>
        <v>36.183333336375654</v>
      </c>
      <c r="O8" s="3">
        <f>O5</f>
        <v>64.516666671261191</v>
      </c>
      <c r="P8" s="2"/>
      <c r="R8" s="92" t="s">
        <v>16</v>
      </c>
      <c r="S8" s="58">
        <f>S5</f>
        <v>46</v>
      </c>
      <c r="T8" s="47"/>
      <c r="U8" s="133"/>
      <c r="V8" s="48">
        <f>V5</f>
        <v>21.678260870166529</v>
      </c>
      <c r="W8" s="46">
        <f>W5</f>
        <v>13.483333331532776</v>
      </c>
      <c r="X8" s="125">
        <f>X5</f>
        <v>37.733333331998438</v>
      </c>
      <c r="Y8" s="68"/>
      <c r="Z8" s="68"/>
      <c r="AA8" s="68"/>
      <c r="AB8" s="65"/>
      <c r="AC8" s="59"/>
      <c r="AD8" s="60"/>
      <c r="AE8" s="1"/>
      <c r="AF8" s="1"/>
      <c r="AG8" s="1"/>
      <c r="AH8" s="56"/>
    </row>
    <row r="9" spans="1:91" s="24" customFormat="1" ht="15.75" thickBot="1" x14ac:dyDescent="0.3">
      <c r="A9" s="42"/>
      <c r="B9" s="44"/>
      <c r="C9" s="31"/>
      <c r="D9" s="31"/>
      <c r="E9" s="41"/>
      <c r="F9" s="41"/>
      <c r="G9" s="44"/>
      <c r="H9" s="41"/>
      <c r="I9" s="92" t="s">
        <v>19</v>
      </c>
      <c r="J9" s="72">
        <f>J8/J4</f>
        <v>0.97222222222222221</v>
      </c>
      <c r="K9" s="49"/>
      <c r="L9" s="49"/>
      <c r="M9" s="95"/>
      <c r="N9" s="44"/>
      <c r="O9" s="96"/>
      <c r="P9" s="2"/>
      <c r="R9" s="92" t="s">
        <v>19</v>
      </c>
      <c r="S9" s="72">
        <f>S8/S4</f>
        <v>0.97872340425531912</v>
      </c>
      <c r="T9" s="49"/>
      <c r="U9" s="130"/>
      <c r="V9" s="95"/>
      <c r="W9" s="44"/>
      <c r="X9" s="126"/>
      <c r="Y9" s="68"/>
      <c r="Z9" s="68"/>
      <c r="AA9" s="68"/>
      <c r="AB9" s="65"/>
      <c r="AC9" s="59"/>
      <c r="AD9" s="60"/>
      <c r="AE9" s="1"/>
      <c r="AF9" s="1"/>
      <c r="AG9" s="1"/>
      <c r="AH9" s="56"/>
    </row>
    <row r="10" spans="1:91" s="24" customFormat="1" x14ac:dyDescent="0.25">
      <c r="A10" s="42"/>
      <c r="B10" s="44"/>
      <c r="C10" s="31"/>
      <c r="D10" s="31"/>
      <c r="E10" s="41"/>
      <c r="F10" s="41"/>
      <c r="G10" s="44"/>
      <c r="H10" s="41"/>
      <c r="I10" s="41"/>
      <c r="J10" s="44"/>
      <c r="K10" s="31"/>
      <c r="L10" s="31"/>
      <c r="M10" s="43"/>
      <c r="N10" s="44"/>
      <c r="O10" s="2"/>
      <c r="P10" s="2"/>
      <c r="U10" s="123"/>
      <c r="V10" s="108"/>
      <c r="W10" s="23"/>
      <c r="X10" s="127"/>
      <c r="Y10" s="68"/>
      <c r="Z10" s="68"/>
      <c r="AA10" s="68"/>
      <c r="AB10" s="65"/>
      <c r="AC10" s="59"/>
      <c r="AD10" s="60"/>
      <c r="AE10" s="1"/>
      <c r="AF10" s="1"/>
      <c r="AG10" s="1"/>
      <c r="AH10" s="56"/>
    </row>
    <row r="11" spans="1:91" ht="16.5" thickBot="1" x14ac:dyDescent="0.3">
      <c r="A11" s="150" t="str">
        <f>"Eagle P3 System Performance - "&amp;TEXT(Variables!A2,"yyyy-mm-dd")</f>
        <v>Eagle P3 System Performance - 2016-08-15</v>
      </c>
      <c r="B11" s="150"/>
      <c r="C11" s="150"/>
      <c r="D11" s="150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S11" s="76">
        <f>AVERAGE(S13:S75)</f>
        <v>0.9731182795698925</v>
      </c>
      <c r="V11" s="108"/>
      <c r="AE11" s="1"/>
      <c r="AF11" s="1"/>
      <c r="AG11" s="1"/>
      <c r="AH11" s="56"/>
    </row>
    <row r="12" spans="1:91" s="5" customFormat="1" ht="69" customHeight="1" thickBot="1" x14ac:dyDescent="0.3">
      <c r="A12" s="17" t="s">
        <v>0</v>
      </c>
      <c r="B12" s="21" t="s">
        <v>44</v>
      </c>
      <c r="C12" s="18" t="s">
        <v>26</v>
      </c>
      <c r="D12" s="18" t="s">
        <v>1</v>
      </c>
      <c r="E12" s="19" t="s">
        <v>2</v>
      </c>
      <c r="F12" s="19" t="s">
        <v>3</v>
      </c>
      <c r="G12" s="21" t="s">
        <v>4</v>
      </c>
      <c r="H12" s="19" t="s">
        <v>5</v>
      </c>
      <c r="I12" s="19" t="s">
        <v>6</v>
      </c>
      <c r="J12" s="21" t="s">
        <v>7</v>
      </c>
      <c r="K12" s="98" t="s">
        <v>60</v>
      </c>
      <c r="L12" s="18" t="s">
        <v>47</v>
      </c>
      <c r="M12" s="20" t="s">
        <v>8</v>
      </c>
      <c r="N12" s="18" t="s">
        <v>41</v>
      </c>
      <c r="O12" s="21" t="s">
        <v>42</v>
      </c>
      <c r="P12" s="21" t="s">
        <v>18</v>
      </c>
      <c r="Q12" s="22" t="s">
        <v>46</v>
      </c>
      <c r="R12" s="22" t="s">
        <v>24</v>
      </c>
      <c r="S12" s="22" t="s">
        <v>71</v>
      </c>
      <c r="T12" s="57" t="s">
        <v>72</v>
      </c>
      <c r="U12" s="134" t="s">
        <v>73</v>
      </c>
      <c r="V12" s="110" t="s">
        <v>45</v>
      </c>
      <c r="W12" s="54" t="s">
        <v>23</v>
      </c>
      <c r="X12" s="128" t="s">
        <v>48</v>
      </c>
      <c r="Y12" s="69" t="s">
        <v>20</v>
      </c>
      <c r="Z12" s="69" t="s">
        <v>21</v>
      </c>
      <c r="AA12" s="69" t="s">
        <v>22</v>
      </c>
      <c r="AB12" s="66" t="s">
        <v>39</v>
      </c>
      <c r="AC12" s="62" t="s">
        <v>40</v>
      </c>
      <c r="AD12" s="61" t="s">
        <v>97</v>
      </c>
      <c r="AE12" s="103" t="s">
        <v>104</v>
      </c>
      <c r="AF12" s="100" t="s">
        <v>109</v>
      </c>
      <c r="AG12" s="4" t="s">
        <v>131</v>
      </c>
      <c r="AH12" s="106" t="s">
        <v>135</v>
      </c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40" t="s">
        <v>329</v>
      </c>
      <c r="B13" s="7">
        <v>4031</v>
      </c>
      <c r="C13" s="25" t="s">
        <v>119</v>
      </c>
      <c r="D13" s="25" t="s">
        <v>330</v>
      </c>
      <c r="E13" s="16">
        <v>42597.134479166663</v>
      </c>
      <c r="F13" s="16">
        <v>42597.135613425926</v>
      </c>
      <c r="G13" s="7">
        <v>1</v>
      </c>
      <c r="H13" s="16" t="s">
        <v>195</v>
      </c>
      <c r="I13" s="16">
        <v>42597.161956018521</v>
      </c>
      <c r="J13" s="7">
        <v>0</v>
      </c>
      <c r="K13" s="142" t="str">
        <f t="shared" ref="K13:K73" si="0">IF(ISEVEN(B13),(B13-1)&amp;"/"&amp;B13,B13&amp;"/"&amp;(B13+1))</f>
        <v>4031/4032</v>
      </c>
      <c r="L13" s="25" t="str">
        <f>VLOOKUP(A13,'Trips&amp;Operators'!$C$1:$E$10000,3,FALSE)</f>
        <v>SWANSON</v>
      </c>
      <c r="M13" s="6">
        <f t="shared" ref="M13:M73" si="1">I13-F13</f>
        <v>2.6342592595028691E-2</v>
      </c>
      <c r="N13" s="7">
        <f t="shared" ref="N13:P73" si="2">24*60*SUM($M13:$M13)</f>
        <v>37.933333336841315</v>
      </c>
      <c r="O13" s="7"/>
      <c r="P13" s="7"/>
      <c r="Q13" s="26"/>
      <c r="R13" s="26"/>
      <c r="S13" s="38">
        <f t="shared" ref="S13:S73" si="3">SUM(U13:U13)/IF(AG13="EC",12,1)</f>
        <v>1</v>
      </c>
      <c r="T13" s="53" t="str">
        <f t="shared" ref="T13:T73" si="4">IF(ISEVEN(LEFT(AD13,4)),"Southbound","NorthBound")</f>
        <v>NorthBound</v>
      </c>
      <c r="U13" s="13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11" t="str">
        <f t="shared" ref="V13:V73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https://search-rtdc-monitor-bjffxe2xuh6vdkpspy63sjmuny.us-east-1.es.amazonaws.com/_plugin/kibana/#/discover/Steve-Slow-Train-Analysis-(2080s-and-2083s)?_g=(refreshInterval:(display:Off,section:0,value:0),time:(from:'2016-08-15 02:13:39-0600',mode:absolute,to:'2016-08-15 04:53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3" s="55" t="str">
        <f t="shared" ref="W13:W73" si="6">IF(AA13&lt;IF(AG13="EC",23,5.65),"Y","N")</f>
        <v>N</v>
      </c>
      <c r="X13" s="129" t="e">
        <f t="shared" ref="X13:X73" si="7">VALUE(LEFT(AD13,4))-VALUE(LEFT(AD12,4))</f>
        <v>#VALUE!</v>
      </c>
      <c r="Y13" s="70">
        <f t="shared" ref="Y13:Y73" si="8">RIGHT(D13,LEN(D13)-4)/10000</f>
        <v>7.9699999999999993E-2</v>
      </c>
      <c r="Z13" s="70">
        <f t="shared" ref="Z13:Z73" si="9">RIGHT(H13,LEN(H13)-4)/10000</f>
        <v>23.3291</v>
      </c>
      <c r="AA13" s="70">
        <f t="shared" ref="AA13:AA73" si="10">ABS(Z13-Y13)</f>
        <v>23.249400000000001</v>
      </c>
      <c r="AB13" s="67" t="e">
        <f>VLOOKUP(A13,Enforcements!$C$7:$J$24,8,0)</f>
        <v>#N/A</v>
      </c>
      <c r="AC13" s="63" t="e">
        <f>VLOOKUP(A13,Enforcements!$C$7:$E$24,3,0)</f>
        <v>#N/A</v>
      </c>
      <c r="AD13" s="64" t="str">
        <f t="shared" ref="AD13:AD73" si="11">IF(LEN(A13)=6,"0"&amp;A13,A13)</f>
        <v>0101-15</v>
      </c>
      <c r="AE13" s="104" t="str">
        <f t="shared" ref="AE13:AE73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 &amp; 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</v>
      </c>
      <c r="AF13" s="101" t="str">
        <f t="shared" ref="AF13:AF73" si="13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/stypes="*4031*20160815*" /stext=" 09:.+((SYSTEM_STATE.+slice.+state.+changed )|(ment ac)|(system.+state.+changed )|(\|lc)|(penalty)|(\[timeout)|(PRM\|1\|D)|(kpr)|(kdp)|(\|loc))" /e /r /s</v>
      </c>
      <c r="AG13" s="1" t="str">
        <f>IFERROR(IF(VALUE(LEFT(AD13,2))&lt;=2,"EC",IF(OR(VALUE(LEFT(AD13,2))=8,VALUE(LEFT(AD13,2))=18),"NW","Other")),"Other")</f>
        <v>EC</v>
      </c>
      <c r="AH13" s="105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</f>
        <v>"%USERPROFILE%\Documents\GitHub\eaglep3\Utilities\RefineRTDCRunTimes.py" --tripid 101-15 --locoid 4031 --swversion DE.1.0.7.0 --startMP 204:797 --initTime 2016-08-15T03:13:39 --startdatetime 2016-08-15T03:15:17 --delay 1 --endMP 204:233291 --enddatetime 2016-08-15T03:53:13 --enforcementcount 0</v>
      </c>
    </row>
    <row r="14" spans="1:91" s="1" customFormat="1" x14ac:dyDescent="0.25">
      <c r="A14" s="40" t="s">
        <v>331</v>
      </c>
      <c r="B14" s="7">
        <v>4010</v>
      </c>
      <c r="C14" s="25" t="s">
        <v>119</v>
      </c>
      <c r="D14" s="25" t="s">
        <v>282</v>
      </c>
      <c r="E14" s="16">
        <v>42597.165960648148</v>
      </c>
      <c r="F14" s="16">
        <v>42597.166759259257</v>
      </c>
      <c r="G14" s="7">
        <v>1</v>
      </c>
      <c r="H14" s="16" t="s">
        <v>259</v>
      </c>
      <c r="I14" s="16">
        <v>42597.201736111114</v>
      </c>
      <c r="J14" s="7">
        <v>0</v>
      </c>
      <c r="K14" s="142" t="str">
        <f t="shared" si="0"/>
        <v>4009/4010</v>
      </c>
      <c r="L14" s="25" t="str">
        <f>VLOOKUP(A14,'Trips&amp;Operators'!$C$1:$E$10000,3,FALSE)</f>
        <v>SWANSON</v>
      </c>
      <c r="M14" s="6">
        <f t="shared" si="1"/>
        <v>3.4976851857209112E-2</v>
      </c>
      <c r="N14" s="7">
        <f t="shared" si="2"/>
        <v>50.366666674381122</v>
      </c>
      <c r="O14" s="7"/>
      <c r="P14" s="7"/>
      <c r="Q14" s="26"/>
      <c r="R14" s="26"/>
      <c r="S14" s="38">
        <f t="shared" si="3"/>
        <v>1</v>
      </c>
      <c r="T14" s="53" t="str">
        <f t="shared" si="4"/>
        <v>Southbound</v>
      </c>
      <c r="U14" s="13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02:58:59-0600',mode:absolute,to:'2016-08-15 05:50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14" s="55" t="str">
        <f t="shared" si="6"/>
        <v>N</v>
      </c>
      <c r="X14" s="129">
        <f t="shared" si="7"/>
        <v>1</v>
      </c>
      <c r="Y14" s="70">
        <f t="shared" si="8"/>
        <v>23.265000000000001</v>
      </c>
      <c r="Z14" s="70">
        <f t="shared" si="9"/>
        <v>1.52E-2</v>
      </c>
      <c r="AA14" s="70">
        <f t="shared" si="10"/>
        <v>23.2498</v>
      </c>
      <c r="AB14" s="67" t="e">
        <f>VLOOKUP(A14,Enforcements!$C$7:$J$24,8,0)</f>
        <v>#N/A</v>
      </c>
      <c r="AC14" s="63" t="e">
        <f>VLOOKUP(A14,Enforcements!$C$7:$E$24,3,0)</f>
        <v>#N/A</v>
      </c>
      <c r="AD14" s="64" t="str">
        <f t="shared" si="11"/>
        <v>0102-15</v>
      </c>
      <c r="AE14" s="104" t="str">
        <f t="shared" si="12"/>
        <v>aws s3 cp s3://rtdc.mdm.uploadarchive/RTDC4010/2016-08-15/ "%USERPROFILE%\AppData\Local\Temp\OnboardLogs"\RTDC4010\2016-08-15 --recursive &amp; "%USERPROFILE%\Documents\GitHub\mrs-test-scripts\Headless Mode &amp; Sideloading\WalkAndUnGZ.bat" "%USERPROFILE%\AppData\Local\Temp\OnboardLogs"\RTDC4010\2016-08-15 &amp; 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</v>
      </c>
      <c r="AF14" s="101" t="str">
        <f t="shared" si="13"/>
        <v>"C:\Program Files (x86)\AstroGrep\AstroGrep.exe" /spath="%USERPROFILE%\AppData\Local\Temp\OnboardLogs" /stypes="*4010*20160815*" /stext=" 10:.+((SYSTEM_STATE.+slice.+state.+changed )|(ment ac)|(system.+state.+changed )|(\|lc)|(penalty)|(\[timeout)|(PRM\|1\|D)|(kpr)|(kdp)|(\|loc))" /e /r /s</v>
      </c>
      <c r="AG14" s="1" t="str">
        <f t="shared" ref="AG14:AG77" si="15">IFERROR(IF(VALUE(LEFT(AD14,2))&lt;=2,"EC",IF(OR(VALUE(LEFT(AD14,2))=8,VALUE(LEFT(AD14,2))=18),"NW","Other")),"Other")</f>
        <v>EC</v>
      </c>
      <c r="AH14" s="105" t="str">
        <f t="shared" ref="AH14:AH74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</f>
        <v>"%USERPROFILE%\Documents\GitHub\eaglep3\Utilities\RefineRTDCRunTimes.py" --tripid 102-15 --locoid 4010 --swversion DE.1.0.7.0 --startMP 204:232650 --initTime 2016-08-15T03:58:59 --startdatetime 2016-08-15T04:00:08 --delay 1 --endMP 204:152 --enddatetime 2016-08-15T04:50:30 --enforcementcount 0</v>
      </c>
    </row>
    <row r="15" spans="1:91" s="1" customFormat="1" x14ac:dyDescent="0.25">
      <c r="A15" s="40" t="s">
        <v>332</v>
      </c>
      <c r="B15" s="7">
        <v>4042</v>
      </c>
      <c r="C15" s="25" t="s">
        <v>119</v>
      </c>
      <c r="D15" s="25" t="s">
        <v>304</v>
      </c>
      <c r="E15" s="16">
        <v>42597.155219907407</v>
      </c>
      <c r="F15" s="16">
        <v>42597.156423611108</v>
      </c>
      <c r="G15" s="7">
        <v>1</v>
      </c>
      <c r="H15" s="16" t="s">
        <v>293</v>
      </c>
      <c r="I15" s="16">
        <v>42597.182511574072</v>
      </c>
      <c r="J15" s="7">
        <v>0</v>
      </c>
      <c r="K15" s="142" t="str">
        <f t="shared" si="0"/>
        <v>4041/4042</v>
      </c>
      <c r="L15" s="25" t="str">
        <f>VLOOKUP(A15,'Trips&amp;Operators'!$C$1:$E$10000,3,FALSE)</f>
        <v>ACKERMAN</v>
      </c>
      <c r="M15" s="6">
        <f t="shared" si="1"/>
        <v>2.6087962964083999E-2</v>
      </c>
      <c r="N15" s="7">
        <f t="shared" si="2"/>
        <v>37.566666668280959</v>
      </c>
      <c r="O15" s="7"/>
      <c r="P15" s="7"/>
      <c r="Q15" s="26"/>
      <c r="R15" s="26"/>
      <c r="S15" s="38">
        <f t="shared" si="3"/>
        <v>1</v>
      </c>
      <c r="T15" s="53" t="str">
        <f t="shared" si="4"/>
        <v>NorthBound</v>
      </c>
      <c r="U15" s="13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02:43:31-0600',mode:absolute,to:'2016-08-15 05:22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5" s="55" t="str">
        <f t="shared" si="6"/>
        <v>N</v>
      </c>
      <c r="X15" s="129">
        <f t="shared" si="7"/>
        <v>1</v>
      </c>
      <c r="Y15" s="70">
        <f t="shared" si="8"/>
        <v>6.6600000000000006E-2</v>
      </c>
      <c r="Z15" s="70">
        <f t="shared" si="9"/>
        <v>23.3368</v>
      </c>
      <c r="AA15" s="70">
        <f t="shared" si="10"/>
        <v>23.270199999999999</v>
      </c>
      <c r="AB15" s="67" t="e">
        <f>VLOOKUP(A15,Enforcements!$C$7:$J$24,8,0)</f>
        <v>#N/A</v>
      </c>
      <c r="AC15" s="63" t="e">
        <f>VLOOKUP(A15,Enforcements!$C$7:$E$24,3,0)</f>
        <v>#N/A</v>
      </c>
      <c r="AD15" s="64" t="str">
        <f t="shared" si="11"/>
        <v>0103-15</v>
      </c>
      <c r="AE15" s="104" t="str">
        <f t="shared" si="12"/>
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</c>
      <c r="AF15" s="101" t="str">
        <f t="shared" si="13"/>
        <v>"C:\Program Files (x86)\AstroGrep\AstroGrep.exe" /spath="%USERPROFILE%\AppData\Local\Temp\OnboardLogs" /stypes="*4042*20160815*" /stext=" 10:.+((SYSTEM_STATE.+slice.+state.+changed )|(ment ac)|(system.+state.+changed )|(\|lc)|(penalty)|(\[timeout)|(PRM\|1\|D)|(kpr)|(kdp)|(\|loc))" /e /r /s</v>
      </c>
      <c r="AG15" s="1" t="str">
        <f t="shared" si="15"/>
        <v>EC</v>
      </c>
      <c r="AH15" s="105" t="str">
        <f t="shared" si="16"/>
        <v>"%USERPROFILE%\Documents\GitHub\eaglep3\Utilities\RefineRTDCRunTimes.py" --tripid 103-15 --locoid 4042 --swversion DE.1.0.7.0 --startMP 204:666 --initTime 2016-08-15T03:43:31 --startdatetime 2016-08-15T03:45:15 --delay 1 --endMP 204:233368 --enddatetime 2016-08-15T04:22:49 --enforcementcount 0</v>
      </c>
    </row>
    <row r="16" spans="1:91" s="1" customFormat="1" x14ac:dyDescent="0.25">
      <c r="A16" s="40" t="s">
        <v>333</v>
      </c>
      <c r="B16" s="7">
        <v>4043</v>
      </c>
      <c r="C16" s="25" t="s">
        <v>119</v>
      </c>
      <c r="D16" s="25" t="s">
        <v>334</v>
      </c>
      <c r="E16" s="16">
        <v>42597.190196759257</v>
      </c>
      <c r="F16" s="16">
        <v>42597.191805555558</v>
      </c>
      <c r="G16" s="7">
        <v>2</v>
      </c>
      <c r="H16" s="16" t="s">
        <v>255</v>
      </c>
      <c r="I16" s="16">
        <v>42597.222754629627</v>
      </c>
      <c r="J16" s="7">
        <v>0</v>
      </c>
      <c r="K16" s="142" t="str">
        <f t="shared" si="0"/>
        <v>4043/4044</v>
      </c>
      <c r="L16" s="25" t="str">
        <f>VLOOKUP(A16,'Trips&amp;Operators'!$C$1:$E$10000,3,FALSE)</f>
        <v>ACKERMAN</v>
      </c>
      <c r="M16" s="6">
        <f t="shared" si="1"/>
        <v>3.0949074069212656E-2</v>
      </c>
      <c r="N16" s="7">
        <f t="shared" si="2"/>
        <v>44.566666659666225</v>
      </c>
      <c r="O16" s="7"/>
      <c r="P16" s="7"/>
      <c r="Q16" s="26"/>
      <c r="R16" s="26"/>
      <c r="S16" s="38">
        <f t="shared" si="3"/>
        <v>1</v>
      </c>
      <c r="T16" s="53" t="str">
        <f t="shared" si="4"/>
        <v>Southbound</v>
      </c>
      <c r="U16" s="13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03:33:53-0600',mode:absolute,to:'2016-08-15 06:20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6" s="55" t="str">
        <f t="shared" ref="W16:W25" si="17">IF(AA16&lt;IF(AG16="EC",23,5.65),"Y","N")</f>
        <v>N</v>
      </c>
      <c r="X16" s="129">
        <f t="shared" ref="X16:X25" si="18">VALUE(LEFT(AD16,4))-VALUE(LEFT(AD15,4))</f>
        <v>1</v>
      </c>
      <c r="Y16" s="70">
        <f t="shared" ref="Y16:Y25" si="19">RIGHT(D16,LEN(D16)-4)/10000</f>
        <v>23.2729</v>
      </c>
      <c r="Z16" s="70">
        <f t="shared" si="9"/>
        <v>1.67E-2</v>
      </c>
      <c r="AA16" s="70">
        <f t="shared" si="10"/>
        <v>23.2562</v>
      </c>
      <c r="AB16" s="67" t="e">
        <f>VLOOKUP(A16,Enforcements!$C$7:$J$24,8,0)</f>
        <v>#N/A</v>
      </c>
      <c r="AC16" s="63" t="e">
        <f>VLOOKUP(A16,Enforcements!$C$7:$E$24,3,0)</f>
        <v>#N/A</v>
      </c>
      <c r="AD16" s="64" t="str">
        <f t="shared" si="11"/>
        <v>0104-15</v>
      </c>
      <c r="AE16" s="104" t="str">
        <f t="shared" si="12"/>
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</c>
      <c r="AF16" s="101" t="str">
        <f t="shared" si="13"/>
        <v>"C:\Program Files (x86)\AstroGrep\AstroGrep.exe" /spath="%USERPROFILE%\AppData\Local\Temp\OnboardLogs" /stypes="*4043*20160815*" /stext=" 11:.+((SYSTEM_STATE.+slice.+state.+changed )|(ment ac)|(system.+state.+changed )|(\|lc)|(penalty)|(\[timeout)|(PRM\|1\|D)|(kpr)|(kdp)|(\|loc))" /e /r /s</v>
      </c>
      <c r="AG16" s="1" t="str">
        <f t="shared" si="15"/>
        <v>EC</v>
      </c>
      <c r="AH16" s="105" t="str">
        <f t="shared" si="16"/>
        <v>"%USERPROFILE%\Documents\GitHub\eaglep3\Utilities\RefineRTDCRunTimes.py" --tripid 104-15 --locoid 4043 --swversion DE.1.0.7.0 --startMP 204:232729 --initTime 2016-08-15T04:33:53 --startdatetime 2016-08-15T04:36:12 --delay 2 --endMP 204:167 --enddatetime 2016-08-15T05:20:46 --enforcementcount 0</v>
      </c>
    </row>
    <row r="17" spans="1:34" s="1" customFormat="1" x14ac:dyDescent="0.25">
      <c r="A17" s="40" t="s">
        <v>335</v>
      </c>
      <c r="B17" s="7">
        <v>4027</v>
      </c>
      <c r="C17" s="25" t="s">
        <v>119</v>
      </c>
      <c r="D17" s="25" t="s">
        <v>336</v>
      </c>
      <c r="E17" s="16">
        <v>42597.171354166669</v>
      </c>
      <c r="F17" s="16">
        <v>42597.172430555554</v>
      </c>
      <c r="G17" s="7">
        <v>1</v>
      </c>
      <c r="H17" s="16" t="s">
        <v>294</v>
      </c>
      <c r="I17" s="16">
        <v>42597.203148148146</v>
      </c>
      <c r="J17" s="7">
        <v>0</v>
      </c>
      <c r="K17" s="142" t="str">
        <f t="shared" si="0"/>
        <v>4027/4028</v>
      </c>
      <c r="L17" s="25" t="str">
        <f>VLOOKUP(A17,'Trips&amp;Operators'!$C$1:$E$10000,3,FALSE)</f>
        <v>SANTIZO</v>
      </c>
      <c r="M17" s="6">
        <f t="shared" si="1"/>
        <v>3.071759259182727E-2</v>
      </c>
      <c r="N17" s="7">
        <f t="shared" si="2"/>
        <v>44.233333332231268</v>
      </c>
      <c r="O17" s="7"/>
      <c r="P17" s="7"/>
      <c r="Q17" s="26"/>
      <c r="R17" s="26"/>
      <c r="S17" s="38">
        <f t="shared" si="3"/>
        <v>1</v>
      </c>
      <c r="T17" s="53" t="str">
        <f t="shared" si="4"/>
        <v>NorthBound</v>
      </c>
      <c r="U17" s="13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03:06:45-0600',mode:absolute,to:'2016-08-15 05:52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7" s="55" t="str">
        <f t="shared" si="17"/>
        <v>N</v>
      </c>
      <c r="X17" s="129">
        <f t="shared" si="18"/>
        <v>1</v>
      </c>
      <c r="Y17" s="70">
        <f t="shared" si="19"/>
        <v>6.7299999999999999E-2</v>
      </c>
      <c r="Z17" s="70">
        <f t="shared" si="9"/>
        <v>23.3309</v>
      </c>
      <c r="AA17" s="70">
        <f t="shared" si="10"/>
        <v>23.2636</v>
      </c>
      <c r="AB17" s="67" t="e">
        <f>VLOOKUP(A17,Enforcements!$C$7:$J$24,8,0)</f>
        <v>#N/A</v>
      </c>
      <c r="AC17" s="63" t="e">
        <f>VLOOKUP(A17,Enforcements!$C$7:$E$24,3,0)</f>
        <v>#N/A</v>
      </c>
      <c r="AD17" s="64" t="str">
        <f t="shared" si="11"/>
        <v>0105-15</v>
      </c>
      <c r="AE17" s="104" t="str">
        <f t="shared" si="12"/>
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</c>
      <c r="AF17" s="101" t="str">
        <f t="shared" si="13"/>
        <v>"C:\Program Files (x86)\AstroGrep\AstroGrep.exe" /spath="%USERPROFILE%\AppData\Local\Temp\OnboardLogs" /stypes="*4027*20160815*" /stext=" 10:.+((SYSTEM_STATE.+slice.+state.+changed )|(ment ac)|(system.+state.+changed )|(\|lc)|(penalty)|(\[timeout)|(PRM\|1\|D)|(kpr)|(kdp)|(\|loc))" /e /r /s</v>
      </c>
      <c r="AG17" s="1" t="str">
        <f t="shared" si="15"/>
        <v>EC</v>
      </c>
      <c r="AH17" s="105" t="str">
        <f t="shared" si="16"/>
        <v>"%USERPROFILE%\Documents\GitHub\eaglep3\Utilities\RefineRTDCRunTimes.py" --tripid 105-15 --locoid 4027 --swversion DE.1.0.7.0 --startMP 204:673 --initTime 2016-08-15T04:06:45 --startdatetime 2016-08-15T04:08:18 --delay 1 --endMP 204:233309 --enddatetime 2016-08-15T04:52:32 --enforcementcount 0</v>
      </c>
    </row>
    <row r="18" spans="1:34" s="1" customFormat="1" x14ac:dyDescent="0.25">
      <c r="A18" s="40" t="s">
        <v>337</v>
      </c>
      <c r="B18" s="7">
        <v>4008</v>
      </c>
      <c r="C18" s="25" t="s">
        <v>119</v>
      </c>
      <c r="D18" s="25" t="s">
        <v>338</v>
      </c>
      <c r="E18" s="16">
        <v>42597.21234953704</v>
      </c>
      <c r="F18" s="16">
        <v>42597.213599537034</v>
      </c>
      <c r="G18" s="7">
        <v>1</v>
      </c>
      <c r="H18" s="16" t="s">
        <v>140</v>
      </c>
      <c r="I18" s="16">
        <v>42597.24423611111</v>
      </c>
      <c r="J18" s="7">
        <v>0</v>
      </c>
      <c r="K18" s="142" t="str">
        <f t="shared" si="0"/>
        <v>4007/4008</v>
      </c>
      <c r="L18" s="25" t="str">
        <f>VLOOKUP(A18,'Trips&amp;Operators'!$C$1:$E$10000,3,FALSE)</f>
        <v>SANTIZO</v>
      </c>
      <c r="M18" s="6">
        <f t="shared" si="1"/>
        <v>3.0636574076197576E-2</v>
      </c>
      <c r="N18" s="7">
        <f t="shared" si="2"/>
        <v>44.116666669724509</v>
      </c>
      <c r="O18" s="7"/>
      <c r="P18" s="7"/>
      <c r="Q18" s="26"/>
      <c r="R18" s="26"/>
      <c r="S18" s="38">
        <f t="shared" si="3"/>
        <v>1</v>
      </c>
      <c r="T18" s="53" t="str">
        <f t="shared" si="4"/>
        <v>Southbound</v>
      </c>
      <c r="U18" s="13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04:05:47-0600',mode:absolute,to:'2016-08-15 06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8" s="55" t="str">
        <f t="shared" si="17"/>
        <v>N</v>
      </c>
      <c r="X18" s="129">
        <f t="shared" si="18"/>
        <v>1</v>
      </c>
      <c r="Y18" s="70">
        <f t="shared" si="19"/>
        <v>23.2654</v>
      </c>
      <c r="Z18" s="70">
        <f t="shared" si="9"/>
        <v>1.47E-2</v>
      </c>
      <c r="AA18" s="70">
        <f t="shared" si="10"/>
        <v>23.250699999999998</v>
      </c>
      <c r="AB18" s="67" t="e">
        <f>VLOOKUP(A18,Enforcements!$C$7:$J$24,8,0)</f>
        <v>#N/A</v>
      </c>
      <c r="AC18" s="63" t="e">
        <f>VLOOKUP(A18,Enforcements!$C$7:$E$24,3,0)</f>
        <v>#N/A</v>
      </c>
      <c r="AD18" s="64" t="str">
        <f t="shared" si="11"/>
        <v>0106-15</v>
      </c>
      <c r="AE18" s="104" t="str">
        <f t="shared" si="12"/>
        <v>aws s3 cp s3://rtdc.mdm.uploadarchive/RTDC4008/2016-08-15/ "%USERPROFILE%\AppData\Local\Temp\OnboardLogs"\RTDC4008\2016-08-15 --recursive &amp; "%USERPROFILE%\Documents\GitHub\mrs-test-scripts\Headless Mode &amp; Sideloading\WalkAndUnGZ.bat" "%USERPROFILE%\AppData\Local\Temp\OnboardLogs"\RTDC4008\2016-08-15 &amp; aws s3 cp s3://rtdc.mdm.uploadarchive/RTDC4008/2016-08-16/ "%USERPROFILE%\AppData\Local\Temp\OnboardLogs"\RTDC4008\2016-08-16 --recursive &amp; "%USERPROFILE%\Documents\GitHub\mrs-test-scripts\Headless Mode &amp; Sideloading\WalkAndUnGZ.bat" "%USERPROFILE%\AppData\Local\Temp\OnboardLogs"\RTDC4008\2016-08-16</v>
      </c>
      <c r="AF18" s="101" t="str">
        <f t="shared" si="13"/>
        <v>"C:\Program Files (x86)\AstroGrep\AstroGrep.exe" /spath="%USERPROFILE%\AppData\Local\Temp\OnboardLogs" /stypes="*4008*20160815*" /stext=" 11:.+((SYSTEM_STATE.+slice.+state.+changed )|(ment ac)|(system.+state.+changed )|(\|lc)|(penalty)|(\[timeout)|(PRM\|1\|D)|(kpr)|(kdp)|(\|loc))" /e /r /s</v>
      </c>
      <c r="AG18" s="1" t="str">
        <f t="shared" si="15"/>
        <v>EC</v>
      </c>
      <c r="AH18" s="105" t="str">
        <f t="shared" si="16"/>
        <v>"%USERPROFILE%\Documents\GitHub\eaglep3\Utilities\RefineRTDCRunTimes.py" --tripid 106-15 --locoid 4008 --swversion DE.1.0.7.0 --startMP 204:232654 --initTime 2016-08-15T05:05:47 --startdatetime 2016-08-15T05:07:35 --delay 1 --endMP 204:147 --enddatetime 2016-08-15T05:51:42 --enforcementcount 0</v>
      </c>
    </row>
    <row r="19" spans="1:34" s="1" customFormat="1" x14ac:dyDescent="0.25">
      <c r="A19" s="40" t="s">
        <v>339</v>
      </c>
      <c r="B19" s="7">
        <v>4020</v>
      </c>
      <c r="C19" s="25" t="s">
        <v>119</v>
      </c>
      <c r="D19" s="25" t="s">
        <v>267</v>
      </c>
      <c r="E19" s="16">
        <v>42597.180115740739</v>
      </c>
      <c r="F19" s="16">
        <v>42597.181423611109</v>
      </c>
      <c r="G19" s="7">
        <v>1</v>
      </c>
      <c r="H19" s="16" t="s">
        <v>153</v>
      </c>
      <c r="I19" s="16">
        <v>42597.187719907408</v>
      </c>
      <c r="J19" s="7">
        <v>0</v>
      </c>
      <c r="K19" s="142" t="str">
        <f t="shared" si="0"/>
        <v>4019/4020</v>
      </c>
      <c r="L19" s="25" t="str">
        <f>VLOOKUP(A19,'Trips&amp;Operators'!$C$1:$E$10000,3,FALSE)</f>
        <v>SPECTOR</v>
      </c>
      <c r="M19" s="6">
        <f t="shared" si="1"/>
        <v>6.2962962983874604E-3</v>
      </c>
      <c r="N19" s="7"/>
      <c r="O19" s="7"/>
      <c r="P19" s="7">
        <f>24*60*SUM($M19:$M19)</f>
        <v>9.066666669677943</v>
      </c>
      <c r="Q19" s="26"/>
      <c r="R19" s="26" t="s">
        <v>664</v>
      </c>
      <c r="S19" s="38">
        <f t="shared" si="3"/>
        <v>0</v>
      </c>
      <c r="T19" s="53" t="str">
        <f t="shared" si="4"/>
        <v>NorthBound</v>
      </c>
      <c r="U19" s="13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0</v>
      </c>
      <c r="V19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03:19:22-0600',mode:absolute,to:'2016-08-15 05:30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9" s="55" t="str">
        <f t="shared" si="17"/>
        <v>Y</v>
      </c>
      <c r="X19" s="129">
        <f t="shared" si="18"/>
        <v>1</v>
      </c>
      <c r="Y19" s="70">
        <f t="shared" si="19"/>
        <v>4.7500000000000001E-2</v>
      </c>
      <c r="Z19" s="70">
        <f t="shared" si="9"/>
        <v>4.6899999999999997E-2</v>
      </c>
      <c r="AA19" s="70">
        <f t="shared" si="10"/>
        <v>6.0000000000000331E-4</v>
      </c>
      <c r="AB19" s="67" t="e">
        <f>VLOOKUP(A19,Enforcements!$C$7:$J$24,8,0)</f>
        <v>#N/A</v>
      </c>
      <c r="AC19" s="63" t="e">
        <f>VLOOKUP(A19,Enforcements!$C$7:$E$24,3,0)</f>
        <v>#N/A</v>
      </c>
      <c r="AD19" s="64" t="str">
        <f t="shared" si="11"/>
        <v>0107-15</v>
      </c>
      <c r="AE19" s="104" t="str">
        <f t="shared" si="12"/>
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</c>
      <c r="AF19" s="101" t="str">
        <f t="shared" si="13"/>
        <v>"C:\Program Files (x86)\AstroGrep\AstroGrep.exe" /spath="%USERPROFILE%\AppData\Local\Temp\OnboardLogs" /stypes="*4020*20160815*" /stext=" 10:.+((SYSTEM_STATE.+slice.+state.+changed )|(ment ac)|(system.+state.+changed )|(\|lc)|(penalty)|(\[timeout)|(PRM\|1\|D)|(kpr)|(kdp)|(\|loc))" /e /r /s</v>
      </c>
      <c r="AG19" s="1" t="str">
        <f t="shared" si="15"/>
        <v>EC</v>
      </c>
      <c r="AH19" s="105" t="str">
        <f t="shared" si="16"/>
        <v>"%USERPROFILE%\Documents\GitHub\eaglep3\Utilities\RefineRTDCRunTimes.py" --tripid 107-15 --locoid 4020 --swversion DE.1.0.7.0 --startMP 204:475 --initTime 2016-08-15T04:19:22 --startdatetime 2016-08-15T04:21:15 --delay 1 --endMP 204:469 --enddatetime 2016-08-15T04:30:19 --enforcementcount 0</v>
      </c>
    </row>
    <row r="20" spans="1:34" s="1" customFormat="1" x14ac:dyDescent="0.25">
      <c r="A20" s="40" t="s">
        <v>340</v>
      </c>
      <c r="B20" s="7">
        <v>4019</v>
      </c>
      <c r="C20" s="25" t="s">
        <v>119</v>
      </c>
      <c r="D20" s="25" t="s">
        <v>122</v>
      </c>
      <c r="E20" s="16">
        <v>42597.22515046296</v>
      </c>
      <c r="F20" s="16">
        <v>42597.226331018515</v>
      </c>
      <c r="G20" s="7">
        <v>1</v>
      </c>
      <c r="H20" s="16" t="s">
        <v>259</v>
      </c>
      <c r="I20" s="16">
        <v>42597.25540509259</v>
      </c>
      <c r="J20" s="7">
        <v>0</v>
      </c>
      <c r="K20" s="142" t="str">
        <f t="shared" si="0"/>
        <v>4019/4020</v>
      </c>
      <c r="L20" s="25" t="str">
        <f>VLOOKUP(A20,'Trips&amp;Operators'!$C$1:$E$10000,3,FALSE)</f>
        <v>SPECTOR</v>
      </c>
      <c r="M20" s="6">
        <f t="shared" si="1"/>
        <v>2.9074074074742384E-2</v>
      </c>
      <c r="N20" s="7">
        <f t="shared" si="2"/>
        <v>41.866666667629033</v>
      </c>
      <c r="O20" s="7"/>
      <c r="P20" s="7"/>
      <c r="Q20" s="26"/>
      <c r="R20" s="26"/>
      <c r="S20" s="38">
        <f t="shared" si="3"/>
        <v>1</v>
      </c>
      <c r="T20" s="53" t="str">
        <f t="shared" si="4"/>
        <v>Southbound</v>
      </c>
      <c r="U20" s="13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04:24:13-0600',mode:absolute,to:'2016-08-15 07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20" s="55" t="str">
        <f t="shared" si="17"/>
        <v>N</v>
      </c>
      <c r="X20" s="129">
        <f t="shared" si="18"/>
        <v>1</v>
      </c>
      <c r="Y20" s="70">
        <f t="shared" si="19"/>
        <v>23.299299999999999</v>
      </c>
      <c r="Z20" s="70">
        <f t="shared" si="9"/>
        <v>1.52E-2</v>
      </c>
      <c r="AA20" s="70">
        <f t="shared" si="10"/>
        <v>23.284099999999999</v>
      </c>
      <c r="AB20" s="67">
        <f>VLOOKUP(A20,Enforcements!$C$7:$J$24,8,0)</f>
        <v>33257</v>
      </c>
      <c r="AC20" s="63" t="str">
        <f>VLOOKUP(A20,Enforcements!$C$7:$E$24,3,0)</f>
        <v>GRADE CROSSING</v>
      </c>
      <c r="AD20" s="64" t="str">
        <f t="shared" si="11"/>
        <v>0108-15</v>
      </c>
      <c r="AE20" s="104" t="str">
        <f t="shared" si="12"/>
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</c>
      <c r="AF20" s="101" t="str">
        <f t="shared" si="13"/>
        <v>"C:\Program Files (x86)\AstroGrep\AstroGrep.exe" /spath="%USERPROFILE%\AppData\Local\Temp\OnboardLogs" /stypes="*4019*20160815*" /stext=" 12:.+((SYSTEM_STATE.+slice.+state.+changed )|(ment ac)|(system.+state.+changed )|(\|lc)|(penalty)|(\[timeout)|(PRM\|1\|D)|(kpr)|(kdp)|(\|loc))" /e /r /s</v>
      </c>
      <c r="AG20" s="1" t="str">
        <f t="shared" si="15"/>
        <v>EC</v>
      </c>
      <c r="AH20" s="105" t="str">
        <f t="shared" si="16"/>
        <v>"%USERPROFILE%\Documents\GitHub\eaglep3\Utilities\RefineRTDCRunTimes.py" --tripid 108-15 --locoid 4019 --swversion DE.1.0.7.0 --startMP 204:232993 --initTime 2016-08-15T05:24:13 --startdatetime 2016-08-15T05:25:55 --delay 1 --endMP 204:152 --enddatetime 2016-08-15T06:07:47 --enforcementcount 0</v>
      </c>
    </row>
    <row r="21" spans="1:34" s="1" customFormat="1" x14ac:dyDescent="0.25">
      <c r="A21" s="40" t="s">
        <v>341</v>
      </c>
      <c r="B21" s="7">
        <v>4038</v>
      </c>
      <c r="C21" s="25" t="s">
        <v>119</v>
      </c>
      <c r="D21" s="25" t="s">
        <v>267</v>
      </c>
      <c r="E21" s="16">
        <v>42597.188125000001</v>
      </c>
      <c r="F21" s="16">
        <v>42597.189212962963</v>
      </c>
      <c r="G21" s="7">
        <v>1</v>
      </c>
      <c r="H21" s="16" t="s">
        <v>247</v>
      </c>
      <c r="I21" s="16">
        <v>42597.222256944442</v>
      </c>
      <c r="J21" s="7">
        <v>0</v>
      </c>
      <c r="K21" s="142" t="str">
        <f t="shared" si="0"/>
        <v>4037/4038</v>
      </c>
      <c r="L21" s="25" t="str">
        <f>VLOOKUP(A21,'Trips&amp;Operators'!$C$1:$E$10000,3,FALSE)</f>
        <v>YORK</v>
      </c>
      <c r="M21" s="6">
        <f t="shared" si="1"/>
        <v>3.3043981478840578E-2</v>
      </c>
      <c r="N21" s="7">
        <f t="shared" si="2"/>
        <v>47.583333329530433</v>
      </c>
      <c r="O21" s="7"/>
      <c r="P21" s="7"/>
      <c r="Q21" s="26"/>
      <c r="R21" s="26"/>
      <c r="S21" s="38">
        <f t="shared" si="3"/>
        <v>1</v>
      </c>
      <c r="T21" s="53" t="str">
        <f t="shared" si="4"/>
        <v>NorthBound</v>
      </c>
      <c r="U21" s="13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03:30:54-0600',mode:absolute,to:'2016-08-15 06:20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21" s="55" t="str">
        <f t="shared" si="17"/>
        <v>N</v>
      </c>
      <c r="X21" s="129">
        <f t="shared" si="18"/>
        <v>1</v>
      </c>
      <c r="Y21" s="70">
        <f t="shared" si="19"/>
        <v>4.7500000000000001E-2</v>
      </c>
      <c r="Z21" s="70">
        <f t="shared" si="9"/>
        <v>23.328800000000001</v>
      </c>
      <c r="AA21" s="70">
        <f t="shared" si="10"/>
        <v>23.281300000000002</v>
      </c>
      <c r="AB21" s="67" t="e">
        <f>VLOOKUP(A21,Enforcements!$C$7:$J$24,8,0)</f>
        <v>#N/A</v>
      </c>
      <c r="AC21" s="63" t="e">
        <f>VLOOKUP(A21,Enforcements!$C$7:$E$24,3,0)</f>
        <v>#N/A</v>
      </c>
      <c r="AD21" s="64" t="str">
        <f t="shared" si="11"/>
        <v>0109-15</v>
      </c>
      <c r="AE21" s="104" t="str">
        <f t="shared" si="12"/>
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</c>
      <c r="AF21" s="101" t="str">
        <f t="shared" si="13"/>
        <v>"C:\Program Files (x86)\AstroGrep\AstroGrep.exe" /spath="%USERPROFILE%\AppData\Local\Temp\OnboardLogs" /stypes="*4038*20160815*" /stext=" 11:.+((SYSTEM_STATE.+slice.+state.+changed )|(ment ac)|(system.+state.+changed )|(\|lc)|(penalty)|(\[timeout)|(PRM\|1\|D)|(kpr)|(kdp)|(\|loc))" /e /r /s</v>
      </c>
      <c r="AG21" s="1" t="str">
        <f t="shared" si="15"/>
        <v>EC</v>
      </c>
      <c r="AH21" s="105" t="str">
        <f t="shared" si="16"/>
        <v>"%USERPROFILE%\Documents\GitHub\eaglep3\Utilities\RefineRTDCRunTimes.py" --tripid 109-15 --locoid 4038 --swversion DE.1.0.7.0 --startMP 204:475 --initTime 2016-08-15T04:30:54 --startdatetime 2016-08-15T04:32:28 --delay 1 --endMP 204:233288 --enddatetime 2016-08-15T05:20:03 --enforcementcount 0</v>
      </c>
    </row>
    <row r="22" spans="1:34" s="1" customFormat="1" ht="16.5" customHeight="1" x14ac:dyDescent="0.25">
      <c r="A22" s="40" t="s">
        <v>342</v>
      </c>
      <c r="B22" s="7">
        <v>4037</v>
      </c>
      <c r="C22" s="25" t="s">
        <v>119</v>
      </c>
      <c r="D22" s="25" t="s">
        <v>284</v>
      </c>
      <c r="E22" s="16">
        <v>42597.223067129627</v>
      </c>
      <c r="F22" s="16">
        <v>42597.224768518521</v>
      </c>
      <c r="G22" s="7">
        <v>2</v>
      </c>
      <c r="H22" s="16" t="s">
        <v>189</v>
      </c>
      <c r="I22" s="16">
        <v>42597.26253472222</v>
      </c>
      <c r="J22" s="7">
        <v>0</v>
      </c>
      <c r="K22" s="142" t="str">
        <f t="shared" si="0"/>
        <v>4037/4038</v>
      </c>
      <c r="L22" s="25" t="str">
        <f>VLOOKUP(A22,'Trips&amp;Operators'!$C$1:$E$10000,3,FALSE)</f>
        <v>YORK</v>
      </c>
      <c r="M22" s="6">
        <f t="shared" si="1"/>
        <v>3.7766203698993195E-2</v>
      </c>
      <c r="N22" s="7">
        <f t="shared" si="2"/>
        <v>54.383333326550201</v>
      </c>
      <c r="O22" s="7"/>
      <c r="P22" s="7"/>
      <c r="Q22" s="26"/>
      <c r="R22" s="26"/>
      <c r="S22" s="38">
        <f t="shared" si="3"/>
        <v>1</v>
      </c>
      <c r="T22" s="53" t="str">
        <f t="shared" si="4"/>
        <v>Southbound</v>
      </c>
      <c r="U22" s="13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04:21:13-0600',mode:absolute,to:'2016-08-15 07:18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22" s="55" t="str">
        <f t="shared" si="17"/>
        <v>N</v>
      </c>
      <c r="X22" s="129">
        <f t="shared" si="18"/>
        <v>1</v>
      </c>
      <c r="Y22" s="70">
        <f t="shared" si="19"/>
        <v>23.2971</v>
      </c>
      <c r="Z22" s="70">
        <f t="shared" si="9"/>
        <v>1.4999999999999999E-2</v>
      </c>
      <c r="AA22" s="70">
        <f t="shared" si="10"/>
        <v>23.2821</v>
      </c>
      <c r="AB22" s="67" t="e">
        <f>VLOOKUP(A22,Enforcements!$C$7:$J$24,8,0)</f>
        <v>#N/A</v>
      </c>
      <c r="AC22" s="63" t="e">
        <f>VLOOKUP(A22,Enforcements!$C$7:$E$24,3,0)</f>
        <v>#N/A</v>
      </c>
      <c r="AD22" s="64" t="str">
        <f t="shared" si="11"/>
        <v>0110-15</v>
      </c>
      <c r="AE22" s="104" t="str">
        <f t="shared" si="12"/>
        <v>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 &amp; 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</v>
      </c>
      <c r="AF22" s="101" t="str">
        <f t="shared" si="13"/>
        <v>"C:\Program Files (x86)\AstroGrep\AstroGrep.exe" /spath="%USERPROFILE%\AppData\Local\Temp\OnboardLogs" /stypes="*4037*20160815*" /stext=" 12:.+((SYSTEM_STATE.+slice.+state.+changed )|(ment ac)|(system.+state.+changed )|(\|lc)|(penalty)|(\[timeout)|(PRM\|1\|D)|(kpr)|(kdp)|(\|loc))" /e /r /s</v>
      </c>
      <c r="AG22" s="1" t="str">
        <f t="shared" si="15"/>
        <v>EC</v>
      </c>
      <c r="AH22" s="105" t="str">
        <f t="shared" si="16"/>
        <v>"%USERPROFILE%\Documents\GitHub\eaglep3\Utilities\RefineRTDCRunTimes.py" --tripid 110-15 --locoid 4037 --swversion DE.1.0.7.0 --startMP 204:232971 --initTime 2016-08-15T05:21:13 --startdatetime 2016-08-15T05:23:40 --delay 2 --endMP 204:150 --enddatetime 2016-08-15T06:18:03 --enforcementcount 0</v>
      </c>
    </row>
    <row r="23" spans="1:34" s="1" customFormat="1" x14ac:dyDescent="0.25">
      <c r="A23" s="40" t="s">
        <v>343</v>
      </c>
      <c r="B23" s="7">
        <v>4031</v>
      </c>
      <c r="C23" s="25" t="s">
        <v>119</v>
      </c>
      <c r="D23" s="25" t="s">
        <v>344</v>
      </c>
      <c r="E23" s="16">
        <v>42597.204756944448</v>
      </c>
      <c r="F23" s="16">
        <v>42597.206018518518</v>
      </c>
      <c r="G23" s="7">
        <v>1</v>
      </c>
      <c r="H23" s="16" t="s">
        <v>171</v>
      </c>
      <c r="I23" s="16">
        <v>42597.235289351855</v>
      </c>
      <c r="J23" s="7">
        <v>0</v>
      </c>
      <c r="K23" s="142" t="str">
        <f t="shared" si="0"/>
        <v>4031/4032</v>
      </c>
      <c r="L23" s="25" t="str">
        <f>VLOOKUP(A23,'Trips&amp;Operators'!$C$1:$E$10000,3,FALSE)</f>
        <v>STARKS</v>
      </c>
      <c r="M23" s="6">
        <f t="shared" si="1"/>
        <v>2.9270833336340729E-2</v>
      </c>
      <c r="N23" s="7">
        <f t="shared" si="2"/>
        <v>42.15000000433065</v>
      </c>
      <c r="O23" s="7"/>
      <c r="P23" s="7"/>
      <c r="Q23" s="26"/>
      <c r="R23" s="26"/>
      <c r="S23" s="38">
        <f t="shared" si="3"/>
        <v>1</v>
      </c>
      <c r="T23" s="53" t="str">
        <f t="shared" si="4"/>
        <v>NorthBound</v>
      </c>
      <c r="U23" s="13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03:54:51-0600',mode:absolute,to:'2016-08-15 06:38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23" s="55" t="str">
        <f t="shared" si="17"/>
        <v>N</v>
      </c>
      <c r="X23" s="129">
        <f t="shared" si="18"/>
        <v>1</v>
      </c>
      <c r="Y23" s="70">
        <f t="shared" si="19"/>
        <v>8.1199999999999994E-2</v>
      </c>
      <c r="Z23" s="70">
        <f t="shared" si="9"/>
        <v>23.33</v>
      </c>
      <c r="AA23" s="70">
        <f t="shared" si="10"/>
        <v>23.248799999999999</v>
      </c>
      <c r="AB23" s="67">
        <f>VLOOKUP(A23,Enforcements!$C$7:$J$24,8,0)</f>
        <v>0</v>
      </c>
      <c r="AC23" s="63" t="str">
        <f>VLOOKUP(A23,Enforcements!$C$7:$E$24,3,0)</f>
        <v>PERMANENT SPEED RESTRICTION</v>
      </c>
      <c r="AD23" s="64" t="str">
        <f t="shared" si="11"/>
        <v>0111-15</v>
      </c>
      <c r="AE23" s="104" t="str">
        <f t="shared" si="12"/>
        <v>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 &amp; 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</v>
      </c>
      <c r="AF23" s="101" t="str">
        <f t="shared" si="13"/>
        <v>"C:\Program Files (x86)\AstroGrep\AstroGrep.exe" /spath="%USERPROFILE%\AppData\Local\Temp\OnboardLogs" /stypes="*4031*20160815*" /stext=" 11:.+((SYSTEM_STATE.+slice.+state.+changed )|(ment ac)|(system.+state.+changed )|(\|lc)|(penalty)|(\[timeout)|(PRM\|1\|D)|(kpr)|(kdp)|(\|loc))" /e /r /s</v>
      </c>
      <c r="AG23" s="1" t="str">
        <f t="shared" si="15"/>
        <v>EC</v>
      </c>
      <c r="AH23" s="105" t="str">
        <f t="shared" si="16"/>
        <v>"%USERPROFILE%\Documents\GitHub\eaglep3\Utilities\RefineRTDCRunTimes.py" --tripid 111-15 --locoid 4031 --swversion DE.1.0.7.0 --startMP 204:812 --initTime 2016-08-15T04:54:51 --startdatetime 2016-08-15T04:56:40 --delay 1 --endMP 204:233300 --enddatetime 2016-08-15T05:38:49 --enforcementcount 0</v>
      </c>
    </row>
    <row r="24" spans="1:34" s="32" customFormat="1" x14ac:dyDescent="0.25">
      <c r="A24" s="40" t="s">
        <v>345</v>
      </c>
      <c r="B24" s="7">
        <v>4032</v>
      </c>
      <c r="C24" s="25" t="s">
        <v>119</v>
      </c>
      <c r="D24" s="25" t="s">
        <v>143</v>
      </c>
      <c r="E24" s="16">
        <v>42597.243969907409</v>
      </c>
      <c r="F24" s="16">
        <v>42597.245358796295</v>
      </c>
      <c r="G24" s="7">
        <v>2</v>
      </c>
      <c r="H24" s="16" t="s">
        <v>92</v>
      </c>
      <c r="I24" s="16">
        <v>42597.275057870371</v>
      </c>
      <c r="J24" s="7">
        <v>0</v>
      </c>
      <c r="K24" s="142" t="str">
        <f t="shared" si="0"/>
        <v>4031/4032</v>
      </c>
      <c r="L24" s="25" t="str">
        <f>VLOOKUP(A24,'Trips&amp;Operators'!$C$1:$E$10000,3,FALSE)</f>
        <v>STARKS</v>
      </c>
      <c r="M24" s="6">
        <f t="shared" si="1"/>
        <v>2.9699074075324461E-2</v>
      </c>
      <c r="N24" s="7">
        <f t="shared" si="2"/>
        <v>42.766666668467224</v>
      </c>
      <c r="O24" s="7"/>
      <c r="P24" s="7"/>
      <c r="Q24" s="26"/>
      <c r="R24" s="26"/>
      <c r="S24" s="38">
        <f t="shared" si="3"/>
        <v>1</v>
      </c>
      <c r="T24" s="53" t="str">
        <f t="shared" si="4"/>
        <v>Southbound</v>
      </c>
      <c r="U24" s="13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04:51:19-0600',mode:absolute,to:'2016-08-15 07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24" s="55" t="str">
        <f t="shared" si="17"/>
        <v>N</v>
      </c>
      <c r="X24" s="129">
        <f t="shared" si="18"/>
        <v>1</v>
      </c>
      <c r="Y24" s="70">
        <f t="shared" si="19"/>
        <v>23.299399999999999</v>
      </c>
      <c r="Z24" s="70">
        <f t="shared" si="9"/>
        <v>1.43E-2</v>
      </c>
      <c r="AA24" s="70">
        <f t="shared" si="10"/>
        <v>23.2851</v>
      </c>
      <c r="AB24" s="67" t="e">
        <f>VLOOKUP(A24,Enforcements!$C$7:$J$24,8,0)</f>
        <v>#N/A</v>
      </c>
      <c r="AC24" s="63" t="e">
        <f>VLOOKUP(A24,Enforcements!$C$7:$E$24,3,0)</f>
        <v>#N/A</v>
      </c>
      <c r="AD24" s="64" t="str">
        <f t="shared" si="11"/>
        <v>0112-15</v>
      </c>
      <c r="AE24" s="104" t="str">
        <f t="shared" si="12"/>
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</c>
      <c r="AF24" s="101" t="str">
        <f t="shared" si="13"/>
        <v>"C:\Program Files (x86)\AstroGrep\AstroGrep.exe" /spath="%USERPROFILE%\AppData\Local\Temp\OnboardLogs" /stypes="*4032*20160815*" /stext=" 12:.+((SYSTEM_STATE.+slice.+state.+changed )|(ment ac)|(system.+state.+changed )|(\|lc)|(penalty)|(\[timeout)|(PRM\|1\|D)|(kpr)|(kdp)|(\|loc))" /e /r /s</v>
      </c>
      <c r="AG24" s="1" t="str">
        <f t="shared" si="15"/>
        <v>EC</v>
      </c>
      <c r="AH24" s="105" t="str">
        <f t="shared" si="16"/>
        <v>"%USERPROFILE%\Documents\GitHub\eaglep3\Utilities\RefineRTDCRunTimes.py" --tripid 112-15 --locoid 4032 --swversion DE.1.0.7.0 --startMP 204:232994 --initTime 2016-08-15T05:51:19 --startdatetime 2016-08-15T05:53:19 --delay 2 --endMP 204:143 --enddatetime 2016-08-15T06:36:05 --enforcementcount 0</v>
      </c>
    </row>
    <row r="25" spans="1:34" s="1" customFormat="1" x14ac:dyDescent="0.25">
      <c r="A25" s="40" t="s">
        <v>346</v>
      </c>
      <c r="B25" s="7">
        <v>4009</v>
      </c>
      <c r="C25" s="25" t="s">
        <v>119</v>
      </c>
      <c r="D25" s="25" t="s">
        <v>113</v>
      </c>
      <c r="E25" s="16">
        <v>42597.205567129633</v>
      </c>
      <c r="F25" s="16">
        <v>42597.206805555557</v>
      </c>
      <c r="G25" s="7">
        <v>1</v>
      </c>
      <c r="H25" s="16" t="s">
        <v>195</v>
      </c>
      <c r="I25" s="16">
        <v>42597.244710648149</v>
      </c>
      <c r="J25" s="7">
        <v>0</v>
      </c>
      <c r="K25" s="142" t="str">
        <f t="shared" si="0"/>
        <v>4009/4010</v>
      </c>
      <c r="L25" s="25" t="str">
        <f>VLOOKUP(A25,'Trips&amp;Operators'!$C$1:$E$10000,3,FALSE)</f>
        <v>SWANSON</v>
      </c>
      <c r="M25" s="6">
        <f t="shared" si="1"/>
        <v>3.7905092591245193E-2</v>
      </c>
      <c r="N25" s="7">
        <f t="shared" si="2"/>
        <v>54.583333331393078</v>
      </c>
      <c r="O25" s="7"/>
      <c r="P25" s="7"/>
      <c r="Q25" s="26"/>
      <c r="R25" s="26"/>
      <c r="S25" s="38">
        <f t="shared" si="3"/>
        <v>1</v>
      </c>
      <c r="T25" s="53" t="str">
        <f t="shared" si="4"/>
        <v>NorthBound</v>
      </c>
      <c r="U25" s="13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03:56:01-0600',mode:absolute,to:'2016-08-15 06:52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25" s="55" t="str">
        <f t="shared" si="17"/>
        <v>N</v>
      </c>
      <c r="X25" s="129">
        <f t="shared" si="18"/>
        <v>1</v>
      </c>
      <c r="Y25" s="70">
        <f t="shared" si="19"/>
        <v>4.6399999999999997E-2</v>
      </c>
      <c r="Z25" s="70">
        <f t="shared" si="9"/>
        <v>23.3291</v>
      </c>
      <c r="AA25" s="70">
        <f t="shared" si="10"/>
        <v>23.282700000000002</v>
      </c>
      <c r="AB25" s="67" t="e">
        <f>VLOOKUP(A25,Enforcements!$C$7:$J$24,8,0)</f>
        <v>#N/A</v>
      </c>
      <c r="AC25" s="63" t="e">
        <f>VLOOKUP(A25,Enforcements!$C$7:$E$24,3,0)</f>
        <v>#N/A</v>
      </c>
      <c r="AD25" s="64" t="str">
        <f t="shared" si="11"/>
        <v>0113-15</v>
      </c>
      <c r="AE25" s="104" t="str">
        <f t="shared" si="12"/>
        <v>aws s3 cp s3://rtdc.mdm.uploadarchive/RTDC4009/2016-08-15/ "%USERPROFILE%\AppData\Local\Temp\OnboardLogs"\RTDC4009\2016-08-15 --recursive &amp; "%USERPROFILE%\Documents\GitHub\mrs-test-scripts\Headless Mode &amp; Sideloading\WalkAndUnGZ.bat" "%USERPROFILE%\AppData\Local\Temp\OnboardLogs"\RTDC4009\2016-08-15 &amp; 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</v>
      </c>
      <c r="AF25" s="101" t="str">
        <f t="shared" si="13"/>
        <v>"C:\Program Files (x86)\AstroGrep\AstroGrep.exe" /spath="%USERPROFILE%\AppData\Local\Temp\OnboardLogs" /stypes="*4009*20160815*" /stext=" 11:.+((SYSTEM_STATE.+slice.+state.+changed )|(ment ac)|(system.+state.+changed )|(\|lc)|(penalty)|(\[timeout)|(PRM\|1\|D)|(kpr)|(kdp)|(\|loc))" /e /r /s</v>
      </c>
      <c r="AG25" s="1" t="str">
        <f t="shared" si="15"/>
        <v>EC</v>
      </c>
      <c r="AH25" s="105" t="str">
        <f t="shared" si="16"/>
        <v>"%USERPROFILE%\Documents\GitHub\eaglep3\Utilities\RefineRTDCRunTimes.py" --tripid 113-15 --locoid 4009 --swversion DE.1.0.7.0 --startMP 204:464 --initTime 2016-08-15T04:56:01 --startdatetime 2016-08-15T04:57:48 --delay 1 --endMP 204:233291 --enddatetime 2016-08-15T05:52:23 --enforcementcount 0</v>
      </c>
    </row>
    <row r="26" spans="1:34" s="1" customFormat="1" x14ac:dyDescent="0.25">
      <c r="A26" s="40" t="s">
        <v>347</v>
      </c>
      <c r="B26" s="7">
        <v>4010</v>
      </c>
      <c r="C26" s="25" t="s">
        <v>119</v>
      </c>
      <c r="D26" s="25" t="s">
        <v>200</v>
      </c>
      <c r="E26" s="16">
        <v>42597.253611111111</v>
      </c>
      <c r="F26" s="16">
        <v>42597.254583333335</v>
      </c>
      <c r="G26" s="7">
        <v>1</v>
      </c>
      <c r="H26" s="16" t="s">
        <v>189</v>
      </c>
      <c r="I26" s="16">
        <v>42597.285416666666</v>
      </c>
      <c r="J26" s="7">
        <v>0</v>
      </c>
      <c r="K26" s="142" t="str">
        <f t="shared" si="0"/>
        <v>4009/4010</v>
      </c>
      <c r="L26" s="25" t="str">
        <f>VLOOKUP(A26,'Trips&amp;Operators'!$C$1:$E$10000,3,FALSE)</f>
        <v>SWANSON</v>
      </c>
      <c r="M26" s="6">
        <f t="shared" si="1"/>
        <v>3.0833333330519963E-2</v>
      </c>
      <c r="N26" s="7">
        <f t="shared" si="2"/>
        <v>44.399999995948747</v>
      </c>
      <c r="O26" s="7"/>
      <c r="P26" s="7"/>
      <c r="Q26" s="26"/>
      <c r="R26" s="26"/>
      <c r="S26" s="38">
        <f t="shared" si="3"/>
        <v>1</v>
      </c>
      <c r="T26" s="53" t="str">
        <f t="shared" si="4"/>
        <v>Southbound</v>
      </c>
      <c r="U26" s="13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05:05:12-0600',mode:absolute,to:'2016-08-15 07:51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26" s="55" t="str">
        <f t="shared" si="6"/>
        <v>N</v>
      </c>
      <c r="X26" s="129">
        <f t="shared" si="7"/>
        <v>1</v>
      </c>
      <c r="Y26" s="70">
        <f t="shared" si="8"/>
        <v>23.296500000000002</v>
      </c>
      <c r="Z26" s="70">
        <f t="shared" si="9"/>
        <v>1.4999999999999999E-2</v>
      </c>
      <c r="AA26" s="70">
        <f t="shared" si="10"/>
        <v>23.281500000000001</v>
      </c>
      <c r="AB26" s="67" t="e">
        <f>VLOOKUP(A26,Enforcements!$C$7:$J$24,8,0)</f>
        <v>#N/A</v>
      </c>
      <c r="AC26" s="63" t="e">
        <f>VLOOKUP(A26,Enforcements!$C$7:$E$24,3,0)</f>
        <v>#N/A</v>
      </c>
      <c r="AD26" s="64" t="str">
        <f t="shared" si="11"/>
        <v>0114-15</v>
      </c>
      <c r="AE26" s="104" t="str">
        <f t="shared" si="12"/>
        <v>aws s3 cp s3://rtdc.mdm.uploadarchive/RTDC4010/2016-08-15/ "%USERPROFILE%\AppData\Local\Temp\OnboardLogs"\RTDC4010\2016-08-15 --recursive &amp; "%USERPROFILE%\Documents\GitHub\mrs-test-scripts\Headless Mode &amp; Sideloading\WalkAndUnGZ.bat" "%USERPROFILE%\AppData\Local\Temp\OnboardLogs"\RTDC4010\2016-08-15 &amp; 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</v>
      </c>
      <c r="AF26" s="101" t="str">
        <f t="shared" si="13"/>
        <v>"C:\Program Files (x86)\AstroGrep\AstroGrep.exe" /spath="%USERPROFILE%\AppData\Local\Temp\OnboardLogs" /stypes="*4010*20160815*" /stext=" 12:.+((SYSTEM_STATE.+slice.+state.+changed )|(ment ac)|(system.+state.+changed )|(\|lc)|(penalty)|(\[timeout)|(PRM\|1\|D)|(kpr)|(kdp)|(\|loc))" /e /r /s</v>
      </c>
      <c r="AG26" s="1" t="str">
        <f t="shared" si="15"/>
        <v>EC</v>
      </c>
      <c r="AH26" s="105" t="str">
        <f t="shared" si="16"/>
        <v>"%USERPROFILE%\Documents\GitHub\eaglep3\Utilities\RefineRTDCRunTimes.py" --tripid 114-15 --locoid 4010 --swversion DE.1.0.7.0 --startMP 204:232965 --initTime 2016-08-15T06:05:12 --startdatetime 2016-08-15T06:06:36 --delay 1 --endMP 204:150 --enddatetime 2016-08-15T06:51:00 --enforcementcount 0</v>
      </c>
    </row>
    <row r="27" spans="1:34" s="1" customFormat="1" ht="14.25" customHeight="1" x14ac:dyDescent="0.25">
      <c r="A27" s="40" t="s">
        <v>348</v>
      </c>
      <c r="B27" s="7">
        <v>4042</v>
      </c>
      <c r="C27" s="25" t="s">
        <v>119</v>
      </c>
      <c r="D27" s="25" t="s">
        <v>262</v>
      </c>
      <c r="E27" s="16">
        <v>42597.225462962961</v>
      </c>
      <c r="F27" s="16">
        <v>42597.227187500001</v>
      </c>
      <c r="G27" s="7">
        <v>2</v>
      </c>
      <c r="H27" s="16" t="s">
        <v>315</v>
      </c>
      <c r="I27" s="16">
        <v>42597.255798611113</v>
      </c>
      <c r="J27" s="7">
        <v>0</v>
      </c>
      <c r="K27" s="142" t="str">
        <f t="shared" si="0"/>
        <v>4041/4042</v>
      </c>
      <c r="L27" s="25" t="str">
        <f>VLOOKUP(A27,'Trips&amp;Operators'!$C$1:$E$10000,3,FALSE)</f>
        <v>MALAVE</v>
      </c>
      <c r="M27" s="6">
        <f t="shared" si="1"/>
        <v>2.8611111112695653E-2</v>
      </c>
      <c r="N27" s="7">
        <f t="shared" si="2"/>
        <v>41.20000000228174</v>
      </c>
      <c r="O27" s="7"/>
      <c r="P27" s="7"/>
      <c r="Q27" s="26"/>
      <c r="R27" s="26"/>
      <c r="S27" s="38">
        <f t="shared" si="3"/>
        <v>1</v>
      </c>
      <c r="T27" s="53" t="str">
        <f t="shared" si="4"/>
        <v>NorthBound</v>
      </c>
      <c r="U27" s="13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04:24:40-0600',mode:absolute,to:'2016-08-15 07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27" s="55" t="str">
        <f t="shared" si="6"/>
        <v>N</v>
      </c>
      <c r="X27" s="129">
        <f t="shared" si="7"/>
        <v>1</v>
      </c>
      <c r="Y27" s="70">
        <f t="shared" si="8"/>
        <v>7.4800000000000005E-2</v>
      </c>
      <c r="Z27" s="70">
        <f t="shared" si="9"/>
        <v>23.3278</v>
      </c>
      <c r="AA27" s="70">
        <f t="shared" si="10"/>
        <v>23.253</v>
      </c>
      <c r="AB27" s="67" t="e">
        <f>VLOOKUP(A27,Enforcements!$C$7:$J$24,8,0)</f>
        <v>#N/A</v>
      </c>
      <c r="AC27" s="63" t="e">
        <f>VLOOKUP(A27,Enforcements!$C$7:$E$24,3,0)</f>
        <v>#N/A</v>
      </c>
      <c r="AD27" s="64" t="str">
        <f t="shared" si="11"/>
        <v>0115-15</v>
      </c>
      <c r="AE27" s="104" t="str">
        <f t="shared" si="12"/>
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</c>
      <c r="AF27" s="101" t="str">
        <f t="shared" si="13"/>
        <v>"C:\Program Files (x86)\AstroGrep\AstroGrep.exe" /spath="%USERPROFILE%\AppData\Local\Temp\OnboardLogs" /stypes="*4042*20160815*" /stext=" 12:.+((SYSTEM_STATE.+slice.+state.+changed )|(ment ac)|(system.+state.+changed )|(\|lc)|(penalty)|(\[timeout)|(PRM\|1\|D)|(kpr)|(kdp)|(\|loc))" /e /r /s</v>
      </c>
      <c r="AG27" s="1" t="str">
        <f t="shared" si="15"/>
        <v>EC</v>
      </c>
      <c r="AH27" s="105" t="str">
        <f t="shared" si="16"/>
        <v>"%USERPROFILE%\Documents\GitHub\eaglep3\Utilities\RefineRTDCRunTimes.py" --tripid 115-15 --locoid 4042 --swversion DE.1.0.7.0 --startMP 204:748 --initTime 2016-08-15T05:24:40 --startdatetime 2016-08-15T05:27:09 --delay 2 --endMP 204:233278 --enddatetime 2016-08-15T06:08:21 --enforcementcount 0</v>
      </c>
    </row>
    <row r="28" spans="1:34" s="1" customFormat="1" x14ac:dyDescent="0.25">
      <c r="A28" s="40" t="s">
        <v>349</v>
      </c>
      <c r="B28" s="7">
        <v>4041</v>
      </c>
      <c r="C28" s="25" t="s">
        <v>119</v>
      </c>
      <c r="D28" s="25" t="s">
        <v>350</v>
      </c>
      <c r="E28" s="16">
        <v>42597.266574074078</v>
      </c>
      <c r="F28" s="16">
        <v>42597.267511574071</v>
      </c>
      <c r="G28" s="7">
        <v>1</v>
      </c>
      <c r="H28" s="16" t="s">
        <v>351</v>
      </c>
      <c r="I28" s="16">
        <v>42597.287453703706</v>
      </c>
      <c r="J28" s="7">
        <v>0</v>
      </c>
      <c r="K28" s="142" t="str">
        <f t="shared" si="0"/>
        <v>4041/4042</v>
      </c>
      <c r="L28" s="25" t="str">
        <f>VLOOKUP(A28,'Trips&amp;Operators'!$C$1:$E$10000,3,FALSE)</f>
        <v>MALAVE</v>
      </c>
      <c r="M28" s="6">
        <f t="shared" si="1"/>
        <v>1.994212963472819E-2</v>
      </c>
      <c r="N28" s="7"/>
      <c r="O28" s="7"/>
      <c r="P28" s="7">
        <f>24*60*SUM($M28:$M29)</f>
        <v>39.066666673170403</v>
      </c>
      <c r="Q28" s="26"/>
      <c r="R28" s="26" t="s">
        <v>654</v>
      </c>
      <c r="S28" s="38">
        <f>SUM(U28:U29)/IF(AG28="EC",12,1)</f>
        <v>0.33333333333333331</v>
      </c>
      <c r="T28" s="53" t="str">
        <f t="shared" si="4"/>
        <v>Southbound</v>
      </c>
      <c r="U28" s="13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3</v>
      </c>
      <c r="V28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05:23:52-0600',mode:absolute,to:'2016-08-15 07:53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28" s="55" t="str">
        <f t="shared" si="6"/>
        <v>Y</v>
      </c>
      <c r="X28" s="129">
        <f t="shared" si="7"/>
        <v>1</v>
      </c>
      <c r="Y28" s="70">
        <f t="shared" si="8"/>
        <v>23.296399999999998</v>
      </c>
      <c r="Z28" s="70">
        <f t="shared" si="9"/>
        <v>6.7645</v>
      </c>
      <c r="AA28" s="70">
        <f t="shared" si="10"/>
        <v>16.5319</v>
      </c>
      <c r="AB28" s="67" t="e">
        <f>VLOOKUP(A28,Enforcements!$C$7:$J$24,8,0)</f>
        <v>#N/A</v>
      </c>
      <c r="AC28" s="63" t="e">
        <f>VLOOKUP(A28,Enforcements!$C$7:$E$24,3,0)</f>
        <v>#N/A</v>
      </c>
      <c r="AD28" s="64" t="str">
        <f t="shared" si="11"/>
        <v>0116-15</v>
      </c>
      <c r="AE28" s="104" t="str">
        <f t="shared" si="12"/>
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</c>
      <c r="AF28" s="101" t="str">
        <f t="shared" si="13"/>
        <v>"C:\Program Files (x86)\AstroGrep\AstroGrep.exe" /spath="%USERPROFILE%\AppData\Local\Temp\OnboardLogs" /stypes="*4041*20160815*" /stext=" 12:.+((SYSTEM_STATE.+slice.+state.+changed )|(ment ac)|(system.+state.+changed )|(\|lc)|(penalty)|(\[timeout)|(PRM\|1\|D)|(kpr)|(kdp)|(\|loc))" /e /r /s</v>
      </c>
      <c r="AG28" s="1" t="str">
        <f t="shared" si="15"/>
        <v>EC</v>
      </c>
      <c r="AH28" s="105" t="str">
        <f t="shared" si="16"/>
        <v>"%USERPROFILE%\Documents\GitHub\eaglep3\Utilities\RefineRTDCRunTimes.py" --tripid 116-15 --locoid 4041 --swversion DE.1.0.7.0 --startMP 204:232964 --initTime 2016-08-15T06:23:52 --startdatetime 2016-08-15T06:25:13 --delay 1 --endMP 204:67645 --enddatetime 2016-08-15T06:53:56 --enforcementcount 0</v>
      </c>
    </row>
    <row r="29" spans="1:34" s="1" customFormat="1" x14ac:dyDescent="0.25">
      <c r="A29" s="40" t="s">
        <v>349</v>
      </c>
      <c r="B29" s="7">
        <v>4041</v>
      </c>
      <c r="C29" s="25" t="s">
        <v>119</v>
      </c>
      <c r="D29" s="25" t="s">
        <v>352</v>
      </c>
      <c r="E29" s="16">
        <v>42597.293368055558</v>
      </c>
      <c r="F29" s="16">
        <v>42597.29409722222</v>
      </c>
      <c r="G29" s="7">
        <v>1</v>
      </c>
      <c r="H29" s="16" t="s">
        <v>191</v>
      </c>
      <c r="I29" s="16">
        <v>42597.30128472222</v>
      </c>
      <c r="J29" s="7">
        <v>0</v>
      </c>
      <c r="K29" s="142" t="str">
        <f t="shared" si="0"/>
        <v>4041/4042</v>
      </c>
      <c r="L29" s="25" t="str">
        <f>VLOOKUP(A29,'Trips&amp;Operators'!$C$1:$E$10000,3,FALSE)</f>
        <v>MALAVE</v>
      </c>
      <c r="M29" s="6">
        <f t="shared" si="1"/>
        <v>7.1874999994179234E-3</v>
      </c>
      <c r="N29" s="7"/>
      <c r="O29" s="7"/>
      <c r="P29" s="7"/>
      <c r="Q29" s="26"/>
      <c r="R29" s="26"/>
      <c r="S29" s="38"/>
      <c r="T29" s="53" t="str">
        <f t="shared" si="4"/>
        <v>Southbound</v>
      </c>
      <c r="U29" s="13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</v>
      </c>
      <c r="V29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06:02:27-0600',mode:absolute,to:'2016-08-15 08:13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29" s="55" t="str">
        <f t="shared" si="6"/>
        <v>Y</v>
      </c>
      <c r="X29" s="129">
        <f t="shared" si="7"/>
        <v>0</v>
      </c>
      <c r="Y29" s="70">
        <f t="shared" si="8"/>
        <v>3.0057</v>
      </c>
      <c r="Z29" s="70">
        <f t="shared" si="9"/>
        <v>1.5599999999999999E-2</v>
      </c>
      <c r="AA29" s="70">
        <f t="shared" si="10"/>
        <v>2.9901</v>
      </c>
      <c r="AB29" s="67" t="e">
        <f>VLOOKUP(A29,Enforcements!$C$7:$J$24,8,0)</f>
        <v>#N/A</v>
      </c>
      <c r="AC29" s="63" t="e">
        <f>VLOOKUP(A29,Enforcements!$C$7:$E$24,3,0)</f>
        <v>#N/A</v>
      </c>
      <c r="AD29" s="64" t="str">
        <f t="shared" si="11"/>
        <v>0116-15</v>
      </c>
      <c r="AE29" s="104" t="str">
        <f t="shared" si="12"/>
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</c>
      <c r="AF29" s="101" t="str">
        <f t="shared" si="13"/>
        <v>"C:\Program Files (x86)\AstroGrep\AstroGrep.exe" /spath="%USERPROFILE%\AppData\Local\Temp\OnboardLogs" /stypes="*4041*20160815*" /stext=" 13:.+((SYSTEM_STATE.+slice.+state.+changed )|(ment ac)|(system.+state.+changed )|(\|lc)|(penalty)|(\[timeout)|(PRM\|1\|D)|(kpr)|(kdp)|(\|loc))" /e /r /s</v>
      </c>
      <c r="AG29" s="1" t="str">
        <f t="shared" si="15"/>
        <v>EC</v>
      </c>
      <c r="AH29" s="105" t="str">
        <f t="shared" si="16"/>
        <v>"%USERPROFILE%\Documents\GitHub\eaglep3\Utilities\RefineRTDCRunTimes.py" --tripid 116-15 --locoid 4041 --swversion DE.1.0.7.0 --startMP 204:30057 --initTime 2016-08-15T07:02:27 --startdatetime 2016-08-15T07:03:30 --delay 1 --endMP 204:156 --enddatetime 2016-08-15T07:13:51 --enforcementcount 0</v>
      </c>
    </row>
    <row r="30" spans="1:34" s="1" customFormat="1" x14ac:dyDescent="0.25">
      <c r="A30" s="40" t="s">
        <v>353</v>
      </c>
      <c r="B30" s="7">
        <v>4044</v>
      </c>
      <c r="C30" s="25" t="s">
        <v>119</v>
      </c>
      <c r="D30" s="25" t="s">
        <v>354</v>
      </c>
      <c r="E30" s="16">
        <v>42597.232256944444</v>
      </c>
      <c r="F30" s="16">
        <v>42597.233576388891</v>
      </c>
      <c r="G30" s="7">
        <v>1</v>
      </c>
      <c r="H30" s="16" t="s">
        <v>117</v>
      </c>
      <c r="I30" s="16">
        <v>42597.265462962961</v>
      </c>
      <c r="J30" s="7">
        <v>0</v>
      </c>
      <c r="K30" s="142" t="str">
        <f t="shared" si="0"/>
        <v>4043/4044</v>
      </c>
      <c r="L30" s="25" t="str">
        <f>VLOOKUP(A30,'Trips&amp;Operators'!$C$1:$E$10000,3,FALSE)</f>
        <v>ACKERMAN</v>
      </c>
      <c r="M30" s="6">
        <f t="shared" si="1"/>
        <v>3.1886574070085771E-2</v>
      </c>
      <c r="N30" s="7">
        <f t="shared" si="2"/>
        <v>45.916666660923511</v>
      </c>
      <c r="O30" s="7"/>
      <c r="P30" s="7"/>
      <c r="Q30" s="26"/>
      <c r="R30" s="26"/>
      <c r="S30" s="38">
        <f t="shared" si="3"/>
        <v>1</v>
      </c>
      <c r="T30" s="53" t="str">
        <f t="shared" si="4"/>
        <v>NorthBound</v>
      </c>
      <c r="U30" s="13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04:34:27-0600',mode:absolute,to:'2016-08-15 07:22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30" s="55" t="str">
        <f t="shared" si="6"/>
        <v>N</v>
      </c>
      <c r="X30" s="129">
        <f t="shared" si="7"/>
        <v>1</v>
      </c>
      <c r="Y30" s="70">
        <f t="shared" si="8"/>
        <v>4.8899999999999999E-2</v>
      </c>
      <c r="Z30" s="70">
        <f t="shared" si="9"/>
        <v>23.3293</v>
      </c>
      <c r="AA30" s="70">
        <f t="shared" si="10"/>
        <v>23.2804</v>
      </c>
      <c r="AB30" s="67" t="e">
        <f>VLOOKUP(A30,Enforcements!$C$7:$J$24,8,0)</f>
        <v>#N/A</v>
      </c>
      <c r="AC30" s="63" t="e">
        <f>VLOOKUP(A30,Enforcements!$C$7:$E$24,3,0)</f>
        <v>#N/A</v>
      </c>
      <c r="AD30" s="64" t="str">
        <f t="shared" si="11"/>
        <v>0117-15</v>
      </c>
      <c r="AE30" s="104" t="str">
        <f t="shared" si="12"/>
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</c>
      <c r="AF30" s="101" t="str">
        <f t="shared" si="13"/>
        <v>"C:\Program Files (x86)\AstroGrep\AstroGrep.exe" /spath="%USERPROFILE%\AppData\Local\Temp\OnboardLogs" /stypes="*4044*20160815*" /stext=" 12:.+((SYSTEM_STATE.+slice.+state.+changed )|(ment ac)|(system.+state.+changed )|(\|lc)|(penalty)|(\[timeout)|(PRM\|1\|D)|(kpr)|(kdp)|(\|loc))" /e /r /s</v>
      </c>
      <c r="AG30" s="1" t="str">
        <f t="shared" si="15"/>
        <v>EC</v>
      </c>
      <c r="AH30" s="105" t="str">
        <f t="shared" si="16"/>
        <v>"%USERPROFILE%\Documents\GitHub\eaglep3\Utilities\RefineRTDCRunTimes.py" --tripid 117-15 --locoid 4044 --swversion DE.1.0.7.0 --startMP 204:489 --initTime 2016-08-15T05:34:27 --startdatetime 2016-08-15T05:36:21 --delay 1 --endMP 204:233293 --enddatetime 2016-08-15T06:22:16 --enforcementcount 0</v>
      </c>
    </row>
    <row r="31" spans="1:34" s="1" customFormat="1" x14ac:dyDescent="0.25">
      <c r="A31" s="40" t="s">
        <v>355</v>
      </c>
      <c r="B31" s="7">
        <v>4043</v>
      </c>
      <c r="C31" s="25" t="s">
        <v>119</v>
      </c>
      <c r="D31" s="25" t="s">
        <v>356</v>
      </c>
      <c r="E31" s="16">
        <v>42597.2733912037</v>
      </c>
      <c r="F31" s="16">
        <v>42597.274606481478</v>
      </c>
      <c r="G31" s="7">
        <v>1</v>
      </c>
      <c r="H31" s="16" t="s">
        <v>291</v>
      </c>
      <c r="I31" s="16">
        <v>42597.307349537034</v>
      </c>
      <c r="J31" s="7">
        <v>0</v>
      </c>
      <c r="K31" s="142" t="str">
        <f t="shared" si="0"/>
        <v>4043/4044</v>
      </c>
      <c r="L31" s="25" t="str">
        <f>VLOOKUP(A31,'Trips&amp;Operators'!$C$1:$E$10000,3,FALSE)</f>
        <v>ACKERMAN</v>
      </c>
      <c r="M31" s="6">
        <f t="shared" si="1"/>
        <v>3.2743055555329192E-2</v>
      </c>
      <c r="N31" s="7">
        <f t="shared" si="2"/>
        <v>47.149999999674037</v>
      </c>
      <c r="O31" s="7"/>
      <c r="P31" s="7"/>
      <c r="Q31" s="26"/>
      <c r="R31" s="26"/>
      <c r="S31" s="38">
        <f t="shared" si="3"/>
        <v>1</v>
      </c>
      <c r="T31" s="53" t="str">
        <f t="shared" si="4"/>
        <v>Southbound</v>
      </c>
      <c r="U31" s="13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05:33:41-0600',mode:absolute,to:'2016-08-15 08:22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31" s="55" t="str">
        <f t="shared" si="6"/>
        <v>N</v>
      </c>
      <c r="X31" s="129">
        <f t="shared" si="7"/>
        <v>1</v>
      </c>
      <c r="Y31" s="70">
        <f t="shared" si="8"/>
        <v>23.297499999999999</v>
      </c>
      <c r="Z31" s="70">
        <f t="shared" si="9"/>
        <v>1.34E-2</v>
      </c>
      <c r="AA31" s="70">
        <f t="shared" si="10"/>
        <v>23.284099999999999</v>
      </c>
      <c r="AB31" s="67">
        <f>VLOOKUP(A31,Enforcements!$C$7:$J$24,8,0)</f>
        <v>33257</v>
      </c>
      <c r="AC31" s="63" t="str">
        <f>VLOOKUP(A31,Enforcements!$C$7:$E$24,3,0)</f>
        <v>GRADE CROSSING</v>
      </c>
      <c r="AD31" s="64" t="str">
        <f t="shared" si="11"/>
        <v>0118-15</v>
      </c>
      <c r="AE31" s="104" t="str">
        <f t="shared" si="12"/>
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</c>
      <c r="AF31" s="101" t="str">
        <f t="shared" si="13"/>
        <v>"C:\Program Files (x86)\AstroGrep\AstroGrep.exe" /spath="%USERPROFILE%\AppData\Local\Temp\OnboardLogs" /stypes="*4043*20160815*" /stext=" 13:.+((SYSTEM_STATE.+slice.+state.+changed )|(ment ac)|(system.+state.+changed )|(\|lc)|(penalty)|(\[timeout)|(PRM\|1\|D)|(kpr)|(kdp)|(\|loc))" /e /r /s</v>
      </c>
      <c r="AG31" s="1" t="str">
        <f t="shared" si="15"/>
        <v>EC</v>
      </c>
      <c r="AH31" s="105" t="str">
        <f t="shared" si="16"/>
        <v>"%USERPROFILE%\Documents\GitHub\eaglep3\Utilities\RefineRTDCRunTimes.py" --tripid 118-15 --locoid 4043 --swversion DE.1.0.7.0 --startMP 204:232975 --initTime 2016-08-15T06:33:41 --startdatetime 2016-08-15T06:35:26 --delay 1 --endMP 204:134 --enddatetime 2016-08-15T07:22:35 --enforcementcount 0</v>
      </c>
    </row>
    <row r="32" spans="1:34" s="1" customFormat="1" x14ac:dyDescent="0.25">
      <c r="A32" s="40" t="s">
        <v>357</v>
      </c>
      <c r="B32" s="7">
        <v>4027</v>
      </c>
      <c r="C32" s="25" t="s">
        <v>119</v>
      </c>
      <c r="D32" s="25" t="s">
        <v>358</v>
      </c>
      <c r="E32" s="16">
        <v>42597.248564814814</v>
      </c>
      <c r="F32" s="16">
        <v>42597.249282407407</v>
      </c>
      <c r="G32" s="7">
        <v>1</v>
      </c>
      <c r="H32" s="16" t="s">
        <v>308</v>
      </c>
      <c r="I32" s="16">
        <v>42597.277372685188</v>
      </c>
      <c r="J32" s="7">
        <v>0</v>
      </c>
      <c r="K32" s="142" t="str">
        <f t="shared" si="0"/>
        <v>4027/4028</v>
      </c>
      <c r="L32" s="25" t="str">
        <f>VLOOKUP(A32,'Trips&amp;Operators'!$C$1:$E$10000,3,FALSE)</f>
        <v>SANTIZO</v>
      </c>
      <c r="M32" s="6">
        <f t="shared" si="1"/>
        <v>2.8090277781302575E-2</v>
      </c>
      <c r="N32" s="7">
        <f t="shared" si="2"/>
        <v>40.450000005075708</v>
      </c>
      <c r="O32" s="7"/>
      <c r="P32" s="7"/>
      <c r="Q32" s="26"/>
      <c r="R32" s="26"/>
      <c r="S32" s="38">
        <f t="shared" si="3"/>
        <v>1</v>
      </c>
      <c r="T32" s="53" t="str">
        <f t="shared" si="4"/>
        <v>NorthBound</v>
      </c>
      <c r="U32" s="13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04:57:56-0600',mode:absolute,to:'2016-08-15 07:39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32" s="55" t="str">
        <f t="shared" si="6"/>
        <v>N</v>
      </c>
      <c r="X32" s="129">
        <f t="shared" si="7"/>
        <v>1</v>
      </c>
      <c r="Y32" s="70">
        <f t="shared" si="8"/>
        <v>7.3700000000000002E-2</v>
      </c>
      <c r="Z32" s="70">
        <f t="shared" si="9"/>
        <v>23.3325</v>
      </c>
      <c r="AA32" s="70">
        <f t="shared" si="10"/>
        <v>23.258800000000001</v>
      </c>
      <c r="AB32" s="67" t="e">
        <f>VLOOKUP(A32,Enforcements!$C$7:$J$24,8,0)</f>
        <v>#N/A</v>
      </c>
      <c r="AC32" s="63" t="e">
        <f>VLOOKUP(A32,Enforcements!$C$7:$E$24,3,0)</f>
        <v>#N/A</v>
      </c>
      <c r="AD32" s="64" t="str">
        <f t="shared" si="11"/>
        <v>0119-15</v>
      </c>
      <c r="AE32" s="104" t="str">
        <f t="shared" si="12"/>
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</c>
      <c r="AF32" s="101" t="str">
        <f t="shared" si="13"/>
        <v>"C:\Program Files (x86)\AstroGrep\AstroGrep.exe" /spath="%USERPROFILE%\AppData\Local\Temp\OnboardLogs" /stypes="*4027*20160815*" /stext=" 12:.+((SYSTEM_STATE.+slice.+state.+changed )|(ment ac)|(system.+state.+changed )|(\|lc)|(penalty)|(\[timeout)|(PRM\|1\|D)|(kpr)|(kdp)|(\|loc))" /e /r /s</v>
      </c>
      <c r="AG32" s="1" t="str">
        <f t="shared" si="15"/>
        <v>EC</v>
      </c>
      <c r="AH32" s="105" t="str">
        <f t="shared" si="16"/>
        <v>"%USERPROFILE%\Documents\GitHub\eaglep3\Utilities\RefineRTDCRunTimes.py" --tripid 119-15 --locoid 4027 --swversion DE.1.0.7.0 --startMP 204:737 --initTime 2016-08-15T05:57:56 --startdatetime 2016-08-15T05:58:58 --delay 1 --endMP 204:233325 --enddatetime 2016-08-15T06:39:25 --enforcementcount 0</v>
      </c>
    </row>
    <row r="33" spans="1:34" s="1" customFormat="1" x14ac:dyDescent="0.25">
      <c r="A33" s="40" t="s">
        <v>359</v>
      </c>
      <c r="B33" s="7">
        <v>4028</v>
      </c>
      <c r="C33" s="25" t="s">
        <v>119</v>
      </c>
      <c r="D33" s="25" t="s">
        <v>204</v>
      </c>
      <c r="E33" s="16">
        <v>42597.278287037036</v>
      </c>
      <c r="F33" s="16">
        <v>42597.279305555552</v>
      </c>
      <c r="G33" s="7">
        <v>1</v>
      </c>
      <c r="H33" s="16" t="s">
        <v>145</v>
      </c>
      <c r="I33" s="16">
        <v>42597.317476851851</v>
      </c>
      <c r="J33" s="7">
        <v>0</v>
      </c>
      <c r="K33" s="142" t="str">
        <f t="shared" si="0"/>
        <v>4027/4028</v>
      </c>
      <c r="L33" s="25" t="str">
        <f>VLOOKUP(A33,'Trips&amp;Operators'!$C$1:$E$10000,3,FALSE)</f>
        <v>SANTIZO</v>
      </c>
      <c r="M33" s="6">
        <f t="shared" si="1"/>
        <v>3.8171296298969537E-2</v>
      </c>
      <c r="N33" s="7">
        <f t="shared" si="2"/>
        <v>54.966666670516133</v>
      </c>
      <c r="O33" s="7"/>
      <c r="P33" s="7"/>
      <c r="Q33" s="26"/>
      <c r="R33" s="26"/>
      <c r="S33" s="38">
        <f t="shared" si="3"/>
        <v>1</v>
      </c>
      <c r="T33" s="53" t="str">
        <f t="shared" si="4"/>
        <v>Southbound</v>
      </c>
      <c r="U33" s="13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05:40:44-0600',mode:absolute,to:'2016-08-15 08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33" s="55" t="str">
        <f t="shared" si="6"/>
        <v>N</v>
      </c>
      <c r="X33" s="129">
        <f t="shared" si="7"/>
        <v>1</v>
      </c>
      <c r="Y33" s="70">
        <f t="shared" si="8"/>
        <v>23.300999999999998</v>
      </c>
      <c r="Z33" s="70">
        <f t="shared" si="9"/>
        <v>1.49E-2</v>
      </c>
      <c r="AA33" s="70">
        <f t="shared" si="10"/>
        <v>23.286099999999998</v>
      </c>
      <c r="AB33" s="67" t="e">
        <f>VLOOKUP(A33,Enforcements!$C$7:$J$24,8,0)</f>
        <v>#N/A</v>
      </c>
      <c r="AC33" s="63" t="e">
        <f>VLOOKUP(A33,Enforcements!$C$7:$E$24,3,0)</f>
        <v>#N/A</v>
      </c>
      <c r="AD33" s="64" t="str">
        <f t="shared" si="11"/>
        <v>0120-15</v>
      </c>
      <c r="AE33" s="104" t="str">
        <f t="shared" si="12"/>
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</c>
      <c r="AF33" s="101" t="str">
        <f t="shared" si="13"/>
        <v>"C:\Program Files (x86)\AstroGrep\AstroGrep.exe" /spath="%USERPROFILE%\AppData\Local\Temp\OnboardLogs" /stypes="*4028*20160815*" /stext=" 13:.+((SYSTEM_STATE.+slice.+state.+changed )|(ment ac)|(system.+state.+changed )|(\|lc)|(penalty)|(\[timeout)|(PRM\|1\|D)|(kpr)|(kdp)|(\|loc))" /e /r /s</v>
      </c>
      <c r="AG33" s="1" t="str">
        <f t="shared" si="15"/>
        <v>EC</v>
      </c>
      <c r="AH33" s="105" t="str">
        <f t="shared" si="16"/>
        <v>"%USERPROFILE%\Documents\GitHub\eaglep3\Utilities\RefineRTDCRunTimes.py" --tripid 120-15 --locoid 4028 --swversion DE.1.0.7.0 --startMP 204:233010 --initTime 2016-08-15T06:40:44 --startdatetime 2016-08-15T06:42:12 --delay 1 --endMP 204:149 --enddatetime 2016-08-15T07:37:10 --enforcementcount 0</v>
      </c>
    </row>
    <row r="34" spans="1:34" s="1" customFormat="1" x14ac:dyDescent="0.25">
      <c r="A34" s="40" t="s">
        <v>360</v>
      </c>
      <c r="B34" s="7">
        <v>4020</v>
      </c>
      <c r="C34" s="25" t="s">
        <v>119</v>
      </c>
      <c r="D34" s="25" t="s">
        <v>310</v>
      </c>
      <c r="E34" s="16">
        <v>42597.258472222224</v>
      </c>
      <c r="F34" s="16">
        <v>42597.259826388887</v>
      </c>
      <c r="G34" s="7">
        <v>1</v>
      </c>
      <c r="H34" s="16" t="s">
        <v>163</v>
      </c>
      <c r="I34" s="16">
        <v>42597.286793981482</v>
      </c>
      <c r="J34" s="7">
        <v>0</v>
      </c>
      <c r="K34" s="142" t="str">
        <f t="shared" si="0"/>
        <v>4019/4020</v>
      </c>
      <c r="L34" s="25" t="str">
        <f>VLOOKUP(A34,'Trips&amp;Operators'!$C$1:$E$10000,3,FALSE)</f>
        <v>SPECTOR</v>
      </c>
      <c r="M34" s="6">
        <f t="shared" si="1"/>
        <v>2.6967592595610768E-2</v>
      </c>
      <c r="N34" s="7">
        <f t="shared" si="2"/>
        <v>38.833333337679505</v>
      </c>
      <c r="O34" s="7"/>
      <c r="P34" s="7"/>
      <c r="Q34" s="26"/>
      <c r="R34" s="26"/>
      <c r="S34" s="38">
        <f t="shared" si="3"/>
        <v>1</v>
      </c>
      <c r="T34" s="53" t="str">
        <f t="shared" si="4"/>
        <v>NorthBound</v>
      </c>
      <c r="U34" s="13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05:12:12-0600',mode:absolute,to:'2016-08-15 07:52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34" s="55" t="str">
        <f t="shared" si="6"/>
        <v>N</v>
      </c>
      <c r="X34" s="129">
        <f t="shared" si="7"/>
        <v>1</v>
      </c>
      <c r="Y34" s="70">
        <f t="shared" si="8"/>
        <v>4.4699999999999997E-2</v>
      </c>
      <c r="Z34" s="70">
        <f t="shared" si="9"/>
        <v>23.332000000000001</v>
      </c>
      <c r="AA34" s="70">
        <f t="shared" si="10"/>
        <v>23.287300000000002</v>
      </c>
      <c r="AB34" s="67">
        <f>VLOOKUP(A34,Enforcements!$C$7:$J$24,8,0)</f>
        <v>63069</v>
      </c>
      <c r="AC34" s="63" t="str">
        <f>VLOOKUP(A34,Enforcements!$C$7:$E$24,3,0)</f>
        <v>GRADE CROSSING</v>
      </c>
      <c r="AD34" s="64" t="str">
        <f t="shared" si="11"/>
        <v>0121-15</v>
      </c>
      <c r="AE34" s="104" t="str">
        <f t="shared" si="12"/>
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</c>
      <c r="AF34" s="101" t="str">
        <f t="shared" si="13"/>
        <v>"C:\Program Files (x86)\AstroGrep\AstroGrep.exe" /spath="%USERPROFILE%\AppData\Local\Temp\OnboardLogs" /stypes="*4020*20160815*" /stext=" 12:.+((SYSTEM_STATE.+slice.+state.+changed )|(ment ac)|(system.+state.+changed )|(\|lc)|(penalty)|(\[timeout)|(PRM\|1\|D)|(kpr)|(kdp)|(\|loc))" /e /r /s</v>
      </c>
      <c r="AG34" s="1" t="str">
        <f t="shared" si="15"/>
        <v>EC</v>
      </c>
      <c r="AH34" s="105" t="str">
        <f t="shared" si="16"/>
        <v>"%USERPROFILE%\Documents\GitHub\eaglep3\Utilities\RefineRTDCRunTimes.py" --tripid 121-15 --locoid 4020 --swversion DE.1.0.7.0 --startMP 204:447 --initTime 2016-08-15T06:12:12 --startdatetime 2016-08-15T06:14:09 --delay 1 --endMP 204:233320 --enddatetime 2016-08-15T06:52:59 --enforcementcount 0</v>
      </c>
    </row>
    <row r="35" spans="1:34" s="1" customFormat="1" x14ac:dyDescent="0.25">
      <c r="A35" s="40" t="s">
        <v>361</v>
      </c>
      <c r="B35" s="7">
        <v>4019</v>
      </c>
      <c r="C35" s="25" t="s">
        <v>119</v>
      </c>
      <c r="D35" s="25" t="s">
        <v>362</v>
      </c>
      <c r="E35" s="16">
        <v>42597.292256944442</v>
      </c>
      <c r="F35" s="16">
        <v>42597.293298611112</v>
      </c>
      <c r="G35" s="7">
        <v>1</v>
      </c>
      <c r="H35" s="16" t="s">
        <v>287</v>
      </c>
      <c r="I35" s="16">
        <v>42597.326226851852</v>
      </c>
      <c r="J35" s="7">
        <v>0</v>
      </c>
      <c r="K35" s="142" t="str">
        <f t="shared" si="0"/>
        <v>4019/4020</v>
      </c>
      <c r="L35" s="25" t="str">
        <f>VLOOKUP(A35,'Trips&amp;Operators'!$C$1:$E$10000,3,FALSE)</f>
        <v>SPECTOR</v>
      </c>
      <c r="M35" s="6">
        <f t="shared" si="1"/>
        <v>3.2928240740147885E-2</v>
      </c>
      <c r="N35" s="7">
        <f t="shared" si="2"/>
        <v>47.416666665812954</v>
      </c>
      <c r="O35" s="7"/>
      <c r="P35" s="7"/>
      <c r="Q35" s="26"/>
      <c r="R35" s="26"/>
      <c r="S35" s="38">
        <f t="shared" si="3"/>
        <v>1</v>
      </c>
      <c r="T35" s="53" t="str">
        <f t="shared" si="4"/>
        <v>Southbound</v>
      </c>
      <c r="U35" s="13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06:00:51-0600',mode:absolute,to:'2016-08-15 08:49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35" s="55" t="str">
        <f t="shared" si="6"/>
        <v>N</v>
      </c>
      <c r="X35" s="129">
        <f t="shared" si="7"/>
        <v>1</v>
      </c>
      <c r="Y35" s="70">
        <f t="shared" si="8"/>
        <v>23.3017</v>
      </c>
      <c r="Z35" s="70">
        <f t="shared" si="9"/>
        <v>1.41E-2</v>
      </c>
      <c r="AA35" s="70">
        <f t="shared" si="10"/>
        <v>23.287600000000001</v>
      </c>
      <c r="AB35" s="67" t="e">
        <f>VLOOKUP(A35,Enforcements!$C$7:$J$24,8,0)</f>
        <v>#N/A</v>
      </c>
      <c r="AC35" s="63" t="e">
        <f>VLOOKUP(A35,Enforcements!$C$7:$E$24,3,0)</f>
        <v>#N/A</v>
      </c>
      <c r="AD35" s="64" t="str">
        <f t="shared" si="11"/>
        <v>0122-15</v>
      </c>
      <c r="AE35" s="104" t="str">
        <f t="shared" si="12"/>
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</c>
      <c r="AF35" s="101" t="str">
        <f t="shared" si="13"/>
        <v>"C:\Program Files (x86)\AstroGrep\AstroGrep.exe" /spath="%USERPROFILE%\AppData\Local\Temp\OnboardLogs" /stypes="*4019*20160815*" /stext=" 13:.+((SYSTEM_STATE.+slice.+state.+changed )|(ment ac)|(system.+state.+changed )|(\|lc)|(penalty)|(\[timeout)|(PRM\|1\|D)|(kpr)|(kdp)|(\|loc))" /e /r /s</v>
      </c>
      <c r="AG35" s="1" t="str">
        <f t="shared" si="15"/>
        <v>EC</v>
      </c>
      <c r="AH35" s="105" t="str">
        <f t="shared" si="16"/>
        <v>"%USERPROFILE%\Documents\GitHub\eaglep3\Utilities\RefineRTDCRunTimes.py" --tripid 122-15 --locoid 4019 --swversion DE.1.0.7.0 --startMP 204:233017 --initTime 2016-08-15T07:00:51 --startdatetime 2016-08-15T07:02:21 --delay 1 --endMP 204:141 --enddatetime 2016-08-15T07:49:46 --enforcementcount 0</v>
      </c>
    </row>
    <row r="36" spans="1:34" s="1" customFormat="1" x14ac:dyDescent="0.25">
      <c r="A36" s="40" t="s">
        <v>363</v>
      </c>
      <c r="B36" s="7">
        <v>4038</v>
      </c>
      <c r="C36" s="25" t="s">
        <v>119</v>
      </c>
      <c r="D36" s="25" t="s">
        <v>194</v>
      </c>
      <c r="E36" s="16">
        <v>42597.263969907406</v>
      </c>
      <c r="F36" s="16">
        <v>42597.264930555553</v>
      </c>
      <c r="G36" s="7">
        <v>1</v>
      </c>
      <c r="H36" s="16" t="s">
        <v>161</v>
      </c>
      <c r="I36" s="16">
        <v>42597.295289351852</v>
      </c>
      <c r="J36" s="7">
        <v>0</v>
      </c>
      <c r="K36" s="142" t="str">
        <f t="shared" si="0"/>
        <v>4037/4038</v>
      </c>
      <c r="L36" s="25" t="str">
        <f>VLOOKUP(A36,'Trips&amp;Operators'!$C$1:$E$10000,3,FALSE)</f>
        <v>YORK</v>
      </c>
      <c r="M36" s="6">
        <f t="shared" si="1"/>
        <v>3.0358796298969537E-2</v>
      </c>
      <c r="N36" s="7">
        <f t="shared" si="2"/>
        <v>43.716666670516133</v>
      </c>
      <c r="O36" s="7"/>
      <c r="P36" s="7"/>
      <c r="Q36" s="26"/>
      <c r="R36" s="26"/>
      <c r="S36" s="38">
        <f t="shared" si="3"/>
        <v>1</v>
      </c>
      <c r="T36" s="53" t="str">
        <f t="shared" si="4"/>
        <v>NorthBound</v>
      </c>
      <c r="U36" s="13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05:20:07-0600',mode:absolute,to:'2016-08-15 08:05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36" s="55" t="str">
        <f t="shared" si="6"/>
        <v>N</v>
      </c>
      <c r="X36" s="129">
        <f t="shared" si="7"/>
        <v>1</v>
      </c>
      <c r="Y36" s="70">
        <f t="shared" si="8"/>
        <v>4.5100000000000001E-2</v>
      </c>
      <c r="Z36" s="70">
        <f t="shared" si="9"/>
        <v>23.331</v>
      </c>
      <c r="AA36" s="70">
        <f t="shared" si="10"/>
        <v>23.285899999999998</v>
      </c>
      <c r="AB36" s="67" t="e">
        <f>VLOOKUP(A36,Enforcements!$C$7:$J$24,8,0)</f>
        <v>#N/A</v>
      </c>
      <c r="AC36" s="63" t="e">
        <f>VLOOKUP(A36,Enforcements!$C$7:$E$24,3,0)</f>
        <v>#N/A</v>
      </c>
      <c r="AD36" s="64" t="str">
        <f t="shared" si="11"/>
        <v>0123-15</v>
      </c>
      <c r="AE36" s="104" t="str">
        <f t="shared" si="12"/>
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</c>
      <c r="AF36" s="101" t="str">
        <f t="shared" si="13"/>
        <v>"C:\Program Files (x86)\AstroGrep\AstroGrep.exe" /spath="%USERPROFILE%\AppData\Local\Temp\OnboardLogs" /stypes="*4038*20160815*" /stext=" 13:.+((SYSTEM_STATE.+slice.+state.+changed )|(ment ac)|(system.+state.+changed )|(\|lc)|(penalty)|(\[timeout)|(PRM\|1\|D)|(kpr)|(kdp)|(\|loc))" /e /r /s</v>
      </c>
      <c r="AG36" s="1" t="str">
        <f t="shared" si="15"/>
        <v>EC</v>
      </c>
      <c r="AH36" s="105" t="str">
        <f t="shared" si="16"/>
        <v>"%USERPROFILE%\Documents\GitHub\eaglep3\Utilities\RefineRTDCRunTimes.py" --tripid 123-15 --locoid 4038 --swversion DE.1.0.7.0 --startMP 204:451 --initTime 2016-08-15T06:20:07 --startdatetime 2016-08-15T06:21:30 --delay 1 --endMP 204:233310 --enddatetime 2016-08-15T07:05:13 --enforcementcount 0</v>
      </c>
    </row>
    <row r="37" spans="1:34" s="1" customFormat="1" x14ac:dyDescent="0.25">
      <c r="A37" s="40" t="s">
        <v>364</v>
      </c>
      <c r="B37" s="7">
        <v>4037</v>
      </c>
      <c r="C37" s="25" t="s">
        <v>119</v>
      </c>
      <c r="D37" s="25" t="s">
        <v>152</v>
      </c>
      <c r="E37" s="16">
        <v>42597.296238425923</v>
      </c>
      <c r="F37" s="16">
        <v>42597.296956018516</v>
      </c>
      <c r="G37" s="7">
        <v>1</v>
      </c>
      <c r="H37" s="16" t="s">
        <v>140</v>
      </c>
      <c r="I37" s="16">
        <v>42597.337152777778</v>
      </c>
      <c r="J37" s="7">
        <v>0</v>
      </c>
      <c r="K37" s="142" t="str">
        <f t="shared" si="0"/>
        <v>4037/4038</v>
      </c>
      <c r="L37" s="25" t="str">
        <f>VLOOKUP(A37,'Trips&amp;Operators'!$C$1:$E$10000,3,FALSE)</f>
        <v>YORK</v>
      </c>
      <c r="M37" s="6">
        <f t="shared" si="1"/>
        <v>4.019675926247146E-2</v>
      </c>
      <c r="N37" s="7">
        <f t="shared" si="2"/>
        <v>57.883333337958902</v>
      </c>
      <c r="O37" s="7"/>
      <c r="P37" s="7"/>
      <c r="Q37" s="26"/>
      <c r="R37" s="26"/>
      <c r="S37" s="38">
        <f t="shared" si="3"/>
        <v>1</v>
      </c>
      <c r="T37" s="53" t="str">
        <f t="shared" si="4"/>
        <v>Southbound</v>
      </c>
      <c r="U37" s="13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06:06:35-0600',mode:absolute,to:'2016-08-15 09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37" s="55" t="str">
        <f t="shared" si="6"/>
        <v>N</v>
      </c>
      <c r="X37" s="129">
        <f t="shared" si="7"/>
        <v>1</v>
      </c>
      <c r="Y37" s="70">
        <f t="shared" si="8"/>
        <v>23.298300000000001</v>
      </c>
      <c r="Z37" s="70">
        <f t="shared" si="9"/>
        <v>1.47E-2</v>
      </c>
      <c r="AA37" s="70">
        <f t="shared" si="10"/>
        <v>23.2836</v>
      </c>
      <c r="AB37" s="67" t="e">
        <f>VLOOKUP(A37,Enforcements!$C$7:$J$24,8,0)</f>
        <v>#N/A</v>
      </c>
      <c r="AC37" s="63" t="e">
        <f>VLOOKUP(A37,Enforcements!$C$7:$E$24,3,0)</f>
        <v>#N/A</v>
      </c>
      <c r="AD37" s="64" t="str">
        <f t="shared" si="11"/>
        <v>0124-15</v>
      </c>
      <c r="AE37" s="104" t="str">
        <f t="shared" si="12"/>
        <v>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 &amp; 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</v>
      </c>
      <c r="AF37" s="101" t="str">
        <f t="shared" si="13"/>
        <v>"C:\Program Files (x86)\AstroGrep\AstroGrep.exe" /spath="%USERPROFILE%\AppData\Local\Temp\OnboardLogs" /stypes="*4037*20160815*" /stext=" 14:.+((SYSTEM_STATE.+slice.+state.+changed )|(ment ac)|(system.+state.+changed )|(\|lc)|(penalty)|(\[timeout)|(PRM\|1\|D)|(kpr)|(kdp)|(\|loc))" /e /r /s</v>
      </c>
      <c r="AG37" s="1" t="str">
        <f t="shared" si="15"/>
        <v>EC</v>
      </c>
      <c r="AH37" s="105" t="str">
        <f t="shared" si="16"/>
        <v>"%USERPROFILE%\Documents\GitHub\eaglep3\Utilities\RefineRTDCRunTimes.py" --tripid 124-15 --locoid 4037 --swversion DE.1.0.7.0 --startMP 204:232983 --initTime 2016-08-15T07:06:35 --startdatetime 2016-08-15T07:07:37 --delay 1 --endMP 204:147 --enddatetime 2016-08-15T08:05:30 --enforcementcount 0</v>
      </c>
    </row>
    <row r="38" spans="1:34" s="1" customFormat="1" x14ac:dyDescent="0.25">
      <c r="A38" s="40" t="s">
        <v>365</v>
      </c>
      <c r="B38" s="7">
        <v>4031</v>
      </c>
      <c r="C38" s="25" t="s">
        <v>119</v>
      </c>
      <c r="D38" s="25" t="s">
        <v>174</v>
      </c>
      <c r="E38" s="16">
        <v>42597.279432870368</v>
      </c>
      <c r="F38" s="16">
        <v>42597.280451388891</v>
      </c>
      <c r="G38" s="7">
        <v>1</v>
      </c>
      <c r="H38" s="16" t="s">
        <v>264</v>
      </c>
      <c r="I38" s="16">
        <v>42597.305879629632</v>
      </c>
      <c r="J38" s="7">
        <v>0</v>
      </c>
      <c r="K38" s="142" t="str">
        <f t="shared" si="0"/>
        <v>4031/4032</v>
      </c>
      <c r="L38" s="25" t="str">
        <f>VLOOKUP(A38,'Trips&amp;Operators'!$C$1:$E$10000,3,FALSE)</f>
        <v>STARKS</v>
      </c>
      <c r="M38" s="6">
        <f t="shared" si="1"/>
        <v>2.5428240740438923E-2</v>
      </c>
      <c r="N38" s="7">
        <f t="shared" si="2"/>
        <v>36.616666666232049</v>
      </c>
      <c r="O38" s="7"/>
      <c r="P38" s="7"/>
      <c r="Q38" s="26"/>
      <c r="R38" s="26"/>
      <c r="S38" s="38">
        <f t="shared" si="3"/>
        <v>1</v>
      </c>
      <c r="T38" s="53" t="str">
        <f t="shared" si="4"/>
        <v>NorthBound</v>
      </c>
      <c r="U38" s="13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05:42:23-0600',mode:absolute,to:'2016-08-15 08:20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38" s="55" t="str">
        <f t="shared" si="6"/>
        <v>N</v>
      </c>
      <c r="X38" s="129">
        <f t="shared" si="7"/>
        <v>1</v>
      </c>
      <c r="Y38" s="70">
        <f t="shared" si="8"/>
        <v>4.6600000000000003E-2</v>
      </c>
      <c r="Z38" s="70">
        <f t="shared" si="9"/>
        <v>23.334099999999999</v>
      </c>
      <c r="AA38" s="70">
        <f t="shared" si="10"/>
        <v>23.287499999999998</v>
      </c>
      <c r="AB38" s="67" t="e">
        <f>VLOOKUP(A38,Enforcements!$C$7:$J$24,8,0)</f>
        <v>#N/A</v>
      </c>
      <c r="AC38" s="63" t="e">
        <f>VLOOKUP(A38,Enforcements!$C$7:$E$24,3,0)</f>
        <v>#N/A</v>
      </c>
      <c r="AD38" s="64" t="str">
        <f t="shared" si="11"/>
        <v>0125-15</v>
      </c>
      <c r="AE38" s="104" t="str">
        <f t="shared" si="12"/>
        <v>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 &amp; 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</v>
      </c>
      <c r="AF38" s="101" t="str">
        <f t="shared" si="13"/>
        <v>"C:\Program Files (x86)\AstroGrep\AstroGrep.exe" /spath="%USERPROFILE%\AppData\Local\Temp\OnboardLogs" /stypes="*4031*20160815*" /stext=" 13:.+((SYSTEM_STATE.+slice.+state.+changed )|(ment ac)|(system.+state.+changed )|(\|lc)|(penalty)|(\[timeout)|(PRM\|1\|D)|(kpr)|(kdp)|(\|loc))" /e /r /s</v>
      </c>
      <c r="AG38" s="1" t="str">
        <f t="shared" si="15"/>
        <v>EC</v>
      </c>
      <c r="AH38" s="105" t="str">
        <f t="shared" si="16"/>
        <v>"%USERPROFILE%\Documents\GitHub\eaglep3\Utilities\RefineRTDCRunTimes.py" --tripid 125-15 --locoid 4031 --swversion DE.1.0.7.0 --startMP 204:466 --initTime 2016-08-15T06:42:23 --startdatetime 2016-08-15T06:43:51 --delay 1 --endMP 204:233341 --enddatetime 2016-08-15T07:20:28 --enforcementcount 0</v>
      </c>
    </row>
    <row r="39" spans="1:34" s="1" customFormat="1" x14ac:dyDescent="0.25">
      <c r="A39" s="40" t="s">
        <v>366</v>
      </c>
      <c r="B39" s="7">
        <v>4032</v>
      </c>
      <c r="C39" s="25" t="s">
        <v>119</v>
      </c>
      <c r="D39" s="25" t="s">
        <v>313</v>
      </c>
      <c r="E39" s="16">
        <v>42597.317199074074</v>
      </c>
      <c r="F39" s="16">
        <v>42597.31821759259</v>
      </c>
      <c r="G39" s="7">
        <v>1</v>
      </c>
      <c r="H39" s="16" t="s">
        <v>189</v>
      </c>
      <c r="I39" s="16">
        <v>42597.351053240738</v>
      </c>
      <c r="J39" s="7">
        <v>0</v>
      </c>
      <c r="K39" s="142" t="str">
        <f t="shared" si="0"/>
        <v>4031/4032</v>
      </c>
      <c r="L39" s="25" t="str">
        <f>VLOOKUP(A39,'Trips&amp;Operators'!$C$1:$E$10000,3,FALSE)</f>
        <v>STARKS</v>
      </c>
      <c r="M39" s="6">
        <f t="shared" si="1"/>
        <v>3.2835648147738539E-2</v>
      </c>
      <c r="N39" s="7">
        <f t="shared" si="2"/>
        <v>47.283333332743496</v>
      </c>
      <c r="O39" s="7"/>
      <c r="P39" s="7"/>
      <c r="Q39" s="26"/>
      <c r="R39" s="26"/>
      <c r="S39" s="38">
        <f t="shared" si="3"/>
        <v>1</v>
      </c>
      <c r="T39" s="53" t="str">
        <f t="shared" si="4"/>
        <v>Southbound</v>
      </c>
      <c r="U39" s="13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06:36:46-0600',mode:absolute,to:'2016-08-15 09:25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39" s="55" t="str">
        <f t="shared" si="6"/>
        <v>N</v>
      </c>
      <c r="X39" s="129">
        <f t="shared" si="7"/>
        <v>1</v>
      </c>
      <c r="Y39" s="70">
        <f t="shared" si="8"/>
        <v>23.300699999999999</v>
      </c>
      <c r="Z39" s="70">
        <f t="shared" si="9"/>
        <v>1.4999999999999999E-2</v>
      </c>
      <c r="AA39" s="70">
        <f t="shared" si="10"/>
        <v>23.285699999999999</v>
      </c>
      <c r="AB39" s="67" t="e">
        <f>VLOOKUP(A39,Enforcements!$C$7:$J$24,8,0)</f>
        <v>#N/A</v>
      </c>
      <c r="AC39" s="63" t="e">
        <f>VLOOKUP(A39,Enforcements!$C$7:$E$24,3,0)</f>
        <v>#N/A</v>
      </c>
      <c r="AD39" s="64" t="str">
        <f t="shared" si="11"/>
        <v>0126-15</v>
      </c>
      <c r="AE39" s="104" t="str">
        <f t="shared" si="12"/>
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</c>
      <c r="AF39" s="101" t="str">
        <f t="shared" si="13"/>
        <v>"C:\Program Files (x86)\AstroGrep\AstroGrep.exe" /spath="%USERPROFILE%\AppData\Local\Temp\OnboardLogs" /stypes="*4032*20160815*" /stext=" 14:.+((SYSTEM_STATE.+slice.+state.+changed )|(ment ac)|(system.+state.+changed )|(\|lc)|(penalty)|(\[timeout)|(PRM\|1\|D)|(kpr)|(kdp)|(\|loc))" /e /r /s</v>
      </c>
      <c r="AG39" s="1" t="str">
        <f t="shared" si="15"/>
        <v>EC</v>
      </c>
      <c r="AH39" s="105" t="str">
        <f t="shared" si="16"/>
        <v>"%USERPROFILE%\Documents\GitHub\eaglep3\Utilities\RefineRTDCRunTimes.py" --tripid 126-15 --locoid 4032 --swversion DE.1.0.7.0 --startMP 204:233007 --initTime 2016-08-15T07:36:46 --startdatetime 2016-08-15T07:38:14 --delay 1 --endMP 204:150 --enddatetime 2016-08-15T08:25:31 --enforcementcount 0</v>
      </c>
    </row>
    <row r="40" spans="1:34" s="1" customFormat="1" x14ac:dyDescent="0.25">
      <c r="A40" s="40" t="s">
        <v>367</v>
      </c>
      <c r="B40" s="7">
        <v>4009</v>
      </c>
      <c r="C40" s="25" t="s">
        <v>119</v>
      </c>
      <c r="D40" s="25" t="s">
        <v>141</v>
      </c>
      <c r="E40" s="16">
        <v>42597.28670138889</v>
      </c>
      <c r="F40" s="16">
        <v>42597.287812499999</v>
      </c>
      <c r="G40" s="7">
        <v>1</v>
      </c>
      <c r="H40" s="16" t="s">
        <v>171</v>
      </c>
      <c r="I40" s="16">
        <v>42597.318113425928</v>
      </c>
      <c r="J40" s="7">
        <v>0</v>
      </c>
      <c r="K40" s="142" t="str">
        <f t="shared" si="0"/>
        <v>4009/4010</v>
      </c>
      <c r="L40" s="25" t="str">
        <f>VLOOKUP(A40,'Trips&amp;Operators'!$C$1:$E$10000,3,FALSE)</f>
        <v>SWANSON</v>
      </c>
      <c r="M40" s="6">
        <f t="shared" si="1"/>
        <v>3.030092592962319E-2</v>
      </c>
      <c r="N40" s="7">
        <f t="shared" si="2"/>
        <v>43.633333338657394</v>
      </c>
      <c r="O40" s="7"/>
      <c r="P40" s="7"/>
      <c r="Q40" s="26"/>
      <c r="R40" s="26"/>
      <c r="S40" s="38">
        <f t="shared" si="3"/>
        <v>1</v>
      </c>
      <c r="T40" s="53" t="str">
        <f t="shared" si="4"/>
        <v>NorthBound</v>
      </c>
      <c r="U40" s="13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11" t="str">
        <f t="shared" ref="V40:V50" si="20">"https://search-rtdc-monitor-bjffxe2xuh6vdkpspy63sjmuny.us-east-1.es.amazonaws.com/_plugin/kibana/#/discover/Steve-Slow-Train-Analysis-(2080s-and-2083s)?_g=(refreshInterval:(display:Off,section:0,value:0),time:(from:'"&amp;TEXT(E40-1/24,"yyyy-MM-DD hh:mm:ss")&amp;"-0600',mode:absolute,to:'"&amp;TEXT(I40+1/24,"yyyy-MM-DD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40&amp;"%22')),sort:!(Time,asc))"</f>
        <v>https://search-rtdc-monitor-bjffxe2xuh6vdkpspy63sjmuny.us-east-1.es.amazonaws.com/_plugin/kibana/#/discover/Steve-Slow-Train-Analysis-(2080s-and-2083s)?_g=(refreshInterval:(display:Off,section:0,value:0),time:(from:'2016-08-15 05:52:51-0600',mode:absolute,to:'2016-08-15 08:38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40" s="55" t="str">
        <f t="shared" ref="W40:W50" si="21">IF(AA40&lt;IF(AG40="EC",23,5.65),"Y","N")</f>
        <v>N</v>
      </c>
      <c r="X40" s="129">
        <f t="shared" ref="X40:X50" si="22">VALUE(LEFT(AD40,4))-VALUE(LEFT(AD39,4))</f>
        <v>1</v>
      </c>
      <c r="Y40" s="70">
        <f t="shared" ref="Y40:Y50" si="23">RIGHT(D40,LEN(D40)-4)/10000</f>
        <v>4.53E-2</v>
      </c>
      <c r="Z40" s="70">
        <f t="shared" si="9"/>
        <v>23.33</v>
      </c>
      <c r="AA40" s="70">
        <f t="shared" si="10"/>
        <v>23.284699999999997</v>
      </c>
      <c r="AB40" s="67" t="e">
        <f>VLOOKUP(A40,Enforcements!$C$7:$J$24,8,0)</f>
        <v>#N/A</v>
      </c>
      <c r="AC40" s="63" t="e">
        <f>VLOOKUP(A40,Enforcements!$C$7:$E$24,3,0)</f>
        <v>#N/A</v>
      </c>
      <c r="AD40" s="64" t="str">
        <f t="shared" si="11"/>
        <v>0127-15</v>
      </c>
      <c r="AE40" s="104" t="str">
        <f t="shared" si="12"/>
        <v>aws s3 cp s3://rtdc.mdm.uploadarchive/RTDC4009/2016-08-15/ "%USERPROFILE%\AppData\Local\Temp\OnboardLogs"\RTDC4009\2016-08-15 --recursive &amp; "%USERPROFILE%\Documents\GitHub\mrs-test-scripts\Headless Mode &amp; Sideloading\WalkAndUnGZ.bat" "%USERPROFILE%\AppData\Local\Temp\OnboardLogs"\RTDC4009\2016-08-15 &amp; 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</v>
      </c>
      <c r="AF40" s="101" t="str">
        <f t="shared" si="13"/>
        <v>"C:\Program Files (x86)\AstroGrep\AstroGrep.exe" /spath="%USERPROFILE%\AppData\Local\Temp\OnboardLogs" /stypes="*4009*20160815*" /stext=" 13:.+((SYSTEM_STATE.+slice.+state.+changed )|(ment ac)|(system.+state.+changed )|(\|lc)|(penalty)|(\[timeout)|(PRM\|1\|D)|(kpr)|(kdp)|(\|loc))" /e /r /s</v>
      </c>
      <c r="AG40" s="1" t="str">
        <f t="shared" si="15"/>
        <v>EC</v>
      </c>
      <c r="AH40" s="105" t="str">
        <f t="shared" si="16"/>
        <v>"%USERPROFILE%\Documents\GitHub\eaglep3\Utilities\RefineRTDCRunTimes.py" --tripid 127-15 --locoid 4009 --swversion DE.1.0.7.0 --startMP 204:453 --initTime 2016-08-15T06:52:51 --startdatetime 2016-08-15T06:54:27 --delay 1 --endMP 204:233300 --enddatetime 2016-08-15T07:38:05 --enforcementcount 0</v>
      </c>
    </row>
    <row r="41" spans="1:34" s="1" customFormat="1" x14ac:dyDescent="0.25">
      <c r="A41" s="40" t="s">
        <v>368</v>
      </c>
      <c r="B41" s="7">
        <v>4010</v>
      </c>
      <c r="C41" s="25" t="s">
        <v>119</v>
      </c>
      <c r="D41" s="25" t="s">
        <v>369</v>
      </c>
      <c r="E41" s="16">
        <v>42597.324166666665</v>
      </c>
      <c r="F41" s="16">
        <v>42597.325023148151</v>
      </c>
      <c r="G41" s="7">
        <v>1</v>
      </c>
      <c r="H41" s="16" t="s">
        <v>191</v>
      </c>
      <c r="I41" s="16">
        <v>42597.365914351853</v>
      </c>
      <c r="J41" s="7">
        <v>0</v>
      </c>
      <c r="K41" s="142" t="str">
        <f t="shared" si="0"/>
        <v>4009/4010</v>
      </c>
      <c r="L41" s="25" t="str">
        <f>VLOOKUP(A41,'Trips&amp;Operators'!$C$1:$E$10000,3,FALSE)</f>
        <v>SWANSON</v>
      </c>
      <c r="M41" s="6">
        <f t="shared" si="1"/>
        <v>4.0891203701903578E-2</v>
      </c>
      <c r="N41" s="7">
        <f t="shared" si="2"/>
        <v>58.883333330741152</v>
      </c>
      <c r="O41" s="7"/>
      <c r="P41" s="7"/>
      <c r="Q41" s="26"/>
      <c r="R41" s="26"/>
      <c r="S41" s="38">
        <f t="shared" si="3"/>
        <v>1</v>
      </c>
      <c r="T41" s="53" t="str">
        <f t="shared" si="4"/>
        <v>Southbound</v>
      </c>
      <c r="U41" s="13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11" t="str">
        <f t="shared" si="20"/>
        <v>https://search-rtdc-monitor-bjffxe2xuh6vdkpspy63sjmuny.us-east-1.es.amazonaws.com/_plugin/kibana/#/discover/Steve-Slow-Train-Analysis-(2080s-and-2083s)?_g=(refreshInterval:(display:Off,section:0,value:0),time:(from:'2016-08-15 06:46:48-0600',mode:absolute,to:'2016-08-15 09:46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41" s="55" t="str">
        <f t="shared" si="21"/>
        <v>N</v>
      </c>
      <c r="X41" s="129">
        <f t="shared" si="22"/>
        <v>1</v>
      </c>
      <c r="Y41" s="70">
        <f t="shared" si="23"/>
        <v>23.2972</v>
      </c>
      <c r="Z41" s="70">
        <f t="shared" si="9"/>
        <v>1.5599999999999999E-2</v>
      </c>
      <c r="AA41" s="70">
        <f t="shared" si="10"/>
        <v>23.281600000000001</v>
      </c>
      <c r="AB41" s="67" t="e">
        <f>VLOOKUP(A41,Enforcements!$C$7:$J$24,8,0)</f>
        <v>#N/A</v>
      </c>
      <c r="AC41" s="63" t="e">
        <f>VLOOKUP(A41,Enforcements!$C$7:$E$24,3,0)</f>
        <v>#N/A</v>
      </c>
      <c r="AD41" s="64" t="str">
        <f t="shared" si="11"/>
        <v>0128-15</v>
      </c>
      <c r="AE41" s="104" t="str">
        <f t="shared" si="12"/>
        <v>aws s3 cp s3://rtdc.mdm.uploadarchive/RTDC4010/2016-08-15/ "%USERPROFILE%\AppData\Local\Temp\OnboardLogs"\RTDC4010\2016-08-15 --recursive &amp; "%USERPROFILE%\Documents\GitHub\mrs-test-scripts\Headless Mode &amp; Sideloading\WalkAndUnGZ.bat" "%USERPROFILE%\AppData\Local\Temp\OnboardLogs"\RTDC4010\2016-08-15 &amp; 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</v>
      </c>
      <c r="AF41" s="101" t="str">
        <f t="shared" si="13"/>
        <v>"C:\Program Files (x86)\AstroGrep\AstroGrep.exe" /spath="%USERPROFILE%\AppData\Local\Temp\OnboardLogs" /stypes="*4010*20160815*" /stext=" 14:.+((SYSTEM_STATE.+slice.+state.+changed )|(ment ac)|(system.+state.+changed )|(\|lc)|(penalty)|(\[timeout)|(PRM\|1\|D)|(kpr)|(kdp)|(\|loc))" /e /r /s</v>
      </c>
      <c r="AG41" s="1" t="str">
        <f t="shared" si="15"/>
        <v>EC</v>
      </c>
      <c r="AH41" s="105" t="str">
        <f t="shared" si="16"/>
        <v>"%USERPROFILE%\Documents\GitHub\eaglep3\Utilities\RefineRTDCRunTimes.py" --tripid 128-15 --locoid 4010 --swversion DE.1.0.7.0 --startMP 204:232972 --initTime 2016-08-15T07:46:48 --startdatetime 2016-08-15T07:48:02 --delay 1 --endMP 204:156 --enddatetime 2016-08-15T08:46:55 --enforcementcount 0</v>
      </c>
    </row>
    <row r="42" spans="1:34" s="1" customFormat="1" x14ac:dyDescent="0.25">
      <c r="A42" s="40" t="s">
        <v>370</v>
      </c>
      <c r="B42" s="7">
        <v>4042</v>
      </c>
      <c r="C42" s="25" t="s">
        <v>119</v>
      </c>
      <c r="D42" s="25" t="s">
        <v>371</v>
      </c>
      <c r="E42" s="16">
        <v>42597.307175925926</v>
      </c>
      <c r="F42" s="16">
        <v>42597.308136574073</v>
      </c>
      <c r="G42" s="7">
        <v>1</v>
      </c>
      <c r="H42" s="16" t="s">
        <v>195</v>
      </c>
      <c r="I42" s="16">
        <v>42597.330069444448</v>
      </c>
      <c r="J42" s="7">
        <v>0</v>
      </c>
      <c r="K42" s="142" t="str">
        <f t="shared" si="0"/>
        <v>4041/4042</v>
      </c>
      <c r="L42" s="25" t="str">
        <f>VLOOKUP(A42,'Trips&amp;Operators'!$C$1:$E$10000,3,FALSE)</f>
        <v>MALAVE</v>
      </c>
      <c r="M42" s="6">
        <f t="shared" si="1"/>
        <v>2.1932870375167113E-2</v>
      </c>
      <c r="N42" s="7"/>
      <c r="O42" s="7"/>
      <c r="P42" s="7">
        <f t="shared" si="2"/>
        <v>31.583333340240642</v>
      </c>
      <c r="Q42" s="26"/>
      <c r="R42" s="26" t="s">
        <v>655</v>
      </c>
      <c r="S42" s="38">
        <f t="shared" si="3"/>
        <v>1</v>
      </c>
      <c r="T42" s="53" t="str">
        <f t="shared" si="4"/>
        <v>NorthBound</v>
      </c>
      <c r="U42" s="13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11" t="str">
        <f t="shared" si="20"/>
        <v>https://search-rtdc-monitor-bjffxe2xuh6vdkpspy63sjmuny.us-east-1.es.amazonaws.com/_plugin/kibana/#/discover/Steve-Slow-Train-Analysis-(2080s-and-2083s)?_g=(refreshInterval:(display:Off,section:0,value:0),time:(from:'2016-08-15 06:22:20-0600',mode:absolute,to:'2016-08-15 08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42" s="55" t="str">
        <f t="shared" si="21"/>
        <v>Y</v>
      </c>
      <c r="X42" s="129">
        <f t="shared" si="22"/>
        <v>1</v>
      </c>
      <c r="Y42" s="70">
        <f t="shared" si="23"/>
        <v>1.9141999999999999</v>
      </c>
      <c r="Z42" s="70">
        <f t="shared" si="9"/>
        <v>23.3291</v>
      </c>
      <c r="AA42" s="70">
        <f t="shared" si="10"/>
        <v>21.414899999999999</v>
      </c>
      <c r="AB42" s="67" t="e">
        <f>VLOOKUP(A42,Enforcements!$C$7:$J$24,8,0)</f>
        <v>#N/A</v>
      </c>
      <c r="AC42" s="63" t="e">
        <f>VLOOKUP(A42,Enforcements!$C$7:$E$24,3,0)</f>
        <v>#N/A</v>
      </c>
      <c r="AD42" s="64" t="str">
        <f t="shared" si="11"/>
        <v>0129-15</v>
      </c>
      <c r="AE42" s="104" t="str">
        <f t="shared" si="12"/>
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</c>
      <c r="AF42" s="101" t="str">
        <f t="shared" si="13"/>
        <v>"C:\Program Files (x86)\AstroGrep\AstroGrep.exe" /spath="%USERPROFILE%\AppData\Local\Temp\OnboardLogs" /stypes="*4042*20160815*" /stext=" 13:.+((SYSTEM_STATE.+slice.+state.+changed )|(ment ac)|(system.+state.+changed )|(\|lc)|(penalty)|(\[timeout)|(PRM\|1\|D)|(kpr)|(kdp)|(\|loc))" /e /r /s</v>
      </c>
      <c r="AG42" s="1" t="str">
        <f t="shared" si="15"/>
        <v>EC</v>
      </c>
      <c r="AH42" s="105" t="str">
        <f t="shared" si="16"/>
        <v>"%USERPROFILE%\Documents\GitHub\eaglep3\Utilities\RefineRTDCRunTimes.py" --tripid 129-15 --locoid 4042 --swversion DE.1.0.7.0 --startMP 204:19142 --initTime 2016-08-15T07:22:20 --startdatetime 2016-08-15T07:23:43 --delay 1 --endMP 204:233291 --enddatetime 2016-08-15T07:55:18 --enforcementcount 0</v>
      </c>
    </row>
    <row r="43" spans="1:34" s="1" customFormat="1" x14ac:dyDescent="0.25">
      <c r="A43" s="40" t="s">
        <v>372</v>
      </c>
      <c r="B43" s="7">
        <v>4041</v>
      </c>
      <c r="C43" s="25" t="s">
        <v>119</v>
      </c>
      <c r="D43" s="25" t="s">
        <v>149</v>
      </c>
      <c r="E43" s="16">
        <v>42597.338958333334</v>
      </c>
      <c r="F43" s="16">
        <v>42597.341087962966</v>
      </c>
      <c r="G43" s="7">
        <v>3</v>
      </c>
      <c r="H43" s="16" t="s">
        <v>259</v>
      </c>
      <c r="I43" s="16">
        <v>42597.373287037037</v>
      </c>
      <c r="J43" s="7">
        <v>0</v>
      </c>
      <c r="K43" s="142" t="str">
        <f t="shared" si="0"/>
        <v>4041/4042</v>
      </c>
      <c r="L43" s="25" t="str">
        <f>VLOOKUP(A43,'Trips&amp;Operators'!$C$1:$E$10000,3,FALSE)</f>
        <v>MALAVE</v>
      </c>
      <c r="M43" s="6">
        <f t="shared" si="1"/>
        <v>3.219907407037681E-2</v>
      </c>
      <c r="N43" s="7">
        <f t="shared" si="2"/>
        <v>46.366666661342606</v>
      </c>
      <c r="O43" s="7"/>
      <c r="P43" s="7"/>
      <c r="Q43" s="26"/>
      <c r="R43" s="26"/>
      <c r="S43" s="38">
        <f t="shared" si="3"/>
        <v>1</v>
      </c>
      <c r="T43" s="53" t="str">
        <f t="shared" si="4"/>
        <v>Southbound</v>
      </c>
      <c r="U43" s="13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11" t="str">
        <f t="shared" si="20"/>
        <v>https://search-rtdc-monitor-bjffxe2xuh6vdkpspy63sjmuny.us-east-1.es.amazonaws.com/_plugin/kibana/#/discover/Steve-Slow-Train-Analysis-(2080s-and-2083s)?_g=(refreshInterval:(display:Off,section:0,value:0),time:(from:'2016-08-15 07:08:06-0600',mode:absolute,to:'2016-08-15 09:57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43" s="55" t="str">
        <f t="shared" si="21"/>
        <v>N</v>
      </c>
      <c r="X43" s="129">
        <f t="shared" si="22"/>
        <v>1</v>
      </c>
      <c r="Y43" s="70">
        <f t="shared" si="23"/>
        <v>23.2959</v>
      </c>
      <c r="Z43" s="70">
        <f t="shared" si="9"/>
        <v>1.52E-2</v>
      </c>
      <c r="AA43" s="70">
        <f t="shared" si="10"/>
        <v>23.2807</v>
      </c>
      <c r="AB43" s="67" t="e">
        <f>VLOOKUP(A43,Enforcements!$C$7:$J$24,8,0)</f>
        <v>#N/A</v>
      </c>
      <c r="AC43" s="63" t="e">
        <f>VLOOKUP(A43,Enforcements!$C$7:$E$24,3,0)</f>
        <v>#N/A</v>
      </c>
      <c r="AD43" s="64" t="str">
        <f t="shared" si="11"/>
        <v>0130-15</v>
      </c>
      <c r="AE43" s="104" t="str">
        <f t="shared" si="12"/>
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</c>
      <c r="AF43" s="101" t="str">
        <f t="shared" si="13"/>
        <v>"C:\Program Files (x86)\AstroGrep\AstroGrep.exe" /spath="%USERPROFILE%\AppData\Local\Temp\OnboardLogs" /stypes="*4041*20160815*" /stext=" 14:.+((SYSTEM_STATE.+slice.+state.+changed )|(ment ac)|(system.+state.+changed )|(\|lc)|(penalty)|(\[timeout)|(PRM\|1\|D)|(kpr)|(kdp)|(\|loc))" /e /r /s</v>
      </c>
      <c r="AG43" s="1" t="str">
        <f t="shared" si="15"/>
        <v>EC</v>
      </c>
      <c r="AH43" s="105" t="str">
        <f t="shared" si="16"/>
        <v>"%USERPROFILE%\Documents\GitHub\eaglep3\Utilities\RefineRTDCRunTimes.py" --tripid 130-15 --locoid 4041 --swversion DE.1.0.7.0 --startMP 204:232959 --initTime 2016-08-15T08:08:06 --startdatetime 2016-08-15T08:11:10 --delay 3 --endMP 204:152 --enddatetime 2016-08-15T08:57:32 --enforcementcount 0</v>
      </c>
    </row>
    <row r="44" spans="1:34" s="1" customFormat="1" x14ac:dyDescent="0.25">
      <c r="A44" s="40" t="s">
        <v>373</v>
      </c>
      <c r="B44" s="7">
        <v>4044</v>
      </c>
      <c r="C44" s="25" t="s">
        <v>119</v>
      </c>
      <c r="D44" s="25" t="s">
        <v>205</v>
      </c>
      <c r="E44" s="16">
        <v>42597.308912037035</v>
      </c>
      <c r="F44" s="16">
        <v>42597.312789351854</v>
      </c>
      <c r="G44" s="7">
        <v>5</v>
      </c>
      <c r="H44" s="16" t="s">
        <v>374</v>
      </c>
      <c r="I44" s="16">
        <v>42597.338819444441</v>
      </c>
      <c r="J44" s="7">
        <v>0</v>
      </c>
      <c r="K44" s="142" t="str">
        <f t="shared" si="0"/>
        <v>4043/4044</v>
      </c>
      <c r="L44" s="25" t="str">
        <f>VLOOKUP(A44,'Trips&amp;Operators'!$C$1:$E$10000,3,FALSE)</f>
        <v>ACKERMAN</v>
      </c>
      <c r="M44" s="6">
        <f t="shared" si="1"/>
        <v>2.6030092587461695E-2</v>
      </c>
      <c r="N44" s="7">
        <f t="shared" si="2"/>
        <v>37.483333325944841</v>
      </c>
      <c r="O44" s="7"/>
      <c r="P44" s="7"/>
      <c r="Q44" s="26"/>
      <c r="R44" s="26"/>
      <c r="S44" s="38">
        <f t="shared" si="3"/>
        <v>1</v>
      </c>
      <c r="T44" s="53" t="str">
        <f t="shared" si="4"/>
        <v>NorthBound</v>
      </c>
      <c r="U44" s="13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11" t="str">
        <f t="shared" si="20"/>
        <v>https://search-rtdc-monitor-bjffxe2xuh6vdkpspy63sjmuny.us-east-1.es.amazonaws.com/_plugin/kibana/#/discover/Steve-Slow-Train-Analysis-(2080s-and-2083s)?_g=(refreshInterval:(display:Off,section:0,value:0),time:(from:'2016-08-15 06:24:50-0600',mode:absolute,to:'2016-08-15 09:07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44" s="55" t="str">
        <f t="shared" si="21"/>
        <v>N</v>
      </c>
      <c r="X44" s="129">
        <f t="shared" si="22"/>
        <v>1</v>
      </c>
      <c r="Y44" s="70">
        <f t="shared" si="23"/>
        <v>4.3799999999999999E-2</v>
      </c>
      <c r="Z44" s="70">
        <f t="shared" si="9"/>
        <v>23.323799999999999</v>
      </c>
      <c r="AA44" s="70">
        <f t="shared" si="10"/>
        <v>23.279999999999998</v>
      </c>
      <c r="AB44" s="67" t="e">
        <f>VLOOKUP(A44,Enforcements!$C$7:$J$24,8,0)</f>
        <v>#N/A</v>
      </c>
      <c r="AC44" s="63" t="e">
        <f>VLOOKUP(A44,Enforcements!$C$7:$E$24,3,0)</f>
        <v>#N/A</v>
      </c>
      <c r="AD44" s="64" t="str">
        <f t="shared" si="11"/>
        <v>0131-15</v>
      </c>
      <c r="AE44" s="104" t="str">
        <f t="shared" si="12"/>
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</c>
      <c r="AF44" s="101" t="str">
        <f t="shared" si="13"/>
        <v>"C:\Program Files (x86)\AstroGrep\AstroGrep.exe" /spath="%USERPROFILE%\AppData\Local\Temp\OnboardLogs" /stypes="*4044*20160815*" /stext=" 14:.+((SYSTEM_STATE.+slice.+state.+changed )|(ment ac)|(system.+state.+changed )|(\|lc)|(penalty)|(\[timeout)|(PRM\|1\|D)|(kpr)|(kdp)|(\|loc))" /e /r /s</v>
      </c>
      <c r="AG44" s="1" t="str">
        <f t="shared" si="15"/>
        <v>EC</v>
      </c>
      <c r="AH44" s="105" t="str">
        <f t="shared" si="16"/>
        <v>"%USERPROFILE%\Documents\GitHub\eaglep3\Utilities\RefineRTDCRunTimes.py" --tripid 131-15 --locoid 4044 --swversion DE.1.0.7.0 --startMP 204:438 --initTime 2016-08-15T07:24:50 --startdatetime 2016-08-15T07:30:25 --delay 5 --endMP 204:233238 --enddatetime 2016-08-15T08:07:54 --enforcementcount 0</v>
      </c>
    </row>
    <row r="45" spans="1:34" s="1" customFormat="1" x14ac:dyDescent="0.25">
      <c r="A45" s="40" t="s">
        <v>375</v>
      </c>
      <c r="B45" s="7">
        <v>4043</v>
      </c>
      <c r="C45" s="25" t="s">
        <v>119</v>
      </c>
      <c r="D45" s="25" t="s">
        <v>376</v>
      </c>
      <c r="E45" s="16">
        <v>42597.346087962964</v>
      </c>
      <c r="F45" s="16">
        <v>42597.347673611112</v>
      </c>
      <c r="G45" s="7">
        <v>2</v>
      </c>
      <c r="H45" s="16" t="s">
        <v>172</v>
      </c>
      <c r="I45" s="16">
        <v>42597.380219907405</v>
      </c>
      <c r="J45" s="7">
        <v>0</v>
      </c>
      <c r="K45" s="142" t="str">
        <f t="shared" si="0"/>
        <v>4043/4044</v>
      </c>
      <c r="L45" s="25" t="str">
        <f>VLOOKUP(A45,'Trips&amp;Operators'!$C$1:$E$10000,3,FALSE)</f>
        <v>ACKERMAN</v>
      </c>
      <c r="M45" s="6">
        <f t="shared" si="1"/>
        <v>3.2546296293730848E-2</v>
      </c>
      <c r="N45" s="7">
        <f t="shared" si="2"/>
        <v>46.86666666297242</v>
      </c>
      <c r="O45" s="7"/>
      <c r="P45" s="7"/>
      <c r="Q45" s="26"/>
      <c r="R45" s="26"/>
      <c r="S45" s="38">
        <f t="shared" si="3"/>
        <v>1</v>
      </c>
      <c r="T45" s="53" t="str">
        <f t="shared" si="4"/>
        <v>Southbound</v>
      </c>
      <c r="U45" s="13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11" t="str">
        <f t="shared" si="20"/>
        <v>https://search-rtdc-monitor-bjffxe2xuh6vdkpspy63sjmuny.us-east-1.es.amazonaws.com/_plugin/kibana/#/discover/Steve-Slow-Train-Analysis-(2080s-and-2083s)?_g=(refreshInterval:(display:Off,section:0,value:0),time:(from:'2016-08-15 07:18:22-0600',mode:absolute,to:'2016-08-15 10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45" s="55" t="str">
        <f t="shared" si="21"/>
        <v>N</v>
      </c>
      <c r="X45" s="129">
        <f t="shared" si="22"/>
        <v>1</v>
      </c>
      <c r="Y45" s="70">
        <f t="shared" si="23"/>
        <v>23.295500000000001</v>
      </c>
      <c r="Z45" s="70">
        <f t="shared" si="9"/>
        <v>1.72E-2</v>
      </c>
      <c r="AA45" s="70">
        <f t="shared" si="10"/>
        <v>23.278300000000002</v>
      </c>
      <c r="AB45" s="67" t="e">
        <f>VLOOKUP(A45,Enforcements!$C$7:$J$24,8,0)</f>
        <v>#N/A</v>
      </c>
      <c r="AC45" s="63" t="e">
        <f>VLOOKUP(A45,Enforcements!$C$7:$E$24,3,0)</f>
        <v>#N/A</v>
      </c>
      <c r="AD45" s="64" t="str">
        <f t="shared" si="11"/>
        <v>0132-15</v>
      </c>
      <c r="AE45" s="104" t="str">
        <f t="shared" si="12"/>
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</c>
      <c r="AF45" s="101" t="str">
        <f t="shared" si="13"/>
        <v>"C:\Program Files (x86)\AstroGrep\AstroGrep.exe" /spath="%USERPROFILE%\AppData\Local\Temp\OnboardLogs" /stypes="*4043*20160815*" /stext=" 15:.+((SYSTEM_STATE.+slice.+state.+changed )|(ment ac)|(system.+state.+changed )|(\|lc)|(penalty)|(\[timeout)|(PRM\|1\|D)|(kpr)|(kdp)|(\|loc))" /e /r /s</v>
      </c>
      <c r="AG45" s="1" t="str">
        <f t="shared" si="15"/>
        <v>EC</v>
      </c>
      <c r="AH45" s="105" t="str">
        <f t="shared" si="16"/>
        <v>"%USERPROFILE%\Documents\GitHub\eaglep3\Utilities\RefineRTDCRunTimes.py" --tripid 132-15 --locoid 4043 --swversion DE.1.0.7.0 --startMP 204:232955 --initTime 2016-08-15T08:18:22 --startdatetime 2016-08-15T08:20:39 --delay 2 --endMP 204:172 --enddatetime 2016-08-15T09:07:31 --enforcementcount 0</v>
      </c>
    </row>
    <row r="46" spans="1:34" s="1" customFormat="1" x14ac:dyDescent="0.25">
      <c r="A46" s="40" t="s">
        <v>377</v>
      </c>
      <c r="B46" s="7">
        <v>4027</v>
      </c>
      <c r="C46" s="25" t="s">
        <v>119</v>
      </c>
      <c r="D46" s="25" t="s">
        <v>179</v>
      </c>
      <c r="E46" s="16">
        <v>42597.319479166668</v>
      </c>
      <c r="F46" s="16">
        <v>42597.320532407408</v>
      </c>
      <c r="G46" s="7">
        <v>1</v>
      </c>
      <c r="H46" s="16" t="s">
        <v>294</v>
      </c>
      <c r="I46" s="16">
        <v>42597.356481481482</v>
      </c>
      <c r="J46" s="7">
        <v>0</v>
      </c>
      <c r="K46" s="142" t="str">
        <f t="shared" si="0"/>
        <v>4027/4028</v>
      </c>
      <c r="L46" s="25" t="str">
        <f>VLOOKUP(A46,'Trips&amp;Operators'!$C$1:$E$10000,3,FALSE)</f>
        <v>SANTIZO</v>
      </c>
      <c r="M46" s="6">
        <f t="shared" si="1"/>
        <v>3.5949074073869269E-2</v>
      </c>
      <c r="N46" s="7">
        <f t="shared" si="2"/>
        <v>51.766666666371748</v>
      </c>
      <c r="O46" s="7"/>
      <c r="P46" s="7"/>
      <c r="Q46" s="26"/>
      <c r="R46" s="26"/>
      <c r="S46" s="38">
        <f t="shared" si="3"/>
        <v>1</v>
      </c>
      <c r="T46" s="53" t="str">
        <f t="shared" si="4"/>
        <v>NorthBound</v>
      </c>
      <c r="U46" s="13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11" t="str">
        <f t="shared" si="20"/>
        <v>https://search-rtdc-monitor-bjffxe2xuh6vdkpspy63sjmuny.us-east-1.es.amazonaws.com/_plugin/kibana/#/discover/Steve-Slow-Train-Analysis-(2080s-and-2083s)?_g=(refreshInterval:(display:Off,section:0,value:0),time:(from:'2016-08-15 06:40:03-0600',mode:absolute,to:'2016-08-15 09:33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46" s="55" t="str">
        <f t="shared" si="21"/>
        <v>N</v>
      </c>
      <c r="X46" s="129">
        <f t="shared" si="22"/>
        <v>1</v>
      </c>
      <c r="Y46" s="70">
        <f t="shared" si="23"/>
        <v>4.4400000000000002E-2</v>
      </c>
      <c r="Z46" s="70">
        <f t="shared" si="9"/>
        <v>23.3309</v>
      </c>
      <c r="AA46" s="70">
        <f t="shared" si="10"/>
        <v>23.2865</v>
      </c>
      <c r="AB46" s="67" t="e">
        <f>VLOOKUP(A46,Enforcements!$C$7:$J$24,8,0)</f>
        <v>#N/A</v>
      </c>
      <c r="AC46" s="63" t="e">
        <f>VLOOKUP(A46,Enforcements!$C$7:$E$24,3,0)</f>
        <v>#N/A</v>
      </c>
      <c r="AD46" s="64" t="str">
        <f t="shared" si="11"/>
        <v>0133-15</v>
      </c>
      <c r="AE46" s="104" t="str">
        <f t="shared" si="12"/>
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</c>
      <c r="AF46" s="101" t="str">
        <f t="shared" si="13"/>
        <v>"C:\Program Files (x86)\AstroGrep\AstroGrep.exe" /spath="%USERPROFILE%\AppData\Local\Temp\OnboardLogs" /stypes="*4027*20160815*" /stext=" 14:.+((SYSTEM_STATE.+slice.+state.+changed )|(ment ac)|(system.+state.+changed )|(\|lc)|(penalty)|(\[timeout)|(PRM\|1\|D)|(kpr)|(kdp)|(\|loc))" /e /r /s</v>
      </c>
      <c r="AG46" s="1" t="str">
        <f t="shared" si="15"/>
        <v>EC</v>
      </c>
      <c r="AH46" s="105" t="str">
        <f t="shared" si="16"/>
        <v>"%USERPROFILE%\Documents\GitHub\eaglep3\Utilities\RefineRTDCRunTimes.py" --tripid 133-15 --locoid 4027 --swversion DE.1.0.7.0 --startMP 204:444 --initTime 2016-08-15T07:40:03 --startdatetime 2016-08-15T07:41:34 --delay 1 --endMP 204:233309 --enddatetime 2016-08-15T08:33:20 --enforcementcount 0</v>
      </c>
    </row>
    <row r="47" spans="1:34" s="1" customFormat="1" x14ac:dyDescent="0.25">
      <c r="A47" s="40" t="s">
        <v>378</v>
      </c>
      <c r="B47" s="7">
        <v>4028</v>
      </c>
      <c r="C47" s="25" t="s">
        <v>119</v>
      </c>
      <c r="D47" s="25" t="s">
        <v>132</v>
      </c>
      <c r="E47" s="16">
        <v>42597.358807870369</v>
      </c>
      <c r="F47" s="16">
        <v>42597.359861111108</v>
      </c>
      <c r="G47" s="7">
        <v>1</v>
      </c>
      <c r="H47" s="16" t="s">
        <v>139</v>
      </c>
      <c r="I47" s="16">
        <v>42597.391701388886</v>
      </c>
      <c r="J47" s="7">
        <v>0</v>
      </c>
      <c r="K47" s="142" t="str">
        <f t="shared" si="0"/>
        <v>4027/4028</v>
      </c>
      <c r="L47" s="25" t="str">
        <f>VLOOKUP(A47,'Trips&amp;Operators'!$C$1:$E$10000,3,FALSE)</f>
        <v>SANTIZO</v>
      </c>
      <c r="M47" s="6">
        <f t="shared" si="1"/>
        <v>3.1840277777519077E-2</v>
      </c>
      <c r="N47" s="7">
        <f t="shared" si="2"/>
        <v>45.849999999627471</v>
      </c>
      <c r="O47" s="7"/>
      <c r="P47" s="7"/>
      <c r="Q47" s="26"/>
      <c r="R47" s="26"/>
      <c r="S47" s="38">
        <f t="shared" si="3"/>
        <v>1</v>
      </c>
      <c r="T47" s="53" t="str">
        <f t="shared" si="4"/>
        <v>Southbound</v>
      </c>
      <c r="U47" s="13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11" t="str">
        <f t="shared" si="20"/>
        <v>https://search-rtdc-monitor-bjffxe2xuh6vdkpspy63sjmuny.us-east-1.es.amazonaws.com/_plugin/kibana/#/discover/Steve-Slow-Train-Analysis-(2080s-and-2083s)?_g=(refreshInterval:(display:Off,section:0,value:0),time:(from:'2016-08-15 07:36:41-0600',mode:absolute,to:'2016-08-15 10:24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47" s="55" t="str">
        <f t="shared" si="21"/>
        <v>N</v>
      </c>
      <c r="X47" s="129">
        <f t="shared" si="22"/>
        <v>1</v>
      </c>
      <c r="Y47" s="70">
        <f t="shared" si="23"/>
        <v>23.299800000000001</v>
      </c>
      <c r="Z47" s="70">
        <f t="shared" si="9"/>
        <v>1.5800000000000002E-2</v>
      </c>
      <c r="AA47" s="70">
        <f t="shared" si="10"/>
        <v>23.284000000000002</v>
      </c>
      <c r="AB47" s="67" t="e">
        <f>VLOOKUP(A47,Enforcements!$C$7:$J$24,8,0)</f>
        <v>#N/A</v>
      </c>
      <c r="AC47" s="63" t="e">
        <f>VLOOKUP(A47,Enforcements!$C$7:$E$24,3,0)</f>
        <v>#N/A</v>
      </c>
      <c r="AD47" s="64" t="str">
        <f t="shared" si="11"/>
        <v>0134-15</v>
      </c>
      <c r="AE47" s="104" t="str">
        <f t="shared" si="12"/>
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</c>
      <c r="AF47" s="101" t="str">
        <f t="shared" si="13"/>
        <v>"C:\Program Files (x86)\AstroGrep\AstroGrep.exe" /spath="%USERPROFILE%\AppData\Local\Temp\OnboardLogs" /stypes="*4028*20160815*" /stext=" 15:.+((SYSTEM_STATE.+slice.+state.+changed )|(ment ac)|(system.+state.+changed )|(\|lc)|(penalty)|(\[timeout)|(PRM\|1\|D)|(kpr)|(kdp)|(\|loc))" /e /r /s</v>
      </c>
      <c r="AG47" s="1" t="str">
        <f t="shared" si="15"/>
        <v>EC</v>
      </c>
      <c r="AH47" s="105" t="str">
        <f t="shared" si="16"/>
        <v>"%USERPROFILE%\Documents\GitHub\eaglep3\Utilities\RefineRTDCRunTimes.py" --tripid 134-15 --locoid 4028 --swversion DE.1.0.7.0 --startMP 204:232998 --initTime 2016-08-15T08:36:41 --startdatetime 2016-08-15T08:38:12 --delay 1 --endMP 204:158 --enddatetime 2016-08-15T09:24:03 --enforcementcount 0</v>
      </c>
    </row>
    <row r="48" spans="1:34" s="1" customFormat="1" x14ac:dyDescent="0.25">
      <c r="A48" s="40" t="s">
        <v>379</v>
      </c>
      <c r="B48" s="7">
        <v>4020</v>
      </c>
      <c r="C48" s="25" t="s">
        <v>119</v>
      </c>
      <c r="D48" s="25" t="s">
        <v>113</v>
      </c>
      <c r="E48" s="16">
        <v>42597.328518518516</v>
      </c>
      <c r="F48" s="16">
        <v>42597.329571759263</v>
      </c>
      <c r="G48" s="7">
        <v>1</v>
      </c>
      <c r="H48" s="16" t="s">
        <v>380</v>
      </c>
      <c r="I48" s="16">
        <v>42597.365983796299</v>
      </c>
      <c r="J48" s="7">
        <v>0</v>
      </c>
      <c r="K48" s="142" t="str">
        <f t="shared" si="0"/>
        <v>4019/4020</v>
      </c>
      <c r="L48" s="25" t="str">
        <f>VLOOKUP(A48,'Trips&amp;Operators'!$C$1:$E$10000,3,FALSE)</f>
        <v>SPECTOR</v>
      </c>
      <c r="M48" s="6">
        <f t="shared" si="1"/>
        <v>3.6412037035916001E-2</v>
      </c>
      <c r="N48" s="7">
        <f t="shared" si="2"/>
        <v>52.433333331719041</v>
      </c>
      <c r="O48" s="7"/>
      <c r="P48" s="7"/>
      <c r="Q48" s="26"/>
      <c r="R48" s="26"/>
      <c r="S48" s="38">
        <f t="shared" si="3"/>
        <v>1</v>
      </c>
      <c r="T48" s="53" t="str">
        <f t="shared" si="4"/>
        <v>NorthBound</v>
      </c>
      <c r="U48" s="13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11" t="str">
        <f t="shared" si="20"/>
        <v>https://search-rtdc-monitor-bjffxe2xuh6vdkpspy63sjmuny.us-east-1.es.amazonaws.com/_plugin/kibana/#/discover/Steve-Slow-Train-Analysis-(2080s-and-2083s)?_g=(refreshInterval:(display:Off,section:0,value:0),time:(from:'2016-08-15 06:53:04-0600',mode:absolute,to:'2016-08-15 09:47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48" s="55" t="str">
        <f t="shared" si="21"/>
        <v>N</v>
      </c>
      <c r="X48" s="129">
        <f t="shared" si="22"/>
        <v>1</v>
      </c>
      <c r="Y48" s="70">
        <f t="shared" si="23"/>
        <v>4.6399999999999997E-2</v>
      </c>
      <c r="Z48" s="70">
        <f t="shared" si="9"/>
        <v>23.3338</v>
      </c>
      <c r="AA48" s="70">
        <f t="shared" si="10"/>
        <v>23.287400000000002</v>
      </c>
      <c r="AB48" s="67" t="e">
        <f>VLOOKUP(A48,Enforcements!$C$7:$J$24,8,0)</f>
        <v>#N/A</v>
      </c>
      <c r="AC48" s="63" t="e">
        <f>VLOOKUP(A48,Enforcements!$C$7:$E$24,3,0)</f>
        <v>#N/A</v>
      </c>
      <c r="AD48" s="64" t="str">
        <f t="shared" si="11"/>
        <v>0135-15</v>
      </c>
      <c r="AE48" s="104" t="str">
        <f t="shared" si="12"/>
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</c>
      <c r="AF48" s="101" t="str">
        <f t="shared" si="13"/>
        <v>"C:\Program Files (x86)\AstroGrep\AstroGrep.exe" /spath="%USERPROFILE%\AppData\Local\Temp\OnboardLogs" /stypes="*4020*20160815*" /stext=" 14:.+((SYSTEM_STATE.+slice.+state.+changed )|(ment ac)|(system.+state.+changed )|(\|lc)|(penalty)|(\[timeout)|(PRM\|1\|D)|(kpr)|(kdp)|(\|loc))" /e /r /s</v>
      </c>
      <c r="AG48" s="1" t="str">
        <f t="shared" si="15"/>
        <v>EC</v>
      </c>
      <c r="AH48" s="105" t="str">
        <f t="shared" si="16"/>
        <v>"%USERPROFILE%\Documents\GitHub\eaglep3\Utilities\RefineRTDCRunTimes.py" --tripid 135-15 --locoid 4020 --swversion DE.1.0.7.0 --startMP 204:464 --initTime 2016-08-15T07:53:04 --startdatetime 2016-08-15T07:54:35 --delay 1 --endMP 204:233338 --enddatetime 2016-08-15T08:47:01 --enforcementcount 0</v>
      </c>
    </row>
    <row r="49" spans="1:34" s="1" customFormat="1" x14ac:dyDescent="0.25">
      <c r="A49" s="40" t="s">
        <v>381</v>
      </c>
      <c r="B49" s="7">
        <v>4019</v>
      </c>
      <c r="C49" s="25" t="s">
        <v>119</v>
      </c>
      <c r="D49" s="25" t="s">
        <v>257</v>
      </c>
      <c r="E49" s="16">
        <v>42597.370462962965</v>
      </c>
      <c r="F49" s="16">
        <v>42597.371469907404</v>
      </c>
      <c r="G49" s="7">
        <v>1</v>
      </c>
      <c r="H49" s="16" t="s">
        <v>196</v>
      </c>
      <c r="I49" s="16">
        <v>42597.405185185184</v>
      </c>
      <c r="J49" s="7">
        <v>0</v>
      </c>
      <c r="K49" s="142" t="str">
        <f t="shared" si="0"/>
        <v>4019/4020</v>
      </c>
      <c r="L49" s="25" t="str">
        <f>VLOOKUP(A49,'Trips&amp;Operators'!$C$1:$E$10000,3,FALSE)</f>
        <v>SPECTOR</v>
      </c>
      <c r="M49" s="6">
        <f t="shared" si="1"/>
        <v>3.3715277779265307E-2</v>
      </c>
      <c r="N49" s="7">
        <f t="shared" si="2"/>
        <v>48.550000002142042</v>
      </c>
      <c r="O49" s="7"/>
      <c r="P49" s="7"/>
      <c r="Q49" s="26"/>
      <c r="R49" s="26"/>
      <c r="S49" s="38">
        <f t="shared" si="3"/>
        <v>1</v>
      </c>
      <c r="T49" s="53" t="str">
        <f t="shared" si="4"/>
        <v>Southbound</v>
      </c>
      <c r="U49" s="13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11" t="str">
        <f t="shared" si="20"/>
        <v>https://search-rtdc-monitor-bjffxe2xuh6vdkpspy63sjmuny.us-east-1.es.amazonaws.com/_plugin/kibana/#/discover/Steve-Slow-Train-Analysis-(2080s-and-2083s)?_g=(refreshInterval:(display:Off,section:0,value:0),time:(from:'2016-08-15 07:53:28-0600',mode:absolute,to:'2016-08-15 10:43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49" s="55" t="str">
        <f t="shared" si="21"/>
        <v>N</v>
      </c>
      <c r="X49" s="129">
        <f t="shared" si="22"/>
        <v>1</v>
      </c>
      <c r="Y49" s="70">
        <f t="shared" si="23"/>
        <v>23.3004</v>
      </c>
      <c r="Z49" s="70">
        <f t="shared" si="9"/>
        <v>1.54E-2</v>
      </c>
      <c r="AA49" s="70">
        <f t="shared" si="10"/>
        <v>23.285</v>
      </c>
      <c r="AB49" s="67" t="e">
        <f>VLOOKUP(A49,Enforcements!$C$7:$J$24,8,0)</f>
        <v>#N/A</v>
      </c>
      <c r="AC49" s="63" t="e">
        <f>VLOOKUP(A49,Enforcements!$C$7:$E$24,3,0)</f>
        <v>#N/A</v>
      </c>
      <c r="AD49" s="64" t="str">
        <f t="shared" si="11"/>
        <v>0136-15</v>
      </c>
      <c r="AE49" s="104" t="str">
        <f t="shared" si="12"/>
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</c>
      <c r="AF49" s="101" t="str">
        <f t="shared" si="13"/>
        <v>"C:\Program Files (x86)\AstroGrep\AstroGrep.exe" /spath="%USERPROFILE%\AppData\Local\Temp\OnboardLogs" /stypes="*4019*20160815*" /stext=" 15:.+((SYSTEM_STATE.+slice.+state.+changed )|(ment ac)|(system.+state.+changed )|(\|lc)|(penalty)|(\[timeout)|(PRM\|1\|D)|(kpr)|(kdp)|(\|loc))" /e /r /s</v>
      </c>
      <c r="AG49" s="1" t="str">
        <f t="shared" si="15"/>
        <v>EC</v>
      </c>
      <c r="AH49" s="105" t="str">
        <f t="shared" si="16"/>
        <v>"%USERPROFILE%\Documents\GitHub\eaglep3\Utilities\RefineRTDCRunTimes.py" --tripid 136-15 --locoid 4019 --swversion DE.1.0.7.0 --startMP 204:233004 --initTime 2016-08-15T08:53:28 --startdatetime 2016-08-15T08:54:55 --delay 1 --endMP 204:154 --enddatetime 2016-08-15T09:43:28 --enforcementcount 0</v>
      </c>
    </row>
    <row r="50" spans="1:34" s="1" customFormat="1" x14ac:dyDescent="0.25">
      <c r="A50" s="40" t="s">
        <v>382</v>
      </c>
      <c r="B50" s="7">
        <v>4038</v>
      </c>
      <c r="C50" s="25" t="s">
        <v>119</v>
      </c>
      <c r="D50" s="25" t="s">
        <v>307</v>
      </c>
      <c r="E50" s="16">
        <v>42597.339155092595</v>
      </c>
      <c r="F50" s="16">
        <v>42597.340104166666</v>
      </c>
      <c r="G50" s="7">
        <v>1</v>
      </c>
      <c r="H50" s="16" t="s">
        <v>268</v>
      </c>
      <c r="I50" s="16">
        <v>42597.368414351855</v>
      </c>
      <c r="J50" s="7">
        <v>0</v>
      </c>
      <c r="K50" s="142" t="str">
        <f t="shared" si="0"/>
        <v>4037/4038</v>
      </c>
      <c r="L50" s="25" t="str">
        <f>VLOOKUP(A50,'Trips&amp;Operators'!$C$1:$E$10000,3,FALSE)</f>
        <v>YORK</v>
      </c>
      <c r="M50" s="6">
        <f t="shared" si="1"/>
        <v>2.8310185189184267E-2</v>
      </c>
      <c r="N50" s="7">
        <f t="shared" si="2"/>
        <v>40.766666672425345</v>
      </c>
      <c r="O50" s="7"/>
      <c r="P50" s="7"/>
      <c r="Q50" s="26"/>
      <c r="R50" s="26"/>
      <c r="S50" s="38">
        <f t="shared" si="3"/>
        <v>1</v>
      </c>
      <c r="T50" s="53" t="str">
        <f t="shared" si="4"/>
        <v>NorthBound</v>
      </c>
      <c r="U50" s="13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11" t="str">
        <f t="shared" si="20"/>
        <v>https://search-rtdc-monitor-bjffxe2xuh6vdkpspy63sjmuny.us-east-1.es.amazonaws.com/_plugin/kibana/#/discover/Steve-Slow-Train-Analysis-(2080s-and-2083s)?_g=(refreshInterval:(display:Off,section:0,value:0),time:(from:'2016-08-15 07:08:23-0600',mode:absolute,to:'2016-08-15 09:50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50" s="55" t="str">
        <f t="shared" si="21"/>
        <v>N</v>
      </c>
      <c r="X50" s="129">
        <f t="shared" si="22"/>
        <v>1</v>
      </c>
      <c r="Y50" s="70">
        <f t="shared" si="23"/>
        <v>4.7300000000000002E-2</v>
      </c>
      <c r="Z50" s="70">
        <f t="shared" si="9"/>
        <v>23.330500000000001</v>
      </c>
      <c r="AA50" s="70">
        <f t="shared" si="10"/>
        <v>23.283200000000001</v>
      </c>
      <c r="AB50" s="67" t="e">
        <f>VLOOKUP(A50,Enforcements!$C$7:$J$24,8,0)</f>
        <v>#N/A</v>
      </c>
      <c r="AC50" s="63" t="e">
        <f>VLOOKUP(A50,Enforcements!$C$7:$E$24,3,0)</f>
        <v>#N/A</v>
      </c>
      <c r="AD50" s="64" t="str">
        <f t="shared" si="11"/>
        <v>0137-15</v>
      </c>
      <c r="AE50" s="104" t="str">
        <f t="shared" si="12"/>
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</c>
      <c r="AF50" s="101" t="str">
        <f t="shared" si="13"/>
        <v>"C:\Program Files (x86)\AstroGrep\AstroGrep.exe" /spath="%USERPROFILE%\AppData\Local\Temp\OnboardLogs" /stypes="*4038*20160815*" /stext=" 14:.+((SYSTEM_STATE.+slice.+state.+changed )|(ment ac)|(system.+state.+changed )|(\|lc)|(penalty)|(\[timeout)|(PRM\|1\|D)|(kpr)|(kdp)|(\|loc))" /e /r /s</v>
      </c>
      <c r="AG50" s="1" t="str">
        <f t="shared" si="15"/>
        <v>EC</v>
      </c>
      <c r="AH50" s="105" t="str">
        <f t="shared" si="16"/>
        <v>"%USERPROFILE%\Documents\GitHub\eaglep3\Utilities\RefineRTDCRunTimes.py" --tripid 137-15 --locoid 4038 --swversion DE.1.0.7.0 --startMP 204:473 --initTime 2016-08-15T08:08:23 --startdatetime 2016-08-15T08:09:45 --delay 1 --endMP 204:233305 --enddatetime 2016-08-15T08:50:31 --enforcementcount 0</v>
      </c>
    </row>
    <row r="51" spans="1:34" s="1" customFormat="1" x14ac:dyDescent="0.25">
      <c r="A51" s="40" t="s">
        <v>383</v>
      </c>
      <c r="B51" s="7">
        <v>4037</v>
      </c>
      <c r="C51" s="25" t="s">
        <v>119</v>
      </c>
      <c r="D51" s="25" t="s">
        <v>249</v>
      </c>
      <c r="E51" s="16">
        <v>42597.369166666664</v>
      </c>
      <c r="F51" s="16">
        <v>42597.369803240741</v>
      </c>
      <c r="G51" s="7">
        <v>0</v>
      </c>
      <c r="H51" s="16" t="s">
        <v>145</v>
      </c>
      <c r="I51" s="16">
        <v>42597.411423611113</v>
      </c>
      <c r="J51" s="7">
        <v>0</v>
      </c>
      <c r="K51" s="142" t="str">
        <f t="shared" si="0"/>
        <v>4037/4038</v>
      </c>
      <c r="L51" s="25" t="str">
        <f>VLOOKUP(A51,'Trips&amp;Operators'!$C$1:$E$10000,3,FALSE)</f>
        <v>YORK</v>
      </c>
      <c r="M51" s="6">
        <f t="shared" si="1"/>
        <v>4.1620370371674653E-2</v>
      </c>
      <c r="N51" s="7">
        <f t="shared" si="2"/>
        <v>59.933333335211501</v>
      </c>
      <c r="O51" s="7"/>
      <c r="P51" s="7"/>
      <c r="Q51" s="26"/>
      <c r="R51" s="26"/>
      <c r="S51" s="38">
        <f t="shared" si="3"/>
        <v>1</v>
      </c>
      <c r="T51" s="53" t="str">
        <f t="shared" si="4"/>
        <v>Southbound</v>
      </c>
      <c r="U51" s="13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07:51:36-0600',mode:absolute,to:'2016-08-15 10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51" s="55" t="str">
        <f t="shared" si="6"/>
        <v>N</v>
      </c>
      <c r="X51" s="129">
        <f t="shared" si="7"/>
        <v>1</v>
      </c>
      <c r="Y51" s="70">
        <f t="shared" si="8"/>
        <v>23.298200000000001</v>
      </c>
      <c r="Z51" s="70">
        <f t="shared" si="9"/>
        <v>1.49E-2</v>
      </c>
      <c r="AA51" s="70">
        <f t="shared" si="10"/>
        <v>23.283300000000001</v>
      </c>
      <c r="AB51" s="67" t="e">
        <f>VLOOKUP(A51,Enforcements!$C$7:$J$24,8,0)</f>
        <v>#N/A</v>
      </c>
      <c r="AC51" s="63" t="e">
        <f>VLOOKUP(A51,Enforcements!$C$7:$E$24,3,0)</f>
        <v>#N/A</v>
      </c>
      <c r="AD51" s="64" t="str">
        <f t="shared" si="11"/>
        <v>0138-15</v>
      </c>
      <c r="AE51" s="104" t="str">
        <f t="shared" si="12"/>
        <v>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 &amp; 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</v>
      </c>
      <c r="AF51" s="101" t="str">
        <f t="shared" si="13"/>
        <v>"C:\Program Files (x86)\AstroGrep\AstroGrep.exe" /spath="%USERPROFILE%\AppData\Local\Temp\OnboardLogs" /stypes="*4037*20160815*" /stext=" 15:.+((SYSTEM_STATE.+slice.+state.+changed )|(ment ac)|(system.+state.+changed )|(\|lc)|(penalty)|(\[timeout)|(PRM\|1\|D)|(kpr)|(kdp)|(\|loc))" /e /r /s</v>
      </c>
      <c r="AG51" s="1" t="str">
        <f t="shared" si="15"/>
        <v>EC</v>
      </c>
      <c r="AH51" s="105" t="str">
        <f t="shared" si="16"/>
        <v>"%USERPROFILE%\Documents\GitHub\eaglep3\Utilities\RefineRTDCRunTimes.py" --tripid 138-15 --locoid 4037 --swversion DE.1.0.7.0 --startMP 204:232982 --initTime 2016-08-15T08:51:36 --startdatetime 2016-08-15T08:52:31 --delay 0 --endMP 204:149 --enddatetime 2016-08-15T09:52:27 --enforcementcount 0</v>
      </c>
    </row>
    <row r="52" spans="1:34" s="1" customFormat="1" x14ac:dyDescent="0.25">
      <c r="A52" s="40" t="s">
        <v>384</v>
      </c>
      <c r="B52" s="7">
        <v>4031</v>
      </c>
      <c r="C52" s="25" t="s">
        <v>119</v>
      </c>
      <c r="D52" s="25" t="s">
        <v>154</v>
      </c>
      <c r="E52" s="16">
        <v>42597.35297453704</v>
      </c>
      <c r="F52" s="16">
        <v>42597.353738425925</v>
      </c>
      <c r="G52" s="7">
        <v>1</v>
      </c>
      <c r="H52" s="16" t="s">
        <v>256</v>
      </c>
      <c r="I52" s="16">
        <v>42597.3827662037</v>
      </c>
      <c r="J52" s="7">
        <v>0</v>
      </c>
      <c r="K52" s="142" t="str">
        <f t="shared" si="0"/>
        <v>4031/4032</v>
      </c>
      <c r="L52" s="25" t="str">
        <f>VLOOKUP(A52,'Trips&amp;Operators'!$C$1:$E$10000,3,FALSE)</f>
        <v>STARKS</v>
      </c>
      <c r="M52" s="6">
        <f t="shared" si="1"/>
        <v>2.9027777774899732E-2</v>
      </c>
      <c r="N52" s="7">
        <f t="shared" si="2"/>
        <v>41.799999995855615</v>
      </c>
      <c r="O52" s="7"/>
      <c r="P52" s="7"/>
      <c r="Q52" s="26"/>
      <c r="R52" s="26"/>
      <c r="S52" s="38">
        <f t="shared" si="3"/>
        <v>1</v>
      </c>
      <c r="T52" s="53" t="str">
        <f t="shared" si="4"/>
        <v>NorthBound</v>
      </c>
      <c r="U52" s="13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07:28:17-0600',mode:absolute,to:'2016-08-15 10:11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52" s="55" t="str">
        <f t="shared" si="6"/>
        <v>N</v>
      </c>
      <c r="X52" s="129">
        <f t="shared" si="7"/>
        <v>1</v>
      </c>
      <c r="Y52" s="70">
        <f t="shared" si="8"/>
        <v>4.58E-2</v>
      </c>
      <c r="Z52" s="70">
        <f t="shared" si="9"/>
        <v>23.3308</v>
      </c>
      <c r="AA52" s="70">
        <f t="shared" si="10"/>
        <v>23.285</v>
      </c>
      <c r="AB52" s="67" t="e">
        <f>VLOOKUP(A52,Enforcements!$C$7:$J$24,8,0)</f>
        <v>#N/A</v>
      </c>
      <c r="AC52" s="63" t="e">
        <f>VLOOKUP(A52,Enforcements!$C$7:$E$24,3,0)</f>
        <v>#N/A</v>
      </c>
      <c r="AD52" s="64" t="str">
        <f t="shared" si="11"/>
        <v>0139-15</v>
      </c>
      <c r="AE52" s="104" t="str">
        <f t="shared" si="12"/>
        <v>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 &amp; 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</v>
      </c>
      <c r="AF52" s="101" t="str">
        <f t="shared" si="13"/>
        <v>"C:\Program Files (x86)\AstroGrep\AstroGrep.exe" /spath="%USERPROFILE%\AppData\Local\Temp\OnboardLogs" /stypes="*4031*20160815*" /stext=" 15:.+((SYSTEM_STATE.+slice.+state.+changed )|(ment ac)|(system.+state.+changed )|(\|lc)|(penalty)|(\[timeout)|(PRM\|1\|D)|(kpr)|(kdp)|(\|loc))" /e /r /s</v>
      </c>
      <c r="AG52" s="1" t="str">
        <f t="shared" si="15"/>
        <v>EC</v>
      </c>
      <c r="AH52" s="105" t="str">
        <f t="shared" si="16"/>
        <v>"%USERPROFILE%\Documents\GitHub\eaglep3\Utilities\RefineRTDCRunTimes.py" --tripid 139-15 --locoid 4031 --swversion DE.1.0.7.0 --startMP 204:458 --initTime 2016-08-15T08:28:17 --startdatetime 2016-08-15T08:29:23 --delay 1 --endMP 204:233308 --enddatetime 2016-08-15T09:11:11 --enforcementcount 0</v>
      </c>
    </row>
    <row r="53" spans="1:34" s="1" customFormat="1" x14ac:dyDescent="0.25">
      <c r="A53" s="40" t="s">
        <v>385</v>
      </c>
      <c r="B53" s="7">
        <v>4032</v>
      </c>
      <c r="C53" s="25" t="s">
        <v>119</v>
      </c>
      <c r="D53" s="25" t="s">
        <v>143</v>
      </c>
      <c r="E53" s="16">
        <v>42597.390983796293</v>
      </c>
      <c r="F53" s="16">
        <v>42597.391886574071</v>
      </c>
      <c r="G53" s="7">
        <v>1</v>
      </c>
      <c r="H53" s="16" t="s">
        <v>172</v>
      </c>
      <c r="I53" s="16">
        <v>42597.423518518517</v>
      </c>
      <c r="J53" s="7">
        <v>0</v>
      </c>
      <c r="K53" s="142" t="str">
        <f t="shared" si="0"/>
        <v>4031/4032</v>
      </c>
      <c r="L53" s="25" t="str">
        <f>VLOOKUP(A53,'Trips&amp;Operators'!$C$1:$E$10000,3,FALSE)</f>
        <v>STARKS</v>
      </c>
      <c r="M53" s="6">
        <f t="shared" si="1"/>
        <v>3.1631944446417037E-2</v>
      </c>
      <c r="N53" s="7">
        <f t="shared" si="2"/>
        <v>45.550000002840534</v>
      </c>
      <c r="O53" s="7"/>
      <c r="P53" s="7"/>
      <c r="Q53" s="26"/>
      <c r="R53" s="26"/>
      <c r="S53" s="38">
        <f t="shared" si="3"/>
        <v>1</v>
      </c>
      <c r="T53" s="53" t="str">
        <f t="shared" si="4"/>
        <v>Southbound</v>
      </c>
      <c r="U53" s="13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08:23:01-0600',mode:absolute,to:'2016-08-15 11:09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53" s="55" t="str">
        <f t="shared" si="6"/>
        <v>N</v>
      </c>
      <c r="X53" s="129">
        <f t="shared" si="7"/>
        <v>1</v>
      </c>
      <c r="Y53" s="70">
        <f t="shared" si="8"/>
        <v>23.299399999999999</v>
      </c>
      <c r="Z53" s="70">
        <f t="shared" si="9"/>
        <v>1.72E-2</v>
      </c>
      <c r="AA53" s="70">
        <f t="shared" si="10"/>
        <v>23.2822</v>
      </c>
      <c r="AB53" s="67">
        <f>VLOOKUP(A53,Enforcements!$C$7:$J$24,8,0)</f>
        <v>103800</v>
      </c>
      <c r="AC53" s="63" t="str">
        <f>VLOOKUP(A53,Enforcements!$C$7:$E$24,3,0)</f>
        <v>GRADE CROSSING</v>
      </c>
      <c r="AD53" s="64" t="str">
        <f t="shared" si="11"/>
        <v>0140-15</v>
      </c>
      <c r="AE53" s="104" t="str">
        <f t="shared" si="12"/>
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</c>
      <c r="AF53" s="101" t="str">
        <f t="shared" si="13"/>
        <v>"C:\Program Files (x86)\AstroGrep\AstroGrep.exe" /spath="%USERPROFILE%\AppData\Local\Temp\OnboardLogs" /stypes="*4032*20160815*" /stext=" 16:.+((SYSTEM_STATE.+slice.+state.+changed )|(ment ac)|(system.+state.+changed )|(\|lc)|(penalty)|(\[timeout)|(PRM\|1\|D)|(kpr)|(kdp)|(\|loc))" /e /r /s</v>
      </c>
      <c r="AG53" s="1" t="str">
        <f t="shared" si="15"/>
        <v>EC</v>
      </c>
      <c r="AH53" s="105" t="str">
        <f t="shared" si="16"/>
        <v>"%USERPROFILE%\Documents\GitHub\eaglep3\Utilities\RefineRTDCRunTimes.py" --tripid 140-15 --locoid 4032 --swversion DE.1.0.7.0 --startMP 204:232994 --initTime 2016-08-15T09:23:01 --startdatetime 2016-08-15T09:24:19 --delay 1 --endMP 204:172 --enddatetime 2016-08-15T10:09:52 --enforcementcount 0</v>
      </c>
    </row>
    <row r="54" spans="1:34" s="1" customFormat="1" x14ac:dyDescent="0.25">
      <c r="A54" s="40" t="s">
        <v>386</v>
      </c>
      <c r="B54" s="7">
        <v>4009</v>
      </c>
      <c r="C54" s="25" t="s">
        <v>119</v>
      </c>
      <c r="D54" s="25" t="s">
        <v>141</v>
      </c>
      <c r="E54" s="16">
        <v>42597.367696759262</v>
      </c>
      <c r="F54" s="16">
        <v>42597.368692129632</v>
      </c>
      <c r="G54" s="7">
        <v>1</v>
      </c>
      <c r="H54" s="16" t="s">
        <v>288</v>
      </c>
      <c r="I54" s="16">
        <v>42597.396689814814</v>
      </c>
      <c r="J54" s="7">
        <v>0</v>
      </c>
      <c r="K54" s="142" t="str">
        <f t="shared" si="0"/>
        <v>4009/4010</v>
      </c>
      <c r="L54" s="25" t="str">
        <f>VLOOKUP(A54,'Trips&amp;Operators'!$C$1:$E$10000,3,FALSE)</f>
        <v>SWANSON</v>
      </c>
      <c r="M54" s="6">
        <f t="shared" si="1"/>
        <v>2.7997685181617271E-2</v>
      </c>
      <c r="N54" s="7">
        <f t="shared" si="2"/>
        <v>40.31666666152887</v>
      </c>
      <c r="O54" s="7"/>
      <c r="P54" s="7"/>
      <c r="Q54" s="26"/>
      <c r="R54" s="26"/>
      <c r="S54" s="38">
        <f t="shared" si="3"/>
        <v>1</v>
      </c>
      <c r="T54" s="53" t="str">
        <f t="shared" si="4"/>
        <v>NorthBound</v>
      </c>
      <c r="U54" s="13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07:49:29-0600',mode:absolute,to:'2016-08-15 10:31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54" s="55" t="str">
        <f t="shared" si="6"/>
        <v>N</v>
      </c>
      <c r="X54" s="129">
        <f t="shared" si="7"/>
        <v>1</v>
      </c>
      <c r="Y54" s="70">
        <f t="shared" si="8"/>
        <v>4.53E-2</v>
      </c>
      <c r="Z54" s="70">
        <f t="shared" si="9"/>
        <v>23.328600000000002</v>
      </c>
      <c r="AA54" s="70">
        <f t="shared" si="10"/>
        <v>23.283300000000001</v>
      </c>
      <c r="AB54" s="67" t="e">
        <f>VLOOKUP(A54,Enforcements!$C$7:$J$24,8,0)</f>
        <v>#N/A</v>
      </c>
      <c r="AC54" s="63" t="e">
        <f>VLOOKUP(A54,Enforcements!$C$7:$E$24,3,0)</f>
        <v>#N/A</v>
      </c>
      <c r="AD54" s="64" t="str">
        <f t="shared" si="11"/>
        <v>0141-15</v>
      </c>
      <c r="AE54" s="104" t="str">
        <f t="shared" si="12"/>
        <v>aws s3 cp s3://rtdc.mdm.uploadarchive/RTDC4009/2016-08-15/ "%USERPROFILE%\AppData\Local\Temp\OnboardLogs"\RTDC4009\2016-08-15 --recursive &amp; "%USERPROFILE%\Documents\GitHub\mrs-test-scripts\Headless Mode &amp; Sideloading\WalkAndUnGZ.bat" "%USERPROFILE%\AppData\Local\Temp\OnboardLogs"\RTDC4009\2016-08-15 &amp; 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</v>
      </c>
      <c r="AF54" s="101" t="str">
        <f t="shared" si="13"/>
        <v>"C:\Program Files (x86)\AstroGrep\AstroGrep.exe" /spath="%USERPROFILE%\AppData\Local\Temp\OnboardLogs" /stypes="*4009*20160815*" /stext=" 15:.+((SYSTEM_STATE.+slice.+state.+changed )|(ment ac)|(system.+state.+changed )|(\|lc)|(penalty)|(\[timeout)|(PRM\|1\|D)|(kpr)|(kdp)|(\|loc))" /e /r /s</v>
      </c>
      <c r="AG54" s="1" t="str">
        <f t="shared" si="15"/>
        <v>EC</v>
      </c>
      <c r="AH54" s="105" t="str">
        <f t="shared" si="16"/>
        <v>"%USERPROFILE%\Documents\GitHub\eaglep3\Utilities\RefineRTDCRunTimes.py" --tripid 141-15 --locoid 4009 --swversion DE.1.0.7.0 --startMP 204:453 --initTime 2016-08-15T08:49:29 --startdatetime 2016-08-15T08:50:55 --delay 1 --endMP 204:233286 --enddatetime 2016-08-15T09:31:14 --enforcementcount 0</v>
      </c>
    </row>
    <row r="55" spans="1:34" x14ac:dyDescent="0.25">
      <c r="A55" s="40" t="s">
        <v>387</v>
      </c>
      <c r="B55" s="7">
        <v>4010</v>
      </c>
      <c r="C55" s="25" t="s">
        <v>119</v>
      </c>
      <c r="D55" s="25" t="s">
        <v>356</v>
      </c>
      <c r="E55" s="16">
        <v>42597.398078703707</v>
      </c>
      <c r="F55" s="16">
        <v>42597.398888888885</v>
      </c>
      <c r="G55" s="7">
        <v>1</v>
      </c>
      <c r="H55" s="16" t="s">
        <v>139</v>
      </c>
      <c r="I55" s="16">
        <v>42597.432581018518</v>
      </c>
      <c r="J55" s="7">
        <v>0</v>
      </c>
      <c r="K55" s="142" t="str">
        <f t="shared" si="0"/>
        <v>4009/4010</v>
      </c>
      <c r="L55" s="25" t="str">
        <f>VLOOKUP(A55,'Trips&amp;Operators'!$C$1:$E$10000,3,FALSE)</f>
        <v>SWANSON</v>
      </c>
      <c r="M55" s="6">
        <f t="shared" si="1"/>
        <v>3.369212963298196E-2</v>
      </c>
      <c r="N55" s="7">
        <f t="shared" si="2"/>
        <v>48.516666671494022</v>
      </c>
      <c r="O55" s="7"/>
      <c r="P55" s="7"/>
      <c r="Q55" s="26"/>
      <c r="R55" s="26"/>
      <c r="S55" s="38">
        <f t="shared" si="3"/>
        <v>1</v>
      </c>
      <c r="T55" s="53" t="str">
        <f t="shared" si="4"/>
        <v>Southbound</v>
      </c>
      <c r="U55" s="13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08:33:14-0600',mode:absolute,to:'2016-08-15 11:22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55" s="55" t="str">
        <f t="shared" si="6"/>
        <v>N</v>
      </c>
      <c r="X55" s="129">
        <f t="shared" si="7"/>
        <v>1</v>
      </c>
      <c r="Y55" s="70">
        <f t="shared" si="8"/>
        <v>23.297499999999999</v>
      </c>
      <c r="Z55" s="70">
        <f t="shared" si="9"/>
        <v>1.5800000000000002E-2</v>
      </c>
      <c r="AA55" s="70">
        <f t="shared" si="10"/>
        <v>23.281700000000001</v>
      </c>
      <c r="AB55" s="67" t="e">
        <f>VLOOKUP(A55,Enforcements!$C$7:$J$24,8,0)</f>
        <v>#N/A</v>
      </c>
      <c r="AC55" s="63" t="e">
        <f>VLOOKUP(A55,Enforcements!$C$7:$E$24,3,0)</f>
        <v>#N/A</v>
      </c>
      <c r="AD55" s="64" t="str">
        <f t="shared" si="11"/>
        <v>0142-15</v>
      </c>
      <c r="AE55" s="104" t="str">
        <f t="shared" si="12"/>
        <v>aws s3 cp s3://rtdc.mdm.uploadarchive/RTDC4010/2016-08-15/ "%USERPROFILE%\AppData\Local\Temp\OnboardLogs"\RTDC4010\2016-08-15 --recursive &amp; "%USERPROFILE%\Documents\GitHub\mrs-test-scripts\Headless Mode &amp; Sideloading\WalkAndUnGZ.bat" "%USERPROFILE%\AppData\Local\Temp\OnboardLogs"\RTDC4010\2016-08-15 &amp; 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</v>
      </c>
      <c r="AF55" s="101" t="str">
        <f t="shared" si="13"/>
        <v>"C:\Program Files (x86)\AstroGrep\AstroGrep.exe" /spath="%USERPROFILE%\AppData\Local\Temp\OnboardLogs" /stypes="*4010*20160815*" /stext=" 16:.+((SYSTEM_STATE.+slice.+state.+changed )|(ment ac)|(system.+state.+changed )|(\|lc)|(penalty)|(\[timeout)|(PRM\|1\|D)|(kpr)|(kdp)|(\|loc))" /e /r /s</v>
      </c>
      <c r="AG55" s="1" t="str">
        <f t="shared" si="15"/>
        <v>EC</v>
      </c>
      <c r="AH55" s="105" t="str">
        <f t="shared" si="16"/>
        <v>"%USERPROFILE%\Documents\GitHub\eaglep3\Utilities\RefineRTDCRunTimes.py" --tripid 142-15 --locoid 4010 --swversion DE.1.0.7.0 --startMP 204:232975 --initTime 2016-08-15T09:33:14 --startdatetime 2016-08-15T09:34:24 --delay 1 --endMP 204:158 --enddatetime 2016-08-15T10:22:55 --enforcementcount 0</v>
      </c>
    </row>
    <row r="56" spans="1:34" x14ac:dyDescent="0.25">
      <c r="A56" s="40" t="s">
        <v>388</v>
      </c>
      <c r="B56" s="7">
        <v>4042</v>
      </c>
      <c r="C56" s="25" t="s">
        <v>119</v>
      </c>
      <c r="D56" s="25" t="s">
        <v>114</v>
      </c>
      <c r="E56" s="16">
        <v>42597.374212962961</v>
      </c>
      <c r="F56" s="16">
        <v>42597.375381944446</v>
      </c>
      <c r="G56" s="7">
        <v>1</v>
      </c>
      <c r="H56" s="16" t="s">
        <v>389</v>
      </c>
      <c r="I56" s="16">
        <v>42597.406493055554</v>
      </c>
      <c r="J56" s="7">
        <v>0</v>
      </c>
      <c r="K56" s="142" t="str">
        <f t="shared" si="0"/>
        <v>4041/4042</v>
      </c>
      <c r="L56" s="25" t="str">
        <f>VLOOKUP(A56,'Trips&amp;Operators'!$C$1:$E$10000,3,FALSE)</f>
        <v>MALAVE</v>
      </c>
      <c r="M56" s="6">
        <f t="shared" si="1"/>
        <v>3.1111111107748002E-2</v>
      </c>
      <c r="N56" s="7">
        <f t="shared" si="2"/>
        <v>44.799999995157123</v>
      </c>
      <c r="O56" s="7"/>
      <c r="P56" s="7"/>
      <c r="Q56" s="26"/>
      <c r="R56" s="26"/>
      <c r="S56" s="38">
        <f t="shared" si="3"/>
        <v>1</v>
      </c>
      <c r="T56" s="53" t="str">
        <f t="shared" si="4"/>
        <v>NorthBound</v>
      </c>
      <c r="U56" s="13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07:58:52-0600',mode:absolute,to:'2016-08-15 10:45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56" s="55" t="str">
        <f t="shared" si="6"/>
        <v>N</v>
      </c>
      <c r="X56" s="129">
        <f t="shared" si="7"/>
        <v>1</v>
      </c>
      <c r="Y56" s="70">
        <f t="shared" si="8"/>
        <v>4.6199999999999998E-2</v>
      </c>
      <c r="Z56" s="70">
        <f t="shared" si="9"/>
        <v>23.3263</v>
      </c>
      <c r="AA56" s="70">
        <f t="shared" si="10"/>
        <v>23.280100000000001</v>
      </c>
      <c r="AB56" s="67" t="e">
        <f>VLOOKUP(A56,Enforcements!$C$7:$J$24,8,0)</f>
        <v>#N/A</v>
      </c>
      <c r="AC56" s="63" t="e">
        <f>VLOOKUP(A56,Enforcements!$C$7:$E$24,3,0)</f>
        <v>#N/A</v>
      </c>
      <c r="AD56" s="64" t="str">
        <f t="shared" si="11"/>
        <v>0143-15</v>
      </c>
      <c r="AE56" s="104" t="str">
        <f t="shared" si="12"/>
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</c>
      <c r="AF56" s="101" t="str">
        <f t="shared" si="13"/>
        <v>"C:\Program Files (x86)\AstroGrep\AstroGrep.exe" /spath="%USERPROFILE%\AppData\Local\Temp\OnboardLogs" /stypes="*4042*20160815*" /stext=" 15:.+((SYSTEM_STATE.+slice.+state.+changed )|(ment ac)|(system.+state.+changed )|(\|lc)|(penalty)|(\[timeout)|(PRM\|1\|D)|(kpr)|(kdp)|(\|loc))" /e /r /s</v>
      </c>
      <c r="AG56" s="1" t="str">
        <f t="shared" si="15"/>
        <v>EC</v>
      </c>
      <c r="AH56" s="105" t="str">
        <f t="shared" si="16"/>
        <v>"%USERPROFILE%\Documents\GitHub\eaglep3\Utilities\RefineRTDCRunTimes.py" --tripid 143-15 --locoid 4042 --swversion DE.1.0.7.0 --startMP 204:462 --initTime 2016-08-15T08:58:52 --startdatetime 2016-08-15T09:00:33 --delay 1 --endMP 204:233263 --enddatetime 2016-08-15T09:45:21 --enforcementcount 0</v>
      </c>
    </row>
    <row r="57" spans="1:34" s="1" customFormat="1" x14ac:dyDescent="0.25">
      <c r="A57" s="40" t="s">
        <v>390</v>
      </c>
      <c r="B57" s="7">
        <v>4041</v>
      </c>
      <c r="C57" s="25" t="s">
        <v>119</v>
      </c>
      <c r="D57" s="25" t="s">
        <v>391</v>
      </c>
      <c r="E57" s="16">
        <v>42597.412349537037</v>
      </c>
      <c r="F57" s="16">
        <v>42597.414074074077</v>
      </c>
      <c r="G57" s="7">
        <v>2</v>
      </c>
      <c r="H57" s="16" t="s">
        <v>189</v>
      </c>
      <c r="I57" s="16">
        <v>42597.444282407407</v>
      </c>
      <c r="J57" s="7">
        <v>0</v>
      </c>
      <c r="K57" s="142" t="str">
        <f t="shared" si="0"/>
        <v>4041/4042</v>
      </c>
      <c r="L57" s="25" t="str">
        <f>VLOOKUP(A57,'Trips&amp;Operators'!$C$1:$E$10000,3,FALSE)</f>
        <v>MALAVE</v>
      </c>
      <c r="M57" s="6">
        <f t="shared" si="1"/>
        <v>3.0208333329937886E-2</v>
      </c>
      <c r="N57" s="7">
        <f t="shared" si="2"/>
        <v>43.499999995110556</v>
      </c>
      <c r="O57" s="7"/>
      <c r="P57" s="7"/>
      <c r="Q57" s="26"/>
      <c r="R57" s="26"/>
      <c r="S57" s="38">
        <f t="shared" si="3"/>
        <v>1</v>
      </c>
      <c r="T57" s="53" t="str">
        <f t="shared" si="4"/>
        <v>Southbound</v>
      </c>
      <c r="U57" s="13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08:53:47-0600',mode:absolute,to:'2016-08-15 11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57" s="55" t="str">
        <f t="shared" si="6"/>
        <v>N</v>
      </c>
      <c r="X57" s="129">
        <f t="shared" si="7"/>
        <v>1</v>
      </c>
      <c r="Y57" s="70">
        <f t="shared" si="8"/>
        <v>23.296600000000002</v>
      </c>
      <c r="Z57" s="70">
        <f t="shared" si="9"/>
        <v>1.4999999999999999E-2</v>
      </c>
      <c r="AA57" s="70">
        <f t="shared" si="10"/>
        <v>23.281600000000001</v>
      </c>
      <c r="AB57" s="67">
        <f>VLOOKUP(A57,Enforcements!$C$7:$J$24,8,0)</f>
        <v>33257</v>
      </c>
      <c r="AC57" s="63" t="str">
        <f>VLOOKUP(A57,Enforcements!$C$7:$E$24,3,0)</f>
        <v>GRADE CROSSING</v>
      </c>
      <c r="AD57" s="64" t="str">
        <f t="shared" si="11"/>
        <v>0144-15</v>
      </c>
      <c r="AE57" s="104" t="str">
        <f t="shared" si="12"/>
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</c>
      <c r="AF57" s="101" t="str">
        <f t="shared" si="13"/>
        <v>"C:\Program Files (x86)\AstroGrep\AstroGrep.exe" /spath="%USERPROFILE%\AppData\Local\Temp\OnboardLogs" /stypes="*4041*20160815*" /stext=" 16:.+((SYSTEM_STATE.+slice.+state.+changed )|(ment ac)|(system.+state.+changed )|(\|lc)|(penalty)|(\[timeout)|(PRM\|1\|D)|(kpr)|(kdp)|(\|loc))" /e /r /s</v>
      </c>
      <c r="AG57" s="1" t="str">
        <f t="shared" si="15"/>
        <v>EC</v>
      </c>
      <c r="AH57" s="105" t="str">
        <f t="shared" si="16"/>
        <v>"%USERPROFILE%\Documents\GitHub\eaglep3\Utilities\RefineRTDCRunTimes.py" --tripid 144-15 --locoid 4041 --swversion DE.1.0.7.0 --startMP 204:232966 --initTime 2016-08-15T09:53:47 --startdatetime 2016-08-15T09:56:16 --delay 2 --endMP 204:150 --enddatetime 2016-08-15T10:39:46 --enforcementcount 0</v>
      </c>
    </row>
    <row r="58" spans="1:34" s="1" customFormat="1" x14ac:dyDescent="0.25">
      <c r="A58" s="40" t="s">
        <v>392</v>
      </c>
      <c r="B58" s="7">
        <v>4044</v>
      </c>
      <c r="C58" s="25" t="s">
        <v>119</v>
      </c>
      <c r="D58" s="25" t="s">
        <v>307</v>
      </c>
      <c r="E58" s="16">
        <v>42597.381736111114</v>
      </c>
      <c r="F58" s="16">
        <v>42597.385740740741</v>
      </c>
      <c r="G58" s="7">
        <v>5</v>
      </c>
      <c r="H58" s="16" t="s">
        <v>393</v>
      </c>
      <c r="I58" s="16">
        <v>42597.418194444443</v>
      </c>
      <c r="J58" s="7">
        <v>0</v>
      </c>
      <c r="K58" s="142" t="str">
        <f t="shared" si="0"/>
        <v>4043/4044</v>
      </c>
      <c r="L58" s="25" t="str">
        <f>VLOOKUP(A58,'Trips&amp;Operators'!$C$1:$E$10000,3,FALSE)</f>
        <v>ACKERMAN</v>
      </c>
      <c r="M58" s="6">
        <f t="shared" si="1"/>
        <v>3.2453703701321501E-2</v>
      </c>
      <c r="N58" s="7">
        <f t="shared" si="2"/>
        <v>46.733333329902962</v>
      </c>
      <c r="O58" s="7"/>
      <c r="P58" s="7"/>
      <c r="Q58" s="26"/>
      <c r="R58" s="26"/>
      <c r="S58" s="38">
        <f t="shared" si="3"/>
        <v>1</v>
      </c>
      <c r="T58" s="53" t="str">
        <f t="shared" si="4"/>
        <v>NorthBound</v>
      </c>
      <c r="U58" s="13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08:09:42-0600',mode:absolute,to:'2016-08-15 11:02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58" s="55" t="str">
        <f t="shared" si="6"/>
        <v>N</v>
      </c>
      <c r="X58" s="129">
        <f t="shared" si="7"/>
        <v>1</v>
      </c>
      <c r="Y58" s="70">
        <f t="shared" si="8"/>
        <v>4.7300000000000002E-2</v>
      </c>
      <c r="Z58" s="70">
        <f t="shared" si="9"/>
        <v>23.333400000000001</v>
      </c>
      <c r="AA58" s="70">
        <f t="shared" si="10"/>
        <v>23.286100000000001</v>
      </c>
      <c r="AB58" s="67" t="e">
        <f>VLOOKUP(A58,Enforcements!$C$7:$J$24,8,0)</f>
        <v>#N/A</v>
      </c>
      <c r="AC58" s="63" t="e">
        <f>VLOOKUP(A58,Enforcements!$C$7:$E$24,3,0)</f>
        <v>#N/A</v>
      </c>
      <c r="AD58" s="64" t="str">
        <f t="shared" si="11"/>
        <v>0145-15</v>
      </c>
      <c r="AE58" s="104" t="str">
        <f t="shared" si="12"/>
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</c>
      <c r="AF58" s="101" t="str">
        <f t="shared" si="13"/>
        <v>"C:\Program Files (x86)\AstroGrep\AstroGrep.exe" /spath="%USERPROFILE%\AppData\Local\Temp\OnboardLogs" /stypes="*4044*20160815*" /stext=" 16:.+((SYSTEM_STATE.+slice.+state.+changed )|(ment ac)|(system.+state.+changed )|(\|lc)|(penalty)|(\[timeout)|(PRM\|1\|D)|(kpr)|(kdp)|(\|loc))" /e /r /s</v>
      </c>
      <c r="AG58" s="1" t="str">
        <f t="shared" si="15"/>
        <v>EC</v>
      </c>
      <c r="AH58" s="105" t="str">
        <f t="shared" si="16"/>
        <v>"%USERPROFILE%\Documents\GitHub\eaglep3\Utilities\RefineRTDCRunTimes.py" --tripid 145-15 --locoid 4044 --swversion DE.1.0.7.0 --startMP 204:473 --initTime 2016-08-15T09:09:42 --startdatetime 2016-08-15T09:15:28 --delay 5 --endMP 204:233334 --enddatetime 2016-08-15T10:02:12 --enforcementcount 0</v>
      </c>
    </row>
    <row r="59" spans="1:34" s="1" customFormat="1" x14ac:dyDescent="0.25">
      <c r="A59" s="40" t="s">
        <v>394</v>
      </c>
      <c r="B59" s="7">
        <v>4043</v>
      </c>
      <c r="C59" s="25" t="s">
        <v>119</v>
      </c>
      <c r="D59" s="25" t="s">
        <v>395</v>
      </c>
      <c r="E59" s="16">
        <v>42597.421053240738</v>
      </c>
      <c r="F59" s="16">
        <v>42597.42224537037</v>
      </c>
      <c r="G59" s="7">
        <v>1</v>
      </c>
      <c r="H59" s="16" t="s">
        <v>252</v>
      </c>
      <c r="I59" s="16">
        <v>42597.454976851855</v>
      </c>
      <c r="J59" s="7">
        <v>0</v>
      </c>
      <c r="K59" s="142" t="str">
        <f t="shared" si="0"/>
        <v>4043/4044</v>
      </c>
      <c r="L59" s="25" t="str">
        <f>VLOOKUP(A59,'Trips&amp;Operators'!$C$1:$E$10000,3,FALSE)</f>
        <v>ACKERMAN</v>
      </c>
      <c r="M59" s="6">
        <f t="shared" si="1"/>
        <v>3.2731481485825498E-2</v>
      </c>
      <c r="N59" s="7">
        <f t="shared" si="2"/>
        <v>47.133333339588717</v>
      </c>
      <c r="O59" s="7"/>
      <c r="P59" s="7"/>
      <c r="Q59" s="26"/>
      <c r="R59" s="26"/>
      <c r="S59" s="38">
        <f t="shared" si="3"/>
        <v>1</v>
      </c>
      <c r="T59" s="53" t="str">
        <f t="shared" si="4"/>
        <v>Southbound</v>
      </c>
      <c r="U59" s="13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09:06:19-0600',mode:absolute,to:'2016-08-15 11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59" s="55" t="str">
        <f t="shared" si="6"/>
        <v>N</v>
      </c>
      <c r="X59" s="129">
        <f t="shared" si="7"/>
        <v>1</v>
      </c>
      <c r="Y59" s="70">
        <f t="shared" si="8"/>
        <v>23.302099999999999</v>
      </c>
      <c r="Z59" s="70">
        <f t="shared" si="9"/>
        <v>1.2699999999999999E-2</v>
      </c>
      <c r="AA59" s="70">
        <f t="shared" si="10"/>
        <v>23.289400000000001</v>
      </c>
      <c r="AB59" s="67" t="e">
        <f>VLOOKUP(A59,Enforcements!$C$7:$J$24,8,0)</f>
        <v>#N/A</v>
      </c>
      <c r="AC59" s="63" t="e">
        <f>VLOOKUP(A59,Enforcements!$C$7:$E$24,3,0)</f>
        <v>#N/A</v>
      </c>
      <c r="AD59" s="64" t="str">
        <f t="shared" si="11"/>
        <v>0146-15</v>
      </c>
      <c r="AE59" s="104" t="str">
        <f t="shared" si="12"/>
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</c>
      <c r="AF59" s="101" t="str">
        <f t="shared" si="13"/>
        <v>"C:\Program Files (x86)\AstroGrep\AstroGrep.exe" /spath="%USERPROFILE%\AppData\Local\Temp\OnboardLogs" /stypes="*4043*20160815*" /stext=" 16:.+((SYSTEM_STATE.+slice.+state.+changed )|(ment ac)|(system.+state.+changed )|(\|lc)|(penalty)|(\[timeout)|(PRM\|1\|D)|(kpr)|(kdp)|(\|loc))" /e /r /s</v>
      </c>
      <c r="AG59" s="1" t="str">
        <f t="shared" si="15"/>
        <v>EC</v>
      </c>
      <c r="AH59" s="105" t="str">
        <f t="shared" si="16"/>
        <v>"%USERPROFILE%\Documents\GitHub\eaglep3\Utilities\RefineRTDCRunTimes.py" --tripid 146-15 --locoid 4043 --swversion DE.1.0.7.0 --startMP 204:233021 --initTime 2016-08-15T10:06:19 --startdatetime 2016-08-15T10:08:02 --delay 1 --endMP 204:127 --enddatetime 2016-08-15T10:55:10 --enforcementcount 0</v>
      </c>
    </row>
    <row r="60" spans="1:34" x14ac:dyDescent="0.25">
      <c r="A60" s="40" t="s">
        <v>396</v>
      </c>
      <c r="B60" s="7">
        <v>4027</v>
      </c>
      <c r="C60" s="25" t="s">
        <v>119</v>
      </c>
      <c r="D60" s="25" t="s">
        <v>114</v>
      </c>
      <c r="E60" s="16">
        <v>42597.393043981479</v>
      </c>
      <c r="F60" s="16">
        <v>42597.394490740742</v>
      </c>
      <c r="G60" s="7">
        <v>2</v>
      </c>
      <c r="H60" s="16" t="s">
        <v>117</v>
      </c>
      <c r="I60" s="16">
        <v>42597.421967592592</v>
      </c>
      <c r="J60" s="7">
        <v>0</v>
      </c>
      <c r="K60" s="142" t="str">
        <f t="shared" si="0"/>
        <v>4027/4028</v>
      </c>
      <c r="L60" s="25" t="str">
        <f>VLOOKUP(A60,'Trips&amp;Operators'!$C$1:$E$10000,3,FALSE)</f>
        <v>SANTIZO</v>
      </c>
      <c r="M60" s="6">
        <f t="shared" si="1"/>
        <v>2.7476851850224193E-2</v>
      </c>
      <c r="N60" s="7">
        <f t="shared" si="2"/>
        <v>39.566666664322838</v>
      </c>
      <c r="O60" s="7"/>
      <c r="P60" s="7"/>
      <c r="Q60" s="26"/>
      <c r="R60" s="26"/>
      <c r="S60" s="38">
        <f t="shared" si="3"/>
        <v>1</v>
      </c>
      <c r="T60" s="53" t="str">
        <f t="shared" si="4"/>
        <v>NorthBound</v>
      </c>
      <c r="U60" s="13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08:25:59-0600',mode:absolute,to:'2016-08-15 11:07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60" s="55" t="str">
        <f t="shared" si="6"/>
        <v>N</v>
      </c>
      <c r="X60" s="129">
        <f t="shared" si="7"/>
        <v>1</v>
      </c>
      <c r="Y60" s="70">
        <f t="shared" si="8"/>
        <v>4.6199999999999998E-2</v>
      </c>
      <c r="Z60" s="70">
        <f t="shared" si="9"/>
        <v>23.3293</v>
      </c>
      <c r="AA60" s="70">
        <f t="shared" si="10"/>
        <v>23.283100000000001</v>
      </c>
      <c r="AB60" s="67" t="e">
        <f>VLOOKUP(A60,Enforcements!$C$7:$J$24,8,0)</f>
        <v>#N/A</v>
      </c>
      <c r="AC60" s="63" t="e">
        <f>VLOOKUP(A60,Enforcements!$C$7:$E$24,3,0)</f>
        <v>#N/A</v>
      </c>
      <c r="AD60" s="64" t="str">
        <f t="shared" si="11"/>
        <v>0147-15</v>
      </c>
      <c r="AE60" s="104" t="str">
        <f t="shared" si="12"/>
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</c>
      <c r="AF60" s="101" t="str">
        <f t="shared" si="13"/>
        <v>"C:\Program Files (x86)\AstroGrep\AstroGrep.exe" /spath="%USERPROFILE%\AppData\Local\Temp\OnboardLogs" /stypes="*4027*20160815*" /stext=" 16:.+((SYSTEM_STATE.+slice.+state.+changed )|(ment ac)|(system.+state.+changed )|(\|lc)|(penalty)|(\[timeout)|(PRM\|1\|D)|(kpr)|(kdp)|(\|loc))" /e /r /s</v>
      </c>
      <c r="AG60" s="1" t="str">
        <f t="shared" si="15"/>
        <v>EC</v>
      </c>
      <c r="AH60" s="105" t="str">
        <f t="shared" si="16"/>
        <v>"%USERPROFILE%\Documents\GitHub\eaglep3\Utilities\RefineRTDCRunTimes.py" --tripid 147-15 --locoid 4027 --swversion DE.1.0.7.0 --startMP 204:462 --initTime 2016-08-15T09:25:59 --startdatetime 2016-08-15T09:28:04 --delay 2 --endMP 204:233293 --enddatetime 2016-08-15T10:07:38 --enforcementcount 0</v>
      </c>
    </row>
    <row r="61" spans="1:34" s="24" customFormat="1" x14ac:dyDescent="0.25">
      <c r="A61" s="40" t="s">
        <v>397</v>
      </c>
      <c r="B61" s="7">
        <v>4028</v>
      </c>
      <c r="C61" s="25" t="s">
        <v>119</v>
      </c>
      <c r="D61" s="25" t="s">
        <v>152</v>
      </c>
      <c r="E61" s="16">
        <v>42597.42324074074</v>
      </c>
      <c r="F61" s="16">
        <v>42597.424074074072</v>
      </c>
      <c r="G61" s="7">
        <v>1</v>
      </c>
      <c r="H61" s="16" t="s">
        <v>398</v>
      </c>
      <c r="I61" s="16">
        <v>42597.464988425927</v>
      </c>
      <c r="J61" s="7">
        <v>0</v>
      </c>
      <c r="K61" s="142" t="str">
        <f t="shared" si="0"/>
        <v>4027/4028</v>
      </c>
      <c r="L61" s="25" t="str">
        <f>VLOOKUP(A61,'Trips&amp;Operators'!$C$1:$E$10000,3,FALSE)</f>
        <v>SANTIZO</v>
      </c>
      <c r="M61" s="6">
        <f t="shared" si="1"/>
        <v>4.0914351855462883E-2</v>
      </c>
      <c r="N61" s="7">
        <f t="shared" si="2"/>
        <v>58.916666671866551</v>
      </c>
      <c r="O61" s="7"/>
      <c r="P61" s="7"/>
      <c r="Q61" s="26"/>
      <c r="R61" s="26"/>
      <c r="S61" s="38">
        <f t="shared" si="3"/>
        <v>1</v>
      </c>
      <c r="T61" s="53" t="str">
        <f t="shared" si="4"/>
        <v>Southbound</v>
      </c>
      <c r="U61" s="13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09:09:28-0600',mode:absolute,to:'2016-08-15 12:09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61" s="55" t="str">
        <f t="shared" si="6"/>
        <v>N</v>
      </c>
      <c r="X61" s="129">
        <f t="shared" si="7"/>
        <v>1</v>
      </c>
      <c r="Y61" s="70">
        <f t="shared" si="8"/>
        <v>23.298300000000001</v>
      </c>
      <c r="Z61" s="70">
        <f t="shared" si="9"/>
        <v>1.18E-2</v>
      </c>
      <c r="AA61" s="70">
        <f t="shared" si="10"/>
        <v>23.2865</v>
      </c>
      <c r="AB61" s="67" t="e">
        <f>VLOOKUP(A61,Enforcements!$C$7:$J$24,8,0)</f>
        <v>#N/A</v>
      </c>
      <c r="AC61" s="63" t="e">
        <f>VLOOKUP(A61,Enforcements!$C$7:$E$24,3,0)</f>
        <v>#N/A</v>
      </c>
      <c r="AD61" s="64" t="str">
        <f t="shared" si="11"/>
        <v>0148-15</v>
      </c>
      <c r="AE61" s="104" t="str">
        <f t="shared" si="12"/>
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</c>
      <c r="AF61" s="101" t="str">
        <f t="shared" si="13"/>
        <v>"C:\Program Files (x86)\AstroGrep\AstroGrep.exe" /spath="%USERPROFILE%\AppData\Local\Temp\OnboardLogs" /stypes="*4028*20160815*" /stext=" 17:.+((SYSTEM_STATE.+slice.+state.+changed )|(ment ac)|(system.+state.+changed )|(\|lc)|(penalty)|(\[timeout)|(PRM\|1\|D)|(kpr)|(kdp)|(\|loc))" /e /r /s</v>
      </c>
      <c r="AG61" s="1" t="str">
        <f t="shared" si="15"/>
        <v>EC</v>
      </c>
      <c r="AH61" s="105" t="str">
        <f t="shared" si="16"/>
        <v>"%USERPROFILE%\Documents\GitHub\eaglep3\Utilities\RefineRTDCRunTimes.py" --tripid 148-15 --locoid 4028 --swversion DE.1.0.7.0 --startMP 204:232983 --initTime 2016-08-15T10:09:28 --startdatetime 2016-08-15T10:10:40 --delay 1 --endMP 204:118 --enddatetime 2016-08-15T11:09:35 --enforcementcount 0</v>
      </c>
    </row>
    <row r="62" spans="1:34" x14ac:dyDescent="0.25">
      <c r="A62" s="40" t="s">
        <v>399</v>
      </c>
      <c r="B62" s="7">
        <v>4020</v>
      </c>
      <c r="C62" s="25" t="s">
        <v>119</v>
      </c>
      <c r="D62" s="25" t="s">
        <v>114</v>
      </c>
      <c r="E62" s="16">
        <v>42597.407326388886</v>
      </c>
      <c r="F62" s="16">
        <v>42597.408321759256</v>
      </c>
      <c r="G62" s="7">
        <v>1</v>
      </c>
      <c r="H62" s="16" t="s">
        <v>311</v>
      </c>
      <c r="I62" s="16">
        <v>42597.435150462959</v>
      </c>
      <c r="J62" s="7">
        <v>0</v>
      </c>
      <c r="K62" s="142" t="str">
        <f t="shared" si="0"/>
        <v>4019/4020</v>
      </c>
      <c r="L62" s="25" t="str">
        <f>VLOOKUP(A62,'Trips&amp;Operators'!$C$1:$E$10000,3,FALSE)</f>
        <v>SPECTOR</v>
      </c>
      <c r="M62" s="6">
        <f t="shared" si="1"/>
        <v>2.6828703703358769E-2</v>
      </c>
      <c r="N62" s="7">
        <f t="shared" si="2"/>
        <v>38.633333332836628</v>
      </c>
      <c r="O62" s="7"/>
      <c r="P62" s="7"/>
      <c r="Q62" s="26"/>
      <c r="R62" s="26"/>
      <c r="S62" s="38">
        <f t="shared" si="3"/>
        <v>1</v>
      </c>
      <c r="T62" s="53" t="str">
        <f t="shared" si="4"/>
        <v>NorthBound</v>
      </c>
      <c r="U62" s="13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08:46:33-0600',mode:absolute,to:'2016-08-15 11:26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62" s="55" t="str">
        <f t="shared" si="6"/>
        <v>N</v>
      </c>
      <c r="X62" s="129">
        <f t="shared" si="7"/>
        <v>1</v>
      </c>
      <c r="Y62" s="70">
        <f t="shared" si="8"/>
        <v>4.6199999999999998E-2</v>
      </c>
      <c r="Z62" s="70">
        <f t="shared" si="9"/>
        <v>23.331099999999999</v>
      </c>
      <c r="AA62" s="70">
        <f t="shared" si="10"/>
        <v>23.2849</v>
      </c>
      <c r="AB62" s="67" t="e">
        <f>VLOOKUP(A62,Enforcements!$C$7:$J$24,8,0)</f>
        <v>#N/A</v>
      </c>
      <c r="AC62" s="63" t="e">
        <f>VLOOKUP(A62,Enforcements!$C$7:$E$24,3,0)</f>
        <v>#N/A</v>
      </c>
      <c r="AD62" s="64" t="str">
        <f t="shared" si="11"/>
        <v>0149-15</v>
      </c>
      <c r="AE62" s="104" t="str">
        <f t="shared" si="12"/>
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</c>
      <c r="AF62" s="101" t="str">
        <f t="shared" si="13"/>
        <v>"C:\Program Files (x86)\AstroGrep\AstroGrep.exe" /spath="%USERPROFILE%\AppData\Local\Temp\OnboardLogs" /stypes="*4020*20160815*" /stext=" 16:.+((SYSTEM_STATE.+slice.+state.+changed )|(ment ac)|(system.+state.+changed )|(\|lc)|(penalty)|(\[timeout)|(PRM\|1\|D)|(kpr)|(kdp)|(\|loc))" /e /r /s</v>
      </c>
      <c r="AG62" s="1" t="str">
        <f t="shared" si="15"/>
        <v>EC</v>
      </c>
      <c r="AH62" s="105" t="str">
        <f t="shared" si="16"/>
        <v>"%USERPROFILE%\Documents\GitHub\eaglep3\Utilities\RefineRTDCRunTimes.py" --tripid 149-15 --locoid 4020 --swversion DE.1.0.7.0 --startMP 204:462 --initTime 2016-08-15T09:46:33 --startdatetime 2016-08-15T09:47:59 --delay 1 --endMP 204:233311 --enddatetime 2016-08-15T10:26:37 --enforcementcount 0</v>
      </c>
    </row>
    <row r="63" spans="1:34" x14ac:dyDescent="0.25">
      <c r="A63" s="40" t="s">
        <v>400</v>
      </c>
      <c r="B63" s="7">
        <v>4019</v>
      </c>
      <c r="C63" s="25" t="s">
        <v>119</v>
      </c>
      <c r="D63" s="25" t="s">
        <v>251</v>
      </c>
      <c r="E63" s="16">
        <v>42597.440636574072</v>
      </c>
      <c r="F63" s="16">
        <v>42597.441736111112</v>
      </c>
      <c r="G63" s="7">
        <v>1</v>
      </c>
      <c r="H63" s="16" t="s">
        <v>92</v>
      </c>
      <c r="I63" s="16">
        <v>42597.473414351851</v>
      </c>
      <c r="J63" s="7">
        <v>0</v>
      </c>
      <c r="K63" s="142" t="str">
        <f t="shared" si="0"/>
        <v>4019/4020</v>
      </c>
      <c r="L63" s="25" t="str">
        <f>VLOOKUP(A63,'Trips&amp;Operators'!$C$1:$E$10000,3,FALSE)</f>
        <v>SPECTOR</v>
      </c>
      <c r="M63" s="6">
        <f t="shared" si="1"/>
        <v>3.1678240738983732E-2</v>
      </c>
      <c r="N63" s="7">
        <f t="shared" si="2"/>
        <v>45.616666664136574</v>
      </c>
      <c r="O63" s="7"/>
      <c r="P63" s="7"/>
      <c r="Q63" s="26"/>
      <c r="R63" s="26"/>
      <c r="S63" s="38">
        <f t="shared" si="3"/>
        <v>1</v>
      </c>
      <c r="T63" s="53" t="str">
        <f t="shared" si="4"/>
        <v>Southbound</v>
      </c>
      <c r="U63" s="13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09:34:31-0600',mode:absolute,to:'2016-08-15 12:21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63" s="55" t="str">
        <f t="shared" si="6"/>
        <v>N</v>
      </c>
      <c r="X63" s="129">
        <f t="shared" si="7"/>
        <v>1</v>
      </c>
      <c r="Y63" s="70">
        <f t="shared" si="8"/>
        <v>23.298400000000001</v>
      </c>
      <c r="Z63" s="70">
        <f t="shared" si="9"/>
        <v>1.43E-2</v>
      </c>
      <c r="AA63" s="70">
        <f t="shared" si="10"/>
        <v>23.284100000000002</v>
      </c>
      <c r="AB63" s="67" t="e">
        <f>VLOOKUP(A63,Enforcements!$C$7:$J$24,8,0)</f>
        <v>#N/A</v>
      </c>
      <c r="AC63" s="63" t="e">
        <f>VLOOKUP(A63,Enforcements!$C$7:$E$24,3,0)</f>
        <v>#N/A</v>
      </c>
      <c r="AD63" s="64" t="str">
        <f t="shared" si="11"/>
        <v>0150-15</v>
      </c>
      <c r="AE63" s="104" t="str">
        <f t="shared" si="12"/>
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</c>
      <c r="AF63" s="101" t="str">
        <f t="shared" si="13"/>
        <v>"C:\Program Files (x86)\AstroGrep\AstroGrep.exe" /spath="%USERPROFILE%\AppData\Local\Temp\OnboardLogs" /stypes="*4019*20160815*" /stext=" 17:.+((SYSTEM_STATE.+slice.+state.+changed )|(ment ac)|(system.+state.+changed )|(\|lc)|(penalty)|(\[timeout)|(PRM\|1\|D)|(kpr)|(kdp)|(\|loc))" /e /r /s</v>
      </c>
      <c r="AG63" s="1" t="str">
        <f t="shared" si="15"/>
        <v>EC</v>
      </c>
      <c r="AH63" s="105" t="str">
        <f t="shared" si="16"/>
        <v>"%USERPROFILE%\Documents\GitHub\eaglep3\Utilities\RefineRTDCRunTimes.py" --tripid 150-15 --locoid 4019 --swversion DE.1.0.7.0 --startMP 204:232984 --initTime 2016-08-15T10:34:31 --startdatetime 2016-08-15T10:36:06 --delay 1 --endMP 204:143 --enddatetime 2016-08-15T11:21:43 --enforcementcount 0</v>
      </c>
    </row>
    <row r="64" spans="1:34" x14ac:dyDescent="0.25">
      <c r="A64" s="40" t="s">
        <v>401</v>
      </c>
      <c r="B64" s="7">
        <v>4038</v>
      </c>
      <c r="C64" s="25" t="s">
        <v>119</v>
      </c>
      <c r="D64" s="25" t="s">
        <v>160</v>
      </c>
      <c r="E64" s="16">
        <v>42597.412303240744</v>
      </c>
      <c r="F64" s="16">
        <v>42597.413391203707</v>
      </c>
      <c r="G64" s="7">
        <v>1</v>
      </c>
      <c r="H64" s="16" t="s">
        <v>199</v>
      </c>
      <c r="I64" s="16">
        <v>42597.441076388888</v>
      </c>
      <c r="J64" s="7">
        <v>0</v>
      </c>
      <c r="K64" s="142" t="str">
        <f t="shared" si="0"/>
        <v>4037/4038</v>
      </c>
      <c r="L64" s="25" t="str">
        <f>VLOOKUP(A64,'Trips&amp;Operators'!$C$1:$E$10000,3,FALSE)</f>
        <v>YORK</v>
      </c>
      <c r="M64" s="6">
        <f t="shared" si="1"/>
        <v>2.7685185181326233E-2</v>
      </c>
      <c r="N64" s="7">
        <f t="shared" si="2"/>
        <v>39.866666661109775</v>
      </c>
      <c r="O64" s="7"/>
      <c r="P64" s="7"/>
      <c r="Q64" s="26"/>
      <c r="R64" s="26"/>
      <c r="S64" s="38">
        <f t="shared" si="3"/>
        <v>1</v>
      </c>
      <c r="T64" s="53" t="str">
        <f t="shared" si="4"/>
        <v>NorthBound</v>
      </c>
      <c r="U64" s="13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08:53:43-0600',mode:absolute,to:'2016-08-15 11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64" s="55" t="str">
        <f t="shared" si="6"/>
        <v>N</v>
      </c>
      <c r="X64" s="129">
        <f t="shared" si="7"/>
        <v>1</v>
      </c>
      <c r="Y64" s="70">
        <f t="shared" si="8"/>
        <v>4.5699999999999998E-2</v>
      </c>
      <c r="Z64" s="70">
        <f t="shared" si="9"/>
        <v>23.330400000000001</v>
      </c>
      <c r="AA64" s="70">
        <f t="shared" si="10"/>
        <v>23.284700000000001</v>
      </c>
      <c r="AB64" s="67" t="e">
        <f>VLOOKUP(A64,Enforcements!$C$7:$J$24,8,0)</f>
        <v>#N/A</v>
      </c>
      <c r="AC64" s="63" t="e">
        <f>VLOOKUP(A64,Enforcements!$C$7:$E$24,3,0)</f>
        <v>#N/A</v>
      </c>
      <c r="AD64" s="64" t="str">
        <f t="shared" si="11"/>
        <v>0151-15</v>
      </c>
      <c r="AE64" s="104" t="str">
        <f t="shared" si="12"/>
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</c>
      <c r="AF64" s="101" t="str">
        <f t="shared" si="13"/>
        <v>"C:\Program Files (x86)\AstroGrep\AstroGrep.exe" /spath="%USERPROFILE%\AppData\Local\Temp\OnboardLogs" /stypes="*4038*20160815*" /stext=" 16:.+((SYSTEM_STATE.+slice.+state.+changed )|(ment ac)|(system.+state.+changed )|(\|lc)|(penalty)|(\[timeout)|(PRM\|1\|D)|(kpr)|(kdp)|(\|loc))" /e /r /s</v>
      </c>
      <c r="AG64" s="1" t="str">
        <f t="shared" si="15"/>
        <v>EC</v>
      </c>
      <c r="AH64" s="105" t="str">
        <f t="shared" si="16"/>
        <v>"%USERPROFILE%\Documents\GitHub\eaglep3\Utilities\RefineRTDCRunTimes.py" --tripid 151-15 --locoid 4038 --swversion DE.1.0.7.0 --startMP 204:457 --initTime 2016-08-15T09:53:43 --startdatetime 2016-08-15T09:55:17 --delay 1 --endMP 204:233304 --enddatetime 2016-08-15T10:35:09 --enforcementcount 0</v>
      </c>
    </row>
    <row r="65" spans="1:34" s="24" customFormat="1" x14ac:dyDescent="0.25">
      <c r="A65" s="40" t="s">
        <v>402</v>
      </c>
      <c r="B65" s="7">
        <v>4037</v>
      </c>
      <c r="C65" s="25" t="s">
        <v>119</v>
      </c>
      <c r="D65" s="25" t="s">
        <v>193</v>
      </c>
      <c r="E65" s="16">
        <v>42597.441886574074</v>
      </c>
      <c r="F65" s="16">
        <v>42597.44259259259</v>
      </c>
      <c r="G65" s="7">
        <v>1</v>
      </c>
      <c r="H65" s="16" t="s">
        <v>92</v>
      </c>
      <c r="I65" s="16">
        <v>42597.48269675926</v>
      </c>
      <c r="J65" s="7">
        <v>0</v>
      </c>
      <c r="K65" s="142" t="str">
        <f t="shared" si="0"/>
        <v>4037/4038</v>
      </c>
      <c r="L65" s="25" t="str">
        <f>VLOOKUP(A65,'Trips&amp;Operators'!$C$1:$E$10000,3,FALSE)</f>
        <v>YORK</v>
      </c>
      <c r="M65" s="6">
        <f t="shared" si="1"/>
        <v>4.0104166670062114E-2</v>
      </c>
      <c r="N65" s="7">
        <f t="shared" si="2"/>
        <v>57.750000004889444</v>
      </c>
      <c r="O65" s="7"/>
      <c r="P65" s="7"/>
      <c r="Q65" s="26"/>
      <c r="R65" s="26"/>
      <c r="S65" s="38">
        <f t="shared" si="3"/>
        <v>1</v>
      </c>
      <c r="T65" s="53" t="str">
        <f t="shared" si="4"/>
        <v>Southbound</v>
      </c>
      <c r="U65" s="13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09:36:19-0600',mode:absolute,to:'2016-08-15 12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65" s="55" t="str">
        <f t="shared" si="6"/>
        <v>N</v>
      </c>
      <c r="X65" s="129">
        <f t="shared" si="7"/>
        <v>1</v>
      </c>
      <c r="Y65" s="70">
        <f t="shared" si="8"/>
        <v>23.298100000000002</v>
      </c>
      <c r="Z65" s="70">
        <f t="shared" si="9"/>
        <v>1.43E-2</v>
      </c>
      <c r="AA65" s="70">
        <f t="shared" si="10"/>
        <v>23.283800000000003</v>
      </c>
      <c r="AB65" s="67" t="e">
        <f>VLOOKUP(A65,Enforcements!$C$7:$J$24,8,0)</f>
        <v>#N/A</v>
      </c>
      <c r="AC65" s="63" t="e">
        <f>VLOOKUP(A65,Enforcements!$C$7:$E$24,3,0)</f>
        <v>#N/A</v>
      </c>
      <c r="AD65" s="64" t="str">
        <f t="shared" si="11"/>
        <v>0152-15</v>
      </c>
      <c r="AE65" s="104" t="str">
        <f t="shared" si="12"/>
        <v>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 &amp; 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</v>
      </c>
      <c r="AF65" s="101" t="str">
        <f t="shared" si="13"/>
        <v>"C:\Program Files (x86)\AstroGrep\AstroGrep.exe" /spath="%USERPROFILE%\AppData\Local\Temp\OnboardLogs" /stypes="*4037*20160815*" /stext=" 17:.+((SYSTEM_STATE.+slice.+state.+changed )|(ment ac)|(system.+state.+changed )|(\|lc)|(penalty)|(\[timeout)|(PRM\|1\|D)|(kpr)|(kdp)|(\|loc))" /e /r /s</v>
      </c>
      <c r="AG65" s="1" t="str">
        <f t="shared" si="15"/>
        <v>EC</v>
      </c>
      <c r="AH65" s="105" t="str">
        <f t="shared" si="16"/>
        <v>"%USERPROFILE%\Documents\GitHub\eaglep3\Utilities\RefineRTDCRunTimes.py" --tripid 152-15 --locoid 4037 --swversion DE.1.0.7.0 --startMP 204:232981 --initTime 2016-08-15T10:36:19 --startdatetime 2016-08-15T10:37:20 --delay 1 --endMP 204:143 --enddatetime 2016-08-15T11:35:05 --enforcementcount 0</v>
      </c>
    </row>
    <row r="66" spans="1:34" x14ac:dyDescent="0.25">
      <c r="A66" s="40" t="s">
        <v>403</v>
      </c>
      <c r="B66" s="7">
        <v>4031</v>
      </c>
      <c r="C66" s="25" t="s">
        <v>119</v>
      </c>
      <c r="D66" s="25" t="s">
        <v>201</v>
      </c>
      <c r="E66" s="16">
        <v>42597.425081018519</v>
      </c>
      <c r="F66" s="16">
        <v>42597.425856481481</v>
      </c>
      <c r="G66" s="7">
        <v>1</v>
      </c>
      <c r="H66" s="16" t="s">
        <v>288</v>
      </c>
      <c r="I66" s="16">
        <v>42597.451979166668</v>
      </c>
      <c r="J66" s="7">
        <v>0</v>
      </c>
      <c r="K66" s="142" t="str">
        <f t="shared" si="0"/>
        <v>4031/4032</v>
      </c>
      <c r="L66" s="25" t="str">
        <f>VLOOKUP(A66,'Trips&amp;Operators'!$C$1:$E$10000,3,FALSE)</f>
        <v>STARKS</v>
      </c>
      <c r="M66" s="6">
        <f t="shared" si="1"/>
        <v>2.6122685187146999E-2</v>
      </c>
      <c r="N66" s="7">
        <f t="shared" si="2"/>
        <v>37.616666669491678</v>
      </c>
      <c r="O66" s="7"/>
      <c r="P66" s="7"/>
      <c r="Q66" s="26"/>
      <c r="R66" s="26"/>
      <c r="S66" s="38">
        <f t="shared" si="3"/>
        <v>1</v>
      </c>
      <c r="T66" s="53" t="str">
        <f t="shared" si="4"/>
        <v>NorthBound</v>
      </c>
      <c r="U66" s="13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09:12:07-0600',mode:absolute,to:'2016-08-15 11:50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66" s="55" t="str">
        <f t="shared" si="6"/>
        <v>N</v>
      </c>
      <c r="X66" s="129">
        <f t="shared" si="7"/>
        <v>1</v>
      </c>
      <c r="Y66" s="70">
        <f t="shared" si="8"/>
        <v>4.7699999999999999E-2</v>
      </c>
      <c r="Z66" s="70">
        <f t="shared" si="9"/>
        <v>23.328600000000002</v>
      </c>
      <c r="AA66" s="70">
        <f t="shared" si="10"/>
        <v>23.280900000000003</v>
      </c>
      <c r="AB66" s="67" t="e">
        <f>VLOOKUP(A66,Enforcements!$C$7:$J$24,8,0)</f>
        <v>#N/A</v>
      </c>
      <c r="AC66" s="63" t="e">
        <f>VLOOKUP(A66,Enforcements!$C$7:$E$24,3,0)</f>
        <v>#N/A</v>
      </c>
      <c r="AD66" s="64" t="str">
        <f t="shared" si="11"/>
        <v>0153-15</v>
      </c>
      <c r="AE66" s="104" t="str">
        <f t="shared" si="12"/>
        <v>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 &amp; 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</v>
      </c>
      <c r="AF66" s="101" t="str">
        <f t="shared" si="13"/>
        <v>"C:\Program Files (x86)\AstroGrep\AstroGrep.exe" /spath="%USERPROFILE%\AppData\Local\Temp\OnboardLogs" /stypes="*4031*20160815*" /stext=" 16:.+((SYSTEM_STATE.+slice.+state.+changed )|(ment ac)|(system.+state.+changed )|(\|lc)|(penalty)|(\[timeout)|(PRM\|1\|D)|(kpr)|(kdp)|(\|loc))" /e /r /s</v>
      </c>
      <c r="AG66" s="1" t="str">
        <f t="shared" si="15"/>
        <v>EC</v>
      </c>
      <c r="AH66" s="105" t="str">
        <f t="shared" si="16"/>
        <v>"%USERPROFILE%\Documents\GitHub\eaglep3\Utilities\RefineRTDCRunTimes.py" --tripid 153-15 --locoid 4031 --swversion DE.1.0.7.0 --startMP 204:477 --initTime 2016-08-15T10:12:07 --startdatetime 2016-08-15T10:13:14 --delay 1 --endMP 204:233286 --enddatetime 2016-08-15T10:50:51 --enforcementcount 0</v>
      </c>
    </row>
    <row r="67" spans="1:34" x14ac:dyDescent="0.25">
      <c r="A67" s="40" t="s">
        <v>404</v>
      </c>
      <c r="B67" s="7">
        <v>4032</v>
      </c>
      <c r="C67" s="25" t="s">
        <v>119</v>
      </c>
      <c r="D67" s="25" t="s">
        <v>156</v>
      </c>
      <c r="E67" s="16">
        <v>42597.462685185186</v>
      </c>
      <c r="F67" s="16">
        <v>42597.463888888888</v>
      </c>
      <c r="G67" s="7">
        <v>1</v>
      </c>
      <c r="H67" s="16" t="s">
        <v>155</v>
      </c>
      <c r="I67" s="16">
        <v>42597.498877314814</v>
      </c>
      <c r="J67" s="7">
        <v>0</v>
      </c>
      <c r="K67" s="142" t="str">
        <f t="shared" si="0"/>
        <v>4031/4032</v>
      </c>
      <c r="L67" s="25" t="str">
        <f>VLOOKUP(A67,'Trips&amp;Operators'!$C$1:$E$10000,3,FALSE)</f>
        <v>STARKS</v>
      </c>
      <c r="M67" s="6">
        <f t="shared" si="1"/>
        <v>3.4988425926712807E-2</v>
      </c>
      <c r="N67" s="7">
        <f t="shared" si="2"/>
        <v>50.383333334466442</v>
      </c>
      <c r="O67" s="7"/>
      <c r="P67" s="7"/>
      <c r="Q67" s="26"/>
      <c r="R67" s="26"/>
      <c r="S67" s="38">
        <f t="shared" si="3"/>
        <v>1</v>
      </c>
      <c r="T67" s="53" t="str">
        <f t="shared" si="4"/>
        <v>Southbound</v>
      </c>
      <c r="U67" s="13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10:06:16-0600',mode:absolute,to:'2016-08-15 12:58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67" s="55" t="str">
        <f t="shared" si="6"/>
        <v>N</v>
      </c>
      <c r="X67" s="129">
        <f t="shared" si="7"/>
        <v>1</v>
      </c>
      <c r="Y67" s="70">
        <f t="shared" si="8"/>
        <v>23.297799999999999</v>
      </c>
      <c r="Z67" s="70">
        <f t="shared" si="9"/>
        <v>1.3899999999999999E-2</v>
      </c>
      <c r="AA67" s="70">
        <f t="shared" si="10"/>
        <v>23.283899999999999</v>
      </c>
      <c r="AB67" s="67" t="e">
        <f>VLOOKUP(A67,Enforcements!$C$7:$J$24,8,0)</f>
        <v>#N/A</v>
      </c>
      <c r="AC67" s="63" t="e">
        <f>VLOOKUP(A67,Enforcements!$C$7:$E$24,3,0)</f>
        <v>#N/A</v>
      </c>
      <c r="AD67" s="64" t="str">
        <f t="shared" si="11"/>
        <v>0154-15</v>
      </c>
      <c r="AE67" s="104" t="str">
        <f t="shared" si="12"/>
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</c>
      <c r="AF67" s="101" t="str">
        <f t="shared" si="13"/>
        <v>"C:\Program Files (x86)\AstroGrep\AstroGrep.exe" /spath="%USERPROFILE%\AppData\Local\Temp\OnboardLogs" /stypes="*4032*20160815*" /stext=" 17:.+((SYSTEM_STATE.+slice.+state.+changed )|(ment ac)|(system.+state.+changed )|(\|lc)|(penalty)|(\[timeout)|(PRM\|1\|D)|(kpr)|(kdp)|(\|loc))" /e /r /s</v>
      </c>
      <c r="AG67" s="1" t="str">
        <f t="shared" si="15"/>
        <v>EC</v>
      </c>
      <c r="AH67" s="105" t="str">
        <f t="shared" si="16"/>
        <v>"%USERPROFILE%\Documents\GitHub\eaglep3\Utilities\RefineRTDCRunTimes.py" --tripid 154-15 --locoid 4032 --swversion DE.1.0.7.0 --startMP 204:232978 --initTime 2016-08-15T11:06:16 --startdatetime 2016-08-15T11:08:00 --delay 1 --endMP 204:139 --enddatetime 2016-08-15T11:58:23 --enforcementcount 0</v>
      </c>
    </row>
    <row r="68" spans="1:34" x14ac:dyDescent="0.25">
      <c r="A68" s="40" t="s">
        <v>405</v>
      </c>
      <c r="B68" s="7">
        <v>4009</v>
      </c>
      <c r="C68" s="25" t="s">
        <v>119</v>
      </c>
      <c r="D68" s="25" t="s">
        <v>114</v>
      </c>
      <c r="E68" s="16">
        <v>42597.434976851851</v>
      </c>
      <c r="F68" s="16">
        <v>42597.436168981483</v>
      </c>
      <c r="G68" s="7">
        <v>1</v>
      </c>
      <c r="H68" s="16" t="s">
        <v>248</v>
      </c>
      <c r="I68" s="16">
        <v>42597.463518518518</v>
      </c>
      <c r="J68" s="7">
        <v>0</v>
      </c>
      <c r="K68" s="142" t="str">
        <f t="shared" si="0"/>
        <v>4009/4010</v>
      </c>
      <c r="L68" s="25" t="str">
        <f>VLOOKUP(A68,'Trips&amp;Operators'!$C$1:$E$10000,3,FALSE)</f>
        <v>ROCHA</v>
      </c>
      <c r="M68" s="6">
        <f t="shared" si="1"/>
        <v>2.7349537034751847E-2</v>
      </c>
      <c r="N68" s="7">
        <f t="shared" si="2"/>
        <v>39.38333333004266</v>
      </c>
      <c r="O68" s="7"/>
      <c r="P68" s="7"/>
      <c r="Q68" s="26"/>
      <c r="R68" s="26"/>
      <c r="S68" s="38">
        <f t="shared" si="3"/>
        <v>1</v>
      </c>
      <c r="T68" s="53" t="str">
        <f t="shared" si="4"/>
        <v>NorthBound</v>
      </c>
      <c r="U68" s="13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09:26:22-0600',mode:absolute,to:'2016-08-15 12:07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68" s="55" t="str">
        <f t="shared" si="6"/>
        <v>N</v>
      </c>
      <c r="X68" s="129">
        <f t="shared" si="7"/>
        <v>1</v>
      </c>
      <c r="Y68" s="70">
        <f t="shared" si="8"/>
        <v>4.6199999999999998E-2</v>
      </c>
      <c r="Z68" s="70">
        <f t="shared" si="9"/>
        <v>23.329499999999999</v>
      </c>
      <c r="AA68" s="70">
        <f t="shared" si="10"/>
        <v>23.283300000000001</v>
      </c>
      <c r="AB68" s="67" t="e">
        <f>VLOOKUP(A68,Enforcements!$C$7:$J$24,8,0)</f>
        <v>#N/A</v>
      </c>
      <c r="AC68" s="63" t="e">
        <f>VLOOKUP(A68,Enforcements!$C$7:$E$24,3,0)</f>
        <v>#N/A</v>
      </c>
      <c r="AD68" s="64" t="str">
        <f t="shared" si="11"/>
        <v>0155-15</v>
      </c>
      <c r="AE68" s="104" t="str">
        <f t="shared" si="12"/>
        <v>aws s3 cp s3://rtdc.mdm.uploadarchive/RTDC4009/2016-08-15/ "%USERPROFILE%\AppData\Local\Temp\OnboardLogs"\RTDC4009\2016-08-15 --recursive &amp; "%USERPROFILE%\Documents\GitHub\mrs-test-scripts\Headless Mode &amp; Sideloading\WalkAndUnGZ.bat" "%USERPROFILE%\AppData\Local\Temp\OnboardLogs"\RTDC4009\2016-08-15 &amp; 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</v>
      </c>
      <c r="AF68" s="101" t="str">
        <f t="shared" si="13"/>
        <v>"C:\Program Files (x86)\AstroGrep\AstroGrep.exe" /spath="%USERPROFILE%\AppData\Local\Temp\OnboardLogs" /stypes="*4009*20160815*" /stext=" 17:.+((SYSTEM_STATE.+slice.+state.+changed )|(ment ac)|(system.+state.+changed )|(\|lc)|(penalty)|(\[timeout)|(PRM\|1\|D)|(kpr)|(kdp)|(\|loc))" /e /r /s</v>
      </c>
      <c r="AG68" s="1" t="str">
        <f t="shared" si="15"/>
        <v>EC</v>
      </c>
      <c r="AH68" s="105" t="str">
        <f t="shared" si="16"/>
        <v>"%USERPROFILE%\Documents\GitHub\eaglep3\Utilities\RefineRTDCRunTimes.py" --tripid 155-15 --locoid 4009 --swversion DE.1.0.7.0 --startMP 204:462 --initTime 2016-08-15T10:26:22 --startdatetime 2016-08-15T10:28:05 --delay 1 --endMP 204:233295 --enddatetime 2016-08-15T11:07:28 --enforcementcount 0</v>
      </c>
    </row>
    <row r="69" spans="1:34" x14ac:dyDescent="0.25">
      <c r="A69" s="40" t="s">
        <v>406</v>
      </c>
      <c r="B69" s="7">
        <v>4010</v>
      </c>
      <c r="C69" s="25" t="s">
        <v>119</v>
      </c>
      <c r="D69" s="25" t="s">
        <v>286</v>
      </c>
      <c r="E69" s="16">
        <v>42597.471319444441</v>
      </c>
      <c r="F69" s="16">
        <v>42597.472638888888</v>
      </c>
      <c r="G69" s="7">
        <v>1</v>
      </c>
      <c r="H69" s="16" t="s">
        <v>92</v>
      </c>
      <c r="I69" s="16">
        <v>42597.505694444444</v>
      </c>
      <c r="J69" s="7">
        <v>0</v>
      </c>
      <c r="K69" s="142" t="str">
        <f t="shared" si="0"/>
        <v>4009/4010</v>
      </c>
      <c r="L69" s="25" t="str">
        <f>VLOOKUP(A69,'Trips&amp;Operators'!$C$1:$E$10000,3,FALSE)</f>
        <v>DAVIS</v>
      </c>
      <c r="M69" s="6">
        <f t="shared" si="1"/>
        <v>3.3055555555620231E-2</v>
      </c>
      <c r="N69" s="7">
        <f t="shared" si="2"/>
        <v>47.600000000093132</v>
      </c>
      <c r="O69" s="7"/>
      <c r="P69" s="7"/>
      <c r="Q69" s="26"/>
      <c r="R69" s="26"/>
      <c r="S69" s="38">
        <f t="shared" si="3"/>
        <v>1</v>
      </c>
      <c r="T69" s="53" t="str">
        <f t="shared" si="4"/>
        <v>Southbound</v>
      </c>
      <c r="U69" s="13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10:18:42-0600',mode:absolute,to:'2016-08-15 13:08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69" s="55" t="str">
        <f t="shared" si="6"/>
        <v>N</v>
      </c>
      <c r="X69" s="129">
        <f t="shared" si="7"/>
        <v>1</v>
      </c>
      <c r="Y69" s="70">
        <f t="shared" si="8"/>
        <v>23.2989</v>
      </c>
      <c r="Z69" s="70">
        <f t="shared" si="9"/>
        <v>1.43E-2</v>
      </c>
      <c r="AA69" s="70">
        <f t="shared" si="10"/>
        <v>23.284600000000001</v>
      </c>
      <c r="AB69" s="67" t="e">
        <f>VLOOKUP(A69,Enforcements!$C$7:$J$24,8,0)</f>
        <v>#N/A</v>
      </c>
      <c r="AC69" s="63" t="e">
        <f>VLOOKUP(A69,Enforcements!$C$7:$E$24,3,0)</f>
        <v>#N/A</v>
      </c>
      <c r="AD69" s="64" t="str">
        <f t="shared" si="11"/>
        <v>0156-15</v>
      </c>
      <c r="AE69" s="104" t="str">
        <f t="shared" si="12"/>
        <v>aws s3 cp s3://rtdc.mdm.uploadarchive/RTDC4010/2016-08-15/ "%USERPROFILE%\AppData\Local\Temp\OnboardLogs"\RTDC4010\2016-08-15 --recursive &amp; "%USERPROFILE%\Documents\GitHub\mrs-test-scripts\Headless Mode &amp; Sideloading\WalkAndUnGZ.bat" "%USERPROFILE%\AppData\Local\Temp\OnboardLogs"\RTDC4010\2016-08-15 &amp; 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</v>
      </c>
      <c r="AF69" s="101" t="str">
        <f t="shared" si="13"/>
        <v>"C:\Program Files (x86)\AstroGrep\AstroGrep.exe" /spath="%USERPROFILE%\AppData\Local\Temp\OnboardLogs" /stypes="*4010*20160815*" /stext=" 18:.+((SYSTEM_STATE.+slice.+state.+changed )|(ment ac)|(system.+state.+changed )|(\|lc)|(penalty)|(\[timeout)|(PRM\|1\|D)|(kpr)|(kdp)|(\|loc))" /e /r /s</v>
      </c>
      <c r="AG69" s="1" t="str">
        <f t="shared" si="15"/>
        <v>EC</v>
      </c>
      <c r="AH69" s="105" t="str">
        <f t="shared" si="16"/>
        <v>"%USERPROFILE%\Documents\GitHub\eaglep3\Utilities\RefineRTDCRunTimes.py" --tripid 156-15 --locoid 4010 --swversion DE.1.0.7.0 --startMP 204:232989 --initTime 2016-08-15T11:18:42 --startdatetime 2016-08-15T11:20:36 --delay 1 --endMP 204:143 --enddatetime 2016-08-15T12:08:12 --enforcementcount 0</v>
      </c>
    </row>
    <row r="70" spans="1:34" x14ac:dyDescent="0.25">
      <c r="A70" s="40" t="s">
        <v>407</v>
      </c>
      <c r="B70" s="7">
        <v>4042</v>
      </c>
      <c r="C70" s="25" t="s">
        <v>119</v>
      </c>
      <c r="D70" s="25" t="s">
        <v>307</v>
      </c>
      <c r="E70" s="16">
        <v>42597.447430555556</v>
      </c>
      <c r="F70" s="16">
        <v>42597.448287037034</v>
      </c>
      <c r="G70" s="7">
        <v>1</v>
      </c>
      <c r="H70" s="16" t="s">
        <v>142</v>
      </c>
      <c r="I70" s="16">
        <v>42597.474166666667</v>
      </c>
      <c r="J70" s="7">
        <v>0</v>
      </c>
      <c r="K70" s="142" t="str">
        <f t="shared" si="0"/>
        <v>4041/4042</v>
      </c>
      <c r="L70" s="25" t="str">
        <f>VLOOKUP(A70,'Trips&amp;Operators'!$C$1:$E$10000,3,FALSE)</f>
        <v>MALAVE</v>
      </c>
      <c r="M70" s="6">
        <f t="shared" si="1"/>
        <v>2.587962963298196E-2</v>
      </c>
      <c r="N70" s="7">
        <f t="shared" si="2"/>
        <v>37.266666671494022</v>
      </c>
      <c r="O70" s="7"/>
      <c r="P70" s="7"/>
      <c r="Q70" s="26"/>
      <c r="R70" s="26"/>
      <c r="S70" s="38">
        <f t="shared" si="3"/>
        <v>1</v>
      </c>
      <c r="T70" s="53" t="str">
        <f t="shared" si="4"/>
        <v>NorthBound</v>
      </c>
      <c r="U70" s="13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09:44:18-0600',mode:absolute,to:'2016-08-15 12:22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70" s="55" t="str">
        <f t="shared" si="6"/>
        <v>N</v>
      </c>
      <c r="X70" s="129">
        <f t="shared" si="7"/>
        <v>1</v>
      </c>
      <c r="Y70" s="70">
        <f t="shared" si="8"/>
        <v>4.7300000000000002E-2</v>
      </c>
      <c r="Z70" s="70">
        <f t="shared" si="9"/>
        <v>23.328900000000001</v>
      </c>
      <c r="AA70" s="70">
        <f t="shared" si="10"/>
        <v>23.281600000000001</v>
      </c>
      <c r="AB70" s="67" t="e">
        <f>VLOOKUP(A70,Enforcements!$C$7:$J$24,8,0)</f>
        <v>#N/A</v>
      </c>
      <c r="AC70" s="63" t="e">
        <f>VLOOKUP(A70,Enforcements!$C$7:$E$24,3,0)</f>
        <v>#N/A</v>
      </c>
      <c r="AD70" s="64" t="str">
        <f t="shared" si="11"/>
        <v>0157-15</v>
      </c>
      <c r="AE70" s="104" t="str">
        <f t="shared" si="12"/>
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</c>
      <c r="AF70" s="101" t="str">
        <f t="shared" si="13"/>
        <v>"C:\Program Files (x86)\AstroGrep\AstroGrep.exe" /spath="%USERPROFILE%\AppData\Local\Temp\OnboardLogs" /stypes="*4042*20160815*" /stext=" 17:.+((SYSTEM_STATE.+slice.+state.+changed )|(ment ac)|(system.+state.+changed )|(\|lc)|(penalty)|(\[timeout)|(PRM\|1\|D)|(kpr)|(kdp)|(\|loc))" /e /r /s</v>
      </c>
      <c r="AG70" s="1" t="str">
        <f t="shared" si="15"/>
        <v>EC</v>
      </c>
      <c r="AH70" s="105" t="str">
        <f t="shared" si="16"/>
        <v>"%USERPROFILE%\Documents\GitHub\eaglep3\Utilities\RefineRTDCRunTimes.py" --tripid 157-15 --locoid 4042 --swversion DE.1.0.7.0 --startMP 204:473 --initTime 2016-08-15T10:44:18 --startdatetime 2016-08-15T10:45:32 --delay 1 --endMP 204:233289 --enddatetime 2016-08-15T11:22:48 --enforcementcount 0</v>
      </c>
    </row>
    <row r="71" spans="1:34" x14ac:dyDescent="0.25">
      <c r="A71" s="40" t="s">
        <v>408</v>
      </c>
      <c r="B71" s="7">
        <v>4041</v>
      </c>
      <c r="C71" s="25" t="s">
        <v>119</v>
      </c>
      <c r="D71" s="25" t="s">
        <v>285</v>
      </c>
      <c r="E71" s="16">
        <v>42597.485671296294</v>
      </c>
      <c r="F71" s="16">
        <v>42597.486539351848</v>
      </c>
      <c r="G71" s="7">
        <v>1</v>
      </c>
      <c r="H71" s="16" t="s">
        <v>196</v>
      </c>
      <c r="I71" s="16">
        <v>42597.51903935185</v>
      </c>
      <c r="J71" s="7">
        <v>0</v>
      </c>
      <c r="K71" s="142" t="str">
        <f t="shared" si="0"/>
        <v>4041/4042</v>
      </c>
      <c r="L71" s="25" t="str">
        <f>VLOOKUP(A71,'Trips&amp;Operators'!$C$1:$E$10000,3,FALSE)</f>
        <v>MALAVE</v>
      </c>
      <c r="M71" s="6">
        <f t="shared" si="1"/>
        <v>3.2500000001164153E-2</v>
      </c>
      <c r="N71" s="7">
        <f t="shared" si="2"/>
        <v>46.800000001676381</v>
      </c>
      <c r="O71" s="7"/>
      <c r="P71" s="7"/>
      <c r="Q71" s="26"/>
      <c r="R71" s="26"/>
      <c r="S71" s="38">
        <f t="shared" si="3"/>
        <v>1</v>
      </c>
      <c r="T71" s="53" t="str">
        <f t="shared" si="4"/>
        <v>Southbound</v>
      </c>
      <c r="U71" s="13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10:39:22-0600',mode:absolute,to:'2016-08-15 13:27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71" s="55" t="str">
        <f t="shared" si="6"/>
        <v>N</v>
      </c>
      <c r="X71" s="129">
        <f t="shared" si="7"/>
        <v>1</v>
      </c>
      <c r="Y71" s="70">
        <f t="shared" si="8"/>
        <v>23.296900000000001</v>
      </c>
      <c r="Z71" s="70">
        <f t="shared" si="9"/>
        <v>1.54E-2</v>
      </c>
      <c r="AA71" s="70">
        <f t="shared" si="10"/>
        <v>23.281500000000001</v>
      </c>
      <c r="AB71" s="67" t="e">
        <f>VLOOKUP(A71,Enforcements!$C$7:$J$24,8,0)</f>
        <v>#N/A</v>
      </c>
      <c r="AC71" s="63" t="e">
        <f>VLOOKUP(A71,Enforcements!$C$7:$E$24,3,0)</f>
        <v>#N/A</v>
      </c>
      <c r="AD71" s="64" t="str">
        <f t="shared" si="11"/>
        <v>0158-15</v>
      </c>
      <c r="AE71" s="104" t="str">
        <f t="shared" si="12"/>
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</c>
      <c r="AF71" s="101" t="str">
        <f t="shared" si="13"/>
        <v>"C:\Program Files (x86)\AstroGrep\AstroGrep.exe" /spath="%USERPROFILE%\AppData\Local\Temp\OnboardLogs" /stypes="*4041*20160815*" /stext=" 18:.+((SYSTEM_STATE.+slice.+state.+changed )|(ment ac)|(system.+state.+changed )|(\|lc)|(penalty)|(\[timeout)|(PRM\|1\|D)|(kpr)|(kdp)|(\|loc))" /e /r /s</v>
      </c>
      <c r="AG71" s="1" t="str">
        <f t="shared" si="15"/>
        <v>EC</v>
      </c>
      <c r="AH71" s="105" t="str">
        <f t="shared" si="16"/>
        <v>"%USERPROFILE%\Documents\GitHub\eaglep3\Utilities\RefineRTDCRunTimes.py" --tripid 158-15 --locoid 4041 --swversion DE.1.0.7.0 --startMP 204:232969 --initTime 2016-08-15T11:39:22 --startdatetime 2016-08-15T11:40:37 --delay 1 --endMP 204:154 --enddatetime 2016-08-15T12:27:25 --enforcementcount 0</v>
      </c>
    </row>
    <row r="72" spans="1:34" s="24" customFormat="1" x14ac:dyDescent="0.25">
      <c r="A72" s="40" t="s">
        <v>409</v>
      </c>
      <c r="B72" s="7">
        <v>4044</v>
      </c>
      <c r="C72" s="25" t="s">
        <v>119</v>
      </c>
      <c r="D72" s="25" t="s">
        <v>410</v>
      </c>
      <c r="E72" s="16">
        <v>42597.457962962966</v>
      </c>
      <c r="F72" s="16">
        <v>42597.459583333337</v>
      </c>
      <c r="G72" s="7">
        <v>2</v>
      </c>
      <c r="H72" s="16" t="s">
        <v>161</v>
      </c>
      <c r="I72" s="16">
        <v>42597.491053240738</v>
      </c>
      <c r="J72" s="7">
        <v>0</v>
      </c>
      <c r="K72" s="142" t="str">
        <f t="shared" si="0"/>
        <v>4043/4044</v>
      </c>
      <c r="L72" s="25" t="str">
        <f>VLOOKUP(A72,'Trips&amp;Operators'!$C$1:$E$10000,3,FALSE)</f>
        <v>STEWART</v>
      </c>
      <c r="M72" s="6">
        <f t="shared" si="1"/>
        <v>3.1469907400605734E-2</v>
      </c>
      <c r="N72" s="7">
        <f t="shared" si="2"/>
        <v>45.316666656872258</v>
      </c>
      <c r="O72" s="7"/>
      <c r="P72" s="7"/>
      <c r="Q72" s="26"/>
      <c r="R72" s="26"/>
      <c r="S72" s="38">
        <f t="shared" si="3"/>
        <v>1</v>
      </c>
      <c r="T72" s="53" t="str">
        <f t="shared" si="4"/>
        <v>NorthBound</v>
      </c>
      <c r="U72" s="13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09:59:28-0600',mode:absolute,to:'2016-08-15 12:47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72" s="55" t="str">
        <f t="shared" si="6"/>
        <v>N</v>
      </c>
      <c r="X72" s="129">
        <f t="shared" si="7"/>
        <v>1</v>
      </c>
      <c r="Y72" s="70">
        <f t="shared" si="8"/>
        <v>4.3099999999999999E-2</v>
      </c>
      <c r="Z72" s="70">
        <f t="shared" si="9"/>
        <v>23.331</v>
      </c>
      <c r="AA72" s="70">
        <f t="shared" si="10"/>
        <v>23.2879</v>
      </c>
      <c r="AB72" s="67" t="e">
        <f>VLOOKUP(A72,Enforcements!$C$7:$J$24,8,0)</f>
        <v>#N/A</v>
      </c>
      <c r="AC72" s="63" t="e">
        <f>VLOOKUP(A72,Enforcements!$C$7:$E$24,3,0)</f>
        <v>#N/A</v>
      </c>
      <c r="AD72" s="64" t="str">
        <f t="shared" si="11"/>
        <v>0159-15</v>
      </c>
      <c r="AE72" s="104" t="str">
        <f t="shared" si="12"/>
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</c>
      <c r="AF72" s="101" t="str">
        <f t="shared" si="13"/>
        <v>"C:\Program Files (x86)\AstroGrep\AstroGrep.exe" /spath="%USERPROFILE%\AppData\Local\Temp\OnboardLogs" /stypes="*4044*20160815*" /stext=" 17:.+((SYSTEM_STATE.+slice.+state.+changed )|(ment ac)|(system.+state.+changed )|(\|lc)|(penalty)|(\[timeout)|(PRM\|1\|D)|(kpr)|(kdp)|(\|loc))" /e /r /s</v>
      </c>
      <c r="AG72" s="1" t="str">
        <f t="shared" si="15"/>
        <v>EC</v>
      </c>
      <c r="AH72" s="105" t="str">
        <f t="shared" si="16"/>
        <v>"%USERPROFILE%\Documents\GitHub\eaglep3\Utilities\RefineRTDCRunTimes.py" --tripid 159-15 --locoid 4044 --swversion DE.1.0.7.0 --startMP 204:431 --initTime 2016-08-15T10:59:28 --startdatetime 2016-08-15T11:01:48 --delay 2 --endMP 204:233310 --enddatetime 2016-08-15T11:47:07 --enforcementcount 0</v>
      </c>
    </row>
    <row r="73" spans="1:34" s="24" customFormat="1" x14ac:dyDescent="0.25">
      <c r="A73" s="40" t="s">
        <v>411</v>
      </c>
      <c r="B73" s="7">
        <v>4043</v>
      </c>
      <c r="C73" s="25" t="s">
        <v>119</v>
      </c>
      <c r="D73" s="25" t="s">
        <v>286</v>
      </c>
      <c r="E73" s="16">
        <v>42597.494814814818</v>
      </c>
      <c r="F73" s="16">
        <v>42597.497002314813</v>
      </c>
      <c r="G73" s="7">
        <v>3</v>
      </c>
      <c r="H73" s="16" t="s">
        <v>139</v>
      </c>
      <c r="I73" s="16">
        <v>42597.534803240742</v>
      </c>
      <c r="J73" s="7">
        <v>0</v>
      </c>
      <c r="K73" s="142" t="str">
        <f t="shared" si="0"/>
        <v>4043/4044</v>
      </c>
      <c r="L73" s="25" t="str">
        <f>VLOOKUP(A73,'Trips&amp;Operators'!$C$1:$E$10000,3,FALSE)</f>
        <v>STEWART</v>
      </c>
      <c r="M73" s="6">
        <f t="shared" si="1"/>
        <v>3.7800925929332152E-2</v>
      </c>
      <c r="N73" s="7">
        <f t="shared" si="2"/>
        <v>54.433333338238299</v>
      </c>
      <c r="O73" s="7"/>
      <c r="P73" s="7"/>
      <c r="Q73" s="26"/>
      <c r="R73" s="26"/>
      <c r="S73" s="38">
        <f t="shared" si="3"/>
        <v>1</v>
      </c>
      <c r="T73" s="53" t="str">
        <f t="shared" si="4"/>
        <v>Southbound</v>
      </c>
      <c r="U73" s="13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https://search-rtdc-monitor-bjffxe2xuh6vdkpspy63sjmuny.us-east-1.es.amazonaws.com/_plugin/kibana/#/discover/Steve-Slow-Train-Analysis-(2080s-and-2083s)?_g=(refreshInterval:(display:Off,section:0,value:0),time:(from:'2016-08-15 10:52:32-0600',mode:absolute,to:'2016-08-15 13:50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73" s="55" t="str">
        <f t="shared" si="6"/>
        <v>N</v>
      </c>
      <c r="X73" s="129">
        <f t="shared" si="7"/>
        <v>1</v>
      </c>
      <c r="Y73" s="70">
        <f t="shared" si="8"/>
        <v>23.2989</v>
      </c>
      <c r="Z73" s="70">
        <f t="shared" si="9"/>
        <v>1.5800000000000002E-2</v>
      </c>
      <c r="AA73" s="70">
        <f t="shared" si="10"/>
        <v>23.283100000000001</v>
      </c>
      <c r="AB73" s="67" t="e">
        <f>VLOOKUP(A73,Enforcements!$C$7:$J$24,8,0)</f>
        <v>#N/A</v>
      </c>
      <c r="AC73" s="63" t="e">
        <f>VLOOKUP(A73,Enforcements!$C$7:$E$24,3,0)</f>
        <v>#N/A</v>
      </c>
      <c r="AD73" s="64" t="str">
        <f t="shared" si="11"/>
        <v>0160-15</v>
      </c>
      <c r="AE73" s="104" t="str">
        <f t="shared" si="12"/>
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</c>
      <c r="AF73" s="101" t="str">
        <f t="shared" si="13"/>
        <v>"C:\Program Files (x86)\AstroGrep\AstroGrep.exe" /spath="%USERPROFILE%\AppData\Local\Temp\OnboardLogs" /stypes="*4043*20160815*" /stext=" 18:.+((SYSTEM_STATE.+slice.+state.+changed )|(ment ac)|(system.+state.+changed )|(\|lc)|(penalty)|(\[timeout)|(PRM\|1\|D)|(kpr)|(kdp)|(\|loc))" /e /r /s</v>
      </c>
      <c r="AG73" s="1" t="str">
        <f t="shared" si="15"/>
        <v>EC</v>
      </c>
      <c r="AH73" s="105" t="str">
        <f t="shared" si="16"/>
        <v>"%USERPROFILE%\Documents\GitHub\eaglep3\Utilities\RefineRTDCRunTimes.py" --tripid 160-15 --locoid 4043 --swversion DE.1.0.7.0 --startMP 204:232989 --initTime 2016-08-15T11:52:32 --startdatetime 2016-08-15T11:55:41 --delay 3 --endMP 204:158 --enddatetime 2016-08-15T12:50:07 --enforcementcount 0</v>
      </c>
    </row>
    <row r="74" spans="1:34" x14ac:dyDescent="0.25">
      <c r="A74" s="40" t="s">
        <v>412</v>
      </c>
      <c r="B74" s="7">
        <v>4027</v>
      </c>
      <c r="C74" s="25" t="s">
        <v>119</v>
      </c>
      <c r="D74" s="25" t="s">
        <v>413</v>
      </c>
      <c r="E74" s="16">
        <v>42597.466307870367</v>
      </c>
      <c r="F74" s="16">
        <v>42597.467164351852</v>
      </c>
      <c r="G74" s="7">
        <v>1</v>
      </c>
      <c r="H74" s="16" t="s">
        <v>142</v>
      </c>
      <c r="I74" s="16">
        <v>42597.494502314818</v>
      </c>
      <c r="J74" s="7">
        <v>0</v>
      </c>
      <c r="K74" s="142" t="str">
        <f t="shared" ref="K74:K137" si="24">IF(ISEVEN(B74),(B74-1)&amp;"/"&amp;B74,B74&amp;"/"&amp;(B74+1))</f>
        <v>4027/4028</v>
      </c>
      <c r="L74" s="25" t="str">
        <f>VLOOKUP(A74,'Trips&amp;Operators'!$C$1:$E$10000,3,FALSE)</f>
        <v>BARTLETT</v>
      </c>
      <c r="M74" s="6">
        <f t="shared" ref="M74:M137" si="25">I74-F74</f>
        <v>2.7337962965248153E-2</v>
      </c>
      <c r="N74" s="7">
        <f t="shared" ref="N74:P137" si="26">24*60*SUM($M74:$M74)</f>
        <v>39.36666666995734</v>
      </c>
      <c r="O74" s="7"/>
      <c r="P74" s="7"/>
      <c r="Q74" s="26"/>
      <c r="R74" s="26"/>
      <c r="S74" s="38">
        <f t="shared" ref="S74:S137" si="27">SUM(U74:U74)/IF(AG74="EC",12,1)</f>
        <v>1</v>
      </c>
      <c r="T74" s="53" t="str">
        <f t="shared" ref="T74:T137" si="28">IF(ISEVEN(LEFT(AD74,4)),"Southbound","NorthBound")</f>
        <v>NorthBound</v>
      </c>
      <c r="U74" s="13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11" t="str">
        <f t="shared" ref="V74:V137" si="29">"https://search-rtdc-monitor-bjffxe2xuh6vdkpspy63sjmuny.us-east-1.es.amazonaws.com/_plugin/kibana/#/discover/Steve-Slow-Train-Analysis-(2080s-and-2083s)?_g=(refreshInterval:(display:Off,section:0,value:0),time:(from:'"&amp;TEXT(E74-1/24,"yyyy-MM-DD hh:mm:ss")&amp;"-0600',mode:absolute,to:'"&amp;TEXT(I74+1/24,"yyyy-MM-DD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74&amp;"%22')),sort:!(Time,asc))"</f>
        <v>https://search-rtdc-monitor-bjffxe2xuh6vdkpspy63sjmuny.us-east-1.es.amazonaws.com/_plugin/kibana/#/discover/Steve-Slow-Train-Analysis-(2080s-and-2083s)?_g=(refreshInterval:(display:Off,section:0,value:0),time:(from:'2016-08-15 10:11:29-0600',mode:absolute,to:'2016-08-15 12:52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74" s="55" t="str">
        <f t="shared" ref="W74:W137" si="30">IF(AA74&lt;IF(AG74="EC",23,5.65),"Y","N")</f>
        <v>N</v>
      </c>
      <c r="X74" s="129">
        <f t="shared" ref="X74:X137" si="31">VALUE(LEFT(AD74,4))-VALUE(LEFT(AD73,4))</f>
        <v>1</v>
      </c>
      <c r="Y74" s="70">
        <f t="shared" ref="Y74:Y137" si="32">RIGHT(D74,LEN(D74)-4)/10000</f>
        <v>4.1599999999999998E-2</v>
      </c>
      <c r="Z74" s="70">
        <f t="shared" ref="Z74:Z137" si="33">RIGHT(H74,LEN(H74)-4)/10000</f>
        <v>23.328900000000001</v>
      </c>
      <c r="AA74" s="70">
        <f t="shared" ref="AA74:AA137" si="34">ABS(Z74-Y74)</f>
        <v>23.287300000000002</v>
      </c>
      <c r="AB74" s="67" t="e">
        <f>VLOOKUP(A74,Enforcements!$C$7:$J$24,8,0)</f>
        <v>#N/A</v>
      </c>
      <c r="AC74" s="63" t="e">
        <f>VLOOKUP(A74,Enforcements!$C$7:$E$24,3,0)</f>
        <v>#N/A</v>
      </c>
      <c r="AD74" s="64" t="str">
        <f t="shared" ref="AD74:AD137" si="35">IF(LEN(A74)=6,"0"&amp;A74,A74)</f>
        <v>0161-15</v>
      </c>
      <c r="AE74" s="104" t="str">
        <f t="shared" ref="AE74:AE137" si="36">"aws s3 cp "&amp;s3_bucket&amp;"/RTDC"&amp;B74&amp;"/"&amp;TEXT(F74,"YYYY-MM-DD")&amp;"/ "&amp;search_path&amp;"\RTDC"&amp;B74&amp;"\"&amp;TEXT(F74,"YYYY-MM-DD")&amp;" --recursive &amp; """&amp;walkandungz&amp;""" "&amp;search_path&amp;"\RTDC"&amp;B74&amp;"\"&amp;TEXT(F74,"YYYY-MM-DD")
&amp;" &amp; "&amp;"aws s3 cp "&amp;s3_bucket&amp;"/RTDC"&amp;B74&amp;"/"&amp;TEXT(F74+1,"YYYY-MM-DD")&amp;"/ "&amp;search_path&amp;"\RTDC"&amp;B74&amp;"\"&amp;TEXT(F74+1,"YYYY-MM-DD")&amp;" --recursive &amp; """&amp;walkandungz&amp;""" "&amp;search_path&amp;"\RTDC"&amp;B74&amp;"\"&amp;TEXT(F74+1,"YYYY-MM-DD")</f>
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</c>
      <c r="AF74" s="101" t="str">
        <f t="shared" ref="AF74:AF137" si="37">astrogrep_path&amp;" /spath="&amp;search_path&amp;" /stypes=""*"&amp;B74&amp;"*"&amp;TEXT(I74-utc_offset/24,"YYYYMMDD")&amp;"*"" /stext="" "&amp;TEXT(I74-utc_offset/24,"HH")&amp;search_regexp&amp;""" /e /r /s"</f>
        <v>"C:\Program Files (x86)\AstroGrep\AstroGrep.exe" /spath="%USERPROFILE%\AppData\Local\Temp\OnboardLogs" /stypes="*4027*20160815*" /stext=" 17:.+((SYSTEM_STATE.+slice.+state.+changed )|(ment ac)|(system.+state.+changed )|(\|lc)|(penalty)|(\[timeout)|(PRM\|1\|D)|(kpr)|(kdp)|(\|loc))" /e /r /s</v>
      </c>
      <c r="AG74" s="1" t="str">
        <f t="shared" si="15"/>
        <v>EC</v>
      </c>
      <c r="AH74" s="105" t="str">
        <f t="shared" si="16"/>
        <v>"%USERPROFILE%\Documents\GitHub\eaglep3\Utilities\RefineRTDCRunTimes.py" --tripid 161-15 --locoid 4027 --swversion DE.1.0.7.0 --startMP 204:416 --initTime 2016-08-15T11:11:29 --startdatetime 2016-08-15T11:12:43 --delay 1 --endMP 204:233289 --enddatetime 2016-08-15T11:52:05 --enforcementcount 0</v>
      </c>
    </row>
    <row r="75" spans="1:34" x14ac:dyDescent="0.25">
      <c r="A75" s="40" t="s">
        <v>414</v>
      </c>
      <c r="B75" s="7">
        <v>4028</v>
      </c>
      <c r="C75" s="25" t="s">
        <v>119</v>
      </c>
      <c r="D75" s="25" t="s">
        <v>176</v>
      </c>
      <c r="E75" s="16">
        <v>42597.496712962966</v>
      </c>
      <c r="F75" s="16">
        <v>42597.498067129629</v>
      </c>
      <c r="G75" s="7">
        <v>1</v>
      </c>
      <c r="H75" s="16" t="s">
        <v>415</v>
      </c>
      <c r="I75" s="16">
        <v>42597.542870370373</v>
      </c>
      <c r="J75" s="7">
        <v>0</v>
      </c>
      <c r="K75" s="142" t="str">
        <f t="shared" si="24"/>
        <v>4027/4028</v>
      </c>
      <c r="L75" s="25" t="str">
        <f>VLOOKUP(A75,'Trips&amp;Operators'!$C$1:$E$10000,3,FALSE)</f>
        <v>BARTLETT</v>
      </c>
      <c r="M75" s="6">
        <f t="shared" si="25"/>
        <v>4.4803240743931383E-2</v>
      </c>
      <c r="N75" s="7">
        <f t="shared" si="26"/>
        <v>64.516666671261191</v>
      </c>
      <c r="O75" s="7"/>
      <c r="P75" s="7"/>
      <c r="Q75" s="26"/>
      <c r="R75" s="26"/>
      <c r="S75" s="38">
        <f t="shared" si="27"/>
        <v>1</v>
      </c>
      <c r="T75" s="53" t="str">
        <f t="shared" si="28"/>
        <v>Southbound</v>
      </c>
      <c r="U75" s="13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10:55:16-0600',mode:absolute,to:'2016-08-15 14:01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75" s="55" t="str">
        <f t="shared" si="30"/>
        <v>N</v>
      </c>
      <c r="X75" s="129">
        <f t="shared" si="31"/>
        <v>1</v>
      </c>
      <c r="Y75" s="70">
        <f t="shared" si="32"/>
        <v>23.2986</v>
      </c>
      <c r="Z75" s="70">
        <f t="shared" si="33"/>
        <v>1.83E-2</v>
      </c>
      <c r="AA75" s="70">
        <f t="shared" si="34"/>
        <v>23.2803</v>
      </c>
      <c r="AB75" s="67" t="e">
        <f>VLOOKUP(A75,Enforcements!$C$7:$J$24,8,0)</f>
        <v>#N/A</v>
      </c>
      <c r="AC75" s="63" t="e">
        <f>VLOOKUP(A75,Enforcements!$C$7:$E$24,3,0)</f>
        <v>#N/A</v>
      </c>
      <c r="AD75" s="64" t="str">
        <f t="shared" si="35"/>
        <v>0162-15</v>
      </c>
      <c r="AE75" s="104" t="str">
        <f t="shared" si="36"/>
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</c>
      <c r="AF75" s="101" t="str">
        <f t="shared" si="37"/>
        <v>"C:\Program Files (x86)\AstroGrep\AstroGrep.exe" /spath="%USERPROFILE%\AppData\Local\Temp\OnboardLogs" /stypes="*4028*20160815*" /stext=" 19:.+((SYSTEM_STATE.+slice.+state.+changed )|(ment ac)|(system.+state.+changed )|(\|lc)|(penalty)|(\[timeout)|(PRM\|1\|D)|(kpr)|(kdp)|(\|loc))" /e /r /s</v>
      </c>
      <c r="AG75" s="1" t="str">
        <f t="shared" si="15"/>
        <v>EC</v>
      </c>
      <c r="AH75" s="105" t="str">
        <f t="shared" ref="AH75:AH138" si="38">refinertdcruntimes&amp;" --tripid "&amp;A75&amp;" --locoid "&amp;B75&amp;" --swversion "&amp;C75&amp;" --startMP "&amp;D75&amp;" --initTime "&amp;TEXT(E75,"yyyy-mm-ddTHH:MM:SS")&amp;" --startdatetime "&amp;TEXT(F75,"yyyy-mm-ddTHH:MM:SS")&amp;" --delay "&amp;G75&amp;" --endMP "&amp;H75&amp;" --enddatetime "&amp;TEXT(I75,"yyyy-mm-ddTHH:MM:SS")&amp;" --enforcementcount "&amp;J75</f>
        <v>"%USERPROFILE%\Documents\GitHub\eaglep3\Utilities\RefineRTDCRunTimes.py" --tripid 162-15 --locoid 4028 --swversion DE.1.0.7.0 --startMP 204:232986 --initTime 2016-08-15T11:55:16 --startdatetime 2016-08-15T11:57:13 --delay 1 --endMP 204:183 --enddatetime 2016-08-15T13:01:44 --enforcementcount 0</v>
      </c>
    </row>
    <row r="76" spans="1:34" x14ac:dyDescent="0.25">
      <c r="A76" s="40" t="s">
        <v>416</v>
      </c>
      <c r="B76" s="7">
        <v>4020</v>
      </c>
      <c r="C76" s="25" t="s">
        <v>119</v>
      </c>
      <c r="D76" s="25" t="s">
        <v>216</v>
      </c>
      <c r="E76" s="16">
        <v>42597.475254629629</v>
      </c>
      <c r="F76" s="16">
        <v>42597.479259259257</v>
      </c>
      <c r="G76" s="7">
        <v>5</v>
      </c>
      <c r="H76" s="16" t="s">
        <v>417</v>
      </c>
      <c r="I76" s="16">
        <v>42597.508020833331</v>
      </c>
      <c r="J76" s="7">
        <v>0</v>
      </c>
      <c r="K76" s="142" t="str">
        <f t="shared" si="24"/>
        <v>4019/4020</v>
      </c>
      <c r="L76" s="25" t="str">
        <f>VLOOKUP(A76,'Trips&amp;Operators'!$C$1:$E$10000,3,FALSE)</f>
        <v>HAITHCOX</v>
      </c>
      <c r="M76" s="6">
        <f t="shared" si="25"/>
        <v>2.8761574074451346E-2</v>
      </c>
      <c r="N76" s="7">
        <f t="shared" si="26"/>
        <v>41.416666667209938</v>
      </c>
      <c r="O76" s="7"/>
      <c r="P76" s="7"/>
      <c r="Q76" s="26"/>
      <c r="R76" s="26"/>
      <c r="S76" s="38">
        <f t="shared" si="27"/>
        <v>1</v>
      </c>
      <c r="T76" s="53" t="str">
        <f t="shared" si="28"/>
        <v>NorthBound</v>
      </c>
      <c r="U76" s="13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10:24:22-0600',mode:absolute,to:'2016-08-15 13:11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76" s="55" t="str">
        <f t="shared" si="30"/>
        <v>N</v>
      </c>
      <c r="X76" s="129">
        <f t="shared" si="31"/>
        <v>1</v>
      </c>
      <c r="Y76" s="70">
        <f t="shared" si="32"/>
        <v>4.7800000000000002E-2</v>
      </c>
      <c r="Z76" s="70">
        <f t="shared" si="33"/>
        <v>23.334399999999999</v>
      </c>
      <c r="AA76" s="70">
        <f t="shared" si="34"/>
        <v>23.2866</v>
      </c>
      <c r="AB76" s="67" t="e">
        <f>VLOOKUP(A76,Enforcements!$C$7:$J$24,8,0)</f>
        <v>#N/A</v>
      </c>
      <c r="AC76" s="63" t="e">
        <f>VLOOKUP(A76,Enforcements!$C$7:$E$24,3,0)</f>
        <v>#N/A</v>
      </c>
      <c r="AD76" s="64" t="str">
        <f t="shared" si="35"/>
        <v>0163-15</v>
      </c>
      <c r="AE76" s="104" t="str">
        <f t="shared" si="36"/>
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</c>
      <c r="AF76" s="101" t="str">
        <f t="shared" si="37"/>
        <v>"C:\Program Files (x86)\AstroGrep\AstroGrep.exe" /spath="%USERPROFILE%\AppData\Local\Temp\OnboardLogs" /stypes="*4020*20160815*" /stext=" 18:.+((SYSTEM_STATE.+slice.+state.+changed )|(ment ac)|(system.+state.+changed )|(\|lc)|(penalty)|(\[timeout)|(PRM\|1\|D)|(kpr)|(kdp)|(\|loc))" /e /r /s</v>
      </c>
      <c r="AG76" s="1" t="str">
        <f t="shared" si="15"/>
        <v>EC</v>
      </c>
      <c r="AH76" s="105" t="str">
        <f t="shared" si="38"/>
        <v>"%USERPROFILE%\Documents\GitHub\eaglep3\Utilities\RefineRTDCRunTimes.py" --tripid 163-15 --locoid 4020 --swversion DE.1.0.7.0 --startMP 204:478 --initTime 2016-08-15T11:24:22 --startdatetime 2016-08-15T11:30:08 --delay 5 --endMP 204:233344 --enddatetime 2016-08-15T12:11:33 --enforcementcount 0</v>
      </c>
    </row>
    <row r="77" spans="1:34" x14ac:dyDescent="0.25">
      <c r="A77" s="40" t="s">
        <v>418</v>
      </c>
      <c r="B77" s="7">
        <v>4019</v>
      </c>
      <c r="C77" s="25" t="s">
        <v>119</v>
      </c>
      <c r="D77" s="25" t="s">
        <v>362</v>
      </c>
      <c r="E77" s="16">
        <v>42597.512638888889</v>
      </c>
      <c r="F77" s="16">
        <v>42597.513680555552</v>
      </c>
      <c r="G77" s="7">
        <v>1</v>
      </c>
      <c r="H77" s="16" t="s">
        <v>162</v>
      </c>
      <c r="I77" s="16">
        <v>42597.548321759263</v>
      </c>
      <c r="J77" s="7">
        <v>0</v>
      </c>
      <c r="K77" s="142" t="str">
        <f t="shared" si="24"/>
        <v>4019/4020</v>
      </c>
      <c r="L77" s="25" t="str">
        <f>VLOOKUP(A77,'Trips&amp;Operators'!$C$1:$E$10000,3,FALSE)</f>
        <v>HAITHCOX</v>
      </c>
      <c r="M77" s="6">
        <f t="shared" si="25"/>
        <v>3.4641203710634727E-2</v>
      </c>
      <c r="N77" s="7">
        <f t="shared" si="26"/>
        <v>49.883333343314007</v>
      </c>
      <c r="O77" s="7"/>
      <c r="P77" s="7"/>
      <c r="Q77" s="26"/>
      <c r="R77" s="26"/>
      <c r="S77" s="38">
        <f t="shared" si="27"/>
        <v>1</v>
      </c>
      <c r="T77" s="53" t="str">
        <f t="shared" si="28"/>
        <v>Southbound</v>
      </c>
      <c r="U77" s="13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11:18:12-0600',mode:absolute,to:'2016-08-15 14:09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77" s="55" t="str">
        <f t="shared" si="30"/>
        <v>N</v>
      </c>
      <c r="X77" s="129">
        <f t="shared" si="31"/>
        <v>1</v>
      </c>
      <c r="Y77" s="70">
        <f t="shared" si="32"/>
        <v>23.3017</v>
      </c>
      <c r="Z77" s="70">
        <f t="shared" si="33"/>
        <v>1.38E-2</v>
      </c>
      <c r="AA77" s="70">
        <f t="shared" si="34"/>
        <v>23.2879</v>
      </c>
      <c r="AB77" s="67" t="e">
        <f>VLOOKUP(A77,Enforcements!$C$7:$J$24,8,0)</f>
        <v>#N/A</v>
      </c>
      <c r="AC77" s="63" t="e">
        <f>VLOOKUP(A77,Enforcements!$C$7:$E$24,3,0)</f>
        <v>#N/A</v>
      </c>
      <c r="AD77" s="64" t="str">
        <f t="shared" si="35"/>
        <v>0164-15</v>
      </c>
      <c r="AE77" s="104" t="str">
        <f t="shared" si="36"/>
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</c>
      <c r="AF77" s="101" t="str">
        <f t="shared" si="37"/>
        <v>"C:\Program Files (x86)\AstroGrep\AstroGrep.exe" /spath="%USERPROFILE%\AppData\Local\Temp\OnboardLogs" /stypes="*4019*20160815*" /stext=" 19:.+((SYSTEM_STATE.+slice.+state.+changed )|(ment ac)|(system.+state.+changed )|(\|lc)|(penalty)|(\[timeout)|(PRM\|1\|D)|(kpr)|(kdp)|(\|loc))" /e /r /s</v>
      </c>
      <c r="AG77" s="1" t="str">
        <f t="shared" si="15"/>
        <v>EC</v>
      </c>
      <c r="AH77" s="105" t="str">
        <f t="shared" si="38"/>
        <v>"%USERPROFILE%\Documents\GitHub\eaglep3\Utilities\RefineRTDCRunTimes.py" --tripid 164-15 --locoid 4019 --swversion DE.1.0.7.0 --startMP 204:233017 --initTime 2016-08-15T12:18:12 --startdatetime 2016-08-15T12:19:42 --delay 1 --endMP 204:138 --enddatetime 2016-08-15T13:09:35 --enforcementcount 0</v>
      </c>
    </row>
    <row r="78" spans="1:34" x14ac:dyDescent="0.25">
      <c r="A78" s="40" t="s">
        <v>419</v>
      </c>
      <c r="B78" s="7">
        <v>4038</v>
      </c>
      <c r="C78" s="25" t="s">
        <v>119</v>
      </c>
      <c r="D78" s="25" t="s">
        <v>133</v>
      </c>
      <c r="E78" s="16">
        <v>42597.488217592596</v>
      </c>
      <c r="F78" s="16">
        <v>42597.490185185183</v>
      </c>
      <c r="G78" s="7">
        <v>2</v>
      </c>
      <c r="H78" s="16" t="s">
        <v>420</v>
      </c>
      <c r="I78" s="16">
        <v>42597.51840277778</v>
      </c>
      <c r="J78" s="7">
        <v>0</v>
      </c>
      <c r="K78" s="142" t="str">
        <f t="shared" si="24"/>
        <v>4037/4038</v>
      </c>
      <c r="L78" s="25" t="str">
        <f>VLOOKUP(A78,'Trips&amp;Operators'!$C$1:$E$10000,3,FALSE)</f>
        <v>MAYBERRY</v>
      </c>
      <c r="M78" s="6">
        <f t="shared" si="25"/>
        <v>2.8217592596774921E-2</v>
      </c>
      <c r="N78" s="7">
        <f t="shared" si="26"/>
        <v>40.633333339355886</v>
      </c>
      <c r="O78" s="7"/>
      <c r="P78" s="7"/>
      <c r="Q78" s="26"/>
      <c r="R78" s="26"/>
      <c r="S78" s="38">
        <f t="shared" si="27"/>
        <v>1</v>
      </c>
      <c r="T78" s="53" t="str">
        <f t="shared" si="28"/>
        <v>NorthBound</v>
      </c>
      <c r="U78" s="13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10:43:02-0600',mode:absolute,to:'2016-08-15 13:26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78" s="55" t="str">
        <f t="shared" si="30"/>
        <v>N</v>
      </c>
      <c r="X78" s="129">
        <f t="shared" si="31"/>
        <v>1</v>
      </c>
      <c r="Y78" s="70">
        <f t="shared" si="32"/>
        <v>4.5499999999999999E-2</v>
      </c>
      <c r="Z78" s="70">
        <f t="shared" si="33"/>
        <v>23.325299999999999</v>
      </c>
      <c r="AA78" s="70">
        <f t="shared" si="34"/>
        <v>23.279799999999998</v>
      </c>
      <c r="AB78" s="67" t="e">
        <f>VLOOKUP(A78,Enforcements!$C$7:$J$24,8,0)</f>
        <v>#N/A</v>
      </c>
      <c r="AC78" s="63" t="e">
        <f>VLOOKUP(A78,Enforcements!$C$7:$E$24,3,0)</f>
        <v>#N/A</v>
      </c>
      <c r="AD78" s="64" t="str">
        <f t="shared" si="35"/>
        <v>0165-15</v>
      </c>
      <c r="AE78" s="104" t="str">
        <f t="shared" si="36"/>
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</c>
      <c r="AF78" s="101" t="str">
        <f t="shared" si="37"/>
        <v>"C:\Program Files (x86)\AstroGrep\AstroGrep.exe" /spath="%USERPROFILE%\AppData\Local\Temp\OnboardLogs" /stypes="*4038*20160815*" /stext=" 18:.+((SYSTEM_STATE.+slice.+state.+changed )|(ment ac)|(system.+state.+changed )|(\|lc)|(penalty)|(\[timeout)|(PRM\|1\|D)|(kpr)|(kdp)|(\|loc))" /e /r /s</v>
      </c>
      <c r="AG78" s="1" t="str">
        <f t="shared" ref="AG78:AG141" si="39">IFERROR(IF(VALUE(LEFT(AD78,2))&lt;=2,"EC",IF(OR(VALUE(LEFT(AD78,2))=8,VALUE(LEFT(AD78,2))=18),"NW","Other")),"Other")</f>
        <v>EC</v>
      </c>
      <c r="AH78" s="105" t="str">
        <f t="shared" si="38"/>
        <v>"%USERPROFILE%\Documents\GitHub\eaglep3\Utilities\RefineRTDCRunTimes.py" --tripid 165-15 --locoid 4038 --swversion DE.1.0.7.0 --startMP 204:455 --initTime 2016-08-15T11:43:02 --startdatetime 2016-08-15T11:45:52 --delay 2 --endMP 204:233253 --enddatetime 2016-08-15T12:26:30 --enforcementcount 0</v>
      </c>
    </row>
    <row r="79" spans="1:34" s="24" customFormat="1" x14ac:dyDescent="0.25">
      <c r="A79" s="40" t="s">
        <v>421</v>
      </c>
      <c r="B79" s="7">
        <v>4037</v>
      </c>
      <c r="C79" s="25" t="s">
        <v>119</v>
      </c>
      <c r="D79" s="25" t="s">
        <v>356</v>
      </c>
      <c r="E79" s="16">
        <v>42597.519849537035</v>
      </c>
      <c r="F79" s="16">
        <v>42597.522349537037</v>
      </c>
      <c r="G79" s="7">
        <v>3</v>
      </c>
      <c r="H79" s="16" t="s">
        <v>178</v>
      </c>
      <c r="I79" s="16">
        <v>42597.559791666667</v>
      </c>
      <c r="J79" s="7">
        <v>0</v>
      </c>
      <c r="K79" s="142" t="str">
        <f t="shared" si="24"/>
        <v>4037/4038</v>
      </c>
      <c r="L79" s="25" t="str">
        <f>VLOOKUP(A79,'Trips&amp;Operators'!$C$1:$E$10000,3,FALSE)</f>
        <v>MAYBERRY</v>
      </c>
      <c r="M79" s="6">
        <f t="shared" si="25"/>
        <v>3.7442129629198462E-2</v>
      </c>
      <c r="N79" s="7">
        <f t="shared" si="26"/>
        <v>53.916666666045785</v>
      </c>
      <c r="O79" s="7"/>
      <c r="P79" s="7"/>
      <c r="Q79" s="26"/>
      <c r="R79" s="26"/>
      <c r="S79" s="38">
        <f t="shared" si="27"/>
        <v>1</v>
      </c>
      <c r="T79" s="53" t="str">
        <f t="shared" si="28"/>
        <v>Southbound</v>
      </c>
      <c r="U79" s="13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11:28:35-0600',mode:absolute,to:'2016-08-15 14:26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79" s="55" t="str">
        <f t="shared" si="30"/>
        <v>N</v>
      </c>
      <c r="X79" s="129">
        <f t="shared" si="31"/>
        <v>1</v>
      </c>
      <c r="Y79" s="70">
        <f t="shared" si="32"/>
        <v>23.297499999999999</v>
      </c>
      <c r="Z79" s="70">
        <f t="shared" si="33"/>
        <v>1.6500000000000001E-2</v>
      </c>
      <c r="AA79" s="70">
        <f t="shared" si="34"/>
        <v>23.280999999999999</v>
      </c>
      <c r="AB79" s="67">
        <f>VLOOKUP(A79,Enforcements!$C$7:$J$24,8,0)</f>
        <v>5439</v>
      </c>
      <c r="AC79" s="63" t="str">
        <f>VLOOKUP(A79,Enforcements!$C$7:$E$24,3,0)</f>
        <v>PERMANENT SPEED RESTRICTION</v>
      </c>
      <c r="AD79" s="64" t="str">
        <f t="shared" si="35"/>
        <v>0166-15</v>
      </c>
      <c r="AE79" s="104" t="str">
        <f t="shared" si="36"/>
        <v>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 &amp; 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</v>
      </c>
      <c r="AF79" s="101" t="str">
        <f t="shared" si="37"/>
        <v>"C:\Program Files (x86)\AstroGrep\AstroGrep.exe" /spath="%USERPROFILE%\AppData\Local\Temp\OnboardLogs" /stypes="*4037*20160815*" /stext=" 19:.+((SYSTEM_STATE.+slice.+state.+changed )|(ment ac)|(system.+state.+changed )|(\|lc)|(penalty)|(\[timeout)|(PRM\|1\|D)|(kpr)|(kdp)|(\|loc))" /e /r /s</v>
      </c>
      <c r="AG79" s="1" t="str">
        <f t="shared" si="39"/>
        <v>EC</v>
      </c>
      <c r="AH79" s="105" t="str">
        <f t="shared" si="38"/>
        <v>"%USERPROFILE%\Documents\GitHub\eaglep3\Utilities\RefineRTDCRunTimes.py" --tripid 166-15 --locoid 4037 --swversion DE.1.0.7.0 --startMP 204:232975 --initTime 2016-08-15T12:28:35 --startdatetime 2016-08-15T12:32:11 --delay 3 --endMP 204:165 --enddatetime 2016-08-15T13:26:06 --enforcementcount 0</v>
      </c>
    </row>
    <row r="80" spans="1:34" x14ac:dyDescent="0.25">
      <c r="A80" s="40" t="s">
        <v>422</v>
      </c>
      <c r="B80" s="7">
        <v>4031</v>
      </c>
      <c r="C80" s="25" t="s">
        <v>119</v>
      </c>
      <c r="D80" s="25" t="s">
        <v>177</v>
      </c>
      <c r="E80" s="16">
        <v>42597.502291666664</v>
      </c>
      <c r="F80" s="16">
        <v>42597.503437500003</v>
      </c>
      <c r="G80" s="7">
        <v>1</v>
      </c>
      <c r="H80" s="16" t="s">
        <v>380</v>
      </c>
      <c r="I80" s="16">
        <v>42597.533553240741</v>
      </c>
      <c r="J80" s="7">
        <v>0</v>
      </c>
      <c r="K80" s="142" t="str">
        <f t="shared" si="24"/>
        <v>4031/4032</v>
      </c>
      <c r="L80" s="25" t="str">
        <f>VLOOKUP(A80,'Trips&amp;Operators'!$C$1:$E$10000,3,FALSE)</f>
        <v>YOUNG</v>
      </c>
      <c r="M80" s="6">
        <f t="shared" si="25"/>
        <v>3.011574073752854E-2</v>
      </c>
      <c r="N80" s="7">
        <f t="shared" si="26"/>
        <v>43.366666662041098</v>
      </c>
      <c r="O80" s="7"/>
      <c r="P80" s="7"/>
      <c r="Q80" s="26"/>
      <c r="R80" s="26"/>
      <c r="S80" s="38">
        <f t="shared" si="27"/>
        <v>1</v>
      </c>
      <c r="T80" s="53" t="str">
        <f t="shared" si="28"/>
        <v>NorthBound</v>
      </c>
      <c r="U80" s="13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11:03:18-0600',mode:absolute,to:'2016-08-15 13:48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80" s="55" t="str">
        <f t="shared" si="30"/>
        <v>N</v>
      </c>
      <c r="X80" s="129">
        <f t="shared" si="31"/>
        <v>1</v>
      </c>
      <c r="Y80" s="70">
        <f t="shared" si="32"/>
        <v>4.4200000000000003E-2</v>
      </c>
      <c r="Z80" s="70">
        <f t="shared" si="33"/>
        <v>23.3338</v>
      </c>
      <c r="AA80" s="70">
        <f t="shared" si="34"/>
        <v>23.2896</v>
      </c>
      <c r="AB80" s="67" t="e">
        <f>VLOOKUP(A80,Enforcements!$C$7:$J$24,8,0)</f>
        <v>#N/A</v>
      </c>
      <c r="AC80" s="63" t="e">
        <f>VLOOKUP(A80,Enforcements!$C$7:$E$24,3,0)</f>
        <v>#N/A</v>
      </c>
      <c r="AD80" s="64" t="str">
        <f t="shared" si="35"/>
        <v>0167-15</v>
      </c>
      <c r="AE80" s="104" t="str">
        <f t="shared" si="36"/>
        <v>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 &amp; 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</v>
      </c>
      <c r="AF80" s="101" t="str">
        <f t="shared" si="37"/>
        <v>"C:\Program Files (x86)\AstroGrep\AstroGrep.exe" /spath="%USERPROFILE%\AppData\Local\Temp\OnboardLogs" /stypes="*4031*20160815*" /stext=" 18:.+((SYSTEM_STATE.+slice.+state.+changed )|(ment ac)|(system.+state.+changed )|(\|lc)|(penalty)|(\[timeout)|(PRM\|1\|D)|(kpr)|(kdp)|(\|loc))" /e /r /s</v>
      </c>
      <c r="AG80" s="1" t="str">
        <f t="shared" si="39"/>
        <v>EC</v>
      </c>
      <c r="AH80" s="105" t="str">
        <f t="shared" si="38"/>
        <v>"%USERPROFILE%\Documents\GitHub\eaglep3\Utilities\RefineRTDCRunTimes.py" --tripid 167-15 --locoid 4031 --swversion DE.1.0.7.0 --startMP 204:442 --initTime 2016-08-15T12:03:18 --startdatetime 2016-08-15T12:04:57 --delay 1 --endMP 204:233338 --enddatetime 2016-08-15T12:48:19 --enforcementcount 0</v>
      </c>
    </row>
    <row r="81" spans="1:34" x14ac:dyDescent="0.25">
      <c r="A81" s="40" t="s">
        <v>423</v>
      </c>
      <c r="B81" s="7">
        <v>4032</v>
      </c>
      <c r="C81" s="25" t="s">
        <v>119</v>
      </c>
      <c r="D81" s="25" t="s">
        <v>314</v>
      </c>
      <c r="E81" s="16">
        <v>42597.535243055558</v>
      </c>
      <c r="F81" s="16">
        <v>42597.537187499998</v>
      </c>
      <c r="G81" s="7">
        <v>2</v>
      </c>
      <c r="H81" s="16" t="s">
        <v>189</v>
      </c>
      <c r="I81" s="16">
        <v>42597.573703703703</v>
      </c>
      <c r="J81" s="7">
        <v>0</v>
      </c>
      <c r="K81" s="142" t="str">
        <f t="shared" si="24"/>
        <v>4031/4032</v>
      </c>
      <c r="L81" s="25" t="str">
        <f>VLOOKUP(A81,'Trips&amp;Operators'!$C$1:$E$10000,3,FALSE)</f>
        <v>YOUNG</v>
      </c>
      <c r="M81" s="6">
        <f t="shared" si="25"/>
        <v>3.6516203705104999E-2</v>
      </c>
      <c r="N81" s="7">
        <f t="shared" si="26"/>
        <v>52.583333335351199</v>
      </c>
      <c r="O81" s="7"/>
      <c r="P81" s="7"/>
      <c r="Q81" s="26"/>
      <c r="R81" s="26"/>
      <c r="S81" s="38">
        <f t="shared" si="27"/>
        <v>1</v>
      </c>
      <c r="T81" s="53" t="str">
        <f t="shared" si="28"/>
        <v>Southbound</v>
      </c>
      <c r="U81" s="13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11:50:45-0600',mode:absolute,to:'2016-08-15 14:46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81" s="55" t="str">
        <f t="shared" si="30"/>
        <v>N</v>
      </c>
      <c r="X81" s="129">
        <f t="shared" si="31"/>
        <v>1</v>
      </c>
      <c r="Y81" s="70">
        <f t="shared" si="32"/>
        <v>23.302800000000001</v>
      </c>
      <c r="Z81" s="70">
        <f t="shared" si="33"/>
        <v>1.4999999999999999E-2</v>
      </c>
      <c r="AA81" s="70">
        <f t="shared" si="34"/>
        <v>23.287800000000001</v>
      </c>
      <c r="AB81" s="67" t="e">
        <f>VLOOKUP(A81,Enforcements!$C$7:$J$24,8,0)</f>
        <v>#N/A</v>
      </c>
      <c r="AC81" s="63" t="e">
        <f>VLOOKUP(A81,Enforcements!$C$7:$E$24,3,0)</f>
        <v>#N/A</v>
      </c>
      <c r="AD81" s="64" t="str">
        <f t="shared" si="35"/>
        <v>0168-15</v>
      </c>
      <c r="AE81" s="104" t="str">
        <f t="shared" si="36"/>
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</c>
      <c r="AF81" s="101" t="str">
        <f t="shared" si="37"/>
        <v>"C:\Program Files (x86)\AstroGrep\AstroGrep.exe" /spath="%USERPROFILE%\AppData\Local\Temp\OnboardLogs" /stypes="*4032*20160815*" /stext=" 19:.+((SYSTEM_STATE.+slice.+state.+changed )|(ment ac)|(system.+state.+changed )|(\|lc)|(penalty)|(\[timeout)|(PRM\|1\|D)|(kpr)|(kdp)|(\|loc))" /e /r /s</v>
      </c>
      <c r="AG81" s="1" t="str">
        <f t="shared" si="39"/>
        <v>EC</v>
      </c>
      <c r="AH81" s="105" t="str">
        <f t="shared" si="38"/>
        <v>"%USERPROFILE%\Documents\GitHub\eaglep3\Utilities\RefineRTDCRunTimes.py" --tripid 168-15 --locoid 4032 --swversion DE.1.0.7.0 --startMP 204:233028 --initTime 2016-08-15T12:50:45 --startdatetime 2016-08-15T12:53:33 --delay 2 --endMP 204:150 --enddatetime 2016-08-15T13:46:08 --enforcementcount 0</v>
      </c>
    </row>
    <row r="82" spans="1:34" s="24" customFormat="1" x14ac:dyDescent="0.25">
      <c r="A82" s="40" t="s">
        <v>424</v>
      </c>
      <c r="B82" s="7">
        <v>4009</v>
      </c>
      <c r="C82" s="25" t="s">
        <v>119</v>
      </c>
      <c r="D82" s="25" t="s">
        <v>113</v>
      </c>
      <c r="E82" s="16">
        <v>42597.5078125</v>
      </c>
      <c r="F82" s="16">
        <v>42597.510497685187</v>
      </c>
      <c r="G82" s="7">
        <v>3</v>
      </c>
      <c r="H82" s="16" t="s">
        <v>192</v>
      </c>
      <c r="I82" s="16">
        <v>42597.544120370374</v>
      </c>
      <c r="J82" s="7">
        <v>0</v>
      </c>
      <c r="K82" s="142" t="str">
        <f t="shared" si="24"/>
        <v>4009/4010</v>
      </c>
      <c r="L82" s="25" t="str">
        <f>VLOOKUP(A82,'Trips&amp;Operators'!$C$1:$E$10000,3,FALSE)</f>
        <v>HELVIE</v>
      </c>
      <c r="M82" s="6">
        <f t="shared" si="25"/>
        <v>3.3622685186855961E-2</v>
      </c>
      <c r="N82" s="7">
        <f t="shared" si="26"/>
        <v>48.416666669072583</v>
      </c>
      <c r="O82" s="7"/>
      <c r="P82" s="7"/>
      <c r="Q82" s="26"/>
      <c r="R82" s="26"/>
      <c r="S82" s="38">
        <f t="shared" si="27"/>
        <v>1</v>
      </c>
      <c r="T82" s="53" t="str">
        <f t="shared" si="28"/>
        <v>NorthBound</v>
      </c>
      <c r="U82" s="13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11:11:15-0600',mode:absolute,to:'2016-08-15 14:03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82" s="55" t="str">
        <f t="shared" si="30"/>
        <v>N</v>
      </c>
      <c r="X82" s="129">
        <f t="shared" si="31"/>
        <v>1</v>
      </c>
      <c r="Y82" s="70">
        <f t="shared" si="32"/>
        <v>4.6399999999999997E-2</v>
      </c>
      <c r="Z82" s="70">
        <f t="shared" si="33"/>
        <v>23.329699999999999</v>
      </c>
      <c r="AA82" s="70">
        <f t="shared" si="34"/>
        <v>23.283300000000001</v>
      </c>
      <c r="AB82" s="67" t="e">
        <f>VLOOKUP(A82,Enforcements!$C$7:$J$24,8,0)</f>
        <v>#N/A</v>
      </c>
      <c r="AC82" s="63" t="e">
        <f>VLOOKUP(A82,Enforcements!$C$7:$E$24,3,0)</f>
        <v>#N/A</v>
      </c>
      <c r="AD82" s="64" t="str">
        <f t="shared" si="35"/>
        <v>0169-15</v>
      </c>
      <c r="AE82" s="104" t="str">
        <f t="shared" si="36"/>
        <v>aws s3 cp s3://rtdc.mdm.uploadarchive/RTDC4009/2016-08-15/ "%USERPROFILE%\AppData\Local\Temp\OnboardLogs"\RTDC4009\2016-08-15 --recursive &amp; "%USERPROFILE%\Documents\GitHub\mrs-test-scripts\Headless Mode &amp; Sideloading\WalkAndUnGZ.bat" "%USERPROFILE%\AppData\Local\Temp\OnboardLogs"\RTDC4009\2016-08-15 &amp; 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</v>
      </c>
      <c r="AF82" s="101" t="str">
        <f t="shared" si="37"/>
        <v>"C:\Program Files (x86)\AstroGrep\AstroGrep.exe" /spath="%USERPROFILE%\AppData\Local\Temp\OnboardLogs" /stypes="*4009*20160815*" /stext=" 19:.+((SYSTEM_STATE.+slice.+state.+changed )|(ment ac)|(system.+state.+changed )|(\|lc)|(penalty)|(\[timeout)|(PRM\|1\|D)|(kpr)|(kdp)|(\|loc))" /e /r /s</v>
      </c>
      <c r="AG82" s="1" t="str">
        <f t="shared" si="39"/>
        <v>EC</v>
      </c>
      <c r="AH82" s="105" t="str">
        <f t="shared" si="38"/>
        <v>"%USERPROFILE%\Documents\GitHub\eaglep3\Utilities\RefineRTDCRunTimes.py" --tripid 169-15 --locoid 4009 --swversion DE.1.0.7.0 --startMP 204:464 --initTime 2016-08-15T12:11:15 --startdatetime 2016-08-15T12:15:07 --delay 3 --endMP 204:233297 --enddatetime 2016-08-15T13:03:32 --enforcementcount 0</v>
      </c>
    </row>
    <row r="83" spans="1:34" x14ac:dyDescent="0.25">
      <c r="A83" s="40" t="s">
        <v>425</v>
      </c>
      <c r="B83" s="7">
        <v>4010</v>
      </c>
      <c r="C83" s="25" t="s">
        <v>119</v>
      </c>
      <c r="D83" s="25" t="s">
        <v>356</v>
      </c>
      <c r="E83" s="16">
        <v>42597.546307870369</v>
      </c>
      <c r="F83" s="16">
        <v>42597.54755787037</v>
      </c>
      <c r="G83" s="7">
        <v>1</v>
      </c>
      <c r="H83" s="16" t="s">
        <v>140</v>
      </c>
      <c r="I83" s="16">
        <v>42597.591041666667</v>
      </c>
      <c r="J83" s="7">
        <v>0</v>
      </c>
      <c r="K83" s="142" t="str">
        <f t="shared" si="24"/>
        <v>4009/4010</v>
      </c>
      <c r="L83" s="25" t="str">
        <f>VLOOKUP(A83,'Trips&amp;Operators'!$C$1:$E$10000,3,FALSE)</f>
        <v>HELVIE</v>
      </c>
      <c r="M83" s="6">
        <f t="shared" si="25"/>
        <v>4.3483796296641231E-2</v>
      </c>
      <c r="N83" s="7">
        <f t="shared" si="26"/>
        <v>62.616666667163372</v>
      </c>
      <c r="O83" s="7"/>
      <c r="P83" s="7"/>
      <c r="Q83" s="26"/>
      <c r="R83" s="26"/>
      <c r="S83" s="38">
        <f t="shared" si="27"/>
        <v>1</v>
      </c>
      <c r="T83" s="53" t="str">
        <f t="shared" si="28"/>
        <v>Southbound</v>
      </c>
      <c r="U83" s="13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12:06:41-0600',mode:absolute,to:'2016-08-15 15:11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83" s="55" t="str">
        <f t="shared" si="30"/>
        <v>N</v>
      </c>
      <c r="X83" s="129">
        <f t="shared" si="31"/>
        <v>1</v>
      </c>
      <c r="Y83" s="70">
        <f t="shared" si="32"/>
        <v>23.297499999999999</v>
      </c>
      <c r="Z83" s="70">
        <f t="shared" si="33"/>
        <v>1.47E-2</v>
      </c>
      <c r="AA83" s="70">
        <f t="shared" si="34"/>
        <v>23.282799999999998</v>
      </c>
      <c r="AB83" s="67" t="e">
        <f>VLOOKUP(A83,Enforcements!$C$7:$J$24,8,0)</f>
        <v>#N/A</v>
      </c>
      <c r="AC83" s="63" t="e">
        <f>VLOOKUP(A83,Enforcements!$C$7:$E$24,3,0)</f>
        <v>#N/A</v>
      </c>
      <c r="AD83" s="64" t="str">
        <f t="shared" si="35"/>
        <v>0170-15</v>
      </c>
      <c r="AE83" s="104" t="str">
        <f t="shared" si="36"/>
        <v>aws s3 cp s3://rtdc.mdm.uploadarchive/RTDC4010/2016-08-15/ "%USERPROFILE%\AppData\Local\Temp\OnboardLogs"\RTDC4010\2016-08-15 --recursive &amp; "%USERPROFILE%\Documents\GitHub\mrs-test-scripts\Headless Mode &amp; Sideloading\WalkAndUnGZ.bat" "%USERPROFILE%\AppData\Local\Temp\OnboardLogs"\RTDC4010\2016-08-15 &amp; 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</v>
      </c>
      <c r="AF83" s="101" t="str">
        <f t="shared" si="37"/>
        <v>"C:\Program Files (x86)\AstroGrep\AstroGrep.exe" /spath="%USERPROFILE%\AppData\Local\Temp\OnboardLogs" /stypes="*4010*20160815*" /stext=" 20:.+((SYSTEM_STATE.+slice.+state.+changed )|(ment ac)|(system.+state.+changed )|(\|lc)|(penalty)|(\[timeout)|(PRM\|1\|D)|(kpr)|(kdp)|(\|loc))" /e /r /s</v>
      </c>
      <c r="AG83" s="1" t="str">
        <f t="shared" si="39"/>
        <v>EC</v>
      </c>
      <c r="AH83" s="105" t="str">
        <f t="shared" si="38"/>
        <v>"%USERPROFILE%\Documents\GitHub\eaglep3\Utilities\RefineRTDCRunTimes.py" --tripid 170-15 --locoid 4010 --swversion DE.1.0.7.0 --startMP 204:232975 --initTime 2016-08-15T13:06:41 --startdatetime 2016-08-15T13:08:29 --delay 1 --endMP 204:147 --enddatetime 2016-08-15T14:11:06 --enforcementcount 0</v>
      </c>
    </row>
    <row r="84" spans="1:34" x14ac:dyDescent="0.25">
      <c r="A84" s="40" t="s">
        <v>426</v>
      </c>
      <c r="B84" s="7">
        <v>4042</v>
      </c>
      <c r="C84" s="25" t="s">
        <v>119</v>
      </c>
      <c r="D84" s="25" t="s">
        <v>307</v>
      </c>
      <c r="E84" s="16">
        <v>42597.521747685183</v>
      </c>
      <c r="F84" s="16">
        <v>42597.523182870369</v>
      </c>
      <c r="G84" s="7">
        <v>2</v>
      </c>
      <c r="H84" s="16" t="s">
        <v>312</v>
      </c>
      <c r="I84" s="16">
        <v>42597.55060185185</v>
      </c>
      <c r="J84" s="7">
        <v>0</v>
      </c>
      <c r="K84" s="142" t="str">
        <f t="shared" si="24"/>
        <v>4041/4042</v>
      </c>
      <c r="L84" s="25" t="str">
        <f>VLOOKUP(A84,'Trips&amp;Operators'!$C$1:$E$10000,3,FALSE)</f>
        <v>SHOOK</v>
      </c>
      <c r="M84" s="6">
        <f t="shared" si="25"/>
        <v>2.7418981480877846E-2</v>
      </c>
      <c r="N84" s="7">
        <f t="shared" si="26"/>
        <v>39.483333332464099</v>
      </c>
      <c r="O84" s="7"/>
      <c r="P84" s="7"/>
      <c r="Q84" s="26"/>
      <c r="R84" s="26"/>
      <c r="S84" s="38">
        <f t="shared" si="27"/>
        <v>1</v>
      </c>
      <c r="T84" s="53" t="str">
        <f t="shared" si="28"/>
        <v>NorthBound</v>
      </c>
      <c r="U84" s="13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11:31:19-0600',mode:absolute,to:'2016-08-15 14:12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84" s="55" t="str">
        <f t="shared" si="30"/>
        <v>N</v>
      </c>
      <c r="X84" s="129">
        <f t="shared" si="31"/>
        <v>1</v>
      </c>
      <c r="Y84" s="70">
        <f t="shared" si="32"/>
        <v>4.7300000000000002E-2</v>
      </c>
      <c r="Z84" s="70">
        <f t="shared" si="33"/>
        <v>23.336300000000001</v>
      </c>
      <c r="AA84" s="70">
        <f t="shared" si="34"/>
        <v>23.289000000000001</v>
      </c>
      <c r="AB84" s="67" t="e">
        <f>VLOOKUP(A84,Enforcements!$C$7:$J$24,8,0)</f>
        <v>#N/A</v>
      </c>
      <c r="AC84" s="63" t="e">
        <f>VLOOKUP(A84,Enforcements!$C$7:$E$24,3,0)</f>
        <v>#N/A</v>
      </c>
      <c r="AD84" s="64" t="str">
        <f t="shared" si="35"/>
        <v>0171-15</v>
      </c>
      <c r="AE84" s="104" t="str">
        <f t="shared" si="36"/>
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</c>
      <c r="AF84" s="101" t="str">
        <f t="shared" si="37"/>
        <v>"C:\Program Files (x86)\AstroGrep\AstroGrep.exe" /spath="%USERPROFILE%\AppData\Local\Temp\OnboardLogs" /stypes="*4042*20160815*" /stext=" 19:.+((SYSTEM_STATE.+slice.+state.+changed )|(ment ac)|(system.+state.+changed )|(\|lc)|(penalty)|(\[timeout)|(PRM\|1\|D)|(kpr)|(kdp)|(\|loc))" /e /r /s</v>
      </c>
      <c r="AG84" s="1" t="str">
        <f t="shared" si="39"/>
        <v>EC</v>
      </c>
      <c r="AH84" s="105" t="str">
        <f t="shared" si="38"/>
        <v>"%USERPROFILE%\Documents\GitHub\eaglep3\Utilities\RefineRTDCRunTimes.py" --tripid 171-15 --locoid 4042 --swversion DE.1.0.7.0 --startMP 204:473 --initTime 2016-08-15T12:31:19 --startdatetime 2016-08-15T12:33:23 --delay 2 --endMP 204:233363 --enddatetime 2016-08-15T13:12:52 --enforcementcount 0</v>
      </c>
    </row>
    <row r="85" spans="1:34" x14ac:dyDescent="0.25">
      <c r="A85" s="40" t="s">
        <v>427</v>
      </c>
      <c r="B85" s="7">
        <v>4041</v>
      </c>
      <c r="C85" s="25" t="s">
        <v>119</v>
      </c>
      <c r="D85" s="25" t="s">
        <v>428</v>
      </c>
      <c r="E85" s="16">
        <v>42597.555879629632</v>
      </c>
      <c r="F85" s="16">
        <v>42597.557037037041</v>
      </c>
      <c r="G85" s="7">
        <v>1</v>
      </c>
      <c r="H85" s="16" t="s">
        <v>140</v>
      </c>
      <c r="I85" s="16">
        <v>42597.594849537039</v>
      </c>
      <c r="J85" s="7">
        <v>0</v>
      </c>
      <c r="K85" s="142" t="str">
        <f t="shared" si="24"/>
        <v>4041/4042</v>
      </c>
      <c r="L85" s="25" t="str">
        <f>VLOOKUP(A85,'Trips&amp;Operators'!$C$1:$E$10000,3,FALSE)</f>
        <v>SHOOK</v>
      </c>
      <c r="M85" s="6">
        <f t="shared" si="25"/>
        <v>3.7812499998835847E-2</v>
      </c>
      <c r="N85" s="7">
        <f t="shared" si="26"/>
        <v>54.449999998323619</v>
      </c>
      <c r="O85" s="7"/>
      <c r="P85" s="7"/>
      <c r="Q85" s="26"/>
      <c r="R85" s="26"/>
      <c r="S85" s="38">
        <f t="shared" si="27"/>
        <v>1</v>
      </c>
      <c r="T85" s="53" t="str">
        <f t="shared" si="28"/>
        <v>Southbound</v>
      </c>
      <c r="U85" s="13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12:20:28-0600',mode:absolute,to:'2016-08-15 15:16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85" s="55" t="str">
        <f t="shared" si="30"/>
        <v>N</v>
      </c>
      <c r="X85" s="129">
        <f t="shared" si="31"/>
        <v>1</v>
      </c>
      <c r="Y85" s="70">
        <f t="shared" si="32"/>
        <v>23.306000000000001</v>
      </c>
      <c r="Z85" s="70">
        <f t="shared" si="33"/>
        <v>1.47E-2</v>
      </c>
      <c r="AA85" s="70">
        <f t="shared" si="34"/>
        <v>23.2913</v>
      </c>
      <c r="AB85" s="67" t="e">
        <f>VLOOKUP(A85,Enforcements!$C$7:$J$24,8,0)</f>
        <v>#N/A</v>
      </c>
      <c r="AC85" s="63" t="e">
        <f>VLOOKUP(A85,Enforcements!$C$7:$E$24,3,0)</f>
        <v>#N/A</v>
      </c>
      <c r="AD85" s="64" t="str">
        <f t="shared" si="35"/>
        <v>0172-15</v>
      </c>
      <c r="AE85" s="104" t="str">
        <f t="shared" si="36"/>
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</c>
      <c r="AF85" s="101" t="str">
        <f t="shared" si="37"/>
        <v>"C:\Program Files (x86)\AstroGrep\AstroGrep.exe" /spath="%USERPROFILE%\AppData\Local\Temp\OnboardLogs" /stypes="*4041*20160815*" /stext=" 20:.+((SYSTEM_STATE.+slice.+state.+changed )|(ment ac)|(system.+state.+changed )|(\|lc)|(penalty)|(\[timeout)|(PRM\|1\|D)|(kpr)|(kdp)|(\|loc))" /e /r /s</v>
      </c>
      <c r="AG85" s="1" t="str">
        <f t="shared" si="39"/>
        <v>EC</v>
      </c>
      <c r="AH85" s="105" t="str">
        <f t="shared" si="38"/>
        <v>"%USERPROFILE%\Documents\GitHub\eaglep3\Utilities\RefineRTDCRunTimes.py" --tripid 172-15 --locoid 4041 --swversion DE.1.0.7.0 --startMP 204:233060 --initTime 2016-08-15T13:20:28 --startdatetime 2016-08-15T13:22:08 --delay 1 --endMP 204:147 --enddatetime 2016-08-15T14:16:35 --enforcementcount 0</v>
      </c>
    </row>
    <row r="86" spans="1:34" x14ac:dyDescent="0.25">
      <c r="A86" s="40" t="s">
        <v>429</v>
      </c>
      <c r="B86" s="7">
        <v>4044</v>
      </c>
      <c r="C86" s="25" t="s">
        <v>119</v>
      </c>
      <c r="D86" s="25" t="s">
        <v>310</v>
      </c>
      <c r="E86" s="16">
        <v>42597.537141203706</v>
      </c>
      <c r="F86" s="16">
        <v>42597.538495370369</v>
      </c>
      <c r="G86" s="7">
        <v>1</v>
      </c>
      <c r="H86" s="16" t="s">
        <v>430</v>
      </c>
      <c r="I86" s="16">
        <v>42597.568958333337</v>
      </c>
      <c r="J86" s="7">
        <v>0</v>
      </c>
      <c r="K86" s="142" t="str">
        <f t="shared" si="24"/>
        <v>4043/4044</v>
      </c>
      <c r="L86" s="25" t="str">
        <f>VLOOKUP(A86,'Trips&amp;Operators'!$C$1:$E$10000,3,FALSE)</f>
        <v>STEWART</v>
      </c>
      <c r="M86" s="6">
        <f t="shared" si="25"/>
        <v>3.0462962968158536E-2</v>
      </c>
      <c r="N86" s="7">
        <f t="shared" si="26"/>
        <v>43.866666674148291</v>
      </c>
      <c r="O86" s="7"/>
      <c r="P86" s="7"/>
      <c r="Q86" s="26"/>
      <c r="R86" s="26"/>
      <c r="S86" s="38">
        <f t="shared" si="27"/>
        <v>1</v>
      </c>
      <c r="T86" s="53" t="str">
        <f t="shared" si="28"/>
        <v>NorthBound</v>
      </c>
      <c r="U86" s="13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11:53:29-0600',mode:absolute,to:'2016-08-15 14:39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86" s="55" t="str">
        <f t="shared" si="30"/>
        <v>N</v>
      </c>
      <c r="X86" s="129">
        <f t="shared" si="31"/>
        <v>1</v>
      </c>
      <c r="Y86" s="70">
        <f t="shared" si="32"/>
        <v>4.4699999999999997E-2</v>
      </c>
      <c r="Z86" s="70">
        <f t="shared" si="33"/>
        <v>23.3264</v>
      </c>
      <c r="AA86" s="70">
        <f t="shared" si="34"/>
        <v>23.281700000000001</v>
      </c>
      <c r="AB86" s="67" t="e">
        <f>VLOOKUP(A86,Enforcements!$C$7:$J$24,8,0)</f>
        <v>#N/A</v>
      </c>
      <c r="AC86" s="63" t="e">
        <f>VLOOKUP(A86,Enforcements!$C$7:$E$24,3,0)</f>
        <v>#N/A</v>
      </c>
      <c r="AD86" s="64" t="str">
        <f t="shared" si="35"/>
        <v>0173-15</v>
      </c>
      <c r="AE86" s="104" t="str">
        <f t="shared" si="36"/>
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</c>
      <c r="AF86" s="101" t="str">
        <f t="shared" si="37"/>
        <v>"C:\Program Files (x86)\AstroGrep\AstroGrep.exe" /spath="%USERPROFILE%\AppData\Local\Temp\OnboardLogs" /stypes="*4044*20160815*" /stext=" 19:.+((SYSTEM_STATE.+slice.+state.+changed )|(ment ac)|(system.+state.+changed )|(\|lc)|(penalty)|(\[timeout)|(PRM\|1\|D)|(kpr)|(kdp)|(\|loc))" /e /r /s</v>
      </c>
      <c r="AG86" s="1" t="str">
        <f t="shared" si="39"/>
        <v>EC</v>
      </c>
      <c r="AH86" s="105" t="str">
        <f t="shared" si="38"/>
        <v>"%USERPROFILE%\Documents\GitHub\eaglep3\Utilities\RefineRTDCRunTimes.py" --tripid 173-15 --locoid 4044 --swversion DE.1.0.7.0 --startMP 204:447 --initTime 2016-08-15T12:53:29 --startdatetime 2016-08-15T12:55:26 --delay 1 --endMP 204:233264 --enddatetime 2016-08-15T13:39:18 --enforcementcount 0</v>
      </c>
    </row>
    <row r="87" spans="1:34" x14ac:dyDescent="0.25">
      <c r="A87" s="40" t="s">
        <v>431</v>
      </c>
      <c r="B87" s="7">
        <v>4043</v>
      </c>
      <c r="C87" s="25" t="s">
        <v>119</v>
      </c>
      <c r="D87" s="25" t="s">
        <v>376</v>
      </c>
      <c r="E87" s="16">
        <v>42597.577060185184</v>
      </c>
      <c r="F87" s="16">
        <v>42597.578229166669</v>
      </c>
      <c r="G87" s="7">
        <v>1</v>
      </c>
      <c r="H87" s="16" t="s">
        <v>432</v>
      </c>
      <c r="I87" s="16">
        <v>42597.609432870369</v>
      </c>
      <c r="J87" s="7">
        <v>0</v>
      </c>
      <c r="K87" s="142" t="str">
        <f t="shared" si="24"/>
        <v>4043/4044</v>
      </c>
      <c r="L87" s="25" t="str">
        <f>VLOOKUP(A87,'Trips&amp;Operators'!$C$1:$E$10000,3,FALSE)</f>
        <v>STEWART</v>
      </c>
      <c r="M87" s="6">
        <f t="shared" si="25"/>
        <v>3.1203703700157348E-2</v>
      </c>
      <c r="N87" s="7">
        <f t="shared" si="26"/>
        <v>44.933333328226581</v>
      </c>
      <c r="O87" s="7"/>
      <c r="P87" s="7"/>
      <c r="Q87" s="26"/>
      <c r="R87" s="26"/>
      <c r="S87" s="38">
        <f t="shared" si="27"/>
        <v>1</v>
      </c>
      <c r="T87" s="53" t="str">
        <f t="shared" si="28"/>
        <v>Southbound</v>
      </c>
      <c r="U87" s="13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12:50:58-0600',mode:absolute,to:'2016-08-15 15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87" s="55" t="str">
        <f t="shared" si="30"/>
        <v>N</v>
      </c>
      <c r="X87" s="129">
        <f t="shared" si="31"/>
        <v>1</v>
      </c>
      <c r="Y87" s="70">
        <f t="shared" si="32"/>
        <v>23.295500000000001</v>
      </c>
      <c r="Z87" s="70">
        <f t="shared" si="33"/>
        <v>1.9099999999999999E-2</v>
      </c>
      <c r="AA87" s="70">
        <f t="shared" si="34"/>
        <v>23.276399999999999</v>
      </c>
      <c r="AB87" s="67">
        <f>VLOOKUP(A87,Enforcements!$C$7:$J$24,8,0)</f>
        <v>103800</v>
      </c>
      <c r="AC87" s="63" t="str">
        <f>VLOOKUP(A87,Enforcements!$C$7:$E$24,3,0)</f>
        <v>GRADE CROSSING</v>
      </c>
      <c r="AD87" s="64" t="str">
        <f t="shared" si="35"/>
        <v>0174-15</v>
      </c>
      <c r="AE87" s="104" t="str">
        <f t="shared" si="36"/>
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</c>
      <c r="AF87" s="101" t="str">
        <f t="shared" si="37"/>
        <v>"C:\Program Files (x86)\AstroGrep\AstroGrep.exe" /spath="%USERPROFILE%\AppData\Local\Temp\OnboardLogs" /stypes="*4043*20160815*" /stext=" 20:.+((SYSTEM_STATE.+slice.+state.+changed )|(ment ac)|(system.+state.+changed )|(\|lc)|(penalty)|(\[timeout)|(PRM\|1\|D)|(kpr)|(kdp)|(\|loc))" /e /r /s</v>
      </c>
      <c r="AG87" s="1" t="str">
        <f t="shared" si="39"/>
        <v>EC</v>
      </c>
      <c r="AH87" s="105" t="str">
        <f t="shared" si="38"/>
        <v>"%USERPROFILE%\Documents\GitHub\eaglep3\Utilities\RefineRTDCRunTimes.py" --tripid 174-15 --locoid 4043 --swversion DE.1.0.7.0 --startMP 204:232955 --initTime 2016-08-15T13:50:58 --startdatetime 2016-08-15T13:52:39 --delay 1 --endMP 204:191 --enddatetime 2016-08-15T14:37:35 --enforcementcount 0</v>
      </c>
    </row>
    <row r="88" spans="1:34" x14ac:dyDescent="0.25">
      <c r="A88" s="40" t="s">
        <v>433</v>
      </c>
      <c r="B88" s="7">
        <v>4027</v>
      </c>
      <c r="C88" s="25" t="s">
        <v>119</v>
      </c>
      <c r="D88" s="25" t="s">
        <v>434</v>
      </c>
      <c r="E88" s="16">
        <v>42597.543611111112</v>
      </c>
      <c r="F88" s="16">
        <v>42597.544259259259</v>
      </c>
      <c r="G88" s="7">
        <v>0</v>
      </c>
      <c r="H88" s="16" t="s">
        <v>266</v>
      </c>
      <c r="I88" s="16">
        <v>42597.575196759259</v>
      </c>
      <c r="J88" s="7">
        <v>0</v>
      </c>
      <c r="K88" s="142" t="str">
        <f t="shared" si="24"/>
        <v>4027/4028</v>
      </c>
      <c r="L88" s="25" t="str">
        <f>VLOOKUP(A88,'Trips&amp;Operators'!$C$1:$E$10000,3,FALSE)</f>
        <v>BARTLETT</v>
      </c>
      <c r="M88" s="6">
        <f t="shared" si="25"/>
        <v>3.0937499999708962E-2</v>
      </c>
      <c r="N88" s="7">
        <f t="shared" si="26"/>
        <v>44.549999999580905</v>
      </c>
      <c r="O88" s="7"/>
      <c r="P88" s="7"/>
      <c r="Q88" s="26"/>
      <c r="R88" s="26"/>
      <c r="S88" s="38">
        <f t="shared" si="27"/>
        <v>1</v>
      </c>
      <c r="T88" s="53" t="str">
        <f t="shared" si="28"/>
        <v>NorthBound</v>
      </c>
      <c r="U88" s="13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12:02:48-0600',mode:absolute,to:'2016-08-15 14:48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88" s="55" t="str">
        <f t="shared" si="30"/>
        <v>N</v>
      </c>
      <c r="X88" s="129">
        <f t="shared" si="31"/>
        <v>1</v>
      </c>
      <c r="Y88" s="70">
        <f t="shared" si="32"/>
        <v>4.8599999999999997E-2</v>
      </c>
      <c r="Z88" s="70">
        <f t="shared" si="33"/>
        <v>23.332699999999999</v>
      </c>
      <c r="AA88" s="70">
        <f t="shared" si="34"/>
        <v>23.284099999999999</v>
      </c>
      <c r="AB88" s="67" t="e">
        <f>VLOOKUP(A88,Enforcements!$C$7:$J$24,8,0)</f>
        <v>#N/A</v>
      </c>
      <c r="AC88" s="63" t="e">
        <f>VLOOKUP(A88,Enforcements!$C$7:$E$24,3,0)</f>
        <v>#N/A</v>
      </c>
      <c r="AD88" s="64" t="str">
        <f t="shared" si="35"/>
        <v>0175-15</v>
      </c>
      <c r="AE88" s="104" t="str">
        <f t="shared" si="36"/>
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</c>
      <c r="AF88" s="101" t="str">
        <f t="shared" si="37"/>
        <v>"C:\Program Files (x86)\AstroGrep\AstroGrep.exe" /spath="%USERPROFILE%\AppData\Local\Temp\OnboardLogs" /stypes="*4027*20160815*" /stext=" 19:.+((SYSTEM_STATE.+slice.+state.+changed )|(ment ac)|(system.+state.+changed )|(\|lc)|(penalty)|(\[timeout)|(PRM\|1\|D)|(kpr)|(kdp)|(\|loc))" /e /r /s</v>
      </c>
      <c r="AG88" s="1" t="str">
        <f t="shared" si="39"/>
        <v>EC</v>
      </c>
      <c r="AH88" s="105" t="str">
        <f t="shared" si="38"/>
        <v>"%USERPROFILE%\Documents\GitHub\eaglep3\Utilities\RefineRTDCRunTimes.py" --tripid 175-15 --locoid 4027 --swversion DE.1.0.7.0 --startMP 204:486 --initTime 2016-08-15T13:02:48 --startdatetime 2016-08-15T13:03:44 --delay 0 --endMP 204:233327 --enddatetime 2016-08-15T13:48:17 --enforcementcount 0</v>
      </c>
    </row>
    <row r="89" spans="1:34" x14ac:dyDescent="0.25">
      <c r="A89" s="40" t="s">
        <v>435</v>
      </c>
      <c r="B89" s="7">
        <v>4028</v>
      </c>
      <c r="C89" s="25" t="s">
        <v>119</v>
      </c>
      <c r="D89" s="25" t="s">
        <v>203</v>
      </c>
      <c r="E89" s="16">
        <v>42597.580729166664</v>
      </c>
      <c r="F89" s="16">
        <v>42597.581979166665</v>
      </c>
      <c r="G89" s="7">
        <v>1</v>
      </c>
      <c r="H89" s="16" t="s">
        <v>92</v>
      </c>
      <c r="I89" s="16">
        <v>42597.615601851852</v>
      </c>
      <c r="J89" s="7">
        <v>0</v>
      </c>
      <c r="K89" s="142" t="str">
        <f t="shared" si="24"/>
        <v>4027/4028</v>
      </c>
      <c r="L89" s="25" t="str">
        <f>VLOOKUP(A89,'Trips&amp;Operators'!$C$1:$E$10000,3,FALSE)</f>
        <v>BARTLETT</v>
      </c>
      <c r="M89" s="6">
        <f t="shared" si="25"/>
        <v>3.3622685186855961E-2</v>
      </c>
      <c r="N89" s="7">
        <f t="shared" si="26"/>
        <v>48.416666669072583</v>
      </c>
      <c r="O89" s="7"/>
      <c r="P89" s="7"/>
      <c r="Q89" s="26"/>
      <c r="R89" s="26"/>
      <c r="S89" s="38">
        <f t="shared" si="27"/>
        <v>1</v>
      </c>
      <c r="T89" s="53" t="str">
        <f t="shared" si="28"/>
        <v>Southbound</v>
      </c>
      <c r="U89" s="13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12:56:15-0600',mode:absolute,to:'2016-08-15 15:46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89" s="55" t="str">
        <f t="shared" si="30"/>
        <v>N</v>
      </c>
      <c r="X89" s="129">
        <f t="shared" si="31"/>
        <v>1</v>
      </c>
      <c r="Y89" s="70">
        <f t="shared" si="32"/>
        <v>23.301300000000001</v>
      </c>
      <c r="Z89" s="70">
        <f t="shared" si="33"/>
        <v>1.43E-2</v>
      </c>
      <c r="AA89" s="70">
        <f t="shared" si="34"/>
        <v>23.287000000000003</v>
      </c>
      <c r="AB89" s="67" t="e">
        <f>VLOOKUP(A89,Enforcements!$C$7:$J$24,8,0)</f>
        <v>#N/A</v>
      </c>
      <c r="AC89" s="63" t="e">
        <f>VLOOKUP(A89,Enforcements!$C$7:$E$24,3,0)</f>
        <v>#N/A</v>
      </c>
      <c r="AD89" s="64" t="str">
        <f t="shared" si="35"/>
        <v>0176-15</v>
      </c>
      <c r="AE89" s="104" t="str">
        <f t="shared" si="36"/>
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</c>
      <c r="AF89" s="101" t="str">
        <f t="shared" si="37"/>
        <v>"C:\Program Files (x86)\AstroGrep\AstroGrep.exe" /spath="%USERPROFILE%\AppData\Local\Temp\OnboardLogs" /stypes="*4028*20160815*" /stext=" 20:.+((SYSTEM_STATE.+slice.+state.+changed )|(ment ac)|(system.+state.+changed )|(\|lc)|(penalty)|(\[timeout)|(PRM\|1\|D)|(kpr)|(kdp)|(\|loc))" /e /r /s</v>
      </c>
      <c r="AG89" s="1" t="str">
        <f t="shared" si="39"/>
        <v>EC</v>
      </c>
      <c r="AH89" s="105" t="str">
        <f t="shared" si="38"/>
        <v>"%USERPROFILE%\Documents\GitHub\eaglep3\Utilities\RefineRTDCRunTimes.py" --tripid 176-15 --locoid 4028 --swversion DE.1.0.7.0 --startMP 204:233013 --initTime 2016-08-15T13:56:15 --startdatetime 2016-08-15T13:58:03 --delay 1 --endMP 204:143 --enddatetime 2016-08-15T14:46:28 --enforcementcount 0</v>
      </c>
    </row>
    <row r="90" spans="1:34" x14ac:dyDescent="0.25">
      <c r="A90" s="40" t="s">
        <v>436</v>
      </c>
      <c r="B90" s="7">
        <v>4020</v>
      </c>
      <c r="C90" s="25" t="s">
        <v>119</v>
      </c>
      <c r="D90" s="25" t="s">
        <v>174</v>
      </c>
      <c r="E90" s="16">
        <v>42597.549398148149</v>
      </c>
      <c r="F90" s="16">
        <v>42597.552199074074</v>
      </c>
      <c r="G90" s="7">
        <v>4</v>
      </c>
      <c r="H90" s="16" t="s">
        <v>197</v>
      </c>
      <c r="I90" s="16">
        <v>42597.58699074074</v>
      </c>
      <c r="J90" s="7">
        <v>0</v>
      </c>
      <c r="K90" s="142" t="str">
        <f t="shared" si="24"/>
        <v>4019/4020</v>
      </c>
      <c r="L90" s="25" t="str">
        <f>VLOOKUP(A90,'Trips&amp;Operators'!$C$1:$E$10000,3,FALSE)</f>
        <v>HAITHCOX</v>
      </c>
      <c r="M90" s="6">
        <f t="shared" si="25"/>
        <v>3.4791666665114462E-2</v>
      </c>
      <c r="N90" s="7">
        <f t="shared" si="26"/>
        <v>50.099999997764826</v>
      </c>
      <c r="O90" s="7"/>
      <c r="P90" s="7"/>
      <c r="Q90" s="26"/>
      <c r="R90" s="26"/>
      <c r="S90" s="38">
        <f t="shared" si="27"/>
        <v>1</v>
      </c>
      <c r="T90" s="53" t="str">
        <f t="shared" si="28"/>
        <v>NorthBound</v>
      </c>
      <c r="U90" s="13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12:11:08-0600',mode:absolute,to:'2016-08-15 15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90" s="55" t="str">
        <f t="shared" si="30"/>
        <v>N</v>
      </c>
      <c r="X90" s="129">
        <f t="shared" si="31"/>
        <v>1</v>
      </c>
      <c r="Y90" s="70">
        <f t="shared" si="32"/>
        <v>4.6600000000000003E-2</v>
      </c>
      <c r="Z90" s="70">
        <f t="shared" si="33"/>
        <v>23.330300000000001</v>
      </c>
      <c r="AA90" s="70">
        <f t="shared" si="34"/>
        <v>23.2837</v>
      </c>
      <c r="AB90" s="67" t="e">
        <f>VLOOKUP(A90,Enforcements!$C$7:$J$24,8,0)</f>
        <v>#N/A</v>
      </c>
      <c r="AC90" s="63" t="e">
        <f>VLOOKUP(A90,Enforcements!$C$7:$E$24,3,0)</f>
        <v>#N/A</v>
      </c>
      <c r="AD90" s="64" t="str">
        <f t="shared" si="35"/>
        <v>0177-15</v>
      </c>
      <c r="AE90" s="104" t="str">
        <f t="shared" si="36"/>
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</c>
      <c r="AF90" s="101" t="str">
        <f t="shared" si="37"/>
        <v>"C:\Program Files (x86)\AstroGrep\AstroGrep.exe" /spath="%USERPROFILE%\AppData\Local\Temp\OnboardLogs" /stypes="*4020*20160815*" /stext=" 20:.+((SYSTEM_STATE.+slice.+state.+changed )|(ment ac)|(system.+state.+changed )|(\|lc)|(penalty)|(\[timeout)|(PRM\|1\|D)|(kpr)|(kdp)|(\|loc))" /e /r /s</v>
      </c>
      <c r="AG90" s="1" t="str">
        <f t="shared" si="39"/>
        <v>EC</v>
      </c>
      <c r="AH90" s="105" t="str">
        <f t="shared" si="38"/>
        <v>"%USERPROFILE%\Documents\GitHub\eaglep3\Utilities\RefineRTDCRunTimes.py" --tripid 177-15 --locoid 4020 --swversion DE.1.0.7.0 --startMP 204:466 --initTime 2016-08-15T13:11:08 --startdatetime 2016-08-15T13:15:10 --delay 4 --endMP 204:233303 --enddatetime 2016-08-15T14:05:16 --enforcementcount 0</v>
      </c>
    </row>
    <row r="91" spans="1:34" s="24" customFormat="1" x14ac:dyDescent="0.25">
      <c r="A91" s="40" t="s">
        <v>437</v>
      </c>
      <c r="B91" s="7">
        <v>4019</v>
      </c>
      <c r="C91" s="25" t="s">
        <v>119</v>
      </c>
      <c r="D91" s="25" t="s">
        <v>143</v>
      </c>
      <c r="E91" s="16">
        <v>42597.591157407405</v>
      </c>
      <c r="F91" s="16">
        <v>42597.592395833337</v>
      </c>
      <c r="G91" s="7">
        <v>1</v>
      </c>
      <c r="H91" s="16" t="s">
        <v>258</v>
      </c>
      <c r="I91" s="16">
        <v>42597.628842592596</v>
      </c>
      <c r="J91" s="7">
        <v>0</v>
      </c>
      <c r="K91" s="142" t="str">
        <f t="shared" si="24"/>
        <v>4019/4020</v>
      </c>
      <c r="L91" s="25" t="str">
        <f>VLOOKUP(A91,'Trips&amp;Operators'!$C$1:$E$10000,3,FALSE)</f>
        <v>HAITHCOX</v>
      </c>
      <c r="M91" s="6">
        <f t="shared" si="25"/>
        <v>3.6446759258979E-2</v>
      </c>
      <c r="N91" s="7">
        <f t="shared" si="26"/>
        <v>52.48333333292976</v>
      </c>
      <c r="O91" s="7"/>
      <c r="P91" s="7"/>
      <c r="Q91" s="26"/>
      <c r="R91" s="26"/>
      <c r="S91" s="38">
        <f t="shared" si="27"/>
        <v>1</v>
      </c>
      <c r="T91" s="53" t="str">
        <f t="shared" si="28"/>
        <v>Southbound</v>
      </c>
      <c r="U91" s="13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13:11:16-0600',mode:absolute,to:'2016-08-15 16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91" s="55" t="str">
        <f t="shared" si="30"/>
        <v>N</v>
      </c>
      <c r="X91" s="129">
        <f t="shared" si="31"/>
        <v>1</v>
      </c>
      <c r="Y91" s="70">
        <f t="shared" si="32"/>
        <v>23.299399999999999</v>
      </c>
      <c r="Z91" s="70">
        <f t="shared" si="33"/>
        <v>1.32E-2</v>
      </c>
      <c r="AA91" s="70">
        <f t="shared" si="34"/>
        <v>23.286199999999997</v>
      </c>
      <c r="AB91" s="67" t="e">
        <f>VLOOKUP(A91,Enforcements!$C$7:$J$24,8,0)</f>
        <v>#N/A</v>
      </c>
      <c r="AC91" s="63" t="e">
        <f>VLOOKUP(A91,Enforcements!$C$7:$E$24,3,0)</f>
        <v>#N/A</v>
      </c>
      <c r="AD91" s="64" t="str">
        <f t="shared" si="35"/>
        <v>0178-15</v>
      </c>
      <c r="AE91" s="104" t="str">
        <f t="shared" si="36"/>
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</c>
      <c r="AF91" s="101" t="str">
        <f t="shared" si="37"/>
        <v>"C:\Program Files (x86)\AstroGrep\AstroGrep.exe" /spath="%USERPROFILE%\AppData\Local\Temp\OnboardLogs" /stypes="*4019*20160815*" /stext=" 21:.+((SYSTEM_STATE.+slice.+state.+changed )|(ment ac)|(system.+state.+changed )|(\|lc)|(penalty)|(\[timeout)|(PRM\|1\|D)|(kpr)|(kdp)|(\|loc))" /e /r /s</v>
      </c>
      <c r="AG91" s="1" t="str">
        <f t="shared" si="39"/>
        <v>EC</v>
      </c>
      <c r="AH91" s="105" t="str">
        <f t="shared" si="38"/>
        <v>"%USERPROFILE%\Documents\GitHub\eaglep3\Utilities\RefineRTDCRunTimes.py" --tripid 178-15 --locoid 4019 --swversion DE.1.0.7.0 --startMP 204:232994 --initTime 2016-08-15T14:11:16 --startdatetime 2016-08-15T14:13:03 --delay 1 --endMP 204:132 --enddatetime 2016-08-15T15:05:32 --enforcementcount 0</v>
      </c>
    </row>
    <row r="92" spans="1:34" s="24" customFormat="1" x14ac:dyDescent="0.25">
      <c r="A92" s="40" t="s">
        <v>438</v>
      </c>
      <c r="B92" s="7">
        <v>4038</v>
      </c>
      <c r="C92" s="25" t="s">
        <v>119</v>
      </c>
      <c r="D92" s="25" t="s">
        <v>114</v>
      </c>
      <c r="E92" s="16">
        <v>42597.561597222222</v>
      </c>
      <c r="F92" s="16">
        <v>42597.564039351855</v>
      </c>
      <c r="G92" s="7">
        <v>3</v>
      </c>
      <c r="H92" s="16" t="s">
        <v>117</v>
      </c>
      <c r="I92" s="16">
        <v>42597.594571759262</v>
      </c>
      <c r="J92" s="7">
        <v>0</v>
      </c>
      <c r="K92" s="142" t="str">
        <f t="shared" si="24"/>
        <v>4037/4038</v>
      </c>
      <c r="L92" s="25" t="str">
        <f>VLOOKUP(A92,'Trips&amp;Operators'!$C$1:$E$10000,3,FALSE)</f>
        <v>MAYBERRY</v>
      </c>
      <c r="M92" s="6">
        <f t="shared" si="25"/>
        <v>3.0532407407008577E-2</v>
      </c>
      <c r="N92" s="7">
        <f t="shared" si="26"/>
        <v>43.966666666092351</v>
      </c>
      <c r="O92" s="7"/>
      <c r="P92" s="7"/>
      <c r="Q92" s="26"/>
      <c r="R92" s="26"/>
      <c r="S92" s="38">
        <f t="shared" si="27"/>
        <v>1</v>
      </c>
      <c r="T92" s="53" t="str">
        <f t="shared" si="28"/>
        <v>NorthBound</v>
      </c>
      <c r="U92" s="13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12:28:42-0600',mode:absolute,to:'2016-08-15 15:16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92" s="55" t="str">
        <f t="shared" si="30"/>
        <v>N</v>
      </c>
      <c r="X92" s="129">
        <f t="shared" si="31"/>
        <v>1</v>
      </c>
      <c r="Y92" s="70">
        <f t="shared" si="32"/>
        <v>4.6199999999999998E-2</v>
      </c>
      <c r="Z92" s="70">
        <f t="shared" si="33"/>
        <v>23.3293</v>
      </c>
      <c r="AA92" s="70">
        <f t="shared" si="34"/>
        <v>23.283100000000001</v>
      </c>
      <c r="AB92" s="67">
        <f>VLOOKUP(A92,Enforcements!$C$7:$J$24,8,0)</f>
        <v>33137</v>
      </c>
      <c r="AC92" s="63" t="str">
        <f>VLOOKUP(A92,Enforcements!$C$7:$E$24,3,0)</f>
        <v>GRADE CROSSING</v>
      </c>
      <c r="AD92" s="64" t="str">
        <f t="shared" si="35"/>
        <v>0179-15</v>
      </c>
      <c r="AE92" s="104" t="str">
        <f t="shared" si="36"/>
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</c>
      <c r="AF92" s="101" t="str">
        <f t="shared" si="37"/>
        <v>"C:\Program Files (x86)\AstroGrep\AstroGrep.exe" /spath="%USERPROFILE%\AppData\Local\Temp\OnboardLogs" /stypes="*4038*20160815*" /stext=" 20:.+((SYSTEM_STATE.+slice.+state.+changed )|(ment ac)|(system.+state.+changed )|(\|lc)|(penalty)|(\[timeout)|(PRM\|1\|D)|(kpr)|(kdp)|(\|loc))" /e /r /s</v>
      </c>
      <c r="AG92" s="1" t="str">
        <f t="shared" si="39"/>
        <v>EC</v>
      </c>
      <c r="AH92" s="105" t="str">
        <f t="shared" si="38"/>
        <v>"%USERPROFILE%\Documents\GitHub\eaglep3\Utilities\RefineRTDCRunTimes.py" --tripid 179-15 --locoid 4038 --swversion DE.1.0.7.0 --startMP 204:462 --initTime 2016-08-15T13:28:42 --startdatetime 2016-08-15T13:32:13 --delay 3 --endMP 204:233293 --enddatetime 2016-08-15T14:16:11 --enforcementcount 0</v>
      </c>
    </row>
    <row r="93" spans="1:34" x14ac:dyDescent="0.25">
      <c r="A93" s="40" t="s">
        <v>439</v>
      </c>
      <c r="B93" s="7">
        <v>4037</v>
      </c>
      <c r="C93" s="25" t="s">
        <v>119</v>
      </c>
      <c r="D93" s="25" t="s">
        <v>62</v>
      </c>
      <c r="E93" s="16">
        <v>42597.596898148149</v>
      </c>
      <c r="F93" s="16">
        <v>42597.599027777775</v>
      </c>
      <c r="G93" s="7">
        <v>3</v>
      </c>
      <c r="H93" s="16" t="s">
        <v>175</v>
      </c>
      <c r="I93" s="16">
        <v>42597.6325</v>
      </c>
      <c r="J93" s="7">
        <v>0</v>
      </c>
      <c r="K93" s="142" t="str">
        <f t="shared" si="24"/>
        <v>4037/4038</v>
      </c>
      <c r="L93" s="25" t="str">
        <f>VLOOKUP(A93,'Trips&amp;Operators'!$C$1:$E$10000,3,FALSE)</f>
        <v>MAYBERRY</v>
      </c>
      <c r="M93" s="6">
        <f t="shared" si="25"/>
        <v>3.3472222225100268E-2</v>
      </c>
      <c r="N93" s="7">
        <f t="shared" si="26"/>
        <v>48.200000004144385</v>
      </c>
      <c r="O93" s="7"/>
      <c r="P93" s="7"/>
      <c r="Q93" s="26"/>
      <c r="R93" s="26"/>
      <c r="S93" s="38">
        <f t="shared" si="27"/>
        <v>1</v>
      </c>
      <c r="T93" s="53" t="str">
        <f t="shared" si="28"/>
        <v>Southbound</v>
      </c>
      <c r="U93" s="13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13:19:32-0600',mode:absolute,to:'2016-08-15 16:10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93" s="55" t="str">
        <f t="shared" si="30"/>
        <v>N</v>
      </c>
      <c r="X93" s="129">
        <f t="shared" si="31"/>
        <v>1</v>
      </c>
      <c r="Y93" s="70">
        <f t="shared" si="32"/>
        <v>23.297699999999999</v>
      </c>
      <c r="Z93" s="70">
        <f t="shared" si="33"/>
        <v>1.6E-2</v>
      </c>
      <c r="AA93" s="70">
        <f t="shared" si="34"/>
        <v>23.281700000000001</v>
      </c>
      <c r="AB93" s="67" t="e">
        <f>VLOOKUP(A93,Enforcements!$C$7:$J$24,8,0)</f>
        <v>#N/A</v>
      </c>
      <c r="AC93" s="63" t="e">
        <f>VLOOKUP(A93,Enforcements!$C$7:$E$24,3,0)</f>
        <v>#N/A</v>
      </c>
      <c r="AD93" s="64" t="str">
        <f t="shared" si="35"/>
        <v>0180-15</v>
      </c>
      <c r="AE93" s="104" t="str">
        <f t="shared" si="36"/>
        <v>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 &amp; 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</v>
      </c>
      <c r="AF93" s="101" t="str">
        <f t="shared" si="37"/>
        <v>"C:\Program Files (x86)\AstroGrep\AstroGrep.exe" /spath="%USERPROFILE%\AppData\Local\Temp\OnboardLogs" /stypes="*4037*20160815*" /stext=" 21:.+((SYSTEM_STATE.+slice.+state.+changed )|(ment ac)|(system.+state.+changed )|(\|lc)|(penalty)|(\[timeout)|(PRM\|1\|D)|(kpr)|(kdp)|(\|loc))" /e /r /s</v>
      </c>
      <c r="AG93" s="1" t="str">
        <f t="shared" si="39"/>
        <v>EC</v>
      </c>
      <c r="AH93" s="105" t="str">
        <f t="shared" si="38"/>
        <v>"%USERPROFILE%\Documents\GitHub\eaglep3\Utilities\RefineRTDCRunTimes.py" --tripid 180-15 --locoid 4037 --swversion DE.1.0.7.0 --startMP 204:232977 --initTime 2016-08-15T14:19:32 --startdatetime 2016-08-15T14:22:36 --delay 3 --endMP 204:160 --enddatetime 2016-08-15T15:10:48 --enforcementcount 0</v>
      </c>
    </row>
    <row r="94" spans="1:34" x14ac:dyDescent="0.25">
      <c r="A94" s="40" t="s">
        <v>440</v>
      </c>
      <c r="B94" s="7">
        <v>4031</v>
      </c>
      <c r="C94" s="25" t="s">
        <v>119</v>
      </c>
      <c r="D94" s="25" t="s">
        <v>157</v>
      </c>
      <c r="E94" s="16">
        <v>42597.57503472222</v>
      </c>
      <c r="F94" s="16">
        <v>42597.575960648152</v>
      </c>
      <c r="G94" s="7">
        <v>1</v>
      </c>
      <c r="H94" s="16" t="s">
        <v>192</v>
      </c>
      <c r="I94" s="16">
        <v>42597.604861111111</v>
      </c>
      <c r="J94" s="7">
        <v>0</v>
      </c>
      <c r="K94" s="142" t="str">
        <f t="shared" si="24"/>
        <v>4031/4032</v>
      </c>
      <c r="L94" s="25" t="str">
        <f>VLOOKUP(A94,'Trips&amp;Operators'!$C$1:$E$10000,3,FALSE)</f>
        <v>YOUNG</v>
      </c>
      <c r="M94" s="6">
        <f t="shared" si="25"/>
        <v>2.8900462959427387E-2</v>
      </c>
      <c r="N94" s="7">
        <f t="shared" si="26"/>
        <v>41.616666661575437</v>
      </c>
      <c r="O94" s="7"/>
      <c r="P94" s="7"/>
      <c r="Q94" s="26"/>
      <c r="R94" s="26"/>
      <c r="S94" s="38">
        <f t="shared" si="27"/>
        <v>1</v>
      </c>
      <c r="T94" s="53" t="str">
        <f t="shared" si="28"/>
        <v>NorthBound</v>
      </c>
      <c r="U94" s="13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12:48:03-0600',mode:absolute,to:'2016-08-15 15:31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94" s="55" t="str">
        <f t="shared" si="30"/>
        <v>N</v>
      </c>
      <c r="X94" s="129">
        <f t="shared" si="31"/>
        <v>1</v>
      </c>
      <c r="Y94" s="70">
        <f t="shared" si="32"/>
        <v>4.6699999999999998E-2</v>
      </c>
      <c r="Z94" s="70">
        <f t="shared" si="33"/>
        <v>23.329699999999999</v>
      </c>
      <c r="AA94" s="70">
        <f t="shared" si="34"/>
        <v>23.282999999999998</v>
      </c>
      <c r="AB94" s="67" t="e">
        <f>VLOOKUP(A94,Enforcements!$C$7:$J$24,8,0)</f>
        <v>#N/A</v>
      </c>
      <c r="AC94" s="63" t="e">
        <f>VLOOKUP(A94,Enforcements!$C$7:$E$24,3,0)</f>
        <v>#N/A</v>
      </c>
      <c r="AD94" s="64" t="str">
        <f t="shared" si="35"/>
        <v>0181-15</v>
      </c>
      <c r="AE94" s="104" t="str">
        <f t="shared" si="36"/>
        <v>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 &amp; 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</v>
      </c>
      <c r="AF94" s="101" t="str">
        <f t="shared" si="37"/>
        <v>"C:\Program Files (x86)\AstroGrep\AstroGrep.exe" /spath="%USERPROFILE%\AppData\Local\Temp\OnboardLogs" /stypes="*4031*20160815*" /stext=" 20:.+((SYSTEM_STATE.+slice.+state.+changed )|(ment ac)|(system.+state.+changed )|(\|lc)|(penalty)|(\[timeout)|(PRM\|1\|D)|(kpr)|(kdp)|(\|loc))" /e /r /s</v>
      </c>
      <c r="AG94" s="1" t="str">
        <f t="shared" si="39"/>
        <v>EC</v>
      </c>
      <c r="AH94" s="105" t="str">
        <f t="shared" si="38"/>
        <v>"%USERPROFILE%\Documents\GitHub\eaglep3\Utilities\RefineRTDCRunTimes.py" --tripid 181-15 --locoid 4031 --swversion DE.1.0.7.0 --startMP 204:467 --initTime 2016-08-15T13:48:03 --startdatetime 2016-08-15T13:49:23 --delay 1 --endMP 204:233297 --enddatetime 2016-08-15T14:31:00 --enforcementcount 0</v>
      </c>
    </row>
    <row r="95" spans="1:34" s="24" customFormat="1" x14ac:dyDescent="0.25">
      <c r="A95" s="40" t="s">
        <v>441</v>
      </c>
      <c r="B95" s="7">
        <v>4032</v>
      </c>
      <c r="C95" s="25" t="s">
        <v>119</v>
      </c>
      <c r="D95" s="25" t="s">
        <v>147</v>
      </c>
      <c r="E95" s="16">
        <v>42597.609756944446</v>
      </c>
      <c r="F95" s="16">
        <v>42597.61074074074</v>
      </c>
      <c r="G95" s="7">
        <v>1</v>
      </c>
      <c r="H95" s="16" t="s">
        <v>172</v>
      </c>
      <c r="I95" s="16">
        <v>42597.648217592592</v>
      </c>
      <c r="J95" s="7">
        <v>0</v>
      </c>
      <c r="K95" s="142" t="str">
        <f t="shared" si="24"/>
        <v>4031/4032</v>
      </c>
      <c r="L95" s="25" t="str">
        <f>VLOOKUP(A95,'Trips&amp;Operators'!$C$1:$E$10000,3,FALSE)</f>
        <v>YOUNG</v>
      </c>
      <c r="M95" s="6">
        <f t="shared" si="25"/>
        <v>3.7476851852261461E-2</v>
      </c>
      <c r="N95" s="7">
        <f t="shared" si="26"/>
        <v>53.966666667256504</v>
      </c>
      <c r="O95" s="7"/>
      <c r="P95" s="7"/>
      <c r="Q95" s="26"/>
      <c r="R95" s="26"/>
      <c r="S95" s="38">
        <f t="shared" si="27"/>
        <v>1</v>
      </c>
      <c r="T95" s="53" t="str">
        <f t="shared" si="28"/>
        <v>Southbound</v>
      </c>
      <c r="U95" s="13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13:38:03-0600',mode:absolute,to:'2016-08-15 16:33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95" s="55" t="str">
        <f t="shared" si="30"/>
        <v>N</v>
      </c>
      <c r="X95" s="129">
        <f t="shared" si="31"/>
        <v>1</v>
      </c>
      <c r="Y95" s="70">
        <f t="shared" si="32"/>
        <v>23.299600000000002</v>
      </c>
      <c r="Z95" s="70">
        <f t="shared" si="33"/>
        <v>1.72E-2</v>
      </c>
      <c r="AA95" s="70">
        <f t="shared" si="34"/>
        <v>23.282400000000003</v>
      </c>
      <c r="AB95" s="67" t="e">
        <f>VLOOKUP(A95,Enforcements!$C$7:$J$24,8,0)</f>
        <v>#N/A</v>
      </c>
      <c r="AC95" s="63" t="e">
        <f>VLOOKUP(A95,Enforcements!$C$7:$E$24,3,0)</f>
        <v>#N/A</v>
      </c>
      <c r="AD95" s="64" t="str">
        <f t="shared" si="35"/>
        <v>0182-15</v>
      </c>
      <c r="AE95" s="104" t="str">
        <f t="shared" si="36"/>
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</c>
      <c r="AF95" s="101" t="str">
        <f t="shared" si="37"/>
        <v>"C:\Program Files (x86)\AstroGrep\AstroGrep.exe" /spath="%USERPROFILE%\AppData\Local\Temp\OnboardLogs" /stypes="*4032*20160815*" /stext=" 21:.+((SYSTEM_STATE.+slice.+state.+changed )|(ment ac)|(system.+state.+changed )|(\|lc)|(penalty)|(\[timeout)|(PRM\|1\|D)|(kpr)|(kdp)|(\|loc))" /e /r /s</v>
      </c>
      <c r="AG95" s="1" t="str">
        <f t="shared" si="39"/>
        <v>EC</v>
      </c>
      <c r="AH95" s="105" t="str">
        <f t="shared" si="38"/>
        <v>"%USERPROFILE%\Documents\GitHub\eaglep3\Utilities\RefineRTDCRunTimes.py" --tripid 182-15 --locoid 4032 --swversion DE.1.0.7.0 --startMP 204:232996 --initTime 2016-08-15T14:38:03 --startdatetime 2016-08-15T14:39:28 --delay 1 --endMP 204:172 --enddatetime 2016-08-15T15:33:26 --enforcementcount 0</v>
      </c>
    </row>
    <row r="96" spans="1:34" x14ac:dyDescent="0.25">
      <c r="A96" s="40" t="s">
        <v>442</v>
      </c>
      <c r="B96" s="7">
        <v>4009</v>
      </c>
      <c r="C96" s="25" t="s">
        <v>119</v>
      </c>
      <c r="D96" s="25" t="s">
        <v>61</v>
      </c>
      <c r="E96" s="16">
        <v>42597.592962962961</v>
      </c>
      <c r="F96" s="16">
        <v>42597.594236111108</v>
      </c>
      <c r="G96" s="7">
        <v>1</v>
      </c>
      <c r="H96" s="16" t="s">
        <v>250</v>
      </c>
      <c r="I96" s="16">
        <v>42597.62363425926</v>
      </c>
      <c r="J96" s="7">
        <v>0</v>
      </c>
      <c r="K96" s="142" t="str">
        <f t="shared" si="24"/>
        <v>4009/4010</v>
      </c>
      <c r="L96" s="25" t="str">
        <f>VLOOKUP(A96,'Trips&amp;Operators'!$C$1:$E$10000,3,FALSE)</f>
        <v>HELVIE</v>
      </c>
      <c r="M96" s="6">
        <f t="shared" si="25"/>
        <v>2.9398148151813075E-2</v>
      </c>
      <c r="N96" s="7">
        <f t="shared" si="26"/>
        <v>42.333333338610828</v>
      </c>
      <c r="O96" s="7"/>
      <c r="P96" s="7"/>
      <c r="Q96" s="26"/>
      <c r="R96" s="26"/>
      <c r="S96" s="38">
        <f t="shared" si="27"/>
        <v>1</v>
      </c>
      <c r="T96" s="53" t="str">
        <f t="shared" si="28"/>
        <v>NorthBound</v>
      </c>
      <c r="U96" s="13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13:13:52-0600',mode:absolute,to:'2016-08-15 15:58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96" s="55" t="str">
        <f t="shared" si="30"/>
        <v>N</v>
      </c>
      <c r="X96" s="129">
        <f t="shared" si="31"/>
        <v>1</v>
      </c>
      <c r="Y96" s="70">
        <f t="shared" si="32"/>
        <v>4.5999999999999999E-2</v>
      </c>
      <c r="Z96" s="70">
        <f t="shared" si="33"/>
        <v>23.331499999999998</v>
      </c>
      <c r="AA96" s="70">
        <f t="shared" si="34"/>
        <v>23.285499999999999</v>
      </c>
      <c r="AB96" s="67" t="e">
        <f>VLOOKUP(A96,Enforcements!$C$7:$J$24,8,0)</f>
        <v>#N/A</v>
      </c>
      <c r="AC96" s="63" t="e">
        <f>VLOOKUP(A96,Enforcements!$C$7:$E$24,3,0)</f>
        <v>#N/A</v>
      </c>
      <c r="AD96" s="64" t="str">
        <f t="shared" si="35"/>
        <v>0183-15</v>
      </c>
      <c r="AE96" s="104" t="str">
        <f t="shared" si="36"/>
        <v>aws s3 cp s3://rtdc.mdm.uploadarchive/RTDC4009/2016-08-15/ "%USERPROFILE%\AppData\Local\Temp\OnboardLogs"\RTDC4009\2016-08-15 --recursive &amp; "%USERPROFILE%\Documents\GitHub\mrs-test-scripts\Headless Mode &amp; Sideloading\WalkAndUnGZ.bat" "%USERPROFILE%\AppData\Local\Temp\OnboardLogs"\RTDC4009\2016-08-15 &amp; 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</v>
      </c>
      <c r="AF96" s="101" t="str">
        <f t="shared" si="37"/>
        <v>"C:\Program Files (x86)\AstroGrep\AstroGrep.exe" /spath="%USERPROFILE%\AppData\Local\Temp\OnboardLogs" /stypes="*4009*20160815*" /stext=" 20:.+((SYSTEM_STATE.+slice.+state.+changed )|(ment ac)|(system.+state.+changed )|(\|lc)|(penalty)|(\[timeout)|(PRM\|1\|D)|(kpr)|(kdp)|(\|loc))" /e /r /s</v>
      </c>
      <c r="AG96" s="1" t="str">
        <f t="shared" si="39"/>
        <v>EC</v>
      </c>
      <c r="AH96" s="105" t="str">
        <f t="shared" si="38"/>
        <v>"%USERPROFILE%\Documents\GitHub\eaglep3\Utilities\RefineRTDCRunTimes.py" --tripid 183-15 --locoid 4009 --swversion DE.1.0.7.0 --startMP 204:460 --initTime 2016-08-15T14:13:52 --startdatetime 2016-08-15T14:15:42 --delay 1 --endMP 204:233315 --enddatetime 2016-08-15T14:58:02 --enforcementcount 0</v>
      </c>
    </row>
    <row r="97" spans="1:34" x14ac:dyDescent="0.25">
      <c r="A97" s="40" t="s">
        <v>443</v>
      </c>
      <c r="B97" s="7">
        <v>4010</v>
      </c>
      <c r="C97" s="25" t="s">
        <v>119</v>
      </c>
      <c r="D97" s="25" t="s">
        <v>444</v>
      </c>
      <c r="E97" s="16">
        <v>42597.625057870369</v>
      </c>
      <c r="F97" s="16">
        <v>42597.625925925924</v>
      </c>
      <c r="G97" s="7">
        <v>1</v>
      </c>
      <c r="H97" s="16" t="s">
        <v>140</v>
      </c>
      <c r="I97" s="16">
        <v>42597.654548611114</v>
      </c>
      <c r="J97" s="7">
        <v>0</v>
      </c>
      <c r="K97" s="142" t="str">
        <f t="shared" si="24"/>
        <v>4009/4010</v>
      </c>
      <c r="L97" s="25" t="str">
        <f>VLOOKUP(A97,'Trips&amp;Operators'!$C$1:$E$10000,3,FALSE)</f>
        <v>HELVIE</v>
      </c>
      <c r="M97" s="6">
        <f t="shared" si="25"/>
        <v>2.8622685189475305E-2</v>
      </c>
      <c r="N97" s="7">
        <f t="shared" si="26"/>
        <v>41.21666667284444</v>
      </c>
      <c r="O97" s="7"/>
      <c r="P97" s="7"/>
      <c r="Q97" s="26"/>
      <c r="R97" s="26"/>
      <c r="S97" s="38">
        <f t="shared" si="27"/>
        <v>1</v>
      </c>
      <c r="T97" s="53" t="str">
        <f t="shared" si="28"/>
        <v>Southbound</v>
      </c>
      <c r="U97" s="13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14:00:05-0600',mode:absolute,to:'2016-08-15 16:42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97" s="55" t="str">
        <f t="shared" si="30"/>
        <v>N</v>
      </c>
      <c r="X97" s="129">
        <f t="shared" si="31"/>
        <v>1</v>
      </c>
      <c r="Y97" s="70">
        <f t="shared" si="32"/>
        <v>23.2974</v>
      </c>
      <c r="Z97" s="70">
        <f t="shared" si="33"/>
        <v>1.47E-2</v>
      </c>
      <c r="AA97" s="70">
        <f t="shared" si="34"/>
        <v>23.282699999999998</v>
      </c>
      <c r="AB97" s="67" t="e">
        <f>VLOOKUP(A97,Enforcements!$C$7:$J$24,8,0)</f>
        <v>#N/A</v>
      </c>
      <c r="AC97" s="63" t="e">
        <f>VLOOKUP(A97,Enforcements!$C$7:$E$24,3,0)</f>
        <v>#N/A</v>
      </c>
      <c r="AD97" s="64" t="str">
        <f t="shared" si="35"/>
        <v>0184-15</v>
      </c>
      <c r="AE97" s="104" t="str">
        <f t="shared" si="36"/>
        <v>aws s3 cp s3://rtdc.mdm.uploadarchive/RTDC4010/2016-08-15/ "%USERPROFILE%\AppData\Local\Temp\OnboardLogs"\RTDC4010\2016-08-15 --recursive &amp; "%USERPROFILE%\Documents\GitHub\mrs-test-scripts\Headless Mode &amp; Sideloading\WalkAndUnGZ.bat" "%USERPROFILE%\AppData\Local\Temp\OnboardLogs"\RTDC4010\2016-08-15 &amp; 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</v>
      </c>
      <c r="AF97" s="101" t="str">
        <f t="shared" si="37"/>
        <v>"C:\Program Files (x86)\AstroGrep\AstroGrep.exe" /spath="%USERPROFILE%\AppData\Local\Temp\OnboardLogs" /stypes="*4010*20160815*" /stext=" 21:.+((SYSTEM_STATE.+slice.+state.+changed )|(ment ac)|(system.+state.+changed )|(\|lc)|(penalty)|(\[timeout)|(PRM\|1\|D)|(kpr)|(kdp)|(\|loc))" /e /r /s</v>
      </c>
      <c r="AG97" s="1" t="str">
        <f t="shared" si="39"/>
        <v>EC</v>
      </c>
      <c r="AH97" s="105" t="str">
        <f t="shared" si="38"/>
        <v>"%USERPROFILE%\Documents\GitHub\eaglep3\Utilities\RefineRTDCRunTimes.py" --tripid 184-15 --locoid 4010 --swversion DE.1.0.7.0 --startMP 204:232974 --initTime 2016-08-15T15:00:05 --startdatetime 2016-08-15T15:01:20 --delay 1 --endMP 204:147 --enddatetime 2016-08-15T15:42:33 --enforcementcount 0</v>
      </c>
    </row>
    <row r="98" spans="1:34" x14ac:dyDescent="0.25">
      <c r="A98" s="40" t="s">
        <v>445</v>
      </c>
      <c r="B98" s="7">
        <v>4042</v>
      </c>
      <c r="C98" s="25" t="s">
        <v>119</v>
      </c>
      <c r="D98" s="25" t="s">
        <v>253</v>
      </c>
      <c r="E98" s="16">
        <v>42597.595763888887</v>
      </c>
      <c r="F98" s="16">
        <v>42597.596932870372</v>
      </c>
      <c r="G98" s="7">
        <v>1</v>
      </c>
      <c r="H98" s="16" t="s">
        <v>264</v>
      </c>
      <c r="I98" s="16">
        <v>42597.630335648151</v>
      </c>
      <c r="J98" s="7">
        <v>0</v>
      </c>
      <c r="K98" s="142" t="str">
        <f t="shared" si="24"/>
        <v>4041/4042</v>
      </c>
      <c r="L98" s="25" t="str">
        <f>VLOOKUP(A98,'Trips&amp;Operators'!$C$1:$E$10000,3,FALSE)</f>
        <v>SHOOK</v>
      </c>
      <c r="M98" s="6">
        <f t="shared" si="25"/>
        <v>3.3402777778974269E-2</v>
      </c>
      <c r="N98" s="7">
        <f t="shared" si="26"/>
        <v>48.100000001722947</v>
      </c>
      <c r="O98" s="7"/>
      <c r="P98" s="7"/>
      <c r="Q98" s="26"/>
      <c r="R98" s="26"/>
      <c r="S98" s="38">
        <f t="shared" si="27"/>
        <v>1</v>
      </c>
      <c r="T98" s="53" t="str">
        <f t="shared" si="28"/>
        <v>NorthBound</v>
      </c>
      <c r="U98" s="13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13:17:54-0600',mode:absolute,to:'2016-08-15 16:07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98" s="55" t="str">
        <f t="shared" si="30"/>
        <v>N</v>
      </c>
      <c r="X98" s="129">
        <f t="shared" si="31"/>
        <v>1</v>
      </c>
      <c r="Y98" s="70">
        <f t="shared" si="32"/>
        <v>4.4600000000000001E-2</v>
      </c>
      <c r="Z98" s="70">
        <f t="shared" si="33"/>
        <v>23.334099999999999</v>
      </c>
      <c r="AA98" s="70">
        <f t="shared" si="34"/>
        <v>23.2895</v>
      </c>
      <c r="AB98" s="67" t="e">
        <f>VLOOKUP(A98,Enforcements!$C$7:$J$24,8,0)</f>
        <v>#N/A</v>
      </c>
      <c r="AC98" s="63" t="e">
        <f>VLOOKUP(A98,Enforcements!$C$7:$E$24,3,0)</f>
        <v>#N/A</v>
      </c>
      <c r="AD98" s="64" t="str">
        <f t="shared" si="35"/>
        <v>0185-15</v>
      </c>
      <c r="AE98" s="104" t="str">
        <f t="shared" si="36"/>
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</c>
      <c r="AF98" s="101" t="str">
        <f t="shared" si="37"/>
        <v>"C:\Program Files (x86)\AstroGrep\AstroGrep.exe" /spath="%USERPROFILE%\AppData\Local\Temp\OnboardLogs" /stypes="*4042*20160815*" /stext=" 21:.+((SYSTEM_STATE.+slice.+state.+changed )|(ment ac)|(system.+state.+changed )|(\|lc)|(penalty)|(\[timeout)|(PRM\|1\|D)|(kpr)|(kdp)|(\|loc))" /e /r /s</v>
      </c>
      <c r="AG98" s="1" t="str">
        <f t="shared" si="39"/>
        <v>EC</v>
      </c>
      <c r="AH98" s="105" t="str">
        <f t="shared" si="38"/>
        <v>"%USERPROFILE%\Documents\GitHub\eaglep3\Utilities\RefineRTDCRunTimes.py" --tripid 185-15 --locoid 4042 --swversion DE.1.0.7.0 --startMP 204:446 --initTime 2016-08-15T14:17:54 --startdatetime 2016-08-15T14:19:35 --delay 1 --endMP 204:233341 --enddatetime 2016-08-15T15:07:41 --enforcementcount 0</v>
      </c>
    </row>
    <row r="99" spans="1:34" x14ac:dyDescent="0.25">
      <c r="A99" s="40" t="s">
        <v>446</v>
      </c>
      <c r="B99" s="7">
        <v>4041</v>
      </c>
      <c r="C99" s="25" t="s">
        <v>119</v>
      </c>
      <c r="D99" s="25" t="s">
        <v>309</v>
      </c>
      <c r="E99" s="16">
        <v>42597.632650462961</v>
      </c>
      <c r="F99" s="16">
        <v>42597.633425925924</v>
      </c>
      <c r="G99" s="7">
        <v>1</v>
      </c>
      <c r="H99" s="16" t="s">
        <v>246</v>
      </c>
      <c r="I99" s="16">
        <v>42597.666319444441</v>
      </c>
      <c r="J99" s="7">
        <v>0</v>
      </c>
      <c r="K99" s="142" t="str">
        <f t="shared" si="24"/>
        <v>4041/4042</v>
      </c>
      <c r="L99" s="25" t="str">
        <f>VLOOKUP(A99,'Trips&amp;Operators'!$C$1:$E$10000,3,FALSE)</f>
        <v>SHOOK</v>
      </c>
      <c r="M99" s="6">
        <f t="shared" si="25"/>
        <v>3.2893518517084885E-2</v>
      </c>
      <c r="N99" s="7">
        <f t="shared" si="26"/>
        <v>47.366666664602235</v>
      </c>
      <c r="O99" s="7"/>
      <c r="P99" s="7"/>
      <c r="Q99" s="26"/>
      <c r="R99" s="26"/>
      <c r="S99" s="38">
        <f t="shared" si="27"/>
        <v>1</v>
      </c>
      <c r="T99" s="53" t="str">
        <f t="shared" si="28"/>
        <v>Southbound</v>
      </c>
      <c r="U99" s="13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14:11:01-0600',mode:absolute,to:'2016-08-15 16:59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99" s="55" t="str">
        <f t="shared" si="30"/>
        <v>N</v>
      </c>
      <c r="X99" s="129">
        <f t="shared" si="31"/>
        <v>1</v>
      </c>
      <c r="Y99" s="70">
        <f t="shared" si="32"/>
        <v>23.302600000000002</v>
      </c>
      <c r="Z99" s="70">
        <f t="shared" si="33"/>
        <v>1.29E-2</v>
      </c>
      <c r="AA99" s="70">
        <f t="shared" si="34"/>
        <v>23.289700000000003</v>
      </c>
      <c r="AB99" s="67">
        <f>VLOOKUP(A99,Enforcements!$C$7:$J$24,8,0)</f>
        <v>33257</v>
      </c>
      <c r="AC99" s="63" t="str">
        <f>VLOOKUP(A99,Enforcements!$C$7:$E$24,3,0)</f>
        <v>GRADE CROSSING</v>
      </c>
      <c r="AD99" s="64" t="str">
        <f t="shared" si="35"/>
        <v>0186-15</v>
      </c>
      <c r="AE99" s="104" t="str">
        <f t="shared" si="36"/>
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</c>
      <c r="AF99" s="101" t="str">
        <f t="shared" si="37"/>
        <v>"C:\Program Files (x86)\AstroGrep\AstroGrep.exe" /spath="%USERPROFILE%\AppData\Local\Temp\OnboardLogs" /stypes="*4041*20160815*" /stext=" 21:.+((SYSTEM_STATE.+slice.+state.+changed )|(ment ac)|(system.+state.+changed )|(\|lc)|(penalty)|(\[timeout)|(PRM\|1\|D)|(kpr)|(kdp)|(\|loc))" /e /r /s</v>
      </c>
      <c r="AG99" s="1" t="str">
        <f t="shared" si="39"/>
        <v>EC</v>
      </c>
      <c r="AH99" s="105" t="str">
        <f t="shared" si="38"/>
        <v>"%USERPROFILE%\Documents\GitHub\eaglep3\Utilities\RefineRTDCRunTimes.py" --tripid 186-15 --locoid 4041 --swversion DE.1.0.7.0 --startMP 204:233026 --initTime 2016-08-15T15:11:01 --startdatetime 2016-08-15T15:12:08 --delay 1 --endMP 204:129 --enddatetime 2016-08-15T15:59:30 --enforcementcount 0</v>
      </c>
    </row>
    <row r="100" spans="1:34" x14ac:dyDescent="0.25">
      <c r="A100" s="40" t="s">
        <v>447</v>
      </c>
      <c r="B100" s="7">
        <v>4044</v>
      </c>
      <c r="C100" s="25" t="s">
        <v>119</v>
      </c>
      <c r="D100" s="25" t="s">
        <v>150</v>
      </c>
      <c r="E100" s="16">
        <v>42597.61105324074</v>
      </c>
      <c r="F100" s="16">
        <v>42597.612083333333</v>
      </c>
      <c r="G100" s="7">
        <v>1</v>
      </c>
      <c r="H100" s="16" t="s">
        <v>315</v>
      </c>
      <c r="I100" s="16">
        <v>42597.642407407409</v>
      </c>
      <c r="J100" s="7">
        <v>0</v>
      </c>
      <c r="K100" s="142" t="str">
        <f t="shared" si="24"/>
        <v>4043/4044</v>
      </c>
      <c r="L100" s="25" t="str">
        <f>VLOOKUP(A100,'Trips&amp;Operators'!$C$1:$E$10000,3,FALSE)</f>
        <v>STEWART</v>
      </c>
      <c r="M100" s="6">
        <f t="shared" si="25"/>
        <v>3.0324074075906537E-2</v>
      </c>
      <c r="N100" s="7">
        <f t="shared" si="26"/>
        <v>43.666666669305414</v>
      </c>
      <c r="O100" s="7"/>
      <c r="P100" s="7"/>
      <c r="Q100" s="26"/>
      <c r="R100" s="26"/>
      <c r="S100" s="38">
        <f t="shared" si="27"/>
        <v>1</v>
      </c>
      <c r="T100" s="53" t="str">
        <f t="shared" si="28"/>
        <v>NorthBound</v>
      </c>
      <c r="U100" s="13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13:39:55-0600',mode:absolute,to:'2016-08-15 16:25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00" s="55" t="str">
        <f t="shared" si="30"/>
        <v>N</v>
      </c>
      <c r="X100" s="129">
        <f t="shared" si="31"/>
        <v>1</v>
      </c>
      <c r="Y100" s="70">
        <f t="shared" si="32"/>
        <v>4.8800000000000003E-2</v>
      </c>
      <c r="Z100" s="70">
        <f t="shared" si="33"/>
        <v>23.3278</v>
      </c>
      <c r="AA100" s="70">
        <f t="shared" si="34"/>
        <v>23.279</v>
      </c>
      <c r="AB100" s="67" t="e">
        <f>VLOOKUP(A100,Enforcements!$C$7:$J$24,8,0)</f>
        <v>#N/A</v>
      </c>
      <c r="AC100" s="63" t="e">
        <f>VLOOKUP(A100,Enforcements!$C$7:$E$24,3,0)</f>
        <v>#N/A</v>
      </c>
      <c r="AD100" s="64" t="str">
        <f t="shared" si="35"/>
        <v>0187-15</v>
      </c>
      <c r="AE100" s="104" t="str">
        <f t="shared" si="36"/>
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</c>
      <c r="AF100" s="101" t="str">
        <f t="shared" si="37"/>
        <v>"C:\Program Files (x86)\AstroGrep\AstroGrep.exe" /spath="%USERPROFILE%\AppData\Local\Temp\OnboardLogs" /stypes="*4044*20160815*" /stext=" 21:.+((SYSTEM_STATE.+slice.+state.+changed )|(ment ac)|(system.+state.+changed )|(\|lc)|(penalty)|(\[timeout)|(PRM\|1\|D)|(kpr)|(kdp)|(\|loc))" /e /r /s</v>
      </c>
      <c r="AG100" s="1" t="str">
        <f t="shared" si="39"/>
        <v>EC</v>
      </c>
      <c r="AH100" s="105" t="str">
        <f t="shared" si="38"/>
        <v>"%USERPROFILE%\Documents\GitHub\eaglep3\Utilities\RefineRTDCRunTimes.py" --tripid 187-15 --locoid 4044 --swversion DE.1.0.7.0 --startMP 204:488 --initTime 2016-08-15T14:39:55 --startdatetime 2016-08-15T14:41:24 --delay 1 --endMP 204:233278 --enddatetime 2016-08-15T15:25:04 --enforcementcount 0</v>
      </c>
    </row>
    <row r="101" spans="1:34" x14ac:dyDescent="0.25">
      <c r="A101" s="40" t="s">
        <v>448</v>
      </c>
      <c r="B101" s="7">
        <v>4043</v>
      </c>
      <c r="C101" s="25" t="s">
        <v>119</v>
      </c>
      <c r="D101" s="25" t="s">
        <v>369</v>
      </c>
      <c r="E101" s="16">
        <v>42597.643495370372</v>
      </c>
      <c r="F101" s="16">
        <v>42597.644814814812</v>
      </c>
      <c r="G101" s="7">
        <v>1</v>
      </c>
      <c r="H101" s="16" t="s">
        <v>159</v>
      </c>
      <c r="I101" s="16">
        <v>42597.674479166664</v>
      </c>
      <c r="J101" s="7">
        <v>0</v>
      </c>
      <c r="K101" s="142" t="str">
        <f t="shared" si="24"/>
        <v>4043/4044</v>
      </c>
      <c r="L101" s="25" t="str">
        <f>VLOOKUP(A101,'Trips&amp;Operators'!$C$1:$E$10000,3,FALSE)</f>
        <v>STEWART</v>
      </c>
      <c r="M101" s="6">
        <f t="shared" si="25"/>
        <v>2.9664351852261461E-2</v>
      </c>
      <c r="N101" s="7">
        <f t="shared" si="26"/>
        <v>42.716666667256504</v>
      </c>
      <c r="O101" s="7"/>
      <c r="P101" s="7"/>
      <c r="Q101" s="26"/>
      <c r="R101" s="26"/>
      <c r="S101" s="38">
        <f t="shared" si="27"/>
        <v>1</v>
      </c>
      <c r="T101" s="53" t="str">
        <f t="shared" si="28"/>
        <v>Southbound</v>
      </c>
      <c r="U101" s="13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14:26:38-0600',mode:absolute,to:'2016-08-15 17:11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01" s="55" t="str">
        <f t="shared" si="30"/>
        <v>N</v>
      </c>
      <c r="X101" s="129">
        <f t="shared" si="31"/>
        <v>1</v>
      </c>
      <c r="Y101" s="70">
        <f t="shared" si="32"/>
        <v>23.2972</v>
      </c>
      <c r="Z101" s="70">
        <f t="shared" si="33"/>
        <v>1.6299999999999999E-2</v>
      </c>
      <c r="AA101" s="70">
        <f t="shared" si="34"/>
        <v>23.280899999999999</v>
      </c>
      <c r="AB101" s="67">
        <f>VLOOKUP(A101,Enforcements!$C$7:$J$24,8,0)</f>
        <v>33257</v>
      </c>
      <c r="AC101" s="63" t="str">
        <f>VLOOKUP(A101,Enforcements!$C$7:$E$24,3,0)</f>
        <v>GRADE CROSSING</v>
      </c>
      <c r="AD101" s="64" t="str">
        <f t="shared" si="35"/>
        <v>0188-15</v>
      </c>
      <c r="AE101" s="104" t="str">
        <f t="shared" si="36"/>
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</c>
      <c r="AF101" s="101" t="str">
        <f t="shared" si="37"/>
        <v>"C:\Program Files (x86)\AstroGrep\AstroGrep.exe" /spath="%USERPROFILE%\AppData\Local\Temp\OnboardLogs" /stypes="*4043*20160815*" /stext=" 22:.+((SYSTEM_STATE.+slice.+state.+changed )|(ment ac)|(system.+state.+changed )|(\|lc)|(penalty)|(\[timeout)|(PRM\|1\|D)|(kpr)|(kdp)|(\|loc))" /e /r /s</v>
      </c>
      <c r="AG101" s="1" t="str">
        <f t="shared" si="39"/>
        <v>EC</v>
      </c>
      <c r="AH101" s="105" t="str">
        <f t="shared" si="38"/>
        <v>"%USERPROFILE%\Documents\GitHub\eaglep3\Utilities\RefineRTDCRunTimes.py" --tripid 188-15 --locoid 4043 --swversion DE.1.0.7.0 --startMP 204:232972 --initTime 2016-08-15T15:26:38 --startdatetime 2016-08-15T15:28:32 --delay 1 --endMP 204:163 --enddatetime 2016-08-15T16:11:15 --enforcementcount 0</v>
      </c>
    </row>
    <row r="102" spans="1:34" s="24" customFormat="1" x14ac:dyDescent="0.25">
      <c r="A102" s="40" t="s">
        <v>449</v>
      </c>
      <c r="B102" s="7">
        <v>4027</v>
      </c>
      <c r="C102" s="25" t="s">
        <v>119</v>
      </c>
      <c r="D102" s="25" t="s">
        <v>205</v>
      </c>
      <c r="E102" s="16">
        <v>42597.617430555554</v>
      </c>
      <c r="F102" s="16">
        <v>42597.618321759262</v>
      </c>
      <c r="G102" s="7">
        <v>1</v>
      </c>
      <c r="H102" s="16" t="s">
        <v>163</v>
      </c>
      <c r="I102" s="16">
        <v>42597.644976851851</v>
      </c>
      <c r="J102" s="7">
        <v>0</v>
      </c>
      <c r="K102" s="142" t="str">
        <f t="shared" si="24"/>
        <v>4027/4028</v>
      </c>
      <c r="L102" s="25" t="str">
        <f>VLOOKUP(A102,'Trips&amp;Operators'!$C$1:$E$10000,3,FALSE)</f>
        <v>BARTLETT</v>
      </c>
      <c r="M102" s="6">
        <f t="shared" si="25"/>
        <v>2.6655092588043772E-2</v>
      </c>
      <c r="N102" s="7">
        <f t="shared" si="26"/>
        <v>38.383333326783031</v>
      </c>
      <c r="O102" s="7"/>
      <c r="P102" s="7"/>
      <c r="Q102" s="26"/>
      <c r="R102" s="26"/>
      <c r="S102" s="38">
        <f t="shared" si="27"/>
        <v>1</v>
      </c>
      <c r="T102" s="53" t="str">
        <f t="shared" si="28"/>
        <v>NorthBound</v>
      </c>
      <c r="U102" s="13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13:49:06-0600',mode:absolute,to:'2016-08-15 16:28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02" s="55" t="str">
        <f t="shared" si="30"/>
        <v>N</v>
      </c>
      <c r="X102" s="129">
        <f t="shared" si="31"/>
        <v>1</v>
      </c>
      <c r="Y102" s="70">
        <f t="shared" si="32"/>
        <v>4.3799999999999999E-2</v>
      </c>
      <c r="Z102" s="70">
        <f t="shared" si="33"/>
        <v>23.332000000000001</v>
      </c>
      <c r="AA102" s="70">
        <f t="shared" si="34"/>
        <v>23.2882</v>
      </c>
      <c r="AB102" s="67" t="e">
        <f>VLOOKUP(A102,Enforcements!$C$7:$J$24,8,0)</f>
        <v>#N/A</v>
      </c>
      <c r="AC102" s="63" t="e">
        <f>VLOOKUP(A102,Enforcements!$C$7:$E$24,3,0)</f>
        <v>#N/A</v>
      </c>
      <c r="AD102" s="64" t="str">
        <f t="shared" si="35"/>
        <v>0189-15</v>
      </c>
      <c r="AE102" s="104" t="str">
        <f t="shared" si="36"/>
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</c>
      <c r="AF102" s="101" t="str">
        <f t="shared" si="37"/>
        <v>"C:\Program Files (x86)\AstroGrep\AstroGrep.exe" /spath="%USERPROFILE%\AppData\Local\Temp\OnboardLogs" /stypes="*4027*20160815*" /stext=" 21:.+((SYSTEM_STATE.+slice.+state.+changed )|(ment ac)|(system.+state.+changed )|(\|lc)|(penalty)|(\[timeout)|(PRM\|1\|D)|(kpr)|(kdp)|(\|loc))" /e /r /s</v>
      </c>
      <c r="AG102" s="1" t="str">
        <f t="shared" si="39"/>
        <v>EC</v>
      </c>
      <c r="AH102" s="105" t="str">
        <f t="shared" si="38"/>
        <v>"%USERPROFILE%\Documents\GitHub\eaglep3\Utilities\RefineRTDCRunTimes.py" --tripid 189-15 --locoid 4027 --swversion DE.1.0.7.0 --startMP 204:438 --initTime 2016-08-15T14:49:06 --startdatetime 2016-08-15T14:50:23 --delay 1 --endMP 204:233320 --enddatetime 2016-08-15T15:28:46 --enforcementcount 0</v>
      </c>
    </row>
    <row r="103" spans="1:34" s="24" customFormat="1" x14ac:dyDescent="0.25">
      <c r="A103" s="40" t="s">
        <v>450</v>
      </c>
      <c r="B103" s="7">
        <v>4028</v>
      </c>
      <c r="C103" s="25" t="s">
        <v>119</v>
      </c>
      <c r="D103" s="25" t="s">
        <v>451</v>
      </c>
      <c r="E103" s="16">
        <v>42597.650046296294</v>
      </c>
      <c r="F103" s="16">
        <v>42597.651076388887</v>
      </c>
      <c r="G103" s="7">
        <v>1</v>
      </c>
      <c r="H103" s="16" t="s">
        <v>92</v>
      </c>
      <c r="I103" s="16">
        <v>42597.683125000003</v>
      </c>
      <c r="J103" s="7">
        <v>0</v>
      </c>
      <c r="K103" s="142" t="str">
        <f t="shared" si="24"/>
        <v>4027/4028</v>
      </c>
      <c r="L103" s="25" t="str">
        <f>VLOOKUP(A103,'Trips&amp;Operators'!$C$1:$E$10000,3,FALSE)</f>
        <v>BARTLETT</v>
      </c>
      <c r="M103" s="6">
        <f t="shared" si="25"/>
        <v>3.2048611115897074E-2</v>
      </c>
      <c r="N103" s="7">
        <f t="shared" si="26"/>
        <v>46.150000006891787</v>
      </c>
      <c r="O103" s="7"/>
      <c r="P103" s="7"/>
      <c r="Q103" s="26"/>
      <c r="R103" s="26"/>
      <c r="S103" s="38">
        <f t="shared" si="27"/>
        <v>1</v>
      </c>
      <c r="T103" s="53" t="str">
        <f t="shared" si="28"/>
        <v>Southbound</v>
      </c>
      <c r="U103" s="13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14:36:04-0600',mode:absolute,to:'2016-08-15 17:23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03" s="55" t="str">
        <f t="shared" si="30"/>
        <v>N</v>
      </c>
      <c r="X103" s="129">
        <f t="shared" si="31"/>
        <v>1</v>
      </c>
      <c r="Y103" s="70">
        <f t="shared" si="32"/>
        <v>23.2988</v>
      </c>
      <c r="Z103" s="70">
        <f t="shared" si="33"/>
        <v>1.43E-2</v>
      </c>
      <c r="AA103" s="70">
        <f t="shared" si="34"/>
        <v>23.284500000000001</v>
      </c>
      <c r="AB103" s="67" t="e">
        <f>VLOOKUP(A103,Enforcements!$C$7:$J$24,8,0)</f>
        <v>#N/A</v>
      </c>
      <c r="AC103" s="63" t="e">
        <f>VLOOKUP(A103,Enforcements!$C$7:$E$24,3,0)</f>
        <v>#N/A</v>
      </c>
      <c r="AD103" s="64" t="str">
        <f t="shared" si="35"/>
        <v>0190-15</v>
      </c>
      <c r="AE103" s="104" t="str">
        <f t="shared" si="36"/>
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</c>
      <c r="AF103" s="101" t="str">
        <f t="shared" si="37"/>
        <v>"C:\Program Files (x86)\AstroGrep\AstroGrep.exe" /spath="%USERPROFILE%\AppData\Local\Temp\OnboardLogs" /stypes="*4028*20160815*" /stext=" 22:.+((SYSTEM_STATE.+slice.+state.+changed )|(ment ac)|(system.+state.+changed )|(\|lc)|(penalty)|(\[timeout)|(PRM\|1\|D)|(kpr)|(kdp)|(\|loc))" /e /r /s</v>
      </c>
      <c r="AG103" s="1" t="str">
        <f t="shared" si="39"/>
        <v>EC</v>
      </c>
      <c r="AH103" s="105" t="str">
        <f t="shared" si="38"/>
        <v>"%USERPROFILE%\Documents\GitHub\eaglep3\Utilities\RefineRTDCRunTimes.py" --tripid 190-15 --locoid 4028 --swversion DE.1.0.7.0 --startMP 204:232988 --initTime 2016-08-15T15:36:04 --startdatetime 2016-08-15T15:37:33 --delay 1 --endMP 204:143 --enddatetime 2016-08-15T16:23:42 --enforcementcount 0</v>
      </c>
    </row>
    <row r="104" spans="1:34" x14ac:dyDescent="0.25">
      <c r="A104" s="40" t="s">
        <v>452</v>
      </c>
      <c r="B104" s="7">
        <v>4020</v>
      </c>
      <c r="C104" s="25" t="s">
        <v>119</v>
      </c>
      <c r="D104" s="25" t="s">
        <v>133</v>
      </c>
      <c r="E104" s="16">
        <v>42597.629976851851</v>
      </c>
      <c r="F104" s="16">
        <v>42597.63113425926</v>
      </c>
      <c r="G104" s="7">
        <v>1</v>
      </c>
      <c r="H104" s="16" t="s">
        <v>161</v>
      </c>
      <c r="I104" s="16">
        <v>42597.659062500003</v>
      </c>
      <c r="J104" s="7">
        <v>0</v>
      </c>
      <c r="K104" s="142" t="str">
        <f t="shared" si="24"/>
        <v>4019/4020</v>
      </c>
      <c r="L104" s="25" t="str">
        <f>VLOOKUP(A104,'Trips&amp;Operators'!$C$1:$E$10000,3,FALSE)</f>
        <v>HAITHCOX</v>
      </c>
      <c r="M104" s="6">
        <f t="shared" si="25"/>
        <v>2.792824074276723E-2</v>
      </c>
      <c r="N104" s="7">
        <f t="shared" si="26"/>
        <v>40.216666669584811</v>
      </c>
      <c r="O104" s="7"/>
      <c r="P104" s="7"/>
      <c r="Q104" s="26"/>
      <c r="R104" s="26"/>
      <c r="S104" s="38">
        <f t="shared" si="27"/>
        <v>1</v>
      </c>
      <c r="T104" s="53" t="str">
        <f t="shared" si="28"/>
        <v>NorthBound</v>
      </c>
      <c r="U104" s="13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14:07:10-0600',mode:absolute,to:'2016-08-15 16:49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04" s="55" t="str">
        <f t="shared" si="30"/>
        <v>N</v>
      </c>
      <c r="X104" s="129">
        <f t="shared" si="31"/>
        <v>1</v>
      </c>
      <c r="Y104" s="70">
        <f t="shared" si="32"/>
        <v>4.5499999999999999E-2</v>
      </c>
      <c r="Z104" s="70">
        <f t="shared" si="33"/>
        <v>23.331</v>
      </c>
      <c r="AA104" s="70">
        <f t="shared" si="34"/>
        <v>23.285499999999999</v>
      </c>
      <c r="AB104" s="67" t="e">
        <f>VLOOKUP(A104,Enforcements!$C$7:$J$24,8,0)</f>
        <v>#N/A</v>
      </c>
      <c r="AC104" s="63" t="e">
        <f>VLOOKUP(A104,Enforcements!$C$7:$E$24,3,0)</f>
        <v>#N/A</v>
      </c>
      <c r="AD104" s="64" t="str">
        <f t="shared" si="35"/>
        <v>0191-15</v>
      </c>
      <c r="AE104" s="104" t="str">
        <f t="shared" si="36"/>
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</c>
      <c r="AF104" s="101" t="str">
        <f t="shared" si="37"/>
        <v>"C:\Program Files (x86)\AstroGrep\AstroGrep.exe" /spath="%USERPROFILE%\AppData\Local\Temp\OnboardLogs" /stypes="*4020*20160815*" /stext=" 21:.+((SYSTEM_STATE.+slice.+state.+changed )|(ment ac)|(system.+state.+changed )|(\|lc)|(penalty)|(\[timeout)|(PRM\|1\|D)|(kpr)|(kdp)|(\|loc))" /e /r /s</v>
      </c>
      <c r="AG104" s="1" t="str">
        <f t="shared" si="39"/>
        <v>EC</v>
      </c>
      <c r="AH104" s="105" t="str">
        <f t="shared" si="38"/>
        <v>"%USERPROFILE%\Documents\GitHub\eaglep3\Utilities\RefineRTDCRunTimes.py" --tripid 191-15 --locoid 4020 --swversion DE.1.0.7.0 --startMP 204:455 --initTime 2016-08-15T15:07:10 --startdatetime 2016-08-15T15:08:50 --delay 1 --endMP 204:233310 --enddatetime 2016-08-15T15:49:03 --enforcementcount 0</v>
      </c>
    </row>
    <row r="105" spans="1:34" x14ac:dyDescent="0.25">
      <c r="A105" s="40" t="s">
        <v>453</v>
      </c>
      <c r="B105" s="7">
        <v>4019</v>
      </c>
      <c r="C105" s="25" t="s">
        <v>119</v>
      </c>
      <c r="D105" s="25" t="s">
        <v>193</v>
      </c>
      <c r="E105" s="16">
        <v>42597.660543981481</v>
      </c>
      <c r="F105" s="16">
        <v>42597.661319444444</v>
      </c>
      <c r="G105" s="7">
        <v>1</v>
      </c>
      <c r="H105" s="16" t="s">
        <v>139</v>
      </c>
      <c r="I105" s="16">
        <v>42597.691527777781</v>
      </c>
      <c r="J105" s="7">
        <v>0</v>
      </c>
      <c r="K105" s="142" t="str">
        <f t="shared" si="24"/>
        <v>4019/4020</v>
      </c>
      <c r="L105" s="25" t="str">
        <f>VLOOKUP(A105,'Trips&amp;Operators'!$C$1:$E$10000,3,FALSE)</f>
        <v>HAITHCOX</v>
      </c>
      <c r="M105" s="6">
        <f t="shared" si="25"/>
        <v>3.0208333337213844E-2</v>
      </c>
      <c r="N105" s="7">
        <f t="shared" si="26"/>
        <v>43.500000005587935</v>
      </c>
      <c r="O105" s="7"/>
      <c r="P105" s="7"/>
      <c r="Q105" s="26"/>
      <c r="R105" s="26"/>
      <c r="S105" s="38">
        <f t="shared" si="27"/>
        <v>1</v>
      </c>
      <c r="T105" s="53" t="str">
        <f t="shared" si="28"/>
        <v>Southbound</v>
      </c>
      <c r="U105" s="13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14:51:11-0600',mode:absolute,to:'2016-08-15 17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05" s="55" t="str">
        <f t="shared" si="30"/>
        <v>N</v>
      </c>
      <c r="X105" s="129">
        <f t="shared" si="31"/>
        <v>1</v>
      </c>
      <c r="Y105" s="70">
        <f t="shared" si="32"/>
        <v>23.298100000000002</v>
      </c>
      <c r="Z105" s="70">
        <f t="shared" si="33"/>
        <v>1.5800000000000002E-2</v>
      </c>
      <c r="AA105" s="70">
        <f t="shared" si="34"/>
        <v>23.282300000000003</v>
      </c>
      <c r="AB105" s="67" t="e">
        <f>VLOOKUP(A105,Enforcements!$C$7:$J$24,8,0)</f>
        <v>#N/A</v>
      </c>
      <c r="AC105" s="63" t="e">
        <f>VLOOKUP(A105,Enforcements!$C$7:$E$24,3,0)</f>
        <v>#N/A</v>
      </c>
      <c r="AD105" s="64" t="str">
        <f t="shared" si="35"/>
        <v>0192-15</v>
      </c>
      <c r="AE105" s="104" t="str">
        <f t="shared" si="36"/>
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</c>
      <c r="AF105" s="101" t="str">
        <f t="shared" si="37"/>
        <v>"C:\Program Files (x86)\AstroGrep\AstroGrep.exe" /spath="%USERPROFILE%\AppData\Local\Temp\OnboardLogs" /stypes="*4019*20160815*" /stext=" 22:.+((SYSTEM_STATE.+slice.+state.+changed )|(ment ac)|(system.+state.+changed )|(\|lc)|(penalty)|(\[timeout)|(PRM\|1\|D)|(kpr)|(kdp)|(\|loc))" /e /r /s</v>
      </c>
      <c r="AG105" s="1" t="str">
        <f t="shared" si="39"/>
        <v>EC</v>
      </c>
      <c r="AH105" s="105" t="str">
        <f t="shared" si="38"/>
        <v>"%USERPROFILE%\Documents\GitHub\eaglep3\Utilities\RefineRTDCRunTimes.py" --tripid 192-15 --locoid 4019 --swversion DE.1.0.7.0 --startMP 204:232981 --initTime 2016-08-15T15:51:11 --startdatetime 2016-08-15T15:52:18 --delay 1 --endMP 204:158 --enddatetime 2016-08-15T16:35:48 --enforcementcount 0</v>
      </c>
    </row>
    <row r="106" spans="1:34" s="24" customFormat="1" x14ac:dyDescent="0.25">
      <c r="A106" s="40" t="s">
        <v>454</v>
      </c>
      <c r="B106" s="7">
        <v>4038</v>
      </c>
      <c r="C106" s="25" t="s">
        <v>119</v>
      </c>
      <c r="D106" s="25" t="s">
        <v>307</v>
      </c>
      <c r="E106" s="16">
        <v>42597.634143518517</v>
      </c>
      <c r="F106" s="16">
        <v>42597.636157407411</v>
      </c>
      <c r="G106" s="7">
        <v>2</v>
      </c>
      <c r="H106" s="16" t="s">
        <v>288</v>
      </c>
      <c r="I106" s="16">
        <v>42597.663888888892</v>
      </c>
      <c r="J106" s="7">
        <v>0</v>
      </c>
      <c r="K106" s="142" t="str">
        <f t="shared" si="24"/>
        <v>4037/4038</v>
      </c>
      <c r="L106" s="25" t="str">
        <f>VLOOKUP(A106,'Trips&amp;Operators'!$C$1:$E$10000,3,FALSE)</f>
        <v>MAYBERRY</v>
      </c>
      <c r="M106" s="6">
        <f t="shared" si="25"/>
        <v>2.7731481481168885E-2</v>
      </c>
      <c r="N106" s="7">
        <f t="shared" si="26"/>
        <v>39.933333332883194</v>
      </c>
      <c r="O106" s="7"/>
      <c r="P106" s="7"/>
      <c r="Q106" s="26"/>
      <c r="R106" s="26"/>
      <c r="S106" s="38">
        <f t="shared" si="27"/>
        <v>1</v>
      </c>
      <c r="T106" s="53" t="str">
        <f t="shared" si="28"/>
        <v>NorthBound</v>
      </c>
      <c r="U106" s="13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14:13:10-0600',mode:absolute,to:'2016-08-15 16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06" s="55" t="str">
        <f t="shared" si="30"/>
        <v>N</v>
      </c>
      <c r="X106" s="129">
        <f t="shared" si="31"/>
        <v>1</v>
      </c>
      <c r="Y106" s="70">
        <f t="shared" si="32"/>
        <v>4.7300000000000002E-2</v>
      </c>
      <c r="Z106" s="70">
        <f t="shared" si="33"/>
        <v>23.328600000000002</v>
      </c>
      <c r="AA106" s="70">
        <f t="shared" si="34"/>
        <v>23.281300000000002</v>
      </c>
      <c r="AB106" s="67">
        <f>VLOOKUP(A106,Enforcements!$C$7:$J$24,8,0)</f>
        <v>0</v>
      </c>
      <c r="AC106" s="63" t="str">
        <f>VLOOKUP(A106,Enforcements!$C$7:$E$24,3,0)</f>
        <v>PERMANENT SPEED RESTRICTION</v>
      </c>
      <c r="AD106" s="64" t="str">
        <f t="shared" si="35"/>
        <v>0193-15</v>
      </c>
      <c r="AE106" s="104" t="str">
        <f t="shared" si="36"/>
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</c>
      <c r="AF106" s="101" t="str">
        <f t="shared" si="37"/>
        <v>"C:\Program Files (x86)\AstroGrep\AstroGrep.exe" /spath="%USERPROFILE%\AppData\Local\Temp\OnboardLogs" /stypes="*4038*20160815*" /stext=" 21:.+((SYSTEM_STATE.+slice.+state.+changed )|(ment ac)|(system.+state.+changed )|(\|lc)|(penalty)|(\[timeout)|(PRM\|1\|D)|(kpr)|(kdp)|(\|loc))" /e /r /s</v>
      </c>
      <c r="AG106" s="1" t="str">
        <f t="shared" si="39"/>
        <v>EC</v>
      </c>
      <c r="AH106" s="105" t="str">
        <f t="shared" si="38"/>
        <v>"%USERPROFILE%\Documents\GitHub\eaglep3\Utilities\RefineRTDCRunTimes.py" --tripid 193-15 --locoid 4038 --swversion DE.1.0.7.0 --startMP 204:473 --initTime 2016-08-15T15:13:10 --startdatetime 2016-08-15T15:16:04 --delay 2 --endMP 204:233286 --enddatetime 2016-08-15T15:56:00 --enforcementcount 0</v>
      </c>
    </row>
    <row r="107" spans="1:34" x14ac:dyDescent="0.25">
      <c r="A107" s="40" t="s">
        <v>455</v>
      </c>
      <c r="B107" s="7">
        <v>4037</v>
      </c>
      <c r="C107" s="25" t="s">
        <v>119</v>
      </c>
      <c r="D107" s="25" t="s">
        <v>284</v>
      </c>
      <c r="E107" s="16">
        <v>42597.665532407409</v>
      </c>
      <c r="F107" s="16">
        <v>42597.668356481481</v>
      </c>
      <c r="G107" s="7">
        <v>4</v>
      </c>
      <c r="H107" s="16" t="s">
        <v>252</v>
      </c>
      <c r="I107" s="16">
        <v>42597.704155092593</v>
      </c>
      <c r="J107" s="7">
        <v>0</v>
      </c>
      <c r="K107" s="142" t="str">
        <f t="shared" si="24"/>
        <v>4037/4038</v>
      </c>
      <c r="L107" s="25" t="str">
        <f>VLOOKUP(A107,'Trips&amp;Operators'!$C$1:$E$10000,3,FALSE)</f>
        <v>MAYBERRY</v>
      </c>
      <c r="M107" s="6">
        <f t="shared" si="25"/>
        <v>3.5798611112113576E-2</v>
      </c>
      <c r="N107" s="7">
        <f t="shared" si="26"/>
        <v>51.55000000144355</v>
      </c>
      <c r="O107" s="7"/>
      <c r="P107" s="7"/>
      <c r="Q107" s="26"/>
      <c r="R107" s="26"/>
      <c r="S107" s="38">
        <f t="shared" si="27"/>
        <v>1</v>
      </c>
      <c r="T107" s="53" t="str">
        <f t="shared" si="28"/>
        <v>Southbound</v>
      </c>
      <c r="U107" s="13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14:58:22-0600',mode:absolute,to:'2016-08-15 17:53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07" s="55" t="str">
        <f t="shared" si="30"/>
        <v>N</v>
      </c>
      <c r="X107" s="129">
        <f t="shared" si="31"/>
        <v>1</v>
      </c>
      <c r="Y107" s="70">
        <f t="shared" si="32"/>
        <v>23.2971</v>
      </c>
      <c r="Z107" s="70">
        <f t="shared" si="33"/>
        <v>1.2699999999999999E-2</v>
      </c>
      <c r="AA107" s="70">
        <f t="shared" si="34"/>
        <v>23.284400000000002</v>
      </c>
      <c r="AB107" s="67" t="e">
        <f>VLOOKUP(A107,Enforcements!$C$7:$J$24,8,0)</f>
        <v>#N/A</v>
      </c>
      <c r="AC107" s="63" t="e">
        <f>VLOOKUP(A107,Enforcements!$C$7:$E$24,3,0)</f>
        <v>#N/A</v>
      </c>
      <c r="AD107" s="64" t="str">
        <f t="shared" si="35"/>
        <v>0194-15</v>
      </c>
      <c r="AE107" s="104" t="str">
        <f t="shared" si="36"/>
        <v>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 &amp; 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</v>
      </c>
      <c r="AF107" s="101" t="str">
        <f t="shared" si="37"/>
        <v>"C:\Program Files (x86)\AstroGrep\AstroGrep.exe" /spath="%USERPROFILE%\AppData\Local\Temp\OnboardLogs" /stypes="*4037*20160815*" /stext=" 22:.+((SYSTEM_STATE.+slice.+state.+changed )|(ment ac)|(system.+state.+changed )|(\|lc)|(penalty)|(\[timeout)|(PRM\|1\|D)|(kpr)|(kdp)|(\|loc))" /e /r /s</v>
      </c>
      <c r="AG107" s="1" t="str">
        <f t="shared" si="39"/>
        <v>EC</v>
      </c>
      <c r="AH107" s="105" t="str">
        <f t="shared" si="38"/>
        <v>"%USERPROFILE%\Documents\GitHub\eaglep3\Utilities\RefineRTDCRunTimes.py" --tripid 194-15 --locoid 4037 --swversion DE.1.0.7.0 --startMP 204:232971 --initTime 2016-08-15T15:58:22 --startdatetime 2016-08-15T16:02:26 --delay 4 --endMP 204:127 --enddatetime 2016-08-15T16:53:59 --enforcementcount 0</v>
      </c>
    </row>
    <row r="108" spans="1:34" x14ac:dyDescent="0.25">
      <c r="A108" s="40" t="s">
        <v>456</v>
      </c>
      <c r="B108" s="7">
        <v>4031</v>
      </c>
      <c r="C108" s="25" t="s">
        <v>119</v>
      </c>
      <c r="D108" s="25" t="s">
        <v>154</v>
      </c>
      <c r="E108" s="16">
        <v>42597.649247685185</v>
      </c>
      <c r="F108" s="16">
        <v>42597.650324074071</v>
      </c>
      <c r="G108" s="7">
        <v>1</v>
      </c>
      <c r="H108" s="16" t="s">
        <v>266</v>
      </c>
      <c r="I108" s="16">
        <v>42597.680509259262</v>
      </c>
      <c r="J108" s="7">
        <v>0</v>
      </c>
      <c r="K108" s="142" t="str">
        <f t="shared" si="24"/>
        <v>4031/4032</v>
      </c>
      <c r="L108" s="25" t="str">
        <f>VLOOKUP(A108,'Trips&amp;Operators'!$C$1:$E$10000,3,FALSE)</f>
        <v>YOUNG</v>
      </c>
      <c r="M108" s="6">
        <f t="shared" si="25"/>
        <v>3.0185185190930497E-2</v>
      </c>
      <c r="N108" s="7">
        <f t="shared" si="26"/>
        <v>43.466666674939916</v>
      </c>
      <c r="O108" s="7"/>
      <c r="P108" s="7"/>
      <c r="Q108" s="26"/>
      <c r="R108" s="26"/>
      <c r="S108" s="38">
        <f t="shared" si="27"/>
        <v>1</v>
      </c>
      <c r="T108" s="53" t="str">
        <f t="shared" si="28"/>
        <v>NorthBound</v>
      </c>
      <c r="U108" s="13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14:34:55-0600',mode:absolute,to:'2016-08-15 17:19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08" s="55" t="str">
        <f t="shared" si="30"/>
        <v>N</v>
      </c>
      <c r="X108" s="129">
        <f t="shared" si="31"/>
        <v>1</v>
      </c>
      <c r="Y108" s="70">
        <f t="shared" si="32"/>
        <v>4.58E-2</v>
      </c>
      <c r="Z108" s="70">
        <f t="shared" si="33"/>
        <v>23.332699999999999</v>
      </c>
      <c r="AA108" s="70">
        <f t="shared" si="34"/>
        <v>23.286899999999999</v>
      </c>
      <c r="AB108" s="67" t="e">
        <f>VLOOKUP(A108,Enforcements!$C$7:$J$24,8,0)</f>
        <v>#N/A</v>
      </c>
      <c r="AC108" s="63" t="e">
        <f>VLOOKUP(A108,Enforcements!$C$7:$E$24,3,0)</f>
        <v>#N/A</v>
      </c>
      <c r="AD108" s="64" t="str">
        <f t="shared" si="35"/>
        <v>0195-15</v>
      </c>
      <c r="AE108" s="104" t="str">
        <f t="shared" si="36"/>
        <v>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 &amp; 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</v>
      </c>
      <c r="AF108" s="101" t="str">
        <f t="shared" si="37"/>
        <v>"C:\Program Files (x86)\AstroGrep\AstroGrep.exe" /spath="%USERPROFILE%\AppData\Local\Temp\OnboardLogs" /stypes="*4031*20160815*" /stext=" 22:.+((SYSTEM_STATE.+slice.+state.+changed )|(ment ac)|(system.+state.+changed )|(\|lc)|(penalty)|(\[timeout)|(PRM\|1\|D)|(kpr)|(kdp)|(\|loc))" /e /r /s</v>
      </c>
      <c r="AG108" s="1" t="str">
        <f t="shared" si="39"/>
        <v>EC</v>
      </c>
      <c r="AH108" s="105" t="str">
        <f t="shared" si="38"/>
        <v>"%USERPROFILE%\Documents\GitHub\eaglep3\Utilities\RefineRTDCRunTimes.py" --tripid 195-15 --locoid 4031 --swversion DE.1.0.7.0 --startMP 204:458 --initTime 2016-08-15T15:34:55 --startdatetime 2016-08-15T15:36:28 --delay 1 --endMP 204:233327 --enddatetime 2016-08-15T16:19:56 --enforcementcount 0</v>
      </c>
    </row>
    <row r="109" spans="1:34" x14ac:dyDescent="0.25">
      <c r="A109" s="40" t="s">
        <v>457</v>
      </c>
      <c r="B109" s="7">
        <v>4032</v>
      </c>
      <c r="C109" s="25" t="s">
        <v>119</v>
      </c>
      <c r="D109" s="25" t="s">
        <v>306</v>
      </c>
      <c r="E109" s="16">
        <v>42597.682118055556</v>
      </c>
      <c r="F109" s="16">
        <v>42597.683067129627</v>
      </c>
      <c r="G109" s="7">
        <v>1</v>
      </c>
      <c r="H109" s="16" t="s">
        <v>458</v>
      </c>
      <c r="I109" s="16">
        <v>42597.685497685183</v>
      </c>
      <c r="J109" s="7">
        <v>0</v>
      </c>
      <c r="K109" s="142" t="str">
        <f t="shared" si="24"/>
        <v>4031/4032</v>
      </c>
      <c r="L109" s="25" t="str">
        <f>VLOOKUP(A109,'Trips&amp;Operators'!$C$1:$E$10000,3,FALSE)</f>
        <v>YOUNG</v>
      </c>
      <c r="M109" s="6">
        <f t="shared" si="25"/>
        <v>2.4305555562023073E-3</v>
      </c>
      <c r="N109" s="7"/>
      <c r="O109" s="7"/>
      <c r="P109" s="7">
        <f t="shared" si="26"/>
        <v>3.5000000009313226</v>
      </c>
      <c r="Q109" s="26"/>
      <c r="R109" s="26" t="s">
        <v>655</v>
      </c>
      <c r="S109" s="38">
        <f t="shared" si="27"/>
        <v>0</v>
      </c>
      <c r="T109" s="53" t="str">
        <f t="shared" si="28"/>
        <v>Southbound</v>
      </c>
      <c r="U109" s="13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0</v>
      </c>
      <c r="V109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15:22:15-0600',mode:absolute,to:'2016-08-15 17:27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09" s="55" t="str">
        <f t="shared" si="30"/>
        <v>Y</v>
      </c>
      <c r="X109" s="129">
        <f t="shared" si="31"/>
        <v>1</v>
      </c>
      <c r="Y109" s="70">
        <f t="shared" si="32"/>
        <v>23.303000000000001</v>
      </c>
      <c r="Z109" s="70">
        <f t="shared" si="33"/>
        <v>23.1233</v>
      </c>
      <c r="AA109" s="70">
        <f t="shared" si="34"/>
        <v>0.17970000000000041</v>
      </c>
      <c r="AB109" s="67" t="e">
        <f>VLOOKUP(A109,Enforcements!$C$7:$J$24,8,0)</f>
        <v>#N/A</v>
      </c>
      <c r="AC109" s="63" t="e">
        <f>VLOOKUP(A109,Enforcements!$C$7:$E$24,3,0)</f>
        <v>#N/A</v>
      </c>
      <c r="AD109" s="64" t="str">
        <f t="shared" si="35"/>
        <v>0196-15</v>
      </c>
      <c r="AE109" s="104" t="str">
        <f t="shared" si="36"/>
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</c>
      <c r="AF109" s="101" t="str">
        <f t="shared" si="37"/>
        <v>"C:\Program Files (x86)\AstroGrep\AstroGrep.exe" /spath="%USERPROFILE%\AppData\Local\Temp\OnboardLogs" /stypes="*4032*20160815*" /stext=" 22:.+((SYSTEM_STATE.+slice.+state.+changed )|(ment ac)|(system.+state.+changed )|(\|lc)|(penalty)|(\[timeout)|(PRM\|1\|D)|(kpr)|(kdp)|(\|loc))" /e /r /s</v>
      </c>
      <c r="AG109" s="1" t="str">
        <f t="shared" si="39"/>
        <v>EC</v>
      </c>
      <c r="AH109" s="105" t="str">
        <f t="shared" si="38"/>
        <v>"%USERPROFILE%\Documents\GitHub\eaglep3\Utilities\RefineRTDCRunTimes.py" --tripid 196-15 --locoid 4032 --swversion DE.1.0.7.0 --startMP 204:233030 --initTime 2016-08-15T16:22:15 --startdatetime 2016-08-15T16:23:37 --delay 1 --endMP 204:231233 --enddatetime 2016-08-15T16:27:07 --enforcementcount 0</v>
      </c>
    </row>
    <row r="110" spans="1:34" x14ac:dyDescent="0.25">
      <c r="A110" s="40" t="s">
        <v>459</v>
      </c>
      <c r="B110" s="7">
        <v>4009</v>
      </c>
      <c r="C110" s="25" t="s">
        <v>119</v>
      </c>
      <c r="D110" s="25" t="s">
        <v>254</v>
      </c>
      <c r="E110" s="16">
        <v>42597.655555555553</v>
      </c>
      <c r="F110" s="16">
        <v>42597.656597222223</v>
      </c>
      <c r="G110" s="7">
        <v>1</v>
      </c>
      <c r="H110" s="16" t="s">
        <v>192</v>
      </c>
      <c r="I110" s="16">
        <v>42597.682581018518</v>
      </c>
      <c r="J110" s="7">
        <v>0</v>
      </c>
      <c r="K110" s="142" t="str">
        <f t="shared" si="24"/>
        <v>4009/4010</v>
      </c>
      <c r="L110" s="25" t="str">
        <f>VLOOKUP(A110,'Trips&amp;Operators'!$C$1:$E$10000,3,FALSE)</f>
        <v>HELVIE</v>
      </c>
      <c r="M110" s="6">
        <f t="shared" si="25"/>
        <v>2.5983796294895001E-2</v>
      </c>
      <c r="N110" s="7">
        <f t="shared" si="26"/>
        <v>37.416666664648801</v>
      </c>
      <c r="O110" s="7"/>
      <c r="P110" s="7"/>
      <c r="Q110" s="26"/>
      <c r="R110" s="26"/>
      <c r="S110" s="38">
        <f t="shared" si="27"/>
        <v>1</v>
      </c>
      <c r="T110" s="53" t="str">
        <f t="shared" si="28"/>
        <v>NorthBound</v>
      </c>
      <c r="U110" s="13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14:44:00-0600',mode:absolute,to:'2016-08-15 17:22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110" s="55" t="str">
        <f t="shared" si="30"/>
        <v>N</v>
      </c>
      <c r="X110" s="129">
        <f t="shared" si="31"/>
        <v>1</v>
      </c>
      <c r="Y110" s="70">
        <f t="shared" si="32"/>
        <v>4.2599999999999999E-2</v>
      </c>
      <c r="Z110" s="70">
        <f t="shared" si="33"/>
        <v>23.329699999999999</v>
      </c>
      <c r="AA110" s="70">
        <f t="shared" si="34"/>
        <v>23.287099999999999</v>
      </c>
      <c r="AB110" s="67" t="e">
        <f>VLOOKUP(A110,Enforcements!$C$7:$J$24,8,0)</f>
        <v>#N/A</v>
      </c>
      <c r="AC110" s="63" t="e">
        <f>VLOOKUP(A110,Enforcements!$C$7:$E$24,3,0)</f>
        <v>#N/A</v>
      </c>
      <c r="AD110" s="64" t="str">
        <f t="shared" si="35"/>
        <v>0197-15</v>
      </c>
      <c r="AE110" s="104" t="str">
        <f t="shared" si="36"/>
        <v>aws s3 cp s3://rtdc.mdm.uploadarchive/RTDC4009/2016-08-15/ "%USERPROFILE%\AppData\Local\Temp\OnboardLogs"\RTDC4009\2016-08-15 --recursive &amp; "%USERPROFILE%\Documents\GitHub\mrs-test-scripts\Headless Mode &amp; Sideloading\WalkAndUnGZ.bat" "%USERPROFILE%\AppData\Local\Temp\OnboardLogs"\RTDC4009\2016-08-15 &amp; 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</v>
      </c>
      <c r="AF110" s="101" t="str">
        <f t="shared" si="37"/>
        <v>"C:\Program Files (x86)\AstroGrep\AstroGrep.exe" /spath="%USERPROFILE%\AppData\Local\Temp\OnboardLogs" /stypes="*4009*20160815*" /stext=" 22:.+((SYSTEM_STATE.+slice.+state.+changed )|(ment ac)|(system.+state.+changed )|(\|lc)|(penalty)|(\[timeout)|(PRM\|1\|D)|(kpr)|(kdp)|(\|loc))" /e /r /s</v>
      </c>
      <c r="AG110" s="1" t="str">
        <f t="shared" si="39"/>
        <v>EC</v>
      </c>
      <c r="AH110" s="105" t="str">
        <f t="shared" si="38"/>
        <v>"%USERPROFILE%\Documents\GitHub\eaglep3\Utilities\RefineRTDCRunTimes.py" --tripid 197-15 --locoid 4009 --swversion DE.1.0.7.0 --startMP 204:426 --initTime 2016-08-15T15:44:00 --startdatetime 2016-08-15T15:45:30 --delay 1 --endMP 204:233297 --enddatetime 2016-08-15T16:22:55 --enforcementcount 0</v>
      </c>
    </row>
    <row r="111" spans="1:34" x14ac:dyDescent="0.25">
      <c r="A111" s="40" t="s">
        <v>460</v>
      </c>
      <c r="B111" s="7">
        <v>4010</v>
      </c>
      <c r="C111" s="25" t="s">
        <v>119</v>
      </c>
      <c r="D111" s="25" t="s">
        <v>285</v>
      </c>
      <c r="E111" s="16">
        <v>42597.69059027778</v>
      </c>
      <c r="F111" s="16">
        <v>42597.691678240742</v>
      </c>
      <c r="G111" s="7">
        <v>1</v>
      </c>
      <c r="H111" s="16" t="s">
        <v>259</v>
      </c>
      <c r="I111" s="16">
        <v>42597.727025462962</v>
      </c>
      <c r="J111" s="7">
        <v>0</v>
      </c>
      <c r="K111" s="142" t="str">
        <f t="shared" si="24"/>
        <v>4009/4010</v>
      </c>
      <c r="L111" s="25" t="str">
        <f>VLOOKUP(A111,'Trips&amp;Operators'!$C$1:$E$10000,3,FALSE)</f>
        <v>HELVIE</v>
      </c>
      <c r="M111" s="6">
        <f t="shared" si="25"/>
        <v>3.534722221957054E-2</v>
      </c>
      <c r="N111" s="7">
        <f t="shared" si="26"/>
        <v>50.899999996181577</v>
      </c>
      <c r="O111" s="7"/>
      <c r="P111" s="7"/>
      <c r="Q111" s="26"/>
      <c r="R111" s="26"/>
      <c r="S111" s="38">
        <f t="shared" si="27"/>
        <v>1</v>
      </c>
      <c r="T111" s="53" t="str">
        <f t="shared" si="28"/>
        <v>Southbound</v>
      </c>
      <c r="U111" s="13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15:34:27-0600',mode:absolute,to:'2016-08-15 18:26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111" s="55" t="str">
        <f t="shared" si="30"/>
        <v>N</v>
      </c>
      <c r="X111" s="129">
        <f t="shared" si="31"/>
        <v>1</v>
      </c>
      <c r="Y111" s="70">
        <f t="shared" si="32"/>
        <v>23.296900000000001</v>
      </c>
      <c r="Z111" s="70">
        <f t="shared" si="33"/>
        <v>1.52E-2</v>
      </c>
      <c r="AA111" s="70">
        <f t="shared" si="34"/>
        <v>23.281700000000001</v>
      </c>
      <c r="AB111" s="67" t="e">
        <f>VLOOKUP(A111,Enforcements!$C$7:$J$24,8,0)</f>
        <v>#N/A</v>
      </c>
      <c r="AC111" s="63" t="e">
        <f>VLOOKUP(A111,Enforcements!$C$7:$E$24,3,0)</f>
        <v>#N/A</v>
      </c>
      <c r="AD111" s="64" t="str">
        <f t="shared" si="35"/>
        <v>0198-15</v>
      </c>
      <c r="AE111" s="104" t="str">
        <f t="shared" si="36"/>
        <v>aws s3 cp s3://rtdc.mdm.uploadarchive/RTDC4010/2016-08-15/ "%USERPROFILE%\AppData\Local\Temp\OnboardLogs"\RTDC4010\2016-08-15 --recursive &amp; "%USERPROFILE%\Documents\GitHub\mrs-test-scripts\Headless Mode &amp; Sideloading\WalkAndUnGZ.bat" "%USERPROFILE%\AppData\Local\Temp\OnboardLogs"\RTDC4010\2016-08-15 &amp; 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</v>
      </c>
      <c r="AF111" s="101" t="str">
        <f t="shared" si="37"/>
        <v>"C:\Program Files (x86)\AstroGrep\AstroGrep.exe" /spath="%USERPROFILE%\AppData\Local\Temp\OnboardLogs" /stypes="*4010*20160815*" /stext=" 23:.+((SYSTEM_STATE.+slice.+state.+changed )|(ment ac)|(system.+state.+changed )|(\|lc)|(penalty)|(\[timeout)|(PRM\|1\|D)|(kpr)|(kdp)|(\|loc))" /e /r /s</v>
      </c>
      <c r="AG111" s="1" t="str">
        <f t="shared" si="39"/>
        <v>EC</v>
      </c>
      <c r="AH111" s="105" t="str">
        <f t="shared" si="38"/>
        <v>"%USERPROFILE%\Documents\GitHub\eaglep3\Utilities\RefineRTDCRunTimes.py" --tripid 198-15 --locoid 4010 --swversion DE.1.0.7.0 --startMP 204:232969 --initTime 2016-08-15T16:34:27 --startdatetime 2016-08-15T16:36:01 --delay 1 --endMP 204:152 --enddatetime 2016-08-15T17:26:55 --enforcementcount 0</v>
      </c>
    </row>
    <row r="112" spans="1:34" s="24" customFormat="1" x14ac:dyDescent="0.25">
      <c r="A112" s="40" t="s">
        <v>461</v>
      </c>
      <c r="B112" s="7">
        <v>4042</v>
      </c>
      <c r="C112" s="25" t="s">
        <v>119</v>
      </c>
      <c r="D112" s="25" t="s">
        <v>305</v>
      </c>
      <c r="E112" s="16">
        <v>42597.670266203706</v>
      </c>
      <c r="F112" s="16">
        <v>42597.671516203707</v>
      </c>
      <c r="G112" s="7">
        <v>1</v>
      </c>
      <c r="H112" s="16" t="s">
        <v>142</v>
      </c>
      <c r="I112" s="16">
        <v>42597.700694444444</v>
      </c>
      <c r="J112" s="7">
        <v>0</v>
      </c>
      <c r="K112" s="142" t="str">
        <f t="shared" si="24"/>
        <v>4041/4042</v>
      </c>
      <c r="L112" s="25" t="str">
        <f>VLOOKUP(A112,'Trips&amp;Operators'!$C$1:$E$10000,3,FALSE)</f>
        <v>HOMIK</v>
      </c>
      <c r="M112" s="6">
        <f t="shared" si="25"/>
        <v>2.9178240736655425E-2</v>
      </c>
      <c r="N112" s="7">
        <f t="shared" si="26"/>
        <v>42.016666660783812</v>
      </c>
      <c r="O112" s="7"/>
      <c r="P112" s="7"/>
      <c r="Q112" s="26"/>
      <c r="R112" s="26"/>
      <c r="S112" s="38">
        <f t="shared" si="27"/>
        <v>1</v>
      </c>
      <c r="T112" s="53" t="str">
        <f t="shared" si="28"/>
        <v>NorthBound</v>
      </c>
      <c r="U112" s="13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15:05:11-0600',mode:absolute,to:'2016-08-15 17:49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12" s="55" t="str">
        <f t="shared" si="30"/>
        <v>N</v>
      </c>
      <c r="X112" s="129">
        <f t="shared" si="31"/>
        <v>1</v>
      </c>
      <c r="Y112" s="70">
        <f t="shared" si="32"/>
        <v>4.2700000000000002E-2</v>
      </c>
      <c r="Z112" s="70">
        <f t="shared" si="33"/>
        <v>23.328900000000001</v>
      </c>
      <c r="AA112" s="70">
        <f t="shared" si="34"/>
        <v>23.286200000000001</v>
      </c>
      <c r="AB112" s="67" t="e">
        <f>VLOOKUP(A112,Enforcements!$C$7:$J$24,8,0)</f>
        <v>#N/A</v>
      </c>
      <c r="AC112" s="63" t="e">
        <f>VLOOKUP(A112,Enforcements!$C$7:$E$24,3,0)</f>
        <v>#N/A</v>
      </c>
      <c r="AD112" s="64" t="str">
        <f t="shared" si="35"/>
        <v>0199-15</v>
      </c>
      <c r="AE112" s="104" t="str">
        <f t="shared" si="36"/>
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</c>
      <c r="AF112" s="101" t="str">
        <f t="shared" si="37"/>
        <v>"C:\Program Files (x86)\AstroGrep\AstroGrep.exe" /spath="%USERPROFILE%\AppData\Local\Temp\OnboardLogs" /stypes="*4042*20160815*" /stext=" 22:.+((SYSTEM_STATE.+slice.+state.+changed )|(ment ac)|(system.+state.+changed )|(\|lc)|(penalty)|(\[timeout)|(PRM\|1\|D)|(kpr)|(kdp)|(\|loc))" /e /r /s</v>
      </c>
      <c r="AG112" s="1" t="str">
        <f t="shared" si="39"/>
        <v>EC</v>
      </c>
      <c r="AH112" s="105" t="str">
        <f t="shared" si="38"/>
        <v>"%USERPROFILE%\Documents\GitHub\eaglep3\Utilities\RefineRTDCRunTimes.py" --tripid 199-15 --locoid 4042 --swversion DE.1.0.7.0 --startMP 204:427 --initTime 2016-08-15T16:05:11 --startdatetime 2016-08-15T16:06:59 --delay 1 --endMP 204:233289 --enddatetime 2016-08-15T16:49:00 --enforcementcount 0</v>
      </c>
    </row>
    <row r="113" spans="1:34" x14ac:dyDescent="0.25">
      <c r="A113" s="40" t="s">
        <v>462</v>
      </c>
      <c r="B113" s="7">
        <v>4041</v>
      </c>
      <c r="C113" s="25" t="s">
        <v>119</v>
      </c>
      <c r="D113" s="25" t="s">
        <v>369</v>
      </c>
      <c r="E113" s="16">
        <v>42597.703356481485</v>
      </c>
      <c r="F113" s="16">
        <v>42597.704652777778</v>
      </c>
      <c r="G113" s="7">
        <v>1</v>
      </c>
      <c r="H113" s="16" t="s">
        <v>178</v>
      </c>
      <c r="I113" s="16">
        <v>42597.734710648147</v>
      </c>
      <c r="J113" s="7">
        <v>0</v>
      </c>
      <c r="K113" s="142" t="str">
        <f t="shared" si="24"/>
        <v>4041/4042</v>
      </c>
      <c r="L113" s="25" t="str">
        <f>VLOOKUP(A113,'Trips&amp;Operators'!$C$1:$E$10000,3,FALSE)</f>
        <v>HOMIK</v>
      </c>
      <c r="M113" s="6">
        <f t="shared" si="25"/>
        <v>3.0057870368182193E-2</v>
      </c>
      <c r="N113" s="7">
        <f t="shared" si="26"/>
        <v>43.283333330182359</v>
      </c>
      <c r="O113" s="7"/>
      <c r="P113" s="7"/>
      <c r="Q113" s="26"/>
      <c r="R113" s="26"/>
      <c r="S113" s="38">
        <f t="shared" si="27"/>
        <v>1</v>
      </c>
      <c r="T113" s="53" t="str">
        <f t="shared" si="28"/>
        <v>Southbound</v>
      </c>
      <c r="U113" s="13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15:52:50-0600',mode:absolute,to:'2016-08-15 18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13" s="55" t="str">
        <f t="shared" si="30"/>
        <v>N</v>
      </c>
      <c r="X113" s="129">
        <f t="shared" si="31"/>
        <v>1</v>
      </c>
      <c r="Y113" s="70">
        <f t="shared" si="32"/>
        <v>23.2972</v>
      </c>
      <c r="Z113" s="70">
        <f t="shared" si="33"/>
        <v>1.6500000000000001E-2</v>
      </c>
      <c r="AA113" s="70">
        <f t="shared" si="34"/>
        <v>23.2807</v>
      </c>
      <c r="AB113" s="67" t="e">
        <f>VLOOKUP(A113,Enforcements!$C$7:$J$24,8,0)</f>
        <v>#N/A</v>
      </c>
      <c r="AC113" s="63" t="e">
        <f>VLOOKUP(A113,Enforcements!$C$7:$E$24,3,0)</f>
        <v>#N/A</v>
      </c>
      <c r="AD113" s="64" t="str">
        <f t="shared" si="35"/>
        <v>0200-15</v>
      </c>
      <c r="AE113" s="104" t="str">
        <f t="shared" si="36"/>
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</c>
      <c r="AF113" s="101" t="str">
        <f t="shared" si="37"/>
        <v>"C:\Program Files (x86)\AstroGrep\AstroGrep.exe" /spath="%USERPROFILE%\AppData\Local\Temp\OnboardLogs" /stypes="*4041*20160815*" /stext=" 23:.+((SYSTEM_STATE.+slice.+state.+changed )|(ment ac)|(system.+state.+changed )|(\|lc)|(penalty)|(\[timeout)|(PRM\|1\|D)|(kpr)|(kdp)|(\|loc))" /e /r /s</v>
      </c>
      <c r="AG113" s="1" t="str">
        <f t="shared" si="39"/>
        <v>EC</v>
      </c>
      <c r="AH113" s="105" t="str">
        <f t="shared" si="38"/>
        <v>"%USERPROFILE%\Documents\GitHub\eaglep3\Utilities\RefineRTDCRunTimes.py" --tripid 200-15 --locoid 4041 --swversion DE.1.0.7.0 --startMP 204:232972 --initTime 2016-08-15T16:52:50 --startdatetime 2016-08-15T16:54:42 --delay 1 --endMP 204:165 --enddatetime 2016-08-15T17:37:59 --enforcementcount 0</v>
      </c>
    </row>
    <row r="114" spans="1:34" s="24" customFormat="1" x14ac:dyDescent="0.25">
      <c r="A114" s="40" t="s">
        <v>463</v>
      </c>
      <c r="B114" s="7">
        <v>4044</v>
      </c>
      <c r="C114" s="25" t="s">
        <v>119</v>
      </c>
      <c r="D114" s="25" t="s">
        <v>144</v>
      </c>
      <c r="E114" s="16">
        <v>42597.676122685189</v>
      </c>
      <c r="F114" s="16">
        <v>42597.677256944444</v>
      </c>
      <c r="G114" s="7">
        <v>1</v>
      </c>
      <c r="H114" s="16" t="s">
        <v>173</v>
      </c>
      <c r="I114" s="16">
        <v>42597.708402777775</v>
      </c>
      <c r="J114" s="7">
        <v>0</v>
      </c>
      <c r="K114" s="142" t="str">
        <f t="shared" si="24"/>
        <v>4043/4044</v>
      </c>
      <c r="L114" s="25" t="str">
        <f>VLOOKUP(A114,'Trips&amp;Operators'!$C$1:$E$10000,3,FALSE)</f>
        <v>STEWART</v>
      </c>
      <c r="M114" s="6">
        <f t="shared" si="25"/>
        <v>3.1145833330811001E-2</v>
      </c>
      <c r="N114" s="7">
        <f t="shared" si="26"/>
        <v>44.849999996367842</v>
      </c>
      <c r="O114" s="7"/>
      <c r="P114" s="7"/>
      <c r="Q114" s="26"/>
      <c r="R114" s="26"/>
      <c r="S114" s="38">
        <f t="shared" si="27"/>
        <v>1</v>
      </c>
      <c r="T114" s="53" t="str">
        <f t="shared" si="28"/>
        <v>NorthBound</v>
      </c>
      <c r="U114" s="13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15:13:37-0600',mode:absolute,to:'2016-08-15 18:00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14" s="55" t="str">
        <f t="shared" si="30"/>
        <v>N</v>
      </c>
      <c r="X114" s="129">
        <f t="shared" si="31"/>
        <v>1</v>
      </c>
      <c r="Y114" s="70">
        <f t="shared" si="32"/>
        <v>4.4900000000000002E-2</v>
      </c>
      <c r="Z114" s="70">
        <f t="shared" si="33"/>
        <v>23.327999999999999</v>
      </c>
      <c r="AA114" s="70">
        <f t="shared" si="34"/>
        <v>23.283100000000001</v>
      </c>
      <c r="AB114" s="67">
        <f>VLOOKUP(A114,Enforcements!$C$7:$J$24,8,0)</f>
        <v>33137</v>
      </c>
      <c r="AC114" s="63" t="str">
        <f>VLOOKUP(A114,Enforcements!$C$7:$E$24,3,0)</f>
        <v>GRADE CROSSING</v>
      </c>
      <c r="AD114" s="64" t="str">
        <f t="shared" si="35"/>
        <v>0201-15</v>
      </c>
      <c r="AE114" s="104" t="str">
        <f t="shared" si="36"/>
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</c>
      <c r="AF114" s="101" t="str">
        <f t="shared" si="37"/>
        <v>"C:\Program Files (x86)\AstroGrep\AstroGrep.exe" /spath="%USERPROFILE%\AppData\Local\Temp\OnboardLogs" /stypes="*4044*20160815*" /stext=" 23:.+((SYSTEM_STATE.+slice.+state.+changed )|(ment ac)|(system.+state.+changed )|(\|lc)|(penalty)|(\[timeout)|(PRM\|1\|D)|(kpr)|(kdp)|(\|loc))" /e /r /s</v>
      </c>
      <c r="AG114" s="1" t="str">
        <f t="shared" si="39"/>
        <v>EC</v>
      </c>
      <c r="AH114" s="105" t="str">
        <f t="shared" si="38"/>
        <v>"%USERPROFILE%\Documents\GitHub\eaglep3\Utilities\RefineRTDCRunTimes.py" --tripid 201-15 --locoid 4044 --swversion DE.1.0.7.0 --startMP 204:449 --initTime 2016-08-15T16:13:37 --startdatetime 2016-08-15T16:15:15 --delay 1 --endMP 204:233280 --enddatetime 2016-08-15T17:00:06 --enforcementcount 0</v>
      </c>
    </row>
    <row r="115" spans="1:34" x14ac:dyDescent="0.25">
      <c r="A115" s="40" t="s">
        <v>464</v>
      </c>
      <c r="B115" s="7">
        <v>4043</v>
      </c>
      <c r="C115" s="25" t="s">
        <v>119</v>
      </c>
      <c r="D115" s="25" t="s">
        <v>376</v>
      </c>
      <c r="E115" s="16">
        <v>42597.712812500002</v>
      </c>
      <c r="F115" s="16">
        <v>42597.71402777778</v>
      </c>
      <c r="G115" s="7">
        <v>1</v>
      </c>
      <c r="H115" s="16" t="s">
        <v>145</v>
      </c>
      <c r="I115" s="16">
        <v>42597.744849537034</v>
      </c>
      <c r="J115" s="7">
        <v>0</v>
      </c>
      <c r="K115" s="142" t="str">
        <f t="shared" si="24"/>
        <v>4043/4044</v>
      </c>
      <c r="L115" s="25" t="str">
        <f>VLOOKUP(A115,'Trips&amp;Operators'!$C$1:$E$10000,3,FALSE)</f>
        <v>STEWART</v>
      </c>
      <c r="M115" s="6">
        <f t="shared" si="25"/>
        <v>3.0821759253740311E-2</v>
      </c>
      <c r="N115" s="7">
        <f t="shared" si="26"/>
        <v>44.383333325386047</v>
      </c>
      <c r="O115" s="7"/>
      <c r="P115" s="7"/>
      <c r="Q115" s="26"/>
      <c r="R115" s="26"/>
      <c r="S115" s="38">
        <f t="shared" si="27"/>
        <v>1</v>
      </c>
      <c r="T115" s="53" t="str">
        <f t="shared" si="28"/>
        <v>Southbound</v>
      </c>
      <c r="U115" s="13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16:06:27-0600',mode:absolute,to:'2016-08-15 18:52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15" s="55" t="str">
        <f t="shared" si="30"/>
        <v>N</v>
      </c>
      <c r="X115" s="129">
        <f t="shared" si="31"/>
        <v>1</v>
      </c>
      <c r="Y115" s="70">
        <f t="shared" si="32"/>
        <v>23.295500000000001</v>
      </c>
      <c r="Z115" s="70">
        <f t="shared" si="33"/>
        <v>1.49E-2</v>
      </c>
      <c r="AA115" s="70">
        <f t="shared" si="34"/>
        <v>23.2806</v>
      </c>
      <c r="AB115" s="67" t="e">
        <f>VLOOKUP(A115,Enforcements!$C$7:$J$24,8,0)</f>
        <v>#N/A</v>
      </c>
      <c r="AC115" s="63" t="e">
        <f>VLOOKUP(A115,Enforcements!$C$7:$E$24,3,0)</f>
        <v>#N/A</v>
      </c>
      <c r="AD115" s="64" t="str">
        <f t="shared" si="35"/>
        <v>0202-15</v>
      </c>
      <c r="AE115" s="104" t="str">
        <f t="shared" si="36"/>
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</c>
      <c r="AF115" s="101" t="str">
        <f t="shared" si="37"/>
        <v>"C:\Program Files (x86)\AstroGrep\AstroGrep.exe" /spath="%USERPROFILE%\AppData\Local\Temp\OnboardLogs" /stypes="*4043*20160815*" /stext=" 23:.+((SYSTEM_STATE.+slice.+state.+changed )|(ment ac)|(system.+state.+changed )|(\|lc)|(penalty)|(\[timeout)|(PRM\|1\|D)|(kpr)|(kdp)|(\|loc))" /e /r /s</v>
      </c>
      <c r="AG115" s="1" t="str">
        <f t="shared" si="39"/>
        <v>EC</v>
      </c>
      <c r="AH115" s="105" t="str">
        <f t="shared" si="38"/>
        <v>"%USERPROFILE%\Documents\GitHub\eaglep3\Utilities\RefineRTDCRunTimes.py" --tripid 202-15 --locoid 4043 --swversion DE.1.0.7.0 --startMP 204:232955 --initTime 2016-08-15T17:06:27 --startdatetime 2016-08-15T17:08:12 --delay 1 --endMP 204:149 --enddatetime 2016-08-15T17:52:35 --enforcementcount 0</v>
      </c>
    </row>
    <row r="116" spans="1:34" x14ac:dyDescent="0.25">
      <c r="A116" s="40" t="s">
        <v>465</v>
      </c>
      <c r="B116" s="7">
        <v>4027</v>
      </c>
      <c r="C116" s="25" t="s">
        <v>119</v>
      </c>
      <c r="D116" s="25" t="s">
        <v>160</v>
      </c>
      <c r="E116" s="16">
        <v>42597.684444444443</v>
      </c>
      <c r="F116" s="16">
        <v>42597.685312499998</v>
      </c>
      <c r="G116" s="7">
        <v>1</v>
      </c>
      <c r="H116" s="16" t="s">
        <v>256</v>
      </c>
      <c r="I116" s="16">
        <v>42597.714999999997</v>
      </c>
      <c r="J116" s="7">
        <v>0</v>
      </c>
      <c r="K116" s="142" t="str">
        <f t="shared" si="24"/>
        <v>4027/4028</v>
      </c>
      <c r="L116" s="25" t="str">
        <f>VLOOKUP(A116,'Trips&amp;Operators'!$C$1:$E$10000,3,FALSE)</f>
        <v>BARTLETT</v>
      </c>
      <c r="M116" s="6">
        <f t="shared" si="25"/>
        <v>2.9687499998544808E-2</v>
      </c>
      <c r="N116" s="7">
        <f t="shared" si="26"/>
        <v>42.749999997904524</v>
      </c>
      <c r="O116" s="7"/>
      <c r="P116" s="7"/>
      <c r="Q116" s="26"/>
      <c r="R116" s="26"/>
      <c r="S116" s="38">
        <f t="shared" si="27"/>
        <v>1</v>
      </c>
      <c r="T116" s="53" t="str">
        <f t="shared" si="28"/>
        <v>NorthBound</v>
      </c>
      <c r="U116" s="13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15:25:36-0600',mode:absolute,to:'2016-08-15 18:09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16" s="55" t="str">
        <f t="shared" si="30"/>
        <v>N</v>
      </c>
      <c r="X116" s="129">
        <f t="shared" si="31"/>
        <v>1</v>
      </c>
      <c r="Y116" s="70">
        <f t="shared" si="32"/>
        <v>4.5699999999999998E-2</v>
      </c>
      <c r="Z116" s="70">
        <f t="shared" si="33"/>
        <v>23.3308</v>
      </c>
      <c r="AA116" s="70">
        <f t="shared" si="34"/>
        <v>23.2851</v>
      </c>
      <c r="AB116" s="67" t="e">
        <f>VLOOKUP(A116,Enforcements!$C$7:$J$24,8,0)</f>
        <v>#N/A</v>
      </c>
      <c r="AC116" s="63" t="e">
        <f>VLOOKUP(A116,Enforcements!$C$7:$E$24,3,0)</f>
        <v>#N/A</v>
      </c>
      <c r="AD116" s="64" t="str">
        <f t="shared" si="35"/>
        <v>0203-15</v>
      </c>
      <c r="AE116" s="104" t="str">
        <f t="shared" si="36"/>
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</c>
      <c r="AF116" s="101" t="str">
        <f t="shared" si="37"/>
        <v>"C:\Program Files (x86)\AstroGrep\AstroGrep.exe" /spath="%USERPROFILE%\AppData\Local\Temp\OnboardLogs" /stypes="*4027*20160815*" /stext=" 23:.+((SYSTEM_STATE.+slice.+state.+changed )|(ment ac)|(system.+state.+changed )|(\|lc)|(penalty)|(\[timeout)|(PRM\|1\|D)|(kpr)|(kdp)|(\|loc))" /e /r /s</v>
      </c>
      <c r="AG116" s="1" t="str">
        <f t="shared" si="39"/>
        <v>EC</v>
      </c>
      <c r="AH116" s="105" t="str">
        <f t="shared" si="38"/>
        <v>"%USERPROFILE%\Documents\GitHub\eaglep3\Utilities\RefineRTDCRunTimes.py" --tripid 203-15 --locoid 4027 --swversion DE.1.0.7.0 --startMP 204:457 --initTime 2016-08-15T16:25:36 --startdatetime 2016-08-15T16:26:51 --delay 1 --endMP 204:233308 --enddatetime 2016-08-15T17:09:36 --enforcementcount 0</v>
      </c>
    </row>
    <row r="117" spans="1:34" x14ac:dyDescent="0.25">
      <c r="A117" s="40" t="s">
        <v>466</v>
      </c>
      <c r="B117" s="7">
        <v>4028</v>
      </c>
      <c r="C117" s="25" t="s">
        <v>119</v>
      </c>
      <c r="D117" s="25" t="s">
        <v>143</v>
      </c>
      <c r="E117" s="16">
        <v>42597.718356481484</v>
      </c>
      <c r="F117" s="16">
        <v>42597.719143518516</v>
      </c>
      <c r="G117" s="7">
        <v>1</v>
      </c>
      <c r="H117" s="16" t="s">
        <v>467</v>
      </c>
      <c r="I117" s="16">
        <v>42597.755127314813</v>
      </c>
      <c r="J117" s="7">
        <v>0</v>
      </c>
      <c r="K117" s="142" t="str">
        <f t="shared" si="24"/>
        <v>4027/4028</v>
      </c>
      <c r="L117" s="25" t="str">
        <f>VLOOKUP(A117,'Trips&amp;Operators'!$C$1:$E$10000,3,FALSE)</f>
        <v>BARTLETT</v>
      </c>
      <c r="M117" s="6">
        <f t="shared" si="25"/>
        <v>3.5983796296932269E-2</v>
      </c>
      <c r="N117" s="7">
        <f t="shared" si="26"/>
        <v>51.816666667582467</v>
      </c>
      <c r="O117" s="7"/>
      <c r="P117" s="7"/>
      <c r="Q117" s="26"/>
      <c r="R117" s="26"/>
      <c r="S117" s="38">
        <f t="shared" si="27"/>
        <v>1</v>
      </c>
      <c r="T117" s="53" t="str">
        <f t="shared" si="28"/>
        <v>Southbound</v>
      </c>
      <c r="U117" s="13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16:14:26-0600',mode:absolute,to:'2016-08-15 19:07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17" s="55" t="str">
        <f t="shared" si="30"/>
        <v>N</v>
      </c>
      <c r="X117" s="129">
        <f t="shared" si="31"/>
        <v>1</v>
      </c>
      <c r="Y117" s="70">
        <f t="shared" si="32"/>
        <v>23.299399999999999</v>
      </c>
      <c r="Z117" s="70">
        <f t="shared" si="33"/>
        <v>1.7399999999999999E-2</v>
      </c>
      <c r="AA117" s="70">
        <f t="shared" si="34"/>
        <v>23.282</v>
      </c>
      <c r="AB117" s="67" t="e">
        <f>VLOOKUP(A117,Enforcements!$C$7:$J$24,8,0)</f>
        <v>#N/A</v>
      </c>
      <c r="AC117" s="63" t="e">
        <f>VLOOKUP(A117,Enforcements!$C$7:$E$24,3,0)</f>
        <v>#N/A</v>
      </c>
      <c r="AD117" s="64" t="str">
        <f t="shared" si="35"/>
        <v>0204-15</v>
      </c>
      <c r="AE117" s="104" t="str">
        <f t="shared" si="36"/>
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</c>
      <c r="AF117" s="101" t="str">
        <f t="shared" si="37"/>
        <v>"C:\Program Files (x86)\AstroGrep\AstroGrep.exe" /spath="%USERPROFILE%\AppData\Local\Temp\OnboardLogs" /stypes="*4028*20160816*" /stext=" 00:.+((SYSTEM_STATE.+slice.+state.+changed )|(ment ac)|(system.+state.+changed )|(\|lc)|(penalty)|(\[timeout)|(PRM\|1\|D)|(kpr)|(kdp)|(\|loc))" /e /r /s</v>
      </c>
      <c r="AG117" s="1" t="str">
        <f t="shared" si="39"/>
        <v>EC</v>
      </c>
      <c r="AH117" s="105" t="str">
        <f t="shared" si="38"/>
        <v>"%USERPROFILE%\Documents\GitHub\eaglep3\Utilities\RefineRTDCRunTimes.py" --tripid 204-15 --locoid 4028 --swversion DE.1.0.7.0 --startMP 204:232994 --initTime 2016-08-15T17:14:26 --startdatetime 2016-08-15T17:15:34 --delay 1 --endMP 204:174 --enddatetime 2016-08-15T18:07:23 --enforcementcount 0</v>
      </c>
    </row>
    <row r="118" spans="1:34" x14ac:dyDescent="0.25">
      <c r="A118" s="40" t="s">
        <v>468</v>
      </c>
      <c r="B118" s="7">
        <v>4020</v>
      </c>
      <c r="C118" s="25" t="s">
        <v>119</v>
      </c>
      <c r="D118" s="25" t="s">
        <v>133</v>
      </c>
      <c r="E118" s="16">
        <v>42597.692881944444</v>
      </c>
      <c r="F118" s="16">
        <v>42597.69390046296</v>
      </c>
      <c r="G118" s="7">
        <v>1</v>
      </c>
      <c r="H118" s="16" t="s">
        <v>469</v>
      </c>
      <c r="I118" s="16">
        <v>42597.724537037036</v>
      </c>
      <c r="J118" s="7">
        <v>0</v>
      </c>
      <c r="K118" s="142" t="str">
        <f t="shared" si="24"/>
        <v>4019/4020</v>
      </c>
      <c r="L118" s="25" t="str">
        <f>VLOOKUP(A118,'Trips&amp;Operators'!$C$1:$E$10000,3,FALSE)</f>
        <v>HAITHCOX</v>
      </c>
      <c r="M118" s="6">
        <f t="shared" si="25"/>
        <v>3.0636574076197576E-2</v>
      </c>
      <c r="N118" s="7">
        <f t="shared" si="26"/>
        <v>44.116666669724509</v>
      </c>
      <c r="O118" s="7"/>
      <c r="P118" s="7"/>
      <c r="Q118" s="26"/>
      <c r="R118" s="26"/>
      <c r="S118" s="38">
        <f t="shared" si="27"/>
        <v>1</v>
      </c>
      <c r="T118" s="53" t="str">
        <f t="shared" si="28"/>
        <v>NorthBound</v>
      </c>
      <c r="U118" s="13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15:37:45-0600',mode:absolute,to:'2016-08-15 18:23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18" s="55" t="str">
        <f t="shared" si="30"/>
        <v>N</v>
      </c>
      <c r="X118" s="129">
        <f t="shared" si="31"/>
        <v>1</v>
      </c>
      <c r="Y118" s="70">
        <f t="shared" si="32"/>
        <v>4.5499999999999999E-2</v>
      </c>
      <c r="Z118" s="70">
        <f t="shared" si="33"/>
        <v>23.332599999999999</v>
      </c>
      <c r="AA118" s="70">
        <f t="shared" si="34"/>
        <v>23.287099999999999</v>
      </c>
      <c r="AB118" s="67" t="e">
        <f>VLOOKUP(A118,Enforcements!$C$7:$J$24,8,0)</f>
        <v>#N/A</v>
      </c>
      <c r="AC118" s="63" t="e">
        <f>VLOOKUP(A118,Enforcements!$C$7:$E$24,3,0)</f>
        <v>#N/A</v>
      </c>
      <c r="AD118" s="64" t="str">
        <f t="shared" si="35"/>
        <v>0205-15</v>
      </c>
      <c r="AE118" s="104" t="str">
        <f t="shared" si="36"/>
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</c>
      <c r="AF118" s="101" t="str">
        <f t="shared" si="37"/>
        <v>"C:\Program Files (x86)\AstroGrep\AstroGrep.exe" /spath="%USERPROFILE%\AppData\Local\Temp\OnboardLogs" /stypes="*4020*20160815*" /stext=" 23:.+((SYSTEM_STATE.+slice.+state.+changed )|(ment ac)|(system.+state.+changed )|(\|lc)|(penalty)|(\[timeout)|(PRM\|1\|D)|(kpr)|(kdp)|(\|loc))" /e /r /s</v>
      </c>
      <c r="AG118" s="1" t="str">
        <f t="shared" si="39"/>
        <v>EC</v>
      </c>
      <c r="AH118" s="105" t="str">
        <f t="shared" si="38"/>
        <v>"%USERPROFILE%\Documents\GitHub\eaglep3\Utilities\RefineRTDCRunTimes.py" --tripid 205-15 --locoid 4020 --swversion DE.1.0.7.0 --startMP 204:455 --initTime 2016-08-15T16:37:45 --startdatetime 2016-08-15T16:39:13 --delay 1 --endMP 204:233326 --enddatetime 2016-08-15T17:23:20 --enforcementcount 0</v>
      </c>
    </row>
    <row r="119" spans="1:34" x14ac:dyDescent="0.25">
      <c r="A119" s="40" t="s">
        <v>470</v>
      </c>
      <c r="B119" s="7">
        <v>4019</v>
      </c>
      <c r="C119" s="25" t="s">
        <v>119</v>
      </c>
      <c r="D119" s="25" t="s">
        <v>190</v>
      </c>
      <c r="E119" s="16">
        <v>42597.734293981484</v>
      </c>
      <c r="F119" s="16">
        <v>42597.735115740739</v>
      </c>
      <c r="G119" s="7">
        <v>1</v>
      </c>
      <c r="H119" s="16" t="s">
        <v>259</v>
      </c>
      <c r="I119" s="16">
        <v>42597.766817129632</v>
      </c>
      <c r="J119" s="7">
        <v>0</v>
      </c>
      <c r="K119" s="142" t="str">
        <f t="shared" si="24"/>
        <v>4019/4020</v>
      </c>
      <c r="L119" s="25" t="str">
        <f>VLOOKUP(A119,'Trips&amp;Operators'!$C$1:$E$10000,3,FALSE)</f>
        <v>HAITHCOX</v>
      </c>
      <c r="M119" s="6">
        <f t="shared" si="25"/>
        <v>3.1701388892543036E-2</v>
      </c>
      <c r="N119" s="7">
        <f t="shared" si="26"/>
        <v>45.650000005261973</v>
      </c>
      <c r="O119" s="7"/>
      <c r="P119" s="7"/>
      <c r="Q119" s="26"/>
      <c r="R119" s="26"/>
      <c r="S119" s="38">
        <f t="shared" si="27"/>
        <v>1</v>
      </c>
      <c r="T119" s="53" t="str">
        <f t="shared" si="28"/>
        <v>Southbound</v>
      </c>
      <c r="U119" s="13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16:37:23-0600',mode:absolute,to:'2016-08-15 19:24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19" s="55" t="str">
        <f t="shared" si="30"/>
        <v>N</v>
      </c>
      <c r="X119" s="129">
        <f t="shared" si="31"/>
        <v>1</v>
      </c>
      <c r="Y119" s="70">
        <f t="shared" si="32"/>
        <v>23.3001</v>
      </c>
      <c r="Z119" s="70">
        <f t="shared" si="33"/>
        <v>1.52E-2</v>
      </c>
      <c r="AA119" s="70">
        <f t="shared" si="34"/>
        <v>23.2849</v>
      </c>
      <c r="AB119" s="67" t="e">
        <f>VLOOKUP(A119,Enforcements!$C$7:$J$24,8,0)</f>
        <v>#N/A</v>
      </c>
      <c r="AC119" s="63" t="e">
        <f>VLOOKUP(A119,Enforcements!$C$7:$E$24,3,0)</f>
        <v>#N/A</v>
      </c>
      <c r="AD119" s="64" t="str">
        <f t="shared" si="35"/>
        <v>0206-15</v>
      </c>
      <c r="AE119" s="104" t="str">
        <f t="shared" si="36"/>
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</c>
      <c r="AF119" s="101" t="str">
        <f t="shared" si="37"/>
        <v>"C:\Program Files (x86)\AstroGrep\AstroGrep.exe" /spath="%USERPROFILE%\AppData\Local\Temp\OnboardLogs" /stypes="*4019*20160816*" /stext=" 00:.+((SYSTEM_STATE.+slice.+state.+changed )|(ment ac)|(system.+state.+changed )|(\|lc)|(penalty)|(\[timeout)|(PRM\|1\|D)|(kpr)|(kdp)|(\|loc))" /e /r /s</v>
      </c>
      <c r="AG119" s="1" t="str">
        <f t="shared" si="39"/>
        <v>EC</v>
      </c>
      <c r="AH119" s="105" t="str">
        <f t="shared" si="38"/>
        <v>"%USERPROFILE%\Documents\GitHub\eaglep3\Utilities\RefineRTDCRunTimes.py" --tripid 206-15 --locoid 4019 --swversion DE.1.0.7.0 --startMP 204:233001 --initTime 2016-08-15T17:37:23 --startdatetime 2016-08-15T17:38:34 --delay 1 --endMP 204:152 --enddatetime 2016-08-15T18:24:13 --enforcementcount 0</v>
      </c>
    </row>
    <row r="120" spans="1:34" s="24" customFormat="1" x14ac:dyDescent="0.25">
      <c r="A120" s="40" t="s">
        <v>471</v>
      </c>
      <c r="B120" s="7">
        <v>4038</v>
      </c>
      <c r="C120" s="25" t="s">
        <v>119</v>
      </c>
      <c r="D120" s="25" t="s">
        <v>292</v>
      </c>
      <c r="E120" s="16">
        <v>42597.705914351849</v>
      </c>
      <c r="F120" s="16">
        <v>42597.706990740742</v>
      </c>
      <c r="G120" s="7">
        <v>1</v>
      </c>
      <c r="H120" s="16" t="s">
        <v>430</v>
      </c>
      <c r="I120" s="16">
        <v>42597.735798611109</v>
      </c>
      <c r="J120" s="7">
        <v>0</v>
      </c>
      <c r="K120" s="142" t="str">
        <f t="shared" si="24"/>
        <v>4037/4038</v>
      </c>
      <c r="L120" s="25" t="str">
        <f>VLOOKUP(A120,'Trips&amp;Operators'!$C$1:$E$10000,3,FALSE)</f>
        <v>MAYBERRY</v>
      </c>
      <c r="M120" s="6">
        <f t="shared" si="25"/>
        <v>2.880787036701804E-2</v>
      </c>
      <c r="N120" s="7">
        <f t="shared" si="26"/>
        <v>41.483333328505978</v>
      </c>
      <c r="O120" s="7"/>
      <c r="P120" s="7"/>
      <c r="Q120" s="26"/>
      <c r="R120" s="26"/>
      <c r="S120" s="38">
        <f t="shared" si="27"/>
        <v>1</v>
      </c>
      <c r="T120" s="53" t="str">
        <f t="shared" si="28"/>
        <v>NorthBound</v>
      </c>
      <c r="U120" s="13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15:56:31-0600',mode:absolute,to:'2016-08-15 18:39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20" s="55" t="str">
        <f t="shared" si="30"/>
        <v>N</v>
      </c>
      <c r="X120" s="129">
        <f t="shared" si="31"/>
        <v>1</v>
      </c>
      <c r="Y120" s="70">
        <f t="shared" si="32"/>
        <v>4.82E-2</v>
      </c>
      <c r="Z120" s="70">
        <f t="shared" si="33"/>
        <v>23.3264</v>
      </c>
      <c r="AA120" s="70">
        <f t="shared" si="34"/>
        <v>23.278199999999998</v>
      </c>
      <c r="AB120" s="67" t="e">
        <f>VLOOKUP(A120,Enforcements!$C$7:$J$24,8,0)</f>
        <v>#N/A</v>
      </c>
      <c r="AC120" s="63" t="e">
        <f>VLOOKUP(A120,Enforcements!$C$7:$E$24,3,0)</f>
        <v>#N/A</v>
      </c>
      <c r="AD120" s="64" t="str">
        <f t="shared" si="35"/>
        <v>0207-15</v>
      </c>
      <c r="AE120" s="104" t="str">
        <f t="shared" si="36"/>
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</c>
      <c r="AF120" s="101" t="str">
        <f t="shared" si="37"/>
        <v>"C:\Program Files (x86)\AstroGrep\AstroGrep.exe" /spath="%USERPROFILE%\AppData\Local\Temp\OnboardLogs" /stypes="*4038*20160815*" /stext=" 23:.+((SYSTEM_STATE.+slice.+state.+changed )|(ment ac)|(system.+state.+changed )|(\|lc)|(penalty)|(\[timeout)|(PRM\|1\|D)|(kpr)|(kdp)|(\|loc))" /e /r /s</v>
      </c>
      <c r="AG120" s="1" t="str">
        <f t="shared" si="39"/>
        <v>EC</v>
      </c>
      <c r="AH120" s="105" t="str">
        <f t="shared" si="38"/>
        <v>"%USERPROFILE%\Documents\GitHub\eaglep3\Utilities\RefineRTDCRunTimes.py" --tripid 207-15 --locoid 4038 --swversion DE.1.0.7.0 --startMP 204:482 --initTime 2016-08-15T16:56:31 --startdatetime 2016-08-15T16:58:04 --delay 1 --endMP 204:233264 --enddatetime 2016-08-15T17:39:33 --enforcementcount 0</v>
      </c>
    </row>
    <row r="121" spans="1:34" x14ac:dyDescent="0.25">
      <c r="A121" s="40" t="s">
        <v>472</v>
      </c>
      <c r="B121" s="7">
        <v>4037</v>
      </c>
      <c r="C121" s="25" t="s">
        <v>119</v>
      </c>
      <c r="D121" s="25" t="s">
        <v>473</v>
      </c>
      <c r="E121" s="16">
        <v>42597.738229166665</v>
      </c>
      <c r="F121" s="16">
        <v>42597.739328703705</v>
      </c>
      <c r="G121" s="7">
        <v>1</v>
      </c>
      <c r="H121" s="16" t="s">
        <v>139</v>
      </c>
      <c r="I121" s="16">
        <v>42597.779363425929</v>
      </c>
      <c r="J121" s="7">
        <v>0</v>
      </c>
      <c r="K121" s="142" t="str">
        <f t="shared" si="24"/>
        <v>4037/4038</v>
      </c>
      <c r="L121" s="25" t="str">
        <f>VLOOKUP(A121,'Trips&amp;Operators'!$C$1:$E$10000,3,FALSE)</f>
        <v>MAYBERRY</v>
      </c>
      <c r="M121" s="6">
        <f t="shared" si="25"/>
        <v>4.0034722223936114E-2</v>
      </c>
      <c r="N121" s="7">
        <f t="shared" si="26"/>
        <v>57.650000002468005</v>
      </c>
      <c r="O121" s="7"/>
      <c r="P121" s="7"/>
      <c r="Q121" s="26"/>
      <c r="R121" s="26"/>
      <c r="S121" s="38">
        <f t="shared" si="27"/>
        <v>1</v>
      </c>
      <c r="T121" s="53" t="str">
        <f t="shared" si="28"/>
        <v>Southbound</v>
      </c>
      <c r="U121" s="13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16:43:03-0600',mode:absolute,to:'2016-08-15 19:42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21" s="55" t="str">
        <f t="shared" si="30"/>
        <v>N</v>
      </c>
      <c r="X121" s="129">
        <f t="shared" si="31"/>
        <v>1</v>
      </c>
      <c r="Y121" s="70">
        <f t="shared" si="32"/>
        <v>23.296199999999999</v>
      </c>
      <c r="Z121" s="70">
        <f t="shared" si="33"/>
        <v>1.5800000000000002E-2</v>
      </c>
      <c r="AA121" s="70">
        <f t="shared" si="34"/>
        <v>23.2804</v>
      </c>
      <c r="AB121" s="67" t="e">
        <f>VLOOKUP(A121,Enforcements!$C$7:$J$24,8,0)</f>
        <v>#N/A</v>
      </c>
      <c r="AC121" s="63" t="e">
        <f>VLOOKUP(A121,Enforcements!$C$7:$E$24,3,0)</f>
        <v>#N/A</v>
      </c>
      <c r="AD121" s="64" t="str">
        <f t="shared" si="35"/>
        <v>0208-15</v>
      </c>
      <c r="AE121" s="104" t="str">
        <f t="shared" si="36"/>
        <v>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 &amp; 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</v>
      </c>
      <c r="AF121" s="101" t="str">
        <f t="shared" si="37"/>
        <v>"C:\Program Files (x86)\AstroGrep\AstroGrep.exe" /spath="%USERPROFILE%\AppData\Local\Temp\OnboardLogs" /stypes="*4037*20160816*" /stext=" 00:.+((SYSTEM_STATE.+slice.+state.+changed )|(ment ac)|(system.+state.+changed )|(\|lc)|(penalty)|(\[timeout)|(PRM\|1\|D)|(kpr)|(kdp)|(\|loc))" /e /r /s</v>
      </c>
      <c r="AG121" s="1" t="str">
        <f t="shared" si="39"/>
        <v>EC</v>
      </c>
      <c r="AH121" s="105" t="str">
        <f t="shared" si="38"/>
        <v>"%USERPROFILE%\Documents\GitHub\eaglep3\Utilities\RefineRTDCRunTimes.py" --tripid 208-15 --locoid 4037 --swversion DE.1.0.7.0 --startMP 204:232962 --initTime 2016-08-15T17:43:03 --startdatetime 2016-08-15T17:44:38 --delay 1 --endMP 204:158 --enddatetime 2016-08-15T18:42:17 --enforcementcount 0</v>
      </c>
    </row>
    <row r="122" spans="1:34" x14ac:dyDescent="0.25">
      <c r="A122" s="40" t="s">
        <v>474</v>
      </c>
      <c r="B122" s="7">
        <v>4007</v>
      </c>
      <c r="C122" s="25" t="s">
        <v>119</v>
      </c>
      <c r="D122" s="25" t="s">
        <v>160</v>
      </c>
      <c r="E122" s="16">
        <v>42597.717499999999</v>
      </c>
      <c r="F122" s="16">
        <v>42597.71875</v>
      </c>
      <c r="G122" s="7">
        <v>1</v>
      </c>
      <c r="H122" s="16" t="s">
        <v>192</v>
      </c>
      <c r="I122" s="16">
        <v>42597.744988425926</v>
      </c>
      <c r="J122" s="7">
        <v>0</v>
      </c>
      <c r="K122" s="142" t="str">
        <f t="shared" si="24"/>
        <v>4007/4008</v>
      </c>
      <c r="L122" s="25" t="str">
        <f>VLOOKUP(A122,'Trips&amp;Operators'!$C$1:$E$10000,3,FALSE)</f>
        <v>OUN</v>
      </c>
      <c r="M122" s="6">
        <f t="shared" si="25"/>
        <v>2.6238425925839692E-2</v>
      </c>
      <c r="N122" s="7">
        <f t="shared" si="26"/>
        <v>37.783333333209157</v>
      </c>
      <c r="O122" s="7"/>
      <c r="P122" s="7"/>
      <c r="Q122" s="26"/>
      <c r="R122" s="26"/>
      <c r="S122" s="38">
        <f t="shared" si="27"/>
        <v>1</v>
      </c>
      <c r="T122" s="53" t="str">
        <f t="shared" si="28"/>
        <v>NorthBound</v>
      </c>
      <c r="U122" s="13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16:13:12-0600',mode:absolute,to:'2016-08-15 18:52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22" s="55" t="str">
        <f t="shared" si="30"/>
        <v>N</v>
      </c>
      <c r="X122" s="129">
        <f t="shared" si="31"/>
        <v>1</v>
      </c>
      <c r="Y122" s="70">
        <f t="shared" si="32"/>
        <v>4.5699999999999998E-2</v>
      </c>
      <c r="Z122" s="70">
        <f t="shared" si="33"/>
        <v>23.329699999999999</v>
      </c>
      <c r="AA122" s="70">
        <f t="shared" si="34"/>
        <v>23.283999999999999</v>
      </c>
      <c r="AB122" s="67" t="e">
        <f>VLOOKUP(A122,Enforcements!$C$7:$J$24,8,0)</f>
        <v>#N/A</v>
      </c>
      <c r="AC122" s="63" t="e">
        <f>VLOOKUP(A122,Enforcements!$C$7:$E$24,3,0)</f>
        <v>#N/A</v>
      </c>
      <c r="AD122" s="64" t="str">
        <f t="shared" si="35"/>
        <v>0209-15</v>
      </c>
      <c r="AE122" s="104" t="str">
        <f t="shared" si="36"/>
        <v>aws s3 cp s3://rtdc.mdm.uploadarchive/RTDC4007/2016-08-15/ "%USERPROFILE%\AppData\Local\Temp\OnboardLogs"\RTDC4007\2016-08-15 --recursive &amp; "%USERPROFILE%\Documents\GitHub\mrs-test-scripts\Headless Mode &amp; Sideloading\WalkAndUnGZ.bat" "%USERPROFILE%\AppData\Local\Temp\OnboardLogs"\RTDC4007\2016-08-15 &amp; aws s3 cp s3://rtdc.mdm.uploadarchive/RTDC4007/2016-08-16/ "%USERPROFILE%\AppData\Local\Temp\OnboardLogs"\RTDC4007\2016-08-16 --recursive &amp; "%USERPROFILE%\Documents\GitHub\mrs-test-scripts\Headless Mode &amp; Sideloading\WalkAndUnGZ.bat" "%USERPROFILE%\AppData\Local\Temp\OnboardLogs"\RTDC4007\2016-08-16</v>
      </c>
      <c r="AF122" s="101" t="str">
        <f t="shared" si="37"/>
        <v>"C:\Program Files (x86)\AstroGrep\AstroGrep.exe" /spath="%USERPROFILE%\AppData\Local\Temp\OnboardLogs" /stypes="*4007*20160815*" /stext=" 23:.+((SYSTEM_STATE.+slice.+state.+changed )|(ment ac)|(system.+state.+changed )|(\|lc)|(penalty)|(\[timeout)|(PRM\|1\|D)|(kpr)|(kdp)|(\|loc))" /e /r /s</v>
      </c>
      <c r="AG122" s="1" t="str">
        <f t="shared" si="39"/>
        <v>EC</v>
      </c>
      <c r="AH122" s="105" t="str">
        <f t="shared" si="38"/>
        <v>"%USERPROFILE%\Documents\GitHub\eaglep3\Utilities\RefineRTDCRunTimes.py" --tripid 209-15 --locoid 4007 --swversion DE.1.0.7.0 --startMP 204:457 --initTime 2016-08-15T17:13:12 --startdatetime 2016-08-15T17:15:00 --delay 1 --endMP 204:233297 --enddatetime 2016-08-15T17:52:47 --enforcementcount 0</v>
      </c>
    </row>
    <row r="123" spans="1:34" x14ac:dyDescent="0.25">
      <c r="A123" s="40" t="s">
        <v>475</v>
      </c>
      <c r="B123" s="7">
        <v>4008</v>
      </c>
      <c r="C123" s="25" t="s">
        <v>119</v>
      </c>
      <c r="D123" s="25" t="s">
        <v>198</v>
      </c>
      <c r="E123" s="16">
        <v>42597.752071759256</v>
      </c>
      <c r="F123" s="16">
        <v>42597.753078703703</v>
      </c>
      <c r="G123" s="7">
        <v>1</v>
      </c>
      <c r="H123" s="16" t="s">
        <v>155</v>
      </c>
      <c r="I123" s="16">
        <v>42597.784733796296</v>
      </c>
      <c r="J123" s="7">
        <v>0</v>
      </c>
      <c r="K123" s="142" t="str">
        <f t="shared" si="24"/>
        <v>4007/4008</v>
      </c>
      <c r="L123" s="25" t="str">
        <f>VLOOKUP(A123,'Trips&amp;Operators'!$C$1:$E$10000,3,FALSE)</f>
        <v>OUN</v>
      </c>
      <c r="M123" s="6">
        <f t="shared" si="25"/>
        <v>3.1655092592700385E-2</v>
      </c>
      <c r="N123" s="7">
        <f t="shared" si="26"/>
        <v>45.583333333488554</v>
      </c>
      <c r="O123" s="7"/>
      <c r="P123" s="7"/>
      <c r="Q123" s="26"/>
      <c r="R123" s="26"/>
      <c r="S123" s="38">
        <f t="shared" si="27"/>
        <v>1</v>
      </c>
      <c r="T123" s="53" t="str">
        <f t="shared" si="28"/>
        <v>Southbound</v>
      </c>
      <c r="U123" s="13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17:02:59-0600',mode:absolute,to:'2016-08-15 19:50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23" s="55" t="str">
        <f t="shared" si="30"/>
        <v>N</v>
      </c>
      <c r="X123" s="129">
        <f t="shared" si="31"/>
        <v>1</v>
      </c>
      <c r="Y123" s="70">
        <f t="shared" si="32"/>
        <v>23.296299999999999</v>
      </c>
      <c r="Z123" s="70">
        <f t="shared" si="33"/>
        <v>1.3899999999999999E-2</v>
      </c>
      <c r="AA123" s="70">
        <f t="shared" si="34"/>
        <v>23.282399999999999</v>
      </c>
      <c r="AB123" s="67" t="e">
        <f>VLOOKUP(A123,Enforcements!$C$7:$J$24,8,0)</f>
        <v>#N/A</v>
      </c>
      <c r="AC123" s="63" t="e">
        <f>VLOOKUP(A123,Enforcements!$C$7:$E$24,3,0)</f>
        <v>#N/A</v>
      </c>
      <c r="AD123" s="64" t="str">
        <f t="shared" si="35"/>
        <v>0210-15</v>
      </c>
      <c r="AE123" s="104" t="str">
        <f t="shared" si="36"/>
        <v>aws s3 cp s3://rtdc.mdm.uploadarchive/RTDC4008/2016-08-15/ "%USERPROFILE%\AppData\Local\Temp\OnboardLogs"\RTDC4008\2016-08-15 --recursive &amp; "%USERPROFILE%\Documents\GitHub\mrs-test-scripts\Headless Mode &amp; Sideloading\WalkAndUnGZ.bat" "%USERPROFILE%\AppData\Local\Temp\OnboardLogs"\RTDC4008\2016-08-15 &amp; aws s3 cp s3://rtdc.mdm.uploadarchive/RTDC4008/2016-08-16/ "%USERPROFILE%\AppData\Local\Temp\OnboardLogs"\RTDC4008\2016-08-16 --recursive &amp; "%USERPROFILE%\Documents\GitHub\mrs-test-scripts\Headless Mode &amp; Sideloading\WalkAndUnGZ.bat" "%USERPROFILE%\AppData\Local\Temp\OnboardLogs"\RTDC4008\2016-08-16</v>
      </c>
      <c r="AF123" s="101" t="str">
        <f t="shared" si="37"/>
        <v>"C:\Program Files (x86)\AstroGrep\AstroGrep.exe" /spath="%USERPROFILE%\AppData\Local\Temp\OnboardLogs" /stypes="*4008*20160816*" /stext=" 00:.+((SYSTEM_STATE.+slice.+state.+changed )|(ment ac)|(system.+state.+changed )|(\|lc)|(penalty)|(\[timeout)|(PRM\|1\|D)|(kpr)|(kdp)|(\|loc))" /e /r /s</v>
      </c>
      <c r="AG123" s="1" t="str">
        <f t="shared" si="39"/>
        <v>EC</v>
      </c>
      <c r="AH123" s="105" t="str">
        <f t="shared" si="38"/>
        <v>"%USERPROFILE%\Documents\GitHub\eaglep3\Utilities\RefineRTDCRunTimes.py" --tripid 210-15 --locoid 4008 --swversion DE.1.0.7.0 --startMP 204:232963 --initTime 2016-08-15T18:02:59 --startdatetime 2016-08-15T18:04:26 --delay 1 --endMP 204:139 --enddatetime 2016-08-15T18:50:01 --enforcementcount 0</v>
      </c>
    </row>
    <row r="124" spans="1:34" x14ac:dyDescent="0.25">
      <c r="A124" s="40" t="s">
        <v>476</v>
      </c>
      <c r="B124" s="7">
        <v>4009</v>
      </c>
      <c r="C124" s="25" t="s">
        <v>119</v>
      </c>
      <c r="D124" s="25" t="s">
        <v>61</v>
      </c>
      <c r="E124" s="16">
        <v>42597.729224537034</v>
      </c>
      <c r="F124" s="16">
        <v>42597.730763888889</v>
      </c>
      <c r="G124" s="7">
        <v>2</v>
      </c>
      <c r="H124" s="16" t="s">
        <v>266</v>
      </c>
      <c r="I124" s="16">
        <v>42597.758321759262</v>
      </c>
      <c r="J124" s="7">
        <v>0</v>
      </c>
      <c r="K124" s="142" t="str">
        <f t="shared" si="24"/>
        <v>4009/4010</v>
      </c>
      <c r="L124" s="25" t="str">
        <f>VLOOKUP(A124,'Trips&amp;Operators'!$C$1:$E$10000,3,FALSE)</f>
        <v>YOUNG</v>
      </c>
      <c r="M124" s="6">
        <f t="shared" si="25"/>
        <v>2.7557870373129845E-2</v>
      </c>
      <c r="N124" s="7">
        <f t="shared" si="26"/>
        <v>39.683333337306976</v>
      </c>
      <c r="O124" s="7"/>
      <c r="P124" s="7"/>
      <c r="Q124" s="26"/>
      <c r="R124" s="26"/>
      <c r="S124" s="38">
        <f t="shared" si="27"/>
        <v>1</v>
      </c>
      <c r="T124" s="53" t="str">
        <f t="shared" si="28"/>
        <v>NorthBound</v>
      </c>
      <c r="U124" s="13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16:30:05-0600',mode:absolute,to:'2016-08-15 19:11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W124" s="55" t="str">
        <f t="shared" si="30"/>
        <v>N</v>
      </c>
      <c r="X124" s="129">
        <f t="shared" si="31"/>
        <v>1</v>
      </c>
      <c r="Y124" s="70">
        <f t="shared" si="32"/>
        <v>4.5999999999999999E-2</v>
      </c>
      <c r="Z124" s="70">
        <f t="shared" si="33"/>
        <v>23.332699999999999</v>
      </c>
      <c r="AA124" s="70">
        <f t="shared" si="34"/>
        <v>23.2867</v>
      </c>
      <c r="AB124" s="67" t="e">
        <f>VLOOKUP(A124,Enforcements!$C$7:$J$24,8,0)</f>
        <v>#N/A</v>
      </c>
      <c r="AC124" s="63" t="e">
        <f>VLOOKUP(A124,Enforcements!$C$7:$E$24,3,0)</f>
        <v>#N/A</v>
      </c>
      <c r="AD124" s="64" t="str">
        <f t="shared" si="35"/>
        <v>0211-15</v>
      </c>
      <c r="AE124" s="104" t="str">
        <f t="shared" si="36"/>
        <v>aws s3 cp s3://rtdc.mdm.uploadarchive/RTDC4009/2016-08-15/ "%USERPROFILE%\AppData\Local\Temp\OnboardLogs"\RTDC4009\2016-08-15 --recursive &amp; "%USERPROFILE%\Documents\GitHub\mrs-test-scripts\Headless Mode &amp; Sideloading\WalkAndUnGZ.bat" "%USERPROFILE%\AppData\Local\Temp\OnboardLogs"\RTDC4009\2016-08-15 &amp; 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</v>
      </c>
      <c r="AF124" s="101" t="str">
        <f t="shared" si="37"/>
        <v>"C:\Program Files (x86)\AstroGrep\AstroGrep.exe" /spath="%USERPROFILE%\AppData\Local\Temp\OnboardLogs" /stypes="*4009*20160816*" /stext=" 00:.+((SYSTEM_STATE.+slice.+state.+changed )|(ment ac)|(system.+state.+changed )|(\|lc)|(penalty)|(\[timeout)|(PRM\|1\|D)|(kpr)|(kdp)|(\|loc))" /e /r /s</v>
      </c>
      <c r="AG124" s="1" t="str">
        <f t="shared" si="39"/>
        <v>EC</v>
      </c>
      <c r="AH124" s="105" t="str">
        <f t="shared" si="38"/>
        <v>"%USERPROFILE%\Documents\GitHub\eaglep3\Utilities\RefineRTDCRunTimes.py" --tripid 211-15 --locoid 4009 --swversion DE.1.0.7.0 --startMP 204:460 --initTime 2016-08-15T17:30:05 --startdatetime 2016-08-15T17:32:18 --delay 2 --endMP 204:233327 --enddatetime 2016-08-15T18:11:59 --enforcementcount 0</v>
      </c>
    </row>
    <row r="125" spans="1:34" x14ac:dyDescent="0.25">
      <c r="A125" s="40" t="s">
        <v>477</v>
      </c>
      <c r="B125" s="7">
        <v>4010</v>
      </c>
      <c r="C125" s="25" t="s">
        <v>119</v>
      </c>
      <c r="D125" s="25" t="s">
        <v>362</v>
      </c>
      <c r="E125" s="16">
        <v>42597.761493055557</v>
      </c>
      <c r="F125" s="16">
        <v>42597.762546296297</v>
      </c>
      <c r="G125" s="7">
        <v>1</v>
      </c>
      <c r="H125" s="16" t="s">
        <v>159</v>
      </c>
      <c r="I125" s="16">
        <v>42597.798495370371</v>
      </c>
      <c r="J125" s="7">
        <v>0</v>
      </c>
      <c r="K125" s="142" t="str">
        <f t="shared" si="24"/>
        <v>4009/4010</v>
      </c>
      <c r="L125" s="25" t="str">
        <f>VLOOKUP(A125,'Trips&amp;Operators'!$C$1:$E$10000,3,FALSE)</f>
        <v>YOUNG</v>
      </c>
      <c r="M125" s="6">
        <f t="shared" si="25"/>
        <v>3.5949074073869269E-2</v>
      </c>
      <c r="N125" s="7">
        <f t="shared" si="26"/>
        <v>51.766666666371748</v>
      </c>
      <c r="O125" s="7"/>
      <c r="P125" s="7"/>
      <c r="Q125" s="26"/>
      <c r="R125" s="26"/>
      <c r="S125" s="38">
        <f t="shared" si="27"/>
        <v>1</v>
      </c>
      <c r="T125" s="53" t="str">
        <f t="shared" si="28"/>
        <v>Southbound</v>
      </c>
      <c r="U125" s="13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17:16:33-0600',mode:absolute,to:'2016-08-15 20:09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125" s="55" t="str">
        <f t="shared" si="30"/>
        <v>N</v>
      </c>
      <c r="X125" s="129">
        <f t="shared" si="31"/>
        <v>1</v>
      </c>
      <c r="Y125" s="70">
        <f t="shared" si="32"/>
        <v>23.3017</v>
      </c>
      <c r="Z125" s="70">
        <f t="shared" si="33"/>
        <v>1.6299999999999999E-2</v>
      </c>
      <c r="AA125" s="70">
        <f t="shared" si="34"/>
        <v>23.285399999999999</v>
      </c>
      <c r="AB125" s="67" t="e">
        <f>VLOOKUP(A125,Enforcements!$C$7:$J$24,8,0)</f>
        <v>#N/A</v>
      </c>
      <c r="AC125" s="63" t="e">
        <f>VLOOKUP(A125,Enforcements!$C$7:$E$24,3,0)</f>
        <v>#N/A</v>
      </c>
      <c r="AD125" s="64" t="str">
        <f t="shared" si="35"/>
        <v>0212-15</v>
      </c>
      <c r="AE125" s="104" t="str">
        <f t="shared" si="36"/>
        <v>aws s3 cp s3://rtdc.mdm.uploadarchive/RTDC4010/2016-08-15/ "%USERPROFILE%\AppData\Local\Temp\OnboardLogs"\RTDC4010\2016-08-15 --recursive &amp; "%USERPROFILE%\Documents\GitHub\mrs-test-scripts\Headless Mode &amp; Sideloading\WalkAndUnGZ.bat" "%USERPROFILE%\AppData\Local\Temp\OnboardLogs"\RTDC4010\2016-08-15 &amp; 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</v>
      </c>
      <c r="AF125" s="101" t="str">
        <f t="shared" si="37"/>
        <v>"C:\Program Files (x86)\AstroGrep\AstroGrep.exe" /spath="%USERPROFILE%\AppData\Local\Temp\OnboardLogs" /stypes="*4010*20160816*" /stext=" 01:.+((SYSTEM_STATE.+slice.+state.+changed )|(ment ac)|(system.+state.+changed )|(\|lc)|(penalty)|(\[timeout)|(PRM\|1\|D)|(kpr)|(kdp)|(\|loc))" /e /r /s</v>
      </c>
      <c r="AG125" s="1" t="str">
        <f t="shared" si="39"/>
        <v>EC</v>
      </c>
      <c r="AH125" s="105" t="str">
        <f t="shared" si="38"/>
        <v>"%USERPROFILE%\Documents\GitHub\eaglep3\Utilities\RefineRTDCRunTimes.py" --tripid 212-15 --locoid 4010 --swversion DE.1.0.7.0 --startMP 204:233017 --initTime 2016-08-15T18:16:33 --startdatetime 2016-08-15T18:18:04 --delay 1 --endMP 204:163 --enddatetime 2016-08-15T19:09:50 --enforcementcount 0</v>
      </c>
    </row>
    <row r="126" spans="1:34" x14ac:dyDescent="0.25">
      <c r="A126" s="40" t="s">
        <v>478</v>
      </c>
      <c r="B126" s="7">
        <v>4042</v>
      </c>
      <c r="C126" s="25" t="s">
        <v>119</v>
      </c>
      <c r="D126" s="25" t="s">
        <v>154</v>
      </c>
      <c r="E126" s="16">
        <v>42597.738136574073</v>
      </c>
      <c r="F126" s="16">
        <v>42597.739398148151</v>
      </c>
      <c r="G126" s="7">
        <v>1</v>
      </c>
      <c r="H126" s="16" t="s">
        <v>317</v>
      </c>
      <c r="I126" s="16">
        <v>42597.764710648145</v>
      </c>
      <c r="J126" s="7">
        <v>0</v>
      </c>
      <c r="K126" s="142" t="str">
        <f t="shared" si="24"/>
        <v>4041/4042</v>
      </c>
      <c r="L126" s="25" t="str">
        <f>VLOOKUP(A126,'Trips&amp;Operators'!$C$1:$E$10000,3,FALSE)</f>
        <v>NEWELL</v>
      </c>
      <c r="M126" s="6">
        <f t="shared" si="25"/>
        <v>2.5312499994470272E-2</v>
      </c>
      <c r="N126" s="7">
        <f t="shared" si="26"/>
        <v>36.449999992037192</v>
      </c>
      <c r="O126" s="7"/>
      <c r="P126" s="7"/>
      <c r="Q126" s="26"/>
      <c r="R126" s="26"/>
      <c r="S126" s="38">
        <f t="shared" si="27"/>
        <v>1</v>
      </c>
      <c r="T126" s="53" t="str">
        <f t="shared" si="28"/>
        <v>NorthBound</v>
      </c>
      <c r="U126" s="13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16:42:55-0600',mode:absolute,to:'2016-08-15 19:21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26" s="55" t="str">
        <f t="shared" si="30"/>
        <v>N</v>
      </c>
      <c r="X126" s="129">
        <f t="shared" si="31"/>
        <v>1</v>
      </c>
      <c r="Y126" s="70">
        <f t="shared" si="32"/>
        <v>4.58E-2</v>
      </c>
      <c r="Z126" s="70">
        <f t="shared" si="33"/>
        <v>23.3324</v>
      </c>
      <c r="AA126" s="70">
        <f t="shared" si="34"/>
        <v>23.2866</v>
      </c>
      <c r="AB126" s="67" t="e">
        <f>VLOOKUP(A126,Enforcements!$C$7:$J$24,8,0)</f>
        <v>#N/A</v>
      </c>
      <c r="AC126" s="63" t="e">
        <f>VLOOKUP(A126,Enforcements!$C$7:$E$24,3,0)</f>
        <v>#N/A</v>
      </c>
      <c r="AD126" s="64" t="str">
        <f t="shared" si="35"/>
        <v>0213-15</v>
      </c>
      <c r="AE126" s="104" t="str">
        <f t="shared" si="36"/>
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</c>
      <c r="AF126" s="101" t="str">
        <f t="shared" si="37"/>
        <v>"C:\Program Files (x86)\AstroGrep\AstroGrep.exe" /spath="%USERPROFILE%\AppData\Local\Temp\OnboardLogs" /stypes="*4042*20160816*" /stext=" 00:.+((SYSTEM_STATE.+slice.+state.+changed )|(ment ac)|(system.+state.+changed )|(\|lc)|(penalty)|(\[timeout)|(PRM\|1\|D)|(kpr)|(kdp)|(\|loc))" /e /r /s</v>
      </c>
      <c r="AG126" s="1" t="str">
        <f t="shared" si="39"/>
        <v>EC</v>
      </c>
      <c r="AH126" s="105" t="str">
        <f t="shared" si="38"/>
        <v>"%USERPROFILE%\Documents\GitHub\eaglep3\Utilities\RefineRTDCRunTimes.py" --tripid 213-15 --locoid 4042 --swversion DE.1.0.7.0 --startMP 204:458 --initTime 2016-08-15T17:42:55 --startdatetime 2016-08-15T17:44:44 --delay 1 --endMP 204:233324 --enddatetime 2016-08-15T18:21:11 --enforcementcount 0</v>
      </c>
    </row>
    <row r="127" spans="1:34" x14ac:dyDescent="0.25">
      <c r="A127" s="40" t="s">
        <v>479</v>
      </c>
      <c r="B127" s="7">
        <v>4041</v>
      </c>
      <c r="C127" s="25" t="s">
        <v>119</v>
      </c>
      <c r="D127" s="25" t="s">
        <v>190</v>
      </c>
      <c r="E127" s="16">
        <v>42597.766747685186</v>
      </c>
      <c r="F127" s="16">
        <v>42597.767557870371</v>
      </c>
      <c r="G127" s="7">
        <v>1</v>
      </c>
      <c r="H127" s="16" t="s">
        <v>162</v>
      </c>
      <c r="I127" s="16">
        <v>42597.80704861111</v>
      </c>
      <c r="J127" s="7">
        <v>0</v>
      </c>
      <c r="K127" s="142" t="str">
        <f t="shared" si="24"/>
        <v>4041/4042</v>
      </c>
      <c r="L127" s="25" t="str">
        <f>VLOOKUP(A127,'Trips&amp;Operators'!$C$1:$E$10000,3,FALSE)</f>
        <v>NEWELL</v>
      </c>
      <c r="M127" s="6">
        <f t="shared" si="25"/>
        <v>3.9490740738983732E-2</v>
      </c>
      <c r="N127" s="7">
        <f t="shared" si="26"/>
        <v>56.866666664136574</v>
      </c>
      <c r="O127" s="7"/>
      <c r="P127" s="7"/>
      <c r="Q127" s="26"/>
      <c r="R127" s="26"/>
      <c r="S127" s="38">
        <f t="shared" si="27"/>
        <v>1</v>
      </c>
      <c r="T127" s="53" t="str">
        <f t="shared" si="28"/>
        <v>Southbound</v>
      </c>
      <c r="U127" s="13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17:24:07-0600',mode:absolute,to:'2016-08-15 20:22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27" s="55" t="str">
        <f t="shared" si="30"/>
        <v>N</v>
      </c>
      <c r="X127" s="129">
        <f t="shared" si="31"/>
        <v>1</v>
      </c>
      <c r="Y127" s="70">
        <f t="shared" si="32"/>
        <v>23.3001</v>
      </c>
      <c r="Z127" s="70">
        <f t="shared" si="33"/>
        <v>1.38E-2</v>
      </c>
      <c r="AA127" s="70">
        <f t="shared" si="34"/>
        <v>23.286300000000001</v>
      </c>
      <c r="AB127" s="67" t="e">
        <f>VLOOKUP(A127,Enforcements!$C$7:$J$24,8,0)</f>
        <v>#N/A</v>
      </c>
      <c r="AC127" s="63" t="e">
        <f>VLOOKUP(A127,Enforcements!$C$7:$E$24,3,0)</f>
        <v>#N/A</v>
      </c>
      <c r="AD127" s="64" t="str">
        <f t="shared" si="35"/>
        <v>0214-15</v>
      </c>
      <c r="AE127" s="104" t="str">
        <f t="shared" si="36"/>
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</c>
      <c r="AF127" s="101" t="str">
        <f t="shared" si="37"/>
        <v>"C:\Program Files (x86)\AstroGrep\AstroGrep.exe" /spath="%USERPROFILE%\AppData\Local\Temp\OnboardLogs" /stypes="*4041*20160816*" /stext=" 01:.+((SYSTEM_STATE.+slice.+state.+changed )|(ment ac)|(system.+state.+changed )|(\|lc)|(penalty)|(\[timeout)|(PRM\|1\|D)|(kpr)|(kdp)|(\|loc))" /e /r /s</v>
      </c>
      <c r="AG127" s="1" t="str">
        <f t="shared" si="39"/>
        <v>EC</v>
      </c>
      <c r="AH127" s="105" t="str">
        <f t="shared" si="38"/>
        <v>"%USERPROFILE%\Documents\GitHub\eaglep3\Utilities\RefineRTDCRunTimes.py" --tripid 214-15 --locoid 4041 --swversion DE.1.0.7.0 --startMP 204:233001 --initTime 2016-08-15T18:24:07 --startdatetime 2016-08-15T18:25:17 --delay 1 --endMP 204:138 --enddatetime 2016-08-15T19:22:09 --enforcementcount 0</v>
      </c>
    </row>
    <row r="128" spans="1:34" x14ac:dyDescent="0.25">
      <c r="A128" s="40" t="s">
        <v>480</v>
      </c>
      <c r="B128" s="7">
        <v>4044</v>
      </c>
      <c r="C128" s="25" t="s">
        <v>119</v>
      </c>
      <c r="D128" s="25" t="s">
        <v>174</v>
      </c>
      <c r="E128" s="16">
        <v>42597.746886574074</v>
      </c>
      <c r="F128" s="16">
        <v>42597.748055555552</v>
      </c>
      <c r="G128" s="7">
        <v>1</v>
      </c>
      <c r="H128" s="16" t="s">
        <v>192</v>
      </c>
      <c r="I128" s="16">
        <v>42597.776145833333</v>
      </c>
      <c r="J128" s="7">
        <v>0</v>
      </c>
      <c r="K128" s="142" t="str">
        <f t="shared" si="24"/>
        <v>4043/4044</v>
      </c>
      <c r="L128" s="25" t="str">
        <f>VLOOKUP(A128,'Trips&amp;Operators'!$C$1:$E$10000,3,FALSE)</f>
        <v>HOMIK</v>
      </c>
      <c r="M128" s="6">
        <f t="shared" si="25"/>
        <v>2.8090277781302575E-2</v>
      </c>
      <c r="N128" s="7">
        <f t="shared" si="26"/>
        <v>40.450000005075708</v>
      </c>
      <c r="O128" s="7"/>
      <c r="P128" s="7"/>
      <c r="Q128" s="26"/>
      <c r="R128" s="26"/>
      <c r="S128" s="38">
        <f t="shared" si="27"/>
        <v>1</v>
      </c>
      <c r="T128" s="53" t="str">
        <f t="shared" si="28"/>
        <v>NorthBound</v>
      </c>
      <c r="U128" s="13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16:55:31-0600',mode:absolute,to:'2016-08-15 19:37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128" s="55" t="str">
        <f t="shared" si="30"/>
        <v>N</v>
      </c>
      <c r="X128" s="129">
        <f t="shared" si="31"/>
        <v>1</v>
      </c>
      <c r="Y128" s="70">
        <f t="shared" si="32"/>
        <v>4.6600000000000003E-2</v>
      </c>
      <c r="Z128" s="70">
        <f t="shared" si="33"/>
        <v>23.329699999999999</v>
      </c>
      <c r="AA128" s="70">
        <f t="shared" si="34"/>
        <v>23.283099999999997</v>
      </c>
      <c r="AB128" s="67" t="e">
        <f>VLOOKUP(A128,Enforcements!$C$7:$J$24,8,0)</f>
        <v>#N/A</v>
      </c>
      <c r="AC128" s="63" t="e">
        <f>VLOOKUP(A128,Enforcements!$C$7:$E$24,3,0)</f>
        <v>#N/A</v>
      </c>
      <c r="AD128" s="64" t="str">
        <f t="shared" si="35"/>
        <v>0215-15</v>
      </c>
      <c r="AE128" s="104" t="str">
        <f t="shared" si="36"/>
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</c>
      <c r="AF128" s="101" t="str">
        <f t="shared" si="37"/>
        <v>"C:\Program Files (x86)\AstroGrep\AstroGrep.exe" /spath="%USERPROFILE%\AppData\Local\Temp\OnboardLogs" /stypes="*4044*20160816*" /stext=" 00:.+((SYSTEM_STATE.+slice.+state.+changed )|(ment ac)|(system.+state.+changed )|(\|lc)|(penalty)|(\[timeout)|(PRM\|1\|D)|(kpr)|(kdp)|(\|loc))" /e /r /s</v>
      </c>
      <c r="AG128" s="1" t="str">
        <f t="shared" si="39"/>
        <v>EC</v>
      </c>
      <c r="AH128" s="105" t="str">
        <f t="shared" si="38"/>
        <v>"%USERPROFILE%\Documents\GitHub\eaglep3\Utilities\RefineRTDCRunTimes.py" --tripid 215-15 --locoid 4044 --swversion DE.1.0.7.0 --startMP 204:466 --initTime 2016-08-15T17:55:31 --startdatetime 2016-08-15T17:57:12 --delay 1 --endMP 204:233297 --enddatetime 2016-08-15T18:37:39 --enforcementcount 0</v>
      </c>
    </row>
    <row r="129" spans="1:34" x14ac:dyDescent="0.25">
      <c r="A129" s="40" t="s">
        <v>481</v>
      </c>
      <c r="B129" s="7">
        <v>4043</v>
      </c>
      <c r="C129" s="25" t="s">
        <v>119</v>
      </c>
      <c r="D129" s="25" t="s">
        <v>286</v>
      </c>
      <c r="E129" s="16">
        <v>42597.778969907406</v>
      </c>
      <c r="F129" s="16">
        <v>42597.780219907407</v>
      </c>
      <c r="G129" s="7">
        <v>1</v>
      </c>
      <c r="H129" s="16" t="s">
        <v>482</v>
      </c>
      <c r="I129" s="16">
        <v>42597.818425925929</v>
      </c>
      <c r="J129" s="7">
        <v>0</v>
      </c>
      <c r="K129" s="142" t="str">
        <f t="shared" si="24"/>
        <v>4043/4044</v>
      </c>
      <c r="L129" s="25" t="str">
        <f>VLOOKUP(A129,'Trips&amp;Operators'!$C$1:$E$10000,3,FALSE)</f>
        <v>HOMIK</v>
      </c>
      <c r="M129" s="6">
        <f t="shared" si="25"/>
        <v>3.8206018522032537E-2</v>
      </c>
      <c r="N129" s="7">
        <f t="shared" si="26"/>
        <v>55.016666671726853</v>
      </c>
      <c r="O129" s="7"/>
      <c r="P129" s="7"/>
      <c r="Q129" s="26"/>
      <c r="R129" s="26"/>
      <c r="S129" s="38">
        <f t="shared" si="27"/>
        <v>1</v>
      </c>
      <c r="T129" s="53" t="str">
        <f t="shared" si="28"/>
        <v>Southbound</v>
      </c>
      <c r="U129" s="13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17:41:43-0600',mode:absolute,to:'2016-08-15 20:38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W129" s="55" t="str">
        <f t="shared" si="30"/>
        <v>N</v>
      </c>
      <c r="X129" s="129">
        <f t="shared" si="31"/>
        <v>1</v>
      </c>
      <c r="Y129" s="70">
        <f t="shared" si="32"/>
        <v>23.2989</v>
      </c>
      <c r="Z129" s="70">
        <f t="shared" si="33"/>
        <v>1.9800000000000002E-2</v>
      </c>
      <c r="AA129" s="70">
        <f t="shared" si="34"/>
        <v>23.2791</v>
      </c>
      <c r="AB129" s="67" t="e">
        <f>VLOOKUP(A129,Enforcements!$C$7:$J$24,8,0)</f>
        <v>#N/A</v>
      </c>
      <c r="AC129" s="63" t="e">
        <f>VLOOKUP(A129,Enforcements!$C$7:$E$24,3,0)</f>
        <v>#N/A</v>
      </c>
      <c r="AD129" s="64" t="str">
        <f t="shared" si="35"/>
        <v>0216-15</v>
      </c>
      <c r="AE129" s="104" t="str">
        <f t="shared" si="36"/>
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</c>
      <c r="AF129" s="101" t="str">
        <f t="shared" si="37"/>
        <v>"C:\Program Files (x86)\AstroGrep\AstroGrep.exe" /spath="%USERPROFILE%\AppData\Local\Temp\OnboardLogs" /stypes="*4043*20160816*" /stext=" 01:.+((SYSTEM_STATE.+slice.+state.+changed )|(ment ac)|(system.+state.+changed )|(\|lc)|(penalty)|(\[timeout)|(PRM\|1\|D)|(kpr)|(kdp)|(\|loc))" /e /r /s</v>
      </c>
      <c r="AG129" s="1" t="str">
        <f t="shared" si="39"/>
        <v>EC</v>
      </c>
      <c r="AH129" s="105" t="str">
        <f t="shared" si="38"/>
        <v>"%USERPROFILE%\Documents\GitHub\eaglep3\Utilities\RefineRTDCRunTimes.py" --tripid 216-15 --locoid 4043 --swversion DE.1.0.7.0 --startMP 204:232989 --initTime 2016-08-15T18:41:43 --startdatetime 2016-08-15T18:43:31 --delay 1 --endMP 204:198 --enddatetime 2016-08-15T19:38:32 --enforcementcount 0</v>
      </c>
    </row>
    <row r="130" spans="1:34" x14ac:dyDescent="0.25">
      <c r="A130" s="40" t="s">
        <v>483</v>
      </c>
      <c r="B130" s="7">
        <v>4027</v>
      </c>
      <c r="C130" s="25" t="s">
        <v>119</v>
      </c>
      <c r="D130" s="25" t="s">
        <v>267</v>
      </c>
      <c r="E130" s="16">
        <v>42597.759062500001</v>
      </c>
      <c r="F130" s="16">
        <v>42597.76048611111</v>
      </c>
      <c r="G130" s="7">
        <v>2</v>
      </c>
      <c r="H130" s="16" t="s">
        <v>142</v>
      </c>
      <c r="I130" s="16">
        <v>42597.785613425927</v>
      </c>
      <c r="J130" s="7">
        <v>0</v>
      </c>
      <c r="K130" s="142" t="str">
        <f t="shared" si="24"/>
        <v>4027/4028</v>
      </c>
      <c r="L130" s="25" t="str">
        <f>VLOOKUP(A130,'Trips&amp;Operators'!$C$1:$E$10000,3,FALSE)</f>
        <v>CHANDLER</v>
      </c>
      <c r="M130" s="6">
        <f t="shared" si="25"/>
        <v>2.5127314816927537E-2</v>
      </c>
      <c r="N130" s="7">
        <f t="shared" si="26"/>
        <v>36.183333336375654</v>
      </c>
      <c r="O130" s="7"/>
      <c r="P130" s="7"/>
      <c r="Q130" s="26"/>
      <c r="R130" s="26"/>
      <c r="S130" s="38">
        <f t="shared" si="27"/>
        <v>1</v>
      </c>
      <c r="T130" s="53" t="str">
        <f t="shared" si="28"/>
        <v>NorthBound</v>
      </c>
      <c r="U130" s="13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17:13:03-0600',mode:absolute,to:'2016-08-15 19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30" s="55" t="str">
        <f t="shared" si="30"/>
        <v>N</v>
      </c>
      <c r="X130" s="129">
        <f t="shared" si="31"/>
        <v>1</v>
      </c>
      <c r="Y130" s="70">
        <f t="shared" si="32"/>
        <v>4.7500000000000001E-2</v>
      </c>
      <c r="Z130" s="70">
        <f t="shared" si="33"/>
        <v>23.328900000000001</v>
      </c>
      <c r="AA130" s="70">
        <f t="shared" si="34"/>
        <v>23.281400000000001</v>
      </c>
      <c r="AB130" s="67" t="e">
        <f>VLOOKUP(A130,Enforcements!$C$7:$J$24,8,0)</f>
        <v>#N/A</v>
      </c>
      <c r="AC130" s="63" t="e">
        <f>VLOOKUP(A130,Enforcements!$C$7:$E$24,3,0)</f>
        <v>#N/A</v>
      </c>
      <c r="AD130" s="64" t="str">
        <f t="shared" si="35"/>
        <v>0217-15</v>
      </c>
      <c r="AE130" s="104" t="str">
        <f t="shared" si="36"/>
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</c>
      <c r="AF130" s="101" t="str">
        <f t="shared" si="37"/>
        <v>"C:\Program Files (x86)\AstroGrep\AstroGrep.exe" /spath="%USERPROFILE%\AppData\Local\Temp\OnboardLogs" /stypes="*4027*20160816*" /stext=" 00:.+((SYSTEM_STATE.+slice.+state.+changed )|(ment ac)|(system.+state.+changed )|(\|lc)|(penalty)|(\[timeout)|(PRM\|1\|D)|(kpr)|(kdp)|(\|loc))" /e /r /s</v>
      </c>
      <c r="AG130" s="1" t="str">
        <f t="shared" si="39"/>
        <v>EC</v>
      </c>
      <c r="AH130" s="105" t="str">
        <f t="shared" si="38"/>
        <v>"%USERPROFILE%\Documents\GitHub\eaglep3\Utilities\RefineRTDCRunTimes.py" --tripid 217-15 --locoid 4027 --swversion DE.1.0.7.0 --startMP 204:475 --initTime 2016-08-15T18:13:03 --startdatetime 2016-08-15T18:15:06 --delay 2 --endMP 204:233289 --enddatetime 2016-08-15T18:51:17 --enforcementcount 0</v>
      </c>
    </row>
    <row r="131" spans="1:34" x14ac:dyDescent="0.25">
      <c r="A131" s="40" t="s">
        <v>484</v>
      </c>
      <c r="B131" s="7">
        <v>4028</v>
      </c>
      <c r="C131" s="25" t="s">
        <v>119</v>
      </c>
      <c r="D131" s="25" t="s">
        <v>200</v>
      </c>
      <c r="E131" s="16">
        <v>42597.79724537037</v>
      </c>
      <c r="F131" s="16">
        <v>42597.798321759263</v>
      </c>
      <c r="G131" s="7">
        <v>1</v>
      </c>
      <c r="H131" s="16" t="s">
        <v>145</v>
      </c>
      <c r="I131" s="16">
        <v>42597.828148148146</v>
      </c>
      <c r="J131" s="7">
        <v>0</v>
      </c>
      <c r="K131" s="142" t="str">
        <f t="shared" si="24"/>
        <v>4027/4028</v>
      </c>
      <c r="L131" s="25" t="str">
        <f>VLOOKUP(A131,'Trips&amp;Operators'!$C$1:$E$10000,3,FALSE)</f>
        <v>CHANDLER</v>
      </c>
      <c r="M131" s="6">
        <f t="shared" si="25"/>
        <v>2.9826388883520849E-2</v>
      </c>
      <c r="N131" s="7">
        <f t="shared" si="26"/>
        <v>42.949999992270023</v>
      </c>
      <c r="O131" s="7"/>
      <c r="P131" s="7"/>
      <c r="Q131" s="26"/>
      <c r="R131" s="26"/>
      <c r="S131" s="38">
        <f t="shared" si="27"/>
        <v>1</v>
      </c>
      <c r="T131" s="53" t="str">
        <f t="shared" si="28"/>
        <v>Southbound</v>
      </c>
      <c r="U131" s="13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18:08:02-0600',mode:absolute,to:'2016-08-15 20:52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31" s="55" t="str">
        <f t="shared" si="30"/>
        <v>N</v>
      </c>
      <c r="X131" s="129">
        <f t="shared" si="31"/>
        <v>1</v>
      </c>
      <c r="Y131" s="70">
        <f t="shared" si="32"/>
        <v>23.296500000000002</v>
      </c>
      <c r="Z131" s="70">
        <f t="shared" si="33"/>
        <v>1.49E-2</v>
      </c>
      <c r="AA131" s="70">
        <f t="shared" si="34"/>
        <v>23.281600000000001</v>
      </c>
      <c r="AB131" s="67" t="e">
        <f>VLOOKUP(A131,Enforcements!$C$7:$J$24,8,0)</f>
        <v>#N/A</v>
      </c>
      <c r="AC131" s="63" t="e">
        <f>VLOOKUP(A131,Enforcements!$C$7:$E$24,3,0)</f>
        <v>#N/A</v>
      </c>
      <c r="AD131" s="64" t="str">
        <f t="shared" si="35"/>
        <v>0218-15</v>
      </c>
      <c r="AE131" s="104" t="str">
        <f t="shared" si="36"/>
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</c>
      <c r="AF131" s="101" t="str">
        <f t="shared" si="37"/>
        <v>"C:\Program Files (x86)\AstroGrep\AstroGrep.exe" /spath="%USERPROFILE%\AppData\Local\Temp\OnboardLogs" /stypes="*4028*20160816*" /stext=" 01:.+((SYSTEM_STATE.+slice.+state.+changed )|(ment ac)|(system.+state.+changed )|(\|lc)|(penalty)|(\[timeout)|(PRM\|1\|D)|(kpr)|(kdp)|(\|loc))" /e /r /s</v>
      </c>
      <c r="AG131" s="1" t="str">
        <f t="shared" si="39"/>
        <v>EC</v>
      </c>
      <c r="AH131" s="105" t="str">
        <f t="shared" si="38"/>
        <v>"%USERPROFILE%\Documents\GitHub\eaglep3\Utilities\RefineRTDCRunTimes.py" --tripid 218-15 --locoid 4028 --swversion DE.1.0.7.0 --startMP 204:232965 --initTime 2016-08-15T19:08:02 --startdatetime 2016-08-15T19:09:35 --delay 1 --endMP 204:149 --enddatetime 2016-08-15T19:52:32 --enforcementcount 0</v>
      </c>
    </row>
    <row r="132" spans="1:34" x14ac:dyDescent="0.25">
      <c r="A132" s="40" t="s">
        <v>485</v>
      </c>
      <c r="B132" s="7">
        <v>4020</v>
      </c>
      <c r="C132" s="25" t="s">
        <v>119</v>
      </c>
      <c r="D132" s="25" t="s">
        <v>144</v>
      </c>
      <c r="E132" s="16">
        <v>42597.76898148148</v>
      </c>
      <c r="F132" s="16">
        <v>42597.770439814813</v>
      </c>
      <c r="G132" s="7">
        <v>2</v>
      </c>
      <c r="H132" s="16" t="s">
        <v>315</v>
      </c>
      <c r="I132" s="16">
        <v>42597.796979166669</v>
      </c>
      <c r="J132" s="7">
        <v>0</v>
      </c>
      <c r="K132" s="142" t="str">
        <f t="shared" si="24"/>
        <v>4019/4020</v>
      </c>
      <c r="L132" s="25" t="str">
        <f>VLOOKUP(A132,'Trips&amp;Operators'!$C$1:$E$10000,3,FALSE)</f>
        <v>ISHMAEL</v>
      </c>
      <c r="M132" s="6">
        <f t="shared" si="25"/>
        <v>2.6539351856627036E-2</v>
      </c>
      <c r="N132" s="7">
        <f t="shared" si="26"/>
        <v>38.216666673542932</v>
      </c>
      <c r="O132" s="7"/>
      <c r="P132" s="7"/>
      <c r="Q132" s="26"/>
      <c r="R132" s="26"/>
      <c r="S132" s="38">
        <f t="shared" si="27"/>
        <v>1</v>
      </c>
      <c r="T132" s="53" t="str">
        <f t="shared" si="28"/>
        <v>NorthBound</v>
      </c>
      <c r="U132" s="13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17:27:20-0600',mode:absolute,to:'2016-08-15 20:07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32" s="55" t="str">
        <f t="shared" si="30"/>
        <v>N</v>
      </c>
      <c r="X132" s="129">
        <f t="shared" si="31"/>
        <v>1</v>
      </c>
      <c r="Y132" s="70">
        <f t="shared" si="32"/>
        <v>4.4900000000000002E-2</v>
      </c>
      <c r="Z132" s="70">
        <f t="shared" si="33"/>
        <v>23.3278</v>
      </c>
      <c r="AA132" s="70">
        <f t="shared" si="34"/>
        <v>23.282900000000001</v>
      </c>
      <c r="AB132" s="67" t="e">
        <f>VLOOKUP(A132,Enforcements!$C$7:$J$24,8,0)</f>
        <v>#N/A</v>
      </c>
      <c r="AC132" s="63" t="e">
        <f>VLOOKUP(A132,Enforcements!$C$7:$E$24,3,0)</f>
        <v>#N/A</v>
      </c>
      <c r="AD132" s="64" t="str">
        <f t="shared" si="35"/>
        <v>0219-15</v>
      </c>
      <c r="AE132" s="104" t="str">
        <f t="shared" si="36"/>
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</c>
      <c r="AF132" s="101" t="str">
        <f t="shared" si="37"/>
        <v>"C:\Program Files (x86)\AstroGrep\AstroGrep.exe" /spath="%USERPROFILE%\AppData\Local\Temp\OnboardLogs" /stypes="*4020*20160816*" /stext=" 01:.+((SYSTEM_STATE.+slice.+state.+changed )|(ment ac)|(system.+state.+changed )|(\|lc)|(penalty)|(\[timeout)|(PRM\|1\|D)|(kpr)|(kdp)|(\|loc))" /e /r /s</v>
      </c>
      <c r="AG132" s="1" t="str">
        <f t="shared" si="39"/>
        <v>EC</v>
      </c>
      <c r="AH132" s="105" t="str">
        <f t="shared" si="38"/>
        <v>"%USERPROFILE%\Documents\GitHub\eaglep3\Utilities\RefineRTDCRunTimes.py" --tripid 219-15 --locoid 4020 --swversion DE.1.0.7.0 --startMP 204:449 --initTime 2016-08-15T18:27:20 --startdatetime 2016-08-15T18:29:26 --delay 2 --endMP 204:233278 --enddatetime 2016-08-15T19:07:39 --enforcementcount 0</v>
      </c>
    </row>
    <row r="133" spans="1:34" x14ac:dyDescent="0.25">
      <c r="A133" s="40" t="s">
        <v>486</v>
      </c>
      <c r="B133" s="7">
        <v>4019</v>
      </c>
      <c r="C133" s="25" t="s">
        <v>119</v>
      </c>
      <c r="D133" s="25" t="s">
        <v>444</v>
      </c>
      <c r="E133" s="16">
        <v>42597.803043981483</v>
      </c>
      <c r="F133" s="16">
        <v>42597.804270833331</v>
      </c>
      <c r="G133" s="7">
        <v>1</v>
      </c>
      <c r="H133" s="16" t="s">
        <v>175</v>
      </c>
      <c r="I133" s="16">
        <v>42597.839363425926</v>
      </c>
      <c r="J133" s="7">
        <v>0</v>
      </c>
      <c r="K133" s="142" t="str">
        <f t="shared" si="24"/>
        <v>4019/4020</v>
      </c>
      <c r="L133" s="25" t="str">
        <f>VLOOKUP(A133,'Trips&amp;Operators'!$C$1:$E$10000,3,FALSE)</f>
        <v>ISHMAEL</v>
      </c>
      <c r="M133" s="6">
        <f t="shared" si="25"/>
        <v>3.5092592595901806E-2</v>
      </c>
      <c r="N133" s="7">
        <f t="shared" si="26"/>
        <v>50.533333338098601</v>
      </c>
      <c r="O133" s="7"/>
      <c r="P133" s="7"/>
      <c r="Q133" s="26"/>
      <c r="R133" s="26"/>
      <c r="S133" s="38">
        <f t="shared" si="27"/>
        <v>1</v>
      </c>
      <c r="T133" s="53" t="str">
        <f t="shared" si="28"/>
        <v>Southbound</v>
      </c>
      <c r="U133" s="13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18:16:23-0600',mode:absolute,to:'2016-08-15 21:08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33" s="55" t="str">
        <f t="shared" si="30"/>
        <v>N</v>
      </c>
      <c r="X133" s="129">
        <f t="shared" si="31"/>
        <v>1</v>
      </c>
      <c r="Y133" s="70">
        <f t="shared" si="32"/>
        <v>23.2974</v>
      </c>
      <c r="Z133" s="70">
        <f t="shared" si="33"/>
        <v>1.6E-2</v>
      </c>
      <c r="AA133" s="70">
        <f t="shared" si="34"/>
        <v>23.281400000000001</v>
      </c>
      <c r="AB133" s="67" t="e">
        <f>VLOOKUP(A133,Enforcements!$C$7:$J$24,8,0)</f>
        <v>#N/A</v>
      </c>
      <c r="AC133" s="63" t="e">
        <f>VLOOKUP(A133,Enforcements!$C$7:$E$24,3,0)</f>
        <v>#N/A</v>
      </c>
      <c r="AD133" s="64" t="str">
        <f t="shared" si="35"/>
        <v>0220-15</v>
      </c>
      <c r="AE133" s="104" t="str">
        <f t="shared" si="36"/>
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</c>
      <c r="AF133" s="101" t="str">
        <f t="shared" si="37"/>
        <v>"C:\Program Files (x86)\AstroGrep\AstroGrep.exe" /spath="%USERPROFILE%\AppData\Local\Temp\OnboardLogs" /stypes="*4019*20160816*" /stext=" 02:.+((SYSTEM_STATE.+slice.+state.+changed )|(ment ac)|(system.+state.+changed )|(\|lc)|(penalty)|(\[timeout)|(PRM\|1\|D)|(kpr)|(kdp)|(\|loc))" /e /r /s</v>
      </c>
      <c r="AG133" s="1" t="str">
        <f t="shared" si="39"/>
        <v>EC</v>
      </c>
      <c r="AH133" s="105" t="str">
        <f t="shared" si="38"/>
        <v>"%USERPROFILE%\Documents\GitHub\eaglep3\Utilities\RefineRTDCRunTimes.py" --tripid 220-15 --locoid 4019 --swversion DE.1.0.7.0 --startMP 204:232974 --initTime 2016-08-15T19:16:23 --startdatetime 2016-08-15T19:18:09 --delay 1 --endMP 204:160 --enddatetime 2016-08-15T20:08:41 --enforcementcount 0</v>
      </c>
    </row>
    <row r="134" spans="1:34" x14ac:dyDescent="0.25">
      <c r="A134" s="40" t="s">
        <v>487</v>
      </c>
      <c r="B134" s="7">
        <v>4007</v>
      </c>
      <c r="C134" s="25" t="s">
        <v>119</v>
      </c>
      <c r="D134" s="25" t="s">
        <v>141</v>
      </c>
      <c r="E134" s="16">
        <v>42597.786377314813</v>
      </c>
      <c r="F134" s="16">
        <v>42597.787465277775</v>
      </c>
      <c r="G134" s="7">
        <v>1</v>
      </c>
      <c r="H134" s="16" t="s">
        <v>142</v>
      </c>
      <c r="I134" s="16">
        <v>42597.81826388889</v>
      </c>
      <c r="J134" s="7">
        <v>0</v>
      </c>
      <c r="K134" s="142" t="str">
        <f t="shared" si="24"/>
        <v>4007/4008</v>
      </c>
      <c r="L134" s="25" t="str">
        <f>VLOOKUP(A134,'Trips&amp;Operators'!$C$1:$E$10000,3,FALSE)</f>
        <v>OUN</v>
      </c>
      <c r="M134" s="6">
        <f t="shared" si="25"/>
        <v>3.0798611114732921E-2</v>
      </c>
      <c r="N134" s="7">
        <f t="shared" si="26"/>
        <v>44.350000005215406</v>
      </c>
      <c r="O134" s="7"/>
      <c r="P134" s="7"/>
      <c r="Q134" s="26"/>
      <c r="R134" s="26"/>
      <c r="S134" s="38">
        <f t="shared" si="27"/>
        <v>1</v>
      </c>
      <c r="T134" s="53" t="str">
        <f t="shared" si="28"/>
        <v>NorthBound</v>
      </c>
      <c r="U134" s="13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17:52:23-0600',mode:absolute,to:'2016-08-15 20:38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34" s="55" t="str">
        <f t="shared" si="30"/>
        <v>N</v>
      </c>
      <c r="X134" s="129">
        <f t="shared" si="31"/>
        <v>1</v>
      </c>
      <c r="Y134" s="70">
        <f t="shared" si="32"/>
        <v>4.53E-2</v>
      </c>
      <c r="Z134" s="70">
        <f t="shared" si="33"/>
        <v>23.328900000000001</v>
      </c>
      <c r="AA134" s="70">
        <f t="shared" si="34"/>
        <v>23.2836</v>
      </c>
      <c r="AB134" s="67" t="e">
        <f>VLOOKUP(A134,Enforcements!$C$7:$J$24,8,0)</f>
        <v>#N/A</v>
      </c>
      <c r="AC134" s="63" t="e">
        <f>VLOOKUP(A134,Enforcements!$C$7:$E$24,3,0)</f>
        <v>#N/A</v>
      </c>
      <c r="AD134" s="64" t="str">
        <f t="shared" si="35"/>
        <v>0221-15</v>
      </c>
      <c r="AE134" s="104" t="str">
        <f t="shared" si="36"/>
        <v>aws s3 cp s3://rtdc.mdm.uploadarchive/RTDC4007/2016-08-15/ "%USERPROFILE%\AppData\Local\Temp\OnboardLogs"\RTDC4007\2016-08-15 --recursive &amp; "%USERPROFILE%\Documents\GitHub\mrs-test-scripts\Headless Mode &amp; Sideloading\WalkAndUnGZ.bat" "%USERPROFILE%\AppData\Local\Temp\OnboardLogs"\RTDC4007\2016-08-15 &amp; aws s3 cp s3://rtdc.mdm.uploadarchive/RTDC4007/2016-08-16/ "%USERPROFILE%\AppData\Local\Temp\OnboardLogs"\RTDC4007\2016-08-16 --recursive &amp; "%USERPROFILE%\Documents\GitHub\mrs-test-scripts\Headless Mode &amp; Sideloading\WalkAndUnGZ.bat" "%USERPROFILE%\AppData\Local\Temp\OnboardLogs"\RTDC4007\2016-08-16</v>
      </c>
      <c r="AF134" s="101" t="str">
        <f t="shared" si="37"/>
        <v>"C:\Program Files (x86)\AstroGrep\AstroGrep.exe" /spath="%USERPROFILE%\AppData\Local\Temp\OnboardLogs" /stypes="*4007*20160816*" /stext=" 01:.+((SYSTEM_STATE.+slice.+state.+changed )|(ment ac)|(system.+state.+changed )|(\|lc)|(penalty)|(\[timeout)|(PRM\|1\|D)|(kpr)|(kdp)|(\|loc))" /e /r /s</v>
      </c>
      <c r="AG134" s="1" t="str">
        <f t="shared" si="39"/>
        <v>EC</v>
      </c>
      <c r="AH134" s="105" t="str">
        <f t="shared" si="38"/>
        <v>"%USERPROFILE%\Documents\GitHub\eaglep3\Utilities\RefineRTDCRunTimes.py" --tripid 221-15 --locoid 4007 --swversion DE.1.0.7.0 --startMP 204:453 --initTime 2016-08-15T18:52:23 --startdatetime 2016-08-15T18:53:57 --delay 1 --endMP 204:233289 --enddatetime 2016-08-15T19:38:18 --enforcementcount 0</v>
      </c>
    </row>
    <row r="135" spans="1:34" x14ac:dyDescent="0.25">
      <c r="A135" s="40" t="s">
        <v>488</v>
      </c>
      <c r="B135" s="7">
        <v>4008</v>
      </c>
      <c r="C135" s="25" t="s">
        <v>119</v>
      </c>
      <c r="D135" s="25" t="s">
        <v>283</v>
      </c>
      <c r="E135" s="16">
        <v>42597.826435185183</v>
      </c>
      <c r="F135" s="16">
        <v>42597.82739583333</v>
      </c>
      <c r="G135" s="7">
        <v>1</v>
      </c>
      <c r="H135" s="16" t="s">
        <v>178</v>
      </c>
      <c r="I135" s="16">
        <v>42597.859861111108</v>
      </c>
      <c r="J135" s="7">
        <v>0</v>
      </c>
      <c r="K135" s="142" t="str">
        <f t="shared" si="24"/>
        <v>4007/4008</v>
      </c>
      <c r="L135" s="25" t="str">
        <f>VLOOKUP(A135,'Trips&amp;Operators'!$C$1:$E$10000,3,FALSE)</f>
        <v>OUN</v>
      </c>
      <c r="M135" s="6">
        <f t="shared" si="25"/>
        <v>3.2465277778101154E-2</v>
      </c>
      <c r="N135" s="7">
        <f t="shared" si="26"/>
        <v>46.750000000465661</v>
      </c>
      <c r="O135" s="7"/>
      <c r="P135" s="7"/>
      <c r="Q135" s="26"/>
      <c r="R135" s="26"/>
      <c r="S135" s="38">
        <f t="shared" si="27"/>
        <v>1</v>
      </c>
      <c r="T135" s="53" t="str">
        <f t="shared" si="28"/>
        <v>Southbound</v>
      </c>
      <c r="U135" s="13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18:50:04-0600',mode:absolute,to:'2016-08-15 21:38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35" s="55" t="str">
        <f t="shared" si="30"/>
        <v>N</v>
      </c>
      <c r="X135" s="129">
        <f t="shared" si="31"/>
        <v>1</v>
      </c>
      <c r="Y135" s="70">
        <f t="shared" si="32"/>
        <v>23.2987</v>
      </c>
      <c r="Z135" s="70">
        <f t="shared" si="33"/>
        <v>1.6500000000000001E-2</v>
      </c>
      <c r="AA135" s="70">
        <f t="shared" si="34"/>
        <v>23.2822</v>
      </c>
      <c r="AB135" s="67" t="e">
        <f>VLOOKUP(A135,Enforcements!$C$7:$J$24,8,0)</f>
        <v>#N/A</v>
      </c>
      <c r="AC135" s="63" t="e">
        <f>VLOOKUP(A135,Enforcements!$C$7:$E$24,3,0)</f>
        <v>#N/A</v>
      </c>
      <c r="AD135" s="64" t="str">
        <f t="shared" si="35"/>
        <v>0222-15</v>
      </c>
      <c r="AE135" s="104" t="str">
        <f t="shared" si="36"/>
        <v>aws s3 cp s3://rtdc.mdm.uploadarchive/RTDC4008/2016-08-15/ "%USERPROFILE%\AppData\Local\Temp\OnboardLogs"\RTDC4008\2016-08-15 --recursive &amp; "%USERPROFILE%\Documents\GitHub\mrs-test-scripts\Headless Mode &amp; Sideloading\WalkAndUnGZ.bat" "%USERPROFILE%\AppData\Local\Temp\OnboardLogs"\RTDC4008\2016-08-15 &amp; aws s3 cp s3://rtdc.mdm.uploadarchive/RTDC4008/2016-08-16/ "%USERPROFILE%\AppData\Local\Temp\OnboardLogs"\RTDC4008\2016-08-16 --recursive &amp; "%USERPROFILE%\Documents\GitHub\mrs-test-scripts\Headless Mode &amp; Sideloading\WalkAndUnGZ.bat" "%USERPROFILE%\AppData\Local\Temp\OnboardLogs"\RTDC4008\2016-08-16</v>
      </c>
      <c r="AF135" s="101" t="str">
        <f t="shared" si="37"/>
        <v>"C:\Program Files (x86)\AstroGrep\AstroGrep.exe" /spath="%USERPROFILE%\AppData\Local\Temp\OnboardLogs" /stypes="*4008*20160816*" /stext=" 02:.+((SYSTEM_STATE.+slice.+state.+changed )|(ment ac)|(system.+state.+changed )|(\|lc)|(penalty)|(\[timeout)|(PRM\|1\|D)|(kpr)|(kdp)|(\|loc))" /e /r /s</v>
      </c>
      <c r="AG135" s="1" t="str">
        <f t="shared" si="39"/>
        <v>EC</v>
      </c>
      <c r="AH135" s="105" t="str">
        <f t="shared" si="38"/>
        <v>"%USERPROFILE%\Documents\GitHub\eaglep3\Utilities\RefineRTDCRunTimes.py" --tripid 222-15 --locoid 4008 --swversion DE.1.0.7.0 --startMP 204:232987 --initTime 2016-08-15T19:50:04 --startdatetime 2016-08-15T19:51:27 --delay 1 --endMP 204:165 --enddatetime 2016-08-15T20:38:12 --enforcementcount 0</v>
      </c>
    </row>
    <row r="136" spans="1:34" x14ac:dyDescent="0.25">
      <c r="A136" s="40" t="s">
        <v>489</v>
      </c>
      <c r="B136" s="7">
        <v>4042</v>
      </c>
      <c r="C136" s="25" t="s">
        <v>119</v>
      </c>
      <c r="D136" s="25" t="s">
        <v>61</v>
      </c>
      <c r="E136" s="16">
        <v>42597.809583333335</v>
      </c>
      <c r="F136" s="16">
        <v>42597.810659722221</v>
      </c>
      <c r="G136" s="7">
        <v>1</v>
      </c>
      <c r="H136" s="16" t="s">
        <v>195</v>
      </c>
      <c r="I136" s="16">
        <v>42597.839606481481</v>
      </c>
      <c r="J136" s="7">
        <v>0</v>
      </c>
      <c r="K136" s="142" t="str">
        <f t="shared" si="24"/>
        <v>4041/4042</v>
      </c>
      <c r="L136" s="25" t="str">
        <f>VLOOKUP(A136,'Trips&amp;Operators'!$C$1:$E$10000,3,FALSE)</f>
        <v>NEWELL</v>
      </c>
      <c r="M136" s="6">
        <f t="shared" si="25"/>
        <v>2.8946759259270038E-2</v>
      </c>
      <c r="N136" s="7">
        <f t="shared" si="26"/>
        <v>41.683333333348855</v>
      </c>
      <c r="O136" s="7"/>
      <c r="P136" s="7"/>
      <c r="Q136" s="26"/>
      <c r="R136" s="26"/>
      <c r="S136" s="38">
        <f t="shared" si="27"/>
        <v>1</v>
      </c>
      <c r="T136" s="53" t="str">
        <f t="shared" si="28"/>
        <v>NorthBound</v>
      </c>
      <c r="U136" s="13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18:25:48-0600',mode:absolute,to:'2016-08-15 21:09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36" s="55" t="str">
        <f t="shared" si="30"/>
        <v>N</v>
      </c>
      <c r="X136" s="129">
        <f t="shared" si="31"/>
        <v>1</v>
      </c>
      <c r="Y136" s="70">
        <f t="shared" si="32"/>
        <v>4.5999999999999999E-2</v>
      </c>
      <c r="Z136" s="70">
        <f t="shared" si="33"/>
        <v>23.3291</v>
      </c>
      <c r="AA136" s="70">
        <f t="shared" si="34"/>
        <v>23.283100000000001</v>
      </c>
      <c r="AB136" s="67" t="e">
        <f>VLOOKUP(A136,Enforcements!$C$7:$J$24,8,0)</f>
        <v>#N/A</v>
      </c>
      <c r="AC136" s="63" t="e">
        <f>VLOOKUP(A136,Enforcements!$C$7:$E$24,3,0)</f>
        <v>#N/A</v>
      </c>
      <c r="AD136" s="64" t="str">
        <f t="shared" si="35"/>
        <v>0223-15</v>
      </c>
      <c r="AE136" s="104" t="str">
        <f t="shared" si="36"/>
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</c>
      <c r="AF136" s="101" t="str">
        <f t="shared" si="37"/>
        <v>"C:\Program Files (x86)\AstroGrep\AstroGrep.exe" /spath="%USERPROFILE%\AppData\Local\Temp\OnboardLogs" /stypes="*4042*20160816*" /stext=" 02:.+((SYSTEM_STATE.+slice.+state.+changed )|(ment ac)|(system.+state.+changed )|(\|lc)|(penalty)|(\[timeout)|(PRM\|1\|D)|(kpr)|(kdp)|(\|loc))" /e /r /s</v>
      </c>
      <c r="AG136" s="1" t="str">
        <f t="shared" si="39"/>
        <v>EC</v>
      </c>
      <c r="AH136" s="105" t="str">
        <f t="shared" si="38"/>
        <v>"%USERPROFILE%\Documents\GitHub\eaglep3\Utilities\RefineRTDCRunTimes.py" --tripid 223-15 --locoid 4042 --swversion DE.1.0.7.0 --startMP 204:460 --initTime 2016-08-15T19:25:48 --startdatetime 2016-08-15T19:27:21 --delay 1 --endMP 204:233291 --enddatetime 2016-08-15T20:09:02 --enforcementcount 0</v>
      </c>
    </row>
    <row r="137" spans="1:34" x14ac:dyDescent="0.25">
      <c r="A137" s="40" t="s">
        <v>490</v>
      </c>
      <c r="B137" s="7">
        <v>4041</v>
      </c>
      <c r="C137" s="25" t="s">
        <v>119</v>
      </c>
      <c r="D137" s="25" t="s">
        <v>147</v>
      </c>
      <c r="E137" s="16">
        <v>42597.841747685183</v>
      </c>
      <c r="F137" s="16">
        <v>42597.842719907407</v>
      </c>
      <c r="G137" s="7">
        <v>1</v>
      </c>
      <c r="H137" s="16" t="s">
        <v>146</v>
      </c>
      <c r="I137" s="16">
        <v>42597.879236111112</v>
      </c>
      <c r="J137" s="7">
        <v>0</v>
      </c>
      <c r="K137" s="142" t="str">
        <f t="shared" si="24"/>
        <v>4041/4042</v>
      </c>
      <c r="L137" s="25" t="str">
        <f>VLOOKUP(A137,'Trips&amp;Operators'!$C$1:$E$10000,3,FALSE)</f>
        <v>NEWELL</v>
      </c>
      <c r="M137" s="6">
        <f t="shared" si="25"/>
        <v>3.6516203705104999E-2</v>
      </c>
      <c r="N137" s="7">
        <f t="shared" si="26"/>
        <v>52.583333335351199</v>
      </c>
      <c r="O137" s="7"/>
      <c r="P137" s="7"/>
      <c r="Q137" s="26"/>
      <c r="R137" s="26"/>
      <c r="S137" s="38">
        <f t="shared" si="27"/>
        <v>1</v>
      </c>
      <c r="T137" s="53" t="str">
        <f t="shared" si="28"/>
        <v>Southbound</v>
      </c>
      <c r="U137" s="13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11" t="str">
        <f t="shared" si="29"/>
        <v>https://search-rtdc-monitor-bjffxe2xuh6vdkpspy63sjmuny.us-east-1.es.amazonaws.com/_plugin/kibana/#/discover/Steve-Slow-Train-Analysis-(2080s-and-2083s)?_g=(refreshInterval:(display:Off,section:0,value:0),time:(from:'2016-08-15 19:12:07-0600',mode:absolute,to:'2016-08-15 22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37" s="55" t="str">
        <f t="shared" si="30"/>
        <v>N</v>
      </c>
      <c r="X137" s="129">
        <f t="shared" si="31"/>
        <v>1</v>
      </c>
      <c r="Y137" s="70">
        <f t="shared" si="32"/>
        <v>23.299600000000002</v>
      </c>
      <c r="Z137" s="70">
        <f t="shared" si="33"/>
        <v>1.4500000000000001E-2</v>
      </c>
      <c r="AA137" s="70">
        <f t="shared" si="34"/>
        <v>23.2851</v>
      </c>
      <c r="AB137" s="67" t="e">
        <f>VLOOKUP(A137,Enforcements!$C$7:$J$24,8,0)</f>
        <v>#N/A</v>
      </c>
      <c r="AC137" s="63" t="e">
        <f>VLOOKUP(A137,Enforcements!$C$7:$E$24,3,0)</f>
        <v>#N/A</v>
      </c>
      <c r="AD137" s="64" t="str">
        <f t="shared" si="35"/>
        <v>0224-15</v>
      </c>
      <c r="AE137" s="104" t="str">
        <f t="shared" si="36"/>
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</c>
      <c r="AF137" s="101" t="str">
        <f t="shared" si="37"/>
        <v>"C:\Program Files (x86)\AstroGrep\AstroGrep.exe" /spath="%USERPROFILE%\AppData\Local\Temp\OnboardLogs" /stypes="*4041*20160816*" /stext=" 03:.+((SYSTEM_STATE.+slice.+state.+changed )|(ment ac)|(system.+state.+changed )|(\|lc)|(penalty)|(\[timeout)|(PRM\|1\|D)|(kpr)|(kdp)|(\|loc))" /e /r /s</v>
      </c>
      <c r="AG137" s="1" t="str">
        <f t="shared" si="39"/>
        <v>EC</v>
      </c>
      <c r="AH137" s="105" t="str">
        <f t="shared" si="38"/>
        <v>"%USERPROFILE%\Documents\GitHub\eaglep3\Utilities\RefineRTDCRunTimes.py" --tripid 224-15 --locoid 4041 --swversion DE.1.0.7.0 --startMP 204:232996 --initTime 2016-08-15T20:12:07 --startdatetime 2016-08-15T20:13:31 --delay 1 --endMP 204:145 --enddatetime 2016-08-15T21:06:06 --enforcementcount 0</v>
      </c>
    </row>
    <row r="138" spans="1:34" x14ac:dyDescent="0.25">
      <c r="A138" s="40" t="s">
        <v>491</v>
      </c>
      <c r="B138" s="7">
        <v>4027</v>
      </c>
      <c r="C138" s="25" t="s">
        <v>119</v>
      </c>
      <c r="D138" s="25" t="s">
        <v>113</v>
      </c>
      <c r="E138" s="16">
        <v>42597.831377314818</v>
      </c>
      <c r="F138" s="16">
        <v>42597.832384259258</v>
      </c>
      <c r="G138" s="7">
        <v>1</v>
      </c>
      <c r="H138" s="16" t="s">
        <v>256</v>
      </c>
      <c r="I138" s="16">
        <v>42597.8591087963</v>
      </c>
      <c r="J138" s="7">
        <v>0</v>
      </c>
      <c r="K138" s="142" t="str">
        <f t="shared" ref="K138:K200" si="40">IF(ISEVEN(B138),(B138-1)&amp;"/"&amp;B138,B138&amp;"/"&amp;(B138+1))</f>
        <v>4027/4028</v>
      </c>
      <c r="L138" s="25" t="str">
        <f>VLOOKUP(A138,'Trips&amp;Operators'!$C$1:$E$10000,3,FALSE)</f>
        <v>CHANDLER</v>
      </c>
      <c r="M138" s="6">
        <f t="shared" ref="M138:M200" si="41">I138-F138</f>
        <v>2.6724537041445728E-2</v>
      </c>
      <c r="N138" s="7">
        <f t="shared" ref="N138:P200" si="42">24*60*SUM($M138:$M138)</f>
        <v>38.483333339681849</v>
      </c>
      <c r="O138" s="7"/>
      <c r="P138" s="7"/>
      <c r="Q138" s="26"/>
      <c r="R138" s="26"/>
      <c r="S138" s="38">
        <f t="shared" ref="S138:S200" si="43">SUM(U138:U138)/IF(AG138="EC",12,1)</f>
        <v>1</v>
      </c>
      <c r="T138" s="53" t="str">
        <f t="shared" ref="T138:T200" si="44">IF(ISEVEN(LEFT(AD138,4)),"Southbound","NorthBound")</f>
        <v>NorthBound</v>
      </c>
      <c r="U138" s="13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11" t="str">
        <f t="shared" ref="V138:V200" si="45">"https://search-rtdc-monitor-bjffxe2xuh6vdkpspy63sjmuny.us-east-1.es.amazonaws.com/_plugin/kibana/#/discover/Steve-Slow-Train-Analysis-(2080s-and-2083s)?_g=(refreshInterval:(display:Off,section:0,value:0),time:(from:'"&amp;TEXT(E138-1/24,"yyyy-MM-DD hh:mm:ss")&amp;"-0600',mode:absolute,to:'"&amp;TEXT(I138+1/24,"yyyy-MM-DD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138&amp;"%22')),sort:!(Time,asc))"</f>
        <v>https://search-rtdc-monitor-bjffxe2xuh6vdkpspy63sjmuny.us-east-1.es.amazonaws.com/_plugin/kibana/#/discover/Steve-Slow-Train-Analysis-(2080s-and-2083s)?_g=(refreshInterval:(display:Off,section:0,value:0),time:(from:'2016-08-15 18:57:11-0600',mode:absolute,to:'2016-08-15 21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38" s="55" t="str">
        <f t="shared" ref="W138:W200" si="46">IF(AA138&lt;IF(AG138="EC",23,5.65),"Y","N")</f>
        <v>N</v>
      </c>
      <c r="X138" s="129">
        <f t="shared" ref="X138:X200" si="47">VALUE(LEFT(AD138,4))-VALUE(LEFT(AD137,4))</f>
        <v>1</v>
      </c>
      <c r="Y138" s="70">
        <f t="shared" ref="Y138:Y200" si="48">RIGHT(D138,LEN(D138)-4)/10000</f>
        <v>4.6399999999999997E-2</v>
      </c>
      <c r="Z138" s="70">
        <f t="shared" ref="Z138:Z200" si="49">RIGHT(H138,LEN(H138)-4)/10000</f>
        <v>23.3308</v>
      </c>
      <c r="AA138" s="70">
        <f t="shared" ref="AA138:AA200" si="50">ABS(Z138-Y138)</f>
        <v>23.284400000000002</v>
      </c>
      <c r="AB138" s="67" t="e">
        <f>VLOOKUP(A138,Enforcements!$C$7:$J$24,8,0)</f>
        <v>#N/A</v>
      </c>
      <c r="AC138" s="63" t="e">
        <f>VLOOKUP(A138,Enforcements!$C$7:$E$24,3,0)</f>
        <v>#N/A</v>
      </c>
      <c r="AD138" s="64" t="str">
        <f t="shared" ref="AD138:AD200" si="51">IF(LEN(A138)=6,"0"&amp;A138,A138)</f>
        <v>0225-15</v>
      </c>
      <c r="AE138" s="104" t="str">
        <f t="shared" ref="AE138:AE200" si="52">"aws s3 cp "&amp;s3_bucket&amp;"/RTDC"&amp;B138&amp;"/"&amp;TEXT(F138,"YYYY-MM-DD")&amp;"/ "&amp;search_path&amp;"\RTDC"&amp;B138&amp;"\"&amp;TEXT(F138,"YYYY-MM-DD")&amp;" --recursive &amp; """&amp;walkandungz&amp;""" "&amp;search_path&amp;"\RTDC"&amp;B138&amp;"\"&amp;TEXT(F138,"YYYY-MM-DD")
&amp;" &amp; "&amp;"aws s3 cp "&amp;s3_bucket&amp;"/RTDC"&amp;B138&amp;"/"&amp;TEXT(F138+1,"YYYY-MM-DD")&amp;"/ "&amp;search_path&amp;"\RTDC"&amp;B138&amp;"\"&amp;TEXT(F138+1,"YYYY-MM-DD")&amp;" --recursive &amp; """&amp;walkandungz&amp;""" "&amp;search_path&amp;"\RTDC"&amp;B138&amp;"\"&amp;TEXT(F138+1,"YYYY-MM-DD")</f>
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</c>
      <c r="AF138" s="101" t="str">
        <f t="shared" ref="AF138:AF200" si="53">astrogrep_path&amp;" /spath="&amp;search_path&amp;" /stypes=""*"&amp;B138&amp;"*"&amp;TEXT(I138-utc_offset/24,"YYYYMMDD")&amp;"*"" /stext="" "&amp;TEXT(I138-utc_offset/24,"HH")&amp;search_regexp&amp;""" /e /r /s"</f>
        <v>"C:\Program Files (x86)\AstroGrep\AstroGrep.exe" /spath="%USERPROFILE%\AppData\Local\Temp\OnboardLogs" /stypes="*4027*20160816*" /stext=" 02:.+((SYSTEM_STATE.+slice.+state.+changed )|(ment ac)|(system.+state.+changed )|(\|lc)|(penalty)|(\[timeout)|(PRM\|1\|D)|(kpr)|(kdp)|(\|loc))" /e /r /s</v>
      </c>
      <c r="AG138" s="1" t="str">
        <f t="shared" si="39"/>
        <v>EC</v>
      </c>
      <c r="AH138" s="105" t="str">
        <f t="shared" si="38"/>
        <v>"%USERPROFILE%\Documents\GitHub\eaglep3\Utilities\RefineRTDCRunTimes.py" --tripid 225-15 --locoid 4027 --swversion DE.1.0.7.0 --startMP 204:464 --initTime 2016-08-15T19:57:11 --startdatetime 2016-08-15T19:58:38 --delay 1 --endMP 204:233308 --enddatetime 2016-08-15T20:37:07 --enforcementcount 0</v>
      </c>
    </row>
    <row r="139" spans="1:34" x14ac:dyDescent="0.25">
      <c r="A139" s="40" t="s">
        <v>492</v>
      </c>
      <c r="B139" s="7">
        <v>4028</v>
      </c>
      <c r="C139" s="25" t="s">
        <v>119</v>
      </c>
      <c r="D139" s="25" t="s">
        <v>202</v>
      </c>
      <c r="E139" s="16">
        <v>42597.871319444443</v>
      </c>
      <c r="F139" s="16">
        <v>42597.87226851852</v>
      </c>
      <c r="G139" s="7">
        <v>1</v>
      </c>
      <c r="H139" s="16" t="s">
        <v>191</v>
      </c>
      <c r="I139" s="16">
        <v>42597.900717592594</v>
      </c>
      <c r="J139" s="7">
        <v>0</v>
      </c>
      <c r="K139" s="142" t="str">
        <f t="shared" si="40"/>
        <v>4027/4028</v>
      </c>
      <c r="L139" s="25" t="str">
        <f>VLOOKUP(A139,'Trips&amp;Operators'!$C$1:$E$10000,3,FALSE)</f>
        <v>CHANDLER</v>
      </c>
      <c r="M139" s="6">
        <f t="shared" si="41"/>
        <v>2.8449074074160308E-2</v>
      </c>
      <c r="N139" s="7">
        <f t="shared" si="42"/>
        <v>40.966666666790843</v>
      </c>
      <c r="O139" s="7"/>
      <c r="P139" s="7"/>
      <c r="Q139" s="26"/>
      <c r="R139" s="26"/>
      <c r="S139" s="38">
        <f t="shared" si="43"/>
        <v>1</v>
      </c>
      <c r="T139" s="53" t="str">
        <f t="shared" si="44"/>
        <v>Southbound</v>
      </c>
      <c r="U139" s="13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19:54:42-0600',mode:absolute,to:'2016-08-15 22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39" s="55" t="str">
        <f t="shared" si="46"/>
        <v>N</v>
      </c>
      <c r="X139" s="129">
        <f t="shared" si="47"/>
        <v>1</v>
      </c>
      <c r="Y139" s="70">
        <f t="shared" si="48"/>
        <v>23.297599999999999</v>
      </c>
      <c r="Z139" s="70">
        <f t="shared" si="49"/>
        <v>1.5599999999999999E-2</v>
      </c>
      <c r="AA139" s="70">
        <f t="shared" si="50"/>
        <v>23.282</v>
      </c>
      <c r="AB139" s="67" t="e">
        <f>VLOOKUP(A139,Enforcements!$C$7:$J$24,8,0)</f>
        <v>#N/A</v>
      </c>
      <c r="AC139" s="63" t="e">
        <f>VLOOKUP(A139,Enforcements!$C$7:$E$24,3,0)</f>
        <v>#N/A</v>
      </c>
      <c r="AD139" s="64" t="str">
        <f t="shared" si="51"/>
        <v>0226-15</v>
      </c>
      <c r="AE139" s="104" t="str">
        <f t="shared" si="52"/>
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</c>
      <c r="AF139" s="101" t="str">
        <f t="shared" si="53"/>
        <v>"C:\Program Files (x86)\AstroGrep\AstroGrep.exe" /spath="%USERPROFILE%\AppData\Local\Temp\OnboardLogs" /stypes="*4028*20160816*" /stext=" 03:.+((SYSTEM_STATE.+slice.+state.+changed )|(ment ac)|(system.+state.+changed )|(\|lc)|(penalty)|(\[timeout)|(PRM\|1\|D)|(kpr)|(kdp)|(\|loc))" /e /r /s</v>
      </c>
      <c r="AG139" s="1" t="str">
        <f t="shared" si="39"/>
        <v>EC</v>
      </c>
      <c r="AH139" s="105" t="str">
        <f t="shared" ref="AH139:AH201" si="54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</f>
        <v>"%USERPROFILE%\Documents\GitHub\eaglep3\Utilities\RefineRTDCRunTimes.py" --tripid 226-15 --locoid 4028 --swversion DE.1.0.7.0 --startMP 204:232976 --initTime 2016-08-15T20:54:42 --startdatetime 2016-08-15T20:56:04 --delay 1 --endMP 204:156 --enddatetime 2016-08-15T21:37:02 --enforcementcount 0</v>
      </c>
    </row>
    <row r="140" spans="1:34" x14ac:dyDescent="0.25">
      <c r="A140" s="40" t="s">
        <v>493</v>
      </c>
      <c r="B140" s="7">
        <v>4020</v>
      </c>
      <c r="C140" s="25" t="s">
        <v>119</v>
      </c>
      <c r="D140" s="25" t="s">
        <v>114</v>
      </c>
      <c r="E140" s="16">
        <v>42597.845092592594</v>
      </c>
      <c r="F140" s="16">
        <v>42597.846006944441</v>
      </c>
      <c r="G140" s="7">
        <v>1</v>
      </c>
      <c r="H140" s="16" t="s">
        <v>192</v>
      </c>
      <c r="I140" s="16">
        <v>42597.879965277774</v>
      </c>
      <c r="J140" s="7">
        <v>0</v>
      </c>
      <c r="K140" s="142" t="str">
        <f t="shared" si="40"/>
        <v>4019/4020</v>
      </c>
      <c r="L140" s="25" t="str">
        <f>VLOOKUP(A140,'Trips&amp;Operators'!$C$1:$E$10000,3,FALSE)</f>
        <v>ISHMAEL</v>
      </c>
      <c r="M140" s="6">
        <f t="shared" si="41"/>
        <v>3.3958333333430346E-2</v>
      </c>
      <c r="N140" s="7">
        <f t="shared" si="42"/>
        <v>48.900000000139698</v>
      </c>
      <c r="O140" s="7"/>
      <c r="P140" s="7"/>
      <c r="Q140" s="26"/>
      <c r="R140" s="26"/>
      <c r="S140" s="38">
        <f t="shared" si="43"/>
        <v>1</v>
      </c>
      <c r="T140" s="53" t="str">
        <f t="shared" si="44"/>
        <v>NorthBound</v>
      </c>
      <c r="U140" s="13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19:16:56-0600',mode:absolute,to:'2016-08-15 22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40" s="55" t="str">
        <f t="shared" si="46"/>
        <v>N</v>
      </c>
      <c r="X140" s="129">
        <f t="shared" si="47"/>
        <v>1</v>
      </c>
      <c r="Y140" s="70">
        <f t="shared" si="48"/>
        <v>4.6199999999999998E-2</v>
      </c>
      <c r="Z140" s="70">
        <f t="shared" si="49"/>
        <v>23.329699999999999</v>
      </c>
      <c r="AA140" s="70">
        <f t="shared" si="50"/>
        <v>23.2835</v>
      </c>
      <c r="AB140" s="67" t="e">
        <f>VLOOKUP(A140,Enforcements!$C$7:$J$24,8,0)</f>
        <v>#N/A</v>
      </c>
      <c r="AC140" s="63" t="e">
        <f>VLOOKUP(A140,Enforcements!$C$7:$E$24,3,0)</f>
        <v>#N/A</v>
      </c>
      <c r="AD140" s="64" t="str">
        <f t="shared" si="51"/>
        <v>0227-15</v>
      </c>
      <c r="AE140" s="104" t="str">
        <f t="shared" si="52"/>
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</c>
      <c r="AF140" s="101" t="str">
        <f t="shared" si="53"/>
        <v>"C:\Program Files (x86)\AstroGrep\AstroGrep.exe" /spath="%USERPROFILE%\AppData\Local\Temp\OnboardLogs" /stypes="*4020*20160816*" /stext=" 03:.+((SYSTEM_STATE.+slice.+state.+changed )|(ment ac)|(system.+state.+changed )|(\|lc)|(penalty)|(\[timeout)|(PRM\|1\|D)|(kpr)|(kdp)|(\|loc))" /e /r /s</v>
      </c>
      <c r="AG140" s="1" t="str">
        <f t="shared" si="39"/>
        <v>EC</v>
      </c>
      <c r="AH140" s="105" t="str">
        <f t="shared" si="54"/>
        <v>"%USERPROFILE%\Documents\GitHub\eaglep3\Utilities\RefineRTDCRunTimes.py" --tripid 227-15 --locoid 4020 --swversion DE.1.0.7.0 --startMP 204:462 --initTime 2016-08-15T20:16:56 --startdatetime 2016-08-15T20:18:15 --delay 1 --endMP 204:233297 --enddatetime 2016-08-15T21:07:09 --enforcementcount 0</v>
      </c>
    </row>
    <row r="141" spans="1:34" x14ac:dyDescent="0.25">
      <c r="A141" s="40" t="s">
        <v>494</v>
      </c>
      <c r="B141" s="7">
        <v>4019</v>
      </c>
      <c r="C141" s="25" t="s">
        <v>119</v>
      </c>
      <c r="D141" s="25" t="s">
        <v>188</v>
      </c>
      <c r="E141" s="16">
        <v>42597.887662037036</v>
      </c>
      <c r="F141" s="16">
        <v>42597.888391203705</v>
      </c>
      <c r="G141" s="7">
        <v>1</v>
      </c>
      <c r="H141" s="16" t="s">
        <v>191</v>
      </c>
      <c r="I141" s="16">
        <v>42597.921840277777</v>
      </c>
      <c r="J141" s="7">
        <v>0</v>
      </c>
      <c r="K141" s="142" t="str">
        <f t="shared" si="40"/>
        <v>4019/4020</v>
      </c>
      <c r="L141" s="25" t="str">
        <f>VLOOKUP(A141,'Trips&amp;Operators'!$C$1:$E$10000,3,FALSE)</f>
        <v>ISHMAEL</v>
      </c>
      <c r="M141" s="6">
        <f t="shared" si="41"/>
        <v>3.3449074071540963E-2</v>
      </c>
      <c r="N141" s="7">
        <f t="shared" si="42"/>
        <v>48.166666663018987</v>
      </c>
      <c r="O141" s="7"/>
      <c r="P141" s="7"/>
      <c r="Q141" s="26"/>
      <c r="R141" s="26"/>
      <c r="S141" s="38">
        <f t="shared" si="43"/>
        <v>1</v>
      </c>
      <c r="T141" s="53" t="str">
        <f t="shared" si="44"/>
        <v>Southbound</v>
      </c>
      <c r="U141" s="13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20:18:14-0600',mode:absolute,to:'2016-08-15 23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41" s="55" t="str">
        <f t="shared" si="46"/>
        <v>N</v>
      </c>
      <c r="X141" s="129">
        <f t="shared" si="47"/>
        <v>1</v>
      </c>
      <c r="Y141" s="70">
        <f t="shared" si="48"/>
        <v>23.298500000000001</v>
      </c>
      <c r="Z141" s="70">
        <f t="shared" si="49"/>
        <v>1.5599999999999999E-2</v>
      </c>
      <c r="AA141" s="70">
        <f t="shared" si="50"/>
        <v>23.282900000000001</v>
      </c>
      <c r="AB141" s="67">
        <f>VLOOKUP(A141,Enforcements!$C$7:$J$24,8,0)</f>
        <v>78469</v>
      </c>
      <c r="AC141" s="63" t="str">
        <f>VLOOKUP(A141,Enforcements!$C$7:$E$24,3,0)</f>
        <v>GRADE CROSSING</v>
      </c>
      <c r="AD141" s="64" t="str">
        <f t="shared" si="51"/>
        <v>0228-15</v>
      </c>
      <c r="AE141" s="104" t="str">
        <f t="shared" si="52"/>
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</c>
      <c r="AF141" s="101" t="str">
        <f t="shared" si="53"/>
        <v>"C:\Program Files (x86)\AstroGrep\AstroGrep.exe" /spath="%USERPROFILE%\AppData\Local\Temp\OnboardLogs" /stypes="*4019*20160816*" /stext=" 04:.+((SYSTEM_STATE.+slice.+state.+changed )|(ment ac)|(system.+state.+changed )|(\|lc)|(penalty)|(\[timeout)|(PRM\|1\|D)|(kpr)|(kdp)|(\|loc))" /e /r /s</v>
      </c>
      <c r="AG141" s="1" t="str">
        <f t="shared" si="39"/>
        <v>EC</v>
      </c>
      <c r="AH141" s="105" t="str">
        <f t="shared" si="54"/>
        <v>"%USERPROFILE%\Documents\GitHub\eaglep3\Utilities\RefineRTDCRunTimes.py" --tripid 228-15 --locoid 4019 --swversion DE.1.0.7.0 --startMP 204:232985 --initTime 2016-08-15T21:18:14 --startdatetime 2016-08-15T21:19:17 --delay 1 --endMP 204:156 --enddatetime 2016-08-15T22:07:27 --enforcementcount 0</v>
      </c>
    </row>
    <row r="142" spans="1:34" x14ac:dyDescent="0.25">
      <c r="A142" s="40" t="s">
        <v>495</v>
      </c>
      <c r="B142" s="7">
        <v>4007</v>
      </c>
      <c r="C142" s="25" t="s">
        <v>119</v>
      </c>
      <c r="D142" s="25" t="s">
        <v>157</v>
      </c>
      <c r="E142" s="16">
        <v>42597.867164351854</v>
      </c>
      <c r="F142" s="16">
        <v>42597.868148148147</v>
      </c>
      <c r="G142" s="7">
        <v>1</v>
      </c>
      <c r="H142" s="16" t="s">
        <v>148</v>
      </c>
      <c r="I142" s="16">
        <v>42597.901250000003</v>
      </c>
      <c r="J142" s="7">
        <v>0</v>
      </c>
      <c r="K142" s="142" t="str">
        <f t="shared" si="40"/>
        <v>4007/4008</v>
      </c>
      <c r="L142" s="25" t="str">
        <f>VLOOKUP(A142,'Trips&amp;Operators'!$C$1:$E$10000,3,FALSE)</f>
        <v>OUN</v>
      </c>
      <c r="M142" s="6">
        <f t="shared" si="41"/>
        <v>3.3101851855462883E-2</v>
      </c>
      <c r="N142" s="7">
        <f t="shared" si="42"/>
        <v>47.666666671866551</v>
      </c>
      <c r="O142" s="7"/>
      <c r="P142" s="7"/>
      <c r="Q142" s="26"/>
      <c r="R142" s="26"/>
      <c r="S142" s="38">
        <f t="shared" si="43"/>
        <v>1</v>
      </c>
      <c r="T142" s="53" t="str">
        <f t="shared" si="44"/>
        <v>NorthBound</v>
      </c>
      <c r="U142" s="13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19:48:43-0600',mode:absolute,to:'2016-08-15 22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42" s="55" t="str">
        <f t="shared" si="46"/>
        <v>N</v>
      </c>
      <c r="X142" s="129">
        <f t="shared" si="47"/>
        <v>1</v>
      </c>
      <c r="Y142" s="70">
        <f t="shared" si="48"/>
        <v>4.6699999999999998E-2</v>
      </c>
      <c r="Z142" s="70">
        <f t="shared" si="49"/>
        <v>23.331199999999999</v>
      </c>
      <c r="AA142" s="70">
        <f t="shared" si="50"/>
        <v>23.284499999999998</v>
      </c>
      <c r="AB142" s="67" t="e">
        <f>VLOOKUP(A142,Enforcements!$C$7:$J$24,8,0)</f>
        <v>#N/A</v>
      </c>
      <c r="AC142" s="63" t="e">
        <f>VLOOKUP(A142,Enforcements!$C$7:$E$24,3,0)</f>
        <v>#N/A</v>
      </c>
      <c r="AD142" s="64" t="str">
        <f t="shared" si="51"/>
        <v>0229-15</v>
      </c>
      <c r="AE142" s="104" t="str">
        <f t="shared" si="52"/>
        <v>aws s3 cp s3://rtdc.mdm.uploadarchive/RTDC4007/2016-08-15/ "%USERPROFILE%\AppData\Local\Temp\OnboardLogs"\RTDC4007\2016-08-15 --recursive &amp; "%USERPROFILE%\Documents\GitHub\mrs-test-scripts\Headless Mode &amp; Sideloading\WalkAndUnGZ.bat" "%USERPROFILE%\AppData\Local\Temp\OnboardLogs"\RTDC4007\2016-08-15 &amp; aws s3 cp s3://rtdc.mdm.uploadarchive/RTDC4007/2016-08-16/ "%USERPROFILE%\AppData\Local\Temp\OnboardLogs"\RTDC4007\2016-08-16 --recursive &amp; "%USERPROFILE%\Documents\GitHub\mrs-test-scripts\Headless Mode &amp; Sideloading\WalkAndUnGZ.bat" "%USERPROFILE%\AppData\Local\Temp\OnboardLogs"\RTDC4007\2016-08-16</v>
      </c>
      <c r="AF142" s="101" t="str">
        <f t="shared" si="53"/>
        <v>"C:\Program Files (x86)\AstroGrep\AstroGrep.exe" /spath="%USERPROFILE%\AppData\Local\Temp\OnboardLogs" /stypes="*4007*20160816*" /stext=" 03:.+((SYSTEM_STATE.+slice.+state.+changed )|(ment ac)|(system.+state.+changed )|(\|lc)|(penalty)|(\[timeout)|(PRM\|1\|D)|(kpr)|(kdp)|(\|loc))" /e /r /s</v>
      </c>
      <c r="AG142" s="1" t="str">
        <f t="shared" ref="AG142:AG204" si="55">IFERROR(IF(VALUE(LEFT(AD142,2))&lt;=2,"EC",IF(OR(VALUE(LEFT(AD142,2))=8,VALUE(LEFT(AD142,2))=18),"NW","Other")),"Other")</f>
        <v>EC</v>
      </c>
      <c r="AH142" s="105" t="str">
        <f t="shared" si="54"/>
        <v>"%USERPROFILE%\Documents\GitHub\eaglep3\Utilities\RefineRTDCRunTimes.py" --tripid 229-15 --locoid 4007 --swversion DE.1.0.7.0 --startMP 204:467 --initTime 2016-08-15T20:48:43 --startdatetime 2016-08-15T20:50:08 --delay 1 --endMP 204:233312 --enddatetime 2016-08-15T21:37:48 --enforcementcount 0</v>
      </c>
    </row>
    <row r="143" spans="1:34" x14ac:dyDescent="0.25">
      <c r="A143" s="40" t="s">
        <v>496</v>
      </c>
      <c r="B143" s="7">
        <v>4008</v>
      </c>
      <c r="C143" s="25" t="s">
        <v>119</v>
      </c>
      <c r="D143" s="25" t="s">
        <v>286</v>
      </c>
      <c r="E143" s="16">
        <v>42597.909259259257</v>
      </c>
      <c r="F143" s="16">
        <v>42597.910196759258</v>
      </c>
      <c r="G143" s="7">
        <v>1</v>
      </c>
      <c r="H143" s="16" t="s">
        <v>290</v>
      </c>
      <c r="I143" s="16">
        <v>42597.94226851852</v>
      </c>
      <c r="J143" s="7">
        <v>0</v>
      </c>
      <c r="K143" s="142" t="str">
        <f t="shared" si="40"/>
        <v>4007/4008</v>
      </c>
      <c r="L143" s="25" t="str">
        <f>VLOOKUP(A143,'Trips&amp;Operators'!$C$1:$E$10000,3,FALSE)</f>
        <v>OUN</v>
      </c>
      <c r="M143" s="6">
        <f t="shared" si="41"/>
        <v>3.2071759262180422E-2</v>
      </c>
      <c r="N143" s="7">
        <f t="shared" si="42"/>
        <v>46.183333337539807</v>
      </c>
      <c r="O143" s="7"/>
      <c r="P143" s="7"/>
      <c r="Q143" s="26"/>
      <c r="R143" s="26"/>
      <c r="S143" s="38">
        <f t="shared" si="43"/>
        <v>1</v>
      </c>
      <c r="T143" s="53" t="str">
        <f t="shared" si="44"/>
        <v>Southbound</v>
      </c>
      <c r="U143" s="13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20:49:20-0600',mode:absolute,to:'2016-08-15 23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43" s="55" t="str">
        <f t="shared" si="46"/>
        <v>N</v>
      </c>
      <c r="X143" s="129">
        <f t="shared" si="47"/>
        <v>1</v>
      </c>
      <c r="Y143" s="70">
        <f t="shared" si="48"/>
        <v>23.2989</v>
      </c>
      <c r="Z143" s="70">
        <f t="shared" si="49"/>
        <v>1.78E-2</v>
      </c>
      <c r="AA143" s="70">
        <f t="shared" si="50"/>
        <v>23.281099999999999</v>
      </c>
      <c r="AB143" s="67" t="e">
        <f>VLOOKUP(A143,Enforcements!$C$7:$J$24,8,0)</f>
        <v>#N/A</v>
      </c>
      <c r="AC143" s="63" t="e">
        <f>VLOOKUP(A143,Enforcements!$C$7:$E$24,3,0)</f>
        <v>#N/A</v>
      </c>
      <c r="AD143" s="64" t="str">
        <f t="shared" si="51"/>
        <v>0230-15</v>
      </c>
      <c r="AE143" s="104" t="str">
        <f t="shared" si="52"/>
        <v>aws s3 cp s3://rtdc.mdm.uploadarchive/RTDC4008/2016-08-15/ "%USERPROFILE%\AppData\Local\Temp\OnboardLogs"\RTDC4008\2016-08-15 --recursive &amp; "%USERPROFILE%\Documents\GitHub\mrs-test-scripts\Headless Mode &amp; Sideloading\WalkAndUnGZ.bat" "%USERPROFILE%\AppData\Local\Temp\OnboardLogs"\RTDC4008\2016-08-15 &amp; aws s3 cp s3://rtdc.mdm.uploadarchive/RTDC4008/2016-08-16/ "%USERPROFILE%\AppData\Local\Temp\OnboardLogs"\RTDC4008\2016-08-16 --recursive &amp; "%USERPROFILE%\Documents\GitHub\mrs-test-scripts\Headless Mode &amp; Sideloading\WalkAndUnGZ.bat" "%USERPROFILE%\AppData\Local\Temp\OnboardLogs"\RTDC4008\2016-08-16</v>
      </c>
      <c r="AF143" s="101" t="str">
        <f t="shared" si="53"/>
        <v>"C:\Program Files (x86)\AstroGrep\AstroGrep.exe" /spath="%USERPROFILE%\AppData\Local\Temp\OnboardLogs" /stypes="*4008*20160816*" /stext=" 04:.+((SYSTEM_STATE.+slice.+state.+changed )|(ment ac)|(system.+state.+changed )|(\|lc)|(penalty)|(\[timeout)|(PRM\|1\|D)|(kpr)|(kdp)|(\|loc))" /e /r /s</v>
      </c>
      <c r="AG143" s="1" t="str">
        <f t="shared" si="55"/>
        <v>EC</v>
      </c>
      <c r="AH143" s="105" t="str">
        <f t="shared" si="54"/>
        <v>"%USERPROFILE%\Documents\GitHub\eaglep3\Utilities\RefineRTDCRunTimes.py" --tripid 230-15 --locoid 4008 --swversion DE.1.0.7.0 --startMP 204:232989 --initTime 2016-08-15T21:49:20 --startdatetime 2016-08-15T21:50:41 --delay 1 --endMP 204:178 --enddatetime 2016-08-15T22:36:52 --enforcementcount 0</v>
      </c>
    </row>
    <row r="144" spans="1:34" x14ac:dyDescent="0.25">
      <c r="A144" s="40" t="s">
        <v>497</v>
      </c>
      <c r="B144" s="7">
        <v>4042</v>
      </c>
      <c r="C144" s="25" t="s">
        <v>119</v>
      </c>
      <c r="D144" s="25" t="s">
        <v>160</v>
      </c>
      <c r="E144" s="16">
        <v>42597.881990740738</v>
      </c>
      <c r="F144" s="16">
        <v>42597.883055555554</v>
      </c>
      <c r="G144" s="7">
        <v>1</v>
      </c>
      <c r="H144" s="16" t="s">
        <v>311</v>
      </c>
      <c r="I144" s="16">
        <v>42597.922280092593</v>
      </c>
      <c r="J144" s="7">
        <v>0</v>
      </c>
      <c r="K144" s="142" t="str">
        <f t="shared" si="40"/>
        <v>4041/4042</v>
      </c>
      <c r="L144" s="25" t="str">
        <f>VLOOKUP(A144,'Trips&amp;Operators'!$C$1:$E$10000,3,FALSE)</f>
        <v>NEWELL</v>
      </c>
      <c r="M144" s="6">
        <f t="shared" si="41"/>
        <v>3.9224537038535345E-2</v>
      </c>
      <c r="N144" s="7">
        <f t="shared" si="42"/>
        <v>56.483333335490897</v>
      </c>
      <c r="O144" s="7"/>
      <c r="P144" s="7"/>
      <c r="Q144" s="26"/>
      <c r="R144" s="26"/>
      <c r="S144" s="38">
        <f t="shared" si="43"/>
        <v>1</v>
      </c>
      <c r="T144" s="53" t="str">
        <f t="shared" si="44"/>
        <v>NorthBound</v>
      </c>
      <c r="U144" s="13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20:10:04-0600',mode:absolute,to:'2016-08-15 23:08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44" s="55" t="str">
        <f t="shared" si="46"/>
        <v>N</v>
      </c>
      <c r="X144" s="129">
        <f t="shared" si="47"/>
        <v>1</v>
      </c>
      <c r="Y144" s="70">
        <f t="shared" si="48"/>
        <v>4.5699999999999998E-2</v>
      </c>
      <c r="Z144" s="70">
        <f t="shared" si="49"/>
        <v>23.331099999999999</v>
      </c>
      <c r="AA144" s="70">
        <f t="shared" si="50"/>
        <v>23.285399999999999</v>
      </c>
      <c r="AB144" s="67" t="e">
        <f>VLOOKUP(A144,Enforcements!$C$7:$J$24,8,0)</f>
        <v>#N/A</v>
      </c>
      <c r="AC144" s="63" t="e">
        <f>VLOOKUP(A144,Enforcements!$C$7:$E$24,3,0)</f>
        <v>#N/A</v>
      </c>
      <c r="AD144" s="64" t="str">
        <f t="shared" si="51"/>
        <v>0231-15</v>
      </c>
      <c r="AE144" s="104" t="str">
        <f t="shared" si="52"/>
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</c>
      <c r="AF144" s="101" t="str">
        <f t="shared" si="53"/>
        <v>"C:\Program Files (x86)\AstroGrep\AstroGrep.exe" /spath="%USERPROFILE%\AppData\Local\Temp\OnboardLogs" /stypes="*4042*20160816*" /stext=" 04:.+((SYSTEM_STATE.+slice.+state.+changed )|(ment ac)|(system.+state.+changed )|(\|lc)|(penalty)|(\[timeout)|(PRM\|1\|D)|(kpr)|(kdp)|(\|loc))" /e /r /s</v>
      </c>
      <c r="AG144" s="1" t="str">
        <f t="shared" si="55"/>
        <v>EC</v>
      </c>
      <c r="AH144" s="105" t="str">
        <f t="shared" si="54"/>
        <v>"%USERPROFILE%\Documents\GitHub\eaglep3\Utilities\RefineRTDCRunTimes.py" --tripid 231-15 --locoid 4042 --swversion DE.1.0.7.0 --startMP 204:457 --initTime 2016-08-15T21:10:04 --startdatetime 2016-08-15T21:11:36 --delay 1 --endMP 204:233311 --enddatetime 2016-08-15T22:08:05 --enforcementcount 0</v>
      </c>
    </row>
    <row r="145" spans="1:34" x14ac:dyDescent="0.25">
      <c r="A145" s="40" t="s">
        <v>498</v>
      </c>
      <c r="B145" s="7">
        <v>4041</v>
      </c>
      <c r="C145" s="25" t="s">
        <v>119</v>
      </c>
      <c r="D145" s="25" t="s">
        <v>147</v>
      </c>
      <c r="E145" s="16">
        <v>42597.932349537034</v>
      </c>
      <c r="F145" s="16">
        <v>42597.933483796296</v>
      </c>
      <c r="G145" s="7">
        <v>1</v>
      </c>
      <c r="H145" s="16" t="s">
        <v>145</v>
      </c>
      <c r="I145" s="16">
        <v>42597.961446759262</v>
      </c>
      <c r="J145" s="7">
        <v>0</v>
      </c>
      <c r="K145" s="142" t="str">
        <f t="shared" si="40"/>
        <v>4041/4042</v>
      </c>
      <c r="L145" s="25" t="str">
        <f>VLOOKUP(A145,'Trips&amp;Operators'!$C$1:$E$10000,3,FALSE)</f>
        <v>NEWELL</v>
      </c>
      <c r="M145" s="6">
        <f t="shared" si="41"/>
        <v>2.7962962965830229E-2</v>
      </c>
      <c r="N145" s="7">
        <f t="shared" si="42"/>
        <v>40.26666667079553</v>
      </c>
      <c r="O145" s="7"/>
      <c r="P145" s="7"/>
      <c r="Q145" s="26"/>
      <c r="R145" s="26"/>
      <c r="S145" s="38">
        <f t="shared" si="43"/>
        <v>1</v>
      </c>
      <c r="T145" s="53" t="str">
        <f t="shared" si="44"/>
        <v>Southbound</v>
      </c>
      <c r="U145" s="13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21:22:35-0600',mode:absolute,to:'2016-08-16 00:04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45" s="55" t="str">
        <f t="shared" si="46"/>
        <v>N</v>
      </c>
      <c r="X145" s="129">
        <f t="shared" si="47"/>
        <v>1</v>
      </c>
      <c r="Y145" s="70">
        <f t="shared" si="48"/>
        <v>23.299600000000002</v>
      </c>
      <c r="Z145" s="70">
        <f t="shared" si="49"/>
        <v>1.49E-2</v>
      </c>
      <c r="AA145" s="70">
        <f t="shared" si="50"/>
        <v>23.284700000000001</v>
      </c>
      <c r="AB145" s="67" t="e">
        <f>VLOOKUP(A145,Enforcements!$C$7:$J$24,8,0)</f>
        <v>#N/A</v>
      </c>
      <c r="AC145" s="63" t="e">
        <f>VLOOKUP(A145,Enforcements!$C$7:$E$24,3,0)</f>
        <v>#N/A</v>
      </c>
      <c r="AD145" s="64" t="str">
        <f t="shared" si="51"/>
        <v>0232-15</v>
      </c>
      <c r="AE145" s="104" t="str">
        <f t="shared" si="52"/>
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</c>
      <c r="AF145" s="101" t="str">
        <f t="shared" si="53"/>
        <v>"C:\Program Files (x86)\AstroGrep\AstroGrep.exe" /spath="%USERPROFILE%\AppData\Local\Temp\OnboardLogs" /stypes="*4041*20160816*" /stext=" 05:.+((SYSTEM_STATE.+slice.+state.+changed )|(ment ac)|(system.+state.+changed )|(\|lc)|(penalty)|(\[timeout)|(PRM\|1\|D)|(kpr)|(kdp)|(\|loc))" /e /r /s</v>
      </c>
      <c r="AG145" s="1" t="str">
        <f t="shared" si="55"/>
        <v>EC</v>
      </c>
      <c r="AH145" s="105" t="str">
        <f t="shared" si="54"/>
        <v>"%USERPROFILE%\Documents\GitHub\eaglep3\Utilities\RefineRTDCRunTimes.py" --tripid 232-15 --locoid 4041 --swversion DE.1.0.7.0 --startMP 204:232996 --initTime 2016-08-15T22:22:35 --startdatetime 2016-08-15T22:24:13 --delay 1 --endMP 204:149 --enddatetime 2016-08-15T23:04:29 --enforcementcount 0</v>
      </c>
    </row>
    <row r="146" spans="1:34" x14ac:dyDescent="0.25">
      <c r="A146" s="40" t="s">
        <v>499</v>
      </c>
      <c r="B146" s="7">
        <v>4027</v>
      </c>
      <c r="C146" s="25" t="s">
        <v>119</v>
      </c>
      <c r="D146" s="25" t="s">
        <v>500</v>
      </c>
      <c r="E146" s="16">
        <v>42597.914398148147</v>
      </c>
      <c r="F146" s="16">
        <v>42597.916458333333</v>
      </c>
      <c r="G146" s="7">
        <v>2</v>
      </c>
      <c r="H146" s="16" t="s">
        <v>501</v>
      </c>
      <c r="I146" s="16">
        <v>42597.942488425928</v>
      </c>
      <c r="J146" s="7">
        <v>0</v>
      </c>
      <c r="K146" s="142" t="str">
        <f t="shared" si="40"/>
        <v>4027/4028</v>
      </c>
      <c r="L146" s="25" t="str">
        <f>VLOOKUP(A146,'Trips&amp;Operators'!$C$1:$E$10000,3,FALSE)</f>
        <v>CHANDLER</v>
      </c>
      <c r="M146" s="6">
        <f t="shared" si="41"/>
        <v>2.6030092594737653E-2</v>
      </c>
      <c r="N146" s="7">
        <f t="shared" si="42"/>
        <v>37.48333333642222</v>
      </c>
      <c r="O146" s="7"/>
      <c r="P146" s="7"/>
      <c r="Q146" s="26"/>
      <c r="R146" s="26"/>
      <c r="S146" s="38">
        <f t="shared" si="43"/>
        <v>1</v>
      </c>
      <c r="T146" s="53" t="str">
        <f t="shared" si="44"/>
        <v>NorthBound</v>
      </c>
      <c r="U146" s="13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20:56:44-0600',mode:absolute,to:'2016-08-15 23:37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46" s="55" t="str">
        <f t="shared" si="46"/>
        <v>N</v>
      </c>
      <c r="X146" s="129">
        <f t="shared" si="47"/>
        <v>1</v>
      </c>
      <c r="Y146" s="70">
        <f t="shared" si="48"/>
        <v>4.9700000000000001E-2</v>
      </c>
      <c r="Z146" s="70">
        <f t="shared" si="49"/>
        <v>23.327000000000002</v>
      </c>
      <c r="AA146" s="70">
        <f t="shared" si="50"/>
        <v>23.2773</v>
      </c>
      <c r="AB146" s="67" t="e">
        <f>VLOOKUP(A146,Enforcements!$C$7:$J$24,8,0)</f>
        <v>#N/A</v>
      </c>
      <c r="AC146" s="63" t="e">
        <f>VLOOKUP(A146,Enforcements!$C$7:$E$24,3,0)</f>
        <v>#N/A</v>
      </c>
      <c r="AD146" s="64" t="str">
        <f t="shared" si="51"/>
        <v>0233-15</v>
      </c>
      <c r="AE146" s="104" t="str">
        <f t="shared" si="52"/>
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</c>
      <c r="AF146" s="101" t="str">
        <f t="shared" si="53"/>
        <v>"C:\Program Files (x86)\AstroGrep\AstroGrep.exe" /spath="%USERPROFILE%\AppData\Local\Temp\OnboardLogs" /stypes="*4027*20160816*" /stext=" 04:.+((SYSTEM_STATE.+slice.+state.+changed )|(ment ac)|(system.+state.+changed )|(\|lc)|(penalty)|(\[timeout)|(PRM\|1\|D)|(kpr)|(kdp)|(\|loc))" /e /r /s</v>
      </c>
      <c r="AG146" s="1" t="str">
        <f t="shared" si="55"/>
        <v>EC</v>
      </c>
      <c r="AH146" s="105" t="str">
        <f t="shared" si="54"/>
        <v>"%USERPROFILE%\Documents\GitHub\eaglep3\Utilities\RefineRTDCRunTimes.py" --tripid 233-15 --locoid 4027 --swversion DE.1.0.7.0 --startMP 204:497 --initTime 2016-08-15T21:56:44 --startdatetime 2016-08-15T21:59:42 --delay 2 --endMP 204:233270 --enddatetime 2016-08-15T22:37:11 --enforcementcount 0</v>
      </c>
    </row>
    <row r="147" spans="1:34" x14ac:dyDescent="0.25">
      <c r="A147" s="40" t="s">
        <v>502</v>
      </c>
      <c r="B147" s="7">
        <v>4028</v>
      </c>
      <c r="C147" s="25" t="s">
        <v>119</v>
      </c>
      <c r="D147" s="25" t="s">
        <v>198</v>
      </c>
      <c r="E147" s="16">
        <v>42597.953425925924</v>
      </c>
      <c r="F147" s="16">
        <v>42597.954236111109</v>
      </c>
      <c r="G147" s="7">
        <v>1</v>
      </c>
      <c r="H147" s="16" t="s">
        <v>289</v>
      </c>
      <c r="I147" s="16">
        <v>42597.984224537038</v>
      </c>
      <c r="J147" s="7">
        <v>0</v>
      </c>
      <c r="K147" s="142" t="str">
        <f t="shared" si="40"/>
        <v>4027/4028</v>
      </c>
      <c r="L147" s="25" t="str">
        <f>VLOOKUP(A147,'Trips&amp;Operators'!$C$1:$E$10000,3,FALSE)</f>
        <v>CHANDLER</v>
      </c>
      <c r="M147" s="6">
        <f t="shared" si="41"/>
        <v>2.9988425929332152E-2</v>
      </c>
      <c r="N147" s="7">
        <f t="shared" si="42"/>
        <v>43.183333338238299</v>
      </c>
      <c r="O147" s="7"/>
      <c r="P147" s="7"/>
      <c r="Q147" s="26"/>
      <c r="R147" s="26"/>
      <c r="S147" s="38">
        <f t="shared" si="43"/>
        <v>1</v>
      </c>
      <c r="T147" s="53" t="str">
        <f t="shared" si="44"/>
        <v>Southbound</v>
      </c>
      <c r="U147" s="13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21:52:56-0600',mode:absolute,to:'2016-08-16 00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47" s="55" t="str">
        <f t="shared" si="46"/>
        <v>N</v>
      </c>
      <c r="X147" s="129">
        <f t="shared" si="47"/>
        <v>1</v>
      </c>
      <c r="Y147" s="70">
        <f t="shared" si="48"/>
        <v>23.296299999999999</v>
      </c>
      <c r="Z147" s="70">
        <f t="shared" si="49"/>
        <v>1.61E-2</v>
      </c>
      <c r="AA147" s="70">
        <f t="shared" si="50"/>
        <v>23.280199999999997</v>
      </c>
      <c r="AB147" s="67" t="e">
        <f>VLOOKUP(A147,Enforcements!$C$7:$J$24,8,0)</f>
        <v>#N/A</v>
      </c>
      <c r="AC147" s="63" t="e">
        <f>VLOOKUP(A147,Enforcements!$C$7:$E$24,3,0)</f>
        <v>#N/A</v>
      </c>
      <c r="AD147" s="64" t="str">
        <f t="shared" si="51"/>
        <v>0234-15</v>
      </c>
      <c r="AE147" s="104" t="str">
        <f t="shared" si="52"/>
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</c>
      <c r="AF147" s="101" t="str">
        <f t="shared" si="53"/>
        <v>"C:\Program Files (x86)\AstroGrep\AstroGrep.exe" /spath="%USERPROFILE%\AppData\Local\Temp\OnboardLogs" /stypes="*4028*20160816*" /stext=" 05:.+((SYSTEM_STATE.+slice.+state.+changed )|(ment ac)|(system.+state.+changed )|(\|lc)|(penalty)|(\[timeout)|(PRM\|1\|D)|(kpr)|(kdp)|(\|loc))" /e /r /s</v>
      </c>
      <c r="AG147" s="1" t="str">
        <f t="shared" si="55"/>
        <v>EC</v>
      </c>
      <c r="AH147" s="105" t="str">
        <f t="shared" si="54"/>
        <v>"%USERPROFILE%\Documents\GitHub\eaglep3\Utilities\RefineRTDCRunTimes.py" --tripid 234-15 --locoid 4028 --swversion DE.1.0.7.0 --startMP 204:232963 --initTime 2016-08-15T22:52:56 --startdatetime 2016-08-15T22:54:06 --delay 1 --endMP 204:161 --enddatetime 2016-08-15T23:37:17 --enforcementcount 0</v>
      </c>
    </row>
    <row r="148" spans="1:34" x14ac:dyDescent="0.25">
      <c r="A148" s="40" t="s">
        <v>503</v>
      </c>
      <c r="B148" s="7">
        <v>4020</v>
      </c>
      <c r="C148" s="25" t="s">
        <v>119</v>
      </c>
      <c r="D148" s="25" t="s">
        <v>179</v>
      </c>
      <c r="E148" s="16">
        <v>42597.929444444446</v>
      </c>
      <c r="F148" s="16">
        <v>42597.93037037037</v>
      </c>
      <c r="G148" s="7">
        <v>1</v>
      </c>
      <c r="H148" s="16" t="s">
        <v>247</v>
      </c>
      <c r="I148" s="16">
        <v>42597.96366898148</v>
      </c>
      <c r="J148" s="7">
        <v>0</v>
      </c>
      <c r="K148" s="142" t="str">
        <f t="shared" si="40"/>
        <v>4019/4020</v>
      </c>
      <c r="L148" s="25" t="str">
        <f>VLOOKUP(A148,'Trips&amp;Operators'!$C$1:$E$10000,3,FALSE)</f>
        <v>ISHMAEL</v>
      </c>
      <c r="M148" s="6">
        <f t="shared" si="41"/>
        <v>3.329861110978527E-2</v>
      </c>
      <c r="N148" s="7">
        <f t="shared" si="42"/>
        <v>47.949999998090789</v>
      </c>
      <c r="O148" s="7"/>
      <c r="P148" s="7"/>
      <c r="Q148" s="26"/>
      <c r="R148" s="26"/>
      <c r="S148" s="38">
        <f t="shared" si="43"/>
        <v>1</v>
      </c>
      <c r="T148" s="53" t="str">
        <f t="shared" si="44"/>
        <v>NorthBound</v>
      </c>
      <c r="U148" s="13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21:18:24-0600',mode:absolute,to:'2016-08-16 00:07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48" s="55" t="str">
        <f t="shared" si="46"/>
        <v>N</v>
      </c>
      <c r="X148" s="129">
        <f t="shared" si="47"/>
        <v>1</v>
      </c>
      <c r="Y148" s="70">
        <f t="shared" si="48"/>
        <v>4.4400000000000002E-2</v>
      </c>
      <c r="Z148" s="70">
        <f t="shared" si="49"/>
        <v>23.328800000000001</v>
      </c>
      <c r="AA148" s="70">
        <f t="shared" si="50"/>
        <v>23.284400000000002</v>
      </c>
      <c r="AB148" s="67" t="e">
        <f>VLOOKUP(A148,Enforcements!$C$7:$J$24,8,0)</f>
        <v>#N/A</v>
      </c>
      <c r="AC148" s="63" t="e">
        <f>VLOOKUP(A148,Enforcements!$C$7:$E$24,3,0)</f>
        <v>#N/A</v>
      </c>
      <c r="AD148" s="64" t="str">
        <f t="shared" si="51"/>
        <v>0235-15</v>
      </c>
      <c r="AE148" s="104" t="str">
        <f t="shared" si="52"/>
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</c>
      <c r="AF148" s="101" t="str">
        <f t="shared" si="53"/>
        <v>"C:\Program Files (x86)\AstroGrep\AstroGrep.exe" /spath="%USERPROFILE%\AppData\Local\Temp\OnboardLogs" /stypes="*4020*20160816*" /stext=" 05:.+((SYSTEM_STATE.+slice.+state.+changed )|(ment ac)|(system.+state.+changed )|(\|lc)|(penalty)|(\[timeout)|(PRM\|1\|D)|(kpr)|(kdp)|(\|loc))" /e /r /s</v>
      </c>
      <c r="AG148" s="1" t="str">
        <f t="shared" si="55"/>
        <v>EC</v>
      </c>
      <c r="AH148" s="105" t="str">
        <f t="shared" si="54"/>
        <v>"%USERPROFILE%\Documents\GitHub\eaglep3\Utilities\RefineRTDCRunTimes.py" --tripid 235-15 --locoid 4020 --swversion DE.1.0.7.0 --startMP 204:444 --initTime 2016-08-15T22:18:24 --startdatetime 2016-08-15T22:19:44 --delay 1 --endMP 204:233288 --enddatetime 2016-08-15T23:07:41 --enforcementcount 0</v>
      </c>
    </row>
    <row r="149" spans="1:34" x14ac:dyDescent="0.25">
      <c r="A149" s="40" t="s">
        <v>504</v>
      </c>
      <c r="B149" s="7">
        <v>4019</v>
      </c>
      <c r="C149" s="25" t="s">
        <v>119</v>
      </c>
      <c r="D149" s="25" t="s">
        <v>284</v>
      </c>
      <c r="E149" s="16">
        <v>42597.970891203702</v>
      </c>
      <c r="F149" s="16">
        <v>42597.971620370372</v>
      </c>
      <c r="G149" s="7">
        <v>1</v>
      </c>
      <c r="H149" s="16" t="s">
        <v>159</v>
      </c>
      <c r="I149" s="16">
        <v>42598.005312499998</v>
      </c>
      <c r="J149" s="7">
        <v>0</v>
      </c>
      <c r="K149" s="142" t="str">
        <f t="shared" si="40"/>
        <v>4019/4020</v>
      </c>
      <c r="L149" s="25" t="str">
        <f>VLOOKUP(A149,'Trips&amp;Operators'!$C$1:$E$10000,3,FALSE)</f>
        <v>ISHMAEL</v>
      </c>
      <c r="M149" s="6">
        <f t="shared" si="41"/>
        <v>3.3692129625706002E-2</v>
      </c>
      <c r="N149" s="7">
        <f t="shared" si="42"/>
        <v>48.516666661016643</v>
      </c>
      <c r="O149" s="7"/>
      <c r="P149" s="7"/>
      <c r="Q149" s="26"/>
      <c r="R149" s="26"/>
      <c r="S149" s="38">
        <f t="shared" si="43"/>
        <v>1</v>
      </c>
      <c r="T149" s="53" t="str">
        <f t="shared" si="44"/>
        <v>Southbound</v>
      </c>
      <c r="U149" s="13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22:18:05-0600',mode:absolute,to:'2016-08-16 01:07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49" s="55" t="str">
        <f t="shared" si="46"/>
        <v>N</v>
      </c>
      <c r="X149" s="129">
        <f t="shared" si="47"/>
        <v>1</v>
      </c>
      <c r="Y149" s="70">
        <f t="shared" si="48"/>
        <v>23.2971</v>
      </c>
      <c r="Z149" s="70">
        <f t="shared" si="49"/>
        <v>1.6299999999999999E-2</v>
      </c>
      <c r="AA149" s="70">
        <f t="shared" si="50"/>
        <v>23.280799999999999</v>
      </c>
      <c r="AB149" s="67" t="e">
        <f>VLOOKUP(A149,Enforcements!$C$7:$J$24,8,0)</f>
        <v>#N/A</v>
      </c>
      <c r="AC149" s="63" t="e">
        <f>VLOOKUP(A149,Enforcements!$C$7:$E$24,3,0)</f>
        <v>#N/A</v>
      </c>
      <c r="AD149" s="64" t="str">
        <f t="shared" si="51"/>
        <v>0236-15</v>
      </c>
      <c r="AE149" s="104" t="str">
        <f t="shared" si="52"/>
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</c>
      <c r="AF149" s="101" t="str">
        <f t="shared" si="53"/>
        <v>"C:\Program Files (x86)\AstroGrep\AstroGrep.exe" /spath="%USERPROFILE%\AppData\Local\Temp\OnboardLogs" /stypes="*4019*20160816*" /stext=" 06:.+((SYSTEM_STATE.+slice.+state.+changed )|(ment ac)|(system.+state.+changed )|(\|lc)|(penalty)|(\[timeout)|(PRM\|1\|D)|(kpr)|(kdp)|(\|loc))" /e /r /s</v>
      </c>
      <c r="AG149" s="1" t="str">
        <f t="shared" si="55"/>
        <v>EC</v>
      </c>
      <c r="AH149" s="105" t="str">
        <f t="shared" si="54"/>
        <v>"%USERPROFILE%\Documents\GitHub\eaglep3\Utilities\RefineRTDCRunTimes.py" --tripid 236-15 --locoid 4019 --swversion DE.1.0.7.0 --startMP 204:232971 --initTime 2016-08-15T23:18:05 --startdatetime 2016-08-15T23:19:08 --delay 1 --endMP 204:163 --enddatetime 2016-08-16T00:07:39 --enforcementcount 0</v>
      </c>
    </row>
    <row r="150" spans="1:34" x14ac:dyDescent="0.25">
      <c r="A150" s="40" t="s">
        <v>505</v>
      </c>
      <c r="B150" s="7">
        <v>4007</v>
      </c>
      <c r="C150" s="25" t="s">
        <v>119</v>
      </c>
      <c r="D150" s="25" t="s">
        <v>201</v>
      </c>
      <c r="E150" s="16">
        <v>42597.948530092595</v>
      </c>
      <c r="F150" s="16">
        <v>42597.949606481481</v>
      </c>
      <c r="G150" s="7">
        <v>1</v>
      </c>
      <c r="H150" s="16" t="s">
        <v>192</v>
      </c>
      <c r="I150" s="16">
        <v>42597.983634259261</v>
      </c>
      <c r="J150" s="7">
        <v>0</v>
      </c>
      <c r="K150" s="142" t="str">
        <f t="shared" si="40"/>
        <v>4007/4008</v>
      </c>
      <c r="L150" s="25" t="str">
        <f>VLOOKUP(A150,'Trips&amp;Operators'!$C$1:$E$10000,3,FALSE)</f>
        <v>OUN</v>
      </c>
      <c r="M150" s="6">
        <f t="shared" si="41"/>
        <v>3.4027777779556345E-2</v>
      </c>
      <c r="N150" s="7">
        <f t="shared" si="42"/>
        <v>49.000000002561137</v>
      </c>
      <c r="O150" s="7"/>
      <c r="P150" s="7"/>
      <c r="Q150" s="26"/>
      <c r="R150" s="26"/>
      <c r="S150" s="38">
        <f t="shared" si="43"/>
        <v>1</v>
      </c>
      <c r="T150" s="53" t="str">
        <f t="shared" si="44"/>
        <v>NorthBound</v>
      </c>
      <c r="U150" s="13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21:45:53-0600',mode:absolute,to:'2016-08-16 00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50" s="55" t="str">
        <f t="shared" si="46"/>
        <v>N</v>
      </c>
      <c r="X150" s="129">
        <f t="shared" si="47"/>
        <v>1</v>
      </c>
      <c r="Y150" s="70">
        <f t="shared" si="48"/>
        <v>4.7699999999999999E-2</v>
      </c>
      <c r="Z150" s="70">
        <f t="shared" si="49"/>
        <v>23.329699999999999</v>
      </c>
      <c r="AA150" s="70">
        <f t="shared" si="50"/>
        <v>23.282</v>
      </c>
      <c r="AB150" s="67" t="e">
        <f>VLOOKUP(A150,Enforcements!$C$7:$J$24,8,0)</f>
        <v>#N/A</v>
      </c>
      <c r="AC150" s="63" t="e">
        <f>VLOOKUP(A150,Enforcements!$C$7:$E$24,3,0)</f>
        <v>#N/A</v>
      </c>
      <c r="AD150" s="64" t="str">
        <f t="shared" si="51"/>
        <v>0237-15</v>
      </c>
      <c r="AE150" s="104" t="str">
        <f t="shared" si="52"/>
        <v>aws s3 cp s3://rtdc.mdm.uploadarchive/RTDC4007/2016-08-15/ "%USERPROFILE%\AppData\Local\Temp\OnboardLogs"\RTDC4007\2016-08-15 --recursive &amp; "%USERPROFILE%\Documents\GitHub\mrs-test-scripts\Headless Mode &amp; Sideloading\WalkAndUnGZ.bat" "%USERPROFILE%\AppData\Local\Temp\OnboardLogs"\RTDC4007\2016-08-15 &amp; aws s3 cp s3://rtdc.mdm.uploadarchive/RTDC4007/2016-08-16/ "%USERPROFILE%\AppData\Local\Temp\OnboardLogs"\RTDC4007\2016-08-16 --recursive &amp; "%USERPROFILE%\Documents\GitHub\mrs-test-scripts\Headless Mode &amp; Sideloading\WalkAndUnGZ.bat" "%USERPROFILE%\AppData\Local\Temp\OnboardLogs"\RTDC4007\2016-08-16</v>
      </c>
      <c r="AF150" s="101" t="str">
        <f t="shared" si="53"/>
        <v>"C:\Program Files (x86)\AstroGrep\AstroGrep.exe" /spath="%USERPROFILE%\AppData\Local\Temp\OnboardLogs" /stypes="*4007*20160816*" /stext=" 05:.+((SYSTEM_STATE.+slice.+state.+changed )|(ment ac)|(system.+state.+changed )|(\|lc)|(penalty)|(\[timeout)|(PRM\|1\|D)|(kpr)|(kdp)|(\|loc))" /e /r /s</v>
      </c>
      <c r="AG150" s="1" t="str">
        <f t="shared" si="55"/>
        <v>EC</v>
      </c>
      <c r="AH150" s="105" t="str">
        <f t="shared" si="54"/>
        <v>"%USERPROFILE%\Documents\GitHub\eaglep3\Utilities\RefineRTDCRunTimes.py" --tripid 237-15 --locoid 4007 --swversion DE.1.0.7.0 --startMP 204:477 --initTime 2016-08-15T22:45:53 --startdatetime 2016-08-15T22:47:26 --delay 1 --endMP 204:233297 --enddatetime 2016-08-15T23:36:26 --enforcementcount 0</v>
      </c>
    </row>
    <row r="151" spans="1:34" x14ac:dyDescent="0.25">
      <c r="A151" s="40" t="s">
        <v>506</v>
      </c>
      <c r="B151" s="7">
        <v>4008</v>
      </c>
      <c r="C151" s="25" t="s">
        <v>119</v>
      </c>
      <c r="D151" s="25" t="s">
        <v>198</v>
      </c>
      <c r="E151" s="16">
        <v>42597.991863425923</v>
      </c>
      <c r="F151" s="16">
        <v>42597.992685185185</v>
      </c>
      <c r="G151" s="7">
        <v>1</v>
      </c>
      <c r="H151" s="16" t="s">
        <v>507</v>
      </c>
      <c r="I151" s="16">
        <v>42598.025567129633</v>
      </c>
      <c r="J151" s="7">
        <v>0</v>
      </c>
      <c r="K151" s="142" t="str">
        <f t="shared" si="40"/>
        <v>4007/4008</v>
      </c>
      <c r="L151" s="25" t="str">
        <f>VLOOKUP(A151,'Trips&amp;Operators'!$C$1:$E$10000,3,FALSE)</f>
        <v>OUN</v>
      </c>
      <c r="M151" s="6">
        <f t="shared" si="41"/>
        <v>3.2881944447581191E-2</v>
      </c>
      <c r="N151" s="7">
        <f t="shared" si="42"/>
        <v>47.350000004516914</v>
      </c>
      <c r="O151" s="7"/>
      <c r="P151" s="7"/>
      <c r="Q151" s="26"/>
      <c r="R151" s="26"/>
      <c r="S151" s="38">
        <f t="shared" si="43"/>
        <v>1</v>
      </c>
      <c r="T151" s="53" t="str">
        <f t="shared" si="44"/>
        <v>Southbound</v>
      </c>
      <c r="U151" s="13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22:48:17-0600',mode:absolute,to:'2016-08-16 01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51" s="55" t="str">
        <f t="shared" si="46"/>
        <v>N</v>
      </c>
      <c r="X151" s="129">
        <f t="shared" si="47"/>
        <v>1</v>
      </c>
      <c r="Y151" s="70">
        <f t="shared" si="48"/>
        <v>23.296299999999999</v>
      </c>
      <c r="Z151" s="70">
        <f t="shared" si="49"/>
        <v>1.5699999999999999E-2</v>
      </c>
      <c r="AA151" s="70">
        <f t="shared" si="50"/>
        <v>23.2806</v>
      </c>
      <c r="AB151" s="67" t="e">
        <f>VLOOKUP(A151,Enforcements!$C$7:$J$24,8,0)</f>
        <v>#N/A</v>
      </c>
      <c r="AC151" s="63" t="e">
        <f>VLOOKUP(A151,Enforcements!$C$7:$E$24,3,0)</f>
        <v>#N/A</v>
      </c>
      <c r="AD151" s="64" t="str">
        <f t="shared" si="51"/>
        <v>0238-15</v>
      </c>
      <c r="AE151" s="104" t="str">
        <f t="shared" si="52"/>
        <v>aws s3 cp s3://rtdc.mdm.uploadarchive/RTDC4008/2016-08-15/ "%USERPROFILE%\AppData\Local\Temp\OnboardLogs"\RTDC4008\2016-08-15 --recursive &amp; "%USERPROFILE%\Documents\GitHub\mrs-test-scripts\Headless Mode &amp; Sideloading\WalkAndUnGZ.bat" "%USERPROFILE%\AppData\Local\Temp\OnboardLogs"\RTDC4008\2016-08-15 &amp; aws s3 cp s3://rtdc.mdm.uploadarchive/RTDC4008/2016-08-16/ "%USERPROFILE%\AppData\Local\Temp\OnboardLogs"\RTDC4008\2016-08-16 --recursive &amp; "%USERPROFILE%\Documents\GitHub\mrs-test-scripts\Headless Mode &amp; Sideloading\WalkAndUnGZ.bat" "%USERPROFILE%\AppData\Local\Temp\OnboardLogs"\RTDC4008\2016-08-16</v>
      </c>
      <c r="AF151" s="101" t="str">
        <f t="shared" si="53"/>
        <v>"C:\Program Files (x86)\AstroGrep\AstroGrep.exe" /spath="%USERPROFILE%\AppData\Local\Temp\OnboardLogs" /stypes="*4008*20160816*" /stext=" 06:.+((SYSTEM_STATE.+slice.+state.+changed )|(ment ac)|(system.+state.+changed )|(\|lc)|(penalty)|(\[timeout)|(PRM\|1\|D)|(kpr)|(kdp)|(\|loc))" /e /r /s</v>
      </c>
      <c r="AG151" s="1" t="str">
        <f t="shared" si="55"/>
        <v>EC</v>
      </c>
      <c r="AH151" s="105" t="str">
        <f t="shared" si="54"/>
        <v>"%USERPROFILE%\Documents\GitHub\eaglep3\Utilities\RefineRTDCRunTimes.py" --tripid 238-15 --locoid 4008 --swversion DE.1.0.7.0 --startMP 204:232963 --initTime 2016-08-15T23:48:17 --startdatetime 2016-08-15T23:49:28 --delay 1 --endMP 204:157 --enddatetime 2016-08-16T00:36:49 --enforcementcount 0</v>
      </c>
    </row>
    <row r="152" spans="1:34" x14ac:dyDescent="0.25">
      <c r="A152" s="40" t="s">
        <v>508</v>
      </c>
      <c r="B152" s="7">
        <v>4042</v>
      </c>
      <c r="C152" s="25" t="s">
        <v>119</v>
      </c>
      <c r="D152" s="25" t="s">
        <v>141</v>
      </c>
      <c r="E152" s="16">
        <v>42597.965543981481</v>
      </c>
      <c r="F152" s="16">
        <v>42597.966562499998</v>
      </c>
      <c r="G152" s="7">
        <v>1</v>
      </c>
      <c r="H152" s="16" t="s">
        <v>317</v>
      </c>
      <c r="I152" s="16">
        <v>42598.011122685188</v>
      </c>
      <c r="J152" s="7">
        <v>0</v>
      </c>
      <c r="K152" s="142" t="str">
        <f t="shared" si="40"/>
        <v>4041/4042</v>
      </c>
      <c r="L152" s="25" t="str">
        <f>VLOOKUP(A152,'Trips&amp;Operators'!$C$1:$E$10000,3,FALSE)</f>
        <v>NEWELL</v>
      </c>
      <c r="M152" s="6">
        <f t="shared" si="41"/>
        <v>4.4560185189766344E-2</v>
      </c>
      <c r="N152" s="7">
        <f t="shared" si="42"/>
        <v>64.166666673263535</v>
      </c>
      <c r="O152" s="7"/>
      <c r="P152" s="7"/>
      <c r="Q152" s="26"/>
      <c r="R152" s="26"/>
      <c r="S152" s="38">
        <f t="shared" si="43"/>
        <v>1</v>
      </c>
      <c r="T152" s="53" t="str">
        <f t="shared" si="44"/>
        <v>NorthBound</v>
      </c>
      <c r="U152" s="13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22:10:23-0600',mode:absolute,to:'2016-08-16 01:16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152" s="55" t="str">
        <f t="shared" si="46"/>
        <v>N</v>
      </c>
      <c r="X152" s="129">
        <f t="shared" si="47"/>
        <v>1</v>
      </c>
      <c r="Y152" s="70">
        <f t="shared" si="48"/>
        <v>4.53E-2</v>
      </c>
      <c r="Z152" s="70">
        <f t="shared" si="49"/>
        <v>23.3324</v>
      </c>
      <c r="AA152" s="70">
        <f t="shared" si="50"/>
        <v>23.287099999999999</v>
      </c>
      <c r="AB152" s="67" t="e">
        <f>VLOOKUP(A152,Enforcements!$C$7:$J$24,8,0)</f>
        <v>#N/A</v>
      </c>
      <c r="AC152" s="63" t="e">
        <f>VLOOKUP(A152,Enforcements!$C$7:$E$24,3,0)</f>
        <v>#N/A</v>
      </c>
      <c r="AD152" s="64" t="str">
        <f t="shared" si="51"/>
        <v>0239-15</v>
      </c>
      <c r="AE152" s="104" t="str">
        <f t="shared" si="52"/>
        <v>aws s3 cp s3://rtdc.mdm.uploadarchive/RTDC4042/2016-08-15/ "%USERPROFILE%\AppData\Local\Temp\OnboardLogs"\RTDC4042\2016-08-15 --recursive &amp; "%USERPROFILE%\Documents\GitHub\mrs-test-scripts\Headless Mode &amp; Sideloading\WalkAndUnGZ.bat" "%USERPROFILE%\AppData\Local\Temp\OnboardLogs"\RTDC4042\2016-08-15 &amp; 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</v>
      </c>
      <c r="AF152" s="101" t="str">
        <f t="shared" si="53"/>
        <v>"C:\Program Files (x86)\AstroGrep\AstroGrep.exe" /spath="%USERPROFILE%\AppData\Local\Temp\OnboardLogs" /stypes="*4042*20160816*" /stext=" 06:.+((SYSTEM_STATE.+slice.+state.+changed )|(ment ac)|(system.+state.+changed )|(\|lc)|(penalty)|(\[timeout)|(PRM\|1\|D)|(kpr)|(kdp)|(\|loc))" /e /r /s</v>
      </c>
      <c r="AG152" s="1" t="str">
        <f t="shared" si="55"/>
        <v>EC</v>
      </c>
      <c r="AH152" s="105" t="str">
        <f t="shared" si="54"/>
        <v>"%USERPROFILE%\Documents\GitHub\eaglep3\Utilities\RefineRTDCRunTimes.py" --tripid 239-15 --locoid 4042 --swversion DE.1.0.7.0 --startMP 204:453 --initTime 2016-08-15T23:10:23 --startdatetime 2016-08-15T23:11:51 --delay 1 --endMP 204:233324 --enddatetime 2016-08-16T00:16:01 --enforcementcount 0</v>
      </c>
    </row>
    <row r="153" spans="1:34" x14ac:dyDescent="0.25">
      <c r="A153" s="40" t="s">
        <v>509</v>
      </c>
      <c r="B153" s="7">
        <v>4041</v>
      </c>
      <c r="C153" s="25" t="s">
        <v>119</v>
      </c>
      <c r="D153" s="25" t="s">
        <v>147</v>
      </c>
      <c r="E153" s="16">
        <v>42598.016851851855</v>
      </c>
      <c r="F153" s="16">
        <v>42598.018414351849</v>
      </c>
      <c r="G153" s="7">
        <v>2</v>
      </c>
      <c r="H153" s="16" t="s">
        <v>510</v>
      </c>
      <c r="I153" s="16">
        <v>42598.045601851853</v>
      </c>
      <c r="J153" s="7">
        <v>0</v>
      </c>
      <c r="K153" s="142" t="str">
        <f t="shared" si="40"/>
        <v>4041/4042</v>
      </c>
      <c r="L153" s="25" t="str">
        <f>VLOOKUP(A153,'Trips&amp;Operators'!$C$1:$E$10000,3,FALSE)</f>
        <v>NEWELL</v>
      </c>
      <c r="M153" s="6">
        <f t="shared" si="41"/>
        <v>2.718750000349246E-2</v>
      </c>
      <c r="N153" s="7">
        <f t="shared" si="42"/>
        <v>39.150000005029142</v>
      </c>
      <c r="O153" s="7"/>
      <c r="P153" s="7"/>
      <c r="Q153" s="26"/>
      <c r="R153" s="26"/>
      <c r="S153" s="38">
        <f t="shared" si="43"/>
        <v>1</v>
      </c>
      <c r="T153" s="53" t="str">
        <f t="shared" si="44"/>
        <v>Southbound</v>
      </c>
      <c r="U153" s="13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23:24:16-0600',mode:absolute,to:'2016-08-16 02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W153" s="55" t="str">
        <f t="shared" si="46"/>
        <v>N</v>
      </c>
      <c r="X153" s="129">
        <f t="shared" si="47"/>
        <v>1</v>
      </c>
      <c r="Y153" s="70">
        <f t="shared" si="48"/>
        <v>23.299600000000002</v>
      </c>
      <c r="Z153" s="70">
        <f t="shared" si="49"/>
        <v>1.26E-2</v>
      </c>
      <c r="AA153" s="70">
        <f t="shared" si="50"/>
        <v>23.287000000000003</v>
      </c>
      <c r="AB153" s="67" t="e">
        <f>VLOOKUP(A153,Enforcements!$C$7:$J$24,8,0)</f>
        <v>#N/A</v>
      </c>
      <c r="AC153" s="63" t="e">
        <f>VLOOKUP(A153,Enforcements!$C$7:$E$24,3,0)</f>
        <v>#N/A</v>
      </c>
      <c r="AD153" s="64" t="str">
        <f t="shared" si="51"/>
        <v>0240-15</v>
      </c>
      <c r="AE153" s="104" t="str">
        <f t="shared" si="52"/>
        <v>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 &amp; 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</v>
      </c>
      <c r="AF153" s="101" t="str">
        <f t="shared" si="53"/>
        <v>"C:\Program Files (x86)\AstroGrep\AstroGrep.exe" /spath="%USERPROFILE%\AppData\Local\Temp\OnboardLogs" /stypes="*4041*20160816*" /stext=" 07:.+((SYSTEM_STATE.+slice.+state.+changed )|(ment ac)|(system.+state.+changed )|(\|lc)|(penalty)|(\[timeout)|(PRM\|1\|D)|(kpr)|(kdp)|(\|loc))" /e /r /s</v>
      </c>
      <c r="AG153" s="1" t="str">
        <f t="shared" si="55"/>
        <v>EC</v>
      </c>
      <c r="AH153" s="105" t="str">
        <f t="shared" si="54"/>
        <v>"%USERPROFILE%\Documents\GitHub\eaglep3\Utilities\RefineRTDCRunTimes.py" --tripid 240-15 --locoid 4041 --swversion DE.1.0.7.0 --startMP 204:232996 --initTime 2016-08-16T00:24:16 --startdatetime 2016-08-16T00:26:31 --delay 2 --endMP 204:126 --enddatetime 2016-08-16T01:05:40 --enforcementcount 0</v>
      </c>
    </row>
    <row r="154" spans="1:34" x14ac:dyDescent="0.25">
      <c r="A154" s="40" t="s">
        <v>511</v>
      </c>
      <c r="B154" s="7">
        <v>4027</v>
      </c>
      <c r="C154" s="25" t="s">
        <v>119</v>
      </c>
      <c r="D154" s="25" t="s">
        <v>133</v>
      </c>
      <c r="E154" s="16">
        <v>42597.996712962966</v>
      </c>
      <c r="F154" s="16">
        <v>42597.998101851852</v>
      </c>
      <c r="G154" s="7">
        <v>1</v>
      </c>
      <c r="H154" s="16" t="s">
        <v>117</v>
      </c>
      <c r="I154" s="16">
        <v>42598.025902777779</v>
      </c>
      <c r="J154" s="7">
        <v>0</v>
      </c>
      <c r="K154" s="142" t="str">
        <f t="shared" si="40"/>
        <v>4027/4028</v>
      </c>
      <c r="L154" s="25" t="str">
        <f>VLOOKUP(A154,'Trips&amp;Operators'!$C$1:$E$10000,3,FALSE)</f>
        <v>CHANDLER</v>
      </c>
      <c r="M154" s="6">
        <f t="shared" si="41"/>
        <v>2.7800925927294884E-2</v>
      </c>
      <c r="N154" s="7">
        <f t="shared" si="42"/>
        <v>40.033333335304633</v>
      </c>
      <c r="O154" s="7"/>
      <c r="P154" s="7"/>
      <c r="Q154" s="26"/>
      <c r="R154" s="26"/>
      <c r="S154" s="38">
        <f t="shared" si="43"/>
        <v>1</v>
      </c>
      <c r="T154" s="53" t="str">
        <f t="shared" si="44"/>
        <v>NorthBound</v>
      </c>
      <c r="U154" s="13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22:55:16-0600',mode:absolute,to:'2016-08-16 01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54" s="55" t="str">
        <f t="shared" si="46"/>
        <v>N</v>
      </c>
      <c r="X154" s="129">
        <f t="shared" si="47"/>
        <v>1</v>
      </c>
      <c r="Y154" s="70">
        <f t="shared" si="48"/>
        <v>4.5499999999999999E-2</v>
      </c>
      <c r="Z154" s="70">
        <f t="shared" si="49"/>
        <v>23.3293</v>
      </c>
      <c r="AA154" s="70">
        <f t="shared" si="50"/>
        <v>23.283799999999999</v>
      </c>
      <c r="AB154" s="67" t="e">
        <f>VLOOKUP(A154,Enforcements!$C$7:$J$24,8,0)</f>
        <v>#N/A</v>
      </c>
      <c r="AC154" s="63" t="e">
        <f>VLOOKUP(A154,Enforcements!$C$7:$E$24,3,0)</f>
        <v>#N/A</v>
      </c>
      <c r="AD154" s="64" t="str">
        <f t="shared" si="51"/>
        <v>0241-15</v>
      </c>
      <c r="AE154" s="104" t="str">
        <f t="shared" si="52"/>
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</c>
      <c r="AF154" s="101" t="str">
        <f t="shared" si="53"/>
        <v>"C:\Program Files (x86)\AstroGrep\AstroGrep.exe" /spath="%USERPROFILE%\AppData\Local\Temp\OnboardLogs" /stypes="*4027*20160816*" /stext=" 06:.+((SYSTEM_STATE.+slice.+state.+changed )|(ment ac)|(system.+state.+changed )|(\|lc)|(penalty)|(\[timeout)|(PRM\|1\|D)|(kpr)|(kdp)|(\|loc))" /e /r /s</v>
      </c>
      <c r="AG154" s="1" t="str">
        <f t="shared" si="55"/>
        <v>EC</v>
      </c>
      <c r="AH154" s="105" t="str">
        <f t="shared" si="54"/>
        <v>"%USERPROFILE%\Documents\GitHub\eaglep3\Utilities\RefineRTDCRunTimes.py" --tripid 241-15 --locoid 4027 --swversion DE.1.0.7.0 --startMP 204:455 --initTime 2016-08-15T23:55:16 --startdatetime 2016-08-15T23:57:16 --delay 1 --endMP 204:233293 --enddatetime 2016-08-16T00:37:18 --enforcementcount 0</v>
      </c>
    </row>
    <row r="155" spans="1:34" x14ac:dyDescent="0.25">
      <c r="A155" s="40" t="s">
        <v>512</v>
      </c>
      <c r="B155" s="7">
        <v>4028</v>
      </c>
      <c r="C155" s="25" t="s">
        <v>119</v>
      </c>
      <c r="D155" s="25" t="s">
        <v>284</v>
      </c>
      <c r="E155" s="16">
        <v>42598.036504629628</v>
      </c>
      <c r="F155" s="16">
        <v>42598.037638888891</v>
      </c>
      <c r="G155" s="7">
        <v>1</v>
      </c>
      <c r="H155" s="16" t="s">
        <v>513</v>
      </c>
      <c r="I155" s="16">
        <v>42598.067233796297</v>
      </c>
      <c r="J155" s="7">
        <v>0</v>
      </c>
      <c r="K155" s="142" t="str">
        <f t="shared" si="40"/>
        <v>4027/4028</v>
      </c>
      <c r="L155" s="25" t="str">
        <f>VLOOKUP(A155,'Trips&amp;Operators'!$C$1:$E$10000,3,FALSE)</f>
        <v>CHANDLER</v>
      </c>
      <c r="M155" s="6">
        <f t="shared" si="41"/>
        <v>2.9594907406135462E-2</v>
      </c>
      <c r="N155" s="7">
        <f t="shared" si="42"/>
        <v>42.616666664835066</v>
      </c>
      <c r="O155" s="7"/>
      <c r="P155" s="7"/>
      <c r="Q155" s="26"/>
      <c r="R155" s="26"/>
      <c r="S155" s="38">
        <f t="shared" si="43"/>
        <v>1</v>
      </c>
      <c r="T155" s="53" t="str">
        <f t="shared" si="44"/>
        <v>Southbound</v>
      </c>
      <c r="U155" s="13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23:52:34-0600',mode:absolute,to:'2016-08-16 02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55" s="55" t="str">
        <f t="shared" si="46"/>
        <v>N</v>
      </c>
      <c r="X155" s="129">
        <f t="shared" si="47"/>
        <v>1</v>
      </c>
      <c r="Y155" s="70">
        <f t="shared" si="48"/>
        <v>23.2971</v>
      </c>
      <c r="Z155" s="70">
        <f t="shared" si="49"/>
        <v>1.55E-2</v>
      </c>
      <c r="AA155" s="70">
        <f t="shared" si="50"/>
        <v>23.281600000000001</v>
      </c>
      <c r="AB155" s="67" t="e">
        <f>VLOOKUP(A155,Enforcements!$C$7:$J$24,8,0)</f>
        <v>#N/A</v>
      </c>
      <c r="AC155" s="63" t="e">
        <f>VLOOKUP(A155,Enforcements!$C$7:$E$24,3,0)</f>
        <v>#N/A</v>
      </c>
      <c r="AD155" s="64" t="str">
        <f t="shared" si="51"/>
        <v>0242-15</v>
      </c>
      <c r="AE155" s="104" t="str">
        <f t="shared" si="52"/>
        <v>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 &amp; 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</v>
      </c>
      <c r="AF155" s="101" t="str">
        <f t="shared" si="53"/>
        <v>"C:\Program Files (x86)\AstroGrep\AstroGrep.exe" /spath="%USERPROFILE%\AppData\Local\Temp\OnboardLogs" /stypes="*4028*20160816*" /stext=" 07:.+((SYSTEM_STATE.+slice.+state.+changed )|(ment ac)|(system.+state.+changed )|(\|lc)|(penalty)|(\[timeout)|(PRM\|1\|D)|(kpr)|(kdp)|(\|loc))" /e /r /s</v>
      </c>
      <c r="AG155" s="1" t="str">
        <f t="shared" si="55"/>
        <v>EC</v>
      </c>
      <c r="AH155" s="105" t="str">
        <f t="shared" si="54"/>
        <v>"%USERPROFILE%\Documents\GitHub\eaglep3\Utilities\RefineRTDCRunTimes.py" --tripid 242-15 --locoid 4028 --swversion DE.1.0.7.0 --startMP 204:232971 --initTime 2016-08-16T00:52:34 --startdatetime 2016-08-16T00:54:12 --delay 1 --endMP 204:155 --enddatetime 2016-08-16T01:36:49 --enforcementcount 0</v>
      </c>
    </row>
    <row r="156" spans="1:34" x14ac:dyDescent="0.25">
      <c r="A156" s="40" t="s">
        <v>514</v>
      </c>
      <c r="B156" s="7">
        <v>4020</v>
      </c>
      <c r="C156" s="25" t="s">
        <v>119</v>
      </c>
      <c r="D156" s="25" t="s">
        <v>265</v>
      </c>
      <c r="E156" s="16">
        <v>42598.012650462966</v>
      </c>
      <c r="F156" s="16">
        <v>42598.013564814813</v>
      </c>
      <c r="G156" s="7">
        <v>1</v>
      </c>
      <c r="H156" s="16" t="s">
        <v>195</v>
      </c>
      <c r="I156" s="16">
        <v>42598.045694444445</v>
      </c>
      <c r="J156" s="7">
        <v>0</v>
      </c>
      <c r="K156" s="142" t="str">
        <f t="shared" si="40"/>
        <v>4019/4020</v>
      </c>
      <c r="L156" s="25" t="str">
        <f>VLOOKUP(A156,'Trips&amp;Operators'!$C$1:$E$10000,3,FALSE)</f>
        <v>ISHMAEL</v>
      </c>
      <c r="M156" s="6">
        <f t="shared" si="41"/>
        <v>3.2129629631526768E-2</v>
      </c>
      <c r="N156" s="7">
        <f t="shared" si="42"/>
        <v>46.266666669398546</v>
      </c>
      <c r="O156" s="7"/>
      <c r="P156" s="7"/>
      <c r="Q156" s="26"/>
      <c r="R156" s="26"/>
      <c r="S156" s="38">
        <f t="shared" si="43"/>
        <v>1</v>
      </c>
      <c r="T156" s="53" t="str">
        <f t="shared" si="44"/>
        <v>NorthBound</v>
      </c>
      <c r="U156" s="13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23:18:13-0600',mode:absolute,to:'2016-08-16 02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56" s="55" t="str">
        <f t="shared" si="46"/>
        <v>N</v>
      </c>
      <c r="X156" s="129">
        <f t="shared" si="47"/>
        <v>1</v>
      </c>
      <c r="Y156" s="70">
        <f t="shared" si="48"/>
        <v>4.8000000000000001E-2</v>
      </c>
      <c r="Z156" s="70">
        <f t="shared" si="49"/>
        <v>23.3291</v>
      </c>
      <c r="AA156" s="70">
        <f t="shared" si="50"/>
        <v>23.281100000000002</v>
      </c>
      <c r="AB156" s="67" t="e">
        <f>VLOOKUP(A156,Enforcements!$C$7:$J$24,8,0)</f>
        <v>#N/A</v>
      </c>
      <c r="AC156" s="63" t="e">
        <f>VLOOKUP(A156,Enforcements!$C$7:$E$24,3,0)</f>
        <v>#N/A</v>
      </c>
      <c r="AD156" s="64" t="str">
        <f t="shared" si="51"/>
        <v>0243-15</v>
      </c>
      <c r="AE156" s="104" t="str">
        <f t="shared" si="52"/>
        <v>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 &amp; 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</v>
      </c>
      <c r="AF156" s="101" t="str">
        <f t="shared" si="53"/>
        <v>"C:\Program Files (x86)\AstroGrep\AstroGrep.exe" /spath="%USERPROFILE%\AppData\Local\Temp\OnboardLogs" /stypes="*4020*20160816*" /stext=" 07:.+((SYSTEM_STATE.+slice.+state.+changed )|(ment ac)|(system.+state.+changed )|(\|lc)|(penalty)|(\[timeout)|(PRM\|1\|D)|(kpr)|(kdp)|(\|loc))" /e /r /s</v>
      </c>
      <c r="AG156" s="1" t="str">
        <f t="shared" si="55"/>
        <v>EC</v>
      </c>
      <c r="AH156" s="105" t="str">
        <f t="shared" si="54"/>
        <v>"%USERPROFILE%\Documents\GitHub\eaglep3\Utilities\RefineRTDCRunTimes.py" --tripid 243-15 --locoid 4020 --swversion DE.1.0.7.0 --startMP 204:480 --initTime 2016-08-16T00:18:13 --startdatetime 2016-08-16T00:19:32 --delay 1 --endMP 204:233291 --enddatetime 2016-08-16T01:05:48 --enforcementcount 0</v>
      </c>
    </row>
    <row r="157" spans="1:34" x14ac:dyDescent="0.25">
      <c r="A157" s="40" t="s">
        <v>515</v>
      </c>
      <c r="B157" s="7">
        <v>4019</v>
      </c>
      <c r="C157" s="25" t="s">
        <v>119</v>
      </c>
      <c r="D157" s="25" t="s">
        <v>249</v>
      </c>
      <c r="E157" s="16">
        <v>42598.052291666667</v>
      </c>
      <c r="F157" s="16">
        <v>42598.053229166668</v>
      </c>
      <c r="G157" s="7">
        <v>1</v>
      </c>
      <c r="H157" s="16" t="s">
        <v>516</v>
      </c>
      <c r="I157" s="16">
        <v>42598.086296296293</v>
      </c>
      <c r="J157" s="7">
        <v>0</v>
      </c>
      <c r="K157" s="142" t="str">
        <f t="shared" si="40"/>
        <v>4019/4020</v>
      </c>
      <c r="L157" s="25" t="str">
        <f>VLOOKUP(A157,'Trips&amp;Operators'!$C$1:$E$10000,3,FALSE)</f>
        <v>ISHMAEL</v>
      </c>
      <c r="M157" s="6">
        <f t="shared" si="41"/>
        <v>3.3067129625123926E-2</v>
      </c>
      <c r="N157" s="7">
        <f t="shared" si="42"/>
        <v>47.616666660178453</v>
      </c>
      <c r="O157" s="7"/>
      <c r="P157" s="7"/>
      <c r="Q157" s="26"/>
      <c r="R157" s="26"/>
      <c r="S157" s="38">
        <f t="shared" si="43"/>
        <v>1</v>
      </c>
      <c r="T157" s="53" t="str">
        <f t="shared" si="44"/>
        <v>Southbound</v>
      </c>
      <c r="U157" s="13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https://search-rtdc-monitor-bjffxe2xuh6vdkpspy63sjmuny.us-east-1.es.amazonaws.com/_plugin/kibana/#/discover/Steve-Slow-Train-Analysis-(2080s-and-2083s)?_g=(refreshInterval:(display:Off,section:0,value:0),time:(from:'2016-08-16 00:15:18-0600',mode:absolute,to:'2016-08-16 03:04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57" s="55" t="str">
        <f t="shared" si="46"/>
        <v>N</v>
      </c>
      <c r="X157" s="129">
        <f t="shared" si="47"/>
        <v>1</v>
      </c>
      <c r="Y157" s="70">
        <f t="shared" si="48"/>
        <v>23.298200000000001</v>
      </c>
      <c r="Z157" s="70">
        <f t="shared" si="49"/>
        <v>9.7000000000000003E-3</v>
      </c>
      <c r="AA157" s="70">
        <f t="shared" si="50"/>
        <v>23.288500000000003</v>
      </c>
      <c r="AB157" s="67" t="e">
        <f>VLOOKUP(A157,Enforcements!$C$7:$J$24,8,0)</f>
        <v>#N/A</v>
      </c>
      <c r="AC157" s="63" t="e">
        <f>VLOOKUP(A157,Enforcements!$C$7:$E$24,3,0)</f>
        <v>#N/A</v>
      </c>
      <c r="AD157" s="64" t="str">
        <f t="shared" si="51"/>
        <v>0244-15</v>
      </c>
      <c r="AE157" s="104" t="str">
        <f t="shared" si="52"/>
        <v>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 &amp; 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</v>
      </c>
      <c r="AF157" s="101" t="str">
        <f t="shared" si="53"/>
        <v>"C:\Program Files (x86)\AstroGrep\AstroGrep.exe" /spath="%USERPROFILE%\AppData\Local\Temp\OnboardLogs" /stypes="*4019*20160816*" /stext=" 08:.+((SYSTEM_STATE.+slice.+state.+changed )|(ment ac)|(system.+state.+changed )|(\|lc)|(penalty)|(\[timeout)|(PRM\|1\|D)|(kpr)|(kdp)|(\|loc))" /e /r /s</v>
      </c>
      <c r="AG157" s="1" t="str">
        <f t="shared" si="55"/>
        <v>EC</v>
      </c>
      <c r="AH157" s="105" t="str">
        <f t="shared" si="54"/>
        <v>"%USERPROFILE%\Documents\GitHub\eaglep3\Utilities\RefineRTDCRunTimes.py" --tripid 244-15 --locoid 4019 --swversion DE.1.0.7.0 --startMP 204:232982 --initTime 2016-08-16T01:15:18 --startdatetime 2016-08-16T01:16:39 --delay 1 --endMP 204:97 --enddatetime 2016-08-16T02:04:16 --enforcementcount 0</v>
      </c>
    </row>
    <row r="158" spans="1:34" x14ac:dyDescent="0.25">
      <c r="A158" s="40" t="s">
        <v>531</v>
      </c>
      <c r="B158" s="7">
        <v>4013</v>
      </c>
      <c r="C158" s="25" t="s">
        <v>119</v>
      </c>
      <c r="D158" s="25" t="s">
        <v>261</v>
      </c>
      <c r="E158" s="16">
        <v>42597.210370370369</v>
      </c>
      <c r="F158" s="16">
        <v>42597.211273148147</v>
      </c>
      <c r="G158" s="7">
        <v>1</v>
      </c>
      <c r="H158" s="16" t="s">
        <v>532</v>
      </c>
      <c r="I158" s="16">
        <v>42597.227071759262</v>
      </c>
      <c r="J158" s="7">
        <v>0</v>
      </c>
      <c r="K158" s="142" t="str">
        <f t="shared" si="40"/>
        <v>4013/4014</v>
      </c>
      <c r="L158" s="25" t="str">
        <f>VLOOKUP(A158,'Trips&amp;Operators'!$C$1:$E$10000,3,FALSE)</f>
        <v>DAVIS</v>
      </c>
      <c r="M158" s="6">
        <f t="shared" si="41"/>
        <v>1.5798611115314998E-2</v>
      </c>
      <c r="N158" s="7">
        <f t="shared" si="42"/>
        <v>22.750000006053597</v>
      </c>
      <c r="O158" s="7"/>
      <c r="P158" s="7"/>
      <c r="Q158" s="26"/>
      <c r="R158" s="26"/>
      <c r="S158" s="38">
        <f t="shared" si="43"/>
        <v>1</v>
      </c>
      <c r="T158" s="53" t="str">
        <f t="shared" si="44"/>
        <v>Southbound</v>
      </c>
      <c r="U158" s="13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04:02:56-0600',mode:absolute,to:'2016-08-15 06:26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58" s="55" t="str">
        <f t="shared" si="46"/>
        <v>N</v>
      </c>
      <c r="X158" s="129">
        <f t="shared" si="47"/>
        <v>556</v>
      </c>
      <c r="Y158" s="70">
        <f t="shared" si="48"/>
        <v>5.8620999999999999</v>
      </c>
      <c r="Z158" s="70">
        <f t="shared" si="49"/>
        <v>6.3799999999999996E-2</v>
      </c>
      <c r="AA158" s="70">
        <f t="shared" si="50"/>
        <v>5.7983000000000002</v>
      </c>
      <c r="AB158" s="67" t="e">
        <f>VLOOKUP(A158,Enforcements!$C$7:$J$24,8,0)</f>
        <v>#N/A</v>
      </c>
      <c r="AC158" s="63" t="e">
        <f>VLOOKUP(A158,Enforcements!$C$7:$E$24,3,0)</f>
        <v>#N/A</v>
      </c>
      <c r="AD158" s="64" t="str">
        <f t="shared" si="51"/>
        <v>0800-15</v>
      </c>
      <c r="AE158" s="104" t="str">
        <f t="shared" si="52"/>
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</c>
      <c r="AF158" s="101" t="str">
        <f t="shared" si="53"/>
        <v>"C:\Program Files (x86)\AstroGrep\AstroGrep.exe" /spath="%USERPROFILE%\AppData\Local\Temp\OnboardLogs" /stypes="*4013*20160815*" /stext=" 11:.+((SYSTEM_STATE.+slice.+state.+changed )|(ment ac)|(system.+state.+changed )|(\|lc)|(penalty)|(\[timeout)|(PRM\|1\|D)|(kpr)|(kdp)|(\|loc))" /e /r /s</v>
      </c>
      <c r="AG158" s="1" t="str">
        <f t="shared" si="55"/>
        <v>NW</v>
      </c>
      <c r="AH158" s="105" t="str">
        <f t="shared" si="54"/>
        <v>"%USERPROFILE%\Documents\GitHub\eaglep3\Utilities\RefineRTDCRunTimes.py" --tripid 800-15 --locoid 4013 --swversion DE.1.0.7.0 --startMP 300:58621 --initTime 2016-08-15T05:02:56 --startdatetime 2016-08-15T05:04:14 --delay 1 --endMP 204:638 --enddatetime 2016-08-15T05:26:59 --enforcementcount 0</v>
      </c>
    </row>
    <row r="159" spans="1:34" x14ac:dyDescent="0.25">
      <c r="A159" s="40" t="s">
        <v>533</v>
      </c>
      <c r="B159" s="7">
        <v>4014</v>
      </c>
      <c r="C159" s="25" t="s">
        <v>119</v>
      </c>
      <c r="D159" s="25" t="s">
        <v>534</v>
      </c>
      <c r="E159" s="16">
        <v>42597.236122685186</v>
      </c>
      <c r="F159" s="16">
        <v>42597.237233796295</v>
      </c>
      <c r="G159" s="7">
        <v>1</v>
      </c>
      <c r="H159" s="16" t="s">
        <v>299</v>
      </c>
      <c r="I159" s="16">
        <v>42597.254270833335</v>
      </c>
      <c r="J159" s="7">
        <v>0</v>
      </c>
      <c r="K159" s="142" t="str">
        <f t="shared" si="40"/>
        <v>4013/4014</v>
      </c>
      <c r="L159" s="25" t="str">
        <f>VLOOKUP(A159,'Trips&amp;Operators'!$C$1:$E$10000,3,FALSE)</f>
        <v>DAVIS</v>
      </c>
      <c r="M159" s="6">
        <f t="shared" si="41"/>
        <v>1.7037037039699499E-2</v>
      </c>
      <c r="N159" s="7">
        <f t="shared" si="42"/>
        <v>24.533333337167278</v>
      </c>
      <c r="O159" s="7"/>
      <c r="P159" s="7"/>
      <c r="Q159" s="26"/>
      <c r="R159" s="26"/>
      <c r="S159" s="38">
        <f t="shared" si="43"/>
        <v>1</v>
      </c>
      <c r="T159" s="53" t="str">
        <f t="shared" si="44"/>
        <v>NorthBound</v>
      </c>
      <c r="U159" s="13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04:40:01-0600',mode:absolute,to:'2016-08-15 07:06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59" s="55" t="str">
        <f t="shared" si="46"/>
        <v>N</v>
      </c>
      <c r="X159" s="129">
        <f t="shared" si="47"/>
        <v>1</v>
      </c>
      <c r="Y159" s="70">
        <f t="shared" si="48"/>
        <v>9.2700000000000005E-2</v>
      </c>
      <c r="Z159" s="70">
        <f t="shared" si="49"/>
        <v>5.8928000000000003</v>
      </c>
      <c r="AA159" s="70">
        <f t="shared" si="50"/>
        <v>5.8001000000000005</v>
      </c>
      <c r="AB159" s="67" t="e">
        <f>VLOOKUP(A159,Enforcements!$C$7:$J$24,8,0)</f>
        <v>#N/A</v>
      </c>
      <c r="AC159" s="63" t="e">
        <f>VLOOKUP(A159,Enforcements!$C$7:$E$24,3,0)</f>
        <v>#N/A</v>
      </c>
      <c r="AD159" s="64" t="str">
        <f t="shared" si="51"/>
        <v>0801-15</v>
      </c>
      <c r="AE159" s="104" t="str">
        <f t="shared" si="52"/>
        <v>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 &amp; 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</v>
      </c>
      <c r="AF159" s="101" t="str">
        <f t="shared" si="53"/>
        <v>"C:\Program Files (x86)\AstroGrep\AstroGrep.exe" /spath="%USERPROFILE%\AppData\Local\Temp\OnboardLogs" /stypes="*4014*20160815*" /stext=" 12:.+((SYSTEM_STATE.+slice.+state.+changed )|(ment ac)|(system.+state.+changed )|(\|lc)|(penalty)|(\[timeout)|(PRM\|1\|D)|(kpr)|(kdp)|(\|loc))" /e /r /s</v>
      </c>
      <c r="AG159" s="1" t="str">
        <f t="shared" si="55"/>
        <v>NW</v>
      </c>
      <c r="AH159" s="105" t="str">
        <f t="shared" si="54"/>
        <v>"%USERPROFILE%\Documents\GitHub\eaglep3\Utilities\RefineRTDCRunTimes.py" --tripid 801-15 --locoid 4014 --swversion DE.1.0.7.0 --startMP 204:927 --initTime 2016-08-15T05:40:01 --startdatetime 2016-08-15T05:41:37 --delay 1 --endMP 300:58928 --enddatetime 2016-08-15T06:06:09 --enforcementcount 0</v>
      </c>
    </row>
    <row r="160" spans="1:34" x14ac:dyDescent="0.25">
      <c r="A160" s="40" t="s">
        <v>535</v>
      </c>
      <c r="B160" s="7">
        <v>4013</v>
      </c>
      <c r="C160" s="25" t="s">
        <v>119</v>
      </c>
      <c r="D160" s="25" t="s">
        <v>164</v>
      </c>
      <c r="E160" s="16">
        <v>42597.255196759259</v>
      </c>
      <c r="F160" s="16">
        <v>42597.256180555552</v>
      </c>
      <c r="G160" s="7">
        <v>1</v>
      </c>
      <c r="H160" s="16" t="s">
        <v>536</v>
      </c>
      <c r="I160" s="16">
        <v>42597.267650462964</v>
      </c>
      <c r="J160" s="7">
        <v>0</v>
      </c>
      <c r="K160" s="142" t="str">
        <f t="shared" si="40"/>
        <v>4013/4014</v>
      </c>
      <c r="L160" s="25" t="str">
        <f>VLOOKUP(A160,'Trips&amp;Operators'!$C$1:$E$10000,3,FALSE)</f>
        <v>DAVIS</v>
      </c>
      <c r="M160" s="6">
        <f t="shared" si="41"/>
        <v>1.1469907411083113E-2</v>
      </c>
      <c r="N160" s="7">
        <f t="shared" si="42"/>
        <v>16.516666671959683</v>
      </c>
      <c r="O160" s="7"/>
      <c r="P160" s="7"/>
      <c r="Q160" s="26"/>
      <c r="R160" s="26"/>
      <c r="S160" s="38">
        <f t="shared" si="43"/>
        <v>1</v>
      </c>
      <c r="T160" s="53" t="str">
        <f t="shared" si="44"/>
        <v>Southbound</v>
      </c>
      <c r="U160" s="13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05:07:29-0600',mode:absolute,to:'2016-08-15 07:25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60" s="55" t="str">
        <f t="shared" si="46"/>
        <v>N</v>
      </c>
      <c r="X160" s="129">
        <f t="shared" si="47"/>
        <v>1</v>
      </c>
      <c r="Y160" s="70">
        <f t="shared" si="48"/>
        <v>5.8615000000000004</v>
      </c>
      <c r="Z160" s="70">
        <f t="shared" si="49"/>
        <v>6.54E-2</v>
      </c>
      <c r="AA160" s="70">
        <f t="shared" si="50"/>
        <v>5.7961</v>
      </c>
      <c r="AB160" s="67" t="e">
        <f>VLOOKUP(A160,Enforcements!$C$7:$J$24,8,0)</f>
        <v>#N/A</v>
      </c>
      <c r="AC160" s="63" t="e">
        <f>VLOOKUP(A160,Enforcements!$C$7:$E$24,3,0)</f>
        <v>#N/A</v>
      </c>
      <c r="AD160" s="64" t="str">
        <f t="shared" si="51"/>
        <v>0802-15</v>
      </c>
      <c r="AE160" s="104" t="str">
        <f t="shared" si="52"/>
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</c>
      <c r="AF160" s="101" t="str">
        <f t="shared" si="53"/>
        <v>"C:\Program Files (x86)\AstroGrep\AstroGrep.exe" /spath="%USERPROFILE%\AppData\Local\Temp\OnboardLogs" /stypes="*4013*20160815*" /stext=" 12:.+((SYSTEM_STATE.+slice.+state.+changed )|(ment ac)|(system.+state.+changed )|(\|lc)|(penalty)|(\[timeout)|(PRM\|1\|D)|(kpr)|(kdp)|(\|loc))" /e /r /s</v>
      </c>
      <c r="AG160" s="1" t="str">
        <f t="shared" si="55"/>
        <v>NW</v>
      </c>
      <c r="AH160" s="105" t="str">
        <f t="shared" si="54"/>
        <v>"%USERPROFILE%\Documents\GitHub\eaglep3\Utilities\RefineRTDCRunTimes.py" --tripid 802-15 --locoid 4013 --swversion DE.1.0.7.0 --startMP 300:58615 --initTime 2016-08-15T06:07:29 --startdatetime 2016-08-15T06:08:54 --delay 1 --endMP 204:654 --enddatetime 2016-08-15T06:25:25 --enforcementcount 0</v>
      </c>
    </row>
    <row r="161" spans="1:34" x14ac:dyDescent="0.25">
      <c r="A161" s="40" t="s">
        <v>537</v>
      </c>
      <c r="B161" s="7">
        <v>4016</v>
      </c>
      <c r="C161" s="25" t="s">
        <v>119</v>
      </c>
      <c r="D161" s="25" t="s">
        <v>316</v>
      </c>
      <c r="E161" s="16">
        <v>42597.265509259261</v>
      </c>
      <c r="F161" s="16">
        <v>42597.266400462962</v>
      </c>
      <c r="G161" s="7">
        <v>1</v>
      </c>
      <c r="H161" s="16" t="s">
        <v>538</v>
      </c>
      <c r="I161" s="16">
        <v>42597.280347222222</v>
      </c>
      <c r="J161" s="7">
        <v>0</v>
      </c>
      <c r="K161" s="142" t="str">
        <f t="shared" si="40"/>
        <v>4015/4016</v>
      </c>
      <c r="L161" s="25" t="str">
        <f>VLOOKUP(A161,'Trips&amp;Operators'!$C$1:$E$10000,3,FALSE)</f>
        <v>ROCHA</v>
      </c>
      <c r="M161" s="6">
        <f t="shared" si="41"/>
        <v>1.3946759259852115E-2</v>
      </c>
      <c r="N161" s="7">
        <f t="shared" si="42"/>
        <v>20.083333334187046</v>
      </c>
      <c r="O161" s="7"/>
      <c r="P161" s="7"/>
      <c r="Q161" s="26"/>
      <c r="R161" s="26"/>
      <c r="S161" s="38">
        <f t="shared" si="43"/>
        <v>1</v>
      </c>
      <c r="T161" s="53" t="str">
        <f t="shared" si="44"/>
        <v>NorthBound</v>
      </c>
      <c r="U161" s="13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05:22:20-0600',mode:absolute,to:'2016-08-15 07:43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61" s="55" t="str">
        <f t="shared" si="46"/>
        <v>N</v>
      </c>
      <c r="X161" s="129">
        <f t="shared" si="47"/>
        <v>1</v>
      </c>
      <c r="Y161" s="70">
        <f t="shared" si="48"/>
        <v>3.3399999999999999E-2</v>
      </c>
      <c r="Z161" s="70">
        <f t="shared" si="49"/>
        <v>5.8949999999999996</v>
      </c>
      <c r="AA161" s="70">
        <f t="shared" si="50"/>
        <v>5.8615999999999993</v>
      </c>
      <c r="AB161" s="67" t="e">
        <f>VLOOKUP(A161,Enforcements!$C$7:$J$24,8,0)</f>
        <v>#N/A</v>
      </c>
      <c r="AC161" s="63" t="e">
        <f>VLOOKUP(A161,Enforcements!$C$7:$E$24,3,0)</f>
        <v>#N/A</v>
      </c>
      <c r="AD161" s="64" t="str">
        <f t="shared" si="51"/>
        <v>0803-15</v>
      </c>
      <c r="AE161" s="104" t="str">
        <f t="shared" si="52"/>
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</c>
      <c r="AF161" s="101" t="str">
        <f t="shared" si="53"/>
        <v>"C:\Program Files (x86)\AstroGrep\AstroGrep.exe" /spath="%USERPROFILE%\AppData\Local\Temp\OnboardLogs" /stypes="*4016*20160815*" /stext=" 12:.+((SYSTEM_STATE.+slice.+state.+changed )|(ment ac)|(system.+state.+changed )|(\|lc)|(penalty)|(\[timeout)|(PRM\|1\|D)|(kpr)|(kdp)|(\|loc))" /e /r /s</v>
      </c>
      <c r="AG161" s="1" t="str">
        <f t="shared" si="55"/>
        <v>NW</v>
      </c>
      <c r="AH161" s="105" t="str">
        <f t="shared" si="54"/>
        <v>"%USERPROFILE%\Documents\GitHub\eaglep3\Utilities\RefineRTDCRunTimes.py" --tripid 803-15 --locoid 4016 --swversion DE.1.0.7.0 --startMP 204:334 --initTime 2016-08-15T06:22:20 --startdatetime 2016-08-15T06:23:37 --delay 1 --endMP 300:58950 --enddatetime 2016-08-15T06:43:42 --enforcementcount 0</v>
      </c>
    </row>
    <row r="162" spans="1:34" x14ac:dyDescent="0.25">
      <c r="A162" s="40" t="s">
        <v>539</v>
      </c>
      <c r="B162" s="7">
        <v>4015</v>
      </c>
      <c r="C162" s="25" t="s">
        <v>119</v>
      </c>
      <c r="D162" s="25" t="s">
        <v>260</v>
      </c>
      <c r="E162" s="16">
        <v>42597.281134259261</v>
      </c>
      <c r="F162" s="16">
        <v>42597.281967592593</v>
      </c>
      <c r="G162" s="7">
        <v>1</v>
      </c>
      <c r="H162" s="16" t="s">
        <v>295</v>
      </c>
      <c r="I162" s="16">
        <v>42597.291331018518</v>
      </c>
      <c r="J162" s="7">
        <v>0</v>
      </c>
      <c r="K162" s="142" t="str">
        <f t="shared" si="40"/>
        <v>4015/4016</v>
      </c>
      <c r="L162" s="25" t="str">
        <f>VLOOKUP(A162,'Trips&amp;Operators'!$C$1:$E$10000,3,FALSE)</f>
        <v>ROCHA</v>
      </c>
      <c r="M162" s="6">
        <f t="shared" si="41"/>
        <v>9.3634259246755391E-3</v>
      </c>
      <c r="N162" s="7">
        <f t="shared" si="42"/>
        <v>13.483333331532776</v>
      </c>
      <c r="O162" s="7"/>
      <c r="P162" s="7"/>
      <c r="Q162" s="26"/>
      <c r="R162" s="26"/>
      <c r="S162" s="38">
        <f t="shared" si="43"/>
        <v>1</v>
      </c>
      <c r="T162" s="53" t="str">
        <f t="shared" si="44"/>
        <v>Southbound</v>
      </c>
      <c r="U162" s="13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05:44:50-0600',mode:absolute,to:'2016-08-15 07:59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62" s="55" t="str">
        <f t="shared" si="46"/>
        <v>N</v>
      </c>
      <c r="X162" s="129">
        <f t="shared" si="47"/>
        <v>1</v>
      </c>
      <c r="Y162" s="70">
        <f t="shared" si="48"/>
        <v>5.8638000000000003</v>
      </c>
      <c r="Z162" s="70">
        <f t="shared" si="49"/>
        <v>6.6299999999999998E-2</v>
      </c>
      <c r="AA162" s="70">
        <f t="shared" si="50"/>
        <v>5.7975000000000003</v>
      </c>
      <c r="AB162" s="67" t="e">
        <f>VLOOKUP(A162,Enforcements!$C$7:$J$24,8,0)</f>
        <v>#N/A</v>
      </c>
      <c r="AC162" s="63" t="e">
        <f>VLOOKUP(A162,Enforcements!$C$7:$E$24,3,0)</f>
        <v>#N/A</v>
      </c>
      <c r="AD162" s="64" t="str">
        <f t="shared" si="51"/>
        <v>0804-15</v>
      </c>
      <c r="AE162" s="104" t="str">
        <f t="shared" si="52"/>
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</c>
      <c r="AF162" s="101" t="str">
        <f t="shared" si="53"/>
        <v>"C:\Program Files (x86)\AstroGrep\AstroGrep.exe" /spath="%USERPROFILE%\AppData\Local\Temp\OnboardLogs" /stypes="*4015*20160815*" /stext=" 12:.+((SYSTEM_STATE.+slice.+state.+changed )|(ment ac)|(system.+state.+changed )|(\|lc)|(penalty)|(\[timeout)|(PRM\|1\|D)|(kpr)|(kdp)|(\|loc))" /e /r /s</v>
      </c>
      <c r="AG162" s="1" t="str">
        <f t="shared" si="55"/>
        <v>NW</v>
      </c>
      <c r="AH162" s="105" t="str">
        <f t="shared" si="54"/>
        <v>"%USERPROFILE%\Documents\GitHub\eaglep3\Utilities\RefineRTDCRunTimes.py" --tripid 804-15 --locoid 4015 --swversion DE.1.0.7.0 --startMP 300:58638 --initTime 2016-08-15T06:44:50 --startdatetime 2016-08-15T06:46:02 --delay 1 --endMP 204:663 --enddatetime 2016-08-15T06:59:31 --enforcementcount 0</v>
      </c>
    </row>
    <row r="163" spans="1:34" x14ac:dyDescent="0.25">
      <c r="A163" s="40" t="s">
        <v>540</v>
      </c>
      <c r="B163" s="7">
        <v>4014</v>
      </c>
      <c r="C163" s="25" t="s">
        <v>119</v>
      </c>
      <c r="D163" s="25" t="s">
        <v>301</v>
      </c>
      <c r="E163" s="16">
        <v>42597.277881944443</v>
      </c>
      <c r="F163" s="16">
        <v>42597.278831018521</v>
      </c>
      <c r="G163" s="7">
        <v>1</v>
      </c>
      <c r="H163" s="16" t="s">
        <v>541</v>
      </c>
      <c r="I163" s="16">
        <v>42597.29650462963</v>
      </c>
      <c r="J163" s="7">
        <v>0</v>
      </c>
      <c r="K163" s="142" t="str">
        <f t="shared" si="40"/>
        <v>4013/4014</v>
      </c>
      <c r="L163" s="25" t="str">
        <f>VLOOKUP(A163,'Trips&amp;Operators'!$C$1:$E$10000,3,FALSE)</f>
        <v>DAVIS</v>
      </c>
      <c r="M163" s="6">
        <f t="shared" si="41"/>
        <v>1.767361110978527E-2</v>
      </c>
      <c r="N163" s="7">
        <f t="shared" si="42"/>
        <v>25.449999998090789</v>
      </c>
      <c r="O163" s="7"/>
      <c r="P163" s="7"/>
      <c r="Q163" s="26"/>
      <c r="R163" s="26"/>
      <c r="S163" s="38">
        <f t="shared" si="43"/>
        <v>1</v>
      </c>
      <c r="T163" s="53" t="str">
        <f t="shared" si="44"/>
        <v>NorthBound</v>
      </c>
      <c r="U163" s="13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05:40:09-0600',mode:absolute,to:'2016-08-15 08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63" s="55" t="str">
        <f t="shared" si="46"/>
        <v>N</v>
      </c>
      <c r="X163" s="129">
        <f t="shared" si="47"/>
        <v>1</v>
      </c>
      <c r="Y163" s="70">
        <f t="shared" si="48"/>
        <v>9.4600000000000004E-2</v>
      </c>
      <c r="Z163" s="70">
        <f t="shared" si="49"/>
        <v>5.8921999999999999</v>
      </c>
      <c r="AA163" s="70">
        <f t="shared" si="50"/>
        <v>5.7976000000000001</v>
      </c>
      <c r="AB163" s="67" t="e">
        <f>VLOOKUP(A163,Enforcements!$C$7:$J$24,8,0)</f>
        <v>#N/A</v>
      </c>
      <c r="AC163" s="63" t="e">
        <f>VLOOKUP(A163,Enforcements!$C$7:$E$24,3,0)</f>
        <v>#N/A</v>
      </c>
      <c r="AD163" s="64" t="str">
        <f t="shared" si="51"/>
        <v>0805-15</v>
      </c>
      <c r="AE163" s="104" t="str">
        <f t="shared" si="52"/>
        <v>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 &amp; 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</v>
      </c>
      <c r="AF163" s="101" t="str">
        <f t="shared" si="53"/>
        <v>"C:\Program Files (x86)\AstroGrep\AstroGrep.exe" /spath="%USERPROFILE%\AppData\Local\Temp\OnboardLogs" /stypes="*4014*20160815*" /stext=" 13:.+((SYSTEM_STATE.+slice.+state.+changed )|(ment ac)|(system.+state.+changed )|(\|lc)|(penalty)|(\[timeout)|(PRM\|1\|D)|(kpr)|(kdp)|(\|loc))" /e /r /s</v>
      </c>
      <c r="AG163" s="1" t="str">
        <f t="shared" si="55"/>
        <v>NW</v>
      </c>
      <c r="AH163" s="105" t="str">
        <f t="shared" si="54"/>
        <v>"%USERPROFILE%\Documents\GitHub\eaglep3\Utilities\RefineRTDCRunTimes.py" --tripid 805-15 --locoid 4014 --swversion DE.1.0.7.0 --startMP 204:946 --initTime 2016-08-15T06:40:09 --startdatetime 2016-08-15T06:41:31 --delay 1 --endMP 300:58922 --enddatetime 2016-08-15T07:06:58 --enforcementcount 0</v>
      </c>
    </row>
    <row r="164" spans="1:34" x14ac:dyDescent="0.25">
      <c r="A164" s="40" t="s">
        <v>542</v>
      </c>
      <c r="B164" s="7">
        <v>4013</v>
      </c>
      <c r="C164" s="25" t="s">
        <v>119</v>
      </c>
      <c r="D164" s="25" t="s">
        <v>543</v>
      </c>
      <c r="E164" s="16">
        <v>42597.2971875</v>
      </c>
      <c r="F164" s="16">
        <v>42597.298009259262</v>
      </c>
      <c r="G164" s="7">
        <v>1</v>
      </c>
      <c r="H164" s="16" t="s">
        <v>532</v>
      </c>
      <c r="I164" s="16">
        <v>42597.309641203705</v>
      </c>
      <c r="J164" s="7">
        <v>0</v>
      </c>
      <c r="K164" s="142" t="str">
        <f t="shared" si="40"/>
        <v>4013/4014</v>
      </c>
      <c r="L164" s="25" t="str">
        <f>VLOOKUP(A164,'Trips&amp;Operators'!$C$1:$E$10000,3,FALSE)</f>
        <v>DAVIS</v>
      </c>
      <c r="M164" s="6">
        <f t="shared" si="41"/>
        <v>1.1631944442342501E-2</v>
      </c>
      <c r="N164" s="7">
        <f t="shared" si="42"/>
        <v>16.749999996973202</v>
      </c>
      <c r="O164" s="7"/>
      <c r="P164" s="7"/>
      <c r="Q164" s="26"/>
      <c r="R164" s="26"/>
      <c r="S164" s="38">
        <f t="shared" si="43"/>
        <v>1</v>
      </c>
      <c r="T164" s="53" t="str">
        <f t="shared" si="44"/>
        <v>Southbound</v>
      </c>
      <c r="U164" s="13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06:07:57-0600',mode:absolute,to:'2016-08-15 08:25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64" s="55" t="str">
        <f t="shared" si="46"/>
        <v>N</v>
      </c>
      <c r="X164" s="129">
        <f t="shared" si="47"/>
        <v>1</v>
      </c>
      <c r="Y164" s="70">
        <f t="shared" si="48"/>
        <v>5.8605999999999998</v>
      </c>
      <c r="Z164" s="70">
        <f t="shared" si="49"/>
        <v>6.3799999999999996E-2</v>
      </c>
      <c r="AA164" s="70">
        <f t="shared" si="50"/>
        <v>5.7968000000000002</v>
      </c>
      <c r="AB164" s="67" t="e">
        <f>VLOOKUP(A164,Enforcements!$C$7:$J$24,8,0)</f>
        <v>#N/A</v>
      </c>
      <c r="AC164" s="63" t="e">
        <f>VLOOKUP(A164,Enforcements!$C$7:$E$24,3,0)</f>
        <v>#N/A</v>
      </c>
      <c r="AD164" s="64" t="str">
        <f t="shared" si="51"/>
        <v>0806-15</v>
      </c>
      <c r="AE164" s="104" t="str">
        <f t="shared" si="52"/>
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</c>
      <c r="AF164" s="101" t="str">
        <f t="shared" si="53"/>
        <v>"C:\Program Files (x86)\AstroGrep\AstroGrep.exe" /spath="%USERPROFILE%\AppData\Local\Temp\OnboardLogs" /stypes="*4013*20160815*" /stext=" 13:.+((SYSTEM_STATE.+slice.+state.+changed )|(ment ac)|(system.+state.+changed )|(\|lc)|(penalty)|(\[timeout)|(PRM\|1\|D)|(kpr)|(kdp)|(\|loc))" /e /r /s</v>
      </c>
      <c r="AG164" s="1" t="str">
        <f t="shared" si="55"/>
        <v>NW</v>
      </c>
      <c r="AH164" s="105" t="str">
        <f t="shared" si="54"/>
        <v>"%USERPROFILE%\Documents\GitHub\eaglep3\Utilities\RefineRTDCRunTimes.py" --tripid 806-15 --locoid 4013 --swversion DE.1.0.7.0 --startMP 300:58606 --initTime 2016-08-15T07:07:57 --startdatetime 2016-08-15T07:09:08 --delay 1 --endMP 204:638 --enddatetime 2016-08-15T07:25:53 --enforcementcount 0</v>
      </c>
    </row>
    <row r="165" spans="1:34" x14ac:dyDescent="0.25">
      <c r="A165" s="40" t="s">
        <v>544</v>
      </c>
      <c r="B165" s="7">
        <v>4016</v>
      </c>
      <c r="C165" s="25" t="s">
        <v>119</v>
      </c>
      <c r="D165" s="25" t="s">
        <v>545</v>
      </c>
      <c r="E165" s="16">
        <v>42597.292824074073</v>
      </c>
      <c r="F165" s="16">
        <v>42597.293564814812</v>
      </c>
      <c r="G165" s="7">
        <v>1</v>
      </c>
      <c r="H165" s="16" t="s">
        <v>546</v>
      </c>
      <c r="I165" s="16">
        <v>42597.315879629627</v>
      </c>
      <c r="J165" s="7">
        <v>0</v>
      </c>
      <c r="K165" s="142" t="str">
        <f t="shared" si="40"/>
        <v>4015/4016</v>
      </c>
      <c r="L165" s="25" t="str">
        <f>VLOOKUP(A165,'Trips&amp;Operators'!$C$1:$E$10000,3,FALSE)</f>
        <v>ROCHA</v>
      </c>
      <c r="M165" s="6">
        <f t="shared" si="41"/>
        <v>2.2314814814308193E-2</v>
      </c>
      <c r="N165" s="7">
        <f t="shared" si="42"/>
        <v>32.133333332603797</v>
      </c>
      <c r="O165" s="7"/>
      <c r="P165" s="7"/>
      <c r="Q165" s="26"/>
      <c r="R165" s="26"/>
      <c r="S165" s="38">
        <f t="shared" si="43"/>
        <v>1</v>
      </c>
      <c r="T165" s="53" t="str">
        <f t="shared" si="44"/>
        <v>NorthBound</v>
      </c>
      <c r="U165" s="13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06:01:40-0600',mode:absolute,to:'2016-08-15 08:34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65" s="55" t="str">
        <f t="shared" si="46"/>
        <v>N</v>
      </c>
      <c r="X165" s="129">
        <f t="shared" si="47"/>
        <v>1</v>
      </c>
      <c r="Y165" s="70">
        <f t="shared" si="48"/>
        <v>9.4299999999999995E-2</v>
      </c>
      <c r="Z165" s="70">
        <f t="shared" si="49"/>
        <v>5.8954000000000004</v>
      </c>
      <c r="AA165" s="70">
        <f t="shared" si="50"/>
        <v>5.8011000000000008</v>
      </c>
      <c r="AB165" s="67" t="e">
        <f>VLOOKUP(A165,Enforcements!$C$7:$J$24,8,0)</f>
        <v>#N/A</v>
      </c>
      <c r="AC165" s="63" t="e">
        <f>VLOOKUP(A165,Enforcements!$C$7:$E$24,3,0)</f>
        <v>#N/A</v>
      </c>
      <c r="AD165" s="64" t="str">
        <f t="shared" si="51"/>
        <v>0807-15</v>
      </c>
      <c r="AE165" s="104" t="str">
        <f t="shared" si="52"/>
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</c>
      <c r="AF165" s="101" t="str">
        <f t="shared" si="53"/>
        <v>"C:\Program Files (x86)\AstroGrep\AstroGrep.exe" /spath="%USERPROFILE%\AppData\Local\Temp\OnboardLogs" /stypes="*4016*20160815*" /stext=" 13:.+((SYSTEM_STATE.+slice.+state.+changed )|(ment ac)|(system.+state.+changed )|(\|lc)|(penalty)|(\[timeout)|(PRM\|1\|D)|(kpr)|(kdp)|(\|loc))" /e /r /s</v>
      </c>
      <c r="AG165" s="1" t="str">
        <f t="shared" si="55"/>
        <v>NW</v>
      </c>
      <c r="AH165" s="105" t="str">
        <f t="shared" si="54"/>
        <v>"%USERPROFILE%\Documents\GitHub\eaglep3\Utilities\RefineRTDCRunTimes.py" --tripid 807-15 --locoid 4016 --swversion DE.1.0.7.0 --startMP 204:943 --initTime 2016-08-15T07:01:40 --startdatetime 2016-08-15T07:02:44 --delay 1 --endMP 300:58954 --enddatetime 2016-08-15T07:34:52 --enforcementcount 0</v>
      </c>
    </row>
    <row r="166" spans="1:34" x14ac:dyDescent="0.25">
      <c r="A166" s="40" t="s">
        <v>547</v>
      </c>
      <c r="B166" s="7">
        <v>4015</v>
      </c>
      <c r="C166" s="25" t="s">
        <v>119</v>
      </c>
      <c r="D166" s="25" t="s">
        <v>548</v>
      </c>
      <c r="E166" s="16">
        <v>42597.316851851851</v>
      </c>
      <c r="F166" s="16">
        <v>42597.317523148151</v>
      </c>
      <c r="G166" s="7">
        <v>0</v>
      </c>
      <c r="H166" s="16" t="s">
        <v>549</v>
      </c>
      <c r="I166" s="16">
        <v>42597.343726851854</v>
      </c>
      <c r="J166" s="7">
        <v>0</v>
      </c>
      <c r="K166" s="142" t="str">
        <f t="shared" si="40"/>
        <v>4015/4016</v>
      </c>
      <c r="L166" s="25" t="str">
        <f>VLOOKUP(A166,'Trips&amp;Operators'!$C$1:$E$10000,3,FALSE)</f>
        <v>ROCHA</v>
      </c>
      <c r="M166" s="6">
        <f t="shared" si="41"/>
        <v>2.6203703702776693E-2</v>
      </c>
      <c r="N166" s="7">
        <f t="shared" si="42"/>
        <v>37.733333331998438</v>
      </c>
      <c r="O166" s="7"/>
      <c r="P166" s="7"/>
      <c r="Q166" s="26"/>
      <c r="R166" s="26"/>
      <c r="S166" s="38">
        <f t="shared" si="43"/>
        <v>1</v>
      </c>
      <c r="T166" s="53" t="str">
        <f t="shared" si="44"/>
        <v>Southbound</v>
      </c>
      <c r="U166" s="13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06:36:16-0600',mode:absolute,to:'2016-08-15 09:14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66" s="55" t="str">
        <f t="shared" si="46"/>
        <v>N</v>
      </c>
      <c r="X166" s="129">
        <f t="shared" si="47"/>
        <v>1</v>
      </c>
      <c r="Y166" s="70">
        <f t="shared" si="48"/>
        <v>5.8643000000000001</v>
      </c>
      <c r="Z166" s="70">
        <f t="shared" si="49"/>
        <v>6.4199999999999993E-2</v>
      </c>
      <c r="AA166" s="70">
        <f t="shared" si="50"/>
        <v>5.8001000000000005</v>
      </c>
      <c r="AB166" s="67" t="e">
        <f>VLOOKUP(A166,Enforcements!$C$7:$J$24,8,0)</f>
        <v>#N/A</v>
      </c>
      <c r="AC166" s="63" t="e">
        <f>VLOOKUP(A166,Enforcements!$C$7:$E$24,3,0)</f>
        <v>#N/A</v>
      </c>
      <c r="AD166" s="64" t="str">
        <f t="shared" si="51"/>
        <v>0808-15</v>
      </c>
      <c r="AE166" s="104" t="str">
        <f t="shared" si="52"/>
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</c>
      <c r="AF166" s="101" t="str">
        <f t="shared" si="53"/>
        <v>"C:\Program Files (x86)\AstroGrep\AstroGrep.exe" /spath="%USERPROFILE%\AppData\Local\Temp\OnboardLogs" /stypes="*4015*20160815*" /stext=" 14:.+((SYSTEM_STATE.+slice.+state.+changed )|(ment ac)|(system.+state.+changed )|(\|lc)|(penalty)|(\[timeout)|(PRM\|1\|D)|(kpr)|(kdp)|(\|loc))" /e /r /s</v>
      </c>
      <c r="AG166" s="1" t="str">
        <f t="shared" si="55"/>
        <v>NW</v>
      </c>
      <c r="AH166" s="105" t="str">
        <f t="shared" si="54"/>
        <v>"%USERPROFILE%\Documents\GitHub\eaglep3\Utilities\RefineRTDCRunTimes.py" --tripid 808-15 --locoid 4015 --swversion DE.1.0.7.0 --startMP 300:58643 --initTime 2016-08-15T07:36:16 --startdatetime 2016-08-15T07:37:14 --delay 0 --endMP 204:642 --enddatetime 2016-08-15T08:14:58 --enforcementcount 0</v>
      </c>
    </row>
    <row r="167" spans="1:34" x14ac:dyDescent="0.25">
      <c r="A167" s="40" t="s">
        <v>550</v>
      </c>
      <c r="B167" s="7">
        <v>4014</v>
      </c>
      <c r="C167" s="25" t="s">
        <v>119</v>
      </c>
      <c r="D167" s="25" t="s">
        <v>551</v>
      </c>
      <c r="E167" s="16">
        <v>42597.324224537035</v>
      </c>
      <c r="F167" s="16">
        <v>42597.325115740743</v>
      </c>
      <c r="G167" s="7">
        <v>1</v>
      </c>
      <c r="H167" s="16" t="s">
        <v>552</v>
      </c>
      <c r="I167" s="16">
        <v>42597.337060185186</v>
      </c>
      <c r="J167" s="7">
        <v>0</v>
      </c>
      <c r="K167" s="142" t="str">
        <f t="shared" si="40"/>
        <v>4013/4014</v>
      </c>
      <c r="L167" s="25" t="str">
        <f>VLOOKUP(A167,'Trips&amp;Operators'!$C$1:$E$10000,3,FALSE)</f>
        <v>DAVIS</v>
      </c>
      <c r="M167" s="6">
        <f t="shared" si="41"/>
        <v>1.1944444442633539E-2</v>
      </c>
      <c r="N167" s="7">
        <f t="shared" si="42"/>
        <v>17.199999997392297</v>
      </c>
      <c r="O167" s="7"/>
      <c r="P167" s="7"/>
      <c r="Q167" s="26"/>
      <c r="R167" s="26"/>
      <c r="S167" s="38">
        <f t="shared" si="43"/>
        <v>1</v>
      </c>
      <c r="T167" s="53" t="str">
        <f t="shared" si="44"/>
        <v>NorthBound</v>
      </c>
      <c r="U167" s="13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06:46:53-0600',mode:absolute,to:'2016-08-15 09:05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67" s="55" t="str">
        <f t="shared" si="46"/>
        <v>N</v>
      </c>
      <c r="X167" s="129">
        <f t="shared" si="47"/>
        <v>1</v>
      </c>
      <c r="Y167" s="70">
        <f t="shared" si="48"/>
        <v>9.2999999999999999E-2</v>
      </c>
      <c r="Z167" s="70">
        <f t="shared" si="49"/>
        <v>5.8930999999999996</v>
      </c>
      <c r="AA167" s="70">
        <f t="shared" si="50"/>
        <v>5.8000999999999996</v>
      </c>
      <c r="AB167" s="67" t="e">
        <f>VLOOKUP(A167,Enforcements!$C$7:$J$24,8,0)</f>
        <v>#N/A</v>
      </c>
      <c r="AC167" s="63" t="e">
        <f>VLOOKUP(A167,Enforcements!$C$7:$E$24,3,0)</f>
        <v>#N/A</v>
      </c>
      <c r="AD167" s="64" t="str">
        <f t="shared" si="51"/>
        <v>0809-15</v>
      </c>
      <c r="AE167" s="104" t="str">
        <f t="shared" si="52"/>
        <v>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 &amp; 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</v>
      </c>
      <c r="AF167" s="101" t="str">
        <f t="shared" si="53"/>
        <v>"C:\Program Files (x86)\AstroGrep\AstroGrep.exe" /spath="%USERPROFILE%\AppData\Local\Temp\OnboardLogs" /stypes="*4014*20160815*" /stext=" 14:.+((SYSTEM_STATE.+slice.+state.+changed )|(ment ac)|(system.+state.+changed )|(\|lc)|(penalty)|(\[timeout)|(PRM\|1\|D)|(kpr)|(kdp)|(\|loc))" /e /r /s</v>
      </c>
      <c r="AG167" s="1" t="str">
        <f t="shared" si="55"/>
        <v>NW</v>
      </c>
      <c r="AH167" s="105" t="str">
        <f t="shared" si="54"/>
        <v>"%USERPROFILE%\Documents\GitHub\eaglep3\Utilities\RefineRTDCRunTimes.py" --tripid 809-15 --locoid 4014 --swversion DE.1.0.7.0 --startMP 204:930 --initTime 2016-08-15T07:46:53 --startdatetime 2016-08-15T07:48:10 --delay 1 --endMP 300:58931 --enddatetime 2016-08-15T08:05:22 --enforcementcount 0</v>
      </c>
    </row>
    <row r="168" spans="1:34" x14ac:dyDescent="0.25">
      <c r="A168" s="40" t="s">
        <v>553</v>
      </c>
      <c r="B168" s="7">
        <v>4013</v>
      </c>
      <c r="C168" s="25" t="s">
        <v>119</v>
      </c>
      <c r="D168" s="25" t="s">
        <v>554</v>
      </c>
      <c r="E168" s="16">
        <v>42597.337777777779</v>
      </c>
      <c r="F168" s="16">
        <v>42597.338541666664</v>
      </c>
      <c r="G168" s="7">
        <v>1</v>
      </c>
      <c r="H168" s="16" t="s">
        <v>303</v>
      </c>
      <c r="I168" s="16">
        <v>42597.351168981484</v>
      </c>
      <c r="J168" s="7">
        <v>0</v>
      </c>
      <c r="K168" s="142" t="str">
        <f t="shared" si="40"/>
        <v>4013/4014</v>
      </c>
      <c r="L168" s="25" t="str">
        <f>VLOOKUP(A168,'Trips&amp;Operators'!$C$1:$E$10000,3,FALSE)</f>
        <v>DAVIS</v>
      </c>
      <c r="M168" s="6">
        <f t="shared" si="41"/>
        <v>1.262731481983792E-2</v>
      </c>
      <c r="N168" s="7">
        <f t="shared" si="42"/>
        <v>18.183333340566605</v>
      </c>
      <c r="O168" s="7"/>
      <c r="P168" s="7"/>
      <c r="Q168" s="26"/>
      <c r="R168" s="26"/>
      <c r="S168" s="38">
        <f t="shared" si="43"/>
        <v>1</v>
      </c>
      <c r="T168" s="53" t="str">
        <f t="shared" si="44"/>
        <v>Southbound</v>
      </c>
      <c r="U168" s="13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07:06:24-0600',mode:absolute,to:'2016-08-15 09:25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68" s="55" t="str">
        <f t="shared" si="46"/>
        <v>N</v>
      </c>
      <c r="X168" s="129">
        <f t="shared" si="47"/>
        <v>1</v>
      </c>
      <c r="Y168" s="70">
        <f t="shared" si="48"/>
        <v>5.8608000000000002</v>
      </c>
      <c r="Z168" s="70">
        <f t="shared" si="49"/>
        <v>8.1000000000000003E-2</v>
      </c>
      <c r="AA168" s="70">
        <f t="shared" si="50"/>
        <v>5.7797999999999998</v>
      </c>
      <c r="AB168" s="67" t="e">
        <f>VLOOKUP(A168,Enforcements!$C$7:$J$24,8,0)</f>
        <v>#N/A</v>
      </c>
      <c r="AC168" s="63" t="e">
        <f>VLOOKUP(A168,Enforcements!$C$7:$E$24,3,0)</f>
        <v>#N/A</v>
      </c>
      <c r="AD168" s="64" t="str">
        <f t="shared" si="51"/>
        <v>0810-15</v>
      </c>
      <c r="AE168" s="104" t="str">
        <f t="shared" si="52"/>
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</c>
      <c r="AF168" s="101" t="str">
        <f t="shared" si="53"/>
        <v>"C:\Program Files (x86)\AstroGrep\AstroGrep.exe" /spath="%USERPROFILE%\AppData\Local\Temp\OnboardLogs" /stypes="*4013*20160815*" /stext=" 14:.+((SYSTEM_STATE.+slice.+state.+changed )|(ment ac)|(system.+state.+changed )|(\|lc)|(penalty)|(\[timeout)|(PRM\|1\|D)|(kpr)|(kdp)|(\|loc))" /e /r /s</v>
      </c>
      <c r="AG168" s="1" t="str">
        <f t="shared" si="55"/>
        <v>NW</v>
      </c>
      <c r="AH168" s="105" t="str">
        <f t="shared" si="54"/>
        <v>"%USERPROFILE%\Documents\GitHub\eaglep3\Utilities\RefineRTDCRunTimes.py" --tripid 810-15 --locoid 4013 --swversion DE.1.0.7.0 --startMP 300:58608 --initTime 2016-08-15T08:06:24 --startdatetime 2016-08-15T08:07:30 --delay 1 --endMP 204:810 --enddatetime 2016-08-15T08:25:41 --enforcementcount 0</v>
      </c>
    </row>
    <row r="169" spans="1:34" x14ac:dyDescent="0.25">
      <c r="A169" s="40" t="s">
        <v>555</v>
      </c>
      <c r="B169" s="7">
        <v>4016</v>
      </c>
      <c r="C169" s="25" t="s">
        <v>119</v>
      </c>
      <c r="D169" s="25" t="s">
        <v>556</v>
      </c>
      <c r="E169" s="16">
        <v>42597.331782407404</v>
      </c>
      <c r="F169" s="16">
        <v>42597.332604166666</v>
      </c>
      <c r="G169" s="7">
        <v>1</v>
      </c>
      <c r="H169" s="16" t="s">
        <v>557</v>
      </c>
      <c r="I169" s="16">
        <v>42597.357569444444</v>
      </c>
      <c r="J169" s="7">
        <v>0</v>
      </c>
      <c r="K169" s="142" t="str">
        <f t="shared" si="40"/>
        <v>4015/4016</v>
      </c>
      <c r="L169" s="25" t="str">
        <f>VLOOKUP(A169,'Trips&amp;Operators'!$C$1:$E$10000,3,FALSE)</f>
        <v>ROCHA</v>
      </c>
      <c r="M169" s="6">
        <f t="shared" si="41"/>
        <v>2.4965277778392192E-2</v>
      </c>
      <c r="N169" s="7">
        <f t="shared" si="42"/>
        <v>35.950000000884756</v>
      </c>
      <c r="O169" s="7"/>
      <c r="P169" s="7"/>
      <c r="Q169" s="26"/>
      <c r="R169" s="26"/>
      <c r="S169" s="38">
        <f t="shared" si="43"/>
        <v>1</v>
      </c>
      <c r="T169" s="53" t="str">
        <f t="shared" si="44"/>
        <v>NorthBound</v>
      </c>
      <c r="U169" s="13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06:57:46-0600',mode:absolute,to:'2016-08-15 09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69" s="55" t="str">
        <f t="shared" si="46"/>
        <v>N</v>
      </c>
      <c r="X169" s="129">
        <f t="shared" si="47"/>
        <v>1</v>
      </c>
      <c r="Y169" s="70">
        <f t="shared" si="48"/>
        <v>9.4100000000000003E-2</v>
      </c>
      <c r="Z169" s="70">
        <f t="shared" si="49"/>
        <v>5.8837000000000002</v>
      </c>
      <c r="AA169" s="70">
        <f t="shared" si="50"/>
        <v>5.7896000000000001</v>
      </c>
      <c r="AB169" s="67" t="e">
        <f>VLOOKUP(A169,Enforcements!$C$7:$J$24,8,0)</f>
        <v>#N/A</v>
      </c>
      <c r="AC169" s="63" t="e">
        <f>VLOOKUP(A169,Enforcements!$C$7:$E$24,3,0)</f>
        <v>#N/A</v>
      </c>
      <c r="AD169" s="64" t="str">
        <f t="shared" si="51"/>
        <v>0811-15</v>
      </c>
      <c r="AE169" s="104" t="str">
        <f t="shared" si="52"/>
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</c>
      <c r="AF169" s="101" t="str">
        <f t="shared" si="53"/>
        <v>"C:\Program Files (x86)\AstroGrep\AstroGrep.exe" /spath="%USERPROFILE%\AppData\Local\Temp\OnboardLogs" /stypes="*4016*20160815*" /stext=" 14:.+((SYSTEM_STATE.+slice.+state.+changed )|(ment ac)|(system.+state.+changed )|(\|lc)|(penalty)|(\[timeout)|(PRM\|1\|D)|(kpr)|(kdp)|(\|loc))" /e /r /s</v>
      </c>
      <c r="AG169" s="1" t="str">
        <f t="shared" si="55"/>
        <v>NW</v>
      </c>
      <c r="AH169" s="105" t="str">
        <f t="shared" si="54"/>
        <v>"%USERPROFILE%\Documents\GitHub\eaglep3\Utilities\RefineRTDCRunTimes.py" --tripid 811-15 --locoid 4016 --swversion DE.1.0.7.0 --startMP 204:941 --initTime 2016-08-15T07:57:46 --startdatetime 2016-08-15T07:58:57 --delay 1 --endMP 300:58837 --enddatetime 2016-08-15T08:34:54 --enforcementcount 0</v>
      </c>
    </row>
    <row r="170" spans="1:34" x14ac:dyDescent="0.25">
      <c r="A170" s="40" t="s">
        <v>558</v>
      </c>
      <c r="B170" s="7">
        <v>4015</v>
      </c>
      <c r="C170" s="25" t="s">
        <v>119</v>
      </c>
      <c r="D170" s="25" t="s">
        <v>559</v>
      </c>
      <c r="E170" s="16">
        <v>42597.358530092592</v>
      </c>
      <c r="F170" s="16">
        <v>42597.359340277777</v>
      </c>
      <c r="G170" s="7">
        <v>1</v>
      </c>
      <c r="H170" s="16" t="s">
        <v>549</v>
      </c>
      <c r="I170" s="16">
        <v>42597.373263888891</v>
      </c>
      <c r="J170" s="7">
        <v>0</v>
      </c>
      <c r="K170" s="142" t="str">
        <f t="shared" si="40"/>
        <v>4015/4016</v>
      </c>
      <c r="L170" s="25" t="str">
        <f>VLOOKUP(A170,'Trips&amp;Operators'!$C$1:$E$10000,3,FALSE)</f>
        <v>ROCHA</v>
      </c>
      <c r="M170" s="6">
        <f t="shared" si="41"/>
        <v>1.3923611113568768E-2</v>
      </c>
      <c r="N170" s="7">
        <f t="shared" si="42"/>
        <v>20.050000003539026</v>
      </c>
      <c r="O170" s="7"/>
      <c r="P170" s="7"/>
      <c r="Q170" s="26"/>
      <c r="R170" s="26"/>
      <c r="S170" s="38">
        <f t="shared" si="43"/>
        <v>1</v>
      </c>
      <c r="T170" s="53" t="str">
        <f t="shared" si="44"/>
        <v>Southbound</v>
      </c>
      <c r="U170" s="13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07:36:17-0600',mode:absolute,to:'2016-08-15 09:57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70" s="55" t="str">
        <f t="shared" si="46"/>
        <v>N</v>
      </c>
      <c r="X170" s="129">
        <f t="shared" si="47"/>
        <v>1</v>
      </c>
      <c r="Y170" s="70">
        <f t="shared" si="48"/>
        <v>5.8517000000000001</v>
      </c>
      <c r="Z170" s="70">
        <f t="shared" si="49"/>
        <v>6.4199999999999993E-2</v>
      </c>
      <c r="AA170" s="70">
        <f t="shared" si="50"/>
        <v>5.7875000000000005</v>
      </c>
      <c r="AB170" s="67" t="e">
        <f>VLOOKUP(A170,Enforcements!$C$7:$J$24,8,0)</f>
        <v>#N/A</v>
      </c>
      <c r="AC170" s="63" t="e">
        <f>VLOOKUP(A170,Enforcements!$C$7:$E$24,3,0)</f>
        <v>#N/A</v>
      </c>
      <c r="AD170" s="64" t="str">
        <f t="shared" si="51"/>
        <v>0812-15</v>
      </c>
      <c r="AE170" s="104" t="str">
        <f t="shared" si="52"/>
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</c>
      <c r="AF170" s="101" t="str">
        <f t="shared" si="53"/>
        <v>"C:\Program Files (x86)\AstroGrep\AstroGrep.exe" /spath="%USERPROFILE%\AppData\Local\Temp\OnboardLogs" /stypes="*4015*20160815*" /stext=" 14:.+((SYSTEM_STATE.+slice.+state.+changed )|(ment ac)|(system.+state.+changed )|(\|lc)|(penalty)|(\[timeout)|(PRM\|1\|D)|(kpr)|(kdp)|(\|loc))" /e /r /s</v>
      </c>
      <c r="AG170" s="1" t="str">
        <f t="shared" si="55"/>
        <v>NW</v>
      </c>
      <c r="AH170" s="105" t="str">
        <f t="shared" si="54"/>
        <v>"%USERPROFILE%\Documents\GitHub\eaglep3\Utilities\RefineRTDCRunTimes.py" --tripid 812-15 --locoid 4015 --swversion DE.1.0.7.0 --startMP 300:58517 --initTime 2016-08-15T08:36:17 --startdatetime 2016-08-15T08:37:27 --delay 1 --endMP 204:642 --enddatetime 2016-08-15T08:57:30 --enforcementcount 0</v>
      </c>
    </row>
    <row r="171" spans="1:34" x14ac:dyDescent="0.25">
      <c r="A171" s="40" t="s">
        <v>560</v>
      </c>
      <c r="B171" s="7">
        <v>4016</v>
      </c>
      <c r="C171" s="25" t="s">
        <v>119</v>
      </c>
      <c r="D171" s="25" t="s">
        <v>561</v>
      </c>
      <c r="E171" s="16">
        <v>42597.374907407408</v>
      </c>
      <c r="F171" s="16">
        <v>42597.375787037039</v>
      </c>
      <c r="G171" s="7">
        <v>1</v>
      </c>
      <c r="H171" s="16" t="s">
        <v>562</v>
      </c>
      <c r="I171" s="16">
        <v>42597.391076388885</v>
      </c>
      <c r="J171" s="7">
        <v>0</v>
      </c>
      <c r="K171" s="142" t="str">
        <f t="shared" si="40"/>
        <v>4015/4016</v>
      </c>
      <c r="L171" s="25" t="str">
        <f>VLOOKUP(A171,'Trips&amp;Operators'!$C$1:$E$10000,3,FALSE)</f>
        <v>ROCHA</v>
      </c>
      <c r="M171" s="6">
        <f t="shared" si="41"/>
        <v>1.5289351846149657E-2</v>
      </c>
      <c r="N171" s="7"/>
      <c r="O171" s="7"/>
      <c r="P171" s="7">
        <f t="shared" si="42"/>
        <v>22.016666658455506</v>
      </c>
      <c r="Q171" s="26"/>
      <c r="R171" s="26" t="s">
        <v>663</v>
      </c>
      <c r="S171" s="38">
        <f t="shared" si="43"/>
        <v>0</v>
      </c>
      <c r="T171" s="53" t="str">
        <f t="shared" si="44"/>
        <v>NorthBound</v>
      </c>
      <c r="U171" s="13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0</v>
      </c>
      <c r="V171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07:59:52-0600',mode:absolute,to:'2016-08-15 10:23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71" s="55" t="str">
        <f t="shared" si="46"/>
        <v>Y</v>
      </c>
      <c r="X171" s="129">
        <f t="shared" si="47"/>
        <v>1</v>
      </c>
      <c r="Y171" s="70">
        <f t="shared" si="48"/>
        <v>9.3200000000000005E-2</v>
      </c>
      <c r="Z171" s="70">
        <f t="shared" si="49"/>
        <v>0.27939999999999998</v>
      </c>
      <c r="AA171" s="70">
        <f t="shared" si="50"/>
        <v>0.18619999999999998</v>
      </c>
      <c r="AB171" s="67" t="e">
        <f>VLOOKUP(A171,Enforcements!$C$7:$J$24,8,0)</f>
        <v>#N/A</v>
      </c>
      <c r="AC171" s="63" t="e">
        <f>VLOOKUP(A171,Enforcements!$C$7:$E$24,3,0)</f>
        <v>#N/A</v>
      </c>
      <c r="AD171" s="64" t="str">
        <f t="shared" si="51"/>
        <v>0813-15</v>
      </c>
      <c r="AE171" s="104" t="str">
        <f t="shared" si="52"/>
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</c>
      <c r="AF171" s="101" t="str">
        <f t="shared" si="53"/>
        <v>"C:\Program Files (x86)\AstroGrep\AstroGrep.exe" /spath="%USERPROFILE%\AppData\Local\Temp\OnboardLogs" /stypes="*4016*20160815*" /stext=" 15:.+((SYSTEM_STATE.+slice.+state.+changed )|(ment ac)|(system.+state.+changed )|(\|lc)|(penalty)|(\[timeout)|(PRM\|1\|D)|(kpr)|(kdp)|(\|loc))" /e /r /s</v>
      </c>
      <c r="AG171" s="1" t="str">
        <f t="shared" si="55"/>
        <v>NW</v>
      </c>
      <c r="AH171" s="105" t="str">
        <f t="shared" si="54"/>
        <v>"%USERPROFILE%\Documents\GitHub\eaglep3\Utilities\RefineRTDCRunTimes.py" --tripid 813-15 --locoid 4016 --swversion DE.1.0.7.0 --startMP 204:932 --initTime 2016-08-15T08:59:52 --startdatetime 2016-08-15T09:01:08 --delay 1 --endMP 204:2794 --enddatetime 2016-08-15T09:23:09 --enforcementcount 0</v>
      </c>
    </row>
    <row r="172" spans="1:34" x14ac:dyDescent="0.25">
      <c r="A172" s="40" t="s">
        <v>563</v>
      </c>
      <c r="B172" s="7">
        <v>4015</v>
      </c>
      <c r="C172" s="25" t="s">
        <v>119</v>
      </c>
      <c r="D172" s="25" t="s">
        <v>564</v>
      </c>
      <c r="E172" s="16">
        <v>42597.403263888889</v>
      </c>
      <c r="F172" s="16">
        <v>42597.403865740744</v>
      </c>
      <c r="G172" s="7">
        <v>0</v>
      </c>
      <c r="H172" s="16" t="s">
        <v>304</v>
      </c>
      <c r="I172" s="16">
        <v>42597.413541666669</v>
      </c>
      <c r="J172" s="7">
        <v>0</v>
      </c>
      <c r="K172" s="142" t="str">
        <f t="shared" si="40"/>
        <v>4015/4016</v>
      </c>
      <c r="L172" s="25" t="str">
        <f>VLOOKUP(A172,'Trips&amp;Operators'!$C$1:$E$10000,3,FALSE)</f>
        <v>ROCHA</v>
      </c>
      <c r="M172" s="6">
        <f t="shared" si="41"/>
        <v>9.6759259249665774E-3</v>
      </c>
      <c r="N172" s="7">
        <f t="shared" si="42"/>
        <v>13.933333331951872</v>
      </c>
      <c r="O172" s="7"/>
      <c r="P172" s="7"/>
      <c r="Q172" s="26"/>
      <c r="R172" s="26"/>
      <c r="S172" s="38">
        <f t="shared" si="43"/>
        <v>1</v>
      </c>
      <c r="T172" s="53" t="str">
        <f t="shared" si="44"/>
        <v>Southbound</v>
      </c>
      <c r="U172" s="13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08:40:42-0600',mode:absolute,to:'2016-08-15 10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72" s="55" t="str">
        <f t="shared" si="46"/>
        <v>N</v>
      </c>
      <c r="X172" s="129">
        <f t="shared" si="47"/>
        <v>1</v>
      </c>
      <c r="Y172" s="70">
        <f t="shared" si="48"/>
        <v>5.8726000000000003</v>
      </c>
      <c r="Z172" s="70">
        <f t="shared" si="49"/>
        <v>6.6600000000000006E-2</v>
      </c>
      <c r="AA172" s="70">
        <f t="shared" si="50"/>
        <v>5.806</v>
      </c>
      <c r="AB172" s="67" t="e">
        <f>VLOOKUP(A172,Enforcements!$C$7:$J$24,8,0)</f>
        <v>#N/A</v>
      </c>
      <c r="AC172" s="63" t="e">
        <f>VLOOKUP(A172,Enforcements!$C$7:$E$24,3,0)</f>
        <v>#N/A</v>
      </c>
      <c r="AD172" s="64" t="str">
        <f t="shared" si="51"/>
        <v>0814-15</v>
      </c>
      <c r="AE172" s="104" t="str">
        <f t="shared" si="52"/>
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</c>
      <c r="AF172" s="101" t="str">
        <f t="shared" si="53"/>
        <v>"C:\Program Files (x86)\AstroGrep\AstroGrep.exe" /spath="%USERPROFILE%\AppData\Local\Temp\OnboardLogs" /stypes="*4015*20160815*" /stext=" 15:.+((SYSTEM_STATE.+slice.+state.+changed )|(ment ac)|(system.+state.+changed )|(\|lc)|(penalty)|(\[timeout)|(PRM\|1\|D)|(kpr)|(kdp)|(\|loc))" /e /r /s</v>
      </c>
      <c r="AG172" s="1" t="str">
        <f t="shared" si="55"/>
        <v>NW</v>
      </c>
      <c r="AH172" s="105" t="str">
        <f t="shared" si="54"/>
        <v>"%USERPROFILE%\Documents\GitHub\eaglep3\Utilities\RefineRTDCRunTimes.py" --tripid 814-15 --locoid 4015 --swversion DE.1.0.7.0 --startMP 300:58726 --initTime 2016-08-15T09:40:42 --startdatetime 2016-08-15T09:41:34 --delay 0 --endMP 204:666 --enddatetime 2016-08-15T09:55:30 --enforcementcount 0</v>
      </c>
    </row>
    <row r="173" spans="1:34" x14ac:dyDescent="0.25">
      <c r="A173" s="40" t="s">
        <v>565</v>
      </c>
      <c r="B173" s="7">
        <v>4016</v>
      </c>
      <c r="C173" s="25" t="s">
        <v>119</v>
      </c>
      <c r="D173" s="25" t="s">
        <v>566</v>
      </c>
      <c r="E173" s="16">
        <v>42597.415578703702</v>
      </c>
      <c r="F173" s="16">
        <v>42597.416458333333</v>
      </c>
      <c r="G173" s="7">
        <v>1</v>
      </c>
      <c r="H173" s="16" t="s">
        <v>567</v>
      </c>
      <c r="I173" s="16">
        <v>42597.441458333335</v>
      </c>
      <c r="J173" s="7">
        <v>0</v>
      </c>
      <c r="K173" s="142" t="str">
        <f t="shared" si="40"/>
        <v>4015/4016</v>
      </c>
      <c r="L173" s="25" t="str">
        <f>VLOOKUP(A173,'Trips&amp;Operators'!$C$1:$E$10000,3,FALSE)</f>
        <v>ROCHA</v>
      </c>
      <c r="M173" s="6">
        <f t="shared" si="41"/>
        <v>2.5000000001455192E-2</v>
      </c>
      <c r="N173" s="7">
        <f t="shared" si="42"/>
        <v>36.000000002095476</v>
      </c>
      <c r="O173" s="7"/>
      <c r="P173" s="7"/>
      <c r="Q173" s="26"/>
      <c r="R173" s="26"/>
      <c r="S173" s="38">
        <f t="shared" si="43"/>
        <v>1</v>
      </c>
      <c r="T173" s="53" t="str">
        <f t="shared" si="44"/>
        <v>NorthBound</v>
      </c>
      <c r="U173" s="13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08:58:26-0600',mode:absolute,to:'2016-08-15 11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73" s="55" t="str">
        <f t="shared" si="46"/>
        <v>N</v>
      </c>
      <c r="X173" s="129">
        <f t="shared" si="47"/>
        <v>1</v>
      </c>
      <c r="Y173" s="70">
        <f t="shared" si="48"/>
        <v>9.5500000000000002E-2</v>
      </c>
      <c r="Z173" s="70">
        <f t="shared" si="49"/>
        <v>5.8997000000000002</v>
      </c>
      <c r="AA173" s="70">
        <f t="shared" si="50"/>
        <v>5.8041999999999998</v>
      </c>
      <c r="AB173" s="67" t="e">
        <f>VLOOKUP(A173,Enforcements!$C$7:$J$24,8,0)</f>
        <v>#N/A</v>
      </c>
      <c r="AC173" s="63" t="e">
        <f>VLOOKUP(A173,Enforcements!$C$7:$E$24,3,0)</f>
        <v>#N/A</v>
      </c>
      <c r="AD173" s="64" t="str">
        <f t="shared" si="51"/>
        <v>0815-15</v>
      </c>
      <c r="AE173" s="104" t="str">
        <f t="shared" si="52"/>
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</c>
      <c r="AF173" s="101" t="str">
        <f t="shared" si="53"/>
        <v>"C:\Program Files (x86)\AstroGrep\AstroGrep.exe" /spath="%USERPROFILE%\AppData\Local\Temp\OnboardLogs" /stypes="*4016*20160815*" /stext=" 16:.+((SYSTEM_STATE.+slice.+state.+changed )|(ment ac)|(system.+state.+changed )|(\|lc)|(penalty)|(\[timeout)|(PRM\|1\|D)|(kpr)|(kdp)|(\|loc))" /e /r /s</v>
      </c>
      <c r="AG173" s="1" t="str">
        <f t="shared" si="55"/>
        <v>NW</v>
      </c>
      <c r="AH173" s="105" t="str">
        <f t="shared" si="54"/>
        <v>"%USERPROFILE%\Documents\GitHub\eaglep3\Utilities\RefineRTDCRunTimes.py" --tripid 815-15 --locoid 4016 --swversion DE.1.0.7.0 --startMP 204:955 --initTime 2016-08-15T09:58:26 --startdatetime 2016-08-15T09:59:42 --delay 1 --endMP 300:58997 --enddatetime 2016-08-15T10:35:42 --enforcementcount 0</v>
      </c>
    </row>
    <row r="174" spans="1:34" x14ac:dyDescent="0.25">
      <c r="A174" s="40" t="s">
        <v>568</v>
      </c>
      <c r="B174" s="7">
        <v>4015</v>
      </c>
      <c r="C174" s="25" t="s">
        <v>119</v>
      </c>
      <c r="D174" s="25" t="s">
        <v>569</v>
      </c>
      <c r="E174" s="16">
        <v>42597.442604166667</v>
      </c>
      <c r="F174" s="16">
        <v>42597.443344907406</v>
      </c>
      <c r="G174" s="7">
        <v>1</v>
      </c>
      <c r="H174" s="16" t="s">
        <v>570</v>
      </c>
      <c r="I174" s="16">
        <v>42597.456041666665</v>
      </c>
      <c r="J174" s="7">
        <v>0</v>
      </c>
      <c r="K174" s="142" t="str">
        <f t="shared" si="40"/>
        <v>4015/4016</v>
      </c>
      <c r="L174" s="25" t="str">
        <f>VLOOKUP(A174,'Trips&amp;Operators'!$C$1:$E$10000,3,FALSE)</f>
        <v>ROCHA</v>
      </c>
      <c r="M174" s="6">
        <f t="shared" si="41"/>
        <v>1.2696759258687962E-2</v>
      </c>
      <c r="N174" s="7">
        <f t="shared" si="42"/>
        <v>18.283333332510665</v>
      </c>
      <c r="O174" s="7"/>
      <c r="P174" s="7"/>
      <c r="Q174" s="26"/>
      <c r="R174" s="26"/>
      <c r="S174" s="38">
        <f t="shared" si="43"/>
        <v>1</v>
      </c>
      <c r="T174" s="53" t="str">
        <f t="shared" si="44"/>
        <v>Southbound</v>
      </c>
      <c r="U174" s="13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09:37:21-0600',mode:absolute,to:'2016-08-15 11:56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74" s="55" t="str">
        <f t="shared" si="46"/>
        <v>N</v>
      </c>
      <c r="X174" s="129">
        <f t="shared" si="47"/>
        <v>1</v>
      </c>
      <c r="Y174" s="70">
        <f t="shared" si="48"/>
        <v>5.8677000000000001</v>
      </c>
      <c r="Z174" s="70">
        <f t="shared" si="49"/>
        <v>6.8000000000000005E-2</v>
      </c>
      <c r="AA174" s="70">
        <f t="shared" si="50"/>
        <v>5.7997000000000005</v>
      </c>
      <c r="AB174" s="67" t="e">
        <f>VLOOKUP(A174,Enforcements!$C$7:$J$24,8,0)</f>
        <v>#N/A</v>
      </c>
      <c r="AC174" s="63" t="e">
        <f>VLOOKUP(A174,Enforcements!$C$7:$E$24,3,0)</f>
        <v>#N/A</v>
      </c>
      <c r="AD174" s="64" t="str">
        <f t="shared" si="51"/>
        <v>0816-15</v>
      </c>
      <c r="AE174" s="104" t="str">
        <f t="shared" si="52"/>
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</c>
      <c r="AF174" s="101" t="str">
        <f t="shared" si="53"/>
        <v>"C:\Program Files (x86)\AstroGrep\AstroGrep.exe" /spath="%USERPROFILE%\AppData\Local\Temp\OnboardLogs" /stypes="*4015*20160815*" /stext=" 16:.+((SYSTEM_STATE.+slice.+state.+changed )|(ment ac)|(system.+state.+changed )|(\|lc)|(penalty)|(\[timeout)|(PRM\|1\|D)|(kpr)|(kdp)|(\|loc))" /e /r /s</v>
      </c>
      <c r="AG174" s="1" t="str">
        <f t="shared" si="55"/>
        <v>NW</v>
      </c>
      <c r="AH174" s="105" t="str">
        <f t="shared" si="54"/>
        <v>"%USERPROFILE%\Documents\GitHub\eaglep3\Utilities\RefineRTDCRunTimes.py" --tripid 816-15 --locoid 4015 --swversion DE.1.0.7.0 --startMP 300:58677 --initTime 2016-08-15T10:37:21 --startdatetime 2016-08-15T10:38:25 --delay 1 --endMP 204:680 --enddatetime 2016-08-15T10:56:42 --enforcementcount 0</v>
      </c>
    </row>
    <row r="175" spans="1:34" x14ac:dyDescent="0.25">
      <c r="A175" s="40" t="s">
        <v>571</v>
      </c>
      <c r="B175" s="7">
        <v>4016</v>
      </c>
      <c r="C175" s="25" t="s">
        <v>119</v>
      </c>
      <c r="D175" s="25" t="s">
        <v>572</v>
      </c>
      <c r="E175" s="16">
        <v>42597.45722222222</v>
      </c>
      <c r="F175" s="16">
        <v>42597.458136574074</v>
      </c>
      <c r="G175" s="7">
        <v>1</v>
      </c>
      <c r="H175" s="16" t="s">
        <v>573</v>
      </c>
      <c r="I175" s="16">
        <v>42597.48333333333</v>
      </c>
      <c r="J175" s="7">
        <v>0</v>
      </c>
      <c r="K175" s="142" t="str">
        <f t="shared" si="40"/>
        <v>4015/4016</v>
      </c>
      <c r="L175" s="25" t="str">
        <f>VLOOKUP(A175,'Trips&amp;Operators'!$C$1:$E$10000,3,FALSE)</f>
        <v>ROCHA</v>
      </c>
      <c r="M175" s="6">
        <f t="shared" si="41"/>
        <v>2.5196759255777579E-2</v>
      </c>
      <c r="N175" s="7">
        <f t="shared" si="42"/>
        <v>36.283333328319713</v>
      </c>
      <c r="O175" s="7"/>
      <c r="P175" s="7"/>
      <c r="Q175" s="26"/>
      <c r="R175" s="26"/>
      <c r="S175" s="38">
        <f t="shared" si="43"/>
        <v>1</v>
      </c>
      <c r="T175" s="53" t="str">
        <f t="shared" si="44"/>
        <v>NorthBound</v>
      </c>
      <c r="U175" s="13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09:58:24-0600',mode:absolute,to:'2016-08-15 12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75" s="55" t="str">
        <f t="shared" si="46"/>
        <v>N</v>
      </c>
      <c r="X175" s="129">
        <f t="shared" si="47"/>
        <v>1</v>
      </c>
      <c r="Y175" s="70">
        <f t="shared" si="48"/>
        <v>9.7799999999999998E-2</v>
      </c>
      <c r="Z175" s="70">
        <f t="shared" si="49"/>
        <v>5.8979999999999997</v>
      </c>
      <c r="AA175" s="70">
        <f t="shared" si="50"/>
        <v>5.8001999999999994</v>
      </c>
      <c r="AB175" s="67" t="e">
        <f>VLOOKUP(A175,Enforcements!$C$7:$J$24,8,0)</f>
        <v>#N/A</v>
      </c>
      <c r="AC175" s="63" t="e">
        <f>VLOOKUP(A175,Enforcements!$C$7:$E$24,3,0)</f>
        <v>#N/A</v>
      </c>
      <c r="AD175" s="64" t="str">
        <f t="shared" si="51"/>
        <v>0817-15</v>
      </c>
      <c r="AE175" s="104" t="str">
        <f t="shared" si="52"/>
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</c>
      <c r="AF175" s="101" t="str">
        <f t="shared" si="53"/>
        <v>"C:\Program Files (x86)\AstroGrep\AstroGrep.exe" /spath="%USERPROFILE%\AppData\Local\Temp\OnboardLogs" /stypes="*4016*20160815*" /stext=" 17:.+((SYSTEM_STATE.+slice.+state.+changed )|(ment ac)|(system.+state.+changed )|(\|lc)|(penalty)|(\[timeout)|(PRM\|1\|D)|(kpr)|(kdp)|(\|loc))" /e /r /s</v>
      </c>
      <c r="AG175" s="1" t="str">
        <f t="shared" si="55"/>
        <v>NW</v>
      </c>
      <c r="AH175" s="105" t="str">
        <f t="shared" si="54"/>
        <v>"%USERPROFILE%\Documents\GitHub\eaglep3\Utilities\RefineRTDCRunTimes.py" --tripid 817-15 --locoid 4016 --swversion DE.1.0.7.0 --startMP 204:978 --initTime 2016-08-15T10:58:24 --startdatetime 2016-08-15T10:59:43 --delay 1 --endMP 300:58980 --enddatetime 2016-08-15T11:36:00 --enforcementcount 0</v>
      </c>
    </row>
    <row r="176" spans="1:34" x14ac:dyDescent="0.25">
      <c r="A176" s="40" t="s">
        <v>574</v>
      </c>
      <c r="B176" s="7">
        <v>4015</v>
      </c>
      <c r="C176" s="25" t="s">
        <v>119</v>
      </c>
      <c r="D176" s="25" t="s">
        <v>575</v>
      </c>
      <c r="E176" s="16">
        <v>42597.484398148146</v>
      </c>
      <c r="F176" s="16">
        <v>42597.485381944447</v>
      </c>
      <c r="G176" s="7">
        <v>1</v>
      </c>
      <c r="H176" s="16" t="s">
        <v>536</v>
      </c>
      <c r="I176" s="16">
        <v>42597.496851851851</v>
      </c>
      <c r="J176" s="7">
        <v>0</v>
      </c>
      <c r="K176" s="142" t="str">
        <f t="shared" si="40"/>
        <v>4015/4016</v>
      </c>
      <c r="L176" s="25" t="str">
        <f>VLOOKUP(A176,'Trips&amp;Operators'!$C$1:$E$10000,3,FALSE)</f>
        <v>ROCHA</v>
      </c>
      <c r="M176" s="6">
        <f t="shared" si="41"/>
        <v>1.1469907403807156E-2</v>
      </c>
      <c r="N176" s="7">
        <f t="shared" si="42"/>
        <v>16.516666661482304</v>
      </c>
      <c r="O176" s="7"/>
      <c r="P176" s="7"/>
      <c r="Q176" s="26"/>
      <c r="R176" s="26"/>
      <c r="S176" s="38">
        <f t="shared" si="43"/>
        <v>1</v>
      </c>
      <c r="T176" s="53" t="str">
        <f t="shared" si="44"/>
        <v>Southbound</v>
      </c>
      <c r="U176" s="13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10:37:32-0600',mode:absolute,to:'2016-08-15 12:55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76" s="55" t="str">
        <f t="shared" si="46"/>
        <v>N</v>
      </c>
      <c r="X176" s="129">
        <f t="shared" si="47"/>
        <v>1</v>
      </c>
      <c r="Y176" s="70">
        <f t="shared" si="48"/>
        <v>5.8666</v>
      </c>
      <c r="Z176" s="70">
        <f t="shared" si="49"/>
        <v>6.54E-2</v>
      </c>
      <c r="AA176" s="70">
        <f t="shared" si="50"/>
        <v>5.8011999999999997</v>
      </c>
      <c r="AB176" s="67" t="e">
        <f>VLOOKUP(A176,Enforcements!$C$7:$J$24,8,0)</f>
        <v>#N/A</v>
      </c>
      <c r="AC176" s="63" t="e">
        <f>VLOOKUP(A176,Enforcements!$C$7:$E$24,3,0)</f>
        <v>#N/A</v>
      </c>
      <c r="AD176" s="64" t="str">
        <f t="shared" si="51"/>
        <v>0818-15</v>
      </c>
      <c r="AE176" s="104" t="str">
        <f t="shared" si="52"/>
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</c>
      <c r="AF176" s="101" t="str">
        <f t="shared" si="53"/>
        <v>"C:\Program Files (x86)\AstroGrep\AstroGrep.exe" /spath="%USERPROFILE%\AppData\Local\Temp\OnboardLogs" /stypes="*4015*20160815*" /stext=" 17:.+((SYSTEM_STATE.+slice.+state.+changed )|(ment ac)|(system.+state.+changed )|(\|lc)|(penalty)|(\[timeout)|(PRM\|1\|D)|(kpr)|(kdp)|(\|loc))" /e /r /s</v>
      </c>
      <c r="AG176" s="1" t="str">
        <f t="shared" si="55"/>
        <v>NW</v>
      </c>
      <c r="AH176" s="105" t="str">
        <f t="shared" si="54"/>
        <v>"%USERPROFILE%\Documents\GitHub\eaglep3\Utilities\RefineRTDCRunTimes.py" --tripid 818-15 --locoid 4015 --swversion DE.1.0.7.0 --startMP 300:58666 --initTime 2016-08-15T11:37:32 --startdatetime 2016-08-15T11:38:57 --delay 1 --endMP 204:654 --enddatetime 2016-08-15T11:55:28 --enforcementcount 0</v>
      </c>
    </row>
    <row r="177" spans="1:34" x14ac:dyDescent="0.25">
      <c r="A177" s="40" t="s">
        <v>576</v>
      </c>
      <c r="B177" s="7">
        <v>4016</v>
      </c>
      <c r="C177" s="25" t="s">
        <v>119</v>
      </c>
      <c r="D177" s="25" t="s">
        <v>577</v>
      </c>
      <c r="E177" s="16">
        <v>42597.498715277776</v>
      </c>
      <c r="F177" s="16">
        <v>42597.514849537038</v>
      </c>
      <c r="G177" s="7">
        <v>1</v>
      </c>
      <c r="H177" s="16" t="s">
        <v>578</v>
      </c>
      <c r="I177" s="16">
        <v>42597.526250000003</v>
      </c>
      <c r="J177" s="7">
        <v>0</v>
      </c>
      <c r="K177" s="142" t="str">
        <f t="shared" si="40"/>
        <v>4015/4016</v>
      </c>
      <c r="L177" s="25" t="str">
        <f>VLOOKUP(A177,'Trips&amp;Operators'!$C$1:$E$10000,3,FALSE)</f>
        <v>ROCHA</v>
      </c>
      <c r="M177" s="6">
        <f t="shared" si="41"/>
        <v>1.1400462964957114E-2</v>
      </c>
      <c r="N177" s="7">
        <f>24*60*SUM($M177:$M177)</f>
        <v>16.416666669538245</v>
      </c>
      <c r="O177" s="7"/>
      <c r="P177" s="7"/>
      <c r="Q177" s="26"/>
      <c r="R177" s="26"/>
      <c r="S177" s="38">
        <f t="shared" si="43"/>
        <v>1</v>
      </c>
      <c r="T177" s="53" t="str">
        <f t="shared" si="44"/>
        <v>NorthBound</v>
      </c>
      <c r="U177" s="13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10:58:09-0600',mode:absolute,to:'2016-08-15 13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77" s="55" t="str">
        <f t="shared" si="46"/>
        <v>N</v>
      </c>
      <c r="X177" s="129">
        <f t="shared" si="47"/>
        <v>1</v>
      </c>
      <c r="Y177" s="70">
        <f t="shared" si="48"/>
        <v>9.5100000000000004E-2</v>
      </c>
      <c r="Z177" s="70">
        <v>5.9001000000000001</v>
      </c>
      <c r="AA177" s="70">
        <f t="shared" si="50"/>
        <v>5.8049999999999997</v>
      </c>
      <c r="AB177" s="67" t="e">
        <f>VLOOKUP(A177,Enforcements!$C$7:$J$24,8,0)</f>
        <v>#N/A</v>
      </c>
      <c r="AC177" s="63" t="e">
        <f>VLOOKUP(A177,Enforcements!$C$7:$E$24,3,0)</f>
        <v>#N/A</v>
      </c>
      <c r="AD177" s="64" t="str">
        <f t="shared" si="51"/>
        <v>0819-15</v>
      </c>
      <c r="AE177" s="104" t="str">
        <f t="shared" si="52"/>
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</c>
      <c r="AF177" s="101" t="str">
        <f t="shared" si="53"/>
        <v>"C:\Program Files (x86)\AstroGrep\AstroGrep.exe" /spath="%USERPROFILE%\AppData\Local\Temp\OnboardLogs" /stypes="*4016*20160815*" /stext=" 18:.+((SYSTEM_STATE.+slice.+state.+changed )|(ment ac)|(system.+state.+changed )|(\|lc)|(penalty)|(\[timeout)|(PRM\|1\|D)|(kpr)|(kdp)|(\|loc))" /e /r /s</v>
      </c>
      <c r="AG177" s="1" t="str">
        <f t="shared" si="55"/>
        <v>NW</v>
      </c>
      <c r="AH177" s="105" t="str">
        <f t="shared" si="54"/>
        <v>"%USERPROFILE%\Documents\GitHub\eaglep3\Utilities\RefineRTDCRunTimes.py" --tripid 819-15 --locoid 4016 --swversion DE.1.0.7.0 --startMP 204:951 --initTime 2016-08-15T11:58:09 --startdatetime 2016-08-15T12:21:23 --delay 1 --endMP 300:23105 --enddatetime 2016-08-15T12:37:48 --enforcementcount 0</v>
      </c>
    </row>
    <row r="178" spans="1:34" x14ac:dyDescent="0.25">
      <c r="A178" s="40" t="s">
        <v>579</v>
      </c>
      <c r="B178" s="7">
        <v>4015</v>
      </c>
      <c r="C178" s="25" t="s">
        <v>119</v>
      </c>
      <c r="D178" s="25" t="s">
        <v>580</v>
      </c>
      <c r="E178" s="16">
        <v>42597.527812499997</v>
      </c>
      <c r="F178" s="16">
        <v>42597.528564814813</v>
      </c>
      <c r="G178" s="7">
        <v>1</v>
      </c>
      <c r="H178" s="16" t="s">
        <v>581</v>
      </c>
      <c r="I178" s="16">
        <v>42597.539131944446</v>
      </c>
      <c r="J178" s="7">
        <v>0</v>
      </c>
      <c r="K178" s="142" t="str">
        <f t="shared" si="40"/>
        <v>4015/4016</v>
      </c>
      <c r="L178" s="25" t="str">
        <f>VLOOKUP(A178,'Trips&amp;Operators'!$C$1:$E$10000,3,FALSE)</f>
        <v>ROCHA</v>
      </c>
      <c r="M178" s="6">
        <f t="shared" si="41"/>
        <v>1.0567129633272998E-2</v>
      </c>
      <c r="N178" s="7">
        <f t="shared" si="42"/>
        <v>15.216666671913117</v>
      </c>
      <c r="O178" s="7"/>
      <c r="P178" s="7"/>
      <c r="Q178" s="26"/>
      <c r="R178" s="26"/>
      <c r="S178" s="38">
        <f t="shared" si="43"/>
        <v>1</v>
      </c>
      <c r="T178" s="53" t="str">
        <f t="shared" si="44"/>
        <v>Southbound</v>
      </c>
      <c r="U178" s="13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11:40:03-0600',mode:absolute,to:'2016-08-15 13:56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78" s="55" t="str">
        <f t="shared" si="46"/>
        <v>N</v>
      </c>
      <c r="X178" s="129">
        <f t="shared" si="47"/>
        <v>1</v>
      </c>
      <c r="Y178" s="70">
        <f t="shared" si="48"/>
        <v>5.8686999999999996</v>
      </c>
      <c r="Z178" s="70">
        <f t="shared" si="49"/>
        <v>6.4299999999999996E-2</v>
      </c>
      <c r="AA178" s="70">
        <f t="shared" si="50"/>
        <v>5.8043999999999993</v>
      </c>
      <c r="AB178" s="67" t="e">
        <f>VLOOKUP(A178,Enforcements!$C$7:$J$24,8,0)</f>
        <v>#N/A</v>
      </c>
      <c r="AC178" s="63" t="e">
        <f>VLOOKUP(A178,Enforcements!$C$7:$E$24,3,0)</f>
        <v>#N/A</v>
      </c>
      <c r="AD178" s="64" t="str">
        <f t="shared" si="51"/>
        <v>0820-15</v>
      </c>
      <c r="AE178" s="104" t="str">
        <f t="shared" si="52"/>
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</c>
      <c r="AF178" s="101" t="str">
        <f t="shared" si="53"/>
        <v>"C:\Program Files (x86)\AstroGrep\AstroGrep.exe" /spath="%USERPROFILE%\AppData\Local\Temp\OnboardLogs" /stypes="*4015*20160815*" /stext=" 18:.+((SYSTEM_STATE.+slice.+state.+changed )|(ment ac)|(system.+state.+changed )|(\|lc)|(penalty)|(\[timeout)|(PRM\|1\|D)|(kpr)|(kdp)|(\|loc))" /e /r /s</v>
      </c>
      <c r="AG178" s="1" t="str">
        <f t="shared" si="55"/>
        <v>NW</v>
      </c>
      <c r="AH178" s="105" t="str">
        <f t="shared" si="54"/>
        <v>"%USERPROFILE%\Documents\GitHub\eaglep3\Utilities\RefineRTDCRunTimes.py" --tripid 820-15 --locoid 4015 --swversion DE.1.0.7.0 --startMP 300:58687 --initTime 2016-08-15T12:40:03 --startdatetime 2016-08-15T12:41:08 --delay 1 --endMP 204:643 --enddatetime 2016-08-15T12:56:21 --enforcementcount 0</v>
      </c>
    </row>
    <row r="179" spans="1:34" x14ac:dyDescent="0.25">
      <c r="A179" s="40" t="s">
        <v>582</v>
      </c>
      <c r="B179" s="7">
        <v>4016</v>
      </c>
      <c r="C179" s="25" t="s">
        <v>119</v>
      </c>
      <c r="D179" s="25" t="s">
        <v>583</v>
      </c>
      <c r="E179" s="16">
        <v>42597.551307870373</v>
      </c>
      <c r="F179" s="16">
        <v>42597.552268518521</v>
      </c>
      <c r="G179" s="7">
        <v>1</v>
      </c>
      <c r="H179" s="16" t="s">
        <v>302</v>
      </c>
      <c r="I179" s="16">
        <v>42597.567048611112</v>
      </c>
      <c r="J179" s="7">
        <v>0</v>
      </c>
      <c r="K179" s="142" t="str">
        <f t="shared" si="40"/>
        <v>4015/4016</v>
      </c>
      <c r="L179" s="25" t="str">
        <f>VLOOKUP(A179,'Trips&amp;Operators'!$C$1:$E$10000,3,FALSE)</f>
        <v>BRUDER</v>
      </c>
      <c r="M179" s="6">
        <f t="shared" si="41"/>
        <v>1.4780092591536231E-2</v>
      </c>
      <c r="N179" s="7">
        <f t="shared" si="42"/>
        <v>21.283333331812173</v>
      </c>
      <c r="O179" s="7"/>
      <c r="P179" s="7"/>
      <c r="Q179" s="26"/>
      <c r="R179" s="26"/>
      <c r="S179" s="38">
        <f t="shared" si="43"/>
        <v>1</v>
      </c>
      <c r="T179" s="53" t="str">
        <f t="shared" si="44"/>
        <v>NorthBound</v>
      </c>
      <c r="U179" s="13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12:13:53-0600',mode:absolute,to:'2016-08-15 14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79" s="55" t="str">
        <f t="shared" si="46"/>
        <v>N</v>
      </c>
      <c r="X179" s="129">
        <f t="shared" si="47"/>
        <v>1</v>
      </c>
      <c r="Y179" s="70">
        <f t="shared" si="48"/>
        <v>9.3399999999999997E-2</v>
      </c>
      <c r="Z179" s="70">
        <f t="shared" si="49"/>
        <v>5.8929</v>
      </c>
      <c r="AA179" s="70">
        <f t="shared" si="50"/>
        <v>5.7995000000000001</v>
      </c>
      <c r="AB179" s="67" t="e">
        <f>VLOOKUP(A179,Enforcements!$C$7:$J$24,8,0)</f>
        <v>#N/A</v>
      </c>
      <c r="AC179" s="63" t="e">
        <f>VLOOKUP(A179,Enforcements!$C$7:$E$24,3,0)</f>
        <v>#N/A</v>
      </c>
      <c r="AD179" s="64" t="str">
        <f t="shared" si="51"/>
        <v>0821-15</v>
      </c>
      <c r="AE179" s="104" t="str">
        <f t="shared" si="52"/>
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</c>
      <c r="AF179" s="101" t="str">
        <f t="shared" si="53"/>
        <v>"C:\Program Files (x86)\AstroGrep\AstroGrep.exe" /spath="%USERPROFILE%\AppData\Local\Temp\OnboardLogs" /stypes="*4016*20160815*" /stext=" 19:.+((SYSTEM_STATE.+slice.+state.+changed )|(ment ac)|(system.+state.+changed )|(\|lc)|(penalty)|(\[timeout)|(PRM\|1\|D)|(kpr)|(kdp)|(\|loc))" /e /r /s</v>
      </c>
      <c r="AG179" s="1" t="str">
        <f t="shared" si="55"/>
        <v>NW</v>
      </c>
      <c r="AH179" s="105" t="str">
        <f t="shared" si="54"/>
        <v>"%USERPROFILE%\Documents\GitHub\eaglep3\Utilities\RefineRTDCRunTimes.py" --tripid 821-15 --locoid 4016 --swversion DE.1.0.7.0 --startMP 204:934 --initTime 2016-08-15T13:13:53 --startdatetime 2016-08-15T13:15:16 --delay 1 --endMP 300:58929 --enddatetime 2016-08-15T13:36:33 --enforcementcount 0</v>
      </c>
    </row>
    <row r="180" spans="1:34" x14ac:dyDescent="0.25">
      <c r="A180" s="40" t="s">
        <v>584</v>
      </c>
      <c r="B180" s="7">
        <v>4015</v>
      </c>
      <c r="C180" s="25" t="s">
        <v>119</v>
      </c>
      <c r="D180" s="25" t="s">
        <v>297</v>
      </c>
      <c r="E180" s="16">
        <v>42597.568368055552</v>
      </c>
      <c r="F180" s="16">
        <v>42597.569618055553</v>
      </c>
      <c r="G180" s="7">
        <v>1</v>
      </c>
      <c r="H180" s="16" t="s">
        <v>336</v>
      </c>
      <c r="I180" s="16">
        <v>42597.581886574073</v>
      </c>
      <c r="J180" s="7">
        <v>0</v>
      </c>
      <c r="K180" s="142" t="str">
        <f t="shared" si="40"/>
        <v>4015/4016</v>
      </c>
      <c r="L180" s="25" t="str">
        <f>VLOOKUP(A180,'Trips&amp;Operators'!$C$1:$E$10000,3,FALSE)</f>
        <v>BRUDER</v>
      </c>
      <c r="M180" s="6">
        <f t="shared" si="41"/>
        <v>1.226851851970423E-2</v>
      </c>
      <c r="N180" s="7">
        <f t="shared" si="42"/>
        <v>17.666666668374091</v>
      </c>
      <c r="O180" s="7"/>
      <c r="P180" s="7"/>
      <c r="Q180" s="26"/>
      <c r="R180" s="26"/>
      <c r="S180" s="38">
        <f t="shared" si="43"/>
        <v>1</v>
      </c>
      <c r="T180" s="53" t="str">
        <f t="shared" si="44"/>
        <v>Southbound</v>
      </c>
      <c r="U180" s="13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12:38:27-0600',mode:absolute,to:'2016-08-15 14:57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80" s="55" t="str">
        <f t="shared" si="46"/>
        <v>N</v>
      </c>
      <c r="X180" s="129">
        <f t="shared" si="47"/>
        <v>1</v>
      </c>
      <c r="Y180" s="70">
        <f t="shared" si="48"/>
        <v>5.8611000000000004</v>
      </c>
      <c r="Z180" s="70">
        <f t="shared" si="49"/>
        <v>6.7299999999999999E-2</v>
      </c>
      <c r="AA180" s="70">
        <f t="shared" si="50"/>
        <v>5.7938000000000001</v>
      </c>
      <c r="AB180" s="67" t="e">
        <f>VLOOKUP(A180,Enforcements!$C$7:$J$24,8,0)</f>
        <v>#N/A</v>
      </c>
      <c r="AC180" s="63" t="e">
        <f>VLOOKUP(A180,Enforcements!$C$7:$E$24,3,0)</f>
        <v>#N/A</v>
      </c>
      <c r="AD180" s="64" t="str">
        <f t="shared" si="51"/>
        <v>0822-15</v>
      </c>
      <c r="AE180" s="104" t="str">
        <f t="shared" si="52"/>
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</c>
      <c r="AF180" s="101" t="str">
        <f t="shared" si="53"/>
        <v>"C:\Program Files (x86)\AstroGrep\AstroGrep.exe" /spath="%USERPROFILE%\AppData\Local\Temp\OnboardLogs" /stypes="*4015*20160815*" /stext=" 19:.+((SYSTEM_STATE.+slice.+state.+changed )|(ment ac)|(system.+state.+changed )|(\|lc)|(penalty)|(\[timeout)|(PRM\|1\|D)|(kpr)|(kdp)|(\|loc))" /e /r /s</v>
      </c>
      <c r="AG180" s="1" t="str">
        <f t="shared" si="55"/>
        <v>NW</v>
      </c>
      <c r="AH180" s="105" t="str">
        <f t="shared" si="54"/>
        <v>"%USERPROFILE%\Documents\GitHub\eaglep3\Utilities\RefineRTDCRunTimes.py" --tripid 822-15 --locoid 4015 --swversion DE.1.0.7.0 --startMP 300:58611 --initTime 2016-08-15T13:38:27 --startdatetime 2016-08-15T13:40:15 --delay 1 --endMP 204:673 --enddatetime 2016-08-15T13:57:55 --enforcementcount 0</v>
      </c>
    </row>
    <row r="181" spans="1:34" x14ac:dyDescent="0.25">
      <c r="A181" s="40" t="s">
        <v>585</v>
      </c>
      <c r="B181" s="7">
        <v>4016</v>
      </c>
      <c r="C181" s="25" t="s">
        <v>119</v>
      </c>
      <c r="D181" s="25" t="s">
        <v>586</v>
      </c>
      <c r="E181" s="16">
        <v>42597.593668981484</v>
      </c>
      <c r="F181" s="16">
        <v>42597.594502314816</v>
      </c>
      <c r="G181" s="7">
        <v>1</v>
      </c>
      <c r="H181" s="16" t="s">
        <v>302</v>
      </c>
      <c r="I181" s="16">
        <v>42597.607604166667</v>
      </c>
      <c r="J181" s="7">
        <v>0</v>
      </c>
      <c r="K181" s="142" t="str">
        <f t="shared" si="40"/>
        <v>4015/4016</v>
      </c>
      <c r="L181" s="25" t="str">
        <f>VLOOKUP(A181,'Trips&amp;Operators'!$C$1:$E$10000,3,FALSE)</f>
        <v>BRUDER</v>
      </c>
      <c r="M181" s="6">
        <f t="shared" si="41"/>
        <v>1.3101851851388346E-2</v>
      </c>
      <c r="N181" s="7">
        <f t="shared" si="42"/>
        <v>18.866666665999219</v>
      </c>
      <c r="O181" s="7"/>
      <c r="P181" s="7"/>
      <c r="Q181" s="26"/>
      <c r="R181" s="26"/>
      <c r="S181" s="38">
        <f t="shared" si="43"/>
        <v>1</v>
      </c>
      <c r="T181" s="53" t="str">
        <f t="shared" si="44"/>
        <v>NorthBound</v>
      </c>
      <c r="U181" s="13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13:14:53-0600',mode:absolute,to:'2016-08-15 15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81" s="55" t="str">
        <f t="shared" si="46"/>
        <v>N</v>
      </c>
      <c r="X181" s="129">
        <f t="shared" si="47"/>
        <v>1</v>
      </c>
      <c r="Y181" s="70">
        <f t="shared" si="48"/>
        <v>9.6699999999999994E-2</v>
      </c>
      <c r="Z181" s="70">
        <f t="shared" si="49"/>
        <v>5.8929</v>
      </c>
      <c r="AA181" s="70">
        <f t="shared" si="50"/>
        <v>5.7961999999999998</v>
      </c>
      <c r="AB181" s="67" t="e">
        <f>VLOOKUP(A181,Enforcements!$C$7:$J$24,8,0)</f>
        <v>#N/A</v>
      </c>
      <c r="AC181" s="63" t="e">
        <f>VLOOKUP(A181,Enforcements!$C$7:$E$24,3,0)</f>
        <v>#N/A</v>
      </c>
      <c r="AD181" s="64" t="str">
        <f t="shared" si="51"/>
        <v>0823-15</v>
      </c>
      <c r="AE181" s="104" t="str">
        <f t="shared" si="52"/>
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</c>
      <c r="AF181" s="101" t="str">
        <f t="shared" si="53"/>
        <v>"C:\Program Files (x86)\AstroGrep\AstroGrep.exe" /spath="%USERPROFILE%\AppData\Local\Temp\OnboardLogs" /stypes="*4016*20160815*" /stext=" 20:.+((SYSTEM_STATE.+slice.+state.+changed )|(ment ac)|(system.+state.+changed )|(\|lc)|(penalty)|(\[timeout)|(PRM\|1\|D)|(kpr)|(kdp)|(\|loc))" /e /r /s</v>
      </c>
      <c r="AG181" s="1" t="str">
        <f t="shared" si="55"/>
        <v>NW</v>
      </c>
      <c r="AH181" s="105" t="str">
        <f t="shared" si="54"/>
        <v>"%USERPROFILE%\Documents\GitHub\eaglep3\Utilities\RefineRTDCRunTimes.py" --tripid 823-15 --locoid 4016 --swversion DE.1.0.7.0 --startMP 204:967 --initTime 2016-08-15T14:14:53 --startdatetime 2016-08-15T14:16:05 --delay 1 --endMP 300:58929 --enddatetime 2016-08-15T14:34:57 --enforcementcount 0</v>
      </c>
    </row>
    <row r="182" spans="1:34" x14ac:dyDescent="0.25">
      <c r="A182" s="40" t="s">
        <v>587</v>
      </c>
      <c r="B182" s="7">
        <v>4015</v>
      </c>
      <c r="C182" s="25" t="s">
        <v>119</v>
      </c>
      <c r="D182" s="25" t="s">
        <v>543</v>
      </c>
      <c r="E182" s="16">
        <v>42597.608888888892</v>
      </c>
      <c r="F182" s="16">
        <v>42597.609768518516</v>
      </c>
      <c r="G182" s="7">
        <v>1</v>
      </c>
      <c r="H182" s="16" t="s">
        <v>298</v>
      </c>
      <c r="I182" s="16">
        <v>42597.621805555558</v>
      </c>
      <c r="J182" s="7">
        <v>0</v>
      </c>
      <c r="K182" s="142" t="str">
        <f t="shared" si="40"/>
        <v>4015/4016</v>
      </c>
      <c r="L182" s="25" t="str">
        <f>VLOOKUP(A182,'Trips&amp;Operators'!$C$1:$E$10000,3,FALSE)</f>
        <v>BRUDER</v>
      </c>
      <c r="M182" s="6">
        <f t="shared" si="41"/>
        <v>1.2037037042318843E-2</v>
      </c>
      <c r="N182" s="7">
        <f t="shared" si="42"/>
        <v>17.333333340939134</v>
      </c>
      <c r="O182" s="7"/>
      <c r="P182" s="7"/>
      <c r="Q182" s="26"/>
      <c r="R182" s="26"/>
      <c r="S182" s="38">
        <f t="shared" si="43"/>
        <v>1</v>
      </c>
      <c r="T182" s="53" t="str">
        <f t="shared" si="44"/>
        <v>Southbound</v>
      </c>
      <c r="U182" s="13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13:36:48-0600',mode:absolute,to:'2016-08-15 15:55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82" s="55" t="str">
        <f t="shared" si="46"/>
        <v>N</v>
      </c>
      <c r="X182" s="129">
        <f t="shared" si="47"/>
        <v>1</v>
      </c>
      <c r="Y182" s="70">
        <f t="shared" si="48"/>
        <v>5.8605999999999998</v>
      </c>
      <c r="Z182" s="70">
        <f t="shared" si="49"/>
        <v>6.8699999999999997E-2</v>
      </c>
      <c r="AA182" s="70">
        <f t="shared" si="50"/>
        <v>5.7919</v>
      </c>
      <c r="AB182" s="67" t="e">
        <f>VLOOKUP(A182,Enforcements!$C$7:$J$24,8,0)</f>
        <v>#N/A</v>
      </c>
      <c r="AC182" s="63" t="e">
        <f>VLOOKUP(A182,Enforcements!$C$7:$E$24,3,0)</f>
        <v>#N/A</v>
      </c>
      <c r="AD182" s="64" t="str">
        <f t="shared" si="51"/>
        <v>0824-15</v>
      </c>
      <c r="AE182" s="104" t="str">
        <f t="shared" si="52"/>
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</c>
      <c r="AF182" s="101" t="str">
        <f t="shared" si="53"/>
        <v>"C:\Program Files (x86)\AstroGrep\AstroGrep.exe" /spath="%USERPROFILE%\AppData\Local\Temp\OnboardLogs" /stypes="*4015*20160815*" /stext=" 20:.+((SYSTEM_STATE.+slice.+state.+changed )|(ment ac)|(system.+state.+changed )|(\|lc)|(penalty)|(\[timeout)|(PRM\|1\|D)|(kpr)|(kdp)|(\|loc))" /e /r /s</v>
      </c>
      <c r="AG182" s="1" t="str">
        <f t="shared" si="55"/>
        <v>NW</v>
      </c>
      <c r="AH182" s="105" t="str">
        <f t="shared" si="54"/>
        <v>"%USERPROFILE%\Documents\GitHub\eaglep3\Utilities\RefineRTDCRunTimes.py" --tripid 824-15 --locoid 4015 --swversion DE.1.0.7.0 --startMP 300:58606 --initTime 2016-08-15T14:36:48 --startdatetime 2016-08-15T14:38:04 --delay 1 --endMP 204:687 --enddatetime 2016-08-15T14:55:24 --enforcementcount 0</v>
      </c>
    </row>
    <row r="183" spans="1:34" x14ac:dyDescent="0.25">
      <c r="A183" s="40" t="s">
        <v>588</v>
      </c>
      <c r="B183" s="7">
        <v>4016</v>
      </c>
      <c r="C183" s="25" t="s">
        <v>119</v>
      </c>
      <c r="D183" s="25" t="s">
        <v>572</v>
      </c>
      <c r="E183" s="16">
        <v>42597.632037037038</v>
      </c>
      <c r="F183" s="16">
        <v>42597.633009259262</v>
      </c>
      <c r="G183" s="7">
        <v>1</v>
      </c>
      <c r="H183" s="16" t="s">
        <v>300</v>
      </c>
      <c r="I183" s="16">
        <v>42597.649930555555</v>
      </c>
      <c r="J183" s="7">
        <v>0</v>
      </c>
      <c r="K183" s="142" t="str">
        <f t="shared" si="40"/>
        <v>4015/4016</v>
      </c>
      <c r="L183" s="25" t="str">
        <f>VLOOKUP(A183,'Trips&amp;Operators'!$C$1:$E$10000,3,FALSE)</f>
        <v>BRUDER</v>
      </c>
      <c r="M183" s="6">
        <f t="shared" si="41"/>
        <v>1.6921296293730848E-2</v>
      </c>
      <c r="N183" s="7">
        <f t="shared" si="42"/>
        <v>24.36666666297242</v>
      </c>
      <c r="O183" s="7"/>
      <c r="P183" s="7"/>
      <c r="Q183" s="26"/>
      <c r="R183" s="26"/>
      <c r="S183" s="38">
        <f t="shared" si="43"/>
        <v>1</v>
      </c>
      <c r="T183" s="53" t="str">
        <f t="shared" si="44"/>
        <v>NorthBound</v>
      </c>
      <c r="U183" s="13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14:10:08-0600',mode:absolute,to:'2016-08-15 16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83" s="55" t="str">
        <f t="shared" si="46"/>
        <v>N</v>
      </c>
      <c r="X183" s="129">
        <f t="shared" si="47"/>
        <v>1</v>
      </c>
      <c r="Y183" s="70">
        <f t="shared" si="48"/>
        <v>9.7799999999999998E-2</v>
      </c>
      <c r="Z183" s="70">
        <f t="shared" si="49"/>
        <v>5.8924000000000003</v>
      </c>
      <c r="AA183" s="70">
        <f t="shared" si="50"/>
        <v>5.7946</v>
      </c>
      <c r="AB183" s="67" t="e">
        <f>VLOOKUP(A183,Enforcements!$C$7:$J$24,8,0)</f>
        <v>#N/A</v>
      </c>
      <c r="AC183" s="63" t="e">
        <f>VLOOKUP(A183,Enforcements!$C$7:$E$24,3,0)</f>
        <v>#N/A</v>
      </c>
      <c r="AD183" s="64" t="str">
        <f t="shared" si="51"/>
        <v>0825-15</v>
      </c>
      <c r="AE183" s="104" t="str">
        <f t="shared" si="52"/>
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</c>
      <c r="AF183" s="101" t="str">
        <f t="shared" si="53"/>
        <v>"C:\Program Files (x86)\AstroGrep\AstroGrep.exe" /spath="%USERPROFILE%\AppData\Local\Temp\OnboardLogs" /stypes="*4016*20160815*" /stext=" 21:.+((SYSTEM_STATE.+slice.+state.+changed )|(ment ac)|(system.+state.+changed )|(\|lc)|(penalty)|(\[timeout)|(PRM\|1\|D)|(kpr)|(kdp)|(\|loc))" /e /r /s</v>
      </c>
      <c r="AG183" s="1" t="str">
        <f t="shared" si="55"/>
        <v>NW</v>
      </c>
      <c r="AH183" s="105" t="str">
        <f t="shared" si="54"/>
        <v>"%USERPROFILE%\Documents\GitHub\eaglep3\Utilities\RefineRTDCRunTimes.py" --tripid 825-15 --locoid 4016 --swversion DE.1.0.7.0 --startMP 204:978 --initTime 2016-08-15T15:10:08 --startdatetime 2016-08-15T15:11:32 --delay 1 --endMP 300:58924 --enddatetime 2016-08-15T15:35:54 --enforcementcount 0</v>
      </c>
    </row>
    <row r="184" spans="1:34" x14ac:dyDescent="0.25">
      <c r="A184" s="40" t="s">
        <v>589</v>
      </c>
      <c r="B184" s="7">
        <v>4015</v>
      </c>
      <c r="C184" s="25" t="s">
        <v>119</v>
      </c>
      <c r="D184" s="25" t="s">
        <v>590</v>
      </c>
      <c r="E184" s="16">
        <v>42597.650960648149</v>
      </c>
      <c r="F184" s="16">
        <v>42597.651990740742</v>
      </c>
      <c r="G184" s="7">
        <v>1</v>
      </c>
      <c r="H184" s="16" t="s">
        <v>591</v>
      </c>
      <c r="I184" s="16">
        <v>42597.663888888892</v>
      </c>
      <c r="J184" s="7">
        <v>0</v>
      </c>
      <c r="K184" s="142" t="str">
        <f t="shared" si="40"/>
        <v>4015/4016</v>
      </c>
      <c r="L184" s="25" t="str">
        <f>VLOOKUP(A184,'Trips&amp;Operators'!$C$1:$E$10000,3,FALSE)</f>
        <v>BRUDER</v>
      </c>
      <c r="M184" s="6">
        <f t="shared" si="41"/>
        <v>1.1898148150066845E-2</v>
      </c>
      <c r="N184" s="7">
        <f t="shared" si="42"/>
        <v>17.133333336096257</v>
      </c>
      <c r="O184" s="7"/>
      <c r="P184" s="7"/>
      <c r="Q184" s="26"/>
      <c r="R184" s="26"/>
      <c r="S184" s="38">
        <f t="shared" si="43"/>
        <v>1</v>
      </c>
      <c r="T184" s="53" t="str">
        <f t="shared" si="44"/>
        <v>Southbound</v>
      </c>
      <c r="U184" s="13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14:37:23-0600',mode:absolute,to:'2016-08-15 16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84" s="55" t="str">
        <f t="shared" si="46"/>
        <v>N</v>
      </c>
      <c r="X184" s="129">
        <f t="shared" si="47"/>
        <v>1</v>
      </c>
      <c r="Y184" s="70">
        <f t="shared" si="48"/>
        <v>5.8604000000000003</v>
      </c>
      <c r="Z184" s="70">
        <f t="shared" si="49"/>
        <v>8.0100000000000005E-2</v>
      </c>
      <c r="AA184" s="70">
        <f t="shared" si="50"/>
        <v>5.7803000000000004</v>
      </c>
      <c r="AB184" s="67" t="e">
        <f>VLOOKUP(A184,Enforcements!$C$7:$J$24,8,0)</f>
        <v>#N/A</v>
      </c>
      <c r="AC184" s="63" t="e">
        <f>VLOOKUP(A184,Enforcements!$C$7:$E$24,3,0)</f>
        <v>#N/A</v>
      </c>
      <c r="AD184" s="64" t="str">
        <f t="shared" si="51"/>
        <v>0826-15</v>
      </c>
      <c r="AE184" s="104" t="str">
        <f t="shared" si="52"/>
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</c>
      <c r="AF184" s="101" t="str">
        <f t="shared" si="53"/>
        <v>"C:\Program Files (x86)\AstroGrep\AstroGrep.exe" /spath="%USERPROFILE%\AppData\Local\Temp\OnboardLogs" /stypes="*4015*20160815*" /stext=" 21:.+((SYSTEM_STATE.+slice.+state.+changed )|(ment ac)|(system.+state.+changed )|(\|lc)|(penalty)|(\[timeout)|(PRM\|1\|D)|(kpr)|(kdp)|(\|loc))" /e /r /s</v>
      </c>
      <c r="AG184" s="1" t="str">
        <f t="shared" si="55"/>
        <v>NW</v>
      </c>
      <c r="AH184" s="105" t="str">
        <f t="shared" si="54"/>
        <v>"%USERPROFILE%\Documents\GitHub\eaglep3\Utilities\RefineRTDCRunTimes.py" --tripid 826-15 --locoid 4015 --swversion DE.1.0.7.0 --startMP 300:58604 --initTime 2016-08-15T15:37:23 --startdatetime 2016-08-15T15:38:52 --delay 1 --endMP 204:801 --enddatetime 2016-08-15T15:56:00 --enforcementcount 0</v>
      </c>
    </row>
    <row r="185" spans="1:34" x14ac:dyDescent="0.25">
      <c r="A185" s="40" t="s">
        <v>592</v>
      </c>
      <c r="B185" s="7">
        <v>4014</v>
      </c>
      <c r="C185" s="25" t="s">
        <v>119</v>
      </c>
      <c r="D185" s="25" t="s">
        <v>593</v>
      </c>
      <c r="E185" s="16">
        <v>42597.656597222223</v>
      </c>
      <c r="F185" s="16">
        <v>42597.657847222225</v>
      </c>
      <c r="G185" s="7">
        <v>1</v>
      </c>
      <c r="H185" s="16" t="s">
        <v>594</v>
      </c>
      <c r="I185" s="16">
        <v>42597.672083333331</v>
      </c>
      <c r="J185" s="7">
        <v>0</v>
      </c>
      <c r="K185" s="142" t="str">
        <f t="shared" si="40"/>
        <v>4013/4014</v>
      </c>
      <c r="L185" s="25" t="str">
        <f>VLOOKUP(A185,'Trips&amp;Operators'!$C$1:$E$10000,3,FALSE)</f>
        <v>STORY</v>
      </c>
      <c r="M185" s="6">
        <f t="shared" si="41"/>
        <v>1.4236111106583849E-2</v>
      </c>
      <c r="N185" s="7">
        <f t="shared" si="42"/>
        <v>20.499999993480742</v>
      </c>
      <c r="O185" s="7"/>
      <c r="P185" s="7"/>
      <c r="Q185" s="26"/>
      <c r="R185" s="26"/>
      <c r="S185" s="38">
        <f t="shared" si="43"/>
        <v>1</v>
      </c>
      <c r="T185" s="53" t="str">
        <f t="shared" si="44"/>
        <v>NorthBound</v>
      </c>
      <c r="U185" s="13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14:45:30-0600',mode:absolute,to:'2016-08-15 17:07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85" s="55" t="str">
        <f t="shared" si="46"/>
        <v>N</v>
      </c>
      <c r="X185" s="129">
        <f t="shared" si="47"/>
        <v>1</v>
      </c>
      <c r="Y185" s="70">
        <f t="shared" si="48"/>
        <v>3.8300000000000001E-2</v>
      </c>
      <c r="Z185" s="70">
        <f t="shared" si="49"/>
        <v>5.8968999999999996</v>
      </c>
      <c r="AA185" s="70">
        <f t="shared" si="50"/>
        <v>5.8585999999999991</v>
      </c>
      <c r="AB185" s="67" t="e">
        <f>VLOOKUP(A185,Enforcements!$C$7:$J$24,8,0)</f>
        <v>#N/A</v>
      </c>
      <c r="AC185" s="63" t="e">
        <f>VLOOKUP(A185,Enforcements!$C$7:$E$24,3,0)</f>
        <v>#N/A</v>
      </c>
      <c r="AD185" s="64" t="str">
        <f t="shared" si="51"/>
        <v>0827-15</v>
      </c>
      <c r="AE185" s="104" t="str">
        <f t="shared" si="52"/>
        <v>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 &amp; 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</v>
      </c>
      <c r="AF185" s="101" t="str">
        <f t="shared" si="53"/>
        <v>"C:\Program Files (x86)\AstroGrep\AstroGrep.exe" /spath="%USERPROFILE%\AppData\Local\Temp\OnboardLogs" /stypes="*4014*20160815*" /stext=" 22:.+((SYSTEM_STATE.+slice.+state.+changed )|(ment ac)|(system.+state.+changed )|(\|lc)|(penalty)|(\[timeout)|(PRM\|1\|D)|(kpr)|(kdp)|(\|loc))" /e /r /s</v>
      </c>
      <c r="AG185" s="1" t="str">
        <f t="shared" si="55"/>
        <v>NW</v>
      </c>
      <c r="AH185" s="105" t="str">
        <f t="shared" si="54"/>
        <v>"%USERPROFILE%\Documents\GitHub\eaglep3\Utilities\RefineRTDCRunTimes.py" --tripid 827-15 --locoid 4014 --swversion DE.1.0.7.0 --startMP 204:383 --initTime 2016-08-15T15:45:30 --startdatetime 2016-08-15T15:47:18 --delay 1 --endMP 300:58969 --enddatetime 2016-08-15T16:07:48 --enforcementcount 0</v>
      </c>
    </row>
    <row r="186" spans="1:34" x14ac:dyDescent="0.25">
      <c r="A186" s="40" t="s">
        <v>595</v>
      </c>
      <c r="B186" s="7">
        <v>4013</v>
      </c>
      <c r="C186" s="25" t="s">
        <v>119</v>
      </c>
      <c r="D186" s="25" t="s">
        <v>596</v>
      </c>
      <c r="E186" s="16">
        <v>42597.674270833333</v>
      </c>
      <c r="F186" s="16">
        <v>42597.675034722219</v>
      </c>
      <c r="G186" s="7">
        <v>1</v>
      </c>
      <c r="H186" s="16" t="s">
        <v>597</v>
      </c>
      <c r="I186" s="16">
        <v>42597.684930555559</v>
      </c>
      <c r="J186" s="7">
        <v>0</v>
      </c>
      <c r="K186" s="142" t="str">
        <f t="shared" si="40"/>
        <v>4013/4014</v>
      </c>
      <c r="L186" s="25" t="str">
        <f>VLOOKUP(A186,'Trips&amp;Operators'!$C$1:$E$10000,3,FALSE)</f>
        <v>STORY</v>
      </c>
      <c r="M186" s="6">
        <f t="shared" si="41"/>
        <v>9.8958333401242271E-3</v>
      </c>
      <c r="N186" s="7">
        <f t="shared" si="42"/>
        <v>14.250000009778887</v>
      </c>
      <c r="O186" s="7"/>
      <c r="P186" s="7"/>
      <c r="Q186" s="26"/>
      <c r="R186" s="26"/>
      <c r="S186" s="38">
        <f t="shared" si="43"/>
        <v>1</v>
      </c>
      <c r="T186" s="53" t="str">
        <f t="shared" si="44"/>
        <v>Southbound</v>
      </c>
      <c r="U186" s="13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15:10:57-0600',mode:absolute,to:'2016-08-15 17:26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86" s="55" t="str">
        <f t="shared" si="46"/>
        <v>N</v>
      </c>
      <c r="X186" s="129">
        <f t="shared" si="47"/>
        <v>1</v>
      </c>
      <c r="Y186" s="70">
        <f t="shared" si="48"/>
        <v>5.8640999999999996</v>
      </c>
      <c r="Z186" s="70">
        <f t="shared" si="49"/>
        <v>7.7100000000000002E-2</v>
      </c>
      <c r="AA186" s="70">
        <f t="shared" si="50"/>
        <v>5.7869999999999999</v>
      </c>
      <c r="AB186" s="67" t="e">
        <f>VLOOKUP(A186,Enforcements!$C$7:$J$24,8,0)</f>
        <v>#N/A</v>
      </c>
      <c r="AC186" s="63" t="e">
        <f>VLOOKUP(A186,Enforcements!$C$7:$E$24,3,0)</f>
        <v>#N/A</v>
      </c>
      <c r="AD186" s="64" t="str">
        <f t="shared" si="51"/>
        <v>0828-15</v>
      </c>
      <c r="AE186" s="104" t="str">
        <f t="shared" si="52"/>
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</c>
      <c r="AF186" s="101" t="str">
        <f t="shared" si="53"/>
        <v>"C:\Program Files (x86)\AstroGrep\AstroGrep.exe" /spath="%USERPROFILE%\AppData\Local\Temp\OnboardLogs" /stypes="*4013*20160815*" /stext=" 22:.+((SYSTEM_STATE.+slice.+state.+changed )|(ment ac)|(system.+state.+changed )|(\|lc)|(penalty)|(\[timeout)|(PRM\|1\|D)|(kpr)|(kdp)|(\|loc))" /e /r /s</v>
      </c>
      <c r="AG186" s="1" t="str">
        <f t="shared" si="55"/>
        <v>NW</v>
      </c>
      <c r="AH186" s="105" t="str">
        <f t="shared" si="54"/>
        <v>"%USERPROFILE%\Documents\GitHub\eaglep3\Utilities\RefineRTDCRunTimes.py" --tripid 828-15 --locoid 4013 --swversion DE.1.0.7.0 --startMP 300:58641 --initTime 2016-08-15T16:10:57 --startdatetime 2016-08-15T16:12:03 --delay 1 --endMP 204:771 --enddatetime 2016-08-15T16:26:18 --enforcementcount 0</v>
      </c>
    </row>
    <row r="187" spans="1:34" x14ac:dyDescent="0.25">
      <c r="A187" s="40" t="s">
        <v>598</v>
      </c>
      <c r="B187" s="7">
        <v>4016</v>
      </c>
      <c r="C187" s="25" t="s">
        <v>119</v>
      </c>
      <c r="D187" s="25" t="s">
        <v>599</v>
      </c>
      <c r="E187" s="16">
        <v>42597.676030092596</v>
      </c>
      <c r="F187" s="16">
        <v>42597.677106481482</v>
      </c>
      <c r="G187" s="7">
        <v>1</v>
      </c>
      <c r="H187" s="16" t="s">
        <v>600</v>
      </c>
      <c r="I187" s="16">
        <v>42597.692256944443</v>
      </c>
      <c r="J187" s="7">
        <v>0</v>
      </c>
      <c r="K187" s="142" t="str">
        <f t="shared" si="40"/>
        <v>4015/4016</v>
      </c>
      <c r="L187" s="25" t="str">
        <f>VLOOKUP(A187,'Trips&amp;Operators'!$C$1:$E$10000,3,FALSE)</f>
        <v>BRUDER</v>
      </c>
      <c r="M187" s="6">
        <f t="shared" si="41"/>
        <v>1.5150462961173616E-2</v>
      </c>
      <c r="N187" s="7">
        <f t="shared" si="42"/>
        <v>21.816666664090008</v>
      </c>
      <c r="O187" s="7"/>
      <c r="P187" s="7"/>
      <c r="Q187" s="26"/>
      <c r="R187" s="26"/>
      <c r="S187" s="38">
        <f t="shared" si="43"/>
        <v>1</v>
      </c>
      <c r="T187" s="53" t="str">
        <f t="shared" si="44"/>
        <v>NorthBound</v>
      </c>
      <c r="U187" s="13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15:13:29-0600',mode:absolute,to:'2016-08-15 17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87" s="55" t="str">
        <f t="shared" si="46"/>
        <v>N</v>
      </c>
      <c r="X187" s="129">
        <f t="shared" si="47"/>
        <v>1</v>
      </c>
      <c r="Y187" s="70">
        <f t="shared" si="48"/>
        <v>0.11</v>
      </c>
      <c r="Z187" s="70">
        <f t="shared" si="49"/>
        <v>5.8917999999999999</v>
      </c>
      <c r="AA187" s="70">
        <f t="shared" si="50"/>
        <v>5.7817999999999996</v>
      </c>
      <c r="AB187" s="67" t="e">
        <f>VLOOKUP(A187,Enforcements!$C$7:$J$24,8,0)</f>
        <v>#N/A</v>
      </c>
      <c r="AC187" s="63" t="e">
        <f>VLOOKUP(A187,Enforcements!$C$7:$E$24,3,0)</f>
        <v>#N/A</v>
      </c>
      <c r="AD187" s="64" t="str">
        <f t="shared" si="51"/>
        <v>0829-15</v>
      </c>
      <c r="AE187" s="104" t="str">
        <f t="shared" si="52"/>
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</c>
      <c r="AF187" s="101" t="str">
        <f t="shared" si="53"/>
        <v>"C:\Program Files (x86)\AstroGrep\AstroGrep.exe" /spath="%USERPROFILE%\AppData\Local\Temp\OnboardLogs" /stypes="*4016*20160815*" /stext=" 22:.+((SYSTEM_STATE.+slice.+state.+changed )|(ment ac)|(system.+state.+changed )|(\|lc)|(penalty)|(\[timeout)|(PRM\|1\|D)|(kpr)|(kdp)|(\|loc))" /e /r /s</v>
      </c>
      <c r="AG187" s="1" t="str">
        <f t="shared" si="55"/>
        <v>NW</v>
      </c>
      <c r="AH187" s="105" t="str">
        <f t="shared" si="54"/>
        <v>"%USERPROFILE%\Documents\GitHub\eaglep3\Utilities\RefineRTDCRunTimes.py" --tripid 829-15 --locoid 4016 --swversion DE.1.0.7.0 --startMP 204:1100 --initTime 2016-08-15T16:13:29 --startdatetime 2016-08-15T16:15:02 --delay 1 --endMP 300:58918 --enddatetime 2016-08-15T16:36:51 --enforcementcount 0</v>
      </c>
    </row>
    <row r="188" spans="1:34" x14ac:dyDescent="0.25">
      <c r="A188" s="40" t="s">
        <v>601</v>
      </c>
      <c r="B188" s="7">
        <v>4015</v>
      </c>
      <c r="C188" s="25" t="s">
        <v>119</v>
      </c>
      <c r="D188" s="25" t="s">
        <v>602</v>
      </c>
      <c r="E188" s="16">
        <v>42597.693344907406</v>
      </c>
      <c r="F188" s="16">
        <v>42597.694178240738</v>
      </c>
      <c r="G188" s="7">
        <v>1</v>
      </c>
      <c r="H188" s="16" t="s">
        <v>298</v>
      </c>
      <c r="I188" s="16">
        <v>42597.712500000001</v>
      </c>
      <c r="J188" s="7">
        <v>0</v>
      </c>
      <c r="K188" s="142" t="str">
        <f t="shared" si="40"/>
        <v>4015/4016</v>
      </c>
      <c r="L188" s="25" t="str">
        <f>VLOOKUP(A188,'Trips&amp;Operators'!$C$1:$E$10000,3,FALSE)</f>
        <v>BRUDER</v>
      </c>
      <c r="M188" s="6">
        <f t="shared" si="41"/>
        <v>1.8321759263926651E-2</v>
      </c>
      <c r="N188" s="7">
        <f t="shared" si="42"/>
        <v>26.383333340054378</v>
      </c>
      <c r="O188" s="7"/>
      <c r="P188" s="7"/>
      <c r="Q188" s="26"/>
      <c r="R188" s="26"/>
      <c r="S188" s="38">
        <f t="shared" si="43"/>
        <v>1</v>
      </c>
      <c r="T188" s="53" t="str">
        <f t="shared" si="44"/>
        <v>Southbound</v>
      </c>
      <c r="U188" s="13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15:38:25-0600',mode:absolute,to:'2016-08-15 18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88" s="55" t="str">
        <f t="shared" si="46"/>
        <v>N</v>
      </c>
      <c r="X188" s="129">
        <f t="shared" si="47"/>
        <v>1</v>
      </c>
      <c r="Y188" s="70">
        <f t="shared" si="48"/>
        <v>5.8601999999999999</v>
      </c>
      <c r="Z188" s="70">
        <f t="shared" si="49"/>
        <v>6.8699999999999997E-2</v>
      </c>
      <c r="AA188" s="70">
        <f t="shared" si="50"/>
        <v>5.7915000000000001</v>
      </c>
      <c r="AB188" s="67" t="e">
        <f>VLOOKUP(A188,Enforcements!$C$7:$J$24,8,0)</f>
        <v>#N/A</v>
      </c>
      <c r="AC188" s="63" t="e">
        <f>VLOOKUP(A188,Enforcements!$C$7:$E$24,3,0)</f>
        <v>#N/A</v>
      </c>
      <c r="AD188" s="64" t="str">
        <f t="shared" si="51"/>
        <v>0830-15</v>
      </c>
      <c r="AE188" s="104" t="str">
        <f t="shared" si="52"/>
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</c>
      <c r="AF188" s="101" t="str">
        <f t="shared" si="53"/>
        <v>"C:\Program Files (x86)\AstroGrep\AstroGrep.exe" /spath="%USERPROFILE%\AppData\Local\Temp\OnboardLogs" /stypes="*4015*20160815*" /stext=" 23:.+((SYSTEM_STATE.+slice.+state.+changed )|(ment ac)|(system.+state.+changed )|(\|lc)|(penalty)|(\[timeout)|(PRM\|1\|D)|(kpr)|(kdp)|(\|loc))" /e /r /s</v>
      </c>
      <c r="AG188" s="1" t="str">
        <f t="shared" si="55"/>
        <v>NW</v>
      </c>
      <c r="AH188" s="105" t="str">
        <f t="shared" si="54"/>
        <v>"%USERPROFILE%\Documents\GitHub\eaglep3\Utilities\RefineRTDCRunTimes.py" --tripid 830-15 --locoid 4015 --swversion DE.1.0.7.0 --startMP 300:58602 --initTime 2016-08-15T16:38:25 --startdatetime 2016-08-15T16:39:37 --delay 1 --endMP 204:687 --enddatetime 2016-08-15T17:06:00 --enforcementcount 0</v>
      </c>
    </row>
    <row r="189" spans="1:34" x14ac:dyDescent="0.25">
      <c r="A189" s="40" t="s">
        <v>603</v>
      </c>
      <c r="B189" s="7">
        <v>4014</v>
      </c>
      <c r="C189" s="25" t="s">
        <v>119</v>
      </c>
      <c r="D189" s="25" t="s">
        <v>604</v>
      </c>
      <c r="E189" s="16">
        <v>42597.699328703704</v>
      </c>
      <c r="F189" s="16">
        <v>42597.700578703705</v>
      </c>
      <c r="G189" s="7">
        <v>1</v>
      </c>
      <c r="H189" s="16" t="s">
        <v>605</v>
      </c>
      <c r="I189" s="16">
        <v>42597.714444444442</v>
      </c>
      <c r="J189" s="7">
        <v>0</v>
      </c>
      <c r="K189" s="142" t="str">
        <f t="shared" si="40"/>
        <v>4013/4014</v>
      </c>
      <c r="L189" s="25" t="str">
        <f>VLOOKUP(A189,'Trips&amp;Operators'!$C$1:$E$10000,3,FALSE)</f>
        <v>STORY</v>
      </c>
      <c r="M189" s="6">
        <f t="shared" si="41"/>
        <v>1.3865740736946464E-2</v>
      </c>
      <c r="N189" s="7">
        <f t="shared" si="42"/>
        <v>19.966666661202908</v>
      </c>
      <c r="O189" s="7"/>
      <c r="P189" s="7"/>
      <c r="Q189" s="26"/>
      <c r="R189" s="26"/>
      <c r="S189" s="38">
        <f t="shared" si="43"/>
        <v>1</v>
      </c>
      <c r="T189" s="53" t="str">
        <f t="shared" si="44"/>
        <v>NorthBound</v>
      </c>
      <c r="U189" s="13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15:47:02-0600',mode:absolute,to:'2016-08-15 18:08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89" s="55" t="str">
        <f t="shared" si="46"/>
        <v>N</v>
      </c>
      <c r="X189" s="129">
        <f t="shared" si="47"/>
        <v>1</v>
      </c>
      <c r="Y189" s="70">
        <f t="shared" si="48"/>
        <v>0.10630000000000001</v>
      </c>
      <c r="Z189" s="70">
        <f t="shared" si="49"/>
        <v>5.8978000000000002</v>
      </c>
      <c r="AA189" s="70">
        <f t="shared" si="50"/>
        <v>5.7915000000000001</v>
      </c>
      <c r="AB189" s="67" t="e">
        <f>VLOOKUP(A189,Enforcements!$C$7:$J$24,8,0)</f>
        <v>#N/A</v>
      </c>
      <c r="AC189" s="63" t="e">
        <f>VLOOKUP(A189,Enforcements!$C$7:$E$24,3,0)</f>
        <v>#N/A</v>
      </c>
      <c r="AD189" s="64" t="str">
        <f t="shared" si="51"/>
        <v>0831-15</v>
      </c>
      <c r="AE189" s="104" t="str">
        <f t="shared" si="52"/>
        <v>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 &amp; 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</v>
      </c>
      <c r="AF189" s="101" t="str">
        <f t="shared" si="53"/>
        <v>"C:\Program Files (x86)\AstroGrep\AstroGrep.exe" /spath="%USERPROFILE%\AppData\Local\Temp\OnboardLogs" /stypes="*4014*20160815*" /stext=" 23:.+((SYSTEM_STATE.+slice.+state.+changed )|(ment ac)|(system.+state.+changed )|(\|lc)|(penalty)|(\[timeout)|(PRM\|1\|D)|(kpr)|(kdp)|(\|loc))" /e /r /s</v>
      </c>
      <c r="AG189" s="1" t="str">
        <f t="shared" si="55"/>
        <v>NW</v>
      </c>
      <c r="AH189" s="105" t="str">
        <f t="shared" si="54"/>
        <v>"%USERPROFILE%\Documents\GitHub\eaglep3\Utilities\RefineRTDCRunTimes.py" --tripid 831-15 --locoid 4014 --swversion DE.1.0.7.0 --startMP 204:1063 --initTime 2016-08-15T16:47:02 --startdatetime 2016-08-15T16:48:50 --delay 1 --endMP 300:58978 --enddatetime 2016-08-15T17:08:48 --enforcementcount 0</v>
      </c>
    </row>
    <row r="190" spans="1:34" x14ac:dyDescent="0.25">
      <c r="A190" s="40" t="s">
        <v>606</v>
      </c>
      <c r="B190" s="7">
        <v>4013</v>
      </c>
      <c r="C190" s="25" t="s">
        <v>119</v>
      </c>
      <c r="D190" s="25" t="s">
        <v>607</v>
      </c>
      <c r="E190" s="16">
        <v>42597.71533564815</v>
      </c>
      <c r="F190" s="16">
        <v>42597.716226851851</v>
      </c>
      <c r="G190" s="7">
        <v>1</v>
      </c>
      <c r="H190" s="16" t="s">
        <v>608</v>
      </c>
      <c r="I190" s="16">
        <v>42597.727256944447</v>
      </c>
      <c r="J190" s="7">
        <v>0</v>
      </c>
      <c r="K190" s="142" t="str">
        <f t="shared" si="40"/>
        <v>4013/4014</v>
      </c>
      <c r="L190" s="25" t="str">
        <f>VLOOKUP(A190,'Trips&amp;Operators'!$C$1:$E$10000,3,FALSE)</f>
        <v>STORY</v>
      </c>
      <c r="M190" s="6">
        <f t="shared" si="41"/>
        <v>1.1030092595319729E-2</v>
      </c>
      <c r="N190" s="7">
        <f t="shared" si="42"/>
        <v>15.88333333726041</v>
      </c>
      <c r="O190" s="7"/>
      <c r="P190" s="7"/>
      <c r="Q190" s="26"/>
      <c r="R190" s="26"/>
      <c r="S190" s="38">
        <f t="shared" si="43"/>
        <v>1</v>
      </c>
      <c r="T190" s="53" t="str">
        <f t="shared" si="44"/>
        <v>Southbound</v>
      </c>
      <c r="U190" s="13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16:10:05-0600',mode:absolute,to:'2016-08-15 18:27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90" s="55" t="str">
        <f t="shared" si="46"/>
        <v>N</v>
      </c>
      <c r="X190" s="129">
        <f t="shared" si="47"/>
        <v>1</v>
      </c>
      <c r="Y190" s="70">
        <f t="shared" si="48"/>
        <v>5.8663999999999996</v>
      </c>
      <c r="Z190" s="70">
        <f t="shared" si="49"/>
        <v>6.7500000000000004E-2</v>
      </c>
      <c r="AA190" s="70">
        <f t="shared" si="50"/>
        <v>5.7988999999999997</v>
      </c>
      <c r="AB190" s="67" t="e">
        <f>VLOOKUP(A190,Enforcements!$C$7:$J$24,8,0)</f>
        <v>#N/A</v>
      </c>
      <c r="AC190" s="63" t="e">
        <f>VLOOKUP(A190,Enforcements!$C$7:$E$24,3,0)</f>
        <v>#N/A</v>
      </c>
      <c r="AD190" s="64" t="str">
        <f t="shared" si="51"/>
        <v>0832-15</v>
      </c>
      <c r="AE190" s="104" t="str">
        <f t="shared" si="52"/>
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</c>
      <c r="AF190" s="101" t="str">
        <f t="shared" si="53"/>
        <v>"C:\Program Files (x86)\AstroGrep\AstroGrep.exe" /spath="%USERPROFILE%\AppData\Local\Temp\OnboardLogs" /stypes="*4013*20160815*" /stext=" 23:.+((SYSTEM_STATE.+slice.+state.+changed )|(ment ac)|(system.+state.+changed )|(\|lc)|(penalty)|(\[timeout)|(PRM\|1\|D)|(kpr)|(kdp)|(\|loc))" /e /r /s</v>
      </c>
      <c r="AG190" s="1" t="str">
        <f t="shared" si="55"/>
        <v>NW</v>
      </c>
      <c r="AH190" s="105" t="str">
        <f t="shared" si="54"/>
        <v>"%USERPROFILE%\Documents\GitHub\eaglep3\Utilities\RefineRTDCRunTimes.py" --tripid 832-15 --locoid 4013 --swversion DE.1.0.7.0 --startMP 300:58664 --initTime 2016-08-15T17:10:05 --startdatetime 2016-08-15T17:11:22 --delay 1 --endMP 204:675 --enddatetime 2016-08-15T17:27:15 --enforcementcount 0</v>
      </c>
    </row>
    <row r="191" spans="1:34" x14ac:dyDescent="0.25">
      <c r="A191" s="40" t="s">
        <v>609</v>
      </c>
      <c r="B191" s="7">
        <v>4016</v>
      </c>
      <c r="C191" s="25" t="s">
        <v>119</v>
      </c>
      <c r="D191" s="25" t="s">
        <v>572</v>
      </c>
      <c r="E191" s="16">
        <v>42597.716793981483</v>
      </c>
      <c r="F191" s="16">
        <v>42597.71770833333</v>
      </c>
      <c r="G191" s="7">
        <v>1</v>
      </c>
      <c r="H191" s="16" t="s">
        <v>610</v>
      </c>
      <c r="I191" s="16">
        <v>42597.733414351853</v>
      </c>
      <c r="J191" s="7">
        <v>0</v>
      </c>
      <c r="K191" s="142" t="str">
        <f t="shared" si="40"/>
        <v>4015/4016</v>
      </c>
      <c r="L191" s="25" t="str">
        <f>VLOOKUP(A191,'Trips&amp;Operators'!$C$1:$E$10000,3,FALSE)</f>
        <v>BRUDER</v>
      </c>
      <c r="M191" s="6">
        <f t="shared" si="41"/>
        <v>1.5706018522905651E-2</v>
      </c>
      <c r="N191" s="7">
        <f t="shared" si="42"/>
        <v>22.616666672984138</v>
      </c>
      <c r="O191" s="7"/>
      <c r="P191" s="7"/>
      <c r="Q191" s="26"/>
      <c r="R191" s="26"/>
      <c r="S191" s="38">
        <f t="shared" si="43"/>
        <v>1</v>
      </c>
      <c r="T191" s="53" t="str">
        <f t="shared" si="44"/>
        <v>NorthBound</v>
      </c>
      <c r="U191" s="13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16:12:11-0600',mode:absolute,to:'2016-08-15 18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91" s="55" t="str">
        <f t="shared" si="46"/>
        <v>N</v>
      </c>
      <c r="X191" s="129">
        <f t="shared" si="47"/>
        <v>1</v>
      </c>
      <c r="Y191" s="70">
        <f t="shared" si="48"/>
        <v>9.7799999999999998E-2</v>
      </c>
      <c r="Z191" s="70">
        <f t="shared" si="49"/>
        <v>5.8914</v>
      </c>
      <c r="AA191" s="70">
        <f t="shared" si="50"/>
        <v>5.7935999999999996</v>
      </c>
      <c r="AB191" s="67" t="e">
        <f>VLOOKUP(A191,Enforcements!$C$7:$J$24,8,0)</f>
        <v>#N/A</v>
      </c>
      <c r="AC191" s="63" t="e">
        <f>VLOOKUP(A191,Enforcements!$C$7:$E$24,3,0)</f>
        <v>#N/A</v>
      </c>
      <c r="AD191" s="64" t="str">
        <f t="shared" si="51"/>
        <v>0833-15</v>
      </c>
      <c r="AE191" s="104" t="str">
        <f t="shared" si="52"/>
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</c>
      <c r="AF191" s="101" t="str">
        <f t="shared" si="53"/>
        <v>"C:\Program Files (x86)\AstroGrep\AstroGrep.exe" /spath="%USERPROFILE%\AppData\Local\Temp\OnboardLogs" /stypes="*4016*20160815*" /stext=" 23:.+((SYSTEM_STATE.+slice.+state.+changed )|(ment ac)|(system.+state.+changed )|(\|lc)|(penalty)|(\[timeout)|(PRM\|1\|D)|(kpr)|(kdp)|(\|loc))" /e /r /s</v>
      </c>
      <c r="AG191" s="1" t="str">
        <f t="shared" si="55"/>
        <v>NW</v>
      </c>
      <c r="AH191" s="105" t="str">
        <f t="shared" si="54"/>
        <v>"%USERPROFILE%\Documents\GitHub\eaglep3\Utilities\RefineRTDCRunTimes.py" --tripid 833-15 --locoid 4016 --swversion DE.1.0.7.0 --startMP 204:978 --initTime 2016-08-15T17:12:11 --startdatetime 2016-08-15T17:13:30 --delay 1 --endMP 300:58914 --enddatetime 2016-08-15T17:36:07 --enforcementcount 0</v>
      </c>
    </row>
    <row r="192" spans="1:34" x14ac:dyDescent="0.25">
      <c r="A192" s="40" t="s">
        <v>611</v>
      </c>
      <c r="B192" s="7">
        <v>4015</v>
      </c>
      <c r="C192" s="25" t="s">
        <v>119</v>
      </c>
      <c r="D192" s="25" t="s">
        <v>602</v>
      </c>
      <c r="E192" s="16">
        <v>42597.734502314815</v>
      </c>
      <c r="F192" s="16">
        <v>42597.735462962963</v>
      </c>
      <c r="G192" s="7">
        <v>1</v>
      </c>
      <c r="H192" s="16" t="s">
        <v>296</v>
      </c>
      <c r="I192" s="16">
        <v>42597.747499999998</v>
      </c>
      <c r="J192" s="7">
        <v>0</v>
      </c>
      <c r="K192" s="142" t="str">
        <f t="shared" si="40"/>
        <v>4015/4016</v>
      </c>
      <c r="L192" s="25" t="str">
        <f>VLOOKUP(A192,'Trips&amp;Operators'!$C$1:$E$10000,3,FALSE)</f>
        <v>BRUDER</v>
      </c>
      <c r="M192" s="6">
        <f t="shared" si="41"/>
        <v>1.2037037035042886E-2</v>
      </c>
      <c r="N192" s="7">
        <f t="shared" si="42"/>
        <v>17.333333330461755</v>
      </c>
      <c r="O192" s="7"/>
      <c r="P192" s="7"/>
      <c r="Q192" s="26"/>
      <c r="R192" s="26"/>
      <c r="S192" s="38">
        <f t="shared" si="43"/>
        <v>1</v>
      </c>
      <c r="T192" s="53" t="str">
        <f t="shared" si="44"/>
        <v>Southbound</v>
      </c>
      <c r="U192" s="13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16:37:41-0600',mode:absolute,to:'2016-08-15 18:56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92" s="55" t="str">
        <f t="shared" si="46"/>
        <v>N</v>
      </c>
      <c r="X192" s="129">
        <f t="shared" si="47"/>
        <v>1</v>
      </c>
      <c r="Y192" s="70">
        <f t="shared" si="48"/>
        <v>5.8601999999999999</v>
      </c>
      <c r="Z192" s="70">
        <f t="shared" si="49"/>
        <v>6.8500000000000005E-2</v>
      </c>
      <c r="AA192" s="70">
        <f t="shared" si="50"/>
        <v>5.7916999999999996</v>
      </c>
      <c r="AB192" s="67" t="e">
        <f>VLOOKUP(A192,Enforcements!$C$7:$J$24,8,0)</f>
        <v>#N/A</v>
      </c>
      <c r="AC192" s="63" t="e">
        <f>VLOOKUP(A192,Enforcements!$C$7:$E$24,3,0)</f>
        <v>#N/A</v>
      </c>
      <c r="AD192" s="64" t="str">
        <f t="shared" si="51"/>
        <v>0834-15</v>
      </c>
      <c r="AE192" s="104" t="str">
        <f t="shared" si="52"/>
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</c>
      <c r="AF192" s="101" t="str">
        <f t="shared" si="53"/>
        <v>"C:\Program Files (x86)\AstroGrep\AstroGrep.exe" /spath="%USERPROFILE%\AppData\Local\Temp\OnboardLogs" /stypes="*4015*20160815*" /stext=" 23:.+((SYSTEM_STATE.+slice.+state.+changed )|(ment ac)|(system.+state.+changed )|(\|lc)|(penalty)|(\[timeout)|(PRM\|1\|D)|(kpr)|(kdp)|(\|loc))" /e /r /s</v>
      </c>
      <c r="AG192" s="1" t="str">
        <f t="shared" si="55"/>
        <v>NW</v>
      </c>
      <c r="AH192" s="105" t="str">
        <f t="shared" si="54"/>
        <v>"%USERPROFILE%\Documents\GitHub\eaglep3\Utilities\RefineRTDCRunTimes.py" --tripid 834-15 --locoid 4015 --swversion DE.1.0.7.0 --startMP 300:58602 --initTime 2016-08-15T17:37:41 --startdatetime 2016-08-15T17:39:04 --delay 1 --endMP 204:685 --enddatetime 2016-08-15T17:56:24 --enforcementcount 0</v>
      </c>
    </row>
    <row r="193" spans="1:34" x14ac:dyDescent="0.25">
      <c r="A193" s="40" t="s">
        <v>612</v>
      </c>
      <c r="B193" s="7">
        <v>4014</v>
      </c>
      <c r="C193" s="25" t="s">
        <v>119</v>
      </c>
      <c r="D193" s="25" t="s">
        <v>613</v>
      </c>
      <c r="E193" s="16">
        <v>42597.732719907406</v>
      </c>
      <c r="F193" s="16">
        <v>42597.733587962961</v>
      </c>
      <c r="G193" s="7">
        <v>1</v>
      </c>
      <c r="H193" s="16" t="s">
        <v>573</v>
      </c>
      <c r="I193" s="16">
        <v>42597.754467592589</v>
      </c>
      <c r="J193" s="7">
        <v>0</v>
      </c>
      <c r="K193" s="142" t="str">
        <f t="shared" si="40"/>
        <v>4013/4014</v>
      </c>
      <c r="L193" s="25" t="str">
        <f>VLOOKUP(A193,'Trips&amp;Operators'!$C$1:$E$10000,3,FALSE)</f>
        <v>STORY</v>
      </c>
      <c r="M193" s="6">
        <f t="shared" si="41"/>
        <v>2.0879629628325347E-2</v>
      </c>
      <c r="N193" s="7">
        <f t="shared" si="42"/>
        <v>30.066666664788499</v>
      </c>
      <c r="O193" s="7"/>
      <c r="P193" s="7"/>
      <c r="Q193" s="26"/>
      <c r="R193" s="26"/>
      <c r="S193" s="38">
        <f t="shared" si="43"/>
        <v>1</v>
      </c>
      <c r="T193" s="53" t="str">
        <f t="shared" si="44"/>
        <v>NorthBound</v>
      </c>
      <c r="U193" s="13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16:35:07-0600',mode:absolute,to:'2016-08-15 19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93" s="55" t="str">
        <f t="shared" si="46"/>
        <v>N</v>
      </c>
      <c r="X193" s="129">
        <f t="shared" si="47"/>
        <v>1</v>
      </c>
      <c r="Y193" s="70">
        <f t="shared" si="48"/>
        <v>9.6500000000000002E-2</v>
      </c>
      <c r="Z193" s="70">
        <f t="shared" si="49"/>
        <v>5.8979999999999997</v>
      </c>
      <c r="AA193" s="70">
        <f t="shared" si="50"/>
        <v>5.8014999999999999</v>
      </c>
      <c r="AB193" s="67" t="e">
        <f>VLOOKUP(A193,Enforcements!$C$7:$J$24,8,0)</f>
        <v>#N/A</v>
      </c>
      <c r="AC193" s="63" t="e">
        <f>VLOOKUP(A193,Enforcements!$C$7:$E$24,3,0)</f>
        <v>#N/A</v>
      </c>
      <c r="AD193" s="64" t="str">
        <f t="shared" si="51"/>
        <v>0835-15</v>
      </c>
      <c r="AE193" s="104" t="str">
        <f t="shared" si="52"/>
        <v>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 &amp; 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</v>
      </c>
      <c r="AF193" s="101" t="str">
        <f t="shared" si="53"/>
        <v>"C:\Program Files (x86)\AstroGrep\AstroGrep.exe" /spath="%USERPROFILE%\AppData\Local\Temp\OnboardLogs" /stypes="*4014*20160816*" /stext=" 00:.+((SYSTEM_STATE.+slice.+state.+changed )|(ment ac)|(system.+state.+changed )|(\|lc)|(penalty)|(\[timeout)|(PRM\|1\|D)|(kpr)|(kdp)|(\|loc))" /e /r /s</v>
      </c>
      <c r="AG193" s="1" t="str">
        <f t="shared" si="55"/>
        <v>NW</v>
      </c>
      <c r="AH193" s="105" t="str">
        <f t="shared" si="54"/>
        <v>"%USERPROFILE%\Documents\GitHub\eaglep3\Utilities\RefineRTDCRunTimes.py" --tripid 835-15 --locoid 4014 --swversion DE.1.0.7.0 --startMP 204:965 --initTime 2016-08-15T17:35:07 --startdatetime 2016-08-15T17:36:22 --delay 1 --endMP 300:58980 --enddatetime 2016-08-15T18:06:26 --enforcementcount 0</v>
      </c>
    </row>
    <row r="194" spans="1:34" x14ac:dyDescent="0.25">
      <c r="A194" s="40" t="s">
        <v>614</v>
      </c>
      <c r="B194" s="7">
        <v>4013</v>
      </c>
      <c r="C194" s="25" t="s">
        <v>119</v>
      </c>
      <c r="D194" s="25" t="s">
        <v>615</v>
      </c>
      <c r="E194" s="16">
        <v>42597.755416666667</v>
      </c>
      <c r="F194" s="16">
        <v>42597.75640046296</v>
      </c>
      <c r="G194" s="7">
        <v>1</v>
      </c>
      <c r="H194" s="16" t="s">
        <v>532</v>
      </c>
      <c r="I194" s="16">
        <v>42597.767847222225</v>
      </c>
      <c r="J194" s="7">
        <v>0</v>
      </c>
      <c r="K194" s="142" t="str">
        <f t="shared" si="40"/>
        <v>4013/4014</v>
      </c>
      <c r="L194" s="25" t="str">
        <f>VLOOKUP(A194,'Trips&amp;Operators'!$C$1:$E$10000,3,FALSE)</f>
        <v>STORY</v>
      </c>
      <c r="M194" s="6">
        <f t="shared" si="41"/>
        <v>1.1446759264799766E-2</v>
      </c>
      <c r="N194" s="7">
        <f t="shared" si="42"/>
        <v>16.483333341311663</v>
      </c>
      <c r="O194" s="7"/>
      <c r="P194" s="7"/>
      <c r="Q194" s="26"/>
      <c r="R194" s="26"/>
      <c r="S194" s="38">
        <f t="shared" si="43"/>
        <v>1</v>
      </c>
      <c r="T194" s="53" t="str">
        <f t="shared" si="44"/>
        <v>Southbound</v>
      </c>
      <c r="U194" s="13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17:07:48-0600',mode:absolute,to:'2016-08-15 19:25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94" s="55" t="str">
        <f t="shared" si="46"/>
        <v>N</v>
      </c>
      <c r="X194" s="129">
        <f t="shared" si="47"/>
        <v>1</v>
      </c>
      <c r="Y194" s="70">
        <f t="shared" si="48"/>
        <v>5.8667999999999996</v>
      </c>
      <c r="Z194" s="70">
        <f t="shared" si="49"/>
        <v>6.3799999999999996E-2</v>
      </c>
      <c r="AA194" s="70">
        <f t="shared" si="50"/>
        <v>5.8029999999999999</v>
      </c>
      <c r="AB194" s="67" t="e">
        <f>VLOOKUP(A194,Enforcements!$C$7:$J$24,8,0)</f>
        <v>#N/A</v>
      </c>
      <c r="AC194" s="63" t="e">
        <f>VLOOKUP(A194,Enforcements!$C$7:$E$24,3,0)</f>
        <v>#N/A</v>
      </c>
      <c r="AD194" s="64" t="str">
        <f t="shared" si="51"/>
        <v>0836-15</v>
      </c>
      <c r="AE194" s="104" t="str">
        <f t="shared" si="52"/>
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</c>
      <c r="AF194" s="101" t="str">
        <f t="shared" si="53"/>
        <v>"C:\Program Files (x86)\AstroGrep\AstroGrep.exe" /spath="%USERPROFILE%\AppData\Local\Temp\OnboardLogs" /stypes="*4013*20160816*" /stext=" 00:.+((SYSTEM_STATE.+slice.+state.+changed )|(ment ac)|(system.+state.+changed )|(\|lc)|(penalty)|(\[timeout)|(PRM\|1\|D)|(kpr)|(kdp)|(\|loc))" /e /r /s</v>
      </c>
      <c r="AG194" s="1" t="str">
        <f t="shared" si="55"/>
        <v>NW</v>
      </c>
      <c r="AH194" s="105" t="str">
        <f t="shared" si="54"/>
        <v>"%USERPROFILE%\Documents\GitHub\eaglep3\Utilities\RefineRTDCRunTimes.py" --tripid 836-15 --locoid 4013 --swversion DE.1.0.7.0 --startMP 300:58668 --initTime 2016-08-15T18:07:48 --startdatetime 2016-08-15T18:09:13 --delay 1 --endMP 204:638 --enddatetime 2016-08-15T18:25:42 --enforcementcount 0</v>
      </c>
    </row>
    <row r="195" spans="1:34" x14ac:dyDescent="0.25">
      <c r="A195" s="40" t="s">
        <v>616</v>
      </c>
      <c r="B195" s="7">
        <v>4016</v>
      </c>
      <c r="C195" s="25" t="s">
        <v>119</v>
      </c>
      <c r="D195" s="25" t="s">
        <v>613</v>
      </c>
      <c r="E195" s="16">
        <v>42597.749907407408</v>
      </c>
      <c r="F195" s="16">
        <v>42597.750659722224</v>
      </c>
      <c r="G195" s="7">
        <v>1</v>
      </c>
      <c r="H195" s="16" t="s">
        <v>617</v>
      </c>
      <c r="I195" s="16">
        <v>42597.774583333332</v>
      </c>
      <c r="J195" s="7">
        <v>0</v>
      </c>
      <c r="K195" s="142" t="str">
        <f t="shared" si="40"/>
        <v>4015/4016</v>
      </c>
      <c r="L195" s="25" t="str">
        <f>VLOOKUP(A195,'Trips&amp;Operators'!$C$1:$E$10000,3,FALSE)</f>
        <v>BRUDER</v>
      </c>
      <c r="M195" s="6">
        <f t="shared" si="41"/>
        <v>2.3923611108330078E-2</v>
      </c>
      <c r="N195" s="7">
        <f t="shared" si="42"/>
        <v>34.449999995995313</v>
      </c>
      <c r="O195" s="7"/>
      <c r="P195" s="7"/>
      <c r="Q195" s="26"/>
      <c r="R195" s="26"/>
      <c r="S195" s="38">
        <f t="shared" si="43"/>
        <v>1</v>
      </c>
      <c r="T195" s="53" t="str">
        <f t="shared" si="44"/>
        <v>NorthBound</v>
      </c>
      <c r="U195" s="13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16:59:52-0600',mode:absolute,to:'2016-08-15 19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95" s="55" t="str">
        <f t="shared" si="46"/>
        <v>N</v>
      </c>
      <c r="X195" s="129">
        <f t="shared" si="47"/>
        <v>1</v>
      </c>
      <c r="Y195" s="70">
        <f t="shared" si="48"/>
        <v>9.6500000000000002E-2</v>
      </c>
      <c r="Z195" s="70">
        <f t="shared" si="49"/>
        <v>5.8909000000000002</v>
      </c>
      <c r="AA195" s="70">
        <f t="shared" si="50"/>
        <v>5.7944000000000004</v>
      </c>
      <c r="AB195" s="67" t="e">
        <f>VLOOKUP(A195,Enforcements!$C$7:$J$24,8,0)</f>
        <v>#N/A</v>
      </c>
      <c r="AC195" s="63" t="e">
        <f>VLOOKUP(A195,Enforcements!$C$7:$E$24,3,0)</f>
        <v>#N/A</v>
      </c>
      <c r="AD195" s="64" t="str">
        <f t="shared" si="51"/>
        <v>0837-15</v>
      </c>
      <c r="AE195" s="104" t="str">
        <f t="shared" si="52"/>
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</c>
      <c r="AF195" s="101" t="str">
        <f t="shared" si="53"/>
        <v>"C:\Program Files (x86)\AstroGrep\AstroGrep.exe" /spath="%USERPROFILE%\AppData\Local\Temp\OnboardLogs" /stypes="*4016*20160816*" /stext=" 00:.+((SYSTEM_STATE.+slice.+state.+changed )|(ment ac)|(system.+state.+changed )|(\|lc)|(penalty)|(\[timeout)|(PRM\|1\|D)|(kpr)|(kdp)|(\|loc))" /e /r /s</v>
      </c>
      <c r="AG195" s="1" t="str">
        <f t="shared" si="55"/>
        <v>NW</v>
      </c>
      <c r="AH195" s="105" t="str">
        <f t="shared" si="54"/>
        <v>"%USERPROFILE%\Documents\GitHub\eaglep3\Utilities\RefineRTDCRunTimes.py" --tripid 837-15 --locoid 4016 --swversion DE.1.0.7.0 --startMP 204:965 --initTime 2016-08-15T17:59:52 --startdatetime 2016-08-15T18:00:57 --delay 1 --endMP 300:58909 --enddatetime 2016-08-15T18:35:24 --enforcementcount 0</v>
      </c>
    </row>
    <row r="196" spans="1:34" x14ac:dyDescent="0.25">
      <c r="A196" s="40" t="s">
        <v>618</v>
      </c>
      <c r="B196" s="7">
        <v>4015</v>
      </c>
      <c r="C196" s="25" t="s">
        <v>119</v>
      </c>
      <c r="D196" s="25" t="s">
        <v>590</v>
      </c>
      <c r="E196" s="16">
        <v>42597.775752314818</v>
      </c>
      <c r="F196" s="16">
        <v>42597.776805555557</v>
      </c>
      <c r="G196" s="7">
        <v>1</v>
      </c>
      <c r="H196" s="16" t="s">
        <v>570</v>
      </c>
      <c r="I196" s="16">
        <v>42597.789050925923</v>
      </c>
      <c r="J196" s="7">
        <v>0</v>
      </c>
      <c r="K196" s="142" t="str">
        <f t="shared" si="40"/>
        <v>4015/4016</v>
      </c>
      <c r="L196" s="25" t="str">
        <f>VLOOKUP(A196,'Trips&amp;Operators'!$C$1:$E$10000,3,FALSE)</f>
        <v>BRUDER</v>
      </c>
      <c r="M196" s="6">
        <f t="shared" si="41"/>
        <v>1.2245370366144925E-2</v>
      </c>
      <c r="N196" s="7">
        <f t="shared" si="42"/>
        <v>17.633333327248693</v>
      </c>
      <c r="O196" s="7"/>
      <c r="P196" s="7"/>
      <c r="Q196" s="26"/>
      <c r="R196" s="26"/>
      <c r="S196" s="38">
        <f t="shared" si="43"/>
        <v>1</v>
      </c>
      <c r="T196" s="53" t="str">
        <f t="shared" si="44"/>
        <v>Southbound</v>
      </c>
      <c r="U196" s="13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17:37:05-0600',mode:absolute,to:'2016-08-15 19:56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96" s="55" t="str">
        <f t="shared" si="46"/>
        <v>N</v>
      </c>
      <c r="X196" s="129">
        <f t="shared" si="47"/>
        <v>1</v>
      </c>
      <c r="Y196" s="70">
        <f t="shared" si="48"/>
        <v>5.8604000000000003</v>
      </c>
      <c r="Z196" s="70">
        <f t="shared" si="49"/>
        <v>6.8000000000000005E-2</v>
      </c>
      <c r="AA196" s="70">
        <f t="shared" si="50"/>
        <v>5.7924000000000007</v>
      </c>
      <c r="AB196" s="67" t="e">
        <f>VLOOKUP(A196,Enforcements!$C$7:$J$24,8,0)</f>
        <v>#N/A</v>
      </c>
      <c r="AC196" s="63" t="e">
        <f>VLOOKUP(A196,Enforcements!$C$7:$E$24,3,0)</f>
        <v>#N/A</v>
      </c>
      <c r="AD196" s="64" t="str">
        <f t="shared" si="51"/>
        <v>0838-15</v>
      </c>
      <c r="AE196" s="104" t="str">
        <f t="shared" si="52"/>
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</c>
      <c r="AF196" s="101" t="str">
        <f t="shared" si="53"/>
        <v>"C:\Program Files (x86)\AstroGrep\AstroGrep.exe" /spath="%USERPROFILE%\AppData\Local\Temp\OnboardLogs" /stypes="*4015*20160816*" /stext=" 00:.+((SYSTEM_STATE.+slice.+state.+changed )|(ment ac)|(system.+state.+changed )|(\|lc)|(penalty)|(\[timeout)|(PRM\|1\|D)|(kpr)|(kdp)|(\|loc))" /e /r /s</v>
      </c>
      <c r="AG196" s="1" t="str">
        <f t="shared" si="55"/>
        <v>NW</v>
      </c>
      <c r="AH196" s="105" t="str">
        <f t="shared" si="54"/>
        <v>"%USERPROFILE%\Documents\GitHub\eaglep3\Utilities\RefineRTDCRunTimes.py" --tripid 838-15 --locoid 4015 --swversion DE.1.0.7.0 --startMP 300:58604 --initTime 2016-08-15T18:37:05 --startdatetime 2016-08-15T18:38:36 --delay 1 --endMP 204:680 --enddatetime 2016-08-15T18:56:14 --enforcementcount 0</v>
      </c>
    </row>
    <row r="197" spans="1:34" x14ac:dyDescent="0.25">
      <c r="A197" s="40" t="s">
        <v>619</v>
      </c>
      <c r="B197" s="7">
        <v>4014</v>
      </c>
      <c r="C197" s="25" t="s">
        <v>119</v>
      </c>
      <c r="D197" s="25" t="s">
        <v>620</v>
      </c>
      <c r="E197" s="16">
        <v>42597.780624999999</v>
      </c>
      <c r="F197" s="16">
        <v>42597.781377314815</v>
      </c>
      <c r="G197" s="7">
        <v>1</v>
      </c>
      <c r="H197" s="16" t="s">
        <v>621</v>
      </c>
      <c r="I197" s="16">
        <v>42597.797129629631</v>
      </c>
      <c r="J197" s="7">
        <v>0</v>
      </c>
      <c r="K197" s="142" t="str">
        <f t="shared" si="40"/>
        <v>4013/4014</v>
      </c>
      <c r="L197" s="25" t="str">
        <f>VLOOKUP(A197,'Trips&amp;Operators'!$C$1:$E$10000,3,FALSE)</f>
        <v>STORY</v>
      </c>
      <c r="M197" s="6">
        <f t="shared" si="41"/>
        <v>1.5752314815472346E-2</v>
      </c>
      <c r="N197" s="7">
        <f t="shared" si="42"/>
        <v>22.683333334280178</v>
      </c>
      <c r="O197" s="7"/>
      <c r="P197" s="7"/>
      <c r="Q197" s="26"/>
      <c r="R197" s="26"/>
      <c r="S197" s="38">
        <f t="shared" si="43"/>
        <v>1</v>
      </c>
      <c r="T197" s="53" t="str">
        <f t="shared" si="44"/>
        <v>NorthBound</v>
      </c>
      <c r="U197" s="13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17:44:06-0600',mode:absolute,to:'2016-08-15 20:07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97" s="55" t="str">
        <f t="shared" si="46"/>
        <v>N</v>
      </c>
      <c r="X197" s="129">
        <f t="shared" si="47"/>
        <v>1</v>
      </c>
      <c r="Y197" s="70">
        <f t="shared" si="48"/>
        <v>9.1800000000000007E-2</v>
      </c>
      <c r="Z197" s="70">
        <f t="shared" si="49"/>
        <v>5.8964999999999996</v>
      </c>
      <c r="AA197" s="70">
        <f t="shared" si="50"/>
        <v>5.8046999999999995</v>
      </c>
      <c r="AB197" s="67" t="e">
        <f>VLOOKUP(A197,Enforcements!$C$7:$J$24,8,0)</f>
        <v>#N/A</v>
      </c>
      <c r="AC197" s="63" t="e">
        <f>VLOOKUP(A197,Enforcements!$C$7:$E$24,3,0)</f>
        <v>#N/A</v>
      </c>
      <c r="AD197" s="64" t="str">
        <f t="shared" si="51"/>
        <v>0839-15</v>
      </c>
      <c r="AE197" s="104" t="str">
        <f t="shared" si="52"/>
        <v>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 &amp; 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</v>
      </c>
      <c r="AF197" s="101" t="str">
        <f t="shared" si="53"/>
        <v>"C:\Program Files (x86)\AstroGrep\AstroGrep.exe" /spath="%USERPROFILE%\AppData\Local\Temp\OnboardLogs" /stypes="*4014*20160816*" /stext=" 01:.+((SYSTEM_STATE.+slice.+state.+changed )|(ment ac)|(system.+state.+changed )|(\|lc)|(penalty)|(\[timeout)|(PRM\|1\|D)|(kpr)|(kdp)|(\|loc))" /e /r /s</v>
      </c>
      <c r="AG197" s="1" t="str">
        <f t="shared" si="55"/>
        <v>NW</v>
      </c>
      <c r="AH197" s="105" t="str">
        <f t="shared" si="54"/>
        <v>"%USERPROFILE%\Documents\GitHub\eaglep3\Utilities\RefineRTDCRunTimes.py" --tripid 839-15 --locoid 4014 --swversion DE.1.0.7.0 --startMP 204:918 --initTime 2016-08-15T18:44:06 --startdatetime 2016-08-15T18:45:11 --delay 1 --endMP 300:58965 --enddatetime 2016-08-15T19:07:52 --enforcementcount 0</v>
      </c>
    </row>
    <row r="198" spans="1:34" x14ac:dyDescent="0.25">
      <c r="A198" s="40" t="s">
        <v>622</v>
      </c>
      <c r="B198" s="7">
        <v>4015</v>
      </c>
      <c r="C198" s="25" t="s">
        <v>119</v>
      </c>
      <c r="D198" s="25" t="s">
        <v>590</v>
      </c>
      <c r="E198" s="16">
        <v>42597.817685185182</v>
      </c>
      <c r="F198" s="16">
        <v>42597.818645833337</v>
      </c>
      <c r="G198" s="7">
        <v>1</v>
      </c>
      <c r="H198" s="16" t="s">
        <v>263</v>
      </c>
      <c r="I198" s="16">
        <v>42597.830949074072</v>
      </c>
      <c r="J198" s="7">
        <v>0</v>
      </c>
      <c r="K198" s="142" t="str">
        <f t="shared" si="40"/>
        <v>4015/4016</v>
      </c>
      <c r="L198" s="25" t="str">
        <f>VLOOKUP(A198,'Trips&amp;Operators'!$C$1:$E$10000,3,FALSE)</f>
        <v>BRUDER</v>
      </c>
      <c r="M198" s="6">
        <f t="shared" si="41"/>
        <v>1.2303240735491272E-2</v>
      </c>
      <c r="N198" s="7">
        <f t="shared" si="42"/>
        <v>17.716666659107432</v>
      </c>
      <c r="O198" s="7"/>
      <c r="P198" s="7"/>
      <c r="Q198" s="26"/>
      <c r="R198" s="26"/>
      <c r="S198" s="38">
        <f t="shared" si="43"/>
        <v>1</v>
      </c>
      <c r="T198" s="53" t="str">
        <f t="shared" si="44"/>
        <v>Southbound</v>
      </c>
      <c r="U198" s="13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18:37:28-0600',mode:absolute,to:'2016-08-15 20:56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98" s="55" t="str">
        <f t="shared" si="46"/>
        <v>N</v>
      </c>
      <c r="X198" s="129">
        <f t="shared" si="47"/>
        <v>1</v>
      </c>
      <c r="Y198" s="70">
        <f t="shared" si="48"/>
        <v>5.8604000000000003</v>
      </c>
      <c r="Z198" s="70">
        <f t="shared" si="49"/>
        <v>7.0099999999999996E-2</v>
      </c>
      <c r="AA198" s="70">
        <f t="shared" si="50"/>
        <v>5.7903000000000002</v>
      </c>
      <c r="AB198" s="67" t="e">
        <f>VLOOKUP(A198,Enforcements!$C$7:$J$24,8,0)</f>
        <v>#N/A</v>
      </c>
      <c r="AC198" s="63" t="e">
        <f>VLOOKUP(A198,Enforcements!$C$7:$E$24,3,0)</f>
        <v>#N/A</v>
      </c>
      <c r="AD198" s="64" t="str">
        <f t="shared" si="51"/>
        <v>0840-15</v>
      </c>
      <c r="AE198" s="104" t="str">
        <f t="shared" si="52"/>
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</c>
      <c r="AF198" s="101" t="str">
        <f t="shared" si="53"/>
        <v>"C:\Program Files (x86)\AstroGrep\AstroGrep.exe" /spath="%USERPROFILE%\AppData\Local\Temp\OnboardLogs" /stypes="*4015*20160816*" /stext=" 01:.+((SYSTEM_STATE.+slice.+state.+changed )|(ment ac)|(system.+state.+changed )|(\|lc)|(penalty)|(\[timeout)|(PRM\|1\|D)|(kpr)|(kdp)|(\|loc))" /e /r /s</v>
      </c>
      <c r="AG198" s="1" t="str">
        <f t="shared" si="55"/>
        <v>NW</v>
      </c>
      <c r="AH198" s="105" t="str">
        <f t="shared" si="54"/>
        <v>"%USERPROFILE%\Documents\GitHub\eaglep3\Utilities\RefineRTDCRunTimes.py" --tripid 840-15 --locoid 4015 --swversion DE.1.0.7.0 --startMP 300:58604 --initTime 2016-08-15T19:37:28 --startdatetime 2016-08-15T19:38:51 --delay 1 --endMP 204:701 --enddatetime 2016-08-15T19:56:34 --enforcementcount 0</v>
      </c>
    </row>
    <row r="199" spans="1:34" x14ac:dyDescent="0.25">
      <c r="A199" s="40" t="s">
        <v>623</v>
      </c>
      <c r="B199" s="7">
        <v>4016</v>
      </c>
      <c r="C199" s="25" t="s">
        <v>119</v>
      </c>
      <c r="D199" s="25" t="s">
        <v>624</v>
      </c>
      <c r="E199" s="16">
        <v>42597.799895833334</v>
      </c>
      <c r="F199" s="16">
        <v>42597.800740740742</v>
      </c>
      <c r="G199" s="7">
        <v>1</v>
      </c>
      <c r="H199" s="16" t="s">
        <v>600</v>
      </c>
      <c r="I199" s="16">
        <v>42597.816712962966</v>
      </c>
      <c r="J199" s="7">
        <v>0</v>
      </c>
      <c r="K199" s="142" t="str">
        <f t="shared" si="40"/>
        <v>4015/4016</v>
      </c>
      <c r="L199" s="25" t="str">
        <f>VLOOKUP(A199,'Trips&amp;Operators'!$C$1:$E$10000,3,FALSE)</f>
        <v>BRUDER</v>
      </c>
      <c r="M199" s="6">
        <f t="shared" si="41"/>
        <v>1.5972222223354038E-2</v>
      </c>
      <c r="N199" s="7">
        <f t="shared" si="42"/>
        <v>23.000000001629815</v>
      </c>
      <c r="O199" s="7"/>
      <c r="P199" s="7"/>
      <c r="Q199" s="26"/>
      <c r="R199" s="26"/>
      <c r="S199" s="38">
        <f t="shared" si="43"/>
        <v>1</v>
      </c>
      <c r="T199" s="53" t="str">
        <f t="shared" si="44"/>
        <v>NorthBound</v>
      </c>
      <c r="U199" s="13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18:11:51-0600',mode:absolute,to:'2016-08-15 20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99" s="55" t="str">
        <f t="shared" si="46"/>
        <v>N</v>
      </c>
      <c r="X199" s="129">
        <f t="shared" si="47"/>
        <v>1</v>
      </c>
      <c r="Y199" s="70">
        <f t="shared" si="48"/>
        <v>9.8500000000000004E-2</v>
      </c>
      <c r="Z199" s="70">
        <f t="shared" si="49"/>
        <v>5.8917999999999999</v>
      </c>
      <c r="AA199" s="70">
        <f t="shared" si="50"/>
        <v>5.7933000000000003</v>
      </c>
      <c r="AB199" s="67" t="e">
        <f>VLOOKUP(A199,Enforcements!$C$7:$J$24,8,0)</f>
        <v>#N/A</v>
      </c>
      <c r="AC199" s="63" t="e">
        <f>VLOOKUP(A199,Enforcements!$C$7:$E$24,3,0)</f>
        <v>#N/A</v>
      </c>
      <c r="AD199" s="64" t="str">
        <f t="shared" si="51"/>
        <v>0841-15</v>
      </c>
      <c r="AE199" s="104" t="str">
        <f t="shared" si="52"/>
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</c>
      <c r="AF199" s="101" t="str">
        <f t="shared" si="53"/>
        <v>"C:\Program Files (x86)\AstroGrep\AstroGrep.exe" /spath="%USERPROFILE%\AppData\Local\Temp\OnboardLogs" /stypes="*4016*20160816*" /stext=" 01:.+((SYSTEM_STATE.+slice.+state.+changed )|(ment ac)|(system.+state.+changed )|(\|lc)|(penalty)|(\[timeout)|(PRM\|1\|D)|(kpr)|(kdp)|(\|loc))" /e /r /s</v>
      </c>
      <c r="AG199" s="1" t="str">
        <f t="shared" si="55"/>
        <v>NW</v>
      </c>
      <c r="AH199" s="105" t="str">
        <f t="shared" si="54"/>
        <v>"%USERPROFILE%\Documents\GitHub\eaglep3\Utilities\RefineRTDCRunTimes.py" --tripid 841-15 --locoid 4016 --swversion DE.1.0.7.0 --startMP 204:985 --initTime 2016-08-15T19:11:51 --startdatetime 2016-08-15T19:13:04 --delay 1 --endMP 300:58918 --enddatetime 2016-08-15T19:36:04 --enforcementcount 0</v>
      </c>
    </row>
    <row r="200" spans="1:34" x14ac:dyDescent="0.25">
      <c r="A200" s="40" t="s">
        <v>625</v>
      </c>
      <c r="B200" s="7">
        <v>4015</v>
      </c>
      <c r="C200" s="25" t="s">
        <v>119</v>
      </c>
      <c r="D200" s="25" t="s">
        <v>554</v>
      </c>
      <c r="E200" s="16">
        <v>42597.859386574077</v>
      </c>
      <c r="F200" s="16">
        <v>42597.860613425924</v>
      </c>
      <c r="G200" s="7">
        <v>1</v>
      </c>
      <c r="H200" s="16" t="s">
        <v>263</v>
      </c>
      <c r="I200" s="16">
        <v>42597.872662037036</v>
      </c>
      <c r="J200" s="7">
        <v>0</v>
      </c>
      <c r="K200" s="142" t="str">
        <f t="shared" si="40"/>
        <v>4015/4016</v>
      </c>
      <c r="L200" s="25" t="str">
        <f>VLOOKUP(A200,'Trips&amp;Operators'!$C$1:$E$10000,3,FALSE)</f>
        <v>BRUDER</v>
      </c>
      <c r="M200" s="6">
        <f t="shared" si="41"/>
        <v>1.2048611111822538E-2</v>
      </c>
      <c r="N200" s="7">
        <f t="shared" si="42"/>
        <v>17.350000001024455</v>
      </c>
      <c r="O200" s="7"/>
      <c r="P200" s="7"/>
      <c r="Q200" s="26"/>
      <c r="R200" s="26"/>
      <c r="S200" s="38">
        <f t="shared" si="43"/>
        <v>1</v>
      </c>
      <c r="T200" s="53" t="str">
        <f t="shared" si="44"/>
        <v>Southbound</v>
      </c>
      <c r="U200" s="13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11" t="str">
        <f t="shared" si="45"/>
        <v>https://search-rtdc-monitor-bjffxe2xuh6vdkpspy63sjmuny.us-east-1.es.amazonaws.com/_plugin/kibana/#/discover/Steve-Slow-Train-Analysis-(2080s-and-2083s)?_g=(refreshInterval:(display:Off,section:0,value:0),time:(from:'2016-08-15 19:37:31-0600',mode:absolute,to:'2016-08-15 21:56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200" s="55" t="str">
        <f t="shared" si="46"/>
        <v>N</v>
      </c>
      <c r="X200" s="129">
        <f t="shared" si="47"/>
        <v>1</v>
      </c>
      <c r="Y200" s="70">
        <f t="shared" si="48"/>
        <v>5.8608000000000002</v>
      </c>
      <c r="Z200" s="70">
        <f t="shared" si="49"/>
        <v>7.0099999999999996E-2</v>
      </c>
      <c r="AA200" s="70">
        <f t="shared" si="50"/>
        <v>5.7907000000000002</v>
      </c>
      <c r="AB200" s="67" t="e">
        <f>VLOOKUP(A200,Enforcements!$C$7:$J$24,8,0)</f>
        <v>#N/A</v>
      </c>
      <c r="AC200" s="63" t="e">
        <f>VLOOKUP(A200,Enforcements!$C$7:$E$24,3,0)</f>
        <v>#N/A</v>
      </c>
      <c r="AD200" s="64" t="str">
        <f t="shared" si="51"/>
        <v>0842-15</v>
      </c>
      <c r="AE200" s="104" t="str">
        <f t="shared" si="52"/>
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</c>
      <c r="AF200" s="101" t="str">
        <f t="shared" si="53"/>
        <v>"C:\Program Files (x86)\AstroGrep\AstroGrep.exe" /spath="%USERPROFILE%\AppData\Local\Temp\OnboardLogs" /stypes="*4015*20160816*" /stext=" 02:.+((SYSTEM_STATE.+slice.+state.+changed )|(ment ac)|(system.+state.+changed )|(\|lc)|(penalty)|(\[timeout)|(PRM\|1\|D)|(kpr)|(kdp)|(\|loc))" /e /r /s</v>
      </c>
      <c r="AG200" s="1" t="str">
        <f t="shared" si="55"/>
        <v>NW</v>
      </c>
      <c r="AH200" s="105" t="str">
        <f t="shared" si="54"/>
        <v>"%USERPROFILE%\Documents\GitHub\eaglep3\Utilities\RefineRTDCRunTimes.py" --tripid 842-15 --locoid 4015 --swversion DE.1.0.7.0 --startMP 300:58608 --initTime 2016-08-15T20:37:31 --startdatetime 2016-08-15T20:39:17 --delay 1 --endMP 204:701 --enddatetime 2016-08-15T20:56:38 --enforcementcount 0</v>
      </c>
    </row>
    <row r="201" spans="1:34" x14ac:dyDescent="0.25">
      <c r="A201" s="40" t="s">
        <v>626</v>
      </c>
      <c r="B201" s="7">
        <v>4016</v>
      </c>
      <c r="C201" s="25" t="s">
        <v>119</v>
      </c>
      <c r="D201" s="25" t="s">
        <v>624</v>
      </c>
      <c r="E201" s="16">
        <v>42597.840497685182</v>
      </c>
      <c r="F201" s="16">
        <v>42597.841377314813</v>
      </c>
      <c r="G201" s="7">
        <v>1</v>
      </c>
      <c r="H201" s="16" t="s">
        <v>627</v>
      </c>
      <c r="I201" s="16">
        <v>42597.858356481483</v>
      </c>
      <c r="J201" s="7">
        <v>0</v>
      </c>
      <c r="K201" s="142" t="str">
        <f t="shared" ref="K201:K215" si="56">IF(ISEVEN(B201),(B201-1)&amp;"/"&amp;B201,B201&amp;"/"&amp;(B201+1))</f>
        <v>4015/4016</v>
      </c>
      <c r="L201" s="25" t="str">
        <f>VLOOKUP(A201,'Trips&amp;Operators'!$C$1:$E$10000,3,FALSE)</f>
        <v>BRUDER</v>
      </c>
      <c r="M201" s="6">
        <f t="shared" ref="M201:M215" si="57">I201-F201</f>
        <v>1.6979166670353152E-2</v>
      </c>
      <c r="N201" s="7">
        <f t="shared" ref="N201:N215" si="58">24*60*SUM($M201:$M201)</f>
        <v>24.450000005308539</v>
      </c>
      <c r="O201" s="7"/>
      <c r="P201" s="7"/>
      <c r="Q201" s="26"/>
      <c r="R201" s="26"/>
      <c r="S201" s="38">
        <f t="shared" ref="S201:S215" si="59">SUM(U201:U201)/IF(AG201="EC",12,1)</f>
        <v>1</v>
      </c>
      <c r="T201" s="53" t="str">
        <f t="shared" ref="T201:T215" si="60">IF(ISEVEN(LEFT(AD201,4)),"Southbound","NorthBound")</f>
        <v>NorthBound</v>
      </c>
      <c r="U201" s="13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11" t="str">
        <f t="shared" ref="V201:V215" si="61">"https://search-rtdc-monitor-bjffxe2xuh6vdkpspy63sjmuny.us-east-1.es.amazonaws.com/_plugin/kibana/#/discover/Steve-Slow-Train-Analysis-(2080s-and-2083s)?_g=(refreshInterval:(display:Off,section:0,value:0),time:(from:'"&amp;TEXT(E201-1/24,"yyyy-MM-DD hh:mm:ss")&amp;"-0600',mode:absolute,to:'"&amp;TEXT(I201+1/24,"yyyy-MM-DD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201&amp;"%22')),sort:!(Time,asc))"</f>
        <v>https://search-rtdc-monitor-bjffxe2xuh6vdkpspy63sjmuny.us-east-1.es.amazonaws.com/_plugin/kibana/#/discover/Steve-Slow-Train-Analysis-(2080s-and-2083s)?_g=(refreshInterval:(display:Off,section:0,value:0),time:(from:'2016-08-15 19:10:19-0600',mode:absolute,to:'2016-08-15 21:36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201" s="55" t="str">
        <f t="shared" ref="W201:W215" si="62">IF(AA201&lt;IF(AG201="EC",23,5.65),"Y","N")</f>
        <v>N</v>
      </c>
      <c r="X201" s="129">
        <f t="shared" ref="X201:X215" si="63">VALUE(LEFT(AD201,4))-VALUE(LEFT(AD200,4))</f>
        <v>1</v>
      </c>
      <c r="Y201" s="70">
        <f t="shared" ref="Y201:Y215" si="64">RIGHT(D201,LEN(D201)-4)/10000</f>
        <v>9.8500000000000004E-2</v>
      </c>
      <c r="Z201" s="70">
        <f t="shared" ref="Z201:Z215" si="65">RIGHT(H201,LEN(H201)-4)/10000</f>
        <v>5.8925999999999998</v>
      </c>
      <c r="AA201" s="70">
        <f t="shared" ref="AA201:AA215" si="66">ABS(Z201-Y201)</f>
        <v>5.7941000000000003</v>
      </c>
      <c r="AB201" s="67" t="e">
        <f>VLOOKUP(A201,Enforcements!$C$7:$J$24,8,0)</f>
        <v>#N/A</v>
      </c>
      <c r="AC201" s="63" t="e">
        <f>VLOOKUP(A201,Enforcements!$C$7:$E$24,3,0)</f>
        <v>#N/A</v>
      </c>
      <c r="AD201" s="64" t="str">
        <f t="shared" ref="AD201:AD215" si="67">IF(LEN(A201)=6,"0"&amp;A201,A201)</f>
        <v>0843-15</v>
      </c>
      <c r="AE201" s="104" t="str">
        <f t="shared" ref="AE201:AE215" si="68">"aws s3 cp "&amp;s3_bucket&amp;"/RTDC"&amp;B201&amp;"/"&amp;TEXT(F201,"YYYY-MM-DD")&amp;"/ "&amp;search_path&amp;"\RTDC"&amp;B201&amp;"\"&amp;TEXT(F201,"YYYY-MM-DD")&amp;" --recursive &amp; """&amp;walkandungz&amp;""" "&amp;search_path&amp;"\RTDC"&amp;B201&amp;"\"&amp;TEXT(F201,"YYYY-MM-DD")
&amp;" &amp; "&amp;"aws s3 cp "&amp;s3_bucket&amp;"/RTDC"&amp;B201&amp;"/"&amp;TEXT(F201+1,"YYYY-MM-DD")&amp;"/ "&amp;search_path&amp;"\RTDC"&amp;B201&amp;"\"&amp;TEXT(F201+1,"YYYY-MM-DD")&amp;" --recursive &amp; """&amp;walkandungz&amp;""" "&amp;search_path&amp;"\RTDC"&amp;B201&amp;"\"&amp;TEXT(F201+1,"YYYY-MM-DD")</f>
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</c>
      <c r="AF201" s="101" t="str">
        <f t="shared" ref="AF201:AF215" si="69">astrogrep_path&amp;" /spath="&amp;search_path&amp;" /stypes=""*"&amp;B201&amp;"*"&amp;TEXT(I201-utc_offset/24,"YYYYMMDD")&amp;"*"" /stext="" "&amp;TEXT(I201-utc_offset/24,"HH")&amp;search_regexp&amp;""" /e /r /s"</f>
        <v>"C:\Program Files (x86)\AstroGrep\AstroGrep.exe" /spath="%USERPROFILE%\AppData\Local\Temp\OnboardLogs" /stypes="*4016*20160816*" /stext=" 02:.+((SYSTEM_STATE.+slice.+state.+changed )|(ment ac)|(system.+state.+changed )|(\|lc)|(penalty)|(\[timeout)|(PRM\|1\|D)|(kpr)|(kdp)|(\|loc))" /e /r /s</v>
      </c>
      <c r="AG201" s="1" t="str">
        <f t="shared" si="55"/>
        <v>NW</v>
      </c>
      <c r="AH201" s="105" t="str">
        <f t="shared" si="54"/>
        <v>"%USERPROFILE%\Documents\GitHub\eaglep3\Utilities\RefineRTDCRunTimes.py" --tripid 843-15 --locoid 4016 --swversion DE.1.0.7.0 --startMP 204:985 --initTime 2016-08-15T20:10:19 --startdatetime 2016-08-15T20:11:35 --delay 1 --endMP 300:58926 --enddatetime 2016-08-15T20:36:02 --enforcementcount 0</v>
      </c>
    </row>
    <row r="202" spans="1:34" x14ac:dyDescent="0.25">
      <c r="A202" s="40" t="s">
        <v>628</v>
      </c>
      <c r="B202" s="7">
        <v>4015</v>
      </c>
      <c r="C202" s="25" t="s">
        <v>119</v>
      </c>
      <c r="D202" s="25" t="s">
        <v>629</v>
      </c>
      <c r="E202" s="16">
        <v>42597.901504629626</v>
      </c>
      <c r="F202" s="16">
        <v>42597.902870370373</v>
      </c>
      <c r="G202" s="7">
        <v>1</v>
      </c>
      <c r="H202" s="16" t="s">
        <v>630</v>
      </c>
      <c r="I202" s="16">
        <v>42597.915000000001</v>
      </c>
      <c r="J202" s="7">
        <v>0</v>
      </c>
      <c r="K202" s="142" t="str">
        <f t="shared" si="56"/>
        <v>4015/4016</v>
      </c>
      <c r="L202" s="25" t="str">
        <f>VLOOKUP(A202,'Trips&amp;Operators'!$C$1:$E$10000,3,FALSE)</f>
        <v>STORY</v>
      </c>
      <c r="M202" s="6">
        <f t="shared" si="57"/>
        <v>1.2129629627452232E-2</v>
      </c>
      <c r="N202" s="7">
        <f t="shared" si="58"/>
        <v>17.466666663531214</v>
      </c>
      <c r="O202" s="7"/>
      <c r="P202" s="7"/>
      <c r="Q202" s="26"/>
      <c r="R202" s="26"/>
      <c r="S202" s="38">
        <f t="shared" si="59"/>
        <v>1</v>
      </c>
      <c r="T202" s="53" t="str">
        <f t="shared" si="60"/>
        <v>Southbound</v>
      </c>
      <c r="U202" s="13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11" t="str">
        <f t="shared" si="61"/>
        <v>https://search-rtdc-monitor-bjffxe2xuh6vdkpspy63sjmuny.us-east-1.es.amazonaws.com/_plugin/kibana/#/discover/Steve-Slow-Train-Analysis-(2080s-and-2083s)?_g=(refreshInterval:(display:Off,section:0,value:0),time:(from:'2016-08-15 20:38:10-0600',mode:absolute,to:'2016-08-15 22:57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202" s="55" t="str">
        <f t="shared" si="62"/>
        <v>N</v>
      </c>
      <c r="X202" s="129">
        <f t="shared" si="63"/>
        <v>1</v>
      </c>
      <c r="Y202" s="70">
        <f t="shared" si="64"/>
        <v>5.8655999999999997</v>
      </c>
      <c r="Z202" s="70">
        <f t="shared" si="65"/>
        <v>6.3500000000000001E-2</v>
      </c>
      <c r="AA202" s="70">
        <f t="shared" si="66"/>
        <v>5.8020999999999994</v>
      </c>
      <c r="AB202" s="67" t="e">
        <f>VLOOKUP(A202,Enforcements!$C$7:$J$24,8,0)</f>
        <v>#N/A</v>
      </c>
      <c r="AC202" s="63" t="e">
        <f>VLOOKUP(A202,Enforcements!$C$7:$E$24,3,0)</f>
        <v>#N/A</v>
      </c>
      <c r="AD202" s="64" t="str">
        <f t="shared" si="67"/>
        <v>0844-15</v>
      </c>
      <c r="AE202" s="104" t="str">
        <f t="shared" si="68"/>
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</c>
      <c r="AF202" s="101" t="str">
        <f t="shared" si="69"/>
        <v>"C:\Program Files (x86)\AstroGrep\AstroGrep.exe" /spath="%USERPROFILE%\AppData\Local\Temp\OnboardLogs" /stypes="*4015*20160816*" /stext=" 03:.+((SYSTEM_STATE.+slice.+state.+changed )|(ment ac)|(system.+state.+changed )|(\|lc)|(penalty)|(\[timeout)|(PRM\|1\|D)|(kpr)|(kdp)|(\|loc))" /e /r /s</v>
      </c>
      <c r="AG202" s="1" t="str">
        <f t="shared" si="55"/>
        <v>NW</v>
      </c>
      <c r="AH202" s="105" t="str">
        <f t="shared" ref="AH202:AH215" si="70"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</f>
        <v>"%USERPROFILE%\Documents\GitHub\eaglep3\Utilities\RefineRTDCRunTimes.py" --tripid 844-15 --locoid 4015 --swversion DE.1.0.7.0 --startMP 300:58656 --initTime 2016-08-15T21:38:10 --startdatetime 2016-08-15T21:40:08 --delay 1 --endMP 204:635 --enddatetime 2016-08-15T21:57:36 --enforcementcount 0</v>
      </c>
    </row>
    <row r="203" spans="1:34" x14ac:dyDescent="0.25">
      <c r="A203" s="40" t="s">
        <v>631</v>
      </c>
      <c r="B203" s="7">
        <v>4016</v>
      </c>
      <c r="C203" s="25" t="s">
        <v>119</v>
      </c>
      <c r="D203" s="25" t="s">
        <v>572</v>
      </c>
      <c r="E203" s="16">
        <v>42597.880381944444</v>
      </c>
      <c r="F203" s="16">
        <v>42597.881863425922</v>
      </c>
      <c r="G203" s="7">
        <v>2</v>
      </c>
      <c r="H203" s="16" t="s">
        <v>632</v>
      </c>
      <c r="I203" s="16">
        <v>42597.90016203704</v>
      </c>
      <c r="J203" s="7">
        <v>0</v>
      </c>
      <c r="K203" s="142" t="str">
        <f t="shared" si="56"/>
        <v>4015/4016</v>
      </c>
      <c r="L203" s="25" t="str">
        <f>VLOOKUP(A203,'Trips&amp;Operators'!$C$1:$E$10000,3,FALSE)</f>
        <v>STORY</v>
      </c>
      <c r="M203" s="6">
        <f t="shared" si="57"/>
        <v>1.8298611117643304E-2</v>
      </c>
      <c r="N203" s="7">
        <f t="shared" si="58"/>
        <v>26.350000009406358</v>
      </c>
      <c r="O203" s="7"/>
      <c r="P203" s="7"/>
      <c r="Q203" s="26"/>
      <c r="R203" s="26"/>
      <c r="S203" s="38">
        <f t="shared" si="59"/>
        <v>1</v>
      </c>
      <c r="T203" s="53" t="str">
        <f t="shared" si="60"/>
        <v>NorthBound</v>
      </c>
      <c r="U203" s="13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11" t="str">
        <f t="shared" si="61"/>
        <v>https://search-rtdc-monitor-bjffxe2xuh6vdkpspy63sjmuny.us-east-1.es.amazonaws.com/_plugin/kibana/#/discover/Steve-Slow-Train-Analysis-(2080s-and-2083s)?_g=(refreshInterval:(display:Off,section:0,value:0),time:(from:'2016-08-15 20:07:45-0600',mode:absolute,to:'2016-08-15 22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203" s="55" t="str">
        <f t="shared" si="62"/>
        <v>N</v>
      </c>
      <c r="X203" s="129">
        <f t="shared" si="63"/>
        <v>1</v>
      </c>
      <c r="Y203" s="70">
        <f t="shared" si="64"/>
        <v>9.7799999999999998E-2</v>
      </c>
      <c r="Z203" s="70">
        <f t="shared" si="65"/>
        <v>5.8967000000000001</v>
      </c>
      <c r="AA203" s="70">
        <f t="shared" si="66"/>
        <v>5.7988999999999997</v>
      </c>
      <c r="AB203" s="67" t="e">
        <f>VLOOKUP(A203,Enforcements!$C$7:$J$24,8,0)</f>
        <v>#N/A</v>
      </c>
      <c r="AC203" s="63" t="e">
        <f>VLOOKUP(A203,Enforcements!$C$7:$E$24,3,0)</f>
        <v>#N/A</v>
      </c>
      <c r="AD203" s="64" t="str">
        <f t="shared" si="67"/>
        <v>0845-15</v>
      </c>
      <c r="AE203" s="104" t="str">
        <f t="shared" si="68"/>
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</c>
      <c r="AF203" s="101" t="str">
        <f t="shared" si="69"/>
        <v>"C:\Program Files (x86)\AstroGrep\AstroGrep.exe" /spath="%USERPROFILE%\AppData\Local\Temp\OnboardLogs" /stypes="*4016*20160816*" /stext=" 03:.+((SYSTEM_STATE.+slice.+state.+changed )|(ment ac)|(system.+state.+changed )|(\|lc)|(penalty)|(\[timeout)|(PRM\|1\|D)|(kpr)|(kdp)|(\|loc))" /e /r /s</v>
      </c>
      <c r="AG203" s="1" t="str">
        <f t="shared" si="55"/>
        <v>NW</v>
      </c>
      <c r="AH203" s="105" t="str">
        <f t="shared" si="70"/>
        <v>"%USERPROFILE%\Documents\GitHub\eaglep3\Utilities\RefineRTDCRunTimes.py" --tripid 845-15 --locoid 4016 --swversion DE.1.0.7.0 --startMP 204:978 --initTime 2016-08-15T21:07:45 --startdatetime 2016-08-15T21:09:53 --delay 2 --endMP 300:58967 --enddatetime 2016-08-15T21:36:14 --enforcementcount 0</v>
      </c>
    </row>
    <row r="204" spans="1:34" x14ac:dyDescent="0.25">
      <c r="A204" s="40" t="s">
        <v>633</v>
      </c>
      <c r="B204" s="7">
        <v>4016</v>
      </c>
      <c r="C204" s="25" t="s">
        <v>119</v>
      </c>
      <c r="D204" s="25" t="s">
        <v>561</v>
      </c>
      <c r="E204" s="16">
        <v>42597.926898148151</v>
      </c>
      <c r="F204" s="16">
        <v>42597.927800925929</v>
      </c>
      <c r="G204" s="7">
        <v>1</v>
      </c>
      <c r="H204" s="16" t="s">
        <v>634</v>
      </c>
      <c r="I204" s="16">
        <v>42597.942164351851</v>
      </c>
      <c r="J204" s="7">
        <v>0</v>
      </c>
      <c r="K204" s="142" t="str">
        <f t="shared" si="56"/>
        <v>4015/4016</v>
      </c>
      <c r="L204" s="25" t="str">
        <f>VLOOKUP(A204,'Trips&amp;Operators'!$C$1:$E$10000,3,FALSE)</f>
        <v>STORY</v>
      </c>
      <c r="M204" s="6">
        <f t="shared" si="57"/>
        <v>1.4363425922056194E-2</v>
      </c>
      <c r="N204" s="7">
        <f t="shared" si="58"/>
        <v>20.68333332776092</v>
      </c>
      <c r="O204" s="7"/>
      <c r="P204" s="7"/>
      <c r="Q204" s="26"/>
      <c r="R204" s="26"/>
      <c r="S204" s="38">
        <f t="shared" si="59"/>
        <v>1</v>
      </c>
      <c r="T204" s="53" t="str">
        <f t="shared" si="60"/>
        <v>NorthBound</v>
      </c>
      <c r="U204" s="13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11" t="str">
        <f t="shared" si="61"/>
        <v>https://search-rtdc-monitor-bjffxe2xuh6vdkpspy63sjmuny.us-east-1.es.amazonaws.com/_plugin/kibana/#/discover/Steve-Slow-Train-Analysis-(2080s-and-2083s)?_g=(refreshInterval:(display:Off,section:0,value:0),time:(from:'2016-08-15 21:14:44-0600',mode:absolute,to:'2016-08-15 23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204" s="55" t="str">
        <f t="shared" si="62"/>
        <v>N</v>
      </c>
      <c r="X204" s="129">
        <f t="shared" si="63"/>
        <v>2</v>
      </c>
      <c r="Y204" s="70">
        <f t="shared" si="64"/>
        <v>9.3200000000000005E-2</v>
      </c>
      <c r="Z204" s="70">
        <f t="shared" si="65"/>
        <v>5.8973000000000004</v>
      </c>
      <c r="AA204" s="70">
        <f t="shared" si="66"/>
        <v>5.8041</v>
      </c>
      <c r="AB204" s="67" t="e">
        <f>VLOOKUP(A204,Enforcements!$C$7:$J$24,8,0)</f>
        <v>#N/A</v>
      </c>
      <c r="AC204" s="63" t="e">
        <f>VLOOKUP(A204,Enforcements!$C$7:$E$24,3,0)</f>
        <v>#N/A</v>
      </c>
      <c r="AD204" s="64" t="str">
        <f t="shared" si="67"/>
        <v>0847-15</v>
      </c>
      <c r="AE204" s="104" t="str">
        <f t="shared" si="68"/>
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</c>
      <c r="AF204" s="101" t="str">
        <f t="shared" si="69"/>
        <v>"C:\Program Files (x86)\AstroGrep\AstroGrep.exe" /spath="%USERPROFILE%\AppData\Local\Temp\OnboardLogs" /stypes="*4016*20160816*" /stext=" 04:.+((SYSTEM_STATE.+slice.+state.+changed )|(ment ac)|(system.+state.+changed )|(\|lc)|(penalty)|(\[timeout)|(PRM\|1\|D)|(kpr)|(kdp)|(\|loc))" /e /r /s</v>
      </c>
      <c r="AG204" s="1" t="str">
        <f t="shared" si="55"/>
        <v>NW</v>
      </c>
      <c r="AH204" s="105" t="str">
        <f t="shared" si="70"/>
        <v>"%USERPROFILE%\Documents\GitHub\eaglep3\Utilities\RefineRTDCRunTimes.py" --tripid 847-15 --locoid 4016 --swversion DE.1.0.7.0 --startMP 204:932 --initTime 2016-08-15T22:14:44 --startdatetime 2016-08-15T22:16:02 --delay 1 --endMP 300:58973 --enddatetime 2016-08-15T22:36:43 --enforcementcount 0</v>
      </c>
    </row>
    <row r="205" spans="1:34" x14ac:dyDescent="0.25">
      <c r="A205" s="40" t="s">
        <v>517</v>
      </c>
      <c r="B205" s="7">
        <v>4010</v>
      </c>
      <c r="C205" s="25" t="s">
        <v>119</v>
      </c>
      <c r="D205" s="25" t="s">
        <v>518</v>
      </c>
      <c r="E205" s="16">
        <v>42597.117534722223</v>
      </c>
      <c r="F205" s="16">
        <v>42597.118356481478</v>
      </c>
      <c r="G205" s="7">
        <v>1</v>
      </c>
      <c r="H205" s="16" t="s">
        <v>519</v>
      </c>
      <c r="I205" s="16">
        <v>42597.122569444444</v>
      </c>
      <c r="J205" s="7">
        <v>0</v>
      </c>
      <c r="K205" s="142" t="str">
        <f t="shared" si="56"/>
        <v>4009/4010</v>
      </c>
      <c r="L205" s="25" t="str">
        <f>VLOOKUP(A205,'Trips&amp;Operators'!$C$1:$E$10000,3,FALSE)</f>
        <v>SWANSON</v>
      </c>
      <c r="M205" s="6">
        <f t="shared" si="57"/>
        <v>4.2129629655391909E-3</v>
      </c>
      <c r="N205" s="7">
        <f t="shared" si="58"/>
        <v>6.0666666703764349</v>
      </c>
      <c r="O205" s="7"/>
      <c r="P205" s="7"/>
      <c r="Q205" s="26"/>
      <c r="R205" s="26"/>
      <c r="S205" s="38">
        <f t="shared" si="59"/>
        <v>0</v>
      </c>
      <c r="T205" s="53" t="str">
        <f t="shared" si="60"/>
        <v>Southbound</v>
      </c>
      <c r="U205" s="13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11" t="str">
        <f t="shared" si="61"/>
        <v>https://search-rtdc-monitor-bjffxe2xuh6vdkpspy63sjmuny.us-east-1.es.amazonaws.com/_plugin/kibana/#/discover/Steve-Slow-Train-Analysis-(2080s-and-2083s)?_g=(refreshInterval:(display:Off,section:0,value:0),time:(from:'2016-08-15 01:49:15-0600',mode:absolute,to:'2016-08-15 03:56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W205" s="55" t="str">
        <f t="shared" si="62"/>
        <v>Y</v>
      </c>
      <c r="X205" s="129">
        <f t="shared" si="63"/>
        <v>-545</v>
      </c>
      <c r="Y205" s="70">
        <f t="shared" si="64"/>
        <v>2.5129999999999999</v>
      </c>
      <c r="Z205" s="70">
        <f t="shared" si="65"/>
        <v>2.4510000000000001</v>
      </c>
      <c r="AA205" s="70">
        <f t="shared" si="66"/>
        <v>6.1999999999999833E-2</v>
      </c>
      <c r="AB205" s="67" t="e">
        <f>VLOOKUP(A205,Enforcements!$C$7:$J$24,8,0)</f>
        <v>#N/A</v>
      </c>
      <c r="AC205" s="63" t="e">
        <f>VLOOKUP(A205,Enforcements!$C$7:$E$24,3,0)</f>
        <v>#N/A</v>
      </c>
      <c r="AD205" s="64" t="str">
        <f t="shared" si="67"/>
        <v>0302-15</v>
      </c>
      <c r="AE205" s="104" t="str">
        <f t="shared" si="68"/>
        <v>aws s3 cp s3://rtdc.mdm.uploadarchive/RTDC4010/2016-08-15/ "%USERPROFILE%\AppData\Local\Temp\OnboardLogs"\RTDC4010\2016-08-15 --recursive &amp; "%USERPROFILE%\Documents\GitHub\mrs-test-scripts\Headless Mode &amp; Sideloading\WalkAndUnGZ.bat" "%USERPROFILE%\AppData\Local\Temp\OnboardLogs"\RTDC4010\2016-08-15 &amp; 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</v>
      </c>
      <c r="AF205" s="101" t="str">
        <f t="shared" si="69"/>
        <v>"C:\Program Files (x86)\AstroGrep\AstroGrep.exe" /spath="%USERPROFILE%\AppData\Local\Temp\OnboardLogs" /stypes="*4010*20160815*" /stext=" 08:.+((SYSTEM_STATE.+slice.+state.+changed )|(ment ac)|(system.+state.+changed )|(\|lc)|(penalty)|(\[timeout)|(PRM\|1\|D)|(kpr)|(kdp)|(\|loc))" /e /r /s</v>
      </c>
      <c r="AG205" s="1" t="str">
        <f t="shared" ref="AG205:AG215" si="71">IFERROR(IF(VALUE(LEFT(AD205,2))&lt;=2,"EC",IF(OR(VALUE(LEFT(AD205,2))=8,VALUE(LEFT(AD205,2))=18),"NW","Other")),"Other")</f>
        <v>Other</v>
      </c>
      <c r="AH205" s="105" t="str">
        <f t="shared" si="70"/>
        <v>"%USERPROFILE%\Documents\GitHub\eaglep3\Utilities\RefineRTDCRunTimes.py" --tripid 302-15 --locoid 4010 --swversion DE.1.0.7.0 --startMP 300:25130 --initTime 2016-08-15T02:49:15 --startdatetime 2016-08-15T02:50:26 --delay 1 --endMP 300:24510 --enddatetime 2016-08-15T02:56:30 --enforcementcount 0</v>
      </c>
    </row>
    <row r="206" spans="1:34" x14ac:dyDescent="0.25">
      <c r="A206" s="40" t="s">
        <v>520</v>
      </c>
      <c r="B206" s="7">
        <v>4038</v>
      </c>
      <c r="C206" s="25" t="s">
        <v>119</v>
      </c>
      <c r="D206" s="25" t="s">
        <v>157</v>
      </c>
      <c r="E206" s="16">
        <v>42597.78230324074</v>
      </c>
      <c r="F206" s="16">
        <v>42597.786597222221</v>
      </c>
      <c r="G206" s="7">
        <v>6</v>
      </c>
      <c r="H206" s="16" t="s">
        <v>320</v>
      </c>
      <c r="I206" s="16">
        <v>42597.795960648145</v>
      </c>
      <c r="J206" s="7">
        <v>0</v>
      </c>
      <c r="K206" s="142" t="str">
        <f t="shared" si="56"/>
        <v>4037/4038</v>
      </c>
      <c r="L206" s="25" t="str">
        <f>VLOOKUP(A206,'Trips&amp;Operators'!$C$1:$E$10000,3,FALSE)</f>
        <v>MAYBERRY</v>
      </c>
      <c r="M206" s="6">
        <f t="shared" si="57"/>
        <v>9.3634259246755391E-3</v>
      </c>
      <c r="N206" s="7">
        <f t="shared" si="58"/>
        <v>13.483333331532776</v>
      </c>
      <c r="O206" s="7"/>
      <c r="P206" s="7"/>
      <c r="Q206" s="26"/>
      <c r="R206" s="26"/>
      <c r="S206" s="38">
        <f t="shared" si="59"/>
        <v>1</v>
      </c>
      <c r="T206" s="53" t="str">
        <f t="shared" si="60"/>
        <v>NorthBound</v>
      </c>
      <c r="U206" s="13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11" t="str">
        <f t="shared" si="61"/>
        <v>https://search-rtdc-monitor-bjffxe2xuh6vdkpspy63sjmuny.us-east-1.es.amazonaws.com/_plugin/kibana/#/discover/Steve-Slow-Train-Analysis-(2080s-and-2083s)?_g=(refreshInterval:(display:Off,section:0,value:0),time:(from:'2016-08-15 17:46:31-0600',mode:absolute,to:'2016-08-15 20:06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206" s="55" t="str">
        <f t="shared" si="62"/>
        <v>Y</v>
      </c>
      <c r="X206" s="129">
        <f t="shared" si="63"/>
        <v>1</v>
      </c>
      <c r="Y206" s="70">
        <f t="shared" si="64"/>
        <v>4.6699999999999998E-2</v>
      </c>
      <c r="Z206" s="70">
        <f t="shared" si="65"/>
        <v>2.3302</v>
      </c>
      <c r="AA206" s="70">
        <f t="shared" si="66"/>
        <v>2.2835000000000001</v>
      </c>
      <c r="AB206" s="67" t="e">
        <f>VLOOKUP(A206,Enforcements!$C$7:$J$24,8,0)</f>
        <v>#N/A</v>
      </c>
      <c r="AC206" s="63" t="e">
        <f>VLOOKUP(A206,Enforcements!$C$7:$E$24,3,0)</f>
        <v>#N/A</v>
      </c>
      <c r="AD206" s="64" t="str">
        <f t="shared" si="67"/>
        <v>0303-15</v>
      </c>
      <c r="AE206" s="104" t="str">
        <f t="shared" si="68"/>
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</c>
      <c r="AF206" s="101" t="str">
        <f t="shared" si="69"/>
        <v>"C:\Program Files (x86)\AstroGrep\AstroGrep.exe" /spath="%USERPROFILE%\AppData\Local\Temp\OnboardLogs" /stypes="*4038*20160816*" /stext=" 01:.+((SYSTEM_STATE.+slice.+state.+changed )|(ment ac)|(system.+state.+changed )|(\|lc)|(penalty)|(\[timeout)|(PRM\|1\|D)|(kpr)|(kdp)|(\|loc))" /e /r /s</v>
      </c>
      <c r="AG206" s="1" t="str">
        <f t="shared" si="71"/>
        <v>Other</v>
      </c>
      <c r="AH206" s="105" t="str">
        <f t="shared" si="70"/>
        <v>"%USERPROFILE%\Documents\GitHub\eaglep3\Utilities\RefineRTDCRunTimes.py" --tripid 303-15 --locoid 4038 --swversion DE.1.0.7.0 --startMP 204:467 --initTime 2016-08-15T18:46:31 --startdatetime 2016-08-15T18:52:42 --delay 6 --endMP 300:23302 --enddatetime 2016-08-15T19:06:11 --enforcementcount 0</v>
      </c>
    </row>
    <row r="207" spans="1:34" x14ac:dyDescent="0.25">
      <c r="A207" s="40" t="s">
        <v>521</v>
      </c>
      <c r="B207" s="7">
        <v>4044</v>
      </c>
      <c r="C207" s="25" t="s">
        <v>119</v>
      </c>
      <c r="D207" s="25" t="s">
        <v>522</v>
      </c>
      <c r="E207" s="16">
        <v>42597.821747685186</v>
      </c>
      <c r="F207" s="16">
        <v>42597.822662037041</v>
      </c>
      <c r="G207" s="7">
        <v>1</v>
      </c>
      <c r="H207" s="16" t="s">
        <v>224</v>
      </c>
      <c r="I207" s="16">
        <v>42597.830474537041</v>
      </c>
      <c r="J207" s="7">
        <v>0</v>
      </c>
      <c r="K207" s="142" t="str">
        <f t="shared" si="56"/>
        <v>4043/4044</v>
      </c>
      <c r="L207" s="25" t="str">
        <f>VLOOKUP(A207,'Trips&amp;Operators'!$C$1:$E$10000,3,FALSE)</f>
        <v>HOMIK</v>
      </c>
      <c r="M207" s="6">
        <f t="shared" si="57"/>
        <v>7.8125E-3</v>
      </c>
      <c r="N207" s="7">
        <f t="shared" si="58"/>
        <v>11.25</v>
      </c>
      <c r="O207" s="7"/>
      <c r="P207" s="7"/>
      <c r="Q207" s="26"/>
      <c r="R207" s="26"/>
      <c r="S207" s="38">
        <f t="shared" si="59"/>
        <v>1</v>
      </c>
      <c r="T207" s="53" t="str">
        <f t="shared" si="60"/>
        <v>NorthBound</v>
      </c>
      <c r="U207" s="13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11" t="str">
        <f t="shared" si="61"/>
        <v>https://search-rtdc-monitor-bjffxe2xuh6vdkpspy63sjmuny.us-east-1.es.amazonaws.com/_plugin/kibana/#/discover/Steve-Slow-Train-Analysis-(2080s-and-2083s)?_g=(refreshInterval:(display:Off,section:0,value:0),time:(from:'2016-08-15 18:43:19-0600',mode:absolute,to:'2016-08-15 20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W207" s="55" t="str">
        <f t="shared" si="62"/>
        <v>Y</v>
      </c>
      <c r="X207" s="129">
        <f t="shared" si="63"/>
        <v>4</v>
      </c>
      <c r="Y207" s="70">
        <f t="shared" si="64"/>
        <v>4.9799999999999997E-2</v>
      </c>
      <c r="Z207" s="70">
        <f t="shared" si="65"/>
        <v>2.3306</v>
      </c>
      <c r="AA207" s="70">
        <f t="shared" si="66"/>
        <v>2.2808000000000002</v>
      </c>
      <c r="AB207" s="67" t="e">
        <f>VLOOKUP(A207,Enforcements!$C$7:$J$24,8,0)</f>
        <v>#N/A</v>
      </c>
      <c r="AC207" s="63" t="e">
        <f>VLOOKUP(A207,Enforcements!$C$7:$E$24,3,0)</f>
        <v>#N/A</v>
      </c>
      <c r="AD207" s="64" t="str">
        <f t="shared" si="67"/>
        <v>0307-15</v>
      </c>
      <c r="AE207" s="104" t="str">
        <f t="shared" si="68"/>
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</c>
      <c r="AF207" s="101" t="str">
        <f t="shared" si="69"/>
        <v>"C:\Program Files (x86)\AstroGrep\AstroGrep.exe" /spath="%USERPROFILE%\AppData\Local\Temp\OnboardLogs" /stypes="*4044*20160816*" /stext=" 01:.+((SYSTEM_STATE.+slice.+state.+changed )|(ment ac)|(system.+state.+changed )|(\|lc)|(penalty)|(\[timeout)|(PRM\|1\|D)|(kpr)|(kdp)|(\|loc))" /e /r /s</v>
      </c>
      <c r="AG207" s="1" t="str">
        <f t="shared" si="71"/>
        <v>Other</v>
      </c>
      <c r="AH207" s="105" t="str">
        <f t="shared" si="70"/>
        <v>"%USERPROFILE%\Documents\GitHub\eaglep3\Utilities\RefineRTDCRunTimes.py" --tripid 307-15 --locoid 4044 --swversion DE.1.0.7.0 --startMP 204:498 --initTime 2016-08-15T19:43:19 --startdatetime 2016-08-15T19:44:38 --delay 1 --endMP 300:23306 --enddatetime 2016-08-15T19:55:53 --enforcementcount 0</v>
      </c>
    </row>
    <row r="208" spans="1:34" x14ac:dyDescent="0.25">
      <c r="A208" s="40" t="s">
        <v>523</v>
      </c>
      <c r="B208" s="7">
        <v>4042</v>
      </c>
      <c r="C208" s="25" t="s">
        <v>119</v>
      </c>
      <c r="D208" s="25" t="s">
        <v>524</v>
      </c>
      <c r="E208" s="16">
        <v>42598.047592592593</v>
      </c>
      <c r="F208" s="16">
        <v>42598.049675925926</v>
      </c>
      <c r="G208" s="7">
        <v>2</v>
      </c>
      <c r="H208" s="16" t="s">
        <v>269</v>
      </c>
      <c r="I208" s="16">
        <v>42598.055509259262</v>
      </c>
      <c r="J208" s="7">
        <v>0</v>
      </c>
      <c r="K208" s="142" t="str">
        <f t="shared" si="56"/>
        <v>4041/4042</v>
      </c>
      <c r="L208" s="25" t="str">
        <f>VLOOKUP(A208,'Trips&amp;Operators'!$C$1:$E$10000,3,FALSE)</f>
        <v>NEWELL</v>
      </c>
      <c r="M208" s="6">
        <f t="shared" si="57"/>
        <v>5.8333333363407291E-3</v>
      </c>
      <c r="N208" s="7">
        <f t="shared" si="58"/>
        <v>8.40000000433065</v>
      </c>
      <c r="O208" s="7"/>
      <c r="P208" s="7"/>
      <c r="Q208" s="26"/>
      <c r="R208" s="26"/>
      <c r="S208" s="38">
        <f t="shared" si="59"/>
        <v>1</v>
      </c>
      <c r="T208" s="53" t="str">
        <f t="shared" si="60"/>
        <v>NorthBound</v>
      </c>
      <c r="U208" s="13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11" t="str">
        <f t="shared" si="61"/>
        <v>https://search-rtdc-monitor-bjffxe2xuh6vdkpspy63sjmuny.us-east-1.es.amazonaws.com/_plugin/kibana/#/discover/Steve-Slow-Train-Analysis-(2080s-and-2083s)?_g=(refreshInterval:(display:Off,section:0,value:0),time:(from:'2016-08-16 00:08:32-0600',mode:absolute,to:'2016-08-16 02:19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</c>
      <c r="W208" s="55" t="str">
        <f t="shared" si="62"/>
        <v>Y</v>
      </c>
      <c r="X208" s="129">
        <f t="shared" si="63"/>
        <v>2</v>
      </c>
      <c r="Y208" s="70">
        <f t="shared" si="64"/>
        <v>4.1300000000000003E-2</v>
      </c>
      <c r="Z208" s="70">
        <f t="shared" si="65"/>
        <v>2.3300999999999998</v>
      </c>
      <c r="AA208" s="70">
        <f t="shared" si="66"/>
        <v>2.2887999999999997</v>
      </c>
      <c r="AB208" s="67" t="e">
        <f>VLOOKUP(A208,Enforcements!$C$7:$J$24,8,0)</f>
        <v>#N/A</v>
      </c>
      <c r="AC208" s="63" t="e">
        <f>VLOOKUP(A208,Enforcements!$C$7:$E$24,3,0)</f>
        <v>#N/A</v>
      </c>
      <c r="AD208" s="64" t="str">
        <f t="shared" si="67"/>
        <v>0309-15</v>
      </c>
      <c r="AE208" s="104" t="str">
        <f t="shared" si="68"/>
        <v>aws s3 cp s3://rtdc.mdm.uploadarchive/RTDC4042/2016-08-16/ "%USERPROFILE%\AppData\Local\Temp\OnboardLogs"\RTDC4042\2016-08-16 --recursive &amp; "%USERPROFILE%\Documents\GitHub\mrs-test-scripts\Headless Mode &amp; Sideloading\WalkAndUnGZ.bat" "%USERPROFILE%\AppData\Local\Temp\OnboardLogs"\RTDC4042\2016-08-16 &amp; 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</v>
      </c>
      <c r="AF208" s="101" t="str">
        <f t="shared" si="69"/>
        <v>"C:\Program Files (x86)\AstroGrep\AstroGrep.exe" /spath="%USERPROFILE%\AppData\Local\Temp\OnboardLogs" /stypes="*4042*20160816*" /stext=" 07:.+((SYSTEM_STATE.+slice.+state.+changed )|(ment ac)|(system.+state.+changed )|(\|lc)|(penalty)|(\[timeout)|(PRM\|1\|D)|(kpr)|(kdp)|(\|loc))" /e /r /s</v>
      </c>
      <c r="AG208" s="1" t="str">
        <f t="shared" si="71"/>
        <v>Other</v>
      </c>
      <c r="AH208" s="105" t="str">
        <f t="shared" si="70"/>
        <v>"%USERPROFILE%\Documents\GitHub\eaglep3\Utilities\RefineRTDCRunTimes.py" --tripid 309-15 --locoid 4042 --swversion DE.1.0.7.0 --startMP 204:413 --initTime 2016-08-16T01:08:32 --startdatetime 2016-08-16T01:11:32 --delay 2 --endMP 300:23301 --enddatetime 2016-08-16T01:19:56 --enforcementcount 0</v>
      </c>
    </row>
    <row r="209" spans="1:34" x14ac:dyDescent="0.25">
      <c r="A209" s="40" t="s">
        <v>525</v>
      </c>
      <c r="B209" s="7">
        <v>4027</v>
      </c>
      <c r="C209" s="25" t="s">
        <v>119</v>
      </c>
      <c r="D209" s="25" t="s">
        <v>194</v>
      </c>
      <c r="E209" s="16">
        <v>42598.070555555554</v>
      </c>
      <c r="F209" s="16">
        <v>42598.071805555555</v>
      </c>
      <c r="G209" s="7">
        <v>1</v>
      </c>
      <c r="H209" s="16" t="s">
        <v>526</v>
      </c>
      <c r="I209" s="16">
        <v>42598.080671296295</v>
      </c>
      <c r="J209" s="7">
        <v>0</v>
      </c>
      <c r="K209" s="142" t="str">
        <f t="shared" si="56"/>
        <v>4027/4028</v>
      </c>
      <c r="L209" s="25" t="str">
        <f>VLOOKUP(A209,'Trips&amp;Operators'!$C$1:$E$10000,3,FALSE)</f>
        <v>CHANDLER</v>
      </c>
      <c r="M209" s="6">
        <f t="shared" si="57"/>
        <v>8.8657407395658083E-3</v>
      </c>
      <c r="N209" s="7">
        <f t="shared" si="58"/>
        <v>12.766666664974764</v>
      </c>
      <c r="O209" s="7"/>
      <c r="P209" s="7"/>
      <c r="Q209" s="26"/>
      <c r="R209" s="26"/>
      <c r="S209" s="38">
        <f t="shared" si="59"/>
        <v>1</v>
      </c>
      <c r="T209" s="53" t="str">
        <f t="shared" si="60"/>
        <v>NorthBound</v>
      </c>
      <c r="U209" s="13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11" t="str">
        <f t="shared" si="61"/>
        <v>https://search-rtdc-monitor-bjffxe2xuh6vdkpspy63sjmuny.us-east-1.es.amazonaws.com/_plugin/kibana/#/discover/Steve-Slow-Train-Analysis-(2080s-and-2083s)?_g=(refreshInterval:(display:Off,section:0,value:0),time:(from:'2016-08-16 00:41:36-0600',mode:absolute,to:'2016-08-16 02:56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209" s="55" t="str">
        <f t="shared" si="62"/>
        <v>Y</v>
      </c>
      <c r="X209" s="129">
        <f t="shared" si="63"/>
        <v>4</v>
      </c>
      <c r="Y209" s="70">
        <f t="shared" si="64"/>
        <v>4.5100000000000001E-2</v>
      </c>
      <c r="Z209" s="70">
        <f t="shared" si="65"/>
        <v>2.3298999999999999</v>
      </c>
      <c r="AA209" s="70">
        <f t="shared" si="66"/>
        <v>2.2847999999999997</v>
      </c>
      <c r="AB209" s="67" t="e">
        <f>VLOOKUP(A209,Enforcements!$C$7:$J$24,8,0)</f>
        <v>#N/A</v>
      </c>
      <c r="AC209" s="63" t="e">
        <f>VLOOKUP(A209,Enforcements!$C$7:$E$24,3,0)</f>
        <v>#N/A</v>
      </c>
      <c r="AD209" s="64" t="str">
        <f t="shared" si="67"/>
        <v>0313-15</v>
      </c>
      <c r="AE209" s="104" t="str">
        <f t="shared" si="68"/>
        <v>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 &amp; aws s3 cp s3://rtdc.mdm.uploadarchive/RTDC4027/2016-08-17/ "%USERPROFILE%\AppData\Local\Temp\OnboardLogs"\RTDC4027\2016-08-17 --recursive &amp; "%USERPROFILE%\Documents\GitHub\mrs-test-scripts\Headless Mode &amp; Sideloading\WalkAndUnGZ.bat" "%USERPROFILE%\AppData\Local\Temp\OnboardLogs"\RTDC4027\2016-08-17</v>
      </c>
      <c r="AF209" s="101" t="str">
        <f t="shared" si="69"/>
        <v>"C:\Program Files (x86)\AstroGrep\AstroGrep.exe" /spath="%USERPROFILE%\AppData\Local\Temp\OnboardLogs" /stypes="*4027*20160816*" /stext=" 07:.+((SYSTEM_STATE.+slice.+state.+changed )|(ment ac)|(system.+state.+changed )|(\|lc)|(penalty)|(\[timeout)|(PRM\|1\|D)|(kpr)|(kdp)|(\|loc))" /e /r /s</v>
      </c>
      <c r="AG209" s="1" t="str">
        <f t="shared" si="71"/>
        <v>Other</v>
      </c>
      <c r="AH209" s="105" t="str">
        <f t="shared" si="70"/>
        <v>"%USERPROFILE%\Documents\GitHub\eaglep3\Utilities\RefineRTDCRunTimes.py" --tripid 313-15 --locoid 4027 --swversion DE.1.0.7.0 --startMP 204:451 --initTime 2016-08-16T01:41:36 --startdatetime 2016-08-16T01:43:24 --delay 1 --endMP 300:23299 --enddatetime 2016-08-16T01:56:10 --enforcementcount 0</v>
      </c>
    </row>
    <row r="210" spans="1:34" x14ac:dyDescent="0.25">
      <c r="A210" s="40" t="s">
        <v>321</v>
      </c>
      <c r="B210" s="7">
        <v>4025</v>
      </c>
      <c r="C210" s="25" t="s">
        <v>119</v>
      </c>
      <c r="D210" s="25" t="s">
        <v>310</v>
      </c>
      <c r="E210" s="16">
        <v>42597.08898148148</v>
      </c>
      <c r="F210" s="16">
        <v>42597.090254629627</v>
      </c>
      <c r="G210" s="7">
        <v>1</v>
      </c>
      <c r="H210" s="16" t="s">
        <v>320</v>
      </c>
      <c r="I210" s="16">
        <v>42597.09652777778</v>
      </c>
      <c r="J210" s="7">
        <v>0</v>
      </c>
      <c r="K210" s="142" t="str">
        <f t="shared" si="56"/>
        <v>4025/4026</v>
      </c>
      <c r="L210" s="25" t="str">
        <f>VLOOKUP(A210,'Trips&amp;Operators'!$C$1:$E$10000,3,FALSE)</f>
        <v>STAMBAUGH</v>
      </c>
      <c r="M210" s="6">
        <f t="shared" si="57"/>
        <v>6.2731481521041133E-3</v>
      </c>
      <c r="N210" s="7">
        <f t="shared" si="58"/>
        <v>9.0333333390299231</v>
      </c>
      <c r="O210" s="7"/>
      <c r="P210" s="7"/>
      <c r="Q210" s="26"/>
      <c r="R210" s="26"/>
      <c r="S210" s="38">
        <f t="shared" si="59"/>
        <v>1</v>
      </c>
      <c r="T210" s="53" t="str">
        <f t="shared" si="60"/>
        <v>NorthBound</v>
      </c>
      <c r="U210" s="13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11" t="str">
        <f t="shared" si="61"/>
        <v>https://search-rtdc-monitor-bjffxe2xuh6vdkpspy63sjmuny.us-east-1.es.amazonaws.com/_plugin/kibana/#/discover/Steve-Slow-Train-Analysis-(2080s-and-2083s)?_g=(refreshInterval:(display:Off,section:0,value:0),time:(from:'2016-08-15 01:08:08-0600',mode:absolute,to:'2016-08-15 03:19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</c>
      <c r="W210" s="55" t="str">
        <f t="shared" si="62"/>
        <v>Y</v>
      </c>
      <c r="X210" s="129">
        <f t="shared" si="63"/>
        <v>2</v>
      </c>
      <c r="Y210" s="70">
        <f t="shared" si="64"/>
        <v>4.4699999999999997E-2</v>
      </c>
      <c r="Z210" s="70">
        <f t="shared" si="65"/>
        <v>2.3302</v>
      </c>
      <c r="AA210" s="70">
        <f t="shared" si="66"/>
        <v>2.2854999999999999</v>
      </c>
      <c r="AB210" s="67" t="e">
        <f>VLOOKUP(A210,Enforcements!$C$7:$J$24,8,0)</f>
        <v>#N/A</v>
      </c>
      <c r="AC210" s="63" t="e">
        <f>VLOOKUP(A210,Enforcements!$C$7:$E$24,3,0)</f>
        <v>#N/A</v>
      </c>
      <c r="AD210" s="64" t="str">
        <f t="shared" si="67"/>
        <v>0315-14</v>
      </c>
      <c r="AE210" s="104" t="str">
        <f t="shared" si="68"/>
        <v>aws s3 cp s3://rtdc.mdm.uploadarchive/RTDC4025/2016-08-15/ "%USERPROFILE%\AppData\Local\Temp\OnboardLogs"\RTDC4025\2016-08-15 --recursive &amp; "%USERPROFILE%\Documents\GitHub\mrs-test-scripts\Headless Mode &amp; Sideloading\WalkAndUnGZ.bat" "%USERPROFILE%\AppData\Local\Temp\OnboardLogs"\RTDC4025\2016-08-15 &amp; aws s3 cp s3://rtdc.mdm.uploadarchive/RTDC4025/2016-08-16/ "%USERPROFILE%\AppData\Local\Temp\OnboardLogs"\RTDC4025\2016-08-16 --recursive &amp; "%USERPROFILE%\Documents\GitHub\mrs-test-scripts\Headless Mode &amp; Sideloading\WalkAndUnGZ.bat" "%USERPROFILE%\AppData\Local\Temp\OnboardLogs"\RTDC4025\2016-08-16</v>
      </c>
      <c r="AF210" s="101" t="str">
        <f t="shared" si="69"/>
        <v>"C:\Program Files (x86)\AstroGrep\AstroGrep.exe" /spath="%USERPROFILE%\AppData\Local\Temp\OnboardLogs" /stypes="*4025*20160815*" /stext=" 08:.+((SYSTEM_STATE.+slice.+state.+changed )|(ment ac)|(system.+state.+changed )|(\|lc)|(penalty)|(\[timeout)|(PRM\|1\|D)|(kpr)|(kdp)|(\|loc))" /e /r /s</v>
      </c>
      <c r="AG210" s="1" t="str">
        <f t="shared" si="71"/>
        <v>Other</v>
      </c>
      <c r="AH210" s="105" t="str">
        <f t="shared" si="70"/>
        <v>"%USERPROFILE%\Documents\GitHub\eaglep3\Utilities\RefineRTDCRunTimes.py" --tripid 315-14 --locoid 4025 --swversion DE.1.0.7.0 --startMP 204:447 --initTime 2016-08-15T02:08:08 --startdatetime 2016-08-15T02:09:58 --delay 1 --endMP 300:23302 --enddatetime 2016-08-15T02:19:00 --enforcementcount 0</v>
      </c>
    </row>
    <row r="211" spans="1:34" x14ac:dyDescent="0.25">
      <c r="A211" s="40" t="s">
        <v>527</v>
      </c>
      <c r="B211" s="7">
        <v>4020</v>
      </c>
      <c r="C211" s="25" t="s">
        <v>119</v>
      </c>
      <c r="D211" s="25" t="s">
        <v>254</v>
      </c>
      <c r="E211" s="16">
        <v>42598.088530092595</v>
      </c>
      <c r="F211" s="16">
        <v>42598.08935185185</v>
      </c>
      <c r="G211" s="7">
        <v>1</v>
      </c>
      <c r="H211" s="16" t="s">
        <v>528</v>
      </c>
      <c r="I211" s="16">
        <v>42598.094212962962</v>
      </c>
      <c r="J211" s="7">
        <v>0</v>
      </c>
      <c r="K211" s="142" t="str">
        <f t="shared" si="56"/>
        <v>4019/4020</v>
      </c>
      <c r="L211" s="25" t="str">
        <f>VLOOKUP(A211,'Trips&amp;Operators'!$C$1:$E$10000,3,FALSE)</f>
        <v>ISHMAEL</v>
      </c>
      <c r="M211" s="6">
        <f t="shared" si="57"/>
        <v>4.8611111124046147E-3</v>
      </c>
      <c r="N211" s="7">
        <f t="shared" si="58"/>
        <v>7.0000000018626451</v>
      </c>
      <c r="O211" s="7"/>
      <c r="P211" s="7"/>
      <c r="Q211" s="26"/>
      <c r="R211" s="26"/>
      <c r="S211" s="38">
        <f t="shared" si="59"/>
        <v>1</v>
      </c>
      <c r="T211" s="53" t="str">
        <f t="shared" si="60"/>
        <v>NorthBound</v>
      </c>
      <c r="U211" s="13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11" t="str">
        <f t="shared" si="61"/>
        <v>https://search-rtdc-monitor-bjffxe2xuh6vdkpspy63sjmuny.us-east-1.es.amazonaws.com/_plugin/kibana/#/discover/Steve-Slow-Train-Analysis-(2080s-and-2083s)?_g=(refreshInterval:(display:Off,section:0,value:0),time:(from:'2016-08-16 01:07:29-0600',mode:absolute,to:'2016-08-16 03:15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211" s="55" t="str">
        <f t="shared" si="62"/>
        <v>Y</v>
      </c>
      <c r="X211" s="129">
        <f t="shared" si="63"/>
        <v>0</v>
      </c>
      <c r="Y211" s="70">
        <f t="shared" si="64"/>
        <v>4.2599999999999999E-2</v>
      </c>
      <c r="Z211" s="70">
        <f t="shared" si="65"/>
        <v>2.3123</v>
      </c>
      <c r="AA211" s="70">
        <f t="shared" si="66"/>
        <v>2.2696999999999998</v>
      </c>
      <c r="AB211" s="67" t="e">
        <f>VLOOKUP(A211,Enforcements!$C$7:$J$24,8,0)</f>
        <v>#N/A</v>
      </c>
      <c r="AC211" s="63" t="e">
        <f>VLOOKUP(A211,Enforcements!$C$7:$E$24,3,0)</f>
        <v>#N/A</v>
      </c>
      <c r="AD211" s="64" t="str">
        <f t="shared" si="67"/>
        <v>0315-15</v>
      </c>
      <c r="AE211" s="104" t="str">
        <f t="shared" si="68"/>
        <v>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 &amp; 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</v>
      </c>
      <c r="AF211" s="101" t="str">
        <f t="shared" si="69"/>
        <v>"C:\Program Files (x86)\AstroGrep\AstroGrep.exe" /spath="%USERPROFILE%\AppData\Local\Temp\OnboardLogs" /stypes="*4020*20160816*" /stext=" 08:.+((SYSTEM_STATE.+slice.+state.+changed )|(ment ac)|(system.+state.+changed )|(\|lc)|(penalty)|(\[timeout)|(PRM\|1\|D)|(kpr)|(kdp)|(\|loc))" /e /r /s</v>
      </c>
      <c r="AG211" s="1" t="str">
        <f t="shared" si="71"/>
        <v>Other</v>
      </c>
      <c r="AH211" s="105" t="str">
        <f t="shared" si="70"/>
        <v>"%USERPROFILE%\Documents\GitHub\eaglep3\Utilities\RefineRTDCRunTimes.py" --tripid 315-15 --locoid 4020 --swversion DE.1.0.7.0 --startMP 204:426 --initTime 2016-08-16T02:07:29 --startdatetime 2016-08-16T02:08:40 --delay 1 --endMP 300:23123 --enddatetime 2016-08-16T02:15:40 --enforcementcount 0</v>
      </c>
    </row>
    <row r="212" spans="1:34" x14ac:dyDescent="0.25">
      <c r="A212" s="40" t="s">
        <v>635</v>
      </c>
      <c r="B212" s="7">
        <v>4013</v>
      </c>
      <c r="C212" s="25" t="s">
        <v>119</v>
      </c>
      <c r="D212" s="25" t="s">
        <v>636</v>
      </c>
      <c r="E212" s="16">
        <v>42597.635057870371</v>
      </c>
      <c r="F212" s="16">
        <v>42597.636041666665</v>
      </c>
      <c r="G212" s="7">
        <v>1</v>
      </c>
      <c r="H212" s="16" t="s">
        <v>637</v>
      </c>
      <c r="I212" s="16">
        <v>42597.644212962965</v>
      </c>
      <c r="J212" s="7">
        <v>0</v>
      </c>
      <c r="K212" s="142" t="str">
        <f t="shared" si="56"/>
        <v>4013/4014</v>
      </c>
      <c r="L212" s="25" t="str">
        <f>VLOOKUP(A212,'Trips&amp;Operators'!$C$1:$E$10000,3,FALSE)</f>
        <v>STORY</v>
      </c>
      <c r="M212" s="6">
        <f t="shared" si="57"/>
        <v>8.1712963001336902E-3</v>
      </c>
      <c r="N212" s="7">
        <f t="shared" si="58"/>
        <v>11.766666672192514</v>
      </c>
      <c r="O212" s="7"/>
      <c r="P212" s="7"/>
      <c r="Q212" s="26"/>
      <c r="R212" s="26"/>
      <c r="S212" s="38">
        <f t="shared" si="59"/>
        <v>1</v>
      </c>
      <c r="T212" s="53" t="str">
        <f t="shared" si="60"/>
        <v>Southbound</v>
      </c>
      <c r="U212" s="13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11" t="str">
        <f t="shared" si="61"/>
        <v>https://search-rtdc-monitor-bjffxe2xuh6vdkpspy63sjmuny.us-east-1.es.amazonaws.com/_plugin/kibana/#/discover/Steve-Slow-Train-Analysis-(2080s-and-2083s)?_g=(refreshInterval:(display:Off,section:0,value:0),time:(from:'2016-08-15 14:14:29-0600',mode:absolute,to:'2016-08-15 16:27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212" s="55" t="str">
        <f t="shared" si="62"/>
        <v>Y</v>
      </c>
      <c r="X212" s="129">
        <f t="shared" si="63"/>
        <v>589</v>
      </c>
      <c r="Y212" s="70">
        <f t="shared" si="64"/>
        <v>3.0809000000000002</v>
      </c>
      <c r="Z212" s="70">
        <f t="shared" si="65"/>
        <v>6.3E-3</v>
      </c>
      <c r="AA212" s="70">
        <f t="shared" si="66"/>
        <v>3.0746000000000002</v>
      </c>
      <c r="AB212" s="67" t="e">
        <f>VLOOKUP(A212,Enforcements!$C$7:$J$24,8,0)</f>
        <v>#N/A</v>
      </c>
      <c r="AC212" s="63" t="e">
        <f>VLOOKUP(A212,Enforcements!$C$7:$E$24,3,0)</f>
        <v>#N/A</v>
      </c>
      <c r="AD212" s="64" t="str">
        <f t="shared" si="67"/>
        <v>0904-15</v>
      </c>
      <c r="AE212" s="104" t="str">
        <f t="shared" si="68"/>
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</c>
      <c r="AF212" s="101" t="str">
        <f t="shared" si="69"/>
        <v>"C:\Program Files (x86)\AstroGrep\AstroGrep.exe" /spath="%USERPROFILE%\AppData\Local\Temp\OnboardLogs" /stypes="*4013*20160815*" /stext=" 21:.+((SYSTEM_STATE.+slice.+state.+changed )|(ment ac)|(system.+state.+changed )|(\|lc)|(penalty)|(\[timeout)|(PRM\|1\|D)|(kpr)|(kdp)|(\|loc))" /e /r /s</v>
      </c>
      <c r="AG212" s="1" t="str">
        <f t="shared" si="71"/>
        <v>Other</v>
      </c>
      <c r="AH212" s="105" t="str">
        <f t="shared" si="70"/>
        <v>"%USERPROFILE%\Documents\GitHub\eaglep3\Utilities\RefineRTDCRunTimes.py" --tripid 904-15 --locoid 4013 --swversion DE.1.0.7.0 --startMP 300:30809 --initTime 2016-08-15T15:14:29 --startdatetime 2016-08-15T15:15:54 --delay 1 --endMP 204:63 --enddatetime 2016-08-15T15:27:40 --enforcementcount 0</v>
      </c>
    </row>
    <row r="213" spans="1:34" x14ac:dyDescent="0.25">
      <c r="A213" s="40" t="s">
        <v>638</v>
      </c>
      <c r="B213" s="7">
        <v>4013</v>
      </c>
      <c r="C213" s="25" t="s">
        <v>119</v>
      </c>
      <c r="D213" s="25" t="s">
        <v>629</v>
      </c>
      <c r="E213" s="16">
        <v>42597.798379629632</v>
      </c>
      <c r="F213" s="16">
        <v>42597.799502314818</v>
      </c>
      <c r="G213" s="7">
        <v>1</v>
      </c>
      <c r="H213" s="16" t="s">
        <v>639</v>
      </c>
      <c r="I213" s="16">
        <v>42597.804918981485</v>
      </c>
      <c r="J213" s="7">
        <v>0</v>
      </c>
      <c r="K213" s="142" t="str">
        <f t="shared" si="56"/>
        <v>4013/4014</v>
      </c>
      <c r="L213" s="25" t="str">
        <f>VLOOKUP(A213,'Trips&amp;Operators'!$C$1:$E$10000,3,FALSE)</f>
        <v>STORY</v>
      </c>
      <c r="M213" s="6">
        <f t="shared" si="57"/>
        <v>5.4166666668606922E-3</v>
      </c>
      <c r="N213" s="7">
        <f t="shared" si="58"/>
        <v>7.8000000002793968</v>
      </c>
      <c r="O213" s="7"/>
      <c r="P213" s="7"/>
      <c r="Q213" s="26"/>
      <c r="R213" s="26"/>
      <c r="S213" s="38">
        <f t="shared" si="59"/>
        <v>0</v>
      </c>
      <c r="T213" s="53" t="str">
        <f t="shared" si="60"/>
        <v>Southbound</v>
      </c>
      <c r="U213" s="13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11" t="str">
        <f t="shared" si="61"/>
        <v>https://search-rtdc-monitor-bjffxe2xuh6vdkpspy63sjmuny.us-east-1.es.amazonaws.com/_plugin/kibana/#/discover/Steve-Slow-Train-Analysis-(2080s-and-2083s)?_g=(refreshInterval:(display:Off,section:0,value:0),time:(from:'2016-08-15 18:09:40-0600',mode:absolute,to:'2016-08-15 20:19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213" s="55" t="str">
        <f t="shared" si="62"/>
        <v>Y</v>
      </c>
      <c r="X213" s="129">
        <f t="shared" si="63"/>
        <v>2</v>
      </c>
      <c r="Y213" s="70">
        <f t="shared" si="64"/>
        <v>5.8655999999999997</v>
      </c>
      <c r="Z213" s="70">
        <f t="shared" si="65"/>
        <v>2.8744000000000001</v>
      </c>
      <c r="AA213" s="70">
        <f t="shared" si="66"/>
        <v>2.9911999999999996</v>
      </c>
      <c r="AB213" s="67" t="e">
        <f>VLOOKUP(A213,Enforcements!$C$7:$J$24,8,0)</f>
        <v>#N/A</v>
      </c>
      <c r="AC213" s="63" t="e">
        <f>VLOOKUP(A213,Enforcements!$C$7:$E$24,3,0)</f>
        <v>#N/A</v>
      </c>
      <c r="AD213" s="64" t="str">
        <f t="shared" si="67"/>
        <v>0906-15</v>
      </c>
      <c r="AE213" s="104" t="str">
        <f t="shared" si="68"/>
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</c>
      <c r="AF213" s="101" t="str">
        <f t="shared" si="69"/>
        <v>"C:\Program Files (x86)\AstroGrep\AstroGrep.exe" /spath="%USERPROFILE%\AppData\Local\Temp\OnboardLogs" /stypes="*4013*20160816*" /stext=" 01:.+((SYSTEM_STATE.+slice.+state.+changed )|(ment ac)|(system.+state.+changed )|(\|lc)|(penalty)|(\[timeout)|(PRM\|1\|D)|(kpr)|(kdp)|(\|loc))" /e /r /s</v>
      </c>
      <c r="AG213" s="1" t="str">
        <f t="shared" si="71"/>
        <v>Other</v>
      </c>
      <c r="AH213" s="105" t="str">
        <f t="shared" si="70"/>
        <v>"%USERPROFILE%\Documents\GitHub\eaglep3\Utilities\RefineRTDCRunTimes.py" --tripid 906-15 --locoid 4013 --swversion DE.1.0.7.0 --startMP 300:58656 --initTime 2016-08-15T19:09:40 --startdatetime 2016-08-15T19:11:17 --delay 1 --endMP 300:28744 --enddatetime 2016-08-15T19:19:05 --enforcementcount 0</v>
      </c>
    </row>
    <row r="214" spans="1:34" x14ac:dyDescent="0.25">
      <c r="A214" s="40" t="s">
        <v>640</v>
      </c>
      <c r="B214" s="7">
        <v>4015</v>
      </c>
      <c r="C214" s="25" t="s">
        <v>119</v>
      </c>
      <c r="D214" s="25" t="s">
        <v>641</v>
      </c>
      <c r="E214" s="16">
        <v>42597.943437499998</v>
      </c>
      <c r="F214" s="16">
        <v>42597.944305555553</v>
      </c>
      <c r="G214" s="7">
        <v>1</v>
      </c>
      <c r="H214" s="16" t="s">
        <v>642</v>
      </c>
      <c r="I214" s="16">
        <v>42597.949861111112</v>
      </c>
      <c r="J214" s="7">
        <v>0</v>
      </c>
      <c r="K214" s="142" t="str">
        <f t="shared" si="56"/>
        <v>4015/4016</v>
      </c>
      <c r="L214" s="25" t="str">
        <f>VLOOKUP(A214,'Trips&amp;Operators'!$C$1:$E$10000,3,FALSE)</f>
        <v>STORY</v>
      </c>
      <c r="M214" s="6">
        <f t="shared" si="57"/>
        <v>5.5555555591126904E-3</v>
      </c>
      <c r="N214" s="7">
        <f t="shared" si="58"/>
        <v>8.0000000051222742</v>
      </c>
      <c r="O214" s="7"/>
      <c r="P214" s="7"/>
      <c r="Q214" s="26"/>
      <c r="R214" s="26"/>
      <c r="S214" s="38">
        <f t="shared" si="59"/>
        <v>0</v>
      </c>
      <c r="T214" s="53" t="str">
        <f t="shared" si="60"/>
        <v>Southbound</v>
      </c>
      <c r="U214" s="13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11" t="str">
        <f t="shared" si="61"/>
        <v>https://search-rtdc-monitor-bjffxe2xuh6vdkpspy63sjmuny.us-east-1.es.amazonaws.com/_plugin/kibana/#/discover/Steve-Slow-Train-Analysis-(2080s-and-2083s)?_g=(refreshInterval:(display:Off,section:0,value:0),time:(from:'2016-08-15 21:38:33-0600',mode:absolute,to:'2016-08-15 23:47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214" s="55" t="str">
        <f t="shared" si="62"/>
        <v>Y</v>
      </c>
      <c r="X214" s="129">
        <f t="shared" si="63"/>
        <v>2</v>
      </c>
      <c r="Y214" s="70">
        <f t="shared" si="64"/>
        <v>5.8651</v>
      </c>
      <c r="Z214" s="70">
        <f t="shared" si="65"/>
        <v>2.1678000000000002</v>
      </c>
      <c r="AA214" s="70">
        <f t="shared" si="66"/>
        <v>3.6972999999999998</v>
      </c>
      <c r="AB214" s="67" t="e">
        <f>VLOOKUP(A214,Enforcements!$C$7:$J$24,8,0)</f>
        <v>#N/A</v>
      </c>
      <c r="AC214" s="63" t="e">
        <f>VLOOKUP(A214,Enforcements!$C$7:$E$24,3,0)</f>
        <v>#N/A</v>
      </c>
      <c r="AD214" s="64" t="str">
        <f t="shared" si="67"/>
        <v>0908-15</v>
      </c>
      <c r="AE214" s="104" t="str">
        <f t="shared" si="68"/>
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</c>
      <c r="AF214" s="101" t="str">
        <f t="shared" si="69"/>
        <v>"C:\Program Files (x86)\AstroGrep\AstroGrep.exe" /spath="%USERPROFILE%\AppData\Local\Temp\OnboardLogs" /stypes="*4015*20160816*" /stext=" 04:.+((SYSTEM_STATE.+slice.+state.+changed )|(ment ac)|(system.+state.+changed )|(\|lc)|(penalty)|(\[timeout)|(PRM\|1\|D)|(kpr)|(kdp)|(\|loc))" /e /r /s</v>
      </c>
      <c r="AG214" s="1" t="str">
        <f t="shared" si="71"/>
        <v>Other</v>
      </c>
      <c r="AH214" s="105" t="str">
        <f t="shared" si="70"/>
        <v>"%USERPROFILE%\Documents\GitHub\eaglep3\Utilities\RefineRTDCRunTimes.py" --tripid 908-15 --locoid 4015 --swversion DE.1.0.7.0 --startMP 300:58651 --initTime 2016-08-15T22:38:33 --startdatetime 2016-08-15T22:39:48 --delay 1 --endMP 300:21678 --enddatetime 2016-08-15T22:47:48 --enforcementcount 0</v>
      </c>
    </row>
    <row r="215" spans="1:34" x14ac:dyDescent="0.25">
      <c r="A215" s="40" t="s">
        <v>529</v>
      </c>
      <c r="B215" s="7">
        <v>4007</v>
      </c>
      <c r="C215" s="25" t="s">
        <v>119</v>
      </c>
      <c r="D215" s="25" t="s">
        <v>194</v>
      </c>
      <c r="E215" s="16">
        <v>42598.030462962961</v>
      </c>
      <c r="F215" s="16">
        <v>42598.031712962962</v>
      </c>
      <c r="G215" s="7">
        <v>1</v>
      </c>
      <c r="H215" s="16" t="s">
        <v>530</v>
      </c>
      <c r="I215" s="16">
        <v>42598.038784722223</v>
      </c>
      <c r="J215" s="7">
        <v>0</v>
      </c>
      <c r="K215" s="142" t="str">
        <f t="shared" si="56"/>
        <v>4007/4008</v>
      </c>
      <c r="L215" s="25" t="str">
        <f>VLOOKUP(A215,'Trips&amp;Operators'!$C$1:$E$10000,3,FALSE)</f>
        <v>LEVERE</v>
      </c>
      <c r="M215" s="6">
        <f t="shared" si="57"/>
        <v>7.07175926072523E-3</v>
      </c>
      <c r="N215" s="7">
        <f t="shared" si="58"/>
        <v>10.183333335444331</v>
      </c>
      <c r="O215" s="7"/>
      <c r="P215" s="7"/>
      <c r="Q215" s="26"/>
      <c r="R215" s="26"/>
      <c r="S215" s="38">
        <f t="shared" si="59"/>
        <v>0</v>
      </c>
      <c r="T215" s="53" t="e">
        <f t="shared" si="60"/>
        <v>#VALUE!</v>
      </c>
      <c r="U215" s="13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11" t="str">
        <f t="shared" si="61"/>
        <v>https://search-rtdc-monitor-bjffxe2xuh6vdkpspy63sjmuny.us-east-1.es.amazonaws.com/_plugin/kibana/#/discover/Steve-Slow-Train-Analysis-(2080s-and-2083s)?_g=(refreshInterval:(display:Off,section:0,value:0),time:(from:'2016-08-15 23:43:52-0600',mode:absolute,to:'2016-08-16 01:55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215" s="55" t="str">
        <f t="shared" si="62"/>
        <v>Y</v>
      </c>
      <c r="X215" s="129" t="e">
        <f t="shared" si="63"/>
        <v>#VALUE!</v>
      </c>
      <c r="Y215" s="70">
        <f t="shared" si="64"/>
        <v>4.5100000000000001E-2</v>
      </c>
      <c r="Z215" s="70">
        <f t="shared" si="65"/>
        <v>2.2812000000000001</v>
      </c>
      <c r="AA215" s="70">
        <f t="shared" si="66"/>
        <v>2.2361</v>
      </c>
      <c r="AB215" s="67" t="e">
        <f>VLOOKUP(A215,Enforcements!$C$7:$J$24,8,0)</f>
        <v>#N/A</v>
      </c>
      <c r="AC215" s="63" t="e">
        <f>VLOOKUP(A215,Enforcements!$C$7:$E$24,3,0)</f>
        <v>#N/A</v>
      </c>
      <c r="AD215" s="64" t="str">
        <f t="shared" si="67"/>
        <v>63-15</v>
      </c>
      <c r="AE215" s="104" t="str">
        <f t="shared" si="68"/>
        <v>aws s3 cp s3://rtdc.mdm.uploadarchive/RTDC4007/2016-08-16/ "%USERPROFILE%\AppData\Local\Temp\OnboardLogs"\RTDC4007\2016-08-16 --recursive &amp; "%USERPROFILE%\Documents\GitHub\mrs-test-scripts\Headless Mode &amp; Sideloading\WalkAndUnGZ.bat" "%USERPROFILE%\AppData\Local\Temp\OnboardLogs"\RTDC4007\2016-08-16 &amp; 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</v>
      </c>
      <c r="AF215" s="101" t="str">
        <f t="shared" si="69"/>
        <v>"C:\Program Files (x86)\AstroGrep\AstroGrep.exe" /spath="%USERPROFILE%\AppData\Local\Temp\OnboardLogs" /stypes="*4007*20160816*" /stext=" 06:.+((SYSTEM_STATE.+slice.+state.+changed )|(ment ac)|(system.+state.+changed )|(\|lc)|(penalty)|(\[timeout)|(PRM\|1\|D)|(kpr)|(kdp)|(\|loc))" /e /r /s</v>
      </c>
      <c r="AG215" s="1" t="str">
        <f t="shared" si="71"/>
        <v>Other</v>
      </c>
      <c r="AH215" s="105" t="str">
        <f t="shared" si="70"/>
        <v>"%USERPROFILE%\Documents\GitHub\eaglep3\Utilities\RefineRTDCRunTimes.py" --tripid 63-15 --locoid 4007 --swversion DE.1.0.7.0 --startMP 204:451 --initTime 2016-08-16T00:43:52 --startdatetime 2016-08-16T00:45:40 --delay 1 --endMP 300:22812 --enddatetime 2016-08-16T00:55:51 --enforcementcount 0</v>
      </c>
    </row>
  </sheetData>
  <autoFilter ref="A12:AG215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5" priority="201" operator="equal">
      <formula>"Y"</formula>
    </cfRule>
  </conditionalFormatting>
  <conditionalFormatting sqref="X13:X1048576">
    <cfRule type="cellIs" dxfId="14" priority="184" operator="greaterThan">
      <formula>1</formula>
    </cfRule>
  </conditionalFormatting>
  <conditionalFormatting sqref="X12:X1048576">
    <cfRule type="cellIs" dxfId="13" priority="181" operator="equal">
      <formula>0</formula>
    </cfRule>
  </conditionalFormatting>
  <conditionalFormatting sqref="A13:S13 A15:I215 J14:S215">
    <cfRule type="expression" dxfId="12" priority="177">
      <formula>$O13&gt;0</formula>
    </cfRule>
  </conditionalFormatting>
  <conditionalFormatting sqref="A13:S13 A15:I215 J14:S215">
    <cfRule type="expression" dxfId="11" priority="176">
      <formula>$P13&gt;0</formula>
    </cfRule>
  </conditionalFormatting>
  <conditionalFormatting sqref="A14:I14">
    <cfRule type="expression" dxfId="10" priority="15">
      <formula>$O14&gt;0</formula>
    </cfRule>
  </conditionalFormatting>
  <conditionalFormatting sqref="A14:I14">
    <cfRule type="expression" dxfId="9" priority="14">
      <formula>$P14&gt;0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5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A13:S13 A15:I215 J14:S215</xm:sqref>
        </x14:conditionalFormatting>
        <x14:conditionalFormatting xmlns:xm="http://schemas.microsoft.com/office/excel/2006/main">
          <x14:cfRule type="expression" priority="13" id="{31EE8063-6E04-4071-BDD6-4E6F221D72AE}">
            <xm:f>IF($AG14="EC",$N14&gt;Variables!$C$2,$N14&gt;Variables!$D$2)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A14:I14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89"/>
  <sheetViews>
    <sheetView tabSelected="1" workbookViewId="0">
      <selection activeCell="M13" sqref="M13:N16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9.8554687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" customWidth="1"/>
    <col min="12" max="12" width="11.85546875" style="31" customWidth="1"/>
    <col min="13" max="13" width="5.140625" style="123" customWidth="1"/>
    <col min="14" max="14" width="24.140625" customWidth="1"/>
    <col min="15" max="15" width="5" hidden="1" customWidth="1"/>
    <col min="16" max="16" width="5.7109375" style="102" customWidth="1"/>
    <col min="17" max="17" width="5.7109375" style="116" customWidth="1"/>
    <col min="18" max="18" width="6" style="99" customWidth="1"/>
    <col min="19" max="19" width="5.28515625" customWidth="1"/>
    <col min="20" max="20" width="20" style="51" bestFit="1" customWidth="1"/>
    <col min="21" max="21" width="5.28515625" customWidth="1"/>
    <col min="22" max="22" width="6.7109375" customWidth="1"/>
  </cols>
  <sheetData>
    <row r="1" spans="1:22" s="24" customFormat="1" ht="15.75" thickBot="1" x14ac:dyDescent="0.3">
      <c r="A1" s="8"/>
      <c r="F1" s="2"/>
      <c r="G1" s="2"/>
      <c r="H1" s="2"/>
      <c r="J1" s="2"/>
      <c r="L1" s="31"/>
      <c r="M1" s="123"/>
      <c r="P1" s="102"/>
      <c r="Q1" s="116"/>
      <c r="R1" s="99"/>
      <c r="T1" s="51"/>
    </row>
    <row r="2" spans="1:22" s="24" customFormat="1" x14ac:dyDescent="0.25">
      <c r="A2" s="8"/>
      <c r="F2" s="2"/>
      <c r="G2" s="2"/>
      <c r="H2" s="2"/>
      <c r="J2" s="2"/>
      <c r="K2" s="143" t="s">
        <v>90</v>
      </c>
      <c r="L2" s="144"/>
      <c r="M2" s="145">
        <f>COUNTIF($M$7:$M$442,"=Y")</f>
        <v>5</v>
      </c>
      <c r="N2" s="146"/>
      <c r="P2" s="102"/>
      <c r="Q2" s="116"/>
      <c r="R2" s="99"/>
      <c r="T2" s="51"/>
    </row>
    <row r="3" spans="1:22" s="24" customFormat="1" ht="15.75" thickBot="1" x14ac:dyDescent="0.3">
      <c r="A3" s="8"/>
      <c r="F3" s="2"/>
      <c r="G3" s="2"/>
      <c r="H3" s="2"/>
      <c r="J3" s="2"/>
      <c r="K3" s="147" t="s">
        <v>91</v>
      </c>
      <c r="L3" s="148"/>
      <c r="M3" s="149">
        <f>COUNTA($M$7:$M$442)-M2</f>
        <v>78</v>
      </c>
      <c r="N3" s="146"/>
      <c r="P3" s="102"/>
      <c r="Q3" s="116"/>
      <c r="R3" s="99"/>
      <c r="T3" s="51"/>
    </row>
    <row r="4" spans="1:22" s="24" customFormat="1" x14ac:dyDescent="0.25">
      <c r="A4" s="8"/>
      <c r="F4" s="2"/>
      <c r="G4" s="2"/>
      <c r="H4" s="2"/>
      <c r="J4" s="2"/>
      <c r="L4" s="31"/>
      <c r="M4" s="123"/>
      <c r="P4" s="102"/>
      <c r="Q4" s="116"/>
      <c r="R4" s="99"/>
      <c r="T4" s="51"/>
    </row>
    <row r="5" spans="1:22" s="12" customFormat="1" ht="15" customHeight="1" x14ac:dyDescent="0.25">
      <c r="A5" s="150" t="str">
        <f>"Eagle P3 Braking Events - "&amp;TEXT(Variables!$A$2,"YYYY-mm-dd")</f>
        <v>Eagle P3 Braking Events - 2016-08-15</v>
      </c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3"/>
      <c r="P5" s="113"/>
      <c r="Q5" s="117"/>
      <c r="R5" s="120"/>
      <c r="T5" s="52"/>
    </row>
    <row r="6" spans="1:22" s="1" customFormat="1" ht="105" x14ac:dyDescent="0.25">
      <c r="A6" s="11" t="s">
        <v>38</v>
      </c>
      <c r="B6" s="73" t="s">
        <v>37</v>
      </c>
      <c r="C6" s="73" t="s">
        <v>36</v>
      </c>
      <c r="D6" s="73" t="s">
        <v>35</v>
      </c>
      <c r="E6" s="73" t="s">
        <v>34</v>
      </c>
      <c r="F6" s="74" t="s">
        <v>33</v>
      </c>
      <c r="G6" s="74" t="s">
        <v>32</v>
      </c>
      <c r="H6" s="74" t="s">
        <v>31</v>
      </c>
      <c r="I6" s="73" t="s">
        <v>30</v>
      </c>
      <c r="J6" s="74" t="s">
        <v>29</v>
      </c>
      <c r="K6" s="73" t="s">
        <v>28</v>
      </c>
      <c r="L6" s="17" t="s">
        <v>47</v>
      </c>
      <c r="M6" s="140" t="s">
        <v>27</v>
      </c>
      <c r="N6" s="73" t="s">
        <v>24</v>
      </c>
      <c r="O6" s="53"/>
      <c r="P6" s="114" t="s">
        <v>104</v>
      </c>
      <c r="Q6" s="118" t="s">
        <v>63</v>
      </c>
      <c r="R6" s="121" t="s">
        <v>103</v>
      </c>
      <c r="S6" s="73" t="s">
        <v>98</v>
      </c>
      <c r="T6" s="75" t="s">
        <v>99</v>
      </c>
      <c r="U6" s="53" t="s">
        <v>112</v>
      </c>
      <c r="V6" s="53" t="s">
        <v>115</v>
      </c>
    </row>
    <row r="7" spans="1:22" s="1" customFormat="1" x14ac:dyDescent="0.25">
      <c r="A7" s="39">
        <v>42597.683599537035</v>
      </c>
      <c r="B7" s="34" t="s">
        <v>270</v>
      </c>
      <c r="C7" s="34" t="s">
        <v>463</v>
      </c>
      <c r="D7" s="34" t="s">
        <v>49</v>
      </c>
      <c r="E7" s="34" t="s">
        <v>273</v>
      </c>
      <c r="F7" s="50">
        <v>0</v>
      </c>
      <c r="G7" s="50">
        <v>281</v>
      </c>
      <c r="H7" s="50">
        <v>33126</v>
      </c>
      <c r="I7" s="34" t="s">
        <v>274</v>
      </c>
      <c r="J7" s="50">
        <v>33137</v>
      </c>
      <c r="K7" s="34" t="s">
        <v>52</v>
      </c>
      <c r="L7" s="97" t="str">
        <f>VLOOKUP(C7,'Trips&amp;Operators'!$C$1:$E$9999,3,0)</f>
        <v>STEWART</v>
      </c>
      <c r="M7" s="141" t="s">
        <v>89</v>
      </c>
      <c r="N7" s="10" t="s">
        <v>656</v>
      </c>
      <c r="O7" s="34"/>
      <c r="P7" s="115" t="str">
        <f>VLOOKUP(C7,'Train Runs'!$A$13:$AE$9995,31,0)</f>
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</c>
      <c r="Q7" s="119" t="str">
        <f>VLOOKUP(C7,'Train Runs'!$A$13:$AE$9995,22,0)</f>
        <v>https://search-rtdc-monitor-bjffxe2xuh6vdkpspy63sjmuny.us-east-1.es.amazonaws.com/_plugin/kibana/#/discover/Steve-Slow-Train-Analysis-(2080s-and-2083s)?_g=(refreshInterval:(display:Off,section:0,value:0),time:(from:'2016-08-15 15:13:37-0600',mode:absolute,to:'2016-08-15 18:00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7" s="122" t="str">
        <f t="shared" ref="R7:R38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/stypes="*4044*201608152*" /stext=" 22:.+((SYSTEM_STATE.+slice.+state.+changed )|(ment ac)|(system.+state.+changed )|(\|lc)|(penalty)|(\[timeout)|(PRM\|1\|D)|(kpr)|(kdp)|(\|loc))" /e /r /s</v>
      </c>
      <c r="S7" s="9" t="str">
        <f t="shared" ref="S7:S38" si="1">MID(B7,13,4)</f>
        <v>4044</v>
      </c>
      <c r="T7" s="39">
        <f t="shared" ref="T7:T38" si="2">A7+6/24</f>
        <v>42597.933599537035</v>
      </c>
      <c r="U7" s="53" t="str">
        <f t="shared" ref="U7:U38" si="3">IF(VALUE(LEFT(IF(LEN(C7)=6,"0"&amp;C7,C7),2))&lt;=2,"EC",IF(OR(VALUE(LEFT(IF(LEN(C7)=6,"0"&amp;C7,C7),2))=8,VALUE(LEFT(IF(LEN(C7)=6,"0"&amp;C7,C7),2))=18),"NW","GL"))</f>
        <v>EC</v>
      </c>
      <c r="V7" s="53" t="str">
        <f t="shared" ref="V7:V38" si="4">IF(AND(E7="TRACK WARRANT AUTHORITY",G7&lt;10),"OMIT","KEEP")</f>
        <v>KEEP</v>
      </c>
    </row>
    <row r="8" spans="1:22" s="1" customFormat="1" x14ac:dyDescent="0.25">
      <c r="A8" s="39">
        <v>42597.570729166669</v>
      </c>
      <c r="B8" s="34" t="s">
        <v>186</v>
      </c>
      <c r="C8" s="34" t="s">
        <v>438</v>
      </c>
      <c r="D8" s="34" t="s">
        <v>49</v>
      </c>
      <c r="E8" s="34" t="s">
        <v>273</v>
      </c>
      <c r="F8" s="50">
        <v>340</v>
      </c>
      <c r="G8" s="50">
        <v>416</v>
      </c>
      <c r="H8" s="50">
        <v>32623</v>
      </c>
      <c r="I8" s="34" t="s">
        <v>274</v>
      </c>
      <c r="J8" s="50">
        <v>33137</v>
      </c>
      <c r="K8" s="34" t="s">
        <v>52</v>
      </c>
      <c r="L8" s="97" t="str">
        <f>VLOOKUP(C8,'Trips&amp;Operators'!$C$1:$E$9999,3,0)</f>
        <v>MAYBERRY</v>
      </c>
      <c r="M8" s="141" t="s">
        <v>89</v>
      </c>
      <c r="N8" s="10" t="s">
        <v>656</v>
      </c>
      <c r="O8" s="34"/>
      <c r="P8" s="115" t="str">
        <f>VLOOKUP(C8,'Train Runs'!$A$13:$AE$9995,31,0)</f>
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</c>
      <c r="Q8" s="119" t="str">
        <f>VLOOKUP(C8,'Train Runs'!$A$13:$AE$9995,22,0)</f>
        <v>https://search-rtdc-monitor-bjffxe2xuh6vdkpspy63sjmuny.us-east-1.es.amazonaws.com/_plugin/kibana/#/discover/Steve-Slow-Train-Analysis-(2080s-and-2083s)?_g=(refreshInterval:(display:Off,section:0,value:0),time:(from:'2016-08-15 12:28:42-0600',mode:absolute,to:'2016-08-15 15:16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8" s="122" t="str">
        <f t="shared" si="0"/>
        <v>"C:\Program Files (x86)\AstroGrep\AstroGrep.exe" /spath="%USERPROFILE%\AppData\Local\Temp\OnboardLogs" /stypes="*4038*201608151*" /stext=" 19:.+((SYSTEM_STATE.+slice.+state.+changed )|(ment ac)|(system.+state.+changed )|(\|lc)|(penalty)|(\[timeout)|(PRM\|1\|D)|(kpr)|(kdp)|(\|loc))" /e /r /s</v>
      </c>
      <c r="S8" s="9" t="str">
        <f t="shared" si="1"/>
        <v>4038</v>
      </c>
      <c r="T8" s="39">
        <f t="shared" si="2"/>
        <v>42597.820729166669</v>
      </c>
      <c r="U8" s="53" t="str">
        <f t="shared" si="3"/>
        <v>EC</v>
      </c>
      <c r="V8" s="53" t="str">
        <f t="shared" si="4"/>
        <v>KEEP</v>
      </c>
    </row>
    <row r="9" spans="1:22" s="1" customFormat="1" x14ac:dyDescent="0.25">
      <c r="A9" s="39">
        <v>42597.248425925929</v>
      </c>
      <c r="B9" s="34" t="s">
        <v>236</v>
      </c>
      <c r="C9" s="34" t="s">
        <v>340</v>
      </c>
      <c r="D9" s="34" t="s">
        <v>116</v>
      </c>
      <c r="E9" s="34" t="s">
        <v>273</v>
      </c>
      <c r="F9" s="50">
        <v>0</v>
      </c>
      <c r="G9" s="50">
        <v>219</v>
      </c>
      <c r="H9" s="50">
        <v>33235</v>
      </c>
      <c r="I9" s="34" t="s">
        <v>274</v>
      </c>
      <c r="J9" s="50">
        <v>33257</v>
      </c>
      <c r="K9" s="34" t="s">
        <v>53</v>
      </c>
      <c r="L9" s="97" t="str">
        <f>VLOOKUP(C9,'Trips&amp;Operators'!$C$1:$E$9999,3,0)</f>
        <v>SPECTOR</v>
      </c>
      <c r="M9" s="141" t="s">
        <v>89</v>
      </c>
      <c r="N9" s="10" t="s">
        <v>656</v>
      </c>
      <c r="O9" s="34"/>
      <c r="P9" s="115" t="str">
        <f>VLOOKUP(C9,'Train Runs'!$A$13:$AE$9995,31,0)</f>
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</c>
      <c r="Q9" s="119" t="str">
        <f>VLOOKUP(C9,'Train Runs'!$A$13:$AE$9995,22,0)</f>
        <v>https://search-rtdc-monitor-bjffxe2xuh6vdkpspy63sjmuny.us-east-1.es.amazonaws.com/_plugin/kibana/#/discover/Steve-Slow-Train-Analysis-(2080s-and-2083s)?_g=(refreshInterval:(display:Off,section:0,value:0),time:(from:'2016-08-15 04:24:13-0600',mode:absolute,to:'2016-08-15 07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9" s="122" t="str">
        <f t="shared" si="0"/>
        <v>"C:\Program Files (x86)\AstroGrep\AstroGrep.exe" /spath="%USERPROFILE%\AppData\Local\Temp\OnboardLogs" /stypes="*4019*201608151*" /stext=" 11:.+((SYSTEM_STATE.+slice.+state.+changed )|(ment ac)|(system.+state.+changed )|(\|lc)|(penalty)|(\[timeout)|(PRM\|1\|D)|(kpr)|(kdp)|(\|loc))" /e /r /s</v>
      </c>
      <c r="S9" s="9" t="str">
        <f t="shared" si="1"/>
        <v>4019</v>
      </c>
      <c r="T9" s="39">
        <f t="shared" si="2"/>
        <v>42597.498425925929</v>
      </c>
      <c r="U9" s="53" t="str">
        <f t="shared" si="3"/>
        <v>EC</v>
      </c>
      <c r="V9" s="53" t="str">
        <f t="shared" si="4"/>
        <v>KEEP</v>
      </c>
    </row>
    <row r="10" spans="1:22" s="1" customFormat="1" x14ac:dyDescent="0.25">
      <c r="A10" s="39">
        <v>42597.299988425926</v>
      </c>
      <c r="B10" s="34" t="s">
        <v>272</v>
      </c>
      <c r="C10" s="34" t="s">
        <v>355</v>
      </c>
      <c r="D10" s="34" t="s">
        <v>49</v>
      </c>
      <c r="E10" s="34" t="s">
        <v>273</v>
      </c>
      <c r="F10" s="50">
        <v>0</v>
      </c>
      <c r="G10" s="50">
        <v>300</v>
      </c>
      <c r="H10" s="50">
        <v>33469</v>
      </c>
      <c r="I10" s="34" t="s">
        <v>274</v>
      </c>
      <c r="J10" s="50">
        <v>33257</v>
      </c>
      <c r="K10" s="34" t="s">
        <v>53</v>
      </c>
      <c r="L10" s="97" t="str">
        <f>VLOOKUP(C10,'Trips&amp;Operators'!$C$1:$E$9999,3,0)</f>
        <v>ACKERMAN</v>
      </c>
      <c r="M10" s="141" t="s">
        <v>89</v>
      </c>
      <c r="N10" s="10" t="s">
        <v>656</v>
      </c>
      <c r="O10" s="34"/>
      <c r="P10" s="115" t="str">
        <f>VLOOKUP(C10,'Train Runs'!$A$13:$AE$9995,31,0)</f>
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</c>
      <c r="Q10" s="119" t="str">
        <f>VLOOKUP(C10,'Train Runs'!$A$13:$AE$9995,22,0)</f>
        <v>https://search-rtdc-monitor-bjffxe2xuh6vdkpspy63sjmuny.us-east-1.es.amazonaws.com/_plugin/kibana/#/discover/Steve-Slow-Train-Analysis-(2080s-and-2083s)?_g=(refreshInterval:(display:Off,section:0,value:0),time:(from:'2016-08-15 05:33:41-0600',mode:absolute,to:'2016-08-15 08:22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10" s="122" t="str">
        <f t="shared" si="0"/>
        <v>"C:\Program Files (x86)\AstroGrep\AstroGrep.exe" /spath="%USERPROFILE%\AppData\Local\Temp\OnboardLogs" /stypes="*4043*201608151*" /stext=" 13:.+((SYSTEM_STATE.+slice.+state.+changed )|(ment ac)|(system.+state.+changed )|(\|lc)|(penalty)|(\[timeout)|(PRM\|1\|D)|(kpr)|(kdp)|(\|loc))" /e /r /s</v>
      </c>
      <c r="S10" s="9" t="str">
        <f t="shared" si="1"/>
        <v>4043</v>
      </c>
      <c r="T10" s="39">
        <f t="shared" si="2"/>
        <v>42597.549988425926</v>
      </c>
      <c r="U10" s="53" t="str">
        <f t="shared" si="3"/>
        <v>EC</v>
      </c>
      <c r="V10" s="53" t="str">
        <f t="shared" si="4"/>
        <v>KEEP</v>
      </c>
    </row>
    <row r="11" spans="1:22" s="1" customFormat="1" x14ac:dyDescent="0.25">
      <c r="A11" s="39">
        <v>42597.4378125</v>
      </c>
      <c r="B11" s="34" t="s">
        <v>183</v>
      </c>
      <c r="C11" s="34" t="s">
        <v>390</v>
      </c>
      <c r="D11" s="34" t="s">
        <v>116</v>
      </c>
      <c r="E11" s="34" t="s">
        <v>273</v>
      </c>
      <c r="F11" s="50">
        <v>0</v>
      </c>
      <c r="G11" s="50">
        <v>228</v>
      </c>
      <c r="H11" s="50">
        <v>33237</v>
      </c>
      <c r="I11" s="34" t="s">
        <v>274</v>
      </c>
      <c r="J11" s="50">
        <v>33257</v>
      </c>
      <c r="K11" s="34" t="s">
        <v>53</v>
      </c>
      <c r="L11" s="97" t="str">
        <f>VLOOKUP(C11,'Trips&amp;Operators'!$C$1:$E$9999,3,0)</f>
        <v>MALAVE</v>
      </c>
      <c r="M11" s="141" t="s">
        <v>89</v>
      </c>
      <c r="N11" s="10" t="s">
        <v>656</v>
      </c>
      <c r="O11" s="34"/>
      <c r="P11" s="115" t="str">
        <f>VLOOKUP(C11,'Train Runs'!$A$13:$AE$9995,31,0)</f>
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</c>
      <c r="Q11" s="119" t="str">
        <f>VLOOKUP(C11,'Train Runs'!$A$13:$AE$9995,22,0)</f>
        <v>https://search-rtdc-monitor-bjffxe2xuh6vdkpspy63sjmuny.us-east-1.es.amazonaws.com/_plugin/kibana/#/discover/Steve-Slow-Train-Analysis-(2080s-and-2083s)?_g=(refreshInterval:(display:Off,section:0,value:0),time:(from:'2016-08-15 08:53:47-0600',mode:absolute,to:'2016-08-15 11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11" s="122" t="str">
        <f t="shared" si="0"/>
        <v>"C:\Program Files (x86)\AstroGrep\AstroGrep.exe" /spath="%USERPROFILE%\AppData\Local\Temp\OnboardLogs" /stypes="*4041*201608151*" /stext=" 16:.+((SYSTEM_STATE.+slice.+state.+changed )|(ment ac)|(system.+state.+changed )|(\|lc)|(penalty)|(\[timeout)|(PRM\|1\|D)|(kpr)|(kdp)|(\|loc))" /e /r /s</v>
      </c>
      <c r="S11" s="9" t="str">
        <f t="shared" si="1"/>
        <v>4041</v>
      </c>
      <c r="T11" s="39">
        <f t="shared" si="2"/>
        <v>42597.6878125</v>
      </c>
      <c r="U11" s="53" t="str">
        <f t="shared" si="3"/>
        <v>EC</v>
      </c>
      <c r="V11" s="53" t="str">
        <f t="shared" si="4"/>
        <v>KEEP</v>
      </c>
    </row>
    <row r="12" spans="1:22" s="1" customFormat="1" x14ac:dyDescent="0.25">
      <c r="A12" s="39">
        <v>42597.658773148149</v>
      </c>
      <c r="B12" s="34" t="s">
        <v>183</v>
      </c>
      <c r="C12" s="34" t="s">
        <v>446</v>
      </c>
      <c r="D12" s="34" t="s">
        <v>49</v>
      </c>
      <c r="E12" s="34" t="s">
        <v>273</v>
      </c>
      <c r="F12" s="50">
        <v>0</v>
      </c>
      <c r="G12" s="50">
        <v>178</v>
      </c>
      <c r="H12" s="50">
        <v>33263</v>
      </c>
      <c r="I12" s="34" t="s">
        <v>274</v>
      </c>
      <c r="J12" s="50">
        <v>33257</v>
      </c>
      <c r="K12" s="34" t="s">
        <v>53</v>
      </c>
      <c r="L12" s="97" t="str">
        <f>VLOOKUP(C12,'Trips&amp;Operators'!$C$1:$E$9999,3,0)</f>
        <v>SHOOK</v>
      </c>
      <c r="M12" s="141" t="s">
        <v>89</v>
      </c>
      <c r="N12" s="10" t="s">
        <v>656</v>
      </c>
      <c r="O12" s="34"/>
      <c r="P12" s="115" t="str">
        <f>VLOOKUP(C12,'Train Runs'!$A$13:$AE$9995,31,0)</f>
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</c>
      <c r="Q12" s="119" t="str">
        <f>VLOOKUP(C12,'Train Runs'!$A$13:$AE$9995,22,0)</f>
        <v>https://search-rtdc-monitor-bjffxe2xuh6vdkpspy63sjmuny.us-east-1.es.amazonaws.com/_plugin/kibana/#/discover/Steve-Slow-Train-Analysis-(2080s-and-2083s)?_g=(refreshInterval:(display:Off,section:0,value:0),time:(from:'2016-08-15 14:11:01-0600',mode:absolute,to:'2016-08-15 16:59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12" s="122" t="str">
        <f t="shared" si="0"/>
        <v>"C:\Program Files (x86)\AstroGrep\AstroGrep.exe" /spath="%USERPROFILE%\AppData\Local\Temp\OnboardLogs" /stypes="*4041*201608152*" /stext=" 21:.+((SYSTEM_STATE.+slice.+state.+changed )|(ment ac)|(system.+state.+changed )|(\|lc)|(penalty)|(\[timeout)|(PRM\|1\|D)|(kpr)|(kdp)|(\|loc))" /e /r /s</v>
      </c>
      <c r="S12" s="9" t="str">
        <f t="shared" si="1"/>
        <v>4041</v>
      </c>
      <c r="T12" s="39">
        <f t="shared" si="2"/>
        <v>42597.908773148149</v>
      </c>
      <c r="U12" s="53" t="str">
        <f t="shared" si="3"/>
        <v>EC</v>
      </c>
      <c r="V12" s="53" t="str">
        <f t="shared" si="4"/>
        <v>KEEP</v>
      </c>
    </row>
    <row r="13" spans="1:22" s="1" customFormat="1" x14ac:dyDescent="0.25">
      <c r="A13" s="39">
        <v>42597.667048611111</v>
      </c>
      <c r="B13" s="34" t="s">
        <v>272</v>
      </c>
      <c r="C13" s="34" t="s">
        <v>448</v>
      </c>
      <c r="D13" s="34" t="s">
        <v>49</v>
      </c>
      <c r="E13" s="34" t="s">
        <v>273</v>
      </c>
      <c r="F13" s="50">
        <v>250</v>
      </c>
      <c r="G13" s="50">
        <v>340</v>
      </c>
      <c r="H13" s="50">
        <v>33609</v>
      </c>
      <c r="I13" s="34" t="s">
        <v>274</v>
      </c>
      <c r="J13" s="50">
        <v>33257</v>
      </c>
      <c r="K13" s="34" t="s">
        <v>53</v>
      </c>
      <c r="L13" s="97" t="str">
        <f>VLOOKUP(C13,'Trips&amp;Operators'!$C$1:$E$9999,3,0)</f>
        <v>STEWART</v>
      </c>
      <c r="M13" s="141" t="s">
        <v>89</v>
      </c>
      <c r="N13" s="10" t="s">
        <v>656</v>
      </c>
      <c r="O13" s="34"/>
      <c r="P13" s="115" t="str">
        <f>VLOOKUP(C13,'Train Runs'!$A$13:$AE$9995,31,0)</f>
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</c>
      <c r="Q13" s="119" t="str">
        <f>VLOOKUP(C13,'Train Runs'!$A$13:$AE$9995,22,0)</f>
        <v>https://search-rtdc-monitor-bjffxe2xuh6vdkpspy63sjmuny.us-east-1.es.amazonaws.com/_plugin/kibana/#/discover/Steve-Slow-Train-Analysis-(2080s-and-2083s)?_g=(refreshInterval:(display:Off,section:0,value:0),time:(from:'2016-08-15 14:26:38-0600',mode:absolute,to:'2016-08-15 17:11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13" s="122" t="str">
        <f t="shared" si="0"/>
        <v>"C:\Program Files (x86)\AstroGrep\AstroGrep.exe" /spath="%USERPROFILE%\AppData\Local\Temp\OnboardLogs" /stypes="*4043*201608152*" /stext=" 22:.+((SYSTEM_STATE.+slice.+state.+changed )|(ment ac)|(system.+state.+changed )|(\|lc)|(penalty)|(\[timeout)|(PRM\|1\|D)|(kpr)|(kdp)|(\|loc))" /e /r /s</v>
      </c>
      <c r="S13" s="9" t="str">
        <f t="shared" si="1"/>
        <v>4043</v>
      </c>
      <c r="T13" s="39">
        <f t="shared" si="2"/>
        <v>42597.917048611111</v>
      </c>
      <c r="U13" s="53" t="str">
        <f t="shared" si="3"/>
        <v>EC</v>
      </c>
      <c r="V13" s="53" t="str">
        <f t="shared" si="4"/>
        <v>KEEP</v>
      </c>
    </row>
    <row r="14" spans="1:22" s="1" customFormat="1" x14ac:dyDescent="0.25">
      <c r="A14" s="39">
        <v>42597.269849537035</v>
      </c>
      <c r="B14" s="34" t="s">
        <v>233</v>
      </c>
      <c r="C14" s="34" t="s">
        <v>360</v>
      </c>
      <c r="D14" s="34" t="s">
        <v>49</v>
      </c>
      <c r="E14" s="34" t="s">
        <v>273</v>
      </c>
      <c r="F14" s="50">
        <v>0</v>
      </c>
      <c r="G14" s="50">
        <v>373</v>
      </c>
      <c r="H14" s="50">
        <v>62259</v>
      </c>
      <c r="I14" s="34" t="s">
        <v>274</v>
      </c>
      <c r="J14" s="50">
        <v>63069</v>
      </c>
      <c r="K14" s="34" t="s">
        <v>52</v>
      </c>
      <c r="L14" s="97" t="str">
        <f>VLOOKUP(C14,'Trips&amp;Operators'!$C$1:$E$9999,3,0)</f>
        <v>SPECTOR</v>
      </c>
      <c r="M14" s="141" t="s">
        <v>89</v>
      </c>
      <c r="N14" s="10" t="s">
        <v>656</v>
      </c>
      <c r="O14" s="34"/>
      <c r="P14" s="115" t="str">
        <f>VLOOKUP(C14,'Train Runs'!$A$13:$AE$9995,31,0)</f>
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</c>
      <c r="Q14" s="119" t="str">
        <f>VLOOKUP(C14,'Train Runs'!$A$13:$AE$9995,22,0)</f>
        <v>https://search-rtdc-monitor-bjffxe2xuh6vdkpspy63sjmuny.us-east-1.es.amazonaws.com/_plugin/kibana/#/discover/Steve-Slow-Train-Analysis-(2080s-and-2083s)?_g=(refreshInterval:(display:Off,section:0,value:0),time:(from:'2016-08-15 05:12:12-0600',mode:absolute,to:'2016-08-15 07:52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14" s="122" t="str">
        <f t="shared" si="0"/>
        <v>"C:\Program Files (x86)\AstroGrep\AstroGrep.exe" /spath="%USERPROFILE%\AppData\Local\Temp\OnboardLogs" /stypes="*4020*201608151*" /stext=" 12:.+((SYSTEM_STATE.+slice.+state.+changed )|(ment ac)|(system.+state.+changed )|(\|lc)|(penalty)|(\[timeout)|(PRM\|1\|D)|(kpr)|(kdp)|(\|loc))" /e /r /s</v>
      </c>
      <c r="S14" s="9" t="str">
        <f t="shared" si="1"/>
        <v>4020</v>
      </c>
      <c r="T14" s="39">
        <f t="shared" si="2"/>
        <v>42597.519849537035</v>
      </c>
      <c r="U14" s="53" t="str">
        <f t="shared" si="3"/>
        <v>EC</v>
      </c>
      <c r="V14" s="53" t="str">
        <f t="shared" si="4"/>
        <v>KEEP</v>
      </c>
    </row>
    <row r="15" spans="1:22" s="1" customFormat="1" x14ac:dyDescent="0.25">
      <c r="A15" s="39">
        <v>42597.90898148148</v>
      </c>
      <c r="B15" s="34" t="s">
        <v>236</v>
      </c>
      <c r="C15" s="34" t="s">
        <v>494</v>
      </c>
      <c r="D15" s="34" t="s">
        <v>49</v>
      </c>
      <c r="E15" s="34" t="s">
        <v>273</v>
      </c>
      <c r="F15" s="50">
        <v>0</v>
      </c>
      <c r="G15" s="50">
        <v>378</v>
      </c>
      <c r="H15" s="50">
        <v>78504</v>
      </c>
      <c r="I15" s="34" t="s">
        <v>274</v>
      </c>
      <c r="J15" s="50">
        <v>78469</v>
      </c>
      <c r="K15" s="34" t="s">
        <v>53</v>
      </c>
      <c r="L15" s="97" t="str">
        <f>VLOOKUP(C15,'Trips&amp;Operators'!$C$1:$E$9999,3,0)</f>
        <v>ISHMAEL</v>
      </c>
      <c r="M15" s="141" t="s">
        <v>89</v>
      </c>
      <c r="N15" s="10" t="s">
        <v>656</v>
      </c>
      <c r="O15" s="34"/>
      <c r="P15" s="115" t="str">
        <f>VLOOKUP(C15,'Train Runs'!$A$13:$AE$9995,31,0)</f>
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</c>
      <c r="Q15" s="119" t="str">
        <f>VLOOKUP(C15,'Train Runs'!$A$13:$AE$9995,22,0)</f>
        <v>https://search-rtdc-monitor-bjffxe2xuh6vdkpspy63sjmuny.us-east-1.es.amazonaws.com/_plugin/kibana/#/discover/Steve-Slow-Train-Analysis-(2080s-and-2083s)?_g=(refreshInterval:(display:Off,section:0,value:0),time:(from:'2016-08-15 20:18:14-0600',mode:absolute,to:'2016-08-15 23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15" s="122" t="str">
        <f t="shared" si="0"/>
        <v>"C:\Program Files (x86)\AstroGrep\AstroGrep.exe" /spath="%USERPROFILE%\AppData\Local\Temp\OnboardLogs" /stypes="*4019*201608160*" /stext=" 03:.+((SYSTEM_STATE.+slice.+state.+changed )|(ment ac)|(system.+state.+changed )|(\|lc)|(penalty)|(\[timeout)|(PRM\|1\|D)|(kpr)|(kdp)|(\|loc))" /e /r /s</v>
      </c>
      <c r="S15" s="9" t="str">
        <f t="shared" si="1"/>
        <v>4019</v>
      </c>
      <c r="T15" s="39">
        <f t="shared" si="2"/>
        <v>42598.15898148148</v>
      </c>
      <c r="U15" s="53" t="str">
        <f t="shared" si="3"/>
        <v>EC</v>
      </c>
      <c r="V15" s="53" t="str">
        <f t="shared" si="4"/>
        <v>KEEP</v>
      </c>
    </row>
    <row r="16" spans="1:22" s="1" customFormat="1" x14ac:dyDescent="0.25">
      <c r="A16" s="39">
        <v>42597.407939814817</v>
      </c>
      <c r="B16" s="34" t="s">
        <v>121</v>
      </c>
      <c r="C16" s="34" t="s">
        <v>385</v>
      </c>
      <c r="D16" s="34" t="s">
        <v>49</v>
      </c>
      <c r="E16" s="34" t="s">
        <v>273</v>
      </c>
      <c r="F16" s="50">
        <v>0</v>
      </c>
      <c r="G16" s="50">
        <v>51</v>
      </c>
      <c r="H16" s="50">
        <v>104410</v>
      </c>
      <c r="I16" s="34" t="s">
        <v>274</v>
      </c>
      <c r="J16" s="50">
        <v>103800</v>
      </c>
      <c r="K16" s="34" t="s">
        <v>53</v>
      </c>
      <c r="L16" s="97" t="str">
        <f>VLOOKUP(C16,'Trips&amp;Operators'!$C$1:$E$9999,3,0)</f>
        <v>STARKS</v>
      </c>
      <c r="M16" s="141" t="s">
        <v>89</v>
      </c>
      <c r="N16" s="10" t="s">
        <v>656</v>
      </c>
      <c r="O16" s="34"/>
      <c r="P16" s="115" t="str">
        <f>VLOOKUP(C16,'Train Runs'!$A$13:$AE$9995,31,0)</f>
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</c>
      <c r="Q16" s="119" t="str">
        <f>VLOOKUP(C16,'Train Runs'!$A$13:$AE$9995,22,0)</f>
        <v>https://search-rtdc-monitor-bjffxe2xuh6vdkpspy63sjmuny.us-east-1.es.amazonaws.com/_plugin/kibana/#/discover/Steve-Slow-Train-Analysis-(2080s-and-2083s)?_g=(refreshInterval:(display:Off,section:0,value:0),time:(from:'2016-08-15 08:23:01-0600',mode:absolute,to:'2016-08-15 11:09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16" s="122" t="str">
        <f t="shared" si="0"/>
        <v>"C:\Program Files (x86)\AstroGrep\AstroGrep.exe" /spath="%USERPROFILE%\AppData\Local\Temp\OnboardLogs" /stypes="*4032*201608151*" /stext=" 15:.+((SYSTEM_STATE.+slice.+state.+changed )|(ment ac)|(system.+state.+changed )|(\|lc)|(penalty)|(\[timeout)|(PRM\|1\|D)|(kpr)|(kdp)|(\|loc))" /e /r /s</v>
      </c>
      <c r="S16" s="9" t="str">
        <f t="shared" si="1"/>
        <v>4032</v>
      </c>
      <c r="T16" s="39">
        <f t="shared" si="2"/>
        <v>42597.657939814817</v>
      </c>
      <c r="U16" s="53" t="str">
        <f t="shared" si="3"/>
        <v>EC</v>
      </c>
      <c r="V16" s="53" t="str">
        <f t="shared" si="4"/>
        <v>KEEP</v>
      </c>
    </row>
    <row r="17" spans="1:24" s="1" customFormat="1" x14ac:dyDescent="0.25">
      <c r="A17" s="39">
        <v>42597.592835648145</v>
      </c>
      <c r="B17" s="34" t="s">
        <v>272</v>
      </c>
      <c r="C17" s="34" t="s">
        <v>431</v>
      </c>
      <c r="D17" s="34" t="s">
        <v>49</v>
      </c>
      <c r="E17" s="34" t="s">
        <v>273</v>
      </c>
      <c r="F17" s="50">
        <v>410</v>
      </c>
      <c r="G17" s="50">
        <v>465</v>
      </c>
      <c r="H17" s="50">
        <v>104214</v>
      </c>
      <c r="I17" s="34" t="s">
        <v>274</v>
      </c>
      <c r="J17" s="50">
        <v>103800</v>
      </c>
      <c r="K17" s="34" t="s">
        <v>53</v>
      </c>
      <c r="L17" s="97" t="str">
        <f>VLOOKUP(C17,'Trips&amp;Operators'!$C$1:$E$9999,3,0)</f>
        <v>STEWART</v>
      </c>
      <c r="M17" s="141" t="s">
        <v>89</v>
      </c>
      <c r="N17" s="10" t="s">
        <v>656</v>
      </c>
      <c r="O17" s="34"/>
      <c r="P17" s="115" t="str">
        <f>VLOOKUP(C17,'Train Runs'!$A$13:$AE$9995,31,0)</f>
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</c>
      <c r="Q17" s="119" t="str">
        <f>VLOOKUP(C17,'Train Runs'!$A$13:$AE$9995,22,0)</f>
        <v>https://search-rtdc-monitor-bjffxe2xuh6vdkpspy63sjmuny.us-east-1.es.amazonaws.com/_plugin/kibana/#/discover/Steve-Slow-Train-Analysis-(2080s-and-2083s)?_g=(refreshInterval:(display:Off,section:0,value:0),time:(from:'2016-08-15 12:50:58-0600',mode:absolute,to:'2016-08-15 15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17" s="122" t="str">
        <f t="shared" si="0"/>
        <v>"C:\Program Files (x86)\AstroGrep\AstroGrep.exe" /spath="%USERPROFILE%\AppData\Local\Temp\OnboardLogs" /stypes="*4043*201608152*" /stext=" 20:.+((SYSTEM_STATE.+slice.+state.+changed )|(ment ac)|(system.+state.+changed )|(\|lc)|(penalty)|(\[timeout)|(PRM\|1\|D)|(kpr)|(kdp)|(\|loc))" /e /r /s</v>
      </c>
      <c r="S17" s="9" t="str">
        <f t="shared" si="1"/>
        <v>4043</v>
      </c>
      <c r="T17" s="39">
        <f t="shared" si="2"/>
        <v>42597.842835648145</v>
      </c>
      <c r="U17" s="53" t="str">
        <f t="shared" si="3"/>
        <v>EC</v>
      </c>
      <c r="V17" s="53" t="str">
        <f t="shared" si="4"/>
        <v>KEEP</v>
      </c>
    </row>
    <row r="18" spans="1:24" s="1" customFormat="1" x14ac:dyDescent="0.25">
      <c r="A18" s="39">
        <v>42597.657349537039</v>
      </c>
      <c r="B18" s="34" t="s">
        <v>272</v>
      </c>
      <c r="C18" s="34" t="s">
        <v>448</v>
      </c>
      <c r="D18" s="34" t="s">
        <v>49</v>
      </c>
      <c r="E18" s="34" t="s">
        <v>273</v>
      </c>
      <c r="F18" s="50">
        <v>580</v>
      </c>
      <c r="G18" s="50">
        <v>635</v>
      </c>
      <c r="H18" s="50">
        <v>105579</v>
      </c>
      <c r="I18" s="34" t="s">
        <v>274</v>
      </c>
      <c r="J18" s="50">
        <v>103800</v>
      </c>
      <c r="K18" s="34" t="s">
        <v>53</v>
      </c>
      <c r="L18" s="97" t="str">
        <f>VLOOKUP(C18,'Trips&amp;Operators'!$C$1:$E$9999,3,0)</f>
        <v>STEWART</v>
      </c>
      <c r="M18" s="141" t="s">
        <v>89</v>
      </c>
      <c r="N18" s="10" t="s">
        <v>656</v>
      </c>
      <c r="O18" s="34"/>
      <c r="P18" s="115" t="str">
        <f>VLOOKUP(C18,'Train Runs'!$A$13:$AE$9995,31,0)</f>
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</c>
      <c r="Q18" s="119" t="str">
        <f>VLOOKUP(C18,'Train Runs'!$A$13:$AE$9995,22,0)</f>
        <v>https://search-rtdc-monitor-bjffxe2xuh6vdkpspy63sjmuny.us-east-1.es.amazonaws.com/_plugin/kibana/#/discover/Steve-Slow-Train-Analysis-(2080s-and-2083s)?_g=(refreshInterval:(display:Off,section:0,value:0),time:(from:'2016-08-15 14:26:38-0600',mode:absolute,to:'2016-08-15 17:11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18" s="122" t="str">
        <f t="shared" si="0"/>
        <v>"C:\Program Files (x86)\AstroGrep\AstroGrep.exe" /spath="%USERPROFILE%\AppData\Local\Temp\OnboardLogs" /stypes="*4043*201608152*" /stext=" 21:.+((SYSTEM_STATE.+slice.+state.+changed )|(ment ac)|(system.+state.+changed )|(\|lc)|(penalty)|(\[timeout)|(PRM\|1\|D)|(kpr)|(kdp)|(\|loc))" /e /r /s</v>
      </c>
      <c r="S18" s="9" t="str">
        <f t="shared" si="1"/>
        <v>4043</v>
      </c>
      <c r="T18" s="39">
        <f t="shared" si="2"/>
        <v>42597.907349537039</v>
      </c>
      <c r="U18" s="53" t="str">
        <f t="shared" si="3"/>
        <v>EC</v>
      </c>
      <c r="V18" s="53" t="str">
        <f t="shared" si="4"/>
        <v>KEEP</v>
      </c>
    </row>
    <row r="19" spans="1:24" s="1" customFormat="1" x14ac:dyDescent="0.25">
      <c r="A19" s="39">
        <v>42597.209502314814</v>
      </c>
      <c r="B19" s="34" t="s">
        <v>120</v>
      </c>
      <c r="C19" s="34" t="s">
        <v>343</v>
      </c>
      <c r="D19" s="34" t="s">
        <v>116</v>
      </c>
      <c r="E19" s="34" t="s">
        <v>56</v>
      </c>
      <c r="F19" s="50">
        <v>150</v>
      </c>
      <c r="G19" s="50">
        <v>201</v>
      </c>
      <c r="H19" s="50">
        <v>3318</v>
      </c>
      <c r="I19" s="34" t="s">
        <v>57</v>
      </c>
      <c r="J19" s="50">
        <v>0</v>
      </c>
      <c r="K19" s="34" t="s">
        <v>52</v>
      </c>
      <c r="L19" s="97" t="str">
        <f>VLOOKUP(C19,'Trips&amp;Operators'!$C$1:$E$9999,3,0)</f>
        <v>STARKS</v>
      </c>
      <c r="M19" s="141" t="s">
        <v>89</v>
      </c>
      <c r="N19" s="10"/>
      <c r="O19" s="34"/>
      <c r="P19" s="115" t="str">
        <f>VLOOKUP(C19,'Train Runs'!$A$13:$AE$186,31,0)</f>
        <v>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 &amp; 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</v>
      </c>
      <c r="Q19" s="119" t="str">
        <f>VLOOKUP(C19,'Train Runs'!$A$13:$AE$186,22,0)</f>
        <v>https://search-rtdc-monitor-bjffxe2xuh6vdkpspy63sjmuny.us-east-1.es.amazonaws.com/_plugin/kibana/#/discover/Steve-Slow-Train-Analysis-(2080s-and-2083s)?_g=(refreshInterval:(display:Off,section:0,value:0),time:(from:'2016-08-15 03:54:51-0600',mode:absolute,to:'2016-08-15 06:38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19" s="122" t="str">
        <f t="shared" si="0"/>
        <v>"C:\Program Files (x86)\AstroGrep\AstroGrep.exe" /spath="%USERPROFILE%\AppData\Local\Temp\OnboardLogs" /stypes="*4031*201608151*" /stext=" 11:.+((SYSTEM_STATE.+slice.+state.+changed )|(ment ac)|(system.+state.+changed )|(\|lc)|(penalty)|(\[timeout)|(PRM\|1\|D)|(kpr)|(kdp)|(\|loc))" /e /r /s</v>
      </c>
      <c r="S19" s="9" t="str">
        <f t="shared" si="1"/>
        <v>4031</v>
      </c>
      <c r="T19" s="39">
        <f t="shared" si="2"/>
        <v>42597.459502314814</v>
      </c>
      <c r="U19" s="53" t="str">
        <f t="shared" si="3"/>
        <v>EC</v>
      </c>
      <c r="V19" s="53" t="str">
        <f t="shared" si="4"/>
        <v>KEEP</v>
      </c>
    </row>
    <row r="20" spans="1:24" s="1" customFormat="1" x14ac:dyDescent="0.25">
      <c r="A20" s="39">
        <v>42597.636550925927</v>
      </c>
      <c r="B20" s="34" t="s">
        <v>186</v>
      </c>
      <c r="C20" s="34" t="s">
        <v>454</v>
      </c>
      <c r="D20" s="34" t="s">
        <v>116</v>
      </c>
      <c r="E20" s="34" t="s">
        <v>56</v>
      </c>
      <c r="F20" s="50">
        <v>150</v>
      </c>
      <c r="G20" s="50">
        <v>203</v>
      </c>
      <c r="H20" s="50">
        <v>1264</v>
      </c>
      <c r="I20" s="34" t="s">
        <v>57</v>
      </c>
      <c r="J20" s="50">
        <v>0</v>
      </c>
      <c r="K20" s="34" t="s">
        <v>52</v>
      </c>
      <c r="L20" s="97" t="str">
        <f>VLOOKUP(C20,'Trips&amp;Operators'!$C$1:$E$9999,3,0)</f>
        <v>MAYBERRY</v>
      </c>
      <c r="M20" s="141" t="s">
        <v>89</v>
      </c>
      <c r="N20" s="10"/>
      <c r="O20" s="34"/>
      <c r="P20" s="115" t="str">
        <f>VLOOKUP(C20,'Train Runs'!$A$13:$AE$186,31,0)</f>
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</c>
      <c r="Q20" s="119" t="str">
        <f>VLOOKUP(C20,'Train Runs'!$A$13:$AE$186,22,0)</f>
        <v>https://search-rtdc-monitor-bjffxe2xuh6vdkpspy63sjmuny.us-east-1.es.amazonaws.com/_plugin/kibana/#/discover/Steve-Slow-Train-Analysis-(2080s-and-2083s)?_g=(refreshInterval:(display:Off,section:0,value:0),time:(from:'2016-08-15 14:13:10-0600',mode:absolute,to:'2016-08-15 16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20" s="122" t="str">
        <f t="shared" si="0"/>
        <v>"C:\Program Files (x86)\AstroGrep\AstroGrep.exe" /spath="%USERPROFILE%\AppData\Local\Temp\OnboardLogs" /stypes="*4038*201608152*" /stext=" 21:.+((SYSTEM_STATE.+slice.+state.+changed )|(ment ac)|(system.+state.+changed )|(\|lc)|(penalty)|(\[timeout)|(PRM\|1\|D)|(kpr)|(kdp)|(\|loc))" /e /r /s</v>
      </c>
      <c r="S20" s="9" t="str">
        <f t="shared" si="1"/>
        <v>4038</v>
      </c>
      <c r="T20" s="39">
        <f t="shared" si="2"/>
        <v>42597.886550925927</v>
      </c>
      <c r="U20" s="53" t="str">
        <f t="shared" si="3"/>
        <v>EC</v>
      </c>
      <c r="V20" s="53" t="str">
        <f t="shared" si="4"/>
        <v>KEEP</v>
      </c>
    </row>
    <row r="21" spans="1:24" s="1" customFormat="1" x14ac:dyDescent="0.25">
      <c r="A21" s="39">
        <v>42597.55746527778</v>
      </c>
      <c r="B21" s="34" t="s">
        <v>166</v>
      </c>
      <c r="C21" s="34" t="s">
        <v>421</v>
      </c>
      <c r="D21" s="34" t="s">
        <v>49</v>
      </c>
      <c r="E21" s="34" t="s">
        <v>56</v>
      </c>
      <c r="F21" s="50">
        <v>200</v>
      </c>
      <c r="G21" s="50">
        <v>285</v>
      </c>
      <c r="H21" s="50">
        <v>6244</v>
      </c>
      <c r="I21" s="34" t="s">
        <v>57</v>
      </c>
      <c r="J21" s="50">
        <v>5439</v>
      </c>
      <c r="K21" s="34" t="s">
        <v>53</v>
      </c>
      <c r="L21" s="97" t="str">
        <f>VLOOKUP(C21,'Trips&amp;Operators'!$C$1:$E$9999,3,0)</f>
        <v>MAYBERRY</v>
      </c>
      <c r="M21" s="141" t="s">
        <v>89</v>
      </c>
      <c r="N21" s="10"/>
      <c r="O21" s="34"/>
      <c r="P21" s="115" t="str">
        <f>VLOOKUP(C21,'Train Runs'!$A$13:$AE$186,31,0)</f>
        <v>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 &amp; 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</v>
      </c>
      <c r="Q21" s="119" t="str">
        <f>VLOOKUP(C21,'Train Runs'!$A$13:$AE$186,22,0)</f>
        <v>https://search-rtdc-monitor-bjffxe2xuh6vdkpspy63sjmuny.us-east-1.es.amazonaws.com/_plugin/kibana/#/discover/Steve-Slow-Train-Analysis-(2080s-and-2083s)?_g=(refreshInterval:(display:Off,section:0,value:0),time:(from:'2016-08-15 11:28:35-0600',mode:absolute,to:'2016-08-15 14:26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21" s="122" t="str">
        <f t="shared" si="0"/>
        <v>"C:\Program Files (x86)\AstroGrep\AstroGrep.exe" /spath="%USERPROFILE%\AppData\Local\Temp\OnboardLogs" /stypes="*4037*201608151*" /stext=" 19:.+((SYSTEM_STATE.+slice.+state.+changed )|(ment ac)|(system.+state.+changed )|(\|lc)|(penalty)|(\[timeout)|(PRM\|1\|D)|(kpr)|(kdp)|(\|loc))" /e /r /s</v>
      </c>
      <c r="S21" s="9" t="str">
        <f t="shared" si="1"/>
        <v>4037</v>
      </c>
      <c r="T21" s="39">
        <f t="shared" si="2"/>
        <v>42597.80746527778</v>
      </c>
      <c r="U21" s="53" t="str">
        <f t="shared" si="3"/>
        <v>EC</v>
      </c>
      <c r="V21" s="53" t="str">
        <f t="shared" si="4"/>
        <v>KEEP</v>
      </c>
    </row>
    <row r="22" spans="1:24" s="1" customFormat="1" x14ac:dyDescent="0.25">
      <c r="A22" s="39">
        <v>42597.568252314813</v>
      </c>
      <c r="B22" s="34" t="s">
        <v>186</v>
      </c>
      <c r="C22" s="34" t="s">
        <v>438</v>
      </c>
      <c r="D22" s="34" t="s">
        <v>116</v>
      </c>
      <c r="E22" s="34" t="s">
        <v>56</v>
      </c>
      <c r="F22" s="50">
        <v>300</v>
      </c>
      <c r="G22" s="50">
        <v>356</v>
      </c>
      <c r="H22" s="50">
        <v>20925</v>
      </c>
      <c r="I22" s="34" t="s">
        <v>57</v>
      </c>
      <c r="J22" s="50">
        <v>20338</v>
      </c>
      <c r="K22" s="34" t="s">
        <v>52</v>
      </c>
      <c r="L22" s="97" t="str">
        <f>VLOOKUP(C22,'Trips&amp;Operators'!$C$1:$E$9999,3,0)</f>
        <v>MAYBERRY</v>
      </c>
      <c r="M22" s="141" t="s">
        <v>89</v>
      </c>
      <c r="N22" s="10"/>
      <c r="O22" s="34"/>
      <c r="P22" s="115" t="str">
        <f>VLOOKUP(C22,'Train Runs'!$A$13:$AE$186,31,0)</f>
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</c>
      <c r="Q22" s="119" t="str">
        <f>VLOOKUP(C22,'Train Runs'!$A$13:$AE$186,22,0)</f>
        <v>https://search-rtdc-monitor-bjffxe2xuh6vdkpspy63sjmuny.us-east-1.es.amazonaws.com/_plugin/kibana/#/discover/Steve-Slow-Train-Analysis-(2080s-and-2083s)?_g=(refreshInterval:(display:Off,section:0,value:0),time:(from:'2016-08-15 12:28:42-0600',mode:absolute,to:'2016-08-15 15:16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22" s="122" t="str">
        <f t="shared" si="0"/>
        <v>"C:\Program Files (x86)\AstroGrep\AstroGrep.exe" /spath="%USERPROFILE%\AppData\Local\Temp\OnboardLogs" /stypes="*4038*201608151*" /stext=" 19:.+((SYSTEM_STATE.+slice.+state.+changed )|(ment ac)|(system.+state.+changed )|(\|lc)|(penalty)|(\[timeout)|(PRM\|1\|D)|(kpr)|(kdp)|(\|loc))" /e /r /s</v>
      </c>
      <c r="S22" s="9" t="str">
        <f t="shared" si="1"/>
        <v>4038</v>
      </c>
      <c r="T22" s="39">
        <f t="shared" si="2"/>
        <v>42597.818252314813</v>
      </c>
      <c r="U22" s="53" t="str">
        <f t="shared" si="3"/>
        <v>EC</v>
      </c>
      <c r="V22" s="53" t="str">
        <f t="shared" si="4"/>
        <v>KEEP</v>
      </c>
    </row>
    <row r="23" spans="1:24" x14ac:dyDescent="0.25">
      <c r="A23" s="39">
        <v>42597.604270833333</v>
      </c>
      <c r="B23" s="34" t="s">
        <v>272</v>
      </c>
      <c r="C23" s="34" t="s">
        <v>431</v>
      </c>
      <c r="D23" s="34" t="s">
        <v>49</v>
      </c>
      <c r="E23" s="34" t="s">
        <v>56</v>
      </c>
      <c r="F23" s="50">
        <v>300</v>
      </c>
      <c r="G23" s="50">
        <v>410</v>
      </c>
      <c r="H23" s="50">
        <v>23204</v>
      </c>
      <c r="I23" s="34" t="s">
        <v>57</v>
      </c>
      <c r="J23" s="50">
        <v>21848</v>
      </c>
      <c r="K23" s="34" t="s">
        <v>53</v>
      </c>
      <c r="L23" s="97" t="str">
        <f>VLOOKUP(C23,'Trips&amp;Operators'!$C$1:$E$9999,3,0)</f>
        <v>STEWART</v>
      </c>
      <c r="M23" s="141" t="s">
        <v>89</v>
      </c>
      <c r="N23" s="10"/>
      <c r="O23" s="34"/>
      <c r="P23" s="115" t="str">
        <f>VLOOKUP(C23,'Train Runs'!$A$13:$AE$186,31,0)</f>
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</c>
      <c r="Q23" s="119" t="str">
        <f>VLOOKUP(C23,'Train Runs'!$A$13:$AE$186,22,0)</f>
        <v>https://search-rtdc-monitor-bjffxe2xuh6vdkpspy63sjmuny.us-east-1.es.amazonaws.com/_plugin/kibana/#/discover/Steve-Slow-Train-Analysis-(2080s-and-2083s)?_g=(refreshInterval:(display:Off,section:0,value:0),time:(from:'2016-08-15 12:50:58-0600',mode:absolute,to:'2016-08-15 15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23" s="122" t="str">
        <f t="shared" si="0"/>
        <v>"C:\Program Files (x86)\AstroGrep\AstroGrep.exe" /spath="%USERPROFILE%\AppData\Local\Temp\OnboardLogs" /stypes="*4043*201608152*" /stext=" 20:.+((SYSTEM_STATE.+slice.+state.+changed )|(ment ac)|(system.+state.+changed )|(\|lc)|(penalty)|(\[timeout)|(PRM\|1\|D)|(kpr)|(kdp)|(\|loc))" /e /r /s</v>
      </c>
      <c r="S23" s="9" t="str">
        <f t="shared" si="1"/>
        <v>4043</v>
      </c>
      <c r="T23" s="39">
        <f t="shared" si="2"/>
        <v>42597.854270833333</v>
      </c>
      <c r="U23" s="53" t="str">
        <f t="shared" si="3"/>
        <v>EC</v>
      </c>
      <c r="V23" s="53" t="str">
        <f t="shared" si="4"/>
        <v>KEEP</v>
      </c>
    </row>
    <row r="24" spans="1:24" s="1" customFormat="1" x14ac:dyDescent="0.25">
      <c r="A24" s="39">
        <v>42597.667696759258</v>
      </c>
      <c r="B24" s="34" t="s">
        <v>272</v>
      </c>
      <c r="C24" s="34" t="s">
        <v>448</v>
      </c>
      <c r="D24" s="34" t="s">
        <v>49</v>
      </c>
      <c r="E24" s="34" t="s">
        <v>56</v>
      </c>
      <c r="F24" s="50">
        <v>200</v>
      </c>
      <c r="G24" s="50">
        <v>264</v>
      </c>
      <c r="H24" s="50">
        <v>32272</v>
      </c>
      <c r="I24" s="34" t="s">
        <v>57</v>
      </c>
      <c r="J24" s="50">
        <v>30562</v>
      </c>
      <c r="K24" s="34" t="s">
        <v>53</v>
      </c>
      <c r="L24" s="97" t="str">
        <f>VLOOKUP(C24,'Trips&amp;Operators'!$C$1:$E$9999,3,0)</f>
        <v>STEWART</v>
      </c>
      <c r="M24" s="141" t="s">
        <v>89</v>
      </c>
      <c r="N24" s="10"/>
      <c r="O24" s="34"/>
      <c r="P24" s="115" t="str">
        <f>VLOOKUP(C24,'Train Runs'!$A$13:$AE$186,31,0)</f>
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</c>
      <c r="Q24" s="119" t="str">
        <f>VLOOKUP(C24,'Train Runs'!$A$13:$AE$186,22,0)</f>
        <v>https://search-rtdc-monitor-bjffxe2xuh6vdkpspy63sjmuny.us-east-1.es.amazonaws.com/_plugin/kibana/#/discover/Steve-Slow-Train-Analysis-(2080s-and-2083s)?_g=(refreshInterval:(display:Off,section:0,value:0),time:(from:'2016-08-15 14:26:38-0600',mode:absolute,to:'2016-08-15 17:11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24" s="122" t="str">
        <f t="shared" si="0"/>
        <v>"C:\Program Files (x86)\AstroGrep\AstroGrep.exe" /spath="%USERPROFILE%\AppData\Local\Temp\OnboardLogs" /stypes="*4043*201608152*" /stext=" 22:.+((SYSTEM_STATE.+slice.+state.+changed )|(ment ac)|(system.+state.+changed )|(\|lc)|(penalty)|(\[timeout)|(PRM\|1\|D)|(kpr)|(kdp)|(\|loc))" /e /r /s</v>
      </c>
      <c r="S24" s="9" t="str">
        <f t="shared" si="1"/>
        <v>4043</v>
      </c>
      <c r="T24" s="39">
        <f t="shared" si="2"/>
        <v>42597.917696759258</v>
      </c>
      <c r="U24" s="53" t="str">
        <f t="shared" si="3"/>
        <v>EC</v>
      </c>
      <c r="V24" s="53" t="str">
        <f t="shared" si="4"/>
        <v>KEEP</v>
      </c>
    </row>
    <row r="25" spans="1:24" x14ac:dyDescent="0.25">
      <c r="A25" s="39">
        <v>42597.61210648148</v>
      </c>
      <c r="B25" s="34" t="s">
        <v>275</v>
      </c>
      <c r="C25" s="34" t="s">
        <v>442</v>
      </c>
      <c r="D25" s="34" t="s">
        <v>116</v>
      </c>
      <c r="E25" s="34" t="s">
        <v>56</v>
      </c>
      <c r="F25" s="50">
        <v>400</v>
      </c>
      <c r="G25" s="50">
        <v>451</v>
      </c>
      <c r="H25" s="50">
        <v>118998</v>
      </c>
      <c r="I25" s="34" t="s">
        <v>57</v>
      </c>
      <c r="J25" s="50">
        <v>116838</v>
      </c>
      <c r="K25" s="34" t="s">
        <v>52</v>
      </c>
      <c r="L25" s="97" t="str">
        <f>VLOOKUP(C25,'Trips&amp;Operators'!$C$1:$E$9999,3,0)</f>
        <v>HELVIE</v>
      </c>
      <c r="M25" s="141" t="s">
        <v>89</v>
      </c>
      <c r="N25" s="10"/>
      <c r="O25" s="34"/>
      <c r="P25" s="115" t="str">
        <f>VLOOKUP(C25,'Train Runs'!$A$13:$AE$186,31,0)</f>
        <v>aws s3 cp s3://rtdc.mdm.uploadarchive/RTDC4009/2016-08-15/ "%USERPROFILE%\AppData\Local\Temp\OnboardLogs"\RTDC4009\2016-08-15 --recursive &amp; "%USERPROFILE%\Documents\GitHub\mrs-test-scripts\Headless Mode &amp; Sideloading\WalkAndUnGZ.bat" "%USERPROFILE%\AppData\Local\Temp\OnboardLogs"\RTDC4009\2016-08-15 &amp; 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</v>
      </c>
      <c r="Q25" s="119" t="str">
        <f>VLOOKUP(C25,'Train Runs'!$A$13:$AE$186,22,0)</f>
        <v>https://search-rtdc-monitor-bjffxe2xuh6vdkpspy63sjmuny.us-east-1.es.amazonaws.com/_plugin/kibana/#/discover/Steve-Slow-Train-Analysis-(2080s-and-2083s)?_g=(refreshInterval:(display:Off,section:0,value:0),time:(from:'2016-08-15 13:13:52-0600',mode:absolute,to:'2016-08-15 15:58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</c>
      <c r="R25" s="122" t="str">
        <f t="shared" si="0"/>
        <v>"C:\Program Files (x86)\AstroGrep\AstroGrep.exe" /spath="%USERPROFILE%\AppData\Local\Temp\OnboardLogs" /stypes="*4009*201608152*" /stext=" 20:.+((SYSTEM_STATE.+slice.+state.+changed )|(ment ac)|(system.+state.+changed )|(\|lc)|(penalty)|(\[timeout)|(PRM\|1\|D)|(kpr)|(kdp)|(\|loc))" /e /r /s</v>
      </c>
      <c r="S25" s="9" t="str">
        <f t="shared" si="1"/>
        <v>4009</v>
      </c>
      <c r="T25" s="39">
        <f t="shared" si="2"/>
        <v>42597.86210648148</v>
      </c>
      <c r="U25" s="53" t="str">
        <f t="shared" si="3"/>
        <v>EC</v>
      </c>
      <c r="V25" s="53" t="str">
        <f t="shared" si="4"/>
        <v>KEEP</v>
      </c>
    </row>
    <row r="26" spans="1:24" x14ac:dyDescent="0.25">
      <c r="A26" s="39">
        <v>42597.405613425923</v>
      </c>
      <c r="B26" s="34" t="s">
        <v>121</v>
      </c>
      <c r="C26" s="34" t="s">
        <v>385</v>
      </c>
      <c r="D26" s="34" t="s">
        <v>49</v>
      </c>
      <c r="E26" s="34" t="s">
        <v>56</v>
      </c>
      <c r="F26" s="50">
        <v>400</v>
      </c>
      <c r="G26" s="50">
        <v>487</v>
      </c>
      <c r="H26" s="50">
        <v>121685</v>
      </c>
      <c r="I26" s="34" t="s">
        <v>57</v>
      </c>
      <c r="J26" s="50">
        <v>119716</v>
      </c>
      <c r="K26" s="34" t="s">
        <v>53</v>
      </c>
      <c r="L26" s="97" t="str">
        <f>VLOOKUP(C26,'Trips&amp;Operators'!$C$1:$E$9999,3,0)</f>
        <v>STARKS</v>
      </c>
      <c r="M26" s="141" t="s">
        <v>89</v>
      </c>
      <c r="N26" s="10"/>
      <c r="O26" s="34"/>
      <c r="P26" s="115" t="str">
        <f>VLOOKUP(C26,'Train Runs'!$A$13:$AE$186,31,0)</f>
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</c>
      <c r="Q26" s="119" t="str">
        <f>VLOOKUP(C26,'Train Runs'!$A$13:$AE$186,22,0)</f>
        <v>https://search-rtdc-monitor-bjffxe2xuh6vdkpspy63sjmuny.us-east-1.es.amazonaws.com/_plugin/kibana/#/discover/Steve-Slow-Train-Analysis-(2080s-and-2083s)?_g=(refreshInterval:(display:Off,section:0,value:0),time:(from:'2016-08-15 08:23:01-0600',mode:absolute,to:'2016-08-15 11:09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26" s="122" t="str">
        <f t="shared" si="0"/>
        <v>"C:\Program Files (x86)\AstroGrep\AstroGrep.exe" /spath="%USERPROFILE%\AppData\Local\Temp\OnboardLogs" /stypes="*4032*201608151*" /stext=" 15:.+((SYSTEM_STATE.+slice.+state.+changed )|(ment ac)|(system.+state.+changed )|(\|lc)|(penalty)|(\[timeout)|(PRM\|1\|D)|(kpr)|(kdp)|(\|loc))" /e /r /s</v>
      </c>
      <c r="S26" s="9" t="str">
        <f t="shared" si="1"/>
        <v>4032</v>
      </c>
      <c r="T26" s="39">
        <f t="shared" si="2"/>
        <v>42597.655613425923</v>
      </c>
      <c r="U26" s="53" t="str">
        <f t="shared" si="3"/>
        <v>EC</v>
      </c>
      <c r="V26" s="53" t="str">
        <f t="shared" si="4"/>
        <v>KEEP</v>
      </c>
    </row>
    <row r="27" spans="1:24" x14ac:dyDescent="0.25">
      <c r="A27" s="39">
        <v>42597.48574074074</v>
      </c>
      <c r="B27" s="34" t="s">
        <v>270</v>
      </c>
      <c r="C27" s="34" t="s">
        <v>409</v>
      </c>
      <c r="D27" s="34" t="s">
        <v>116</v>
      </c>
      <c r="E27" s="34" t="s">
        <v>56</v>
      </c>
      <c r="F27" s="50">
        <v>600</v>
      </c>
      <c r="G27" s="50">
        <v>651</v>
      </c>
      <c r="H27" s="50">
        <v>186389</v>
      </c>
      <c r="I27" s="34" t="s">
        <v>57</v>
      </c>
      <c r="J27" s="50">
        <v>183829</v>
      </c>
      <c r="K27" s="34" t="s">
        <v>52</v>
      </c>
      <c r="L27" s="97" t="str">
        <f>VLOOKUP(C27,'Trips&amp;Operators'!$C$1:$E$9999,3,0)</f>
        <v>STEWART</v>
      </c>
      <c r="M27" s="141" t="s">
        <v>89</v>
      </c>
      <c r="N27" s="10"/>
      <c r="O27" s="34"/>
      <c r="P27" s="115" t="str">
        <f>VLOOKUP(C27,'Train Runs'!$A$13:$AE$186,31,0)</f>
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</c>
      <c r="Q27" s="119" t="str">
        <f>VLOOKUP(C27,'Train Runs'!$A$13:$AE$186,22,0)</f>
        <v>https://search-rtdc-monitor-bjffxe2xuh6vdkpspy63sjmuny.us-east-1.es.amazonaws.com/_plugin/kibana/#/discover/Steve-Slow-Train-Analysis-(2080s-and-2083s)?_g=(refreshInterval:(display:Off,section:0,value:0),time:(from:'2016-08-15 09:59:28-0600',mode:absolute,to:'2016-08-15 12:47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27" s="122" t="str">
        <f t="shared" si="0"/>
        <v>"C:\Program Files (x86)\AstroGrep\AstroGrep.exe" /spath="%USERPROFILE%\AppData\Local\Temp\OnboardLogs" /stypes="*4044*201608151*" /stext=" 17:.+((SYSTEM_STATE.+slice.+state.+changed )|(ment ac)|(system.+state.+changed )|(\|lc)|(penalty)|(\[timeout)|(PRM\|1\|D)|(kpr)|(kdp)|(\|loc))" /e /r /s</v>
      </c>
      <c r="S27" s="9" t="str">
        <f t="shared" si="1"/>
        <v>4044</v>
      </c>
      <c r="T27" s="39">
        <f t="shared" si="2"/>
        <v>42597.73574074074</v>
      </c>
      <c r="U27" s="53" t="str">
        <f t="shared" si="3"/>
        <v>EC</v>
      </c>
      <c r="V27" s="53" t="str">
        <f t="shared" si="4"/>
        <v>KEEP</v>
      </c>
      <c r="W27" s="24"/>
    </row>
    <row r="28" spans="1:24" x14ac:dyDescent="0.25">
      <c r="A28" s="39">
        <v>42597.515914351854</v>
      </c>
      <c r="B28" s="34" t="s">
        <v>186</v>
      </c>
      <c r="C28" s="34" t="s">
        <v>419</v>
      </c>
      <c r="D28" s="34" t="s">
        <v>49</v>
      </c>
      <c r="E28" s="34" t="s">
        <v>56</v>
      </c>
      <c r="F28" s="50">
        <v>350</v>
      </c>
      <c r="G28" s="50">
        <v>512</v>
      </c>
      <c r="H28" s="50">
        <v>223041</v>
      </c>
      <c r="I28" s="34" t="s">
        <v>57</v>
      </c>
      <c r="J28" s="50">
        <v>224578</v>
      </c>
      <c r="K28" s="34" t="s">
        <v>52</v>
      </c>
      <c r="L28" s="97" t="str">
        <f>VLOOKUP(C28,'Trips&amp;Operators'!$C$1:$E$9999,3,0)</f>
        <v>MAYBERRY</v>
      </c>
      <c r="M28" s="141" t="s">
        <v>89</v>
      </c>
      <c r="N28" s="10"/>
      <c r="O28" s="34"/>
      <c r="P28" s="115" t="str">
        <f>VLOOKUP(C28,'Train Runs'!$A$13:$AE$186,31,0)</f>
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</c>
      <c r="Q28" s="119" t="str">
        <f>VLOOKUP(C28,'Train Runs'!$A$13:$AE$186,22,0)</f>
        <v>https://search-rtdc-monitor-bjffxe2xuh6vdkpspy63sjmuny.us-east-1.es.amazonaws.com/_plugin/kibana/#/discover/Steve-Slow-Train-Analysis-(2080s-and-2083s)?_g=(refreshInterval:(display:Off,section:0,value:0),time:(from:'2016-08-15 10:43:02-0600',mode:absolute,to:'2016-08-15 13:26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28" s="122" t="str">
        <f t="shared" si="0"/>
        <v>"C:\Program Files (x86)\AstroGrep\AstroGrep.exe" /spath="%USERPROFILE%\AppData\Local\Temp\OnboardLogs" /stypes="*4038*201608151*" /stext=" 18:.+((SYSTEM_STATE.+slice.+state.+changed )|(ment ac)|(system.+state.+changed )|(\|lc)|(penalty)|(\[timeout)|(PRM\|1\|D)|(kpr)|(kdp)|(\|loc))" /e /r /s</v>
      </c>
      <c r="S28" s="9" t="str">
        <f t="shared" si="1"/>
        <v>4038</v>
      </c>
      <c r="T28" s="39">
        <f t="shared" si="2"/>
        <v>42597.765914351854</v>
      </c>
      <c r="U28" s="53" t="str">
        <f t="shared" si="3"/>
        <v>EC</v>
      </c>
      <c r="V28" s="53" t="str">
        <f t="shared" si="4"/>
        <v>KEEP</v>
      </c>
      <c r="W28" s="24"/>
    </row>
    <row r="29" spans="1:24" x14ac:dyDescent="0.25">
      <c r="A29" s="39">
        <v>42597.661087962966</v>
      </c>
      <c r="B29" s="34" t="s">
        <v>186</v>
      </c>
      <c r="C29" s="34" t="s">
        <v>454</v>
      </c>
      <c r="D29" s="34" t="s">
        <v>49</v>
      </c>
      <c r="E29" s="34" t="s">
        <v>56</v>
      </c>
      <c r="F29" s="50">
        <v>350</v>
      </c>
      <c r="G29" s="50">
        <v>522</v>
      </c>
      <c r="H29" s="50">
        <v>222872</v>
      </c>
      <c r="I29" s="34" t="s">
        <v>57</v>
      </c>
      <c r="J29" s="50">
        <v>224578</v>
      </c>
      <c r="K29" s="34" t="s">
        <v>52</v>
      </c>
      <c r="L29" s="97" t="str">
        <f>VLOOKUP(C29,'Trips&amp;Operators'!$C$1:$E$9999,3,0)</f>
        <v>MAYBERRY</v>
      </c>
      <c r="M29" s="141" t="s">
        <v>89</v>
      </c>
      <c r="N29" s="10"/>
      <c r="O29" s="34"/>
      <c r="P29" s="115" t="str">
        <f>VLOOKUP(C29,'Train Runs'!$A$13:$AE$186,31,0)</f>
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</c>
      <c r="Q29" s="119" t="str">
        <f>VLOOKUP(C29,'Train Runs'!$A$13:$AE$186,22,0)</f>
        <v>https://search-rtdc-monitor-bjffxe2xuh6vdkpspy63sjmuny.us-east-1.es.amazonaws.com/_plugin/kibana/#/discover/Steve-Slow-Train-Analysis-(2080s-and-2083s)?_g=(refreshInterval:(display:Off,section:0,value:0),time:(from:'2016-08-15 14:13:10-0600',mode:absolute,to:'2016-08-15 16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29" s="122" t="str">
        <f t="shared" si="0"/>
        <v>"C:\Program Files (x86)\AstroGrep\AstroGrep.exe" /spath="%USERPROFILE%\AppData\Local\Temp\OnboardLogs" /stypes="*4038*201608152*" /stext=" 21:.+((SYSTEM_STATE.+slice.+state.+changed )|(ment ac)|(system.+state.+changed )|(\|lc)|(penalty)|(\[timeout)|(PRM\|1\|D)|(kpr)|(kdp)|(\|loc))" /e /r /s</v>
      </c>
      <c r="S29" s="9" t="str">
        <f t="shared" si="1"/>
        <v>4038</v>
      </c>
      <c r="T29" s="39">
        <f t="shared" si="2"/>
        <v>42597.911087962966</v>
      </c>
      <c r="U29" s="53" t="str">
        <f t="shared" si="3"/>
        <v>EC</v>
      </c>
      <c r="V29" s="53" t="str">
        <f t="shared" si="4"/>
        <v>KEEP</v>
      </c>
      <c r="W29" s="24"/>
      <c r="X29" s="24"/>
    </row>
    <row r="30" spans="1:24" x14ac:dyDescent="0.25">
      <c r="A30" s="39">
        <v>42597.364050925928</v>
      </c>
      <c r="B30" s="34" t="s">
        <v>180</v>
      </c>
      <c r="C30" s="34" t="s">
        <v>378</v>
      </c>
      <c r="D30" s="34" t="s">
        <v>116</v>
      </c>
      <c r="E30" s="34" t="s">
        <v>56</v>
      </c>
      <c r="F30" s="50">
        <v>350</v>
      </c>
      <c r="G30" s="50">
        <v>400</v>
      </c>
      <c r="H30" s="50">
        <v>225186</v>
      </c>
      <c r="I30" s="34" t="s">
        <v>57</v>
      </c>
      <c r="J30" s="50">
        <v>228668</v>
      </c>
      <c r="K30" s="34" t="s">
        <v>53</v>
      </c>
      <c r="L30" s="97" t="str">
        <f>VLOOKUP(C30,'Trips&amp;Operators'!$C$1:$E$9999,3,0)</f>
        <v>SANTIZO</v>
      </c>
      <c r="M30" s="141" t="s">
        <v>89</v>
      </c>
      <c r="N30" s="10"/>
      <c r="O30" s="34"/>
      <c r="P30" s="115" t="str">
        <f>VLOOKUP(C30,'Train Runs'!$A$13:$AE$186,31,0)</f>
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</c>
      <c r="Q30" s="119" t="str">
        <f>VLOOKUP(C30,'Train Runs'!$A$13:$AE$186,22,0)</f>
        <v>https://search-rtdc-monitor-bjffxe2xuh6vdkpspy63sjmuny.us-east-1.es.amazonaws.com/_plugin/kibana/#/discover/Steve-Slow-Train-Analysis-(2080s-and-2083s)?_g=(refreshInterval:(display:Off,section:0,value:0),time:(from:'2016-08-15 07:36:41-0600',mode:absolute,to:'2016-08-15 10:24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30" s="122" t="str">
        <f t="shared" si="0"/>
        <v>"C:\Program Files (x86)\AstroGrep\AstroGrep.exe" /spath="%USERPROFILE%\AppData\Local\Temp\OnboardLogs" /stypes="*4028*201608151*" /stext=" 14:.+((SYSTEM_STATE.+slice.+state.+changed )|(ment ac)|(system.+state.+changed )|(\|lc)|(penalty)|(\[timeout)|(PRM\|1\|D)|(kpr)|(kdp)|(\|loc))" /e /r /s</v>
      </c>
      <c r="S30" s="9" t="str">
        <f t="shared" si="1"/>
        <v>4028</v>
      </c>
      <c r="T30" s="39">
        <f t="shared" si="2"/>
        <v>42597.614050925928</v>
      </c>
      <c r="U30" s="53" t="str">
        <f t="shared" si="3"/>
        <v>EC</v>
      </c>
      <c r="V30" s="53" t="str">
        <f t="shared" si="4"/>
        <v>KEEP</v>
      </c>
      <c r="W30" s="24"/>
      <c r="X30" s="24"/>
    </row>
    <row r="31" spans="1:24" x14ac:dyDescent="0.25">
      <c r="A31" s="39">
        <v>42597.381226851852</v>
      </c>
      <c r="B31" s="34" t="s">
        <v>120</v>
      </c>
      <c r="C31" s="34" t="s">
        <v>384</v>
      </c>
      <c r="D31" s="34" t="s">
        <v>49</v>
      </c>
      <c r="E31" s="34" t="s">
        <v>56</v>
      </c>
      <c r="F31" s="50">
        <v>150</v>
      </c>
      <c r="G31" s="50">
        <v>319</v>
      </c>
      <c r="H31" s="50">
        <v>229310</v>
      </c>
      <c r="I31" s="34" t="s">
        <v>57</v>
      </c>
      <c r="J31" s="50">
        <v>230436</v>
      </c>
      <c r="K31" s="34" t="s">
        <v>52</v>
      </c>
      <c r="L31" s="97" t="str">
        <f>VLOOKUP(C31,'Trips&amp;Operators'!$C$1:$E$9999,3,0)</f>
        <v>STARKS</v>
      </c>
      <c r="M31" s="141" t="s">
        <v>89</v>
      </c>
      <c r="N31" s="10"/>
      <c r="O31" s="34"/>
      <c r="P31" s="115" t="str">
        <f>VLOOKUP(C31,'Train Runs'!$A$13:$AE$186,31,0)</f>
        <v>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 &amp; 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</v>
      </c>
      <c r="Q31" s="119" t="str">
        <f>VLOOKUP(C31,'Train Runs'!$A$13:$AE$186,22,0)</f>
        <v>https://search-rtdc-monitor-bjffxe2xuh6vdkpspy63sjmuny.us-east-1.es.amazonaws.com/_plugin/kibana/#/discover/Steve-Slow-Train-Analysis-(2080s-and-2083s)?_g=(refreshInterval:(display:Off,section:0,value:0),time:(from:'2016-08-15 07:28:17-0600',mode:absolute,to:'2016-08-15 10:11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31" s="122" t="str">
        <f t="shared" si="0"/>
        <v>"C:\Program Files (x86)\AstroGrep\AstroGrep.exe" /spath="%USERPROFILE%\AppData\Local\Temp\OnboardLogs" /stypes="*4031*201608151*" /stext=" 15:.+((SYSTEM_STATE.+slice.+state.+changed )|(ment ac)|(system.+state.+changed )|(\|lc)|(penalty)|(\[timeout)|(PRM\|1\|D)|(kpr)|(kdp)|(\|loc))" /e /r /s</v>
      </c>
      <c r="S31" s="9" t="str">
        <f t="shared" si="1"/>
        <v>4031</v>
      </c>
      <c r="T31" s="39">
        <f t="shared" si="2"/>
        <v>42597.631226851852</v>
      </c>
      <c r="U31" s="53" t="str">
        <f t="shared" si="3"/>
        <v>EC</v>
      </c>
      <c r="V31" s="53" t="str">
        <f t="shared" si="4"/>
        <v>KEEP</v>
      </c>
    </row>
    <row r="32" spans="1:24" ht="15" customHeight="1" x14ac:dyDescent="0.25">
      <c r="A32" s="39">
        <v>42597.657361111109</v>
      </c>
      <c r="B32" s="34" t="s">
        <v>233</v>
      </c>
      <c r="C32" s="34" t="s">
        <v>452</v>
      </c>
      <c r="D32" s="34" t="s">
        <v>49</v>
      </c>
      <c r="E32" s="34" t="s">
        <v>56</v>
      </c>
      <c r="F32" s="50">
        <v>150</v>
      </c>
      <c r="G32" s="50">
        <v>283</v>
      </c>
      <c r="H32" s="50">
        <v>229541</v>
      </c>
      <c r="I32" s="34" t="s">
        <v>57</v>
      </c>
      <c r="J32" s="50">
        <v>230436</v>
      </c>
      <c r="K32" s="34" t="s">
        <v>52</v>
      </c>
      <c r="L32" s="97" t="str">
        <f>VLOOKUP(C32,'Trips&amp;Operators'!$C$1:$E$9999,3,0)</f>
        <v>HAITHCOX</v>
      </c>
      <c r="M32" s="141" t="s">
        <v>89</v>
      </c>
      <c r="N32" s="10"/>
      <c r="O32" s="34"/>
      <c r="P32" s="115" t="str">
        <f>VLOOKUP(C32,'Train Runs'!$A$13:$AE$186,31,0)</f>
        <v>aws s3 cp s3://rtdc.mdm.uploadarchive/RTDC4020/2016-08-15/ "%USERPROFILE%\AppData\Local\Temp\OnboardLogs"\RTDC4020\2016-08-15 --recursive &amp; "%USERPROFILE%\Documents\GitHub\mrs-test-scripts\Headless Mode &amp; Sideloading\WalkAndUnGZ.bat" "%USERPROFILE%\AppData\Local\Temp\OnboardLogs"\RTDC4020\2016-08-15 &amp; 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</v>
      </c>
      <c r="Q32" s="119" t="str">
        <f>VLOOKUP(C32,'Train Runs'!$A$13:$AE$186,22,0)</f>
        <v>https://search-rtdc-monitor-bjffxe2xuh6vdkpspy63sjmuny.us-east-1.es.amazonaws.com/_plugin/kibana/#/discover/Steve-Slow-Train-Analysis-(2080s-and-2083s)?_g=(refreshInterval:(display:Off,section:0,value:0),time:(from:'2016-08-15 14:07:10-0600',mode:absolute,to:'2016-08-15 16:49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32" s="122" t="str">
        <f t="shared" si="0"/>
        <v>"C:\Program Files (x86)\AstroGrep\AstroGrep.exe" /spath="%USERPROFILE%\AppData\Local\Temp\OnboardLogs" /stypes="*4020*201608152*" /stext=" 21:.+((SYSTEM_STATE.+slice.+state.+changed )|(ment ac)|(system.+state.+changed )|(\|lc)|(penalty)|(\[timeout)|(PRM\|1\|D)|(kpr)|(kdp)|(\|loc))" /e /r /s</v>
      </c>
      <c r="S32" s="9" t="str">
        <f t="shared" si="1"/>
        <v>4020</v>
      </c>
      <c r="T32" s="39">
        <f t="shared" si="2"/>
        <v>42597.907361111109</v>
      </c>
      <c r="U32" s="53" t="str">
        <f t="shared" si="3"/>
        <v>EC</v>
      </c>
      <c r="V32" s="53" t="str">
        <f t="shared" si="4"/>
        <v>KEEP</v>
      </c>
    </row>
    <row r="33" spans="1:22" x14ac:dyDescent="0.25">
      <c r="A33" s="39">
        <v>42597.550520833334</v>
      </c>
      <c r="B33" s="34" t="s">
        <v>278</v>
      </c>
      <c r="C33" s="34" t="s">
        <v>425</v>
      </c>
      <c r="D33" s="34" t="s">
        <v>116</v>
      </c>
      <c r="E33" s="34" t="s">
        <v>56</v>
      </c>
      <c r="F33" s="50">
        <v>350</v>
      </c>
      <c r="G33" s="50">
        <v>403</v>
      </c>
      <c r="H33" s="50">
        <v>229230</v>
      </c>
      <c r="I33" s="34" t="s">
        <v>57</v>
      </c>
      <c r="J33" s="50">
        <v>232080</v>
      </c>
      <c r="K33" s="34" t="s">
        <v>53</v>
      </c>
      <c r="L33" s="97" t="str">
        <f>VLOOKUP(C33,'Trips&amp;Operators'!$C$1:$E$9999,3,0)</f>
        <v>HELVIE</v>
      </c>
      <c r="M33" s="141" t="s">
        <v>89</v>
      </c>
      <c r="N33" s="10"/>
      <c r="O33" s="34"/>
      <c r="P33" s="115" t="str">
        <f>VLOOKUP(C33,'Train Runs'!$A$13:$AE$186,31,0)</f>
        <v>aws s3 cp s3://rtdc.mdm.uploadarchive/RTDC4010/2016-08-15/ "%USERPROFILE%\AppData\Local\Temp\OnboardLogs"\RTDC4010\2016-08-15 --recursive &amp; "%USERPROFILE%\Documents\GitHub\mrs-test-scripts\Headless Mode &amp; Sideloading\WalkAndUnGZ.bat" "%USERPROFILE%\AppData\Local\Temp\OnboardLogs"\RTDC4010\2016-08-15 &amp; 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</v>
      </c>
      <c r="Q33" s="119" t="str">
        <f>VLOOKUP(C33,'Train Runs'!$A$13:$AE$186,22,0)</f>
        <v>https://search-rtdc-monitor-bjffxe2xuh6vdkpspy63sjmuny.us-east-1.es.amazonaws.com/_plugin/kibana/#/discover/Steve-Slow-Train-Analysis-(2080s-and-2083s)?_g=(refreshInterval:(display:Off,section:0,value:0),time:(from:'2016-08-15 12:06:41-0600',mode:absolute,to:'2016-08-15 15:11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R33" s="122" t="str">
        <f t="shared" si="0"/>
        <v>"C:\Program Files (x86)\AstroGrep\AstroGrep.exe" /spath="%USERPROFILE%\AppData\Local\Temp\OnboardLogs" /stypes="*4010*201608151*" /stext=" 19:.+((SYSTEM_STATE.+slice.+state.+changed )|(ment ac)|(system.+state.+changed )|(\|lc)|(penalty)|(\[timeout)|(PRM\|1\|D)|(kpr)|(kdp)|(\|loc))" /e /r /s</v>
      </c>
      <c r="S33" s="9" t="str">
        <f t="shared" si="1"/>
        <v>4010</v>
      </c>
      <c r="T33" s="39">
        <f t="shared" si="2"/>
        <v>42597.800520833334</v>
      </c>
      <c r="U33" s="53" t="str">
        <f t="shared" si="3"/>
        <v>EC</v>
      </c>
      <c r="V33" s="53" t="str">
        <f t="shared" si="4"/>
        <v>KEEP</v>
      </c>
    </row>
    <row r="34" spans="1:22" x14ac:dyDescent="0.25">
      <c r="A34" s="39">
        <v>42597.5628125</v>
      </c>
      <c r="B34" s="34" t="s">
        <v>121</v>
      </c>
      <c r="C34" s="34" t="s">
        <v>423</v>
      </c>
      <c r="D34" s="34" t="s">
        <v>49</v>
      </c>
      <c r="E34" s="34" t="s">
        <v>54</v>
      </c>
      <c r="F34" s="50">
        <v>0</v>
      </c>
      <c r="G34" s="50">
        <v>378</v>
      </c>
      <c r="H34" s="50">
        <v>39254</v>
      </c>
      <c r="I34" s="34" t="s">
        <v>55</v>
      </c>
      <c r="J34" s="50">
        <v>38656</v>
      </c>
      <c r="K34" s="34" t="s">
        <v>53</v>
      </c>
      <c r="L34" s="97" t="str">
        <f>VLOOKUP(C34,'Trips&amp;Operators'!$C$1:$E$9999,3,0)</f>
        <v>YOUNG</v>
      </c>
      <c r="M34" s="141" t="s">
        <v>89</v>
      </c>
      <c r="N34" s="10" t="s">
        <v>662</v>
      </c>
      <c r="O34" s="34"/>
      <c r="P34" s="115" t="str">
        <f>VLOOKUP(C34,'Train Runs'!$A$13:$AE$9995,31,0)</f>
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</c>
      <c r="Q34" s="119" t="str">
        <f>VLOOKUP(C34,'Train Runs'!$A$13:$AE$9995,22,0)</f>
        <v>https://search-rtdc-monitor-bjffxe2xuh6vdkpspy63sjmuny.us-east-1.es.amazonaws.com/_plugin/kibana/#/discover/Steve-Slow-Train-Analysis-(2080s-and-2083s)?_g=(refreshInterval:(display:Off,section:0,value:0),time:(from:'2016-08-15 11:50:45-0600',mode:absolute,to:'2016-08-15 14:46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34" s="122" t="str">
        <f t="shared" si="0"/>
        <v>"C:\Program Files (x86)\AstroGrep\AstroGrep.exe" /spath="%USERPROFILE%\AppData\Local\Temp\OnboardLogs" /stypes="*4032*201608151*" /stext=" 19:.+((SYSTEM_STATE.+slice.+state.+changed )|(ment ac)|(system.+state.+changed )|(\|lc)|(penalty)|(\[timeout)|(PRM\|1\|D)|(kpr)|(kdp)|(\|loc))" /e /r /s</v>
      </c>
      <c r="S34" s="9" t="str">
        <f t="shared" si="1"/>
        <v>4032</v>
      </c>
      <c r="T34" s="39">
        <f t="shared" si="2"/>
        <v>42597.8128125</v>
      </c>
      <c r="U34" s="53" t="str">
        <f t="shared" si="3"/>
        <v>EC</v>
      </c>
      <c r="V34" s="53" t="str">
        <f t="shared" si="4"/>
        <v>KEEP</v>
      </c>
    </row>
    <row r="35" spans="1:22" x14ac:dyDescent="0.25">
      <c r="A35" s="39">
        <v>42597.401921296296</v>
      </c>
      <c r="B35" s="34" t="s">
        <v>121</v>
      </c>
      <c r="C35" s="34" t="s">
        <v>385</v>
      </c>
      <c r="D35" s="34" t="s">
        <v>49</v>
      </c>
      <c r="E35" s="34" t="s">
        <v>54</v>
      </c>
      <c r="F35" s="50">
        <v>0</v>
      </c>
      <c r="G35" s="50">
        <v>323</v>
      </c>
      <c r="H35" s="50">
        <v>128651</v>
      </c>
      <c r="I35" s="34" t="s">
        <v>55</v>
      </c>
      <c r="J35" s="50">
        <v>127587</v>
      </c>
      <c r="K35" s="34" t="s">
        <v>53</v>
      </c>
      <c r="L35" s="97" t="str">
        <f>VLOOKUP(C35,'Trips&amp;Operators'!$C$1:$E$9999,3,0)</f>
        <v>STARKS</v>
      </c>
      <c r="M35" s="141" t="s">
        <v>89</v>
      </c>
      <c r="N35" s="10" t="s">
        <v>661</v>
      </c>
      <c r="O35" s="34"/>
      <c r="P35" s="115" t="str">
        <f>VLOOKUP(C35,'Train Runs'!$A$13:$AE$9995,31,0)</f>
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</c>
      <c r="Q35" s="119" t="str">
        <f>VLOOKUP(C35,'Train Runs'!$A$13:$AE$9995,22,0)</f>
        <v>https://search-rtdc-monitor-bjffxe2xuh6vdkpspy63sjmuny.us-east-1.es.amazonaws.com/_plugin/kibana/#/discover/Steve-Slow-Train-Analysis-(2080s-and-2083s)?_g=(refreshInterval:(display:Off,section:0,value:0),time:(from:'2016-08-15 08:23:01-0600',mode:absolute,to:'2016-08-15 11:09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35" s="122" t="str">
        <f t="shared" si="0"/>
        <v>"C:\Program Files (x86)\AstroGrep\AstroGrep.exe" /spath="%USERPROFILE%\AppData\Local\Temp\OnboardLogs" /stypes="*4032*201608151*" /stext=" 15:.+((SYSTEM_STATE.+slice.+state.+changed )|(ment ac)|(system.+state.+changed )|(\|lc)|(penalty)|(\[timeout)|(PRM\|1\|D)|(kpr)|(kdp)|(\|loc))" /e /r /s</v>
      </c>
      <c r="S35" s="9" t="str">
        <f t="shared" si="1"/>
        <v>4032</v>
      </c>
      <c r="T35" s="39">
        <f t="shared" si="2"/>
        <v>42597.651921296296</v>
      </c>
      <c r="U35" s="53" t="str">
        <f t="shared" si="3"/>
        <v>EC</v>
      </c>
      <c r="V35" s="53" t="str">
        <f t="shared" si="4"/>
        <v>KEEP</v>
      </c>
    </row>
    <row r="36" spans="1:22" x14ac:dyDescent="0.25">
      <c r="A36" s="39">
        <v>42597.324432870373</v>
      </c>
      <c r="B36" s="34" t="s">
        <v>121</v>
      </c>
      <c r="C36" s="34" t="s">
        <v>366</v>
      </c>
      <c r="D36" s="34" t="s">
        <v>49</v>
      </c>
      <c r="E36" s="34" t="s">
        <v>54</v>
      </c>
      <c r="F36" s="50">
        <v>0</v>
      </c>
      <c r="G36" s="50">
        <v>357</v>
      </c>
      <c r="H36" s="50">
        <v>193568</v>
      </c>
      <c r="I36" s="34" t="s">
        <v>55</v>
      </c>
      <c r="J36" s="50">
        <v>191723</v>
      </c>
      <c r="K36" s="34" t="s">
        <v>53</v>
      </c>
      <c r="L36" s="97" t="str">
        <f>VLOOKUP(C36,'Trips&amp;Operators'!$C$1:$E$9999,3,0)</f>
        <v>STARKS</v>
      </c>
      <c r="M36" s="141" t="s">
        <v>89</v>
      </c>
      <c r="N36" s="10" t="s">
        <v>660</v>
      </c>
      <c r="O36" s="34"/>
      <c r="P36" s="115" t="str">
        <f>VLOOKUP(C36,'Train Runs'!$A$13:$AE$9995,31,0)</f>
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</c>
      <c r="Q36" s="119" t="str">
        <f>VLOOKUP(C36,'Train Runs'!$A$13:$AE$9995,22,0)</f>
        <v>https://search-rtdc-monitor-bjffxe2xuh6vdkpspy63sjmuny.us-east-1.es.amazonaws.com/_plugin/kibana/#/discover/Steve-Slow-Train-Analysis-(2080s-and-2083s)?_g=(refreshInterval:(display:Off,section:0,value:0),time:(from:'2016-08-15 06:36:46-0600',mode:absolute,to:'2016-08-15 09:25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36" s="122" t="str">
        <f t="shared" si="0"/>
        <v>"C:\Program Files (x86)\AstroGrep\AstroGrep.exe" /spath="%USERPROFILE%\AppData\Local\Temp\OnboardLogs" /stypes="*4032*201608151*" /stext=" 13:.+((SYSTEM_STATE.+slice.+state.+changed )|(ment ac)|(system.+state.+changed )|(\|lc)|(penalty)|(\[timeout)|(PRM\|1\|D)|(kpr)|(kdp)|(\|loc))" /e /r /s</v>
      </c>
      <c r="S36" s="9" t="str">
        <f t="shared" si="1"/>
        <v>4032</v>
      </c>
      <c r="T36" s="39">
        <f t="shared" si="2"/>
        <v>42597.574432870373</v>
      </c>
      <c r="U36" s="53" t="str">
        <f t="shared" si="3"/>
        <v>EC</v>
      </c>
      <c r="V36" s="53" t="str">
        <f t="shared" si="4"/>
        <v>KEEP</v>
      </c>
    </row>
    <row r="37" spans="1:22" x14ac:dyDescent="0.25">
      <c r="A37" s="39">
        <v>42597.326851851853</v>
      </c>
      <c r="B37" s="34" t="s">
        <v>121</v>
      </c>
      <c r="C37" s="34" t="s">
        <v>366</v>
      </c>
      <c r="D37" s="34" t="s">
        <v>49</v>
      </c>
      <c r="E37" s="34" t="s">
        <v>54</v>
      </c>
      <c r="F37" s="50">
        <v>0</v>
      </c>
      <c r="G37" s="50">
        <v>89</v>
      </c>
      <c r="H37" s="50">
        <v>192305</v>
      </c>
      <c r="I37" s="34" t="s">
        <v>55</v>
      </c>
      <c r="J37" s="50">
        <v>191723</v>
      </c>
      <c r="K37" s="34" t="s">
        <v>53</v>
      </c>
      <c r="L37" s="97" t="str">
        <f>VLOOKUP(C37,'Trips&amp;Operators'!$C$1:$E$9999,3,0)</f>
        <v>STARKS</v>
      </c>
      <c r="M37" s="141" t="s">
        <v>89</v>
      </c>
      <c r="N37" s="10" t="s">
        <v>660</v>
      </c>
      <c r="O37" s="34"/>
      <c r="P37" s="115" t="str">
        <f>VLOOKUP(C37,'Train Runs'!$A$13:$AE$9995,31,0)</f>
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</c>
      <c r="Q37" s="119" t="str">
        <f>VLOOKUP(C37,'Train Runs'!$A$13:$AE$9995,22,0)</f>
        <v>https://search-rtdc-monitor-bjffxe2xuh6vdkpspy63sjmuny.us-east-1.es.amazonaws.com/_plugin/kibana/#/discover/Steve-Slow-Train-Analysis-(2080s-and-2083s)?_g=(refreshInterval:(display:Off,section:0,value:0),time:(from:'2016-08-15 06:36:46-0600',mode:absolute,to:'2016-08-15 09:25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37" s="122" t="str">
        <f t="shared" si="0"/>
        <v>"C:\Program Files (x86)\AstroGrep\AstroGrep.exe" /spath="%USERPROFILE%\AppData\Local\Temp\OnboardLogs" /stypes="*4032*201608151*" /stext=" 13:.+((SYSTEM_STATE.+slice.+state.+changed )|(ment ac)|(system.+state.+changed )|(\|lc)|(penalty)|(\[timeout)|(PRM\|1\|D)|(kpr)|(kdp)|(\|loc))" /e /r /s</v>
      </c>
      <c r="S37" s="9" t="str">
        <f t="shared" si="1"/>
        <v>4032</v>
      </c>
      <c r="T37" s="39">
        <f t="shared" si="2"/>
        <v>42597.576851851853</v>
      </c>
      <c r="U37" s="53" t="str">
        <f t="shared" si="3"/>
        <v>EC</v>
      </c>
      <c r="V37" s="53" t="str">
        <f t="shared" si="4"/>
        <v>KEEP</v>
      </c>
    </row>
    <row r="38" spans="1:22" x14ac:dyDescent="0.25">
      <c r="A38" s="39">
        <v>42597.598414351851</v>
      </c>
      <c r="B38" s="34" t="s">
        <v>236</v>
      </c>
      <c r="C38" s="34" t="s">
        <v>437</v>
      </c>
      <c r="D38" s="34" t="s">
        <v>49</v>
      </c>
      <c r="E38" s="34" t="s">
        <v>54</v>
      </c>
      <c r="F38" s="50">
        <v>0</v>
      </c>
      <c r="G38" s="50">
        <v>499</v>
      </c>
      <c r="H38" s="50">
        <v>194543</v>
      </c>
      <c r="I38" s="34" t="s">
        <v>55</v>
      </c>
      <c r="J38" s="50">
        <v>191723</v>
      </c>
      <c r="K38" s="34" t="s">
        <v>53</v>
      </c>
      <c r="L38" s="97" t="str">
        <f>VLOOKUP(C38,'Trips&amp;Operators'!$C$1:$E$9999,3,0)</f>
        <v>HAITHCOX</v>
      </c>
      <c r="M38" s="141" t="s">
        <v>89</v>
      </c>
      <c r="N38" s="10" t="s">
        <v>660</v>
      </c>
      <c r="O38" s="34"/>
      <c r="P38" s="115" t="str">
        <f>VLOOKUP(C38,'Train Runs'!$A$13:$AE$9995,31,0)</f>
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</c>
      <c r="Q38" s="119" t="str">
        <f>VLOOKUP(C38,'Train Runs'!$A$13:$AE$9995,22,0)</f>
        <v>https://search-rtdc-monitor-bjffxe2xuh6vdkpspy63sjmuny.us-east-1.es.amazonaws.com/_plugin/kibana/#/discover/Steve-Slow-Train-Analysis-(2080s-and-2083s)?_g=(refreshInterval:(display:Off,section:0,value:0),time:(from:'2016-08-15 13:11:16-0600',mode:absolute,to:'2016-08-15 16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38" s="122" t="str">
        <f t="shared" si="0"/>
        <v>"C:\Program Files (x86)\AstroGrep\AstroGrep.exe" /spath="%USERPROFILE%\AppData\Local\Temp\OnboardLogs" /stypes="*4019*201608152*" /stext=" 20:.+((SYSTEM_STATE.+slice.+state.+changed )|(ment ac)|(system.+state.+changed )|(\|lc)|(penalty)|(\[timeout)|(PRM\|1\|D)|(kpr)|(kdp)|(\|loc))" /e /r /s</v>
      </c>
      <c r="S38" s="9" t="str">
        <f t="shared" si="1"/>
        <v>4019</v>
      </c>
      <c r="T38" s="39">
        <f t="shared" si="2"/>
        <v>42597.848414351851</v>
      </c>
      <c r="U38" s="53" t="str">
        <f t="shared" si="3"/>
        <v>EC</v>
      </c>
      <c r="V38" s="53" t="str">
        <f t="shared" si="4"/>
        <v>KEEP</v>
      </c>
    </row>
    <row r="39" spans="1:22" x14ac:dyDescent="0.25">
      <c r="A39" s="39">
        <v>42597.720208333332</v>
      </c>
      <c r="B39" s="34" t="s">
        <v>272</v>
      </c>
      <c r="C39" s="34" t="s">
        <v>464</v>
      </c>
      <c r="D39" s="34" t="s">
        <v>49</v>
      </c>
      <c r="E39" s="34" t="s">
        <v>54</v>
      </c>
      <c r="F39" s="50">
        <v>0</v>
      </c>
      <c r="G39" s="50">
        <v>482</v>
      </c>
      <c r="H39" s="50">
        <v>195156</v>
      </c>
      <c r="I39" s="34" t="s">
        <v>55</v>
      </c>
      <c r="J39" s="50">
        <v>191723</v>
      </c>
      <c r="K39" s="34" t="s">
        <v>53</v>
      </c>
      <c r="L39" s="97" t="str">
        <f>VLOOKUP(C39,'Trips&amp;Operators'!$C$1:$E$9999,3,0)</f>
        <v>STEWART</v>
      </c>
      <c r="M39" s="141" t="s">
        <v>89</v>
      </c>
      <c r="N39" s="10" t="s">
        <v>660</v>
      </c>
      <c r="O39" s="34"/>
      <c r="P39" s="115" t="str">
        <f>VLOOKUP(C39,'Train Runs'!$A$13:$AE$9995,31,0)</f>
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</c>
      <c r="Q39" s="119" t="str">
        <f>VLOOKUP(C39,'Train Runs'!$A$13:$AE$9995,22,0)</f>
        <v>https://search-rtdc-monitor-bjffxe2xuh6vdkpspy63sjmuny.us-east-1.es.amazonaws.com/_plugin/kibana/#/discover/Steve-Slow-Train-Analysis-(2080s-and-2083s)?_g=(refreshInterval:(display:Off,section:0,value:0),time:(from:'2016-08-15 16:06:27-0600',mode:absolute,to:'2016-08-15 18:52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39" s="122" t="str">
        <f t="shared" ref="R39:R70" si="5">astrogrep_path&amp;" /spath="&amp;search_path&amp;" /stypes=""*"&amp;S39&amp;"*"&amp;TEXT(A39-utc_offset/24,"YYYYMMDD")&amp;LEFT(TEXT(A39-utc_offset/24,"HH"),1)&amp;"*""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/stypes="*4043*201608152*" /stext=" 23:.+((SYSTEM_STATE.+slice.+state.+changed )|(ment ac)|(system.+state.+changed )|(\|lc)|(penalty)|(\[timeout)|(PRM\|1\|D)|(kpr)|(kdp)|(\|loc))" /e /r /s</v>
      </c>
      <c r="S39" s="9" t="str">
        <f t="shared" ref="S39:S70" si="6">MID(B39,13,4)</f>
        <v>4043</v>
      </c>
      <c r="T39" s="39">
        <f t="shared" ref="T39:T70" si="7">A39+6/24</f>
        <v>42597.970208333332</v>
      </c>
      <c r="U39" s="53" t="str">
        <f t="shared" ref="U39:U70" si="8">IF(VALUE(LEFT(IF(LEN(C39)=6,"0"&amp;C39,C39),2))&lt;=2,"EC",IF(OR(VALUE(LEFT(IF(LEN(C39)=6,"0"&amp;C39,C39),2))=8,VALUE(LEFT(IF(LEN(C39)=6,"0"&amp;C39,C39),2))=18),"NW","GL"))</f>
        <v>EC</v>
      </c>
      <c r="V39" s="53" t="str">
        <f t="shared" ref="V39:V70" si="9">IF(AND(E39="TRACK WARRANT AUTHORITY",G39&lt;10),"OMIT","KEEP")</f>
        <v>KEEP</v>
      </c>
    </row>
    <row r="40" spans="1:22" x14ac:dyDescent="0.25">
      <c r="A40" s="39">
        <v>42597.286365740743</v>
      </c>
      <c r="B40" s="34" t="s">
        <v>183</v>
      </c>
      <c r="C40" s="34" t="s">
        <v>349</v>
      </c>
      <c r="D40" s="34" t="s">
        <v>49</v>
      </c>
      <c r="E40" s="34" t="s">
        <v>234</v>
      </c>
      <c r="F40" s="50">
        <v>0</v>
      </c>
      <c r="G40" s="50">
        <v>676</v>
      </c>
      <c r="H40" s="50">
        <v>70518</v>
      </c>
      <c r="I40" s="34" t="s">
        <v>235</v>
      </c>
      <c r="J40" s="50">
        <v>69363</v>
      </c>
      <c r="K40" s="34" t="s">
        <v>53</v>
      </c>
      <c r="L40" s="97" t="str">
        <f>VLOOKUP(C40,'Trips&amp;Operators'!$C$1:$E$9999,3,0)</f>
        <v>MALAVE</v>
      </c>
      <c r="M40" s="141" t="s">
        <v>88</v>
      </c>
      <c r="N40" s="10" t="s">
        <v>654</v>
      </c>
      <c r="O40" s="34"/>
      <c r="P40" s="115" t="str">
        <f>VLOOKUP(C40,'Train Runs'!$A$13:$AE$9995,31,0)</f>
        <v>aws s3 cp s3://rtdc.mdm.uploadarchive/RTDC4041/2016-08-15/ "%USERPROFILE%\AppData\Local\Temp\OnboardLogs"\RTDC4041\2016-08-15 --recursive &amp; "%USERPROFILE%\Documents\GitHub\mrs-test-scripts\Headless Mode &amp; Sideloading\WalkAndUnGZ.bat" "%USERPROFILE%\AppData\Local\Temp\OnboardLogs"\RTDC4041\2016-08-15 &amp; aws s3 cp s3://rtdc.mdm.uploadarchive/RTDC4041/2016-08-16/ "%USERPROFILE%\AppData\Local\Temp\OnboardLogs"\RTDC4041\2016-08-16 --recursive &amp; "%USERPROFILE%\Documents\GitHub\mrs-test-scripts\Headless Mode &amp; Sideloading\WalkAndUnGZ.bat" "%USERPROFILE%\AppData\Local\Temp\OnboardLogs"\RTDC4041\2016-08-16</v>
      </c>
      <c r="Q40" s="119" t="str">
        <f>VLOOKUP(C40,'Train Runs'!$A$13:$AE$9995,22,0)</f>
        <v>https://search-rtdc-monitor-bjffxe2xuh6vdkpspy63sjmuny.us-east-1.es.amazonaws.com/_plugin/kibana/#/discover/Steve-Slow-Train-Analysis-(2080s-and-2083s)?_g=(refreshInterval:(display:Off,section:0,value:0),time:(from:'2016-08-15 05:23:52-0600',mode:absolute,to:'2016-08-15 07:53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</c>
      <c r="R40" s="122" t="str">
        <f t="shared" si="5"/>
        <v>"C:\Program Files (x86)\AstroGrep\AstroGrep.exe" /spath="%USERPROFILE%\AppData\Local\Temp\OnboardLogs" /stypes="*4041*201608151*" /stext=" 12:.+((SYSTEM_STATE.+slice.+state.+changed )|(ment ac)|(system.+state.+changed )|(\|lc)|(penalty)|(\[timeout)|(PRM\|1\|D)|(kpr)|(kdp)|(\|loc))" /e /r /s</v>
      </c>
      <c r="S40" s="9" t="str">
        <f t="shared" si="6"/>
        <v>4041</v>
      </c>
      <c r="T40" s="39">
        <f t="shared" si="7"/>
        <v>42597.536365740743</v>
      </c>
      <c r="U40" s="53" t="str">
        <f t="shared" si="8"/>
        <v>EC</v>
      </c>
      <c r="V40" s="53" t="str">
        <f t="shared" si="9"/>
        <v>KEEP</v>
      </c>
    </row>
    <row r="41" spans="1:22" x14ac:dyDescent="0.25">
      <c r="A41" s="39">
        <v>42597.349606481483</v>
      </c>
      <c r="B41" s="34" t="s">
        <v>278</v>
      </c>
      <c r="C41" s="34" t="s">
        <v>368</v>
      </c>
      <c r="D41" s="34" t="s">
        <v>116</v>
      </c>
      <c r="E41" s="34" t="s">
        <v>234</v>
      </c>
      <c r="F41" s="50">
        <v>0</v>
      </c>
      <c r="G41" s="50">
        <v>81</v>
      </c>
      <c r="H41" s="50">
        <v>103872</v>
      </c>
      <c r="I41" s="34" t="s">
        <v>235</v>
      </c>
      <c r="J41" s="50">
        <v>104776</v>
      </c>
      <c r="K41" s="34" t="s">
        <v>53</v>
      </c>
      <c r="L41" s="97" t="str">
        <f>VLOOKUP(C41,'Trips&amp;Operators'!$C$1:$E$9999,3,0)</f>
        <v>SWANSON</v>
      </c>
      <c r="M41" s="141" t="s">
        <v>88</v>
      </c>
      <c r="N41" s="10" t="s">
        <v>654</v>
      </c>
      <c r="O41" s="34"/>
      <c r="P41" s="115" t="str">
        <f>VLOOKUP(C41,'Train Runs'!$A$13:$AE$9995,31,0)</f>
        <v>aws s3 cp s3://rtdc.mdm.uploadarchive/RTDC4010/2016-08-15/ "%USERPROFILE%\AppData\Local\Temp\OnboardLogs"\RTDC4010\2016-08-15 --recursive &amp; "%USERPROFILE%\Documents\GitHub\mrs-test-scripts\Headless Mode &amp; Sideloading\WalkAndUnGZ.bat" "%USERPROFILE%\AppData\Local\Temp\OnboardLogs"\RTDC4010\2016-08-15 &amp; 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</v>
      </c>
      <c r="Q41" s="119" t="str">
        <f>VLOOKUP(C41,'Train Runs'!$A$13:$AE$9995,22,0)</f>
        <v>https://search-rtdc-monitor-bjffxe2xuh6vdkpspy63sjmuny.us-east-1.es.amazonaws.com/_plugin/kibana/#/discover/Steve-Slow-Train-Analysis-(2080s-and-2083s)?_g=(refreshInterval:(display:Off,section:0,value:0),time:(from:'2016-08-15 06:46:48-0600',mode:absolute,to:'2016-08-15 09:46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R41" s="122" t="str">
        <f t="shared" si="5"/>
        <v>"C:\Program Files (x86)\AstroGrep\AstroGrep.exe" /spath="%USERPROFILE%\AppData\Local\Temp\OnboardLogs" /stypes="*4010*201608151*" /stext=" 14:.+((SYSTEM_STATE.+slice.+state.+changed )|(ment ac)|(system.+state.+changed )|(\|lc)|(penalty)|(\[timeout)|(PRM\|1\|D)|(kpr)|(kdp)|(\|loc))" /e /r /s</v>
      </c>
      <c r="S41" s="9" t="str">
        <f t="shared" si="6"/>
        <v>4010</v>
      </c>
      <c r="T41" s="39">
        <f t="shared" si="7"/>
        <v>42597.599606481483</v>
      </c>
      <c r="U41" s="53" t="str">
        <f t="shared" si="8"/>
        <v>EC</v>
      </c>
      <c r="V41" s="53" t="str">
        <f t="shared" si="9"/>
        <v>KEEP</v>
      </c>
    </row>
    <row r="42" spans="1:22" ht="15" customHeight="1" x14ac:dyDescent="0.25">
      <c r="A42" s="39">
        <v>42597.222662037035</v>
      </c>
      <c r="B42" s="34" t="s">
        <v>272</v>
      </c>
      <c r="C42" s="34" t="s">
        <v>333</v>
      </c>
      <c r="D42" s="34" t="s">
        <v>49</v>
      </c>
      <c r="E42" s="34" t="s">
        <v>50</v>
      </c>
      <c r="F42" s="50">
        <v>0</v>
      </c>
      <c r="G42" s="50">
        <v>59</v>
      </c>
      <c r="H42" s="50">
        <v>205</v>
      </c>
      <c r="I42" s="34" t="s">
        <v>51</v>
      </c>
      <c r="J42" s="50">
        <v>1</v>
      </c>
      <c r="K42" s="34" t="s">
        <v>53</v>
      </c>
      <c r="L42" s="97" t="str">
        <f>VLOOKUP(C42,'Trips&amp;Operators'!$C$1:$E$9999,3,0)</f>
        <v>ACKERMAN</v>
      </c>
      <c r="M42" s="141" t="s">
        <v>89</v>
      </c>
      <c r="N42" s="10"/>
      <c r="O42" s="34"/>
      <c r="P42" s="115" t="str">
        <f>VLOOKUP(C42,'Train Runs'!$A$13:$AE$186,31,0)</f>
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</c>
      <c r="Q42" s="119" t="str">
        <f>VLOOKUP(C42,'Train Runs'!$A$13:$AE$186,22,0)</f>
        <v>https://search-rtdc-monitor-bjffxe2xuh6vdkpspy63sjmuny.us-east-1.es.amazonaws.com/_plugin/kibana/#/discover/Steve-Slow-Train-Analysis-(2080s-and-2083s)?_g=(refreshInterval:(display:Off,section:0,value:0),time:(from:'2016-08-15 03:33:53-0600',mode:absolute,to:'2016-08-15 06:20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42" s="122" t="str">
        <f t="shared" si="5"/>
        <v>"C:\Program Files (x86)\AstroGrep\AstroGrep.exe" /spath="%USERPROFILE%\AppData\Local\Temp\OnboardLogs" /stypes="*4043*201608151*" /stext=" 11:.+((SYSTEM_STATE.+slice.+state.+changed )|(ment ac)|(system.+state.+changed )|(\|lc)|(penalty)|(\[timeout)|(PRM\|1\|D)|(kpr)|(kdp)|(\|loc))" /e /r /s</v>
      </c>
      <c r="S42" s="9" t="str">
        <f t="shared" si="6"/>
        <v>4043</v>
      </c>
      <c r="T42" s="39">
        <f t="shared" si="7"/>
        <v>42597.472662037035</v>
      </c>
      <c r="U42" s="53" t="str">
        <f t="shared" si="8"/>
        <v>EC</v>
      </c>
      <c r="V42" s="53" t="str">
        <f t="shared" si="9"/>
        <v>KEEP</v>
      </c>
    </row>
    <row r="43" spans="1:22" x14ac:dyDescent="0.25">
      <c r="A43" s="39">
        <v>42597.307245370372</v>
      </c>
      <c r="B43" s="34" t="s">
        <v>272</v>
      </c>
      <c r="C43" s="34" t="s">
        <v>355</v>
      </c>
      <c r="D43" s="34" t="s">
        <v>49</v>
      </c>
      <c r="E43" s="34" t="s">
        <v>50</v>
      </c>
      <c r="F43" s="50">
        <v>0</v>
      </c>
      <c r="G43" s="50">
        <v>54</v>
      </c>
      <c r="H43" s="50">
        <v>156</v>
      </c>
      <c r="I43" s="34" t="s">
        <v>51</v>
      </c>
      <c r="J43" s="50">
        <v>1</v>
      </c>
      <c r="K43" s="34" t="s">
        <v>53</v>
      </c>
      <c r="L43" s="97" t="str">
        <f>VLOOKUP(C43,'Trips&amp;Operators'!$C$1:$E$9999,3,0)</f>
        <v>ACKERMAN</v>
      </c>
      <c r="M43" s="141" t="s">
        <v>89</v>
      </c>
      <c r="N43" s="10"/>
      <c r="O43" s="34"/>
      <c r="P43" s="115" t="str">
        <f>VLOOKUP(C43,'Train Runs'!$A$13:$AE$186,31,0)</f>
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</c>
      <c r="Q43" s="119" t="str">
        <f>VLOOKUP(C43,'Train Runs'!$A$13:$AE$186,22,0)</f>
        <v>https://search-rtdc-monitor-bjffxe2xuh6vdkpspy63sjmuny.us-east-1.es.amazonaws.com/_plugin/kibana/#/discover/Steve-Slow-Train-Analysis-(2080s-and-2083s)?_g=(refreshInterval:(display:Off,section:0,value:0),time:(from:'2016-08-15 05:33:41-0600',mode:absolute,to:'2016-08-15 08:22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43" s="122" t="str">
        <f t="shared" si="5"/>
        <v>"C:\Program Files (x86)\AstroGrep\AstroGrep.exe" /spath="%USERPROFILE%\AppData\Local\Temp\OnboardLogs" /stypes="*4043*201608151*" /stext=" 13:.+((SYSTEM_STATE.+slice.+state.+changed )|(ment ac)|(system.+state.+changed )|(\|lc)|(penalty)|(\[timeout)|(PRM\|1\|D)|(kpr)|(kdp)|(\|loc))" /e /r /s</v>
      </c>
      <c r="S43" s="9" t="str">
        <f t="shared" si="6"/>
        <v>4043</v>
      </c>
      <c r="T43" s="39">
        <f t="shared" si="7"/>
        <v>42597.557245370372</v>
      </c>
      <c r="U43" s="53" t="str">
        <f t="shared" si="8"/>
        <v>EC</v>
      </c>
      <c r="V43" s="53" t="str">
        <f t="shared" si="9"/>
        <v>KEEP</v>
      </c>
    </row>
    <row r="44" spans="1:22" ht="15" customHeight="1" x14ac:dyDescent="0.25">
      <c r="A44" s="39">
        <v>42597.317106481481</v>
      </c>
      <c r="B44" s="34" t="s">
        <v>180</v>
      </c>
      <c r="C44" s="34" t="s">
        <v>359</v>
      </c>
      <c r="D44" s="34" t="s">
        <v>49</v>
      </c>
      <c r="E44" s="34" t="s">
        <v>50</v>
      </c>
      <c r="F44" s="50">
        <v>0</v>
      </c>
      <c r="G44" s="50">
        <v>54</v>
      </c>
      <c r="H44" s="50">
        <v>178</v>
      </c>
      <c r="I44" s="34" t="s">
        <v>51</v>
      </c>
      <c r="J44" s="50">
        <v>1</v>
      </c>
      <c r="K44" s="34" t="s">
        <v>53</v>
      </c>
      <c r="L44" s="97" t="str">
        <f>VLOOKUP(C44,'Trips&amp;Operators'!$C$1:$E$9999,3,0)</f>
        <v>SANTIZO</v>
      </c>
      <c r="M44" s="141" t="s">
        <v>89</v>
      </c>
      <c r="N44" s="10"/>
      <c r="O44" s="34"/>
      <c r="P44" s="115" t="str">
        <f>VLOOKUP(C44,'Train Runs'!$A$13:$AE$186,31,0)</f>
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</c>
      <c r="Q44" s="119" t="str">
        <f>VLOOKUP(C44,'Train Runs'!$A$13:$AE$186,22,0)</f>
        <v>https://search-rtdc-monitor-bjffxe2xuh6vdkpspy63sjmuny.us-east-1.es.amazonaws.com/_plugin/kibana/#/discover/Steve-Slow-Train-Analysis-(2080s-and-2083s)?_g=(refreshInterval:(display:Off,section:0,value:0),time:(from:'2016-08-15 05:40:44-0600',mode:absolute,to:'2016-08-15 08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44" s="122" t="str">
        <f t="shared" si="5"/>
        <v>"C:\Program Files (x86)\AstroGrep\AstroGrep.exe" /spath="%USERPROFILE%\AppData\Local\Temp\OnboardLogs" /stypes="*4028*201608151*" /stext=" 13:.+((SYSTEM_STATE.+slice.+state.+changed )|(ment ac)|(system.+state.+changed )|(\|lc)|(penalty)|(\[timeout)|(PRM\|1\|D)|(kpr)|(kdp)|(\|loc))" /e /r /s</v>
      </c>
      <c r="S44" s="9" t="str">
        <f t="shared" si="6"/>
        <v>4028</v>
      </c>
      <c r="T44" s="39">
        <f t="shared" si="7"/>
        <v>42597.567106481481</v>
      </c>
      <c r="U44" s="53" t="str">
        <f t="shared" si="8"/>
        <v>EC</v>
      </c>
      <c r="V44" s="53" t="str">
        <f t="shared" si="9"/>
        <v>KEEP</v>
      </c>
    </row>
    <row r="45" spans="1:22" x14ac:dyDescent="0.25">
      <c r="A45" s="39">
        <v>42597.380127314813</v>
      </c>
      <c r="B45" s="34" t="s">
        <v>272</v>
      </c>
      <c r="C45" s="34" t="s">
        <v>375</v>
      </c>
      <c r="D45" s="34" t="s">
        <v>49</v>
      </c>
      <c r="E45" s="34" t="s">
        <v>50</v>
      </c>
      <c r="F45" s="50">
        <v>0</v>
      </c>
      <c r="G45" s="50">
        <v>57</v>
      </c>
      <c r="H45" s="50">
        <v>194</v>
      </c>
      <c r="I45" s="34" t="s">
        <v>51</v>
      </c>
      <c r="J45" s="50">
        <v>1</v>
      </c>
      <c r="K45" s="34" t="s">
        <v>53</v>
      </c>
      <c r="L45" s="97" t="str">
        <f>VLOOKUP(C45,'Trips&amp;Operators'!$C$1:$E$9999,3,0)</f>
        <v>ACKERMAN</v>
      </c>
      <c r="M45" s="141" t="s">
        <v>89</v>
      </c>
      <c r="N45" s="10"/>
      <c r="O45" s="34"/>
      <c r="P45" s="115" t="str">
        <f>VLOOKUP(C45,'Train Runs'!$A$13:$AE$186,31,0)</f>
        <v>aws s3 cp s3://rtdc.mdm.uploadarchive/RTDC4043/2016-08-15/ "%USERPROFILE%\AppData\Local\Temp\OnboardLogs"\RTDC4043\2016-08-15 --recursive &amp; "%USERPROFILE%\Documents\GitHub\mrs-test-scripts\Headless Mode &amp; Sideloading\WalkAndUnGZ.bat" "%USERPROFILE%\AppData\Local\Temp\OnboardLogs"\RTDC4043\2016-08-15 &amp; 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</v>
      </c>
      <c r="Q45" s="119" t="str">
        <f>VLOOKUP(C45,'Train Runs'!$A$13:$AE$186,22,0)</f>
        <v>https://search-rtdc-monitor-bjffxe2xuh6vdkpspy63sjmuny.us-east-1.es.amazonaws.com/_plugin/kibana/#/discover/Steve-Slow-Train-Analysis-(2080s-and-2083s)?_g=(refreshInterval:(display:Off,section:0,value:0),time:(from:'2016-08-15 07:18:22-0600',mode:absolute,to:'2016-08-15 10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</c>
      <c r="R45" s="122" t="str">
        <f t="shared" si="5"/>
        <v>"C:\Program Files (x86)\AstroGrep\AstroGrep.exe" /spath="%USERPROFILE%\AppData\Local\Temp\OnboardLogs" /stypes="*4043*201608151*" /stext=" 15:.+((SYSTEM_STATE.+slice.+state.+changed )|(ment ac)|(system.+state.+changed )|(\|lc)|(penalty)|(\[timeout)|(PRM\|1\|D)|(kpr)|(kdp)|(\|loc))" /e /r /s</v>
      </c>
      <c r="S45" s="9" t="str">
        <f t="shared" si="6"/>
        <v>4043</v>
      </c>
      <c r="T45" s="39">
        <f t="shared" si="7"/>
        <v>42597.630127314813</v>
      </c>
      <c r="U45" s="53" t="str">
        <f t="shared" si="8"/>
        <v>EC</v>
      </c>
      <c r="V45" s="53" t="str">
        <f t="shared" si="9"/>
        <v>KEEP</v>
      </c>
    </row>
    <row r="46" spans="1:22" x14ac:dyDescent="0.25">
      <c r="A46" s="39">
        <v>42597.405138888891</v>
      </c>
      <c r="B46" s="34" t="s">
        <v>236</v>
      </c>
      <c r="C46" s="34" t="s">
        <v>381</v>
      </c>
      <c r="D46" s="34" t="s">
        <v>49</v>
      </c>
      <c r="E46" s="34" t="s">
        <v>50</v>
      </c>
      <c r="F46" s="50">
        <v>0</v>
      </c>
      <c r="G46" s="50">
        <v>43</v>
      </c>
      <c r="H46" s="50">
        <v>154</v>
      </c>
      <c r="I46" s="34" t="s">
        <v>51</v>
      </c>
      <c r="J46" s="50">
        <v>1</v>
      </c>
      <c r="K46" s="34" t="s">
        <v>53</v>
      </c>
      <c r="L46" s="97" t="str">
        <f>VLOOKUP(C46,'Trips&amp;Operators'!$C$1:$E$9999,3,0)</f>
        <v>SPECTOR</v>
      </c>
      <c r="M46" s="141" t="s">
        <v>89</v>
      </c>
      <c r="N46" s="10"/>
      <c r="O46" s="34"/>
      <c r="P46" s="115" t="str">
        <f>VLOOKUP(C46,'Train Runs'!$A$13:$AE$186,31,0)</f>
        <v>aws s3 cp s3://rtdc.mdm.uploadarchive/RTDC4019/2016-08-15/ "%USERPROFILE%\AppData\Local\Temp\OnboardLogs"\RTDC4019\2016-08-15 --recursive &amp; "%USERPROFILE%\Documents\GitHub\mrs-test-scripts\Headless Mode &amp; Sideloading\WalkAndUnGZ.bat" "%USERPROFILE%\AppData\Local\Temp\OnboardLogs"\RTDC4019\2016-08-15 &amp; aws s3 cp s3://rtdc.mdm.uploadarchive/RTDC4019/2016-08-16/ "%USERPROFILE%\AppData\Local\Temp\OnboardLogs"\RTDC4019\2016-08-16 --recursive &amp; "%USERPROFILE%\Documents\GitHub\mrs-test-scripts\Headless Mode &amp; Sideloading\WalkAndUnGZ.bat" "%USERPROFILE%\AppData\Local\Temp\OnboardLogs"\RTDC4019\2016-08-16</v>
      </c>
      <c r="Q46" s="119" t="str">
        <f>VLOOKUP(C46,'Train Runs'!$A$13:$AE$186,22,0)</f>
        <v>https://search-rtdc-monitor-bjffxe2xuh6vdkpspy63sjmuny.us-east-1.es.amazonaws.com/_plugin/kibana/#/discover/Steve-Slow-Train-Analysis-(2080s-and-2083s)?_g=(refreshInterval:(display:Off,section:0,value:0),time:(from:'2016-08-15 07:53:28-0600',mode:absolute,to:'2016-08-15 10:43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46" s="122" t="str">
        <f t="shared" si="5"/>
        <v>"C:\Program Files (x86)\AstroGrep\AstroGrep.exe" /spath="%USERPROFILE%\AppData\Local\Temp\OnboardLogs" /stypes="*4019*201608151*" /stext=" 15:.+((SYSTEM_STATE.+slice.+state.+changed )|(ment ac)|(system.+state.+changed )|(\|lc)|(penalty)|(\[timeout)|(PRM\|1\|D)|(kpr)|(kdp)|(\|loc))" /e /r /s</v>
      </c>
      <c r="S46" s="9" t="str">
        <f t="shared" si="6"/>
        <v>4019</v>
      </c>
      <c r="T46" s="39">
        <f t="shared" si="7"/>
        <v>42597.655138888891</v>
      </c>
      <c r="U46" s="53" t="str">
        <f t="shared" si="8"/>
        <v>EC</v>
      </c>
      <c r="V46" s="53" t="str">
        <f t="shared" si="9"/>
        <v>KEEP</v>
      </c>
    </row>
    <row r="47" spans="1:22" x14ac:dyDescent="0.25">
      <c r="A47" s="39">
        <v>42597.423379629632</v>
      </c>
      <c r="B47" s="34" t="s">
        <v>121</v>
      </c>
      <c r="C47" s="34" t="s">
        <v>385</v>
      </c>
      <c r="D47" s="34" t="s">
        <v>49</v>
      </c>
      <c r="E47" s="34" t="s">
        <v>50</v>
      </c>
      <c r="F47" s="50">
        <v>0</v>
      </c>
      <c r="G47" s="50">
        <v>52</v>
      </c>
      <c r="H47" s="50">
        <v>183</v>
      </c>
      <c r="I47" s="34" t="s">
        <v>51</v>
      </c>
      <c r="J47" s="50">
        <v>1</v>
      </c>
      <c r="K47" s="34" t="s">
        <v>53</v>
      </c>
      <c r="L47" s="97" t="str">
        <f>VLOOKUP(C47,'Trips&amp;Operators'!$C$1:$E$9999,3,0)</f>
        <v>STARKS</v>
      </c>
      <c r="M47" s="141" t="s">
        <v>89</v>
      </c>
      <c r="N47" s="10"/>
      <c r="O47" s="34"/>
      <c r="P47" s="115" t="str">
        <f>VLOOKUP(C47,'Train Runs'!$A$13:$AE$186,31,0)</f>
        <v>aws s3 cp s3://rtdc.mdm.uploadarchive/RTDC4032/2016-08-15/ "%USERPROFILE%\AppData\Local\Temp\OnboardLogs"\RTDC4032\2016-08-15 --recursive &amp; "%USERPROFILE%\Documents\GitHub\mrs-test-scripts\Headless Mode &amp; Sideloading\WalkAndUnGZ.bat" "%USERPROFILE%\AppData\Local\Temp\OnboardLogs"\RTDC4032\2016-08-15 &amp; 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</v>
      </c>
      <c r="Q47" s="119" t="str">
        <f>VLOOKUP(C47,'Train Runs'!$A$13:$AE$186,22,0)</f>
        <v>https://search-rtdc-monitor-bjffxe2xuh6vdkpspy63sjmuny.us-east-1.es.amazonaws.com/_plugin/kibana/#/discover/Steve-Slow-Train-Analysis-(2080s-and-2083s)?_g=(refreshInterval:(display:Off,section:0,value:0),time:(from:'2016-08-15 08:23:01-0600',mode:absolute,to:'2016-08-15 11:09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47" s="122" t="str">
        <f t="shared" si="5"/>
        <v>"C:\Program Files (x86)\AstroGrep\AstroGrep.exe" /spath="%USERPROFILE%\AppData\Local\Temp\OnboardLogs" /stypes="*4032*201608151*" /stext=" 16:.+((SYSTEM_STATE.+slice.+state.+changed )|(ment ac)|(system.+state.+changed )|(\|lc)|(penalty)|(\[timeout)|(PRM\|1\|D)|(kpr)|(kdp)|(\|loc))" /e /r /s</v>
      </c>
      <c r="S47" s="9" t="str">
        <f t="shared" si="6"/>
        <v>4032</v>
      </c>
      <c r="T47" s="39">
        <f t="shared" si="7"/>
        <v>42597.673379629632</v>
      </c>
      <c r="U47" s="53" t="str">
        <f t="shared" si="8"/>
        <v>EC</v>
      </c>
      <c r="V47" s="53" t="str">
        <f t="shared" si="9"/>
        <v>KEEP</v>
      </c>
    </row>
    <row r="48" spans="1:22" ht="15" customHeight="1" x14ac:dyDescent="0.25">
      <c r="A48" s="39">
        <v>42597.703726851854</v>
      </c>
      <c r="B48" s="34" t="s">
        <v>166</v>
      </c>
      <c r="C48" s="34" t="s">
        <v>455</v>
      </c>
      <c r="D48" s="34" t="s">
        <v>49</v>
      </c>
      <c r="E48" s="34" t="s">
        <v>50</v>
      </c>
      <c r="F48" s="50">
        <v>0</v>
      </c>
      <c r="G48" s="50">
        <v>51</v>
      </c>
      <c r="H48" s="50">
        <v>150</v>
      </c>
      <c r="I48" s="34" t="s">
        <v>51</v>
      </c>
      <c r="J48" s="50">
        <v>1</v>
      </c>
      <c r="K48" s="34" t="s">
        <v>53</v>
      </c>
      <c r="L48" s="97" t="str">
        <f>VLOOKUP(C48,'Trips&amp;Operators'!$C$1:$E$9999,3,0)</f>
        <v>MAYBERRY</v>
      </c>
      <c r="M48" s="141" t="s">
        <v>89</v>
      </c>
      <c r="N48" s="10"/>
      <c r="O48" s="34"/>
      <c r="P48" s="115" t="str">
        <f>VLOOKUP(C48,'Train Runs'!$A$13:$AE$186,31,0)</f>
        <v>aws s3 cp s3://rtdc.mdm.uploadarchive/RTDC4037/2016-08-15/ "%USERPROFILE%\AppData\Local\Temp\OnboardLogs"\RTDC4037\2016-08-15 --recursive &amp; "%USERPROFILE%\Documents\GitHub\mrs-test-scripts\Headless Mode &amp; Sideloading\WalkAndUnGZ.bat" "%USERPROFILE%\AppData\Local\Temp\OnboardLogs"\RTDC4037\2016-08-15 &amp; 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</v>
      </c>
      <c r="Q48" s="119" t="str">
        <f>VLOOKUP(C48,'Train Runs'!$A$13:$AE$186,22,0)</f>
        <v>https://search-rtdc-monitor-bjffxe2xuh6vdkpspy63sjmuny.us-east-1.es.amazonaws.com/_plugin/kibana/#/discover/Steve-Slow-Train-Analysis-(2080s-and-2083s)?_g=(refreshInterval:(display:Off,section:0,value:0),time:(from:'2016-08-15 14:58:22-0600',mode:absolute,to:'2016-08-15 17:53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48" s="122" t="str">
        <f t="shared" si="5"/>
        <v>"C:\Program Files (x86)\AstroGrep\AstroGrep.exe" /spath="%USERPROFILE%\AppData\Local\Temp\OnboardLogs" /stypes="*4037*201608152*" /stext=" 22:.+((SYSTEM_STATE.+slice.+state.+changed )|(ment ac)|(system.+state.+changed )|(\|lc)|(penalty)|(\[timeout)|(PRM\|1\|D)|(kpr)|(kdp)|(\|loc))" /e /r /s</v>
      </c>
      <c r="S48" s="9" t="str">
        <f t="shared" si="6"/>
        <v>4037</v>
      </c>
      <c r="T48" s="39">
        <f t="shared" si="7"/>
        <v>42597.953726851854</v>
      </c>
      <c r="U48" s="53" t="str">
        <f t="shared" si="8"/>
        <v>EC</v>
      </c>
      <c r="V48" s="53" t="str">
        <f t="shared" si="9"/>
        <v>KEEP</v>
      </c>
    </row>
    <row r="49" spans="1:22" x14ac:dyDescent="0.25">
      <c r="A49" s="39">
        <v>42597.827986111108</v>
      </c>
      <c r="B49" s="34" t="s">
        <v>180</v>
      </c>
      <c r="C49" s="34" t="s">
        <v>484</v>
      </c>
      <c r="D49" s="34" t="s">
        <v>49</v>
      </c>
      <c r="E49" s="34" t="s">
        <v>50</v>
      </c>
      <c r="F49" s="50">
        <v>0</v>
      </c>
      <c r="G49" s="50">
        <v>47</v>
      </c>
      <c r="H49" s="50">
        <v>160</v>
      </c>
      <c r="I49" s="34" t="s">
        <v>51</v>
      </c>
      <c r="J49" s="50">
        <v>1</v>
      </c>
      <c r="K49" s="34" t="s">
        <v>53</v>
      </c>
      <c r="L49" s="97" t="str">
        <f>VLOOKUP(C49,'Trips&amp;Operators'!$C$1:$E$9999,3,0)</f>
        <v>CHANDLER</v>
      </c>
      <c r="M49" s="141" t="s">
        <v>89</v>
      </c>
      <c r="N49" s="10"/>
      <c r="O49" s="34"/>
      <c r="P49" s="115" t="str">
        <f>VLOOKUP(C49,'Train Runs'!$A$13:$AE$186,31,0)</f>
        <v>aws s3 cp s3://rtdc.mdm.uploadarchive/RTDC4028/2016-08-15/ "%USERPROFILE%\AppData\Local\Temp\OnboardLogs"\RTDC4028\2016-08-15 --recursive &amp; "%USERPROFILE%\Documents\GitHub\mrs-test-scripts\Headless Mode &amp; Sideloading\WalkAndUnGZ.bat" "%USERPROFILE%\AppData\Local\Temp\OnboardLogs"\RTDC4028\2016-08-15 &amp; aws s3 cp s3://rtdc.mdm.uploadarchive/RTDC4028/2016-08-16/ "%USERPROFILE%\AppData\Local\Temp\OnboardLogs"\RTDC4028\2016-08-16 --recursive &amp; "%USERPROFILE%\Documents\GitHub\mrs-test-scripts\Headless Mode &amp; Sideloading\WalkAndUnGZ.bat" "%USERPROFILE%\AppData\Local\Temp\OnboardLogs"\RTDC4028\2016-08-16</v>
      </c>
      <c r="Q49" s="119" t="str">
        <f>VLOOKUP(C49,'Train Runs'!$A$13:$AE$186,22,0)</f>
        <v>https://search-rtdc-monitor-bjffxe2xuh6vdkpspy63sjmuny.us-east-1.es.amazonaws.com/_plugin/kibana/#/discover/Steve-Slow-Train-Analysis-(2080s-and-2083s)?_g=(refreshInterval:(display:Off,section:0,value:0),time:(from:'2016-08-15 18:08:02-0600',mode:absolute,to:'2016-08-15 20:52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49" s="122" t="str">
        <f t="shared" si="5"/>
        <v>"C:\Program Files (x86)\AstroGrep\AstroGrep.exe" /spath="%USERPROFILE%\AppData\Local\Temp\OnboardLogs" /stypes="*4028*201608160*" /stext=" 01:.+((SYSTEM_STATE.+slice.+state.+changed )|(ment ac)|(system.+state.+changed )|(\|lc)|(penalty)|(\[timeout)|(PRM\|1\|D)|(kpr)|(kdp)|(\|loc))" /e /r /s</v>
      </c>
      <c r="S49" s="9" t="str">
        <f t="shared" si="6"/>
        <v>4028</v>
      </c>
      <c r="T49" s="39">
        <f t="shared" si="7"/>
        <v>42598.077986111108</v>
      </c>
      <c r="U49" s="53" t="str">
        <f t="shared" si="8"/>
        <v>EC</v>
      </c>
      <c r="V49" s="53" t="str">
        <f t="shared" si="9"/>
        <v>KEEP</v>
      </c>
    </row>
    <row r="50" spans="1:22" x14ac:dyDescent="0.25">
      <c r="A50" s="39">
        <v>42597.338564814818</v>
      </c>
      <c r="B50" s="34" t="s">
        <v>270</v>
      </c>
      <c r="C50" s="34" t="s">
        <v>373</v>
      </c>
      <c r="D50" s="34" t="s">
        <v>49</v>
      </c>
      <c r="E50" s="34" t="s">
        <v>50</v>
      </c>
      <c r="F50" s="50">
        <v>0</v>
      </c>
      <c r="G50" s="50">
        <v>76</v>
      </c>
      <c r="H50" s="50">
        <v>233217</v>
      </c>
      <c r="I50" s="34" t="s">
        <v>51</v>
      </c>
      <c r="J50" s="50">
        <v>233491</v>
      </c>
      <c r="K50" s="34" t="s">
        <v>52</v>
      </c>
      <c r="L50" s="97" t="str">
        <f>VLOOKUP(C50,'Trips&amp;Operators'!$C$1:$E$9999,3,0)</f>
        <v>ACKERMAN</v>
      </c>
      <c r="M50" s="141" t="s">
        <v>89</v>
      </c>
      <c r="N50" s="10"/>
      <c r="O50" s="34"/>
      <c r="P50" s="115" t="str">
        <f>VLOOKUP(C50,'Train Runs'!$A$13:$AE$186,31,0)</f>
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</c>
      <c r="Q50" s="119" t="str">
        <f>VLOOKUP(C50,'Train Runs'!$A$13:$AE$186,22,0)</f>
        <v>https://search-rtdc-monitor-bjffxe2xuh6vdkpspy63sjmuny.us-east-1.es.amazonaws.com/_plugin/kibana/#/discover/Steve-Slow-Train-Analysis-(2080s-and-2083s)?_g=(refreshInterval:(display:Off,section:0,value:0),time:(from:'2016-08-15 06:24:50-0600',mode:absolute,to:'2016-08-15 09:07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50" s="122" t="str">
        <f t="shared" si="5"/>
        <v>"C:\Program Files (x86)\AstroGrep\AstroGrep.exe" /spath="%USERPROFILE%\AppData\Local\Temp\OnboardLogs" /stypes="*4044*201608151*" /stext=" 14:.+((SYSTEM_STATE.+slice.+state.+changed )|(ment ac)|(system.+state.+changed )|(\|lc)|(penalty)|(\[timeout)|(PRM\|1\|D)|(kpr)|(kdp)|(\|loc))" /e /r /s</v>
      </c>
      <c r="S50" s="9" t="str">
        <f t="shared" si="6"/>
        <v>4044</v>
      </c>
      <c r="T50" s="39">
        <f t="shared" si="7"/>
        <v>42597.588564814818</v>
      </c>
      <c r="U50" s="53" t="str">
        <f t="shared" si="8"/>
        <v>EC</v>
      </c>
      <c r="V50" s="53" t="str">
        <f t="shared" si="9"/>
        <v>KEEP</v>
      </c>
    </row>
    <row r="51" spans="1:22" x14ac:dyDescent="0.25">
      <c r="A51" s="39">
        <v>42597.451886574076</v>
      </c>
      <c r="B51" s="34" t="s">
        <v>120</v>
      </c>
      <c r="C51" s="34" t="s">
        <v>403</v>
      </c>
      <c r="D51" s="34" t="s">
        <v>49</v>
      </c>
      <c r="E51" s="34" t="s">
        <v>50</v>
      </c>
      <c r="F51" s="50">
        <v>0</v>
      </c>
      <c r="G51" s="50">
        <v>65</v>
      </c>
      <c r="H51" s="50">
        <v>233266</v>
      </c>
      <c r="I51" s="34" t="s">
        <v>51</v>
      </c>
      <c r="J51" s="50">
        <v>233491</v>
      </c>
      <c r="K51" s="34" t="s">
        <v>52</v>
      </c>
      <c r="L51" s="97" t="str">
        <f>VLOOKUP(C51,'Trips&amp;Operators'!$C$1:$E$9999,3,0)</f>
        <v>STARKS</v>
      </c>
      <c r="M51" s="141" t="s">
        <v>89</v>
      </c>
      <c r="N51" s="10"/>
      <c r="O51" s="34"/>
      <c r="P51" s="115" t="str">
        <f>VLOOKUP(C51,'Train Runs'!$A$13:$AE$186,31,0)</f>
        <v>aws s3 cp s3://rtdc.mdm.uploadarchive/RTDC4031/2016-08-15/ "%USERPROFILE%\AppData\Local\Temp\OnboardLogs"\RTDC4031\2016-08-15 --recursive &amp; "%USERPROFILE%\Documents\GitHub\mrs-test-scripts\Headless Mode &amp; Sideloading\WalkAndUnGZ.bat" "%USERPROFILE%\AppData\Local\Temp\OnboardLogs"\RTDC4031\2016-08-15 &amp; 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</v>
      </c>
      <c r="Q51" s="119" t="str">
        <f>VLOOKUP(C51,'Train Runs'!$A$13:$AE$186,22,0)</f>
        <v>https://search-rtdc-monitor-bjffxe2xuh6vdkpspy63sjmuny.us-east-1.es.amazonaws.com/_plugin/kibana/#/discover/Steve-Slow-Train-Analysis-(2080s-and-2083s)?_g=(refreshInterval:(display:Off,section:0,value:0),time:(from:'2016-08-15 09:12:07-0600',mode:absolute,to:'2016-08-15 11:50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51" s="122" t="str">
        <f t="shared" si="5"/>
        <v>"C:\Program Files (x86)\AstroGrep\AstroGrep.exe" /spath="%USERPROFILE%\AppData\Local\Temp\OnboardLogs" /stypes="*4031*201608151*" /stext=" 16:.+((SYSTEM_STATE.+slice.+state.+changed )|(ment ac)|(system.+state.+changed )|(\|lc)|(penalty)|(\[timeout)|(PRM\|1\|D)|(kpr)|(kdp)|(\|loc))" /e /r /s</v>
      </c>
      <c r="S51" s="9" t="str">
        <f t="shared" si="6"/>
        <v>4031</v>
      </c>
      <c r="T51" s="39">
        <f t="shared" si="7"/>
        <v>42597.701886574076</v>
      </c>
      <c r="U51" s="53" t="str">
        <f t="shared" si="8"/>
        <v>EC</v>
      </c>
      <c r="V51" s="53" t="str">
        <f t="shared" si="9"/>
        <v>KEEP</v>
      </c>
    </row>
    <row r="52" spans="1:22" x14ac:dyDescent="0.25">
      <c r="A52" s="39">
        <v>42597.644849537035</v>
      </c>
      <c r="B52" s="34" t="s">
        <v>96</v>
      </c>
      <c r="C52" s="34" t="s">
        <v>449</v>
      </c>
      <c r="D52" s="34" t="s">
        <v>49</v>
      </c>
      <c r="E52" s="34" t="s">
        <v>50</v>
      </c>
      <c r="F52" s="50">
        <v>0</v>
      </c>
      <c r="G52" s="50">
        <v>63</v>
      </c>
      <c r="H52" s="50">
        <v>233288</v>
      </c>
      <c r="I52" s="34" t="s">
        <v>51</v>
      </c>
      <c r="J52" s="50">
        <v>233491</v>
      </c>
      <c r="K52" s="34" t="s">
        <v>52</v>
      </c>
      <c r="L52" s="97" t="str">
        <f>VLOOKUP(C52,'Trips&amp;Operators'!$C$1:$E$9999,3,0)</f>
        <v>BARTLETT</v>
      </c>
      <c r="M52" s="141" t="s">
        <v>89</v>
      </c>
      <c r="N52" s="10"/>
      <c r="O52" s="34"/>
      <c r="P52" s="115" t="str">
        <f>VLOOKUP(C52,'Train Runs'!$A$13:$AE$186,31,0)</f>
        <v>aws s3 cp s3://rtdc.mdm.uploadarchive/RTDC4027/2016-08-15/ "%USERPROFILE%\AppData\Local\Temp\OnboardLogs"\RTDC4027\2016-08-15 --recursive &amp; "%USERPROFILE%\Documents\GitHub\mrs-test-scripts\Headless Mode &amp; Sideloading\WalkAndUnGZ.bat" "%USERPROFILE%\AppData\Local\Temp\OnboardLogs"\RTDC4027\2016-08-15 &amp; aws s3 cp s3://rtdc.mdm.uploadarchive/RTDC4027/2016-08-16/ "%USERPROFILE%\AppData\Local\Temp\OnboardLogs"\RTDC4027\2016-08-16 --recursive &amp; "%USERPROFILE%\Documents\GitHub\mrs-test-scripts\Headless Mode &amp; Sideloading\WalkAndUnGZ.bat" "%USERPROFILE%\AppData\Local\Temp\OnboardLogs"\RTDC4027\2016-08-16</v>
      </c>
      <c r="Q52" s="119" t="str">
        <f>VLOOKUP(C52,'Train Runs'!$A$13:$AE$186,22,0)</f>
        <v>https://search-rtdc-monitor-bjffxe2xuh6vdkpspy63sjmuny.us-east-1.es.amazonaws.com/_plugin/kibana/#/discover/Steve-Slow-Train-Analysis-(2080s-and-2083s)?_g=(refreshInterval:(display:Off,section:0,value:0),time:(from:'2016-08-15 13:49:06-0600',mode:absolute,to:'2016-08-15 16:28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52" s="122" t="str">
        <f t="shared" si="5"/>
        <v>"C:\Program Files (x86)\AstroGrep\AstroGrep.exe" /spath="%USERPROFILE%\AppData\Local\Temp\OnboardLogs" /stypes="*4027*201608152*" /stext=" 21:.+((SYSTEM_STATE.+slice.+state.+changed )|(ment ac)|(system.+state.+changed )|(\|lc)|(penalty)|(\[timeout)|(PRM\|1\|D)|(kpr)|(kdp)|(\|loc))" /e /r /s</v>
      </c>
      <c r="S52" s="9" t="str">
        <f t="shared" si="6"/>
        <v>4027</v>
      </c>
      <c r="T52" s="39">
        <f t="shared" si="7"/>
        <v>42597.894849537035</v>
      </c>
      <c r="U52" s="53" t="str">
        <f t="shared" si="8"/>
        <v>EC</v>
      </c>
      <c r="V52" s="53" t="str">
        <f t="shared" si="9"/>
        <v>KEEP</v>
      </c>
    </row>
    <row r="53" spans="1:22" x14ac:dyDescent="0.25">
      <c r="A53" s="39">
        <v>42597.663530092592</v>
      </c>
      <c r="B53" s="34" t="s">
        <v>186</v>
      </c>
      <c r="C53" s="34" t="s">
        <v>454</v>
      </c>
      <c r="D53" s="34" t="s">
        <v>49</v>
      </c>
      <c r="E53" s="34" t="s">
        <v>50</v>
      </c>
      <c r="F53" s="50">
        <v>0</v>
      </c>
      <c r="G53" s="50">
        <v>97</v>
      </c>
      <c r="H53" s="50">
        <v>233103</v>
      </c>
      <c r="I53" s="34" t="s">
        <v>51</v>
      </c>
      <c r="J53" s="50">
        <v>233491</v>
      </c>
      <c r="K53" s="34" t="s">
        <v>52</v>
      </c>
      <c r="L53" s="97" t="str">
        <f>VLOOKUP(C53,'Trips&amp;Operators'!$C$1:$E$9999,3,0)</f>
        <v>MAYBERRY</v>
      </c>
      <c r="M53" s="141" t="s">
        <v>89</v>
      </c>
      <c r="N53" s="10"/>
      <c r="O53" s="34"/>
      <c r="P53" s="115" t="str">
        <f>VLOOKUP(C53,'Train Runs'!$A$13:$AE$186,31,0)</f>
        <v>aws s3 cp s3://rtdc.mdm.uploadarchive/RTDC4038/2016-08-15/ "%USERPROFILE%\AppData\Local\Temp\OnboardLogs"\RTDC4038\2016-08-15 --recursive &amp; "%USERPROFILE%\Documents\GitHub\mrs-test-scripts\Headless Mode &amp; Sideloading\WalkAndUnGZ.bat" "%USERPROFILE%\AppData\Local\Temp\OnboardLogs"\RTDC4038\2016-08-15 &amp; 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</v>
      </c>
      <c r="Q53" s="119" t="str">
        <f>VLOOKUP(C53,'Train Runs'!$A$13:$AE$186,22,0)</f>
        <v>https://search-rtdc-monitor-bjffxe2xuh6vdkpspy63sjmuny.us-east-1.es.amazonaws.com/_plugin/kibana/#/discover/Steve-Slow-Train-Analysis-(2080s-and-2083s)?_g=(refreshInterval:(display:Off,section:0,value:0),time:(from:'2016-08-15 14:13:10-0600',mode:absolute,to:'2016-08-15 16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53" s="122" t="str">
        <f t="shared" si="5"/>
        <v>"C:\Program Files (x86)\AstroGrep\AstroGrep.exe" /spath="%USERPROFILE%\AppData\Local\Temp\OnboardLogs" /stypes="*4038*201608152*" /stext=" 21:.+((SYSTEM_STATE.+slice.+state.+changed )|(ment ac)|(system.+state.+changed )|(\|lc)|(penalty)|(\[timeout)|(PRM\|1\|D)|(kpr)|(kdp)|(\|loc))" /e /r /s</v>
      </c>
      <c r="S53" s="9" t="str">
        <f t="shared" si="6"/>
        <v>4038</v>
      </c>
      <c r="T53" s="39">
        <f t="shared" si="7"/>
        <v>42597.913530092592</v>
      </c>
      <c r="U53" s="53" t="str">
        <f t="shared" si="8"/>
        <v>EC</v>
      </c>
      <c r="V53" s="53" t="str">
        <f t="shared" si="9"/>
        <v>KEEP</v>
      </c>
    </row>
    <row r="54" spans="1:22" x14ac:dyDescent="0.25">
      <c r="A54" s="39">
        <v>42597.707013888888</v>
      </c>
      <c r="B54" s="34" t="s">
        <v>270</v>
      </c>
      <c r="C54" s="34" t="s">
        <v>463</v>
      </c>
      <c r="D54" s="34" t="s">
        <v>49</v>
      </c>
      <c r="E54" s="34" t="s">
        <v>50</v>
      </c>
      <c r="F54" s="50">
        <v>0</v>
      </c>
      <c r="G54" s="50">
        <v>163</v>
      </c>
      <c r="H54" s="50">
        <v>232750</v>
      </c>
      <c r="I54" s="34" t="s">
        <v>51</v>
      </c>
      <c r="J54" s="50">
        <v>233491</v>
      </c>
      <c r="K54" s="34" t="s">
        <v>52</v>
      </c>
      <c r="L54" s="97" t="str">
        <f>VLOOKUP(C54,'Trips&amp;Operators'!$C$1:$E$9999,3,0)</f>
        <v>STEWART</v>
      </c>
      <c r="M54" s="141" t="s">
        <v>89</v>
      </c>
      <c r="N54" s="10"/>
      <c r="O54" s="34"/>
      <c r="P54" s="115" t="str">
        <f>VLOOKUP(C54,'Train Runs'!$A$13:$AE$186,31,0)</f>
        <v>aws s3 cp s3://rtdc.mdm.uploadarchive/RTDC4044/2016-08-15/ "%USERPROFILE%\AppData\Local\Temp\OnboardLogs"\RTDC4044\2016-08-15 --recursive &amp; "%USERPROFILE%\Documents\GitHub\mrs-test-scripts\Headless Mode &amp; Sideloading\WalkAndUnGZ.bat" "%USERPROFILE%\AppData\Local\Temp\OnboardLogs"\RTDC4044\2016-08-15 &amp; 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</v>
      </c>
      <c r="Q54" s="119" t="str">
        <f>VLOOKUP(C54,'Train Runs'!$A$13:$AE$186,22,0)</f>
        <v>https://search-rtdc-monitor-bjffxe2xuh6vdkpspy63sjmuny.us-east-1.es.amazonaws.com/_plugin/kibana/#/discover/Steve-Slow-Train-Analysis-(2080s-and-2083s)?_g=(refreshInterval:(display:Off,section:0,value:0),time:(from:'2016-08-15 15:13:37-0600',mode:absolute,to:'2016-08-15 18:00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</c>
      <c r="R54" s="122" t="str">
        <f t="shared" si="5"/>
        <v>"C:\Program Files (x86)\AstroGrep\AstroGrep.exe" /spath="%USERPROFILE%\AppData\Local\Temp\OnboardLogs" /stypes="*4044*201608152*" /stext=" 22:.+((SYSTEM_STATE.+slice.+state.+changed )|(ment ac)|(system.+state.+changed )|(\|lc)|(penalty)|(\[timeout)|(PRM\|1\|D)|(kpr)|(kdp)|(\|loc))" /e /r /s</v>
      </c>
      <c r="S54" s="9" t="str">
        <f t="shared" si="6"/>
        <v>4044</v>
      </c>
      <c r="T54" s="39">
        <f t="shared" si="7"/>
        <v>42597.957013888888</v>
      </c>
      <c r="U54" s="53" t="str">
        <f t="shared" si="8"/>
        <v>EC</v>
      </c>
      <c r="V54" s="53" t="str">
        <f t="shared" si="9"/>
        <v>KEEP</v>
      </c>
    </row>
    <row r="55" spans="1:22" x14ac:dyDescent="0.25">
      <c r="A55" s="39">
        <v>42597.802546296298</v>
      </c>
      <c r="B55" s="34" t="s">
        <v>93</v>
      </c>
      <c r="C55" s="34" t="s">
        <v>638</v>
      </c>
      <c r="D55" s="34" t="s">
        <v>116</v>
      </c>
      <c r="E55" s="34" t="s">
        <v>56</v>
      </c>
      <c r="F55" s="50">
        <v>400</v>
      </c>
      <c r="G55" s="50">
        <v>452</v>
      </c>
      <c r="H55" s="50">
        <v>39189</v>
      </c>
      <c r="I55" s="34" t="s">
        <v>57</v>
      </c>
      <c r="J55" s="50">
        <v>40977</v>
      </c>
      <c r="K55" s="34" t="s">
        <v>53</v>
      </c>
      <c r="L55" s="97" t="str">
        <f>VLOOKUP(C55,'Trips&amp;Operators'!$C$1:$E$9999,3,0)</f>
        <v>STORY</v>
      </c>
      <c r="M55" s="141" t="s">
        <v>89</v>
      </c>
      <c r="N55" s="10"/>
      <c r="O55" s="34"/>
      <c r="P55" s="115" t="e">
        <f>VLOOKUP(C55,'Train Runs'!$A$13:$AE$186,31,0)</f>
        <v>#N/A</v>
      </c>
      <c r="Q55" s="119" t="e">
        <f>VLOOKUP(C55,'Train Runs'!$A$13:$AE$186,22,0)</f>
        <v>#N/A</v>
      </c>
      <c r="R55" s="122" t="str">
        <f t="shared" si="5"/>
        <v>"C:\Program Files (x86)\AstroGrep\AstroGrep.exe" /spath="%USERPROFILE%\AppData\Local\Temp\OnboardLogs" /stypes="*4013*201608160*" /stext=" 01:.+((SYSTEM_STATE.+slice.+state.+changed )|(ment ac)|(system.+state.+changed )|(\|lc)|(penalty)|(\[timeout)|(PRM\|1\|D)|(kpr)|(kdp)|(\|loc))" /e /r /s</v>
      </c>
      <c r="S55" s="9" t="str">
        <f t="shared" si="6"/>
        <v>4013</v>
      </c>
      <c r="T55" s="39">
        <f t="shared" si="7"/>
        <v>42598.052546296298</v>
      </c>
      <c r="U55" s="53" t="str">
        <f t="shared" si="8"/>
        <v>GL</v>
      </c>
      <c r="V55" s="53" t="str">
        <f t="shared" si="9"/>
        <v>KEEP</v>
      </c>
    </row>
    <row r="56" spans="1:22" x14ac:dyDescent="0.25">
      <c r="A56" s="39">
        <v>42597.644108796296</v>
      </c>
      <c r="B56" s="34" t="s">
        <v>93</v>
      </c>
      <c r="C56" s="34" t="s">
        <v>635</v>
      </c>
      <c r="D56" s="34" t="s">
        <v>49</v>
      </c>
      <c r="E56" s="34" t="s">
        <v>50</v>
      </c>
      <c r="F56" s="50">
        <v>0</v>
      </c>
      <c r="G56" s="50">
        <v>18</v>
      </c>
      <c r="H56" s="50">
        <v>43</v>
      </c>
      <c r="I56" s="34" t="s">
        <v>51</v>
      </c>
      <c r="J56" s="50">
        <v>1</v>
      </c>
      <c r="K56" s="34" t="s">
        <v>53</v>
      </c>
      <c r="L56" s="97" t="str">
        <f>VLOOKUP(C56,'Trips&amp;Operators'!$C$1:$E$9999,3,0)</f>
        <v>STORY</v>
      </c>
      <c r="M56" s="141" t="s">
        <v>89</v>
      </c>
      <c r="N56" s="10"/>
      <c r="O56" s="34"/>
      <c r="P56" s="115" t="e">
        <f>VLOOKUP(C56,'Train Runs'!$A$13:$AE$186,31,0)</f>
        <v>#N/A</v>
      </c>
      <c r="Q56" s="119" t="e">
        <f>VLOOKUP(C56,'Train Runs'!$A$13:$AE$186,22,0)</f>
        <v>#N/A</v>
      </c>
      <c r="R56" s="122" t="str">
        <f t="shared" si="5"/>
        <v>"C:\Program Files (x86)\AstroGrep\AstroGrep.exe" /spath="%USERPROFILE%\AppData\Local\Temp\OnboardLogs" /stypes="*4013*201608152*" /stext=" 21:.+((SYSTEM_STATE.+slice.+state.+changed )|(ment ac)|(system.+state.+changed )|(\|lc)|(penalty)|(\[timeout)|(PRM\|1\|D)|(kpr)|(kdp)|(\|loc))" /e /r /s</v>
      </c>
      <c r="S56" s="9" t="str">
        <f t="shared" si="6"/>
        <v>4013</v>
      </c>
      <c r="T56" s="39">
        <f t="shared" si="7"/>
        <v>42597.894108796296</v>
      </c>
      <c r="U56" s="53" t="str">
        <f t="shared" si="8"/>
        <v>GL</v>
      </c>
      <c r="V56" s="53" t="str">
        <f t="shared" si="9"/>
        <v>KEEP</v>
      </c>
    </row>
    <row r="57" spans="1:22" x14ac:dyDescent="0.25">
      <c r="A57" s="39">
        <v>42597.269444444442</v>
      </c>
      <c r="B57" s="34" t="s">
        <v>323</v>
      </c>
      <c r="C57" s="34" t="s">
        <v>537</v>
      </c>
      <c r="D57" s="34" t="s">
        <v>116</v>
      </c>
      <c r="E57" s="34" t="s">
        <v>56</v>
      </c>
      <c r="F57" s="50">
        <v>150</v>
      </c>
      <c r="G57" s="50">
        <v>207</v>
      </c>
      <c r="H57" s="50">
        <v>5342</v>
      </c>
      <c r="I57" s="34" t="s">
        <v>57</v>
      </c>
      <c r="J57" s="50">
        <v>0</v>
      </c>
      <c r="K57" s="34" t="s">
        <v>52</v>
      </c>
      <c r="L57" s="97" t="str">
        <f>VLOOKUP(C57,'Trips&amp;Operators'!$C$1:$E$9999,3,0)</f>
        <v>ROCHA</v>
      </c>
      <c r="M57" s="141" t="s">
        <v>89</v>
      </c>
      <c r="N57" s="10"/>
      <c r="O57" s="34"/>
      <c r="P57" s="115" t="str">
        <f>VLOOKUP(C57,'Train Runs'!$A$13:$AE$186,31,0)</f>
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</c>
      <c r="Q57" s="119" t="str">
        <f>VLOOKUP(C57,'Train Runs'!$A$13:$AE$186,22,0)</f>
        <v>https://search-rtdc-monitor-bjffxe2xuh6vdkpspy63sjmuny.us-east-1.es.amazonaws.com/_plugin/kibana/#/discover/Steve-Slow-Train-Analysis-(2080s-and-2083s)?_g=(refreshInterval:(display:Off,section:0,value:0),time:(from:'2016-08-15 05:22:20-0600',mode:absolute,to:'2016-08-15 07:43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57" s="122" t="str">
        <f t="shared" si="5"/>
        <v>"C:\Program Files (x86)\AstroGrep\AstroGrep.exe" /spath="%USERPROFILE%\AppData\Local\Temp\OnboardLogs" /stypes="*4016*201608151*" /stext=" 12:.+((SYSTEM_STATE.+slice.+state.+changed )|(ment ac)|(system.+state.+changed )|(\|lc)|(penalty)|(\[timeout)|(PRM\|1\|D)|(kpr)|(kdp)|(\|loc))" /e /r /s</v>
      </c>
      <c r="S57" s="9" t="str">
        <f t="shared" si="6"/>
        <v>4016</v>
      </c>
      <c r="T57" s="39">
        <f t="shared" si="7"/>
        <v>42597.519444444442</v>
      </c>
      <c r="U57" s="53" t="str">
        <f t="shared" si="8"/>
        <v>NW</v>
      </c>
      <c r="V57" s="53" t="str">
        <f t="shared" si="9"/>
        <v>KEEP</v>
      </c>
    </row>
    <row r="58" spans="1:22" x14ac:dyDescent="0.25">
      <c r="A58" s="39">
        <v>42597.682847222219</v>
      </c>
      <c r="B58" s="34" t="s">
        <v>93</v>
      </c>
      <c r="C58" s="34" t="s">
        <v>595</v>
      </c>
      <c r="D58" s="34" t="s">
        <v>49</v>
      </c>
      <c r="E58" s="34" t="s">
        <v>56</v>
      </c>
      <c r="F58" s="50">
        <v>200</v>
      </c>
      <c r="G58" s="50">
        <v>292</v>
      </c>
      <c r="H58" s="50">
        <v>7289</v>
      </c>
      <c r="I58" s="34" t="s">
        <v>57</v>
      </c>
      <c r="J58" s="50">
        <v>5990</v>
      </c>
      <c r="K58" s="34" t="s">
        <v>53</v>
      </c>
      <c r="L58" s="97" t="str">
        <f>VLOOKUP(C58,'Trips&amp;Operators'!$C$1:$E$9999,3,0)</f>
        <v>STORY</v>
      </c>
      <c r="M58" s="141" t="s">
        <v>89</v>
      </c>
      <c r="N58" s="10"/>
      <c r="O58" s="34"/>
      <c r="P58" s="115" t="str">
        <f>VLOOKUP(C58,'Train Runs'!$A$13:$AE$186,31,0)</f>
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</c>
      <c r="Q58" s="119" t="str">
        <f>VLOOKUP(C58,'Train Runs'!$A$13:$AE$186,22,0)</f>
        <v>https://search-rtdc-monitor-bjffxe2xuh6vdkpspy63sjmuny.us-east-1.es.amazonaws.com/_plugin/kibana/#/discover/Steve-Slow-Train-Analysis-(2080s-and-2083s)?_g=(refreshInterval:(display:Off,section:0,value:0),time:(from:'2016-08-15 15:10:57-0600',mode:absolute,to:'2016-08-15 17:26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58" s="122" t="str">
        <f t="shared" si="5"/>
        <v>"C:\Program Files (x86)\AstroGrep\AstroGrep.exe" /spath="%USERPROFILE%\AppData\Local\Temp\OnboardLogs" /stypes="*4013*201608152*" /stext=" 22:.+((SYSTEM_STATE.+slice.+state.+changed )|(ment ac)|(system.+state.+changed )|(\|lc)|(penalty)|(\[timeout)|(PRM\|1\|D)|(kpr)|(kdp)|(\|loc))" /e /r /s</v>
      </c>
      <c r="S58" s="9" t="str">
        <f t="shared" si="6"/>
        <v>4013</v>
      </c>
      <c r="T58" s="39">
        <f t="shared" si="7"/>
        <v>42597.932847222219</v>
      </c>
      <c r="U58" s="53" t="str">
        <f t="shared" si="8"/>
        <v>NW</v>
      </c>
      <c r="V58" s="53" t="str">
        <f t="shared" si="9"/>
        <v>KEEP</v>
      </c>
    </row>
    <row r="59" spans="1:22" x14ac:dyDescent="0.25">
      <c r="A59" s="39">
        <v>42597.91196759259</v>
      </c>
      <c r="B59" s="34" t="s">
        <v>111</v>
      </c>
      <c r="C59" s="34" t="s">
        <v>628</v>
      </c>
      <c r="D59" s="34" t="s">
        <v>49</v>
      </c>
      <c r="E59" s="34" t="s">
        <v>56</v>
      </c>
      <c r="F59" s="50">
        <v>200</v>
      </c>
      <c r="G59" s="50">
        <v>393</v>
      </c>
      <c r="H59" s="50">
        <v>8180</v>
      </c>
      <c r="I59" s="34" t="s">
        <v>57</v>
      </c>
      <c r="J59" s="50">
        <v>5990</v>
      </c>
      <c r="K59" s="34" t="s">
        <v>643</v>
      </c>
      <c r="L59" s="97" t="str">
        <f>VLOOKUP(C59,'Trips&amp;Operators'!$C$1:$E$9999,3,0)</f>
        <v>STORY</v>
      </c>
      <c r="M59" s="141" t="s">
        <v>89</v>
      </c>
      <c r="N59" s="10"/>
      <c r="O59" s="34"/>
      <c r="P59" s="115" t="e">
        <f>VLOOKUP(C59,'Train Runs'!$A$13:$AE$186,31,0)</f>
        <v>#N/A</v>
      </c>
      <c r="Q59" s="119" t="e">
        <f>VLOOKUP(C59,'Train Runs'!$A$13:$AE$186,22,0)</f>
        <v>#N/A</v>
      </c>
      <c r="R59" s="122" t="str">
        <f t="shared" si="5"/>
        <v>"C:\Program Files (x86)\AstroGrep\AstroGrep.exe" /spath="%USERPROFILE%\AppData\Local\Temp\OnboardLogs" /stypes="*4015*201608160*" /stext=" 03:.+((SYSTEM_STATE.+slice.+state.+changed )|(ment ac)|(system.+state.+changed )|(\|lc)|(penalty)|(\[timeout)|(PRM\|1\|D)|(kpr)|(kdp)|(\|loc))" /e /r /s</v>
      </c>
      <c r="S59" s="9" t="str">
        <f t="shared" si="6"/>
        <v>4015</v>
      </c>
      <c r="T59" s="39">
        <f t="shared" si="7"/>
        <v>42598.16196759259</v>
      </c>
      <c r="U59" s="53" t="str">
        <f t="shared" si="8"/>
        <v>NW</v>
      </c>
      <c r="V59" s="53" t="str">
        <f t="shared" si="9"/>
        <v>KEEP</v>
      </c>
    </row>
    <row r="60" spans="1:22" x14ac:dyDescent="0.25">
      <c r="A60" s="39">
        <v>42597.518553240741</v>
      </c>
      <c r="B60" s="34" t="s">
        <v>323</v>
      </c>
      <c r="C60" s="34" t="s">
        <v>576</v>
      </c>
      <c r="D60" s="34" t="s">
        <v>49</v>
      </c>
      <c r="E60" s="34" t="s">
        <v>56</v>
      </c>
      <c r="F60" s="50">
        <v>300</v>
      </c>
      <c r="G60" s="50">
        <v>381</v>
      </c>
      <c r="H60" s="50">
        <v>20263</v>
      </c>
      <c r="I60" s="34" t="s">
        <v>57</v>
      </c>
      <c r="J60" s="50">
        <v>21314</v>
      </c>
      <c r="K60" s="34" t="s">
        <v>52</v>
      </c>
      <c r="L60" s="97" t="str">
        <f>VLOOKUP(C60,'Trips&amp;Operators'!$C$1:$E$9999,3,0)</f>
        <v>ROCHA</v>
      </c>
      <c r="M60" s="141" t="s">
        <v>89</v>
      </c>
      <c r="N60" s="10"/>
      <c r="O60" s="34"/>
      <c r="P60" s="115" t="str">
        <f>VLOOKUP(C60,'Train Runs'!$A$13:$AE$186,31,0)</f>
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</c>
      <c r="Q60" s="119" t="str">
        <f>VLOOKUP(C60,'Train Runs'!$A$13:$AE$186,22,0)</f>
        <v>https://search-rtdc-monitor-bjffxe2xuh6vdkpspy63sjmuny.us-east-1.es.amazonaws.com/_plugin/kibana/#/discover/Steve-Slow-Train-Analysis-(2080s-and-2083s)?_g=(refreshInterval:(display:Off,section:0,value:0),time:(from:'2016-08-15 10:58:09-0600',mode:absolute,to:'2016-08-15 13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60" s="122" t="str">
        <f t="shared" si="5"/>
        <v>"C:\Program Files (x86)\AstroGrep\AstroGrep.exe" /spath="%USERPROFILE%\AppData\Local\Temp\OnboardLogs" /stypes="*4016*201608151*" /stext=" 18:.+((SYSTEM_STATE.+slice.+state.+changed )|(ment ac)|(system.+state.+changed )|(\|lc)|(penalty)|(\[timeout)|(PRM\|1\|D)|(kpr)|(kdp)|(\|loc))" /e /r /s</v>
      </c>
      <c r="S60" s="9" t="str">
        <f t="shared" si="6"/>
        <v>4016</v>
      </c>
      <c r="T60" s="39">
        <f t="shared" si="7"/>
        <v>42597.768553240741</v>
      </c>
      <c r="U60" s="53" t="str">
        <f t="shared" si="8"/>
        <v>NW</v>
      </c>
      <c r="V60" s="53" t="str">
        <f t="shared" si="9"/>
        <v>KEEP</v>
      </c>
    </row>
    <row r="61" spans="1:22" x14ac:dyDescent="0.25">
      <c r="A61" s="39">
        <v>42597.688784722224</v>
      </c>
      <c r="B61" s="34" t="s">
        <v>323</v>
      </c>
      <c r="C61" s="34" t="s">
        <v>598</v>
      </c>
      <c r="D61" s="34" t="s">
        <v>116</v>
      </c>
      <c r="E61" s="34" t="s">
        <v>56</v>
      </c>
      <c r="F61" s="50">
        <v>400</v>
      </c>
      <c r="G61" s="50">
        <v>450</v>
      </c>
      <c r="H61" s="50">
        <v>43968</v>
      </c>
      <c r="I61" s="34" t="s">
        <v>57</v>
      </c>
      <c r="J61" s="50">
        <v>41797</v>
      </c>
      <c r="K61" s="34" t="s">
        <v>52</v>
      </c>
      <c r="L61" s="97" t="str">
        <f>VLOOKUP(C61,'Trips&amp;Operators'!$C$1:$E$9999,3,0)</f>
        <v>BRUDER</v>
      </c>
      <c r="M61" s="141" t="s">
        <v>89</v>
      </c>
      <c r="N61" s="10"/>
      <c r="O61" s="34"/>
      <c r="P61" s="115" t="e">
        <f>VLOOKUP(C61,'Train Runs'!$A$13:$AE$186,31,0)</f>
        <v>#N/A</v>
      </c>
      <c r="Q61" s="119" t="e">
        <f>VLOOKUP(C61,'Train Runs'!$A$13:$AE$186,22,0)</f>
        <v>#N/A</v>
      </c>
      <c r="R61" s="122" t="str">
        <f t="shared" si="5"/>
        <v>"C:\Program Files (x86)\AstroGrep\AstroGrep.exe" /spath="%USERPROFILE%\AppData\Local\Temp\OnboardLogs" /stypes="*4016*201608152*" /stext=" 22:.+((SYSTEM_STATE.+slice.+state.+changed )|(ment ac)|(system.+state.+changed )|(\|lc)|(penalty)|(\[timeout)|(PRM\|1\|D)|(kpr)|(kdp)|(\|loc))" /e /r /s</v>
      </c>
      <c r="S61" s="9" t="str">
        <f t="shared" si="6"/>
        <v>4016</v>
      </c>
      <c r="T61" s="39">
        <f t="shared" si="7"/>
        <v>42597.938784722224</v>
      </c>
      <c r="U61" s="53" t="str">
        <f t="shared" si="8"/>
        <v>NW</v>
      </c>
      <c r="V61" s="53" t="str">
        <f t="shared" si="9"/>
        <v>KEEP</v>
      </c>
    </row>
    <row r="62" spans="1:22" x14ac:dyDescent="0.25">
      <c r="A62" s="39">
        <v>42597.719537037039</v>
      </c>
      <c r="B62" s="34" t="s">
        <v>93</v>
      </c>
      <c r="C62" s="34" t="s">
        <v>606</v>
      </c>
      <c r="D62" s="34" t="s">
        <v>49</v>
      </c>
      <c r="E62" s="34" t="s">
        <v>56</v>
      </c>
      <c r="F62" s="50">
        <v>400</v>
      </c>
      <c r="G62" s="50">
        <v>510</v>
      </c>
      <c r="H62" s="50">
        <v>51740</v>
      </c>
      <c r="I62" s="34" t="s">
        <v>57</v>
      </c>
      <c r="J62" s="50">
        <v>49775</v>
      </c>
      <c r="K62" s="34" t="s">
        <v>53</v>
      </c>
      <c r="L62" s="97" t="str">
        <f>VLOOKUP(C62,'Trips&amp;Operators'!$C$1:$E$9999,3,0)</f>
        <v>STORY</v>
      </c>
      <c r="M62" s="141" t="s">
        <v>89</v>
      </c>
      <c r="N62" s="10"/>
      <c r="O62" s="34"/>
      <c r="P62" s="115" t="e">
        <f>VLOOKUP(C62,'Train Runs'!$A$13:$AE$186,31,0)</f>
        <v>#N/A</v>
      </c>
      <c r="Q62" s="119" t="e">
        <f>VLOOKUP(C62,'Train Runs'!$A$13:$AE$186,22,0)</f>
        <v>#N/A</v>
      </c>
      <c r="R62" s="122" t="str">
        <f t="shared" si="5"/>
        <v>"C:\Program Files (x86)\AstroGrep\AstroGrep.exe" /spath="%USERPROFILE%\AppData\Local\Temp\OnboardLogs" /stypes="*4013*201608152*" /stext=" 23:.+((SYSTEM_STATE.+slice.+state.+changed )|(ment ac)|(system.+state.+changed )|(\|lc)|(penalty)|(\[timeout)|(PRM\|1\|D)|(kpr)|(kdp)|(\|loc))" /e /r /s</v>
      </c>
      <c r="S62" s="9" t="str">
        <f t="shared" si="6"/>
        <v>4013</v>
      </c>
      <c r="T62" s="39">
        <f t="shared" si="7"/>
        <v>42597.969537037039</v>
      </c>
      <c r="U62" s="53" t="str">
        <f t="shared" si="8"/>
        <v>NW</v>
      </c>
      <c r="V62" s="53" t="str">
        <f t="shared" si="9"/>
        <v>KEEP</v>
      </c>
    </row>
    <row r="63" spans="1:22" x14ac:dyDescent="0.25">
      <c r="A63" s="39">
        <v>42597.277962962966</v>
      </c>
      <c r="B63" s="34" t="s">
        <v>323</v>
      </c>
      <c r="C63" s="34" t="s">
        <v>537</v>
      </c>
      <c r="D63" s="34" t="s">
        <v>49</v>
      </c>
      <c r="E63" s="34" t="s">
        <v>56</v>
      </c>
      <c r="F63" s="50">
        <v>150</v>
      </c>
      <c r="G63" s="50">
        <v>316</v>
      </c>
      <c r="H63" s="50">
        <v>56266</v>
      </c>
      <c r="I63" s="34" t="s">
        <v>57</v>
      </c>
      <c r="J63" s="50">
        <v>57008</v>
      </c>
      <c r="K63" s="34" t="s">
        <v>52</v>
      </c>
      <c r="L63" s="97" t="str">
        <f>VLOOKUP(C63,'Trips&amp;Operators'!$C$1:$E$9999,3,0)</f>
        <v>ROCHA</v>
      </c>
      <c r="M63" s="141" t="s">
        <v>89</v>
      </c>
      <c r="N63" s="10"/>
      <c r="O63" s="34"/>
      <c r="P63" s="115" t="str">
        <f>VLOOKUP(C63,'Train Runs'!$A$13:$AE$186,31,0)</f>
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</c>
      <c r="Q63" s="119" t="str">
        <f>VLOOKUP(C63,'Train Runs'!$A$13:$AE$186,22,0)</f>
        <v>https://search-rtdc-monitor-bjffxe2xuh6vdkpspy63sjmuny.us-east-1.es.amazonaws.com/_plugin/kibana/#/discover/Steve-Slow-Train-Analysis-(2080s-and-2083s)?_g=(refreshInterval:(display:Off,section:0,value:0),time:(from:'2016-08-15 05:22:20-0600',mode:absolute,to:'2016-08-15 07:43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63" s="122" t="str">
        <f t="shared" si="5"/>
        <v>"C:\Program Files (x86)\AstroGrep\AstroGrep.exe" /spath="%USERPROFILE%\AppData\Local\Temp\OnboardLogs" /stypes="*4016*201608151*" /stext=" 12:.+((SYSTEM_STATE.+slice.+state.+changed )|(ment ac)|(system.+state.+changed )|(\|lc)|(penalty)|(\[timeout)|(PRM\|1\|D)|(kpr)|(kdp)|(\|loc))" /e /r /s</v>
      </c>
      <c r="S63" s="9" t="str">
        <f t="shared" si="6"/>
        <v>4016</v>
      </c>
      <c r="T63" s="39">
        <f t="shared" si="7"/>
        <v>42597.527962962966</v>
      </c>
      <c r="U63" s="53" t="str">
        <f t="shared" si="8"/>
        <v>NW</v>
      </c>
      <c r="V63" s="53" t="str">
        <f t="shared" si="9"/>
        <v>KEEP</v>
      </c>
    </row>
    <row r="64" spans="1:22" ht="15" customHeight="1" x14ac:dyDescent="0.25">
      <c r="A64" s="39">
        <v>42597.605787037035</v>
      </c>
      <c r="B64" s="34" t="s">
        <v>323</v>
      </c>
      <c r="C64" s="34" t="s">
        <v>585</v>
      </c>
      <c r="D64" s="34" t="s">
        <v>49</v>
      </c>
      <c r="E64" s="34" t="s">
        <v>56</v>
      </c>
      <c r="F64" s="50">
        <v>150</v>
      </c>
      <c r="G64" s="50">
        <v>349</v>
      </c>
      <c r="H64" s="50">
        <v>55820</v>
      </c>
      <c r="I64" s="34" t="s">
        <v>57</v>
      </c>
      <c r="J64" s="50">
        <v>57008</v>
      </c>
      <c r="K64" s="34" t="s">
        <v>52</v>
      </c>
      <c r="L64" s="97" t="str">
        <f>VLOOKUP(C64,'Trips&amp;Operators'!$C$1:$E$9999,3,0)</f>
        <v>BRUDER</v>
      </c>
      <c r="M64" s="141" t="s">
        <v>89</v>
      </c>
      <c r="N64" s="10"/>
      <c r="O64" s="34"/>
      <c r="P64" s="115" t="str">
        <f>VLOOKUP(C64,'Train Runs'!$A$13:$AE$186,31,0)</f>
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</c>
      <c r="Q64" s="119" t="str">
        <f>VLOOKUP(C64,'Train Runs'!$A$13:$AE$186,22,0)</f>
        <v>https://search-rtdc-monitor-bjffxe2xuh6vdkpspy63sjmuny.us-east-1.es.amazonaws.com/_plugin/kibana/#/discover/Steve-Slow-Train-Analysis-(2080s-and-2083s)?_g=(refreshInterval:(display:Off,section:0,value:0),time:(from:'2016-08-15 13:14:53-0600',mode:absolute,to:'2016-08-15 15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64" s="122" t="str">
        <f t="shared" si="5"/>
        <v>"C:\Program Files (x86)\AstroGrep\AstroGrep.exe" /spath="%USERPROFILE%\AppData\Local\Temp\OnboardLogs" /stypes="*4016*201608152*" /stext=" 20:.+((SYSTEM_STATE.+slice.+state.+changed )|(ment ac)|(system.+state.+changed )|(\|lc)|(penalty)|(\[timeout)|(PRM\|1\|D)|(kpr)|(kdp)|(\|loc))" /e /r /s</v>
      </c>
      <c r="S64" s="9" t="str">
        <f t="shared" si="6"/>
        <v>4016</v>
      </c>
      <c r="T64" s="39">
        <f t="shared" si="7"/>
        <v>42597.855787037035</v>
      </c>
      <c r="U64" s="53" t="str">
        <f t="shared" si="8"/>
        <v>NW</v>
      </c>
      <c r="V64" s="53" t="str">
        <f t="shared" si="9"/>
        <v>KEEP</v>
      </c>
    </row>
    <row r="65" spans="1:22" x14ac:dyDescent="0.25">
      <c r="A65" s="39">
        <v>42597.669953703706</v>
      </c>
      <c r="B65" s="34" t="s">
        <v>118</v>
      </c>
      <c r="C65" s="34" t="s">
        <v>592</v>
      </c>
      <c r="D65" s="34" t="s">
        <v>49</v>
      </c>
      <c r="E65" s="34" t="s">
        <v>56</v>
      </c>
      <c r="F65" s="50">
        <v>150</v>
      </c>
      <c r="G65" s="50">
        <v>315</v>
      </c>
      <c r="H65" s="50">
        <v>56219</v>
      </c>
      <c r="I65" s="34" t="s">
        <v>57</v>
      </c>
      <c r="J65" s="50">
        <v>57008</v>
      </c>
      <c r="K65" s="34" t="s">
        <v>52</v>
      </c>
      <c r="L65" s="97" t="str">
        <f>VLOOKUP(C65,'Trips&amp;Operators'!$C$1:$E$9999,3,0)</f>
        <v>STORY</v>
      </c>
      <c r="M65" s="141" t="s">
        <v>89</v>
      </c>
      <c r="N65" s="10"/>
      <c r="O65" s="34"/>
      <c r="P65" s="115" t="str">
        <f>VLOOKUP(C65,'Train Runs'!$A$13:$AE$186,31,0)</f>
        <v>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 &amp; 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</v>
      </c>
      <c r="Q65" s="119" t="str">
        <f>VLOOKUP(C65,'Train Runs'!$A$13:$AE$186,22,0)</f>
        <v>https://search-rtdc-monitor-bjffxe2xuh6vdkpspy63sjmuny.us-east-1.es.amazonaws.com/_plugin/kibana/#/discover/Steve-Slow-Train-Analysis-(2080s-and-2083s)?_g=(refreshInterval:(display:Off,section:0,value:0),time:(from:'2016-08-15 14:45:30-0600',mode:absolute,to:'2016-08-15 17:07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65" s="122" t="str">
        <f t="shared" si="5"/>
        <v>"C:\Program Files (x86)\AstroGrep\AstroGrep.exe" /spath="%USERPROFILE%\AppData\Local\Temp\OnboardLogs" /stypes="*4014*201608152*" /stext=" 22:.+((SYSTEM_STATE.+slice.+state.+changed )|(ment ac)|(system.+state.+changed )|(\|lc)|(penalty)|(\[timeout)|(PRM\|1\|D)|(kpr)|(kdp)|(\|loc))" /e /r /s</v>
      </c>
      <c r="S65" s="9" t="str">
        <f t="shared" si="6"/>
        <v>4014</v>
      </c>
      <c r="T65" s="39">
        <f t="shared" si="7"/>
        <v>42597.919953703706</v>
      </c>
      <c r="U65" s="53" t="str">
        <f t="shared" si="8"/>
        <v>NW</v>
      </c>
      <c r="V65" s="53" t="str">
        <f t="shared" si="9"/>
        <v>KEEP</v>
      </c>
    </row>
    <row r="66" spans="1:22" x14ac:dyDescent="0.25">
      <c r="A66" s="39">
        <v>42597.530856481484</v>
      </c>
      <c r="B66" s="34" t="s">
        <v>111</v>
      </c>
      <c r="C66" s="34" t="s">
        <v>579</v>
      </c>
      <c r="D66" s="34" t="s">
        <v>116</v>
      </c>
      <c r="E66" s="34" t="s">
        <v>56</v>
      </c>
      <c r="F66" s="50">
        <v>150</v>
      </c>
      <c r="G66" s="50">
        <v>201</v>
      </c>
      <c r="H66" s="50">
        <v>56682</v>
      </c>
      <c r="I66" s="34" t="s">
        <v>57</v>
      </c>
      <c r="J66" s="50">
        <v>59050</v>
      </c>
      <c r="K66" s="34" t="s">
        <v>53</v>
      </c>
      <c r="L66" s="97" t="str">
        <f>VLOOKUP(C66,'Trips&amp;Operators'!$C$1:$E$9999,3,0)</f>
        <v>ROCHA</v>
      </c>
      <c r="M66" s="141" t="s">
        <v>89</v>
      </c>
      <c r="N66" s="10"/>
      <c r="O66" s="34"/>
      <c r="P66" s="115" t="str">
        <f>VLOOKUP(C66,'Train Runs'!$A$13:$AE$186,31,0)</f>
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</c>
      <c r="Q66" s="119" t="str">
        <f>VLOOKUP(C66,'Train Runs'!$A$13:$AE$186,22,0)</f>
        <v>https://search-rtdc-monitor-bjffxe2xuh6vdkpspy63sjmuny.us-east-1.es.amazonaws.com/_plugin/kibana/#/discover/Steve-Slow-Train-Analysis-(2080s-and-2083s)?_g=(refreshInterval:(display:Off,section:0,value:0),time:(from:'2016-08-15 11:40:03-0600',mode:absolute,to:'2016-08-15 13:56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66" s="122" t="str">
        <f t="shared" si="5"/>
        <v>"C:\Program Files (x86)\AstroGrep\AstroGrep.exe" /spath="%USERPROFILE%\AppData\Local\Temp\OnboardLogs" /stypes="*4015*201608151*" /stext=" 18:.+((SYSTEM_STATE.+slice.+state.+changed )|(ment ac)|(system.+state.+changed )|(\|lc)|(penalty)|(\[timeout)|(PRM\|1\|D)|(kpr)|(kdp)|(\|loc))" /e /r /s</v>
      </c>
      <c r="S66" s="9" t="str">
        <f t="shared" si="6"/>
        <v>4015</v>
      </c>
      <c r="T66" s="39">
        <f t="shared" si="7"/>
        <v>42597.780856481484</v>
      </c>
      <c r="U66" s="53" t="str">
        <f t="shared" si="8"/>
        <v>NW</v>
      </c>
      <c r="V66" s="53" t="str">
        <f t="shared" si="9"/>
        <v>KEEP</v>
      </c>
    </row>
    <row r="67" spans="1:22" x14ac:dyDescent="0.25">
      <c r="A67" s="39">
        <v>42597.676608796297</v>
      </c>
      <c r="B67" s="34" t="s">
        <v>93</v>
      </c>
      <c r="C67" s="34" t="s">
        <v>595</v>
      </c>
      <c r="D67" s="34" t="s">
        <v>116</v>
      </c>
      <c r="E67" s="34" t="s">
        <v>56</v>
      </c>
      <c r="F67" s="50">
        <v>150</v>
      </c>
      <c r="G67" s="50">
        <v>207</v>
      </c>
      <c r="H67" s="50">
        <v>56997</v>
      </c>
      <c r="I67" s="34" t="s">
        <v>57</v>
      </c>
      <c r="J67" s="50">
        <v>59050</v>
      </c>
      <c r="K67" s="34" t="s">
        <v>53</v>
      </c>
      <c r="L67" s="97" t="str">
        <f>VLOOKUP(C67,'Trips&amp;Operators'!$C$1:$E$9999,3,0)</f>
        <v>STORY</v>
      </c>
      <c r="M67" s="141" t="s">
        <v>89</v>
      </c>
      <c r="N67" s="10"/>
      <c r="O67" s="34"/>
      <c r="P67" s="115" t="str">
        <f>VLOOKUP(C67,'Train Runs'!$A$13:$AE$186,31,0)</f>
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</c>
      <c r="Q67" s="119" t="str">
        <f>VLOOKUP(C67,'Train Runs'!$A$13:$AE$186,22,0)</f>
        <v>https://search-rtdc-monitor-bjffxe2xuh6vdkpspy63sjmuny.us-east-1.es.amazonaws.com/_plugin/kibana/#/discover/Steve-Slow-Train-Analysis-(2080s-and-2083s)?_g=(refreshInterval:(display:Off,section:0,value:0),time:(from:'2016-08-15 15:10:57-0600',mode:absolute,to:'2016-08-15 17:26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67" s="122" t="str">
        <f t="shared" si="5"/>
        <v>"C:\Program Files (x86)\AstroGrep\AstroGrep.exe" /spath="%USERPROFILE%\AppData\Local\Temp\OnboardLogs" /stypes="*4013*201608152*" /stext=" 22:.+((SYSTEM_STATE.+slice.+state.+changed )|(ment ac)|(system.+state.+changed )|(\|lc)|(penalty)|(\[timeout)|(PRM\|1\|D)|(kpr)|(kdp)|(\|loc))" /e /r /s</v>
      </c>
      <c r="S67" s="9" t="str">
        <f t="shared" si="6"/>
        <v>4013</v>
      </c>
      <c r="T67" s="39">
        <f t="shared" si="7"/>
        <v>42597.926608796297</v>
      </c>
      <c r="U67" s="53" t="str">
        <f t="shared" si="8"/>
        <v>NW</v>
      </c>
      <c r="V67" s="53" t="str">
        <f t="shared" si="9"/>
        <v>KEEP</v>
      </c>
    </row>
    <row r="68" spans="1:22" x14ac:dyDescent="0.25">
      <c r="A68" s="39">
        <v>42597.718472222223</v>
      </c>
      <c r="B68" s="34" t="s">
        <v>93</v>
      </c>
      <c r="C68" s="34" t="s">
        <v>606</v>
      </c>
      <c r="D68" s="34" t="s">
        <v>116</v>
      </c>
      <c r="E68" s="34" t="s">
        <v>56</v>
      </c>
      <c r="F68" s="50">
        <v>150</v>
      </c>
      <c r="G68" s="50">
        <v>214</v>
      </c>
      <c r="H68" s="50">
        <v>56927</v>
      </c>
      <c r="I68" s="34" t="s">
        <v>57</v>
      </c>
      <c r="J68" s="50">
        <v>59050</v>
      </c>
      <c r="K68" s="34" t="s">
        <v>53</v>
      </c>
      <c r="L68" s="97" t="str">
        <f>VLOOKUP(C68,'Trips&amp;Operators'!$C$1:$E$9999,3,0)</f>
        <v>STORY</v>
      </c>
      <c r="M68" s="141" t="s">
        <v>89</v>
      </c>
      <c r="N68" s="10"/>
      <c r="O68" s="34"/>
      <c r="P68" s="115" t="e">
        <f>VLOOKUP(C68,'Train Runs'!$A$13:$AE$186,31,0)</f>
        <v>#N/A</v>
      </c>
      <c r="Q68" s="119" t="e">
        <f>VLOOKUP(C68,'Train Runs'!$A$13:$AE$186,22,0)</f>
        <v>#N/A</v>
      </c>
      <c r="R68" s="122" t="str">
        <f t="shared" si="5"/>
        <v>"C:\Program Files (x86)\AstroGrep\AstroGrep.exe" /spath="%USERPROFILE%\AppData\Local\Temp\OnboardLogs" /stypes="*4013*201608152*" /stext=" 23:.+((SYSTEM_STATE.+slice.+state.+changed )|(ment ac)|(system.+state.+changed )|(\|lc)|(penalty)|(\[timeout)|(PRM\|1\|D)|(kpr)|(kdp)|(\|loc))" /e /r /s</v>
      </c>
      <c r="S68" s="9" t="str">
        <f t="shared" si="6"/>
        <v>4013</v>
      </c>
      <c r="T68" s="39">
        <f t="shared" si="7"/>
        <v>42597.968472222223</v>
      </c>
      <c r="U68" s="53" t="str">
        <f t="shared" si="8"/>
        <v>NW</v>
      </c>
      <c r="V68" s="53" t="str">
        <f t="shared" si="9"/>
        <v>KEEP</v>
      </c>
    </row>
    <row r="69" spans="1:22" x14ac:dyDescent="0.25">
      <c r="A69" s="39">
        <v>42597.905682870369</v>
      </c>
      <c r="B69" s="34" t="s">
        <v>111</v>
      </c>
      <c r="C69" s="34" t="s">
        <v>628</v>
      </c>
      <c r="D69" s="34" t="s">
        <v>116</v>
      </c>
      <c r="E69" s="34" t="s">
        <v>56</v>
      </c>
      <c r="F69" s="50">
        <v>150</v>
      </c>
      <c r="G69" s="50">
        <v>214</v>
      </c>
      <c r="H69" s="50">
        <v>56914</v>
      </c>
      <c r="I69" s="34" t="s">
        <v>57</v>
      </c>
      <c r="J69" s="50">
        <v>59050</v>
      </c>
      <c r="K69" s="34" t="s">
        <v>53</v>
      </c>
      <c r="L69" s="97" t="str">
        <f>VLOOKUP(C69,'Trips&amp;Operators'!$C$1:$E$9999,3,0)</f>
        <v>STORY</v>
      </c>
      <c r="M69" s="141" t="s">
        <v>89</v>
      </c>
      <c r="N69" s="10"/>
      <c r="O69" s="34"/>
      <c r="P69" s="115" t="e">
        <f>VLOOKUP(C69,'Train Runs'!$A$13:$AE$186,31,0)</f>
        <v>#N/A</v>
      </c>
      <c r="Q69" s="119" t="e">
        <f>VLOOKUP(C69,'Train Runs'!$A$13:$AE$186,22,0)</f>
        <v>#N/A</v>
      </c>
      <c r="R69" s="122" t="str">
        <f t="shared" si="5"/>
        <v>"C:\Program Files (x86)\AstroGrep\AstroGrep.exe" /spath="%USERPROFILE%\AppData\Local\Temp\OnboardLogs" /stypes="*4015*201608160*" /stext=" 03:.+((SYSTEM_STATE.+slice.+state.+changed )|(ment ac)|(system.+state.+changed )|(\|lc)|(penalty)|(\[timeout)|(PRM\|1\|D)|(kpr)|(kdp)|(\|loc))" /e /r /s</v>
      </c>
      <c r="S69" s="9" t="str">
        <f t="shared" si="6"/>
        <v>4015</v>
      </c>
      <c r="T69" s="39">
        <f t="shared" si="7"/>
        <v>42598.155682870369</v>
      </c>
      <c r="U69" s="53" t="str">
        <f t="shared" si="8"/>
        <v>NW</v>
      </c>
      <c r="V69" s="53" t="str">
        <f t="shared" si="9"/>
        <v>KEEP</v>
      </c>
    </row>
    <row r="70" spans="1:22" x14ac:dyDescent="0.25">
      <c r="A70" s="39">
        <v>42597.3905787037</v>
      </c>
      <c r="B70" s="34" t="s">
        <v>323</v>
      </c>
      <c r="C70" s="34" t="s">
        <v>560</v>
      </c>
      <c r="D70" s="34" t="s">
        <v>49</v>
      </c>
      <c r="E70" s="34" t="s">
        <v>54</v>
      </c>
      <c r="F70" s="50">
        <v>0</v>
      </c>
      <c r="G70" s="50">
        <v>115</v>
      </c>
      <c r="H70" s="50">
        <v>2796</v>
      </c>
      <c r="I70" s="34" t="s">
        <v>55</v>
      </c>
      <c r="J70" s="50">
        <v>2808</v>
      </c>
      <c r="K70" s="34" t="s">
        <v>52</v>
      </c>
      <c r="L70" s="97" t="str">
        <f>VLOOKUP(C70,'Trips&amp;Operators'!$C$1:$E$9999,3,0)</f>
        <v>ROCHA</v>
      </c>
      <c r="M70" s="141" t="s">
        <v>88</v>
      </c>
      <c r="N70" s="10" t="s">
        <v>657</v>
      </c>
      <c r="O70" s="34"/>
      <c r="P70" s="115" t="str">
        <f>VLOOKUP(C70,'Train Runs'!$A$13:$AE$9995,31,0)</f>
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</c>
      <c r="Q70" s="119" t="str">
        <f>VLOOKUP(C70,'Train Runs'!$A$13:$AE$9995,22,0)</f>
        <v>https://search-rtdc-monitor-bjffxe2xuh6vdkpspy63sjmuny.us-east-1.es.amazonaws.com/_plugin/kibana/#/discover/Steve-Slow-Train-Analysis-(2080s-and-2083s)?_g=(refreshInterval:(display:Off,section:0,value:0),time:(from:'2016-08-15 07:59:52-0600',mode:absolute,to:'2016-08-15 10:23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70" s="122" t="str">
        <f t="shared" si="5"/>
        <v>"C:\Program Files (x86)\AstroGrep\AstroGrep.exe" /spath="%USERPROFILE%\AppData\Local\Temp\OnboardLogs" /stypes="*4016*201608151*" /stext=" 15:.+((SYSTEM_STATE.+slice.+state.+changed )|(ment ac)|(system.+state.+changed )|(\|lc)|(penalty)|(\[timeout)|(PRM\|1\|D)|(kpr)|(kdp)|(\|loc))" /e /r /s</v>
      </c>
      <c r="S70" s="9" t="str">
        <f t="shared" si="6"/>
        <v>4016</v>
      </c>
      <c r="T70" s="39">
        <f t="shared" si="7"/>
        <v>42597.6405787037</v>
      </c>
      <c r="U70" s="53" t="str">
        <f t="shared" si="8"/>
        <v>NW</v>
      </c>
      <c r="V70" s="53" t="str">
        <f t="shared" si="9"/>
        <v>KEEP</v>
      </c>
    </row>
    <row r="71" spans="1:22" x14ac:dyDescent="0.25">
      <c r="A71" s="39">
        <v>42597.708518518521</v>
      </c>
      <c r="B71" s="34" t="s">
        <v>111</v>
      </c>
      <c r="C71" s="34" t="s">
        <v>601</v>
      </c>
      <c r="D71" s="34" t="s">
        <v>49</v>
      </c>
      <c r="E71" s="34" t="s">
        <v>54</v>
      </c>
      <c r="F71" s="50">
        <v>0</v>
      </c>
      <c r="G71" s="50">
        <v>83</v>
      </c>
      <c r="H71" s="50">
        <v>11035</v>
      </c>
      <c r="I71" s="34" t="s">
        <v>55</v>
      </c>
      <c r="J71" s="50">
        <v>11018</v>
      </c>
      <c r="K71" s="34" t="s">
        <v>53</v>
      </c>
      <c r="L71" s="97" t="str">
        <f>VLOOKUP(C71,'Trips&amp;Operators'!$C$1:$E$9999,3,0)</f>
        <v>BRUDER</v>
      </c>
      <c r="M71" s="141" t="s">
        <v>88</v>
      </c>
      <c r="N71" s="10" t="s">
        <v>658</v>
      </c>
      <c r="O71" s="34"/>
      <c r="P71" s="115" t="str">
        <f>VLOOKUP(C71,'Train Runs'!$A$13:$AE$9995,31,0)</f>
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</c>
      <c r="Q71" s="119" t="str">
        <f>VLOOKUP(C71,'Train Runs'!$A$13:$AE$9995,22,0)</f>
        <v>https://search-rtdc-monitor-bjffxe2xuh6vdkpspy63sjmuny.us-east-1.es.amazonaws.com/_plugin/kibana/#/discover/Steve-Slow-Train-Analysis-(2080s-and-2083s)?_g=(refreshInterval:(display:Off,section:0,value:0),time:(from:'2016-08-15 15:38:25-0600',mode:absolute,to:'2016-08-15 18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71" s="122" t="str">
        <f t="shared" ref="R71:R89" si="10">astrogrep_path&amp;" /spath="&amp;search_path&amp;" /stypes=""*"&amp;S71&amp;"*"&amp;TEXT(A71-utc_offset/24,"YYYYMMDD")&amp;LEFT(TEXT(A71-utc_offset/24,"HH"),1)&amp;"*"" /stext="" "&amp;TEXT(A71-utc_offset/24,"HH")&amp;search_regexp&amp;""" /e /r /s"</f>
        <v>"C:\Program Files (x86)\AstroGrep\AstroGrep.exe" /spath="%USERPROFILE%\AppData\Local\Temp\OnboardLogs" /stypes="*4015*201608152*" /stext=" 23:.+((SYSTEM_STATE.+slice.+state.+changed )|(ment ac)|(system.+state.+changed )|(\|lc)|(penalty)|(\[timeout)|(PRM\|1\|D)|(kpr)|(kdp)|(\|loc))" /e /r /s</v>
      </c>
      <c r="S71" s="9" t="str">
        <f t="shared" ref="S71:S89" si="11">MID(B71,13,4)</f>
        <v>4015</v>
      </c>
      <c r="T71" s="39">
        <f t="shared" ref="T71:T89" si="12">A71+6/24</f>
        <v>42597.958518518521</v>
      </c>
      <c r="U71" s="53" t="str">
        <f t="shared" ref="U71:U89" si="13">IF(VALUE(LEFT(IF(LEN(C71)=6,"0"&amp;C71,C71),2))&lt;=2,"EC",IF(OR(VALUE(LEFT(IF(LEN(C71)=6,"0"&amp;C71,C71),2))=8,VALUE(LEFT(IF(LEN(C71)=6,"0"&amp;C71,C71),2))=18),"NW","GL"))</f>
        <v>NW</v>
      </c>
      <c r="V71" s="53" t="str">
        <f t="shared" ref="V71:V89" si="14">IF(AND(E71="TRACK WARRANT AUTHORITY",G71&lt;10),"OMIT","KEEP")</f>
        <v>KEEP</v>
      </c>
    </row>
    <row r="72" spans="1:22" x14ac:dyDescent="0.25">
      <c r="A72" s="39">
        <v>42597.519259259258</v>
      </c>
      <c r="B72" s="34" t="s">
        <v>323</v>
      </c>
      <c r="C72" s="34" t="s">
        <v>576</v>
      </c>
      <c r="D72" s="34" t="s">
        <v>116</v>
      </c>
      <c r="E72" s="34" t="s">
        <v>54</v>
      </c>
      <c r="F72" s="50">
        <v>0</v>
      </c>
      <c r="G72" s="50">
        <v>247</v>
      </c>
      <c r="H72" s="50">
        <v>22370</v>
      </c>
      <c r="I72" s="34" t="s">
        <v>55</v>
      </c>
      <c r="J72" s="50">
        <v>22314</v>
      </c>
      <c r="K72" s="34" t="s">
        <v>52</v>
      </c>
      <c r="L72" s="97" t="str">
        <f>VLOOKUP(C72,'Trips&amp;Operators'!$C$1:$E$9999,3,0)</f>
        <v>ROCHA</v>
      </c>
      <c r="M72" s="141" t="s">
        <v>88</v>
      </c>
      <c r="N72" s="10" t="s">
        <v>659</v>
      </c>
      <c r="O72" s="34"/>
      <c r="P72" s="115" t="str">
        <f>VLOOKUP(C72,'Train Runs'!$A$13:$AE$9995,31,0)</f>
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</c>
      <c r="Q72" s="119" t="str">
        <f>VLOOKUP(C72,'Train Runs'!$A$13:$AE$9995,22,0)</f>
        <v>https://search-rtdc-monitor-bjffxe2xuh6vdkpspy63sjmuny.us-east-1.es.amazonaws.com/_plugin/kibana/#/discover/Steve-Slow-Train-Analysis-(2080s-and-2083s)?_g=(refreshInterval:(display:Off,section:0,value:0),time:(from:'2016-08-15 10:58:09-0600',mode:absolute,to:'2016-08-15 13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72" s="122" t="str">
        <f t="shared" si="10"/>
        <v>"C:\Program Files (x86)\AstroGrep\AstroGrep.exe" /spath="%USERPROFILE%\AppData\Local\Temp\OnboardLogs" /stypes="*4016*201608151*" /stext=" 18:.+((SYSTEM_STATE.+slice.+state.+changed )|(ment ac)|(system.+state.+changed )|(\|lc)|(penalty)|(\[timeout)|(PRM\|1\|D)|(kpr)|(kdp)|(\|loc))" /e /r /s</v>
      </c>
      <c r="S72" s="9" t="str">
        <f t="shared" si="11"/>
        <v>4016</v>
      </c>
      <c r="T72" s="39">
        <f t="shared" si="12"/>
        <v>42597.769259259258</v>
      </c>
      <c r="U72" s="53" t="str">
        <f t="shared" si="13"/>
        <v>NW</v>
      </c>
      <c r="V72" s="53" t="str">
        <f t="shared" si="14"/>
        <v>KEEP</v>
      </c>
    </row>
    <row r="73" spans="1:22" x14ac:dyDescent="0.25">
      <c r="A73" s="39">
        <v>42597.226620370369</v>
      </c>
      <c r="B73" s="34" t="s">
        <v>93</v>
      </c>
      <c r="C73" s="34" t="s">
        <v>531</v>
      </c>
      <c r="D73" s="34" t="s">
        <v>49</v>
      </c>
      <c r="E73" s="34" t="s">
        <v>50</v>
      </c>
      <c r="F73" s="50">
        <v>0</v>
      </c>
      <c r="G73" s="50">
        <v>18</v>
      </c>
      <c r="H73" s="50">
        <v>603</v>
      </c>
      <c r="I73" s="34" t="s">
        <v>51</v>
      </c>
      <c r="J73" s="50">
        <v>575</v>
      </c>
      <c r="K73" s="34" t="s">
        <v>53</v>
      </c>
      <c r="L73" s="97" t="str">
        <f>VLOOKUP(C73,'Trips&amp;Operators'!$C$1:$E$9999,3,0)</f>
        <v>DAVIS</v>
      </c>
      <c r="M73" s="141" t="s">
        <v>89</v>
      </c>
      <c r="N73" s="10"/>
      <c r="O73" s="34"/>
      <c r="P73" s="115" t="str">
        <f>VLOOKUP(C73,'Train Runs'!$A$13:$AE$186,31,0)</f>
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</c>
      <c r="Q73" s="119" t="str">
        <f>VLOOKUP(C73,'Train Runs'!$A$13:$AE$186,22,0)</f>
        <v>https://search-rtdc-monitor-bjffxe2xuh6vdkpspy63sjmuny.us-east-1.es.amazonaws.com/_plugin/kibana/#/discover/Steve-Slow-Train-Analysis-(2080s-and-2083s)?_g=(refreshInterval:(display:Off,section:0,value:0),time:(from:'2016-08-15 04:02:56-0600',mode:absolute,to:'2016-08-15 06:26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73" s="122" t="str">
        <f t="shared" si="10"/>
        <v>"C:\Program Files (x86)\AstroGrep\AstroGrep.exe" /spath="%USERPROFILE%\AppData\Local\Temp\OnboardLogs" /stypes="*4013*201608151*" /stext=" 11:.+((SYSTEM_STATE.+slice.+state.+changed )|(ment ac)|(system.+state.+changed )|(\|lc)|(penalty)|(\[timeout)|(PRM\|1\|D)|(kpr)|(kdp)|(\|loc))" /e /r /s</v>
      </c>
      <c r="S73" s="9" t="str">
        <f t="shared" si="11"/>
        <v>4013</v>
      </c>
      <c r="T73" s="39">
        <f t="shared" si="12"/>
        <v>42597.476620370369</v>
      </c>
      <c r="U73" s="53" t="str">
        <f t="shared" si="13"/>
        <v>NW</v>
      </c>
      <c r="V73" s="53" t="str">
        <f t="shared" si="14"/>
        <v>KEEP</v>
      </c>
    </row>
    <row r="74" spans="1:22" x14ac:dyDescent="0.25">
      <c r="A74" s="39">
        <v>42597.291145833333</v>
      </c>
      <c r="B74" s="34" t="s">
        <v>111</v>
      </c>
      <c r="C74" s="34" t="s">
        <v>539</v>
      </c>
      <c r="D74" s="34" t="s">
        <v>49</v>
      </c>
      <c r="E74" s="34" t="s">
        <v>50</v>
      </c>
      <c r="F74" s="50">
        <v>0</v>
      </c>
      <c r="G74" s="50">
        <v>33</v>
      </c>
      <c r="H74" s="50">
        <v>663</v>
      </c>
      <c r="I74" s="34" t="s">
        <v>51</v>
      </c>
      <c r="J74" s="50">
        <v>575</v>
      </c>
      <c r="K74" s="34" t="s">
        <v>53</v>
      </c>
      <c r="L74" s="97" t="str">
        <f>VLOOKUP(C74,'Trips&amp;Operators'!$C$1:$E$9999,3,0)</f>
        <v>ROCHA</v>
      </c>
      <c r="M74" s="141" t="s">
        <v>89</v>
      </c>
      <c r="N74" s="10"/>
      <c r="O74" s="34"/>
      <c r="P74" s="115" t="str">
        <f>VLOOKUP(C74,'Train Runs'!$A$13:$AE$186,31,0)</f>
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</c>
      <c r="Q74" s="119" t="str">
        <f>VLOOKUP(C74,'Train Runs'!$A$13:$AE$186,22,0)</f>
        <v>https://search-rtdc-monitor-bjffxe2xuh6vdkpspy63sjmuny.us-east-1.es.amazonaws.com/_plugin/kibana/#/discover/Steve-Slow-Train-Analysis-(2080s-and-2083s)?_g=(refreshInterval:(display:Off,section:0,value:0),time:(from:'2016-08-15 05:44:50-0600',mode:absolute,to:'2016-08-15 07:59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74" s="122" t="str">
        <f t="shared" si="10"/>
        <v>"C:\Program Files (x86)\AstroGrep\AstroGrep.exe" /spath="%USERPROFILE%\AppData\Local\Temp\OnboardLogs" /stypes="*4015*201608151*" /stext=" 12:.+((SYSTEM_STATE.+slice.+state.+changed )|(ment ac)|(system.+state.+changed )|(\|lc)|(penalty)|(\[timeout)|(PRM\|1\|D)|(kpr)|(kdp)|(\|loc))" /e /r /s</v>
      </c>
      <c r="S74" s="9" t="str">
        <f t="shared" si="11"/>
        <v>4015</v>
      </c>
      <c r="T74" s="39">
        <f t="shared" si="12"/>
        <v>42597.541145833333</v>
      </c>
      <c r="U74" s="53" t="str">
        <f t="shared" si="13"/>
        <v>NW</v>
      </c>
      <c r="V74" s="53" t="str">
        <f t="shared" si="14"/>
        <v>KEEP</v>
      </c>
    </row>
    <row r="75" spans="1:22" x14ac:dyDescent="0.25">
      <c r="A75" s="39">
        <v>42597.309560185182</v>
      </c>
      <c r="B75" s="34" t="s">
        <v>93</v>
      </c>
      <c r="C75" s="34" t="s">
        <v>542</v>
      </c>
      <c r="D75" s="34" t="s">
        <v>49</v>
      </c>
      <c r="E75" s="34" t="s">
        <v>50</v>
      </c>
      <c r="F75" s="50">
        <v>0</v>
      </c>
      <c r="G75" s="50">
        <v>27</v>
      </c>
      <c r="H75" s="50">
        <v>628</v>
      </c>
      <c r="I75" s="34" t="s">
        <v>51</v>
      </c>
      <c r="J75" s="50">
        <v>575</v>
      </c>
      <c r="K75" s="34" t="s">
        <v>53</v>
      </c>
      <c r="L75" s="97" t="str">
        <f>VLOOKUP(C75,'Trips&amp;Operators'!$C$1:$E$9999,3,0)</f>
        <v>DAVIS</v>
      </c>
      <c r="M75" s="141" t="s">
        <v>89</v>
      </c>
      <c r="N75" s="10"/>
      <c r="O75" s="34"/>
      <c r="P75" s="115" t="str">
        <f>VLOOKUP(C75,'Train Runs'!$A$13:$AE$186,31,0)</f>
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</c>
      <c r="Q75" s="119" t="str">
        <f>VLOOKUP(C75,'Train Runs'!$A$13:$AE$186,22,0)</f>
        <v>https://search-rtdc-monitor-bjffxe2xuh6vdkpspy63sjmuny.us-east-1.es.amazonaws.com/_plugin/kibana/#/discover/Steve-Slow-Train-Analysis-(2080s-and-2083s)?_g=(refreshInterval:(display:Off,section:0,value:0),time:(from:'2016-08-15 06:07:57-0600',mode:absolute,to:'2016-08-15 08:25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75" s="122" t="str">
        <f t="shared" si="10"/>
        <v>"C:\Program Files (x86)\AstroGrep\AstroGrep.exe" /spath="%USERPROFILE%\AppData\Local\Temp\OnboardLogs" /stypes="*4013*201608151*" /stext=" 13:.+((SYSTEM_STATE.+slice.+state.+changed )|(ment ac)|(system.+state.+changed )|(\|lc)|(penalty)|(\[timeout)|(PRM\|1\|D)|(kpr)|(kdp)|(\|loc))" /e /r /s</v>
      </c>
      <c r="S75" s="9" t="str">
        <f t="shared" si="11"/>
        <v>4013</v>
      </c>
      <c r="T75" s="39">
        <f t="shared" si="12"/>
        <v>42597.559560185182</v>
      </c>
      <c r="U75" s="53" t="str">
        <f t="shared" si="13"/>
        <v>NW</v>
      </c>
      <c r="V75" s="53" t="str">
        <f t="shared" si="14"/>
        <v>KEEP</v>
      </c>
    </row>
    <row r="76" spans="1:22" x14ac:dyDescent="0.25">
      <c r="A76" s="39">
        <v>42597.350613425922</v>
      </c>
      <c r="B76" s="34" t="s">
        <v>93</v>
      </c>
      <c r="C76" s="34" t="s">
        <v>553</v>
      </c>
      <c r="D76" s="34" t="s">
        <v>49</v>
      </c>
      <c r="E76" s="34" t="s">
        <v>50</v>
      </c>
      <c r="F76" s="50">
        <v>0</v>
      </c>
      <c r="G76" s="50">
        <v>72</v>
      </c>
      <c r="H76" s="50">
        <v>827</v>
      </c>
      <c r="I76" s="34" t="s">
        <v>51</v>
      </c>
      <c r="J76" s="50">
        <v>575</v>
      </c>
      <c r="K76" s="34" t="s">
        <v>53</v>
      </c>
      <c r="L76" s="97" t="str">
        <f>VLOOKUP(C76,'Trips&amp;Operators'!$C$1:$E$9999,3,0)</f>
        <v>DAVIS</v>
      </c>
      <c r="M76" s="141" t="s">
        <v>89</v>
      </c>
      <c r="N76" s="10"/>
      <c r="O76" s="34"/>
      <c r="P76" s="115" t="str">
        <f>VLOOKUP(C76,'Train Runs'!$A$13:$AE$186,31,0)</f>
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</c>
      <c r="Q76" s="119" t="str">
        <f>VLOOKUP(C76,'Train Runs'!$A$13:$AE$186,22,0)</f>
        <v>https://search-rtdc-monitor-bjffxe2xuh6vdkpspy63sjmuny.us-east-1.es.amazonaws.com/_plugin/kibana/#/discover/Steve-Slow-Train-Analysis-(2080s-and-2083s)?_g=(refreshInterval:(display:Off,section:0,value:0),time:(from:'2016-08-15 07:06:24-0600',mode:absolute,to:'2016-08-15 09:25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76" s="122" t="str">
        <f t="shared" si="10"/>
        <v>"C:\Program Files (x86)\AstroGrep\AstroGrep.exe" /spath="%USERPROFILE%\AppData\Local\Temp\OnboardLogs" /stypes="*4013*201608151*" /stext=" 14:.+((SYSTEM_STATE.+slice.+state.+changed )|(ment ac)|(system.+state.+changed )|(\|lc)|(penalty)|(\[timeout)|(PRM\|1\|D)|(kpr)|(kdp)|(\|loc))" /e /r /s</v>
      </c>
      <c r="S76" s="9" t="str">
        <f t="shared" si="11"/>
        <v>4013</v>
      </c>
      <c r="T76" s="39">
        <f t="shared" si="12"/>
        <v>42597.600613425922</v>
      </c>
      <c r="U76" s="53" t="str">
        <f t="shared" si="13"/>
        <v>NW</v>
      </c>
      <c r="V76" s="53" t="str">
        <f t="shared" si="14"/>
        <v>KEEP</v>
      </c>
    </row>
    <row r="77" spans="1:22" x14ac:dyDescent="0.25">
      <c r="A77" s="39">
        <v>42597.45516203704</v>
      </c>
      <c r="B77" s="34" t="s">
        <v>111</v>
      </c>
      <c r="C77" s="34" t="s">
        <v>568</v>
      </c>
      <c r="D77" s="34" t="s">
        <v>49</v>
      </c>
      <c r="E77" s="34" t="s">
        <v>50</v>
      </c>
      <c r="F77" s="50">
        <v>0</v>
      </c>
      <c r="G77" s="50">
        <v>41</v>
      </c>
      <c r="H77" s="50">
        <v>698</v>
      </c>
      <c r="I77" s="34" t="s">
        <v>51</v>
      </c>
      <c r="J77" s="50">
        <v>575</v>
      </c>
      <c r="K77" s="34" t="s">
        <v>53</v>
      </c>
      <c r="L77" s="97" t="str">
        <f>VLOOKUP(C77,'Trips&amp;Operators'!$C$1:$E$9999,3,0)</f>
        <v>ROCHA</v>
      </c>
      <c r="M77" s="141" t="s">
        <v>89</v>
      </c>
      <c r="N77" s="10"/>
      <c r="O77" s="34"/>
      <c r="P77" s="115" t="str">
        <f>VLOOKUP(C77,'Train Runs'!$A$13:$AE$186,31,0)</f>
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</c>
      <c r="Q77" s="119" t="str">
        <f>VLOOKUP(C77,'Train Runs'!$A$13:$AE$186,22,0)</f>
        <v>https://search-rtdc-monitor-bjffxe2xuh6vdkpspy63sjmuny.us-east-1.es.amazonaws.com/_plugin/kibana/#/discover/Steve-Slow-Train-Analysis-(2080s-and-2083s)?_g=(refreshInterval:(display:Off,section:0,value:0),time:(from:'2016-08-15 09:37:21-0600',mode:absolute,to:'2016-08-15 11:56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77" s="122" t="str">
        <f t="shared" si="10"/>
        <v>"C:\Program Files (x86)\AstroGrep\AstroGrep.exe" /spath="%USERPROFILE%\AppData\Local\Temp\OnboardLogs" /stypes="*4015*201608151*" /stext=" 16:.+((SYSTEM_STATE.+slice.+state.+changed )|(ment ac)|(system.+state.+changed )|(\|lc)|(penalty)|(\[timeout)|(PRM\|1\|D)|(kpr)|(kdp)|(\|loc))" /e /r /s</v>
      </c>
      <c r="S77" s="9" t="str">
        <f t="shared" si="11"/>
        <v>4015</v>
      </c>
      <c r="T77" s="39">
        <f t="shared" si="12"/>
        <v>42597.70516203704</v>
      </c>
      <c r="U77" s="53" t="str">
        <f t="shared" si="13"/>
        <v>NW</v>
      </c>
      <c r="V77" s="53" t="str">
        <f t="shared" si="14"/>
        <v>KEEP</v>
      </c>
    </row>
    <row r="78" spans="1:22" x14ac:dyDescent="0.25">
      <c r="A78" s="39">
        <v>42597.496701388889</v>
      </c>
      <c r="B78" s="34" t="s">
        <v>111</v>
      </c>
      <c r="C78" s="34" t="s">
        <v>574</v>
      </c>
      <c r="D78" s="34" t="s">
        <v>49</v>
      </c>
      <c r="E78" s="34" t="s">
        <v>50</v>
      </c>
      <c r="F78" s="50">
        <v>0</v>
      </c>
      <c r="G78" s="50">
        <v>31</v>
      </c>
      <c r="H78" s="50">
        <v>670</v>
      </c>
      <c r="I78" s="34" t="s">
        <v>51</v>
      </c>
      <c r="J78" s="50">
        <v>575</v>
      </c>
      <c r="K78" s="34" t="s">
        <v>53</v>
      </c>
      <c r="L78" s="97" t="str">
        <f>VLOOKUP(C78,'Trips&amp;Operators'!$C$1:$E$9999,3,0)</f>
        <v>ROCHA</v>
      </c>
      <c r="M78" s="141" t="s">
        <v>89</v>
      </c>
      <c r="N78" s="10"/>
      <c r="O78" s="34"/>
      <c r="P78" s="115" t="str">
        <f>VLOOKUP(C78,'Train Runs'!$A$13:$AE$186,31,0)</f>
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</c>
      <c r="Q78" s="119" t="str">
        <f>VLOOKUP(C78,'Train Runs'!$A$13:$AE$186,22,0)</f>
        <v>https://search-rtdc-monitor-bjffxe2xuh6vdkpspy63sjmuny.us-east-1.es.amazonaws.com/_plugin/kibana/#/discover/Steve-Slow-Train-Analysis-(2080s-and-2083s)?_g=(refreshInterval:(display:Off,section:0,value:0),time:(from:'2016-08-15 10:37:32-0600',mode:absolute,to:'2016-08-15 12:55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78" s="122" t="str">
        <f t="shared" si="10"/>
        <v>"C:\Program Files (x86)\AstroGrep\AstroGrep.exe" /spath="%USERPROFILE%\AppData\Local\Temp\OnboardLogs" /stypes="*4015*201608151*" /stext=" 17:.+((SYSTEM_STATE.+slice.+state.+changed )|(ment ac)|(system.+state.+changed )|(\|lc)|(penalty)|(\[timeout)|(PRM\|1\|D)|(kpr)|(kdp)|(\|loc))" /e /r /s</v>
      </c>
      <c r="S78" s="9" t="str">
        <f t="shared" si="11"/>
        <v>4015</v>
      </c>
      <c r="T78" s="39">
        <f t="shared" si="12"/>
        <v>42597.746701388889</v>
      </c>
      <c r="U78" s="53" t="str">
        <f t="shared" si="13"/>
        <v>NW</v>
      </c>
      <c r="V78" s="53" t="str">
        <f t="shared" si="14"/>
        <v>KEEP</v>
      </c>
    </row>
    <row r="79" spans="1:22" x14ac:dyDescent="0.25">
      <c r="A79" s="39">
        <v>42597.539027777777</v>
      </c>
      <c r="B79" s="34" t="s">
        <v>111</v>
      </c>
      <c r="C79" s="34" t="s">
        <v>579</v>
      </c>
      <c r="D79" s="34" t="s">
        <v>49</v>
      </c>
      <c r="E79" s="34" t="s">
        <v>50</v>
      </c>
      <c r="F79" s="50">
        <v>0</v>
      </c>
      <c r="G79" s="50">
        <v>23</v>
      </c>
      <c r="H79" s="50">
        <v>643</v>
      </c>
      <c r="I79" s="34" t="s">
        <v>51</v>
      </c>
      <c r="J79" s="50">
        <v>575</v>
      </c>
      <c r="K79" s="34" t="s">
        <v>53</v>
      </c>
      <c r="L79" s="97" t="str">
        <f>VLOOKUP(C79,'Trips&amp;Operators'!$C$1:$E$9999,3,0)</f>
        <v>ROCHA</v>
      </c>
      <c r="M79" s="141" t="s">
        <v>89</v>
      </c>
      <c r="N79" s="10"/>
      <c r="O79" s="34"/>
      <c r="P79" s="115" t="str">
        <f>VLOOKUP(C79,'Train Runs'!$A$13:$AE$186,31,0)</f>
        <v>aws s3 cp s3://rtdc.mdm.uploadarchive/RTDC4015/2016-08-15/ "%USERPROFILE%\AppData\Local\Temp\OnboardLogs"\RTDC4015\2016-08-15 --recursive &amp; "%USERPROFILE%\Documents\GitHub\mrs-test-scripts\Headless Mode &amp; Sideloading\WalkAndUnGZ.bat" "%USERPROFILE%\AppData\Local\Temp\OnboardLogs"\RTDC4015\2016-08-15 &amp; 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</v>
      </c>
      <c r="Q79" s="119" t="str">
        <f>VLOOKUP(C79,'Train Runs'!$A$13:$AE$186,22,0)</f>
        <v>https://search-rtdc-monitor-bjffxe2xuh6vdkpspy63sjmuny.us-east-1.es.amazonaws.com/_plugin/kibana/#/discover/Steve-Slow-Train-Analysis-(2080s-and-2083s)?_g=(refreshInterval:(display:Off,section:0,value:0),time:(from:'2016-08-15 11:40:03-0600',mode:absolute,to:'2016-08-15 13:56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79" s="122" t="str">
        <f t="shared" si="10"/>
        <v>"C:\Program Files (x86)\AstroGrep\AstroGrep.exe" /spath="%USERPROFILE%\AppData\Local\Temp\OnboardLogs" /stypes="*4015*201608151*" /stext=" 18:.+((SYSTEM_STATE.+slice.+state.+changed )|(ment ac)|(system.+state.+changed )|(\|lc)|(penalty)|(\[timeout)|(PRM\|1\|D)|(kpr)|(kdp)|(\|loc))" /e /r /s</v>
      </c>
      <c r="S79" s="9" t="str">
        <f t="shared" si="11"/>
        <v>4015</v>
      </c>
      <c r="T79" s="39">
        <f t="shared" si="12"/>
        <v>42597.789027777777</v>
      </c>
      <c r="U79" s="53" t="str">
        <f t="shared" si="13"/>
        <v>NW</v>
      </c>
      <c r="V79" s="53" t="str">
        <f t="shared" si="14"/>
        <v>KEEP</v>
      </c>
    </row>
    <row r="80" spans="1:22" x14ac:dyDescent="0.25">
      <c r="A80" s="39">
        <v>42597.684849537036</v>
      </c>
      <c r="B80" s="34" t="s">
        <v>93</v>
      </c>
      <c r="C80" s="34" t="s">
        <v>595</v>
      </c>
      <c r="D80" s="34" t="s">
        <v>49</v>
      </c>
      <c r="E80" s="34" t="s">
        <v>50</v>
      </c>
      <c r="F80" s="50">
        <v>0</v>
      </c>
      <c r="G80" s="50">
        <v>70</v>
      </c>
      <c r="H80" s="50">
        <v>810</v>
      </c>
      <c r="I80" s="34" t="s">
        <v>51</v>
      </c>
      <c r="J80" s="50">
        <v>575</v>
      </c>
      <c r="K80" s="34" t="s">
        <v>53</v>
      </c>
      <c r="L80" s="97" t="str">
        <f>VLOOKUP(C80,'Trips&amp;Operators'!$C$1:$E$9999,3,0)</f>
        <v>STORY</v>
      </c>
      <c r="M80" s="141" t="s">
        <v>89</v>
      </c>
      <c r="N80" s="10"/>
      <c r="O80" s="34"/>
      <c r="P80" s="115" t="str">
        <f>VLOOKUP(C80,'Train Runs'!$A$13:$AE$186,31,0)</f>
        <v>aws s3 cp s3://rtdc.mdm.uploadarchive/RTDC4013/2016-08-15/ "%USERPROFILE%\AppData\Local\Temp\OnboardLogs"\RTDC4013\2016-08-15 --recursive &amp; "%USERPROFILE%\Documents\GitHub\mrs-test-scripts\Headless Mode &amp; Sideloading\WalkAndUnGZ.bat" "%USERPROFILE%\AppData\Local\Temp\OnboardLogs"\RTDC4013\2016-08-15 &amp; 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</v>
      </c>
      <c r="Q80" s="119" t="str">
        <f>VLOOKUP(C80,'Train Runs'!$A$13:$AE$186,22,0)</f>
        <v>https://search-rtdc-monitor-bjffxe2xuh6vdkpspy63sjmuny.us-east-1.es.amazonaws.com/_plugin/kibana/#/discover/Steve-Slow-Train-Analysis-(2080s-and-2083s)?_g=(refreshInterval:(display:Off,section:0,value:0),time:(from:'2016-08-15 15:10:57-0600',mode:absolute,to:'2016-08-15 17:26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80" s="122" t="str">
        <f t="shared" si="10"/>
        <v>"C:\Program Files (x86)\AstroGrep\AstroGrep.exe" /spath="%USERPROFILE%\AppData\Local\Temp\OnboardLogs" /stypes="*4013*201608152*" /stext=" 22:.+((SYSTEM_STATE.+slice.+state.+changed )|(ment ac)|(system.+state.+changed )|(\|lc)|(penalty)|(\[timeout)|(PRM\|1\|D)|(kpr)|(kdp)|(\|loc))" /e /r /s</v>
      </c>
      <c r="S80" s="9" t="str">
        <f t="shared" si="11"/>
        <v>4013</v>
      </c>
      <c r="T80" s="39">
        <f t="shared" si="12"/>
        <v>42597.934849537036</v>
      </c>
      <c r="U80" s="53" t="str">
        <f t="shared" si="13"/>
        <v>NW</v>
      </c>
      <c r="V80" s="53" t="str">
        <f t="shared" si="14"/>
        <v>KEEP</v>
      </c>
    </row>
    <row r="81" spans="1:22" x14ac:dyDescent="0.25">
      <c r="A81" s="39">
        <v>42597.727152777778</v>
      </c>
      <c r="B81" s="34" t="s">
        <v>93</v>
      </c>
      <c r="C81" s="34" t="s">
        <v>606</v>
      </c>
      <c r="D81" s="34" t="s">
        <v>49</v>
      </c>
      <c r="E81" s="34" t="s">
        <v>50</v>
      </c>
      <c r="F81" s="50">
        <v>0</v>
      </c>
      <c r="G81" s="50">
        <v>43</v>
      </c>
      <c r="H81" s="50">
        <v>675</v>
      </c>
      <c r="I81" s="34" t="s">
        <v>51</v>
      </c>
      <c r="J81" s="50">
        <v>575</v>
      </c>
      <c r="K81" s="34" t="s">
        <v>53</v>
      </c>
      <c r="L81" s="97" t="str">
        <f>VLOOKUP(C81,'Trips&amp;Operators'!$C$1:$E$9999,3,0)</f>
        <v>STORY</v>
      </c>
      <c r="M81" s="141" t="s">
        <v>89</v>
      </c>
      <c r="N81" s="10"/>
      <c r="O81" s="34"/>
      <c r="P81" s="115" t="e">
        <f>VLOOKUP(C81,'Train Runs'!$A$13:$AE$186,31,0)</f>
        <v>#N/A</v>
      </c>
      <c r="Q81" s="119" t="e">
        <f>VLOOKUP(C81,'Train Runs'!$A$13:$AE$186,22,0)</f>
        <v>#N/A</v>
      </c>
      <c r="R81" s="122" t="str">
        <f t="shared" si="10"/>
        <v>"C:\Program Files (x86)\AstroGrep\AstroGrep.exe" /spath="%USERPROFILE%\AppData\Local\Temp\OnboardLogs" /stypes="*4013*201608152*" /stext=" 23:.+((SYSTEM_STATE.+slice.+state.+changed )|(ment ac)|(system.+state.+changed )|(\|lc)|(penalty)|(\[timeout)|(PRM\|1\|D)|(kpr)|(kdp)|(\|loc))" /e /r /s</v>
      </c>
      <c r="S81" s="9" t="str">
        <f t="shared" si="11"/>
        <v>4013</v>
      </c>
      <c r="T81" s="39">
        <f t="shared" si="12"/>
        <v>42597.977152777778</v>
      </c>
      <c r="U81" s="53" t="str">
        <f t="shared" si="13"/>
        <v>NW</v>
      </c>
      <c r="V81" s="53" t="str">
        <f t="shared" si="14"/>
        <v>KEEP</v>
      </c>
    </row>
    <row r="82" spans="1:22" x14ac:dyDescent="0.25">
      <c r="A82" s="39">
        <v>42597.767743055556</v>
      </c>
      <c r="B82" s="34" t="s">
        <v>93</v>
      </c>
      <c r="C82" s="34" t="s">
        <v>614</v>
      </c>
      <c r="D82" s="34" t="s">
        <v>49</v>
      </c>
      <c r="E82" s="34" t="s">
        <v>50</v>
      </c>
      <c r="F82" s="50">
        <v>0</v>
      </c>
      <c r="G82" s="50">
        <v>30</v>
      </c>
      <c r="H82" s="50">
        <v>633</v>
      </c>
      <c r="I82" s="34" t="s">
        <v>51</v>
      </c>
      <c r="J82" s="50">
        <v>575</v>
      </c>
      <c r="K82" s="34" t="s">
        <v>53</v>
      </c>
      <c r="L82" s="97" t="str">
        <f>VLOOKUP(C82,'Trips&amp;Operators'!$C$1:$E$9999,3,0)</f>
        <v>STORY</v>
      </c>
      <c r="M82" s="141" t="s">
        <v>89</v>
      </c>
      <c r="N82" s="10"/>
      <c r="O82" s="34"/>
      <c r="P82" s="115" t="e">
        <f>VLOOKUP(C82,'Train Runs'!$A$13:$AE$186,31,0)</f>
        <v>#N/A</v>
      </c>
      <c r="Q82" s="119" t="e">
        <f>VLOOKUP(C82,'Train Runs'!$A$13:$AE$186,22,0)</f>
        <v>#N/A</v>
      </c>
      <c r="R82" s="122" t="str">
        <f t="shared" si="10"/>
        <v>"C:\Program Files (x86)\AstroGrep\AstroGrep.exe" /spath="%USERPROFILE%\AppData\Local\Temp\OnboardLogs" /stypes="*4013*201608160*" /stext=" 00:.+((SYSTEM_STATE.+slice.+state.+changed )|(ment ac)|(system.+state.+changed )|(\|lc)|(penalty)|(\[timeout)|(PRM\|1\|D)|(kpr)|(kdp)|(\|loc))" /e /r /s</v>
      </c>
      <c r="S82" s="9" t="str">
        <f t="shared" si="11"/>
        <v>4013</v>
      </c>
      <c r="T82" s="39">
        <f t="shared" si="12"/>
        <v>42598.017743055556</v>
      </c>
      <c r="U82" s="53" t="str">
        <f t="shared" si="13"/>
        <v>NW</v>
      </c>
      <c r="V82" s="53" t="str">
        <f t="shared" si="14"/>
        <v>KEEP</v>
      </c>
    </row>
    <row r="83" spans="1:22" x14ac:dyDescent="0.25">
      <c r="A83" s="39">
        <v>42597.296180555553</v>
      </c>
      <c r="B83" s="34" t="s">
        <v>118</v>
      </c>
      <c r="C83" s="34" t="s">
        <v>540</v>
      </c>
      <c r="D83" s="34" t="s">
        <v>49</v>
      </c>
      <c r="E83" s="34" t="s">
        <v>50</v>
      </c>
      <c r="F83" s="50">
        <v>0</v>
      </c>
      <c r="G83" s="50">
        <v>58</v>
      </c>
      <c r="H83" s="50">
        <v>58860</v>
      </c>
      <c r="I83" s="34" t="s">
        <v>51</v>
      </c>
      <c r="J83" s="50">
        <v>59048</v>
      </c>
      <c r="K83" s="34" t="s">
        <v>52</v>
      </c>
      <c r="L83" s="97" t="str">
        <f>VLOOKUP(C83,'Trips&amp;Operators'!$C$1:$E$9999,3,0)</f>
        <v>DAVIS</v>
      </c>
      <c r="M83" s="141" t="s">
        <v>89</v>
      </c>
      <c r="N83" s="10"/>
      <c r="O83" s="34"/>
      <c r="P83" s="115" t="str">
        <f>VLOOKUP(C83,'Train Runs'!$A$13:$AE$186,31,0)</f>
        <v>aws s3 cp s3://rtdc.mdm.uploadarchive/RTDC4014/2016-08-15/ "%USERPROFILE%\AppData\Local\Temp\OnboardLogs"\RTDC4014\2016-08-15 --recursive &amp; "%USERPROFILE%\Documents\GitHub\mrs-test-scripts\Headless Mode &amp; Sideloading\WalkAndUnGZ.bat" "%USERPROFILE%\AppData\Local\Temp\OnboardLogs"\RTDC4014\2016-08-15 &amp; 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</v>
      </c>
      <c r="Q83" s="119" t="str">
        <f>VLOOKUP(C83,'Train Runs'!$A$13:$AE$186,22,0)</f>
        <v>https://search-rtdc-monitor-bjffxe2xuh6vdkpspy63sjmuny.us-east-1.es.amazonaws.com/_plugin/kibana/#/discover/Steve-Slow-Train-Analysis-(2080s-and-2083s)?_g=(refreshInterval:(display:Off,section:0,value:0),time:(from:'2016-08-15 05:40:09-0600',mode:absolute,to:'2016-08-15 08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83" s="122" t="str">
        <f t="shared" si="10"/>
        <v>"C:\Program Files (x86)\AstroGrep\AstroGrep.exe" /spath="%USERPROFILE%\AppData\Local\Temp\OnboardLogs" /stypes="*4014*201608151*" /stext=" 13:.+((SYSTEM_STATE.+slice.+state.+changed )|(ment ac)|(system.+state.+changed )|(\|lc)|(penalty)|(\[timeout)|(PRM\|1\|D)|(kpr)|(kdp)|(\|loc))" /e /r /s</v>
      </c>
      <c r="S83" s="9" t="str">
        <f t="shared" si="11"/>
        <v>4014</v>
      </c>
      <c r="T83" s="39">
        <f t="shared" si="12"/>
        <v>42597.546180555553</v>
      </c>
      <c r="U83" s="53" t="str">
        <f t="shared" si="13"/>
        <v>NW</v>
      </c>
      <c r="V83" s="53" t="str">
        <f t="shared" si="14"/>
        <v>KEEP</v>
      </c>
    </row>
    <row r="84" spans="1:22" x14ac:dyDescent="0.25">
      <c r="A84" s="39">
        <v>42597.315787037034</v>
      </c>
      <c r="B84" s="34" t="s">
        <v>323</v>
      </c>
      <c r="C84" s="34" t="s">
        <v>544</v>
      </c>
      <c r="D84" s="34" t="s">
        <v>49</v>
      </c>
      <c r="E84" s="34" t="s">
        <v>50</v>
      </c>
      <c r="F84" s="50">
        <v>0</v>
      </c>
      <c r="G84" s="50">
        <v>159</v>
      </c>
      <c r="H84" s="50">
        <v>57882</v>
      </c>
      <c r="I84" s="34" t="s">
        <v>51</v>
      </c>
      <c r="J84" s="50">
        <v>59048</v>
      </c>
      <c r="K84" s="34" t="s">
        <v>52</v>
      </c>
      <c r="L84" s="97" t="str">
        <f>VLOOKUP(C84,'Trips&amp;Operators'!$C$1:$E$9999,3,0)</f>
        <v>ROCHA</v>
      </c>
      <c r="M84" s="141" t="s">
        <v>89</v>
      </c>
      <c r="N84" s="10"/>
      <c r="O84" s="34"/>
      <c r="P84" s="115" t="str">
        <f>VLOOKUP(C84,'Train Runs'!$A$13:$AE$186,31,0)</f>
        <v>aws s3 cp s3://rtdc.mdm.uploadarchive/RTDC4016/2016-08-15/ "%USERPROFILE%\AppData\Local\Temp\OnboardLogs"\RTDC4016\2016-08-15 --recursive &amp; "%USERPROFILE%\Documents\GitHub\mrs-test-scripts\Headless Mode &amp; Sideloading\WalkAndUnGZ.bat" "%USERPROFILE%\AppData\Local\Temp\OnboardLogs"\RTDC4016\2016-08-15 &amp; 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</v>
      </c>
      <c r="Q84" s="119" t="str">
        <f>VLOOKUP(C84,'Train Runs'!$A$13:$AE$186,22,0)</f>
        <v>https://search-rtdc-monitor-bjffxe2xuh6vdkpspy63sjmuny.us-east-1.es.amazonaws.com/_plugin/kibana/#/discover/Steve-Slow-Train-Analysis-(2080s-and-2083s)?_g=(refreshInterval:(display:Off,section:0,value:0),time:(from:'2016-08-15 06:01:40-0600',mode:absolute,to:'2016-08-15 08:34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84" s="122" t="str">
        <f t="shared" si="10"/>
        <v>"C:\Program Files (x86)\AstroGrep\AstroGrep.exe" /spath="%USERPROFILE%\AppData\Local\Temp\OnboardLogs" /stypes="*4016*201608151*" /stext=" 13:.+((SYSTEM_STATE.+slice.+state.+changed )|(ment ac)|(system.+state.+changed )|(\|lc)|(penalty)|(\[timeout)|(PRM\|1\|D)|(kpr)|(kdp)|(\|loc))" /e /r /s</v>
      </c>
      <c r="S84" s="9" t="str">
        <f t="shared" si="11"/>
        <v>4016</v>
      </c>
      <c r="T84" s="39">
        <f t="shared" si="12"/>
        <v>42597.565787037034</v>
      </c>
      <c r="U84" s="53" t="str">
        <f t="shared" si="13"/>
        <v>NW</v>
      </c>
      <c r="V84" s="53" t="str">
        <f t="shared" si="14"/>
        <v>KEEP</v>
      </c>
    </row>
    <row r="85" spans="1:22" x14ac:dyDescent="0.25">
      <c r="A85" s="39">
        <v>42597.71434027778</v>
      </c>
      <c r="B85" s="34" t="s">
        <v>118</v>
      </c>
      <c r="C85" s="34" t="s">
        <v>603</v>
      </c>
      <c r="D85" s="34" t="s">
        <v>49</v>
      </c>
      <c r="E85" s="34" t="s">
        <v>50</v>
      </c>
      <c r="F85" s="50">
        <v>0</v>
      </c>
      <c r="G85" s="50">
        <v>8</v>
      </c>
      <c r="H85" s="50">
        <v>59010</v>
      </c>
      <c r="I85" s="34" t="s">
        <v>51</v>
      </c>
      <c r="J85" s="50">
        <v>59048</v>
      </c>
      <c r="K85" s="34" t="s">
        <v>52</v>
      </c>
      <c r="L85" s="97" t="str">
        <f>VLOOKUP(C85,'Trips&amp;Operators'!$C$1:$E$9999,3,0)</f>
        <v>STORY</v>
      </c>
      <c r="M85" s="141" t="s">
        <v>89</v>
      </c>
      <c r="N85" s="10"/>
      <c r="O85" s="34"/>
      <c r="P85" s="115" t="e">
        <f>VLOOKUP(C85,'Train Runs'!$A$13:$AE$186,31,0)</f>
        <v>#N/A</v>
      </c>
      <c r="Q85" s="119" t="e">
        <f>VLOOKUP(C85,'Train Runs'!$A$13:$AE$186,22,0)</f>
        <v>#N/A</v>
      </c>
      <c r="R85" s="122" t="str">
        <f t="shared" si="10"/>
        <v>"C:\Program Files (x86)\AstroGrep\AstroGrep.exe" /spath="%USERPROFILE%\AppData\Local\Temp\OnboardLogs" /stypes="*4014*201608152*" /stext=" 23:.+((SYSTEM_STATE.+slice.+state.+changed )|(ment ac)|(system.+state.+changed )|(\|lc)|(penalty)|(\[timeout)|(PRM\|1\|D)|(kpr)|(kdp)|(\|loc))" /e /r /s</v>
      </c>
      <c r="S85" s="9" t="str">
        <f t="shared" si="11"/>
        <v>4014</v>
      </c>
      <c r="T85" s="39">
        <f t="shared" si="12"/>
        <v>42597.96434027778</v>
      </c>
      <c r="U85" s="53" t="str">
        <f t="shared" si="13"/>
        <v>NW</v>
      </c>
      <c r="V85" s="53" t="str">
        <f t="shared" si="14"/>
        <v>OMIT</v>
      </c>
    </row>
    <row r="86" spans="1:22" x14ac:dyDescent="0.25">
      <c r="A86" s="39">
        <v>42597.753657407404</v>
      </c>
      <c r="B86" s="34" t="s">
        <v>118</v>
      </c>
      <c r="C86" s="34" t="s">
        <v>612</v>
      </c>
      <c r="D86" s="34" t="s">
        <v>49</v>
      </c>
      <c r="E86" s="34" t="s">
        <v>50</v>
      </c>
      <c r="F86" s="50">
        <v>0</v>
      </c>
      <c r="G86" s="50">
        <v>98</v>
      </c>
      <c r="H86" s="50">
        <v>58696</v>
      </c>
      <c r="I86" s="34" t="s">
        <v>51</v>
      </c>
      <c r="J86" s="50">
        <v>59048</v>
      </c>
      <c r="K86" s="34" t="s">
        <v>52</v>
      </c>
      <c r="L86" s="97" t="str">
        <f>VLOOKUP(C86,'Trips&amp;Operators'!$C$1:$E$9999,3,0)</f>
        <v>STORY</v>
      </c>
      <c r="M86" s="141" t="s">
        <v>89</v>
      </c>
      <c r="N86" s="10"/>
      <c r="O86" s="34"/>
      <c r="P86" s="115" t="e">
        <f>VLOOKUP(C86,'Train Runs'!$A$13:$AE$186,31,0)</f>
        <v>#N/A</v>
      </c>
      <c r="Q86" s="119" t="e">
        <f>VLOOKUP(C86,'Train Runs'!$A$13:$AE$186,22,0)</f>
        <v>#N/A</v>
      </c>
      <c r="R86" s="122" t="str">
        <f t="shared" si="10"/>
        <v>"C:\Program Files (x86)\AstroGrep\AstroGrep.exe" /spath="%USERPROFILE%\AppData\Local\Temp\OnboardLogs" /stypes="*4014*201608160*" /stext=" 00:.+((SYSTEM_STATE.+slice.+state.+changed )|(ment ac)|(system.+state.+changed )|(\|lc)|(penalty)|(\[timeout)|(PRM\|1\|D)|(kpr)|(kdp)|(\|loc))" /e /r /s</v>
      </c>
      <c r="S86" s="9" t="str">
        <f t="shared" si="11"/>
        <v>4014</v>
      </c>
      <c r="T86" s="39">
        <f t="shared" si="12"/>
        <v>42598.003657407404</v>
      </c>
      <c r="U86" s="53" t="str">
        <f t="shared" si="13"/>
        <v>NW</v>
      </c>
      <c r="V86" s="53" t="str">
        <f t="shared" si="14"/>
        <v>KEEP</v>
      </c>
    </row>
    <row r="87" spans="1:22" x14ac:dyDescent="0.25">
      <c r="A87" s="39">
        <v>42597.754374999997</v>
      </c>
      <c r="B87" s="34" t="s">
        <v>118</v>
      </c>
      <c r="C87" s="34" t="s">
        <v>612</v>
      </c>
      <c r="D87" s="34" t="s">
        <v>49</v>
      </c>
      <c r="E87" s="34" t="s">
        <v>50</v>
      </c>
      <c r="F87" s="50">
        <v>0</v>
      </c>
      <c r="G87" s="50">
        <v>16</v>
      </c>
      <c r="H87" s="50">
        <v>59008</v>
      </c>
      <c r="I87" s="34" t="s">
        <v>51</v>
      </c>
      <c r="J87" s="50">
        <v>59048</v>
      </c>
      <c r="K87" s="34" t="s">
        <v>52</v>
      </c>
      <c r="L87" s="97" t="str">
        <f>VLOOKUP(C87,'Trips&amp;Operators'!$C$1:$E$9999,3,0)</f>
        <v>STORY</v>
      </c>
      <c r="M87" s="141" t="s">
        <v>89</v>
      </c>
      <c r="N87" s="10"/>
      <c r="O87" s="34"/>
      <c r="P87" s="115" t="e">
        <f>VLOOKUP(C87,'Train Runs'!$A$13:$AE$186,31,0)</f>
        <v>#N/A</v>
      </c>
      <c r="Q87" s="119" t="e">
        <f>VLOOKUP(C87,'Train Runs'!$A$13:$AE$186,22,0)</f>
        <v>#N/A</v>
      </c>
      <c r="R87" s="122" t="str">
        <f t="shared" si="10"/>
        <v>"C:\Program Files (x86)\AstroGrep\AstroGrep.exe" /spath="%USERPROFILE%\AppData\Local\Temp\OnboardLogs" /stypes="*4014*201608160*" /stext=" 00:.+((SYSTEM_STATE.+slice.+state.+changed )|(ment ac)|(system.+state.+changed )|(\|lc)|(penalty)|(\[timeout)|(PRM\|1\|D)|(kpr)|(kdp)|(\|loc))" /e /r /s</v>
      </c>
      <c r="S87" s="9" t="str">
        <f t="shared" si="11"/>
        <v>4014</v>
      </c>
      <c r="T87" s="39">
        <f t="shared" si="12"/>
        <v>42598.004374999997</v>
      </c>
      <c r="U87" s="53" t="str">
        <f t="shared" si="13"/>
        <v>NW</v>
      </c>
      <c r="V87" s="53" t="str">
        <f t="shared" si="14"/>
        <v>KEEP</v>
      </c>
    </row>
    <row r="88" spans="1:22" x14ac:dyDescent="0.25">
      <c r="A88" s="39">
        <v>42597.796898148146</v>
      </c>
      <c r="B88" s="34" t="s">
        <v>118</v>
      </c>
      <c r="C88" s="34" t="s">
        <v>619</v>
      </c>
      <c r="D88" s="34" t="s">
        <v>49</v>
      </c>
      <c r="E88" s="34" t="s">
        <v>50</v>
      </c>
      <c r="F88" s="50">
        <v>0</v>
      </c>
      <c r="G88" s="50">
        <v>32</v>
      </c>
      <c r="H88" s="50">
        <v>58982</v>
      </c>
      <c r="I88" s="34" t="s">
        <v>51</v>
      </c>
      <c r="J88" s="50">
        <v>59048</v>
      </c>
      <c r="K88" s="34" t="s">
        <v>52</v>
      </c>
      <c r="L88" s="97" t="str">
        <f>VLOOKUP(C88,'Trips&amp;Operators'!$C$1:$E$9999,3,0)</f>
        <v>STORY</v>
      </c>
      <c r="M88" s="141" t="s">
        <v>89</v>
      </c>
      <c r="N88" s="10"/>
      <c r="O88" s="34"/>
      <c r="P88" s="115" t="e">
        <f>VLOOKUP(C88,'Train Runs'!$A$13:$AE$186,31,0)</f>
        <v>#N/A</v>
      </c>
      <c r="Q88" s="119" t="e">
        <f>VLOOKUP(C88,'Train Runs'!$A$13:$AE$186,22,0)</f>
        <v>#N/A</v>
      </c>
      <c r="R88" s="122" t="str">
        <f t="shared" si="10"/>
        <v>"C:\Program Files (x86)\AstroGrep\AstroGrep.exe" /spath="%USERPROFILE%\AppData\Local\Temp\OnboardLogs" /stypes="*4014*201608160*" /stext=" 01:.+((SYSTEM_STATE.+slice.+state.+changed )|(ment ac)|(system.+state.+changed )|(\|lc)|(penalty)|(\[timeout)|(PRM\|1\|D)|(kpr)|(kdp)|(\|loc))" /e /r /s</v>
      </c>
      <c r="S88" s="9" t="str">
        <f t="shared" si="11"/>
        <v>4014</v>
      </c>
      <c r="T88" s="39">
        <f t="shared" si="12"/>
        <v>42598.046898148146</v>
      </c>
      <c r="U88" s="53" t="str">
        <f t="shared" si="13"/>
        <v>NW</v>
      </c>
      <c r="V88" s="53" t="str">
        <f t="shared" si="14"/>
        <v>KEEP</v>
      </c>
    </row>
    <row r="89" spans="1:22" x14ac:dyDescent="0.25">
      <c r="A89" s="39">
        <v>42597.900069444448</v>
      </c>
      <c r="B89" s="34" t="s">
        <v>323</v>
      </c>
      <c r="C89" s="34" t="s">
        <v>631</v>
      </c>
      <c r="D89" s="34" t="s">
        <v>49</v>
      </c>
      <c r="E89" s="34" t="s">
        <v>50</v>
      </c>
      <c r="F89" s="50">
        <v>0</v>
      </c>
      <c r="G89" s="50">
        <v>18</v>
      </c>
      <c r="H89" s="50">
        <v>58992</v>
      </c>
      <c r="I89" s="34" t="s">
        <v>51</v>
      </c>
      <c r="J89" s="50">
        <v>59048</v>
      </c>
      <c r="K89" s="34" t="s">
        <v>52</v>
      </c>
      <c r="L89" s="97" t="str">
        <f>VLOOKUP(C89,'Trips&amp;Operators'!$C$1:$E$9999,3,0)</f>
        <v>STORY</v>
      </c>
      <c r="M89" s="141" t="s">
        <v>89</v>
      </c>
      <c r="N89" s="10"/>
      <c r="O89" s="34"/>
      <c r="P89" s="115" t="e">
        <f>VLOOKUP(C89,'Train Runs'!$A$13:$AE$186,31,0)</f>
        <v>#N/A</v>
      </c>
      <c r="Q89" s="119" t="e">
        <f>VLOOKUP(C89,'Train Runs'!$A$13:$AE$186,22,0)</f>
        <v>#N/A</v>
      </c>
      <c r="R89" s="122" t="str">
        <f t="shared" si="10"/>
        <v>"C:\Program Files (x86)\AstroGrep\AstroGrep.exe" /spath="%USERPROFILE%\AppData\Local\Temp\OnboardLogs" /stypes="*4016*201608160*" /stext=" 03:.+((SYSTEM_STATE.+slice.+state.+changed )|(ment ac)|(system.+state.+changed )|(\|lc)|(penalty)|(\[timeout)|(PRM\|1\|D)|(kpr)|(kdp)|(\|loc))" /e /r /s</v>
      </c>
      <c r="S89" s="9" t="str">
        <f t="shared" si="11"/>
        <v>4016</v>
      </c>
      <c r="T89" s="39">
        <f t="shared" si="12"/>
        <v>42598.150069444448</v>
      </c>
      <c r="U89" s="53" t="str">
        <f t="shared" si="13"/>
        <v>NW</v>
      </c>
      <c r="V89" s="53" t="str">
        <f t="shared" si="14"/>
        <v>KEEP</v>
      </c>
    </row>
  </sheetData>
  <autoFilter ref="A6:V89"/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6" priority="14" operator="equal">
      <formula>"Y"</formula>
    </cfRule>
  </conditionalFormatting>
  <conditionalFormatting sqref="A7:N89">
    <cfRule type="expression" dxfId="5" priority="7">
      <formula>$M7="Y"</formula>
    </cfRule>
  </conditionalFormatting>
  <conditionalFormatting sqref="M2:M3">
    <cfRule type="cellIs" dxfId="4" priority="5" operator="equal">
      <formula>"Y"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7"/>
  <sheetViews>
    <sheetView workbookViewId="0">
      <selection activeCell="D25" sqref="D25"/>
    </sheetView>
  </sheetViews>
  <sheetFormatPr defaultRowHeight="15" x14ac:dyDescent="0.25"/>
  <cols>
    <col min="1" max="1" width="9.140625" style="71" customWidth="1"/>
    <col min="2" max="2" width="8" style="139" bestFit="1" customWidth="1"/>
    <col min="3" max="3" width="9.85546875" style="130" bestFit="1" customWidth="1"/>
    <col min="4" max="4" width="45.140625" bestFit="1" customWidth="1"/>
    <col min="5" max="5" width="18.140625" customWidth="1"/>
    <col min="6" max="6" width="17" customWidth="1"/>
    <col min="7" max="7" width="14.140625" customWidth="1"/>
    <col min="8" max="9" width="9.140625" customWidth="1"/>
  </cols>
  <sheetData>
    <row r="1" spans="1:10" s="24" customFormat="1" x14ac:dyDescent="0.25">
      <c r="A1" s="151" t="str">
        <f>"Trips that did not appear in PTC Data "&amp;TEXT(Variables!$A$2,"YYYY-mm-dd")</f>
        <v>Trips that did not appear in PTC Data 2016-08-15</v>
      </c>
      <c r="B1" s="151"/>
      <c r="C1" s="151"/>
      <c r="D1" s="151"/>
      <c r="E1" s="151"/>
    </row>
    <row r="2" spans="1:10" s="27" customFormat="1" ht="45" x14ac:dyDescent="0.25">
      <c r="A2" s="112" t="s">
        <v>66</v>
      </c>
      <c r="B2" s="136" t="s">
        <v>67</v>
      </c>
      <c r="C2" s="137" t="s">
        <v>68</v>
      </c>
      <c r="D2" s="27" t="s">
        <v>64</v>
      </c>
      <c r="E2" s="27" t="s">
        <v>65</v>
      </c>
      <c r="F2" s="27" t="s">
        <v>69</v>
      </c>
      <c r="G2" s="32" t="s">
        <v>70</v>
      </c>
      <c r="H2" s="32" t="s">
        <v>128</v>
      </c>
    </row>
    <row r="3" spans="1:10" x14ac:dyDescent="0.25">
      <c r="A3" s="77"/>
      <c r="B3" s="138"/>
      <c r="C3" s="138"/>
      <c r="D3" s="53"/>
      <c r="E3" s="25" t="e">
        <f>VLOOKUP(A3,'Trips&amp;Operators'!$C$2:$E$10000,3,FALSE)</f>
        <v>#N/A</v>
      </c>
      <c r="F3" s="25" t="e">
        <f>VLOOKUP(A3,'Trips&amp;Operators'!$C$1:$F$10000,4,FALSE)</f>
        <v>#N/A</v>
      </c>
      <c r="G3" s="33" t="e">
        <f>VLOOKUP(A3,'Trips&amp;Operators'!$C$1:$H$10000,5,FALSE)</f>
        <v>#N/A</v>
      </c>
      <c r="H3" s="32" t="str">
        <f t="shared" ref="H3:H8" si="0">"https://search-rtdc-monitor-bjffxe2xuh6vdkpspy63sjmuny.us-east-1.es.amazonaws.com/_plugin/kibana/#/discover/Missing-Trains-search-by-trip-ID?"&amp;"_g=(refreshInterval:(display:Off,section:0,value:0),time:(from:now-36h,mode:relative,to:now))"&amp;"&amp;_a=(columns:!(Source,'Message%20ID',Destination),filters:!(),index:'emp_*',interval:auto,query:(query_string:(analyze_wildcard:!t,query:%22"&amp;A3&amp;"%22)),sort:!(Time,asc))"</f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3" s="24"/>
      <c r="J3" s="24"/>
    </row>
    <row r="4" spans="1:10" x14ac:dyDescent="0.25">
      <c r="A4" s="77"/>
      <c r="B4" s="138"/>
      <c r="C4" s="138"/>
      <c r="D4" s="53"/>
      <c r="E4" s="25" t="e">
        <f>VLOOKUP(A4,'Trips&amp;Operators'!$C$2:$E$10000,3,FALSE)</f>
        <v>#N/A</v>
      </c>
      <c r="F4" s="25" t="e">
        <f>VLOOKUP(A4,'Trips&amp;Operators'!$C$1:$F$10000,4,FALSE)</f>
        <v>#N/A</v>
      </c>
      <c r="G4" s="33" t="e">
        <f>VLOOKUP(A4,'Trips&amp;Operators'!$C$1:$H$10000,5,FALSE)</f>
        <v>#N/A</v>
      </c>
      <c r="H4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4" s="24"/>
      <c r="J4" s="24"/>
    </row>
    <row r="5" spans="1:10" x14ac:dyDescent="0.25">
      <c r="A5" s="77"/>
      <c r="B5" s="138"/>
      <c r="C5" s="138"/>
      <c r="D5" s="53"/>
      <c r="E5" s="25" t="e">
        <f>VLOOKUP(A5,'Trips&amp;Operators'!$C$2:$E$10000,3,FALSE)</f>
        <v>#N/A</v>
      </c>
      <c r="F5" s="25" t="e">
        <f>VLOOKUP(A5,'Trips&amp;Operators'!$C$1:$F$10000,4,FALSE)</f>
        <v>#N/A</v>
      </c>
      <c r="G5" s="33" t="e">
        <f>VLOOKUP(A5,'Trips&amp;Operators'!$C$1:$H$10000,5,FALSE)</f>
        <v>#N/A</v>
      </c>
      <c r="H5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5" s="24"/>
      <c r="J5" s="24"/>
    </row>
    <row r="6" spans="1:10" x14ac:dyDescent="0.25">
      <c r="A6" s="77"/>
      <c r="B6" s="138"/>
      <c r="C6" s="138"/>
      <c r="D6" s="53"/>
      <c r="E6" s="25" t="e">
        <f>VLOOKUP(A6,'Trips&amp;Operators'!$C$2:$E$10000,3,FALSE)</f>
        <v>#N/A</v>
      </c>
      <c r="F6" s="25" t="e">
        <f>VLOOKUP(A6,'Trips&amp;Operators'!$C$1:$F$10000,4,FALSE)</f>
        <v>#N/A</v>
      </c>
      <c r="G6" s="33" t="e">
        <f>VLOOKUP(A6,'Trips&amp;Operators'!$C$1:$H$10000,5,FALSE)</f>
        <v>#N/A</v>
      </c>
      <c r="H6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6" s="24"/>
      <c r="J6" s="24"/>
    </row>
    <row r="7" spans="1:10" x14ac:dyDescent="0.25">
      <c r="A7" s="77"/>
      <c r="B7" s="138"/>
      <c r="C7" s="138"/>
      <c r="D7" s="53"/>
      <c r="E7" s="25" t="e">
        <f>VLOOKUP(A7,'Trips&amp;Operators'!$C$2:$E$10000,3,FALSE)</f>
        <v>#N/A</v>
      </c>
      <c r="F7" s="25" t="e">
        <f>VLOOKUP(A7,'Trips&amp;Operators'!$C$1:$F$10000,4,FALSE)</f>
        <v>#N/A</v>
      </c>
      <c r="G7" s="33" t="e">
        <f>VLOOKUP(A7,'Trips&amp;Operators'!$C$1:$H$10000,5,FALSE)</f>
        <v>#N/A</v>
      </c>
      <c r="H7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7" s="24"/>
      <c r="J7" s="24"/>
    </row>
    <row r="8" spans="1:10" x14ac:dyDescent="0.25">
      <c r="A8" s="77"/>
      <c r="B8" s="138"/>
      <c r="C8" s="138"/>
      <c r="D8" s="53"/>
      <c r="E8" s="25" t="e">
        <f>VLOOKUP(A8,'Trips&amp;Operators'!$C$2:$E$10000,3,FALSE)</f>
        <v>#N/A</v>
      </c>
      <c r="F8" s="25" t="e">
        <f>VLOOKUP(A8,'Trips&amp;Operators'!$C$1:$F$10000,4,FALSE)</f>
        <v>#N/A</v>
      </c>
      <c r="G8" s="33" t="e">
        <f>VLOOKUP(A8,'Trips&amp;Operators'!$C$1:$H$10000,5,FALSE)</f>
        <v>#N/A</v>
      </c>
      <c r="H8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8" s="24"/>
      <c r="J8" s="24"/>
    </row>
    <row r="9" spans="1:10" x14ac:dyDescent="0.25">
      <c r="B9" s="123"/>
      <c r="C9" s="123"/>
      <c r="H9" s="24"/>
      <c r="I9" s="24"/>
      <c r="J9" s="24"/>
    </row>
    <row r="10" spans="1:10" x14ac:dyDescent="0.25">
      <c r="B10" s="123"/>
      <c r="C10" s="123"/>
      <c r="H10" s="24"/>
      <c r="I10" s="24"/>
      <c r="J10" s="24"/>
    </row>
    <row r="11" spans="1:10" x14ac:dyDescent="0.25">
      <c r="B11" s="123"/>
      <c r="C11" s="123"/>
      <c r="H11" s="24"/>
      <c r="I11" s="24"/>
      <c r="J11" s="24"/>
    </row>
    <row r="12" spans="1:10" x14ac:dyDescent="0.25">
      <c r="B12" s="123"/>
      <c r="C12" s="123"/>
      <c r="H12" s="24"/>
      <c r="I12" s="24"/>
      <c r="J12" s="24"/>
    </row>
    <row r="13" spans="1:10" x14ac:dyDescent="0.25">
      <c r="B13" s="123"/>
      <c r="C13" s="123"/>
      <c r="H13" s="24"/>
      <c r="I13" s="24"/>
      <c r="J13" s="24"/>
    </row>
    <row r="14" spans="1:10" x14ac:dyDescent="0.25">
      <c r="B14" s="123"/>
      <c r="C14" s="123"/>
      <c r="H14" s="24"/>
      <c r="I14" s="24"/>
      <c r="J14" s="24"/>
    </row>
    <row r="15" spans="1:10" x14ac:dyDescent="0.25">
      <c r="B15" s="123"/>
      <c r="C15" s="123"/>
      <c r="H15" s="24"/>
      <c r="I15" s="24"/>
      <c r="J15" s="24"/>
    </row>
    <row r="16" spans="1:10" x14ac:dyDescent="0.25">
      <c r="B16" s="123"/>
      <c r="C16" s="123"/>
      <c r="H16" s="24"/>
      <c r="I16" s="24"/>
      <c r="J16" s="24"/>
    </row>
    <row r="17" spans="2:10" x14ac:dyDescent="0.25">
      <c r="B17" s="123"/>
      <c r="C17" s="123"/>
      <c r="H17" s="24"/>
      <c r="I17" s="24"/>
      <c r="J17" s="24"/>
    </row>
    <row r="18" spans="2:10" x14ac:dyDescent="0.25">
      <c r="B18" s="123"/>
      <c r="C18" s="123"/>
      <c r="H18" s="24"/>
      <c r="I18" s="24"/>
      <c r="J18" s="24"/>
    </row>
    <row r="19" spans="2:10" x14ac:dyDescent="0.25">
      <c r="B19" s="123"/>
      <c r="C19" s="123"/>
      <c r="H19" s="24"/>
      <c r="I19" s="24"/>
      <c r="J19" s="24"/>
    </row>
    <row r="20" spans="2:10" x14ac:dyDescent="0.25">
      <c r="B20" s="123"/>
      <c r="C20" s="123"/>
      <c r="H20" s="24"/>
      <c r="I20" s="24"/>
      <c r="J20" s="24"/>
    </row>
    <row r="21" spans="2:10" x14ac:dyDescent="0.25">
      <c r="B21" s="123"/>
      <c r="C21" s="123"/>
      <c r="H21" s="24"/>
      <c r="I21" s="24"/>
      <c r="J21" s="24"/>
    </row>
    <row r="22" spans="2:10" x14ac:dyDescent="0.25">
      <c r="B22" s="123"/>
      <c r="C22" s="123"/>
      <c r="H22" s="24"/>
      <c r="I22" s="24"/>
      <c r="J22" s="24"/>
    </row>
    <row r="23" spans="2:10" x14ac:dyDescent="0.25">
      <c r="B23" s="123"/>
      <c r="C23" s="123"/>
      <c r="H23" s="24"/>
      <c r="I23" s="24"/>
      <c r="J23" s="24"/>
    </row>
    <row r="24" spans="2:10" x14ac:dyDescent="0.25">
      <c r="B24" s="123"/>
      <c r="C24" s="123"/>
      <c r="H24" s="24"/>
      <c r="I24" s="24"/>
      <c r="J24" s="24"/>
    </row>
    <row r="25" spans="2:10" x14ac:dyDescent="0.25">
      <c r="B25" s="123"/>
      <c r="C25" s="123"/>
      <c r="H25" s="24"/>
      <c r="I25" s="24"/>
      <c r="J25" s="24"/>
    </row>
    <row r="26" spans="2:10" x14ac:dyDescent="0.25">
      <c r="B26" s="123"/>
      <c r="C26" s="123"/>
      <c r="H26" s="24"/>
      <c r="I26" s="24"/>
      <c r="J26" s="24"/>
    </row>
    <row r="27" spans="2:10" x14ac:dyDescent="0.25">
      <c r="B27" s="123"/>
      <c r="C27" s="123"/>
      <c r="H27" s="24"/>
      <c r="I27" s="24"/>
      <c r="J27" s="24"/>
    </row>
    <row r="28" spans="2:10" x14ac:dyDescent="0.25">
      <c r="B28" s="123"/>
      <c r="C28" s="123"/>
      <c r="H28" s="24"/>
      <c r="I28" s="24"/>
      <c r="J28" s="24"/>
    </row>
    <row r="29" spans="2:10" x14ac:dyDescent="0.25">
      <c r="B29" s="123"/>
      <c r="C29" s="123"/>
      <c r="H29" s="24"/>
      <c r="I29" s="24"/>
      <c r="J29" s="24"/>
    </row>
    <row r="30" spans="2:10" x14ac:dyDescent="0.25">
      <c r="B30" s="123"/>
      <c r="C30" s="123"/>
      <c r="H30" s="24"/>
      <c r="I30" s="24"/>
      <c r="J30" s="24"/>
    </row>
    <row r="31" spans="2:10" x14ac:dyDescent="0.25">
      <c r="B31" s="123"/>
      <c r="C31" s="123"/>
      <c r="H31" s="24"/>
      <c r="I31" s="24"/>
      <c r="J31" s="24"/>
    </row>
    <row r="32" spans="2:10" x14ac:dyDescent="0.25">
      <c r="B32" s="123"/>
      <c r="C32" s="123"/>
      <c r="H32" s="24"/>
      <c r="I32" s="24"/>
      <c r="J32" s="24"/>
    </row>
    <row r="33" spans="2:10" x14ac:dyDescent="0.25">
      <c r="B33" s="123"/>
      <c r="C33" s="123"/>
      <c r="H33" s="24"/>
      <c r="I33" s="24"/>
      <c r="J33" s="24"/>
    </row>
    <row r="34" spans="2:10" x14ac:dyDescent="0.25">
      <c r="B34" s="123"/>
      <c r="C34" s="123"/>
      <c r="H34" s="24"/>
      <c r="I34" s="24"/>
      <c r="J34" s="24"/>
    </row>
    <row r="35" spans="2:10" x14ac:dyDescent="0.25">
      <c r="B35" s="123"/>
      <c r="C35" s="123"/>
      <c r="H35" s="24"/>
      <c r="I35" s="24"/>
      <c r="J35" s="24"/>
    </row>
    <row r="36" spans="2:10" x14ac:dyDescent="0.25">
      <c r="B36" s="123"/>
      <c r="C36" s="123"/>
      <c r="H36" s="24"/>
      <c r="I36" s="24"/>
      <c r="J36" s="24"/>
    </row>
    <row r="37" spans="2:10" x14ac:dyDescent="0.25">
      <c r="B37" s="123"/>
      <c r="C37" s="123"/>
      <c r="H37" s="24"/>
      <c r="I37" s="24"/>
      <c r="J37" s="24"/>
    </row>
    <row r="38" spans="2:10" x14ac:dyDescent="0.25">
      <c r="B38" s="123"/>
      <c r="C38" s="123"/>
      <c r="H38" s="24"/>
      <c r="I38" s="24"/>
      <c r="J38" s="24"/>
    </row>
    <row r="39" spans="2:10" x14ac:dyDescent="0.25">
      <c r="B39" s="123"/>
      <c r="C39" s="123"/>
      <c r="H39" s="24"/>
      <c r="I39" s="24"/>
      <c r="J39" s="24"/>
    </row>
    <row r="40" spans="2:10" x14ac:dyDescent="0.25">
      <c r="B40" s="123"/>
      <c r="C40" s="123"/>
      <c r="H40" s="24"/>
      <c r="I40" s="24"/>
      <c r="J40" s="24"/>
    </row>
    <row r="41" spans="2:10" x14ac:dyDescent="0.25">
      <c r="B41" s="123"/>
      <c r="C41" s="123"/>
      <c r="H41" s="24"/>
      <c r="I41" s="24"/>
      <c r="J41" s="24"/>
    </row>
    <row r="42" spans="2:10" x14ac:dyDescent="0.25">
      <c r="B42" s="123"/>
      <c r="C42" s="123"/>
      <c r="H42" s="24"/>
      <c r="I42" s="24"/>
      <c r="J42" s="24"/>
    </row>
    <row r="43" spans="2:10" x14ac:dyDescent="0.25">
      <c r="B43" s="123"/>
      <c r="C43" s="123"/>
      <c r="H43" s="24"/>
      <c r="I43" s="24"/>
      <c r="J43" s="24"/>
    </row>
    <row r="44" spans="2:10" x14ac:dyDescent="0.25">
      <c r="B44" s="123"/>
      <c r="C44" s="123"/>
      <c r="H44" s="24"/>
      <c r="I44" s="24"/>
      <c r="J44" s="24"/>
    </row>
    <row r="45" spans="2:10" x14ac:dyDescent="0.25">
      <c r="B45" s="123"/>
      <c r="C45" s="123"/>
      <c r="H45" s="24"/>
      <c r="I45" s="24"/>
      <c r="J45" s="24"/>
    </row>
    <row r="46" spans="2:10" x14ac:dyDescent="0.25">
      <c r="B46" s="123"/>
      <c r="C46" s="123"/>
      <c r="H46" s="24"/>
      <c r="I46" s="24"/>
      <c r="J46" s="24"/>
    </row>
    <row r="47" spans="2:10" x14ac:dyDescent="0.25">
      <c r="B47" s="123"/>
      <c r="C47" s="123"/>
      <c r="H47" s="24"/>
      <c r="I47" s="24"/>
      <c r="J47" s="24"/>
    </row>
    <row r="48" spans="2:10" x14ac:dyDescent="0.25">
      <c r="B48" s="123"/>
      <c r="C48" s="123"/>
      <c r="H48" s="24"/>
      <c r="I48" s="24"/>
      <c r="J48" s="24"/>
    </row>
    <row r="49" spans="2:10" x14ac:dyDescent="0.25">
      <c r="B49" s="123"/>
      <c r="C49" s="123"/>
      <c r="H49" s="24"/>
      <c r="I49" s="24"/>
      <c r="J49" s="24"/>
    </row>
    <row r="50" spans="2:10" x14ac:dyDescent="0.25">
      <c r="B50" s="123"/>
      <c r="C50" s="123"/>
      <c r="H50" s="24"/>
      <c r="I50" s="24"/>
      <c r="J50" s="24"/>
    </row>
    <row r="51" spans="2:10" x14ac:dyDescent="0.25">
      <c r="B51" s="123"/>
      <c r="C51" s="123"/>
      <c r="H51" s="24"/>
      <c r="I51" s="24"/>
      <c r="J51" s="24"/>
    </row>
    <row r="52" spans="2:10" x14ac:dyDescent="0.25">
      <c r="B52" s="123"/>
      <c r="C52" s="123"/>
      <c r="H52" s="24"/>
      <c r="I52" s="24"/>
      <c r="J52" s="24"/>
    </row>
    <row r="53" spans="2:10" x14ac:dyDescent="0.25">
      <c r="B53" s="123"/>
      <c r="C53" s="123"/>
      <c r="H53" s="24"/>
      <c r="I53" s="24"/>
      <c r="J53" s="24"/>
    </row>
    <row r="54" spans="2:10" x14ac:dyDescent="0.25">
      <c r="B54" s="123"/>
      <c r="C54" s="123"/>
      <c r="H54" s="24"/>
      <c r="I54" s="24"/>
      <c r="J54" s="24"/>
    </row>
    <row r="55" spans="2:10" x14ac:dyDescent="0.25">
      <c r="B55" s="123"/>
      <c r="C55" s="123"/>
      <c r="H55" s="24"/>
      <c r="I55" s="24"/>
      <c r="J55" s="24"/>
    </row>
    <row r="56" spans="2:10" x14ac:dyDescent="0.25">
      <c r="B56" s="123"/>
      <c r="C56" s="123"/>
      <c r="H56" s="24"/>
      <c r="I56" s="24"/>
      <c r="J56" s="24"/>
    </row>
    <row r="57" spans="2:10" x14ac:dyDescent="0.25">
      <c r="B57" s="123"/>
      <c r="C57" s="123"/>
      <c r="H57" s="24"/>
      <c r="I57" s="24"/>
      <c r="J57" s="24"/>
    </row>
    <row r="58" spans="2:10" x14ac:dyDescent="0.25">
      <c r="B58" s="123"/>
      <c r="C58" s="123"/>
      <c r="H58" s="24"/>
      <c r="I58" s="24"/>
      <c r="J58" s="24"/>
    </row>
    <row r="59" spans="2:10" x14ac:dyDescent="0.25">
      <c r="B59" s="123"/>
      <c r="C59" s="123"/>
      <c r="H59" s="24"/>
      <c r="I59" s="24"/>
      <c r="J59" s="24"/>
    </row>
    <row r="60" spans="2:10" x14ac:dyDescent="0.25">
      <c r="B60" s="123"/>
      <c r="C60" s="123"/>
      <c r="H60" s="24"/>
      <c r="I60" s="24"/>
      <c r="J60" s="24"/>
    </row>
    <row r="61" spans="2:10" x14ac:dyDescent="0.25">
      <c r="B61" s="123"/>
      <c r="C61" s="123"/>
      <c r="H61" s="24"/>
      <c r="I61" s="24"/>
      <c r="J61" s="24"/>
    </row>
    <row r="62" spans="2:10" x14ac:dyDescent="0.25">
      <c r="B62" s="123"/>
      <c r="C62" s="123"/>
      <c r="H62" s="24"/>
      <c r="I62" s="24"/>
      <c r="J62" s="24"/>
    </row>
    <row r="63" spans="2:10" x14ac:dyDescent="0.25">
      <c r="B63" s="123"/>
      <c r="C63" s="123"/>
      <c r="H63" s="24"/>
      <c r="I63" s="24"/>
      <c r="J63" s="24"/>
    </row>
    <row r="64" spans="2:10" x14ac:dyDescent="0.25">
      <c r="B64" s="123"/>
      <c r="C64" s="123"/>
      <c r="H64" s="24"/>
      <c r="I64" s="24"/>
      <c r="J64" s="24"/>
    </row>
    <row r="65" spans="2:10" x14ac:dyDescent="0.25">
      <c r="B65" s="123"/>
      <c r="C65" s="123"/>
      <c r="H65" s="24"/>
      <c r="I65" s="24"/>
      <c r="J65" s="24"/>
    </row>
    <row r="66" spans="2:10" x14ac:dyDescent="0.25">
      <c r="B66" s="123"/>
      <c r="C66" s="123"/>
      <c r="H66" s="24"/>
      <c r="I66" s="24"/>
      <c r="J66" s="24"/>
    </row>
    <row r="67" spans="2:10" x14ac:dyDescent="0.25">
      <c r="B67" s="123"/>
      <c r="C67" s="123"/>
      <c r="H67" s="24"/>
      <c r="I67" s="24"/>
      <c r="J67" s="24"/>
    </row>
    <row r="68" spans="2:10" x14ac:dyDescent="0.25">
      <c r="B68" s="123"/>
      <c r="C68" s="123"/>
      <c r="H68" s="24"/>
      <c r="I68" s="24"/>
      <c r="J68" s="24"/>
    </row>
    <row r="69" spans="2:10" x14ac:dyDescent="0.25">
      <c r="B69" s="123"/>
      <c r="C69" s="123"/>
      <c r="H69" s="24"/>
      <c r="I69" s="24"/>
      <c r="J69" s="24"/>
    </row>
    <row r="70" spans="2:10" x14ac:dyDescent="0.25">
      <c r="B70" s="123"/>
      <c r="C70" s="123"/>
      <c r="H70" s="24"/>
      <c r="I70" s="24"/>
      <c r="J70" s="24"/>
    </row>
    <row r="71" spans="2:10" x14ac:dyDescent="0.25">
      <c r="B71" s="123"/>
      <c r="C71" s="123"/>
      <c r="H71" s="24"/>
      <c r="I71" s="24"/>
      <c r="J71" s="24"/>
    </row>
    <row r="72" spans="2:10" x14ac:dyDescent="0.25">
      <c r="B72" s="123"/>
      <c r="C72" s="123"/>
      <c r="H72" s="24"/>
      <c r="I72" s="24"/>
      <c r="J72" s="24"/>
    </row>
    <row r="73" spans="2:10" x14ac:dyDescent="0.25">
      <c r="B73" s="123"/>
      <c r="C73" s="123"/>
      <c r="H73" s="24"/>
      <c r="I73" s="24"/>
      <c r="J73" s="24"/>
    </row>
    <row r="74" spans="2:10" x14ac:dyDescent="0.25">
      <c r="B74" s="123"/>
      <c r="C74" s="123"/>
      <c r="H74" s="24"/>
      <c r="I74" s="24"/>
      <c r="J74" s="24"/>
    </row>
    <row r="75" spans="2:10" x14ac:dyDescent="0.25">
      <c r="B75" s="123"/>
      <c r="C75" s="123"/>
      <c r="H75" s="24"/>
      <c r="I75" s="24"/>
      <c r="J75" s="24"/>
    </row>
    <row r="76" spans="2:10" x14ac:dyDescent="0.25">
      <c r="B76" s="123"/>
      <c r="C76" s="123"/>
      <c r="H76" s="24"/>
      <c r="I76" s="24"/>
      <c r="J76" s="24"/>
    </row>
    <row r="77" spans="2:10" x14ac:dyDescent="0.25">
      <c r="B77" s="123"/>
      <c r="C77" s="123"/>
      <c r="H77" s="24"/>
      <c r="I77" s="24"/>
      <c r="J77" s="24"/>
    </row>
    <row r="78" spans="2:10" x14ac:dyDescent="0.25">
      <c r="B78" s="123"/>
      <c r="C78" s="123"/>
      <c r="H78" s="24"/>
      <c r="I78" s="24"/>
      <c r="J78" s="24"/>
    </row>
    <row r="79" spans="2:10" x14ac:dyDescent="0.25">
      <c r="B79" s="123"/>
      <c r="C79" s="123"/>
      <c r="H79" s="24"/>
      <c r="I79" s="24"/>
      <c r="J79" s="24"/>
    </row>
    <row r="80" spans="2:10" x14ac:dyDescent="0.25">
      <c r="B80" s="123"/>
      <c r="C80" s="123"/>
      <c r="H80" s="24"/>
      <c r="I80" s="24"/>
      <c r="J80" s="24"/>
    </row>
    <row r="81" spans="2:10" x14ac:dyDescent="0.25">
      <c r="B81" s="123"/>
      <c r="C81" s="123"/>
      <c r="H81" s="24"/>
      <c r="I81" s="24"/>
      <c r="J81" s="24"/>
    </row>
    <row r="82" spans="2:10" x14ac:dyDescent="0.25">
      <c r="B82" s="123"/>
      <c r="C82" s="123"/>
      <c r="H82" s="24"/>
      <c r="I82" s="24"/>
      <c r="J82" s="24"/>
    </row>
    <row r="83" spans="2:10" x14ac:dyDescent="0.25">
      <c r="B83" s="123"/>
      <c r="C83" s="123"/>
      <c r="H83" s="24"/>
      <c r="I83" s="24"/>
      <c r="J83" s="24"/>
    </row>
    <row r="84" spans="2:10" x14ac:dyDescent="0.25">
      <c r="B84" s="123"/>
      <c r="C84" s="123"/>
      <c r="H84" s="24"/>
      <c r="I84" s="24"/>
      <c r="J84" s="24"/>
    </row>
    <row r="85" spans="2:10" x14ac:dyDescent="0.25">
      <c r="B85" s="123"/>
      <c r="C85" s="123"/>
      <c r="H85" s="24"/>
      <c r="I85" s="24"/>
      <c r="J85" s="24"/>
    </row>
    <row r="86" spans="2:10" x14ac:dyDescent="0.25">
      <c r="B86" s="123"/>
      <c r="C86" s="123"/>
      <c r="H86" s="24"/>
      <c r="I86" s="24"/>
      <c r="J86" s="24"/>
    </row>
    <row r="87" spans="2:10" x14ac:dyDescent="0.25">
      <c r="B87" s="123"/>
      <c r="C87" s="123"/>
      <c r="H87" s="24"/>
      <c r="I87" s="24"/>
      <c r="J87" s="24"/>
    </row>
    <row r="88" spans="2:10" x14ac:dyDescent="0.25">
      <c r="B88" s="123"/>
      <c r="C88" s="123"/>
      <c r="H88" s="24"/>
      <c r="I88" s="24"/>
      <c r="J88" s="24"/>
    </row>
    <row r="89" spans="2:10" x14ac:dyDescent="0.25">
      <c r="B89" s="123"/>
      <c r="C89" s="123"/>
      <c r="H89" s="24"/>
      <c r="I89" s="24"/>
      <c r="J89" s="24"/>
    </row>
    <row r="90" spans="2:10" x14ac:dyDescent="0.25">
      <c r="B90" s="123"/>
      <c r="C90" s="123"/>
      <c r="H90" s="24"/>
      <c r="I90" s="24"/>
      <c r="J90" s="24"/>
    </row>
    <row r="91" spans="2:10" x14ac:dyDescent="0.25">
      <c r="B91" s="123"/>
      <c r="C91" s="123"/>
      <c r="H91" s="24"/>
      <c r="I91" s="24"/>
      <c r="J91" s="24"/>
    </row>
    <row r="92" spans="2:10" x14ac:dyDescent="0.25">
      <c r="B92" s="123"/>
      <c r="C92" s="123"/>
      <c r="H92" s="24"/>
      <c r="I92" s="24"/>
      <c r="J92" s="24"/>
    </row>
    <row r="93" spans="2:10" x14ac:dyDescent="0.25">
      <c r="B93" s="123"/>
      <c r="C93" s="123"/>
      <c r="H93" s="24"/>
      <c r="I93" s="24"/>
      <c r="J93" s="24"/>
    </row>
    <row r="94" spans="2:10" x14ac:dyDescent="0.25">
      <c r="B94" s="123"/>
      <c r="C94" s="123"/>
      <c r="H94" s="24"/>
      <c r="I94" s="24"/>
      <c r="J94" s="24"/>
    </row>
    <row r="95" spans="2:10" x14ac:dyDescent="0.25">
      <c r="B95" s="123"/>
      <c r="C95" s="123"/>
      <c r="H95" s="24"/>
      <c r="I95" s="24"/>
      <c r="J95" s="24"/>
    </row>
    <row r="96" spans="2:10" x14ac:dyDescent="0.25">
      <c r="B96" s="123"/>
      <c r="C96" s="123"/>
      <c r="H96" s="24"/>
      <c r="I96" s="24"/>
      <c r="J96" s="24"/>
    </row>
    <row r="97" spans="2:10" x14ac:dyDescent="0.25">
      <c r="B97" s="123"/>
      <c r="C97" s="123"/>
      <c r="H97" s="24"/>
      <c r="I97" s="24"/>
      <c r="J97" s="24"/>
    </row>
    <row r="98" spans="2:10" x14ac:dyDescent="0.25">
      <c r="B98" s="123"/>
      <c r="C98" s="123"/>
      <c r="H98" s="24"/>
      <c r="I98" s="24"/>
      <c r="J98" s="24"/>
    </row>
    <row r="99" spans="2:10" x14ac:dyDescent="0.25">
      <c r="B99" s="123"/>
      <c r="C99" s="123"/>
      <c r="H99" s="24"/>
      <c r="I99" s="24"/>
      <c r="J99" s="24"/>
    </row>
    <row r="100" spans="2:10" x14ac:dyDescent="0.25">
      <c r="B100" s="123"/>
      <c r="C100" s="123"/>
      <c r="H100" s="24"/>
      <c r="I100" s="24"/>
      <c r="J100" s="24"/>
    </row>
    <row r="101" spans="2:10" x14ac:dyDescent="0.25">
      <c r="B101" s="123"/>
      <c r="C101" s="123"/>
      <c r="H101" s="24"/>
      <c r="I101" s="24"/>
      <c r="J101" s="24"/>
    </row>
    <row r="102" spans="2:10" x14ac:dyDescent="0.25">
      <c r="B102" s="123"/>
      <c r="C102" s="123"/>
      <c r="H102" s="24"/>
      <c r="I102" s="24"/>
      <c r="J102" s="24"/>
    </row>
    <row r="103" spans="2:10" x14ac:dyDescent="0.25">
      <c r="B103" s="123"/>
      <c r="C103" s="123"/>
      <c r="H103" s="24"/>
      <c r="I103" s="24"/>
      <c r="J103" s="24"/>
    </row>
    <row r="104" spans="2:10" x14ac:dyDescent="0.25">
      <c r="B104" s="123"/>
      <c r="C104" s="123"/>
      <c r="H104" s="24"/>
      <c r="I104" s="24"/>
      <c r="J104" s="24"/>
    </row>
    <row r="105" spans="2:10" x14ac:dyDescent="0.25">
      <c r="B105" s="123"/>
      <c r="C105" s="123"/>
      <c r="H105" s="24"/>
      <c r="I105" s="24"/>
      <c r="J105" s="24"/>
    </row>
    <row r="106" spans="2:10" x14ac:dyDescent="0.25">
      <c r="B106" s="123"/>
      <c r="C106" s="123"/>
      <c r="H106" s="24"/>
      <c r="I106" s="24"/>
      <c r="J106" s="24"/>
    </row>
    <row r="107" spans="2:10" x14ac:dyDescent="0.25">
      <c r="H107" s="24"/>
      <c r="I107" s="24"/>
      <c r="J107" s="24"/>
    </row>
  </sheetData>
  <autoFilter ref="A2:H2"/>
  <mergeCells count="1">
    <mergeCell ref="A1:E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1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4" bestFit="1" customWidth="1"/>
    <col min="7" max="7" width="18.28515625" style="8" bestFit="1" customWidth="1"/>
  </cols>
  <sheetData>
    <row r="1" spans="1:7" s="24" customFormat="1" x14ac:dyDescent="0.25">
      <c r="A1" s="8">
        <v>42597.052141203705</v>
      </c>
      <c r="B1" s="24" t="s">
        <v>94</v>
      </c>
      <c r="C1" s="24" t="s">
        <v>319</v>
      </c>
      <c r="D1" s="24">
        <v>1170000</v>
      </c>
      <c r="E1" s="24" t="s">
        <v>327</v>
      </c>
      <c r="F1" s="24" t="str">
        <f>B1</f>
        <v>rtdc.l.rtdc.4029:itc</v>
      </c>
      <c r="G1" s="8">
        <f>A1</f>
        <v>42597.052141203705</v>
      </c>
    </row>
    <row r="2" spans="1:7" x14ac:dyDescent="0.25">
      <c r="A2" s="8">
        <v>42597.056898148148</v>
      </c>
      <c r="B2" s="24" t="s">
        <v>324</v>
      </c>
      <c r="C2" s="24" t="s">
        <v>318</v>
      </c>
      <c r="D2" s="24">
        <v>2000000</v>
      </c>
      <c r="E2" s="24" t="s">
        <v>165</v>
      </c>
      <c r="F2" s="24" t="str">
        <f t="shared" ref="F2:F65" si="0">B2</f>
        <v>rtdc.l.rtdc.4026:itc</v>
      </c>
      <c r="G2" s="8">
        <f t="shared" ref="G2:G65" si="1">A2</f>
        <v>42597.056898148148</v>
      </c>
    </row>
    <row r="3" spans="1:7" x14ac:dyDescent="0.25">
      <c r="A3" s="8">
        <v>42597.061377314814</v>
      </c>
      <c r="B3" s="24" t="s">
        <v>271</v>
      </c>
      <c r="C3" s="24" t="s">
        <v>328</v>
      </c>
      <c r="D3" s="24">
        <v>1810000</v>
      </c>
      <c r="E3" s="24" t="s">
        <v>281</v>
      </c>
      <c r="F3" s="24" t="str">
        <f t="shared" si="0"/>
        <v>rtdc.l.rtdc.4011:itc</v>
      </c>
      <c r="G3" s="8">
        <f t="shared" si="1"/>
        <v>42597.061377314814</v>
      </c>
    </row>
    <row r="4" spans="1:7" x14ac:dyDescent="0.25">
      <c r="A4" s="8">
        <v>42597.089606481481</v>
      </c>
      <c r="B4" s="24" t="s">
        <v>322</v>
      </c>
      <c r="C4" s="24" t="s">
        <v>321</v>
      </c>
      <c r="D4" s="24">
        <v>2000000</v>
      </c>
      <c r="E4" s="24" t="s">
        <v>165</v>
      </c>
      <c r="F4" s="24" t="str">
        <f t="shared" si="0"/>
        <v>rtdc.l.rtdc.4025:itc</v>
      </c>
      <c r="G4" s="8">
        <f t="shared" si="1"/>
        <v>42597.089606481481</v>
      </c>
    </row>
    <row r="5" spans="1:7" x14ac:dyDescent="0.25">
      <c r="A5" s="8">
        <v>42597.115393518521</v>
      </c>
      <c r="B5" s="24" t="s">
        <v>278</v>
      </c>
      <c r="C5" s="24" t="s">
        <v>517</v>
      </c>
      <c r="D5" s="24">
        <v>2150000</v>
      </c>
      <c r="E5" s="24" t="s">
        <v>644</v>
      </c>
      <c r="F5" s="24" t="str">
        <f t="shared" si="0"/>
        <v>rtdc.l.rtdc.4010:itc</v>
      </c>
      <c r="G5" s="8">
        <f t="shared" si="1"/>
        <v>42597.115393518521</v>
      </c>
    </row>
    <row r="6" spans="1:7" x14ac:dyDescent="0.25">
      <c r="A6" s="8">
        <v>42597.117974537039</v>
      </c>
      <c r="B6" s="24" t="s">
        <v>278</v>
      </c>
      <c r="C6" s="24" t="s">
        <v>517</v>
      </c>
      <c r="D6" s="24">
        <v>2150000</v>
      </c>
      <c r="E6" s="24" t="s">
        <v>644</v>
      </c>
      <c r="F6" s="24" t="str">
        <f t="shared" si="0"/>
        <v>rtdc.l.rtdc.4010:itc</v>
      </c>
      <c r="G6" s="8">
        <f t="shared" si="1"/>
        <v>42597.117974537039</v>
      </c>
    </row>
    <row r="7" spans="1:7" x14ac:dyDescent="0.25">
      <c r="A7" s="8">
        <v>42597.135046296295</v>
      </c>
      <c r="B7" s="24" t="s">
        <v>120</v>
      </c>
      <c r="C7" s="24" t="s">
        <v>329</v>
      </c>
      <c r="D7" s="24">
        <v>2150000</v>
      </c>
      <c r="E7" s="24" t="s">
        <v>644</v>
      </c>
      <c r="F7" s="24" t="str">
        <f t="shared" si="0"/>
        <v>rtdc.l.rtdc.4031:itc</v>
      </c>
      <c r="G7" s="8">
        <f t="shared" si="1"/>
        <v>42597.135046296295</v>
      </c>
    </row>
    <row r="8" spans="1:7" x14ac:dyDescent="0.25">
      <c r="A8" s="8">
        <v>42597.156087962961</v>
      </c>
      <c r="B8" s="24" t="s">
        <v>181</v>
      </c>
      <c r="C8" s="24" t="s">
        <v>332</v>
      </c>
      <c r="D8" s="24">
        <v>1260000</v>
      </c>
      <c r="E8" s="24" t="s">
        <v>276</v>
      </c>
      <c r="F8" s="24" t="str">
        <f t="shared" si="0"/>
        <v>rtdc.l.rtdc.4042:itc</v>
      </c>
      <c r="G8" s="8">
        <f t="shared" si="1"/>
        <v>42597.156087962961</v>
      </c>
    </row>
    <row r="9" spans="1:7" ht="15.75" thickBot="1" x14ac:dyDescent="0.3">
      <c r="A9" s="28">
        <v>42597.166331018518</v>
      </c>
      <c r="B9" s="24" t="s">
        <v>278</v>
      </c>
      <c r="C9" s="24" t="s">
        <v>331</v>
      </c>
      <c r="D9" s="24">
        <v>2150000</v>
      </c>
      <c r="E9" s="24" t="s">
        <v>644</v>
      </c>
      <c r="F9" s="24" t="str">
        <f t="shared" si="0"/>
        <v>rtdc.l.rtdc.4010:itc</v>
      </c>
      <c r="G9" s="8">
        <f t="shared" si="1"/>
        <v>42597.166331018518</v>
      </c>
    </row>
    <row r="10" spans="1:7" x14ac:dyDescent="0.25">
      <c r="A10" s="8">
        <v>42597.172048611108</v>
      </c>
      <c r="B10" s="24" t="s">
        <v>96</v>
      </c>
      <c r="C10" s="24" t="s">
        <v>335</v>
      </c>
      <c r="D10" s="24">
        <v>1360000</v>
      </c>
      <c r="E10" s="24" t="s">
        <v>645</v>
      </c>
      <c r="F10" s="24" t="str">
        <f t="shared" si="0"/>
        <v>rtdc.l.rtdc.4027:itc</v>
      </c>
      <c r="G10" s="8">
        <f t="shared" si="1"/>
        <v>42597.172048611108</v>
      </c>
    </row>
    <row r="11" spans="1:7" x14ac:dyDescent="0.25">
      <c r="A11" s="8">
        <v>42597.180879629632</v>
      </c>
      <c r="B11" s="24" t="s">
        <v>233</v>
      </c>
      <c r="C11" s="24" t="s">
        <v>339</v>
      </c>
      <c r="D11" s="24">
        <v>1090000</v>
      </c>
      <c r="E11" s="24" t="s">
        <v>646</v>
      </c>
      <c r="F11" s="24" t="str">
        <f t="shared" si="0"/>
        <v>rtdc.l.rtdc.4020:itc</v>
      </c>
      <c r="G11" s="8">
        <f t="shared" si="1"/>
        <v>42597.180879629632</v>
      </c>
    </row>
    <row r="12" spans="1:7" x14ac:dyDescent="0.25">
      <c r="A12" s="8">
        <v>42597.188726851855</v>
      </c>
      <c r="B12" s="24" t="s">
        <v>186</v>
      </c>
      <c r="C12" s="24" t="s">
        <v>341</v>
      </c>
      <c r="D12" s="24">
        <v>1830000</v>
      </c>
      <c r="E12" s="24" t="s">
        <v>185</v>
      </c>
      <c r="F12" s="24" t="str">
        <f t="shared" si="0"/>
        <v>rtdc.l.rtdc.4038:itc</v>
      </c>
      <c r="G12" s="8">
        <f t="shared" si="1"/>
        <v>42597.188726851855</v>
      </c>
    </row>
    <row r="13" spans="1:7" x14ac:dyDescent="0.25">
      <c r="A13" s="8">
        <v>42597.191041666665</v>
      </c>
      <c r="B13" s="24" t="s">
        <v>272</v>
      </c>
      <c r="C13" s="24" t="s">
        <v>333</v>
      </c>
      <c r="D13" s="24">
        <v>1260000</v>
      </c>
      <c r="E13" s="24" t="s">
        <v>276</v>
      </c>
      <c r="F13" s="24" t="str">
        <f t="shared" si="0"/>
        <v>rtdc.l.rtdc.4043:itc</v>
      </c>
      <c r="G13" s="8">
        <f t="shared" si="1"/>
        <v>42597.191041666665</v>
      </c>
    </row>
    <row r="14" spans="1:7" x14ac:dyDescent="0.25">
      <c r="A14" s="8">
        <v>42597.197905092595</v>
      </c>
      <c r="B14" s="24" t="s">
        <v>233</v>
      </c>
      <c r="C14" s="24" t="s">
        <v>339</v>
      </c>
      <c r="D14" s="24">
        <v>1090000</v>
      </c>
      <c r="E14" s="24" t="s">
        <v>646</v>
      </c>
      <c r="F14" s="24" t="str">
        <f t="shared" si="0"/>
        <v>rtdc.l.rtdc.4020:itc</v>
      </c>
      <c r="G14" s="8">
        <f t="shared" si="1"/>
        <v>42597.197905092595</v>
      </c>
    </row>
    <row r="15" spans="1:7" x14ac:dyDescent="0.25">
      <c r="A15" s="8">
        <v>42597.205451388887</v>
      </c>
      <c r="B15" s="24" t="s">
        <v>120</v>
      </c>
      <c r="C15" s="24" t="s">
        <v>343</v>
      </c>
      <c r="D15" s="24">
        <v>1110000</v>
      </c>
      <c r="E15" s="24" t="s">
        <v>325</v>
      </c>
      <c r="F15" s="24" t="str">
        <f t="shared" si="0"/>
        <v>rtdc.l.rtdc.4031:itc</v>
      </c>
      <c r="G15" s="8">
        <f t="shared" si="1"/>
        <v>42597.205451388887</v>
      </c>
    </row>
    <row r="16" spans="1:7" x14ac:dyDescent="0.25">
      <c r="A16" s="8">
        <v>42597.206319444442</v>
      </c>
      <c r="B16" s="24" t="s">
        <v>275</v>
      </c>
      <c r="C16" s="24" t="s">
        <v>346</v>
      </c>
      <c r="D16" s="24">
        <v>2150000</v>
      </c>
      <c r="E16" s="24" t="s">
        <v>644</v>
      </c>
      <c r="F16" s="24" t="str">
        <f t="shared" si="0"/>
        <v>rtdc.l.rtdc.4009:itc</v>
      </c>
      <c r="G16" s="8">
        <f t="shared" si="1"/>
        <v>42597.206319444442</v>
      </c>
    </row>
    <row r="17" spans="1:7" x14ac:dyDescent="0.25">
      <c r="A17" s="8">
        <v>42597.210902777777</v>
      </c>
      <c r="B17" s="24" t="s">
        <v>93</v>
      </c>
      <c r="C17" s="24" t="s">
        <v>531</v>
      </c>
      <c r="D17" s="24">
        <v>1990000</v>
      </c>
      <c r="E17" s="24" t="s">
        <v>238</v>
      </c>
      <c r="F17" s="24" t="str">
        <f t="shared" si="0"/>
        <v>rtdc.l.rtdc.4013:itc</v>
      </c>
      <c r="G17" s="8">
        <f t="shared" si="1"/>
        <v>42597.210902777777</v>
      </c>
    </row>
    <row r="18" spans="1:7" x14ac:dyDescent="0.25">
      <c r="A18" s="8">
        <v>42597.213194444441</v>
      </c>
      <c r="B18" s="24" t="s">
        <v>232</v>
      </c>
      <c r="C18" s="24" t="s">
        <v>337</v>
      </c>
      <c r="D18" s="24">
        <v>1360000</v>
      </c>
      <c r="E18" s="24" t="s">
        <v>645</v>
      </c>
      <c r="F18" s="24" t="str">
        <f t="shared" si="0"/>
        <v>rtdc.l.rtdc.4008:itc</v>
      </c>
      <c r="G18" s="8">
        <f t="shared" si="1"/>
        <v>42597.213194444441</v>
      </c>
    </row>
    <row r="19" spans="1:7" x14ac:dyDescent="0.25">
      <c r="A19" s="8">
        <v>42597.223564814813</v>
      </c>
      <c r="B19" s="24" t="s">
        <v>166</v>
      </c>
      <c r="C19" s="24" t="s">
        <v>342</v>
      </c>
      <c r="D19" s="24">
        <v>1830000</v>
      </c>
      <c r="E19" s="24" t="s">
        <v>185</v>
      </c>
      <c r="F19" s="24" t="str">
        <f t="shared" si="0"/>
        <v>rtdc.l.rtdc.4037:itc</v>
      </c>
      <c r="G19" s="8">
        <f t="shared" si="1"/>
        <v>42597.223564814813</v>
      </c>
    </row>
    <row r="20" spans="1:7" x14ac:dyDescent="0.25">
      <c r="A20" s="8">
        <v>42597.225821759261</v>
      </c>
      <c r="B20" s="24" t="s">
        <v>236</v>
      </c>
      <c r="C20" s="24" t="s">
        <v>340</v>
      </c>
      <c r="D20" s="24">
        <v>1090000</v>
      </c>
      <c r="E20" s="24" t="s">
        <v>646</v>
      </c>
      <c r="F20" s="24" t="str">
        <f t="shared" si="0"/>
        <v>rtdc.l.rtdc.4019:itc</v>
      </c>
      <c r="G20" s="8">
        <f t="shared" si="1"/>
        <v>42597.225821759261</v>
      </c>
    </row>
    <row r="21" spans="1:7" x14ac:dyDescent="0.25">
      <c r="A21" s="8">
        <v>42597.226203703707</v>
      </c>
      <c r="B21" s="24" t="s">
        <v>181</v>
      </c>
      <c r="C21" s="24" t="s">
        <v>348</v>
      </c>
      <c r="D21" s="24">
        <v>1310000</v>
      </c>
      <c r="E21" s="24" t="s">
        <v>184</v>
      </c>
      <c r="F21" s="24" t="str">
        <f t="shared" si="0"/>
        <v>rtdc.l.rtdc.4042:itc</v>
      </c>
      <c r="G21" s="8">
        <f t="shared" si="1"/>
        <v>42597.226203703707</v>
      </c>
    </row>
    <row r="22" spans="1:7" x14ac:dyDescent="0.25">
      <c r="A22" s="30">
        <v>42597.233067129629</v>
      </c>
      <c r="B22" s="24" t="s">
        <v>270</v>
      </c>
      <c r="C22" s="24" t="s">
        <v>353</v>
      </c>
      <c r="D22" s="24">
        <v>1260000</v>
      </c>
      <c r="E22" s="24" t="s">
        <v>276</v>
      </c>
      <c r="F22" s="24" t="str">
        <f t="shared" si="0"/>
        <v>rtdc.l.rtdc.4044:itc</v>
      </c>
      <c r="G22" s="8">
        <f t="shared" si="1"/>
        <v>42597.233067129629</v>
      </c>
    </row>
    <row r="23" spans="1:7" x14ac:dyDescent="0.25">
      <c r="A23" s="8">
        <v>42597.236759259256</v>
      </c>
      <c r="B23" s="24" t="s">
        <v>118</v>
      </c>
      <c r="C23" s="24" t="s">
        <v>533</v>
      </c>
      <c r="D23" s="24">
        <v>1990000</v>
      </c>
      <c r="E23" s="24" t="s">
        <v>238</v>
      </c>
      <c r="F23" s="24" t="str">
        <f t="shared" si="0"/>
        <v>rtdc.l.rtdc.4014:itc</v>
      </c>
      <c r="G23" s="8">
        <f t="shared" si="1"/>
        <v>42597.236759259256</v>
      </c>
    </row>
    <row r="24" spans="1:7" x14ac:dyDescent="0.25">
      <c r="A24" s="8">
        <v>42597.244745370372</v>
      </c>
      <c r="B24" s="24" t="s">
        <v>121</v>
      </c>
      <c r="C24" s="24" t="s">
        <v>345</v>
      </c>
      <c r="D24" s="24">
        <v>1110000</v>
      </c>
      <c r="E24" s="24" t="s">
        <v>325</v>
      </c>
      <c r="F24" s="24" t="str">
        <f t="shared" si="0"/>
        <v>rtdc.l.rtdc.4032:itc</v>
      </c>
      <c r="G24" s="8">
        <f t="shared" si="1"/>
        <v>42597.244745370372</v>
      </c>
    </row>
    <row r="25" spans="1:7" x14ac:dyDescent="0.25">
      <c r="A25" s="8">
        <v>42597.247604166667</v>
      </c>
      <c r="B25" s="24" t="s">
        <v>96</v>
      </c>
      <c r="C25" s="24" t="s">
        <v>357</v>
      </c>
      <c r="D25" s="24">
        <v>1360000</v>
      </c>
      <c r="E25" s="24" t="s">
        <v>645</v>
      </c>
      <c r="F25" s="24" t="str">
        <f t="shared" si="0"/>
        <v>rtdc.l.rtdc.4027:itc</v>
      </c>
      <c r="G25" s="8">
        <f t="shared" si="1"/>
        <v>42597.247604166667</v>
      </c>
    </row>
    <row r="26" spans="1:7" x14ac:dyDescent="0.25">
      <c r="A26" s="8">
        <v>42597.248912037037</v>
      </c>
      <c r="B26" s="24" t="s">
        <v>96</v>
      </c>
      <c r="C26" s="24" t="s">
        <v>357</v>
      </c>
      <c r="D26" s="24">
        <v>1360000</v>
      </c>
      <c r="E26" s="24" t="s">
        <v>645</v>
      </c>
      <c r="F26" s="24" t="str">
        <f t="shared" si="0"/>
        <v>rtdc.l.rtdc.4027:itc</v>
      </c>
      <c r="G26" s="8">
        <f t="shared" si="1"/>
        <v>42597.248912037037</v>
      </c>
    </row>
    <row r="27" spans="1:7" x14ac:dyDescent="0.25">
      <c r="A27" s="8">
        <v>42597.254062499997</v>
      </c>
      <c r="B27" s="24" t="s">
        <v>278</v>
      </c>
      <c r="C27" s="24" t="s">
        <v>347</v>
      </c>
      <c r="D27" s="24">
        <v>2150000</v>
      </c>
      <c r="E27" s="24" t="s">
        <v>644</v>
      </c>
      <c r="F27" s="24" t="str">
        <f t="shared" si="0"/>
        <v>rtdc.l.rtdc.4010:itc</v>
      </c>
      <c r="G27" s="8">
        <f t="shared" si="1"/>
        <v>42597.254062499997</v>
      </c>
    </row>
    <row r="28" spans="1:7" x14ac:dyDescent="0.25">
      <c r="A28" s="8">
        <v>42597.255648148152</v>
      </c>
      <c r="B28" s="24" t="s">
        <v>93</v>
      </c>
      <c r="C28" s="24" t="s">
        <v>535</v>
      </c>
      <c r="D28" s="24">
        <v>1990000</v>
      </c>
      <c r="E28" s="24" t="s">
        <v>238</v>
      </c>
      <c r="F28" s="24" t="str">
        <f t="shared" si="0"/>
        <v>rtdc.l.rtdc.4013:itc</v>
      </c>
      <c r="G28" s="8">
        <f t="shared" si="1"/>
        <v>42597.255648148152</v>
      </c>
    </row>
    <row r="29" spans="1:7" x14ac:dyDescent="0.25">
      <c r="A29" s="8">
        <v>42597.258946759262</v>
      </c>
      <c r="B29" s="24" t="s">
        <v>233</v>
      </c>
      <c r="C29" s="24" t="s">
        <v>360</v>
      </c>
      <c r="D29" s="24">
        <v>1090000</v>
      </c>
      <c r="E29" s="24" t="s">
        <v>646</v>
      </c>
      <c r="F29" s="24" t="str">
        <f t="shared" si="0"/>
        <v>rtdc.l.rtdc.4020:itc</v>
      </c>
      <c r="G29" s="8">
        <f t="shared" si="1"/>
        <v>42597.258946759262</v>
      </c>
    </row>
    <row r="30" spans="1:7" x14ac:dyDescent="0.25">
      <c r="A30" s="8">
        <v>42597.264328703706</v>
      </c>
      <c r="B30" s="24" t="s">
        <v>186</v>
      </c>
      <c r="C30" s="24" t="s">
        <v>363</v>
      </c>
      <c r="D30" s="24">
        <v>1830000</v>
      </c>
      <c r="E30" s="24" t="s">
        <v>185</v>
      </c>
      <c r="F30" s="24" t="str">
        <f t="shared" si="0"/>
        <v>rtdc.l.rtdc.4038:itc</v>
      </c>
      <c r="G30" s="8">
        <f t="shared" si="1"/>
        <v>42597.264328703706</v>
      </c>
    </row>
    <row r="31" spans="1:7" x14ac:dyDescent="0.25">
      <c r="A31" s="8">
        <v>42597.26599537037</v>
      </c>
      <c r="B31" s="24" t="s">
        <v>323</v>
      </c>
      <c r="C31" s="24" t="s">
        <v>537</v>
      </c>
      <c r="D31" s="24">
        <v>900000</v>
      </c>
      <c r="E31" s="24" t="s">
        <v>647</v>
      </c>
      <c r="F31" s="24" t="str">
        <f t="shared" si="0"/>
        <v>rtdc.l.rtdc.4016:itc</v>
      </c>
      <c r="G31" s="8">
        <f t="shared" si="1"/>
        <v>42597.26599537037</v>
      </c>
    </row>
    <row r="32" spans="1:7" x14ac:dyDescent="0.25">
      <c r="A32" s="8">
        <v>42597.266932870371</v>
      </c>
      <c r="B32" s="24" t="s">
        <v>183</v>
      </c>
      <c r="C32" s="24" t="s">
        <v>349</v>
      </c>
      <c r="D32" s="24">
        <v>1310000</v>
      </c>
      <c r="E32" s="24" t="s">
        <v>184</v>
      </c>
      <c r="F32" s="24" t="str">
        <f t="shared" si="0"/>
        <v>rtdc.l.rtdc.4041:itc</v>
      </c>
      <c r="G32" s="8">
        <f t="shared" si="1"/>
        <v>42597.266932870371</v>
      </c>
    </row>
    <row r="33" spans="1:7" x14ac:dyDescent="0.25">
      <c r="A33" s="8">
        <v>42597.272280092591</v>
      </c>
      <c r="B33" s="24" t="s">
        <v>272</v>
      </c>
      <c r="C33" s="24" t="s">
        <v>373</v>
      </c>
      <c r="D33" s="24">
        <v>1260000</v>
      </c>
      <c r="E33" s="24" t="s">
        <v>276</v>
      </c>
      <c r="F33" s="24" t="str">
        <f t="shared" si="0"/>
        <v>rtdc.l.rtdc.4043:itc</v>
      </c>
      <c r="G33" s="8">
        <f t="shared" si="1"/>
        <v>42597.272280092591</v>
      </c>
    </row>
    <row r="34" spans="1:7" x14ac:dyDescent="0.25">
      <c r="A34" s="8">
        <v>42597.274027777778</v>
      </c>
      <c r="B34" s="24" t="s">
        <v>272</v>
      </c>
      <c r="C34" s="24" t="s">
        <v>355</v>
      </c>
      <c r="D34" s="24">
        <v>1260000</v>
      </c>
      <c r="E34" s="24" t="s">
        <v>276</v>
      </c>
      <c r="F34" s="24" t="str">
        <f t="shared" si="0"/>
        <v>rtdc.l.rtdc.4043:itc</v>
      </c>
      <c r="G34" s="8">
        <f t="shared" si="1"/>
        <v>42597.274027777778</v>
      </c>
    </row>
    <row r="35" spans="1:7" x14ac:dyDescent="0.25">
      <c r="A35" s="8">
        <v>42597.278321759259</v>
      </c>
      <c r="B35" s="24" t="s">
        <v>118</v>
      </c>
      <c r="C35" s="24" t="s">
        <v>540</v>
      </c>
      <c r="D35" s="24">
        <v>1990000</v>
      </c>
      <c r="E35" s="24" t="s">
        <v>238</v>
      </c>
      <c r="F35" s="24" t="str">
        <f t="shared" si="0"/>
        <v>rtdc.l.rtdc.4014:itc</v>
      </c>
      <c r="G35" s="8">
        <f t="shared" si="1"/>
        <v>42597.278321759259</v>
      </c>
    </row>
    <row r="36" spans="1:7" x14ac:dyDescent="0.25">
      <c r="A36" s="8">
        <v>42597.278807870367</v>
      </c>
      <c r="B36" s="24" t="s">
        <v>180</v>
      </c>
      <c r="C36" s="24" t="s">
        <v>359</v>
      </c>
      <c r="D36" s="24">
        <v>1360000</v>
      </c>
      <c r="E36" s="24" t="s">
        <v>645</v>
      </c>
      <c r="F36" s="24" t="str">
        <f t="shared" si="0"/>
        <v>rtdc.l.rtdc.4028:itc</v>
      </c>
      <c r="G36" s="8">
        <f t="shared" si="1"/>
        <v>42597.278807870367</v>
      </c>
    </row>
    <row r="37" spans="1:7" x14ac:dyDescent="0.25">
      <c r="A37" s="8">
        <v>42597.279780092591</v>
      </c>
      <c r="B37" s="24" t="s">
        <v>120</v>
      </c>
      <c r="C37" s="24" t="s">
        <v>365</v>
      </c>
      <c r="D37" s="24">
        <v>1110000</v>
      </c>
      <c r="E37" s="24" t="s">
        <v>325</v>
      </c>
      <c r="F37" s="24" t="str">
        <f t="shared" si="0"/>
        <v>rtdc.l.rtdc.4031:itc</v>
      </c>
      <c r="G37" s="8">
        <f t="shared" si="1"/>
        <v>42597.279780092591</v>
      </c>
    </row>
    <row r="38" spans="1:7" x14ac:dyDescent="0.25">
      <c r="A38" s="8">
        <v>42597.281493055554</v>
      </c>
      <c r="B38" s="24" t="s">
        <v>111</v>
      </c>
      <c r="C38" s="24" t="s">
        <v>539</v>
      </c>
      <c r="D38" s="24">
        <v>900000</v>
      </c>
      <c r="E38" s="24" t="s">
        <v>647</v>
      </c>
      <c r="F38" s="24" t="str">
        <f t="shared" si="0"/>
        <v>rtdc.l.rtdc.4015:itc</v>
      </c>
      <c r="G38" s="8">
        <f t="shared" si="1"/>
        <v>42597.281493055554</v>
      </c>
    </row>
    <row r="39" spans="1:7" x14ac:dyDescent="0.25">
      <c r="A39" s="8">
        <v>42597.287233796298</v>
      </c>
      <c r="B39" s="24" t="s">
        <v>275</v>
      </c>
      <c r="C39" s="24" t="s">
        <v>367</v>
      </c>
      <c r="D39" s="24">
        <v>2150000</v>
      </c>
      <c r="E39" s="24" t="s">
        <v>644</v>
      </c>
      <c r="F39" s="24" t="str">
        <f t="shared" si="0"/>
        <v>rtdc.l.rtdc.4009:itc</v>
      </c>
      <c r="G39" s="8">
        <f t="shared" si="1"/>
        <v>42597.287233796298</v>
      </c>
    </row>
    <row r="40" spans="1:7" x14ac:dyDescent="0.25">
      <c r="A40" s="8">
        <v>42597.292673611111</v>
      </c>
      <c r="B40" s="29" t="s">
        <v>236</v>
      </c>
      <c r="C40" s="24" t="s">
        <v>361</v>
      </c>
      <c r="D40" s="24">
        <v>1090000</v>
      </c>
      <c r="E40" s="24" t="s">
        <v>646</v>
      </c>
      <c r="F40" s="24" t="str">
        <f t="shared" si="0"/>
        <v>rtdc.l.rtdc.4019:itc</v>
      </c>
      <c r="G40" s="8">
        <f t="shared" si="1"/>
        <v>42597.292673611111</v>
      </c>
    </row>
    <row r="41" spans="1:7" x14ac:dyDescent="0.25">
      <c r="A41" s="8">
        <v>42597.29314814815</v>
      </c>
      <c r="B41" s="24" t="s">
        <v>323</v>
      </c>
      <c r="C41" s="24" t="s">
        <v>544</v>
      </c>
      <c r="D41" s="24">
        <v>900000</v>
      </c>
      <c r="E41" s="24" t="s">
        <v>647</v>
      </c>
      <c r="F41" s="24" t="str">
        <f t="shared" si="0"/>
        <v>rtdc.l.rtdc.4016:itc</v>
      </c>
      <c r="G41" s="8">
        <f t="shared" si="1"/>
        <v>42597.29314814815</v>
      </c>
    </row>
    <row r="42" spans="1:7" x14ac:dyDescent="0.25">
      <c r="A42" s="8">
        <v>42597.293622685182</v>
      </c>
      <c r="B42" s="24" t="s">
        <v>183</v>
      </c>
      <c r="C42" s="24" t="s">
        <v>349</v>
      </c>
      <c r="D42" s="24">
        <v>1310000</v>
      </c>
      <c r="E42" s="24" t="s">
        <v>184</v>
      </c>
      <c r="F42" s="24" t="str">
        <f t="shared" si="0"/>
        <v>rtdc.l.rtdc.4041:itc</v>
      </c>
      <c r="G42" s="8">
        <f t="shared" si="1"/>
        <v>42597.293622685182</v>
      </c>
    </row>
    <row r="43" spans="1:7" x14ac:dyDescent="0.25">
      <c r="A43" s="8">
        <v>42597.2965625</v>
      </c>
      <c r="B43" s="24" t="s">
        <v>166</v>
      </c>
      <c r="C43" s="24" t="s">
        <v>364</v>
      </c>
      <c r="D43" s="24">
        <v>1830000</v>
      </c>
      <c r="E43" s="24" t="s">
        <v>185</v>
      </c>
      <c r="F43" s="24" t="str">
        <f t="shared" si="0"/>
        <v>rtdc.l.rtdc.4037:itc</v>
      </c>
      <c r="G43" s="8">
        <f t="shared" si="1"/>
        <v>42597.2965625</v>
      </c>
    </row>
    <row r="44" spans="1:7" x14ac:dyDescent="0.25">
      <c r="A44" s="8">
        <v>42597.297546296293</v>
      </c>
      <c r="B44" s="24" t="s">
        <v>93</v>
      </c>
      <c r="C44" s="24" t="s">
        <v>542</v>
      </c>
      <c r="D44" s="24">
        <v>1990000</v>
      </c>
      <c r="E44" s="24" t="s">
        <v>238</v>
      </c>
      <c r="F44" s="24" t="str">
        <f t="shared" si="0"/>
        <v>rtdc.l.rtdc.4013:itc</v>
      </c>
      <c r="G44" s="8">
        <f t="shared" si="1"/>
        <v>42597.297546296293</v>
      </c>
    </row>
    <row r="45" spans="1:7" x14ac:dyDescent="0.25">
      <c r="A45" s="8">
        <v>42597.302951388891</v>
      </c>
      <c r="B45" s="24" t="s">
        <v>181</v>
      </c>
      <c r="C45" s="24" t="s">
        <v>370</v>
      </c>
      <c r="D45" s="24">
        <v>1310000</v>
      </c>
      <c r="E45" s="24" t="s">
        <v>184</v>
      </c>
      <c r="F45" s="24" t="str">
        <f t="shared" si="0"/>
        <v>rtdc.l.rtdc.4042:itc</v>
      </c>
      <c r="G45" s="8">
        <f t="shared" si="1"/>
        <v>42597.302951388891</v>
      </c>
    </row>
    <row r="46" spans="1:7" x14ac:dyDescent="0.25">
      <c r="A46" s="8">
        <v>42597.30746527778</v>
      </c>
      <c r="B46" s="24" t="s">
        <v>181</v>
      </c>
      <c r="C46" s="24" t="s">
        <v>370</v>
      </c>
      <c r="D46" s="24">
        <v>1310000</v>
      </c>
      <c r="E46" s="24" t="s">
        <v>184</v>
      </c>
      <c r="F46" s="24" t="str">
        <f t="shared" si="0"/>
        <v>rtdc.l.rtdc.4042:itc</v>
      </c>
      <c r="G46" s="8">
        <f t="shared" si="1"/>
        <v>42597.30746527778</v>
      </c>
    </row>
    <row r="47" spans="1:7" x14ac:dyDescent="0.25">
      <c r="A47" s="8">
        <v>42597.309340277781</v>
      </c>
      <c r="B47" s="24" t="s">
        <v>270</v>
      </c>
      <c r="C47" s="24" t="s">
        <v>373</v>
      </c>
      <c r="D47" s="24">
        <v>1260000</v>
      </c>
      <c r="E47" s="24" t="s">
        <v>276</v>
      </c>
      <c r="F47" s="24" t="str">
        <f t="shared" si="0"/>
        <v>rtdc.l.rtdc.4044:itc</v>
      </c>
      <c r="G47" s="8">
        <f t="shared" si="1"/>
        <v>42597.309340277781</v>
      </c>
    </row>
    <row r="48" spans="1:7" x14ac:dyDescent="0.25">
      <c r="A48" s="8">
        <v>42597.317175925928</v>
      </c>
      <c r="B48" s="24" t="s">
        <v>111</v>
      </c>
      <c r="C48" s="24" t="s">
        <v>547</v>
      </c>
      <c r="D48" s="24">
        <v>900000</v>
      </c>
      <c r="E48" s="24" t="s">
        <v>647</v>
      </c>
      <c r="F48" s="24" t="str">
        <f t="shared" si="0"/>
        <v>rtdc.l.rtdc.4015:itc</v>
      </c>
      <c r="G48" s="8">
        <f t="shared" si="1"/>
        <v>42597.317175925928</v>
      </c>
    </row>
    <row r="49" spans="1:7" x14ac:dyDescent="0.25">
      <c r="A49" s="8">
        <v>42597.317511574074</v>
      </c>
      <c r="B49" s="24" t="s">
        <v>121</v>
      </c>
      <c r="C49" s="24" t="s">
        <v>366</v>
      </c>
      <c r="D49" s="24">
        <v>1110000</v>
      </c>
      <c r="E49" s="24" t="s">
        <v>325</v>
      </c>
      <c r="F49" s="24" t="str">
        <f t="shared" si="0"/>
        <v>rtdc.l.rtdc.4032:itc</v>
      </c>
      <c r="G49" s="8">
        <f t="shared" si="1"/>
        <v>42597.317511574074</v>
      </c>
    </row>
    <row r="50" spans="1:7" x14ac:dyDescent="0.25">
      <c r="A50" s="8">
        <v>42597.3200462963</v>
      </c>
      <c r="B50" s="24" t="s">
        <v>96</v>
      </c>
      <c r="C50" s="24" t="s">
        <v>377</v>
      </c>
      <c r="D50" s="24">
        <v>1360000</v>
      </c>
      <c r="E50" s="24" t="s">
        <v>645</v>
      </c>
      <c r="F50" s="24" t="str">
        <f t="shared" si="0"/>
        <v>rtdc.l.rtdc.4027:itc</v>
      </c>
      <c r="G50" s="8">
        <f t="shared" si="1"/>
        <v>42597.3200462963</v>
      </c>
    </row>
    <row r="51" spans="1:7" x14ac:dyDescent="0.25">
      <c r="A51" s="8">
        <v>42597.324583333335</v>
      </c>
      <c r="B51" s="24" t="s">
        <v>118</v>
      </c>
      <c r="C51" s="24" t="s">
        <v>550</v>
      </c>
      <c r="D51" s="24">
        <v>1990000</v>
      </c>
      <c r="E51" s="24" t="s">
        <v>238</v>
      </c>
      <c r="F51" s="24" t="str">
        <f t="shared" si="0"/>
        <v>rtdc.l.rtdc.4014:itc</v>
      </c>
      <c r="G51" s="8">
        <f t="shared" si="1"/>
        <v>42597.324583333335</v>
      </c>
    </row>
    <row r="52" spans="1:7" x14ac:dyDescent="0.25">
      <c r="A52" s="8">
        <v>42597.324675925927</v>
      </c>
      <c r="B52" s="24" t="s">
        <v>278</v>
      </c>
      <c r="C52" s="24" t="s">
        <v>368</v>
      </c>
      <c r="D52" s="24">
        <v>2150000</v>
      </c>
      <c r="E52" s="24" t="s">
        <v>644</v>
      </c>
      <c r="F52" s="24" t="str">
        <f t="shared" si="0"/>
        <v>rtdc.l.rtdc.4010:itc</v>
      </c>
      <c r="G52" s="8">
        <f t="shared" si="1"/>
        <v>42597.324675925927</v>
      </c>
    </row>
    <row r="53" spans="1:7" x14ac:dyDescent="0.25">
      <c r="A53" s="8">
        <v>42597.328969907408</v>
      </c>
      <c r="B53" s="24" t="s">
        <v>233</v>
      </c>
      <c r="C53" s="24" t="s">
        <v>379</v>
      </c>
      <c r="D53" s="24">
        <v>1090000</v>
      </c>
      <c r="E53" s="24" t="s">
        <v>646</v>
      </c>
      <c r="F53" s="24" t="str">
        <f t="shared" si="0"/>
        <v>rtdc.l.rtdc.4020:itc</v>
      </c>
      <c r="G53" s="8">
        <f t="shared" si="1"/>
        <v>42597.328969907408</v>
      </c>
    </row>
    <row r="54" spans="1:7" x14ac:dyDescent="0.25">
      <c r="A54" s="8">
        <v>42597.33221064815</v>
      </c>
      <c r="B54" s="24" t="s">
        <v>323</v>
      </c>
      <c r="C54" s="24" t="s">
        <v>555</v>
      </c>
      <c r="D54" s="24">
        <v>900000</v>
      </c>
      <c r="E54" s="24" t="s">
        <v>647</v>
      </c>
      <c r="F54" s="24" t="str">
        <f t="shared" si="0"/>
        <v>rtdc.l.rtdc.4016:itc</v>
      </c>
      <c r="G54" s="8">
        <f t="shared" si="1"/>
        <v>42597.33221064815</v>
      </c>
    </row>
    <row r="55" spans="1:7" x14ac:dyDescent="0.25">
      <c r="A55" s="8">
        <v>42597.338171296295</v>
      </c>
      <c r="B55" s="24" t="s">
        <v>93</v>
      </c>
      <c r="C55" s="24" t="s">
        <v>553</v>
      </c>
      <c r="D55" s="24">
        <v>1990000</v>
      </c>
      <c r="E55" s="24" t="s">
        <v>238</v>
      </c>
      <c r="F55" s="24" t="str">
        <f t="shared" si="0"/>
        <v>rtdc.l.rtdc.4013:itc</v>
      </c>
      <c r="G55" s="8">
        <f t="shared" si="1"/>
        <v>42597.338171296295</v>
      </c>
    </row>
    <row r="56" spans="1:7" x14ac:dyDescent="0.25">
      <c r="A56" s="8">
        <v>42597.339305555557</v>
      </c>
      <c r="B56" s="24" t="s">
        <v>183</v>
      </c>
      <c r="C56" s="24" t="s">
        <v>372</v>
      </c>
      <c r="D56" s="24">
        <v>1310000</v>
      </c>
      <c r="E56" s="24" t="s">
        <v>184</v>
      </c>
      <c r="F56" s="24" t="str">
        <f t="shared" si="0"/>
        <v>rtdc.l.rtdc.4041:itc</v>
      </c>
      <c r="G56" s="8">
        <f t="shared" si="1"/>
        <v>42597.339305555557</v>
      </c>
    </row>
    <row r="57" spans="1:7" x14ac:dyDescent="0.25">
      <c r="A57" s="8">
        <v>42597.339502314811</v>
      </c>
      <c r="B57" s="24" t="s">
        <v>186</v>
      </c>
      <c r="C57" s="24" t="s">
        <v>382</v>
      </c>
      <c r="D57" s="24">
        <v>1830000</v>
      </c>
      <c r="E57" s="24" t="s">
        <v>185</v>
      </c>
      <c r="F57" s="24" t="str">
        <f t="shared" si="0"/>
        <v>rtdc.l.rtdc.4038:itc</v>
      </c>
      <c r="G57" s="8">
        <f t="shared" si="1"/>
        <v>42597.339502314811</v>
      </c>
    </row>
    <row r="58" spans="1:7" x14ac:dyDescent="0.25">
      <c r="A58" s="8">
        <v>42597.34646990741</v>
      </c>
      <c r="B58" s="24" t="s">
        <v>272</v>
      </c>
      <c r="C58" s="24" t="s">
        <v>375</v>
      </c>
      <c r="D58" s="24">
        <v>1260000</v>
      </c>
      <c r="E58" s="24" t="s">
        <v>276</v>
      </c>
      <c r="F58" s="24" t="str">
        <f t="shared" si="0"/>
        <v>rtdc.l.rtdc.4043:itc</v>
      </c>
      <c r="G58" s="8">
        <f t="shared" si="1"/>
        <v>42597.34646990741</v>
      </c>
    </row>
    <row r="59" spans="1:7" x14ac:dyDescent="0.25">
      <c r="A59" s="8">
        <v>42597.353356481479</v>
      </c>
      <c r="B59" s="24" t="s">
        <v>120</v>
      </c>
      <c r="C59" s="24" t="s">
        <v>384</v>
      </c>
      <c r="D59" s="24">
        <v>1110000</v>
      </c>
      <c r="E59" s="24" t="s">
        <v>325</v>
      </c>
      <c r="F59" s="24" t="str">
        <f t="shared" si="0"/>
        <v>rtdc.l.rtdc.4031:itc</v>
      </c>
      <c r="G59" s="8">
        <f t="shared" si="1"/>
        <v>42597.353356481479</v>
      </c>
    </row>
    <row r="60" spans="1:7" x14ac:dyDescent="0.25">
      <c r="A60" s="8">
        <v>42597.358912037038</v>
      </c>
      <c r="B60" s="24" t="s">
        <v>111</v>
      </c>
      <c r="C60" s="24" t="s">
        <v>558</v>
      </c>
      <c r="D60" s="24">
        <v>900000</v>
      </c>
      <c r="E60" s="24" t="s">
        <v>647</v>
      </c>
      <c r="F60" s="24" t="str">
        <f t="shared" si="0"/>
        <v>rtdc.l.rtdc.4015:itc</v>
      </c>
      <c r="G60" s="8">
        <f t="shared" si="1"/>
        <v>42597.358912037038</v>
      </c>
    </row>
    <row r="61" spans="1:7" x14ac:dyDescent="0.25">
      <c r="A61" s="8">
        <v>42597.359282407408</v>
      </c>
      <c r="B61" s="24" t="s">
        <v>180</v>
      </c>
      <c r="C61" s="24" t="s">
        <v>378</v>
      </c>
      <c r="D61" s="24">
        <v>1360000</v>
      </c>
      <c r="E61" s="24" t="s">
        <v>645</v>
      </c>
      <c r="F61" s="24" t="str">
        <f t="shared" si="0"/>
        <v>rtdc.l.rtdc.4028:itc</v>
      </c>
      <c r="G61" s="8">
        <f t="shared" si="1"/>
        <v>42597.359282407408</v>
      </c>
    </row>
    <row r="62" spans="1:7" x14ac:dyDescent="0.25">
      <c r="A62" s="8">
        <v>42597.368113425924</v>
      </c>
      <c r="B62" s="24" t="s">
        <v>275</v>
      </c>
      <c r="C62" s="24" t="s">
        <v>386</v>
      </c>
      <c r="D62" s="24">
        <v>2150000</v>
      </c>
      <c r="E62" s="24" t="s">
        <v>644</v>
      </c>
      <c r="F62" s="24" t="str">
        <f t="shared" si="0"/>
        <v>rtdc.l.rtdc.4009:itc</v>
      </c>
      <c r="G62" s="8">
        <f t="shared" si="1"/>
        <v>42597.368113425924</v>
      </c>
    </row>
    <row r="63" spans="1:7" x14ac:dyDescent="0.25">
      <c r="A63" s="8">
        <v>42597.369479166664</v>
      </c>
      <c r="B63" s="24" t="s">
        <v>166</v>
      </c>
      <c r="C63" s="24" t="s">
        <v>383</v>
      </c>
      <c r="D63" s="24">
        <v>1830000</v>
      </c>
      <c r="E63" s="24" t="s">
        <v>185</v>
      </c>
      <c r="F63" s="24" t="str">
        <f t="shared" si="0"/>
        <v>rtdc.l.rtdc.4037:itc</v>
      </c>
      <c r="G63" s="8">
        <f t="shared" si="1"/>
        <v>42597.369479166664</v>
      </c>
    </row>
    <row r="64" spans="1:7" x14ac:dyDescent="0.25">
      <c r="A64" s="30">
        <v>42597.370844907404</v>
      </c>
      <c r="B64" s="24" t="s">
        <v>236</v>
      </c>
      <c r="C64" s="24" t="s">
        <v>381</v>
      </c>
      <c r="D64" s="24">
        <v>1090000</v>
      </c>
      <c r="E64" s="24" t="s">
        <v>646</v>
      </c>
      <c r="F64" s="24" t="str">
        <f t="shared" si="0"/>
        <v>rtdc.l.rtdc.4019:itc</v>
      </c>
      <c r="G64" s="8">
        <f t="shared" si="1"/>
        <v>42597.370844907404</v>
      </c>
    </row>
    <row r="65" spans="1:7" x14ac:dyDescent="0.25">
      <c r="A65" s="8">
        <v>42597.37462962963</v>
      </c>
      <c r="B65" s="24" t="s">
        <v>181</v>
      </c>
      <c r="C65" s="24" t="s">
        <v>388</v>
      </c>
      <c r="D65" s="24">
        <v>1310000</v>
      </c>
      <c r="E65" s="24" t="s">
        <v>184</v>
      </c>
      <c r="F65" s="24" t="str">
        <f t="shared" si="0"/>
        <v>rtdc.l.rtdc.4042:itc</v>
      </c>
      <c r="G65" s="8">
        <f t="shared" si="1"/>
        <v>42597.37462962963</v>
      </c>
    </row>
    <row r="66" spans="1:7" x14ac:dyDescent="0.25">
      <c r="A66" s="8">
        <v>42597.375381944446</v>
      </c>
      <c r="B66" s="24" t="s">
        <v>323</v>
      </c>
      <c r="C66" s="24" t="s">
        <v>560</v>
      </c>
      <c r="D66" s="24">
        <v>900000</v>
      </c>
      <c r="E66" s="24" t="s">
        <v>647</v>
      </c>
      <c r="F66" s="24" t="str">
        <f t="shared" ref="F66:F129" si="2">B66</f>
        <v>rtdc.l.rtdc.4016:itc</v>
      </c>
      <c r="G66" s="8">
        <f t="shared" ref="G66:G129" si="3">A66</f>
        <v>42597.375381944446</v>
      </c>
    </row>
    <row r="67" spans="1:7" x14ac:dyDescent="0.25">
      <c r="A67" s="8">
        <v>42597.38212962963</v>
      </c>
      <c r="B67" s="24" t="s">
        <v>270</v>
      </c>
      <c r="C67" s="24" t="s">
        <v>392</v>
      </c>
      <c r="D67" s="24">
        <v>1260000</v>
      </c>
      <c r="E67" s="24" t="s">
        <v>276</v>
      </c>
      <c r="F67" s="24" t="str">
        <f t="shared" si="2"/>
        <v>rtdc.l.rtdc.4044:itc</v>
      </c>
      <c r="G67" s="8">
        <f t="shared" si="3"/>
        <v>42597.38212962963</v>
      </c>
    </row>
    <row r="68" spans="1:7" x14ac:dyDescent="0.25">
      <c r="A68" s="8">
        <v>42597.391469907408</v>
      </c>
      <c r="B68" s="24" t="s">
        <v>121</v>
      </c>
      <c r="C68" s="24" t="s">
        <v>385</v>
      </c>
      <c r="D68" s="24">
        <v>1110000</v>
      </c>
      <c r="E68" s="24" t="s">
        <v>325</v>
      </c>
      <c r="F68" s="24" t="str">
        <f t="shared" si="2"/>
        <v>rtdc.l.rtdc.4032:itc</v>
      </c>
      <c r="G68" s="8">
        <f t="shared" si="3"/>
        <v>42597.391469907408</v>
      </c>
    </row>
    <row r="69" spans="1:7" x14ac:dyDescent="0.25">
      <c r="A69" s="8">
        <v>42597.393865740742</v>
      </c>
      <c r="B69" s="24" t="s">
        <v>96</v>
      </c>
      <c r="C69" s="24" t="s">
        <v>396</v>
      </c>
      <c r="D69" s="24">
        <v>1360000</v>
      </c>
      <c r="E69" s="24" t="s">
        <v>645</v>
      </c>
      <c r="F69" s="24" t="str">
        <f t="shared" si="2"/>
        <v>rtdc.l.rtdc.4027:itc</v>
      </c>
      <c r="G69" s="8">
        <f t="shared" si="3"/>
        <v>42597.393865740742</v>
      </c>
    </row>
    <row r="70" spans="1:7" x14ac:dyDescent="0.25">
      <c r="A70" s="8">
        <v>42597.3984837963</v>
      </c>
      <c r="B70" s="24" t="s">
        <v>278</v>
      </c>
      <c r="C70" s="24" t="s">
        <v>387</v>
      </c>
      <c r="D70" s="24">
        <v>2150000</v>
      </c>
      <c r="E70" s="24" t="s">
        <v>644</v>
      </c>
      <c r="F70" s="24" t="str">
        <f t="shared" si="2"/>
        <v>rtdc.l.rtdc.4010:itc</v>
      </c>
      <c r="G70" s="8">
        <f t="shared" si="3"/>
        <v>42597.3984837963</v>
      </c>
    </row>
    <row r="71" spans="1:7" x14ac:dyDescent="0.25">
      <c r="A71" s="8">
        <v>42597.403564814813</v>
      </c>
      <c r="B71" s="24" t="s">
        <v>111</v>
      </c>
      <c r="C71" s="24" t="s">
        <v>563</v>
      </c>
      <c r="D71" s="24">
        <v>900000</v>
      </c>
      <c r="E71" s="24" t="s">
        <v>647</v>
      </c>
      <c r="F71" s="24" t="str">
        <f t="shared" si="2"/>
        <v>rtdc.l.rtdc.4015:itc</v>
      </c>
      <c r="G71" s="8">
        <f t="shared" si="3"/>
        <v>42597.403564814813</v>
      </c>
    </row>
    <row r="72" spans="1:7" x14ac:dyDescent="0.25">
      <c r="A72" s="8">
        <v>42597.407835648148</v>
      </c>
      <c r="B72" s="24" t="s">
        <v>233</v>
      </c>
      <c r="C72" s="24" t="s">
        <v>399</v>
      </c>
      <c r="D72" s="24">
        <v>1090000</v>
      </c>
      <c r="E72" s="24" t="s">
        <v>646</v>
      </c>
      <c r="F72" s="24" t="str">
        <f t="shared" si="2"/>
        <v>rtdc.l.rtdc.4020:itc</v>
      </c>
      <c r="G72" s="8">
        <f t="shared" si="3"/>
        <v>42597.407835648148</v>
      </c>
    </row>
    <row r="73" spans="1:7" x14ac:dyDescent="0.25">
      <c r="A73" s="8">
        <v>42597.412766203706</v>
      </c>
      <c r="B73" s="24" t="s">
        <v>183</v>
      </c>
      <c r="C73" s="24" t="s">
        <v>390</v>
      </c>
      <c r="D73" s="24">
        <v>1310000</v>
      </c>
      <c r="E73" s="24" t="s">
        <v>184</v>
      </c>
      <c r="F73" s="24" t="str">
        <f t="shared" si="2"/>
        <v>rtdc.l.rtdc.4041:itc</v>
      </c>
      <c r="G73" s="8">
        <f t="shared" si="3"/>
        <v>42597.412766203706</v>
      </c>
    </row>
    <row r="74" spans="1:7" x14ac:dyDescent="0.25">
      <c r="A74" s="8">
        <v>42597.413032407407</v>
      </c>
      <c r="B74" s="24" t="s">
        <v>186</v>
      </c>
      <c r="C74" s="24" t="s">
        <v>401</v>
      </c>
      <c r="D74" s="24">
        <v>1830000</v>
      </c>
      <c r="E74" s="24" t="s">
        <v>185</v>
      </c>
      <c r="F74" s="24" t="str">
        <f t="shared" si="2"/>
        <v>rtdc.l.rtdc.4038:itc</v>
      </c>
      <c r="G74" s="8">
        <f t="shared" si="3"/>
        <v>42597.413032407407</v>
      </c>
    </row>
    <row r="75" spans="1:7" x14ac:dyDescent="0.25">
      <c r="A75" s="8">
        <v>42597.416134259256</v>
      </c>
      <c r="B75" s="24" t="s">
        <v>323</v>
      </c>
      <c r="C75" s="24" t="s">
        <v>565</v>
      </c>
      <c r="D75" s="24">
        <v>900000</v>
      </c>
      <c r="E75" s="24" t="s">
        <v>647</v>
      </c>
      <c r="F75" s="24" t="str">
        <f t="shared" si="2"/>
        <v>rtdc.l.rtdc.4016:itc</v>
      </c>
      <c r="G75" s="8">
        <f t="shared" si="3"/>
        <v>42597.416134259256</v>
      </c>
    </row>
    <row r="76" spans="1:7" x14ac:dyDescent="0.25">
      <c r="A76" s="8">
        <v>42597.421793981484</v>
      </c>
      <c r="B76" s="24" t="s">
        <v>272</v>
      </c>
      <c r="C76" s="24" t="s">
        <v>394</v>
      </c>
      <c r="D76" s="24">
        <v>1260000</v>
      </c>
      <c r="E76" s="24" t="s">
        <v>276</v>
      </c>
      <c r="F76" s="24" t="str">
        <f t="shared" si="2"/>
        <v>rtdc.l.rtdc.4043:itc</v>
      </c>
      <c r="G76" s="8">
        <f t="shared" si="3"/>
        <v>42597.421793981484</v>
      </c>
    </row>
    <row r="77" spans="1:7" x14ac:dyDescent="0.25">
      <c r="A77" s="8">
        <v>42597.423692129632</v>
      </c>
      <c r="B77" s="24" t="s">
        <v>180</v>
      </c>
      <c r="C77" s="24" t="s">
        <v>397</v>
      </c>
      <c r="D77" s="24">
        <v>1360000</v>
      </c>
      <c r="E77" s="24" t="s">
        <v>645</v>
      </c>
      <c r="F77" s="24" t="str">
        <f t="shared" si="2"/>
        <v>rtdc.l.rtdc.4028:itc</v>
      </c>
      <c r="G77" s="8">
        <f t="shared" si="3"/>
        <v>42597.423692129632</v>
      </c>
    </row>
    <row r="78" spans="1:7" x14ac:dyDescent="0.25">
      <c r="A78" s="8">
        <v>42597.425428240742</v>
      </c>
      <c r="B78" s="24" t="s">
        <v>120</v>
      </c>
      <c r="C78" s="24" t="s">
        <v>403</v>
      </c>
      <c r="D78" s="24">
        <v>1110000</v>
      </c>
      <c r="E78" s="24" t="s">
        <v>325</v>
      </c>
      <c r="F78" s="24" t="str">
        <f t="shared" si="2"/>
        <v>rtdc.l.rtdc.4031:itc</v>
      </c>
      <c r="G78" s="8">
        <f t="shared" si="3"/>
        <v>42597.425428240742</v>
      </c>
    </row>
    <row r="79" spans="1:7" x14ac:dyDescent="0.25">
      <c r="A79" s="8">
        <v>42597.435601851852</v>
      </c>
      <c r="B79" s="24" t="s">
        <v>275</v>
      </c>
      <c r="C79" s="24" t="s">
        <v>405</v>
      </c>
      <c r="D79" s="24">
        <v>900000</v>
      </c>
      <c r="E79" s="24" t="s">
        <v>647</v>
      </c>
      <c r="F79" s="24" t="str">
        <f t="shared" si="2"/>
        <v>rtdc.l.rtdc.4009:itc</v>
      </c>
      <c r="G79" s="8">
        <f t="shared" si="3"/>
        <v>42597.435601851852</v>
      </c>
    </row>
    <row r="80" spans="1:7" x14ac:dyDescent="0.25">
      <c r="A80" s="8">
        <v>42597.441053240742</v>
      </c>
      <c r="B80" s="24" t="s">
        <v>236</v>
      </c>
      <c r="C80" s="24" t="s">
        <v>400</v>
      </c>
      <c r="D80" s="24">
        <v>1090000</v>
      </c>
      <c r="E80" s="24" t="s">
        <v>646</v>
      </c>
      <c r="F80" s="24" t="str">
        <f t="shared" si="2"/>
        <v>rtdc.l.rtdc.4019:itc</v>
      </c>
      <c r="G80" s="8">
        <f t="shared" si="3"/>
        <v>42597.441053240742</v>
      </c>
    </row>
    <row r="81" spans="1:7" x14ac:dyDescent="0.25">
      <c r="A81" s="8">
        <v>42597.442164351851</v>
      </c>
      <c r="B81" s="24" t="s">
        <v>166</v>
      </c>
      <c r="C81" s="24" t="s">
        <v>402</v>
      </c>
      <c r="D81" s="24">
        <v>1830000</v>
      </c>
      <c r="E81" s="24" t="s">
        <v>185</v>
      </c>
      <c r="F81" s="24" t="str">
        <f t="shared" si="2"/>
        <v>rtdc.l.rtdc.4037:itc</v>
      </c>
      <c r="G81" s="8">
        <f t="shared" si="3"/>
        <v>42597.442164351851</v>
      </c>
    </row>
    <row r="82" spans="1:7" x14ac:dyDescent="0.25">
      <c r="A82" s="8">
        <v>42597.44295138889</v>
      </c>
      <c r="B82" s="24" t="s">
        <v>111</v>
      </c>
      <c r="C82" s="24" t="s">
        <v>568</v>
      </c>
      <c r="D82" s="24">
        <v>900000</v>
      </c>
      <c r="E82" s="24" t="s">
        <v>647</v>
      </c>
      <c r="F82" s="24" t="str">
        <f t="shared" si="2"/>
        <v>rtdc.l.rtdc.4015:itc</v>
      </c>
      <c r="G82" s="8">
        <f t="shared" si="3"/>
        <v>42597.44295138889</v>
      </c>
    </row>
    <row r="83" spans="1:7" x14ac:dyDescent="0.25">
      <c r="A83" s="8">
        <v>42597.44771990741</v>
      </c>
      <c r="B83" s="24" t="s">
        <v>181</v>
      </c>
      <c r="C83" s="24" t="s">
        <v>407</v>
      </c>
      <c r="D83" s="24">
        <v>1310000</v>
      </c>
      <c r="E83" s="24" t="s">
        <v>184</v>
      </c>
      <c r="F83" s="24" t="str">
        <f t="shared" si="2"/>
        <v>rtdc.l.rtdc.4042:itc</v>
      </c>
      <c r="G83" s="8">
        <f t="shared" si="3"/>
        <v>42597.44771990741</v>
      </c>
    </row>
    <row r="84" spans="1:7" x14ac:dyDescent="0.25">
      <c r="A84" s="8">
        <v>42597.455185185187</v>
      </c>
      <c r="B84" s="24" t="s">
        <v>166</v>
      </c>
      <c r="C84" s="24" t="s">
        <v>402</v>
      </c>
      <c r="D84" s="24">
        <v>1830000</v>
      </c>
      <c r="E84" s="24" t="s">
        <v>185</v>
      </c>
      <c r="F84" s="24" t="str">
        <f t="shared" si="2"/>
        <v>rtdc.l.rtdc.4037:itc</v>
      </c>
      <c r="G84" s="8">
        <f t="shared" si="3"/>
        <v>42597.455185185187</v>
      </c>
    </row>
    <row r="85" spans="1:7" x14ac:dyDescent="0.25">
      <c r="A85" s="8">
        <v>42597.457754629628</v>
      </c>
      <c r="B85" s="24" t="s">
        <v>323</v>
      </c>
      <c r="C85" s="24" t="s">
        <v>571</v>
      </c>
      <c r="D85" s="24">
        <v>900000</v>
      </c>
      <c r="E85" s="24" t="s">
        <v>647</v>
      </c>
      <c r="F85" s="24" t="str">
        <f t="shared" si="2"/>
        <v>rtdc.l.rtdc.4016:itc</v>
      </c>
      <c r="G85" s="8">
        <f t="shared" si="3"/>
        <v>42597.457754629628</v>
      </c>
    </row>
    <row r="86" spans="1:7" x14ac:dyDescent="0.25">
      <c r="A86" s="8">
        <v>42597.458958333336</v>
      </c>
      <c r="B86" s="24" t="s">
        <v>270</v>
      </c>
      <c r="C86" s="24" t="s">
        <v>409</v>
      </c>
      <c r="D86" s="24">
        <v>880000</v>
      </c>
      <c r="E86" s="24" t="s">
        <v>239</v>
      </c>
      <c r="F86" s="24" t="str">
        <f t="shared" si="2"/>
        <v>rtdc.l.rtdc.4044:itc</v>
      </c>
      <c r="G86" s="8">
        <f t="shared" si="3"/>
        <v>42597.458958333336</v>
      </c>
    </row>
    <row r="87" spans="1:7" x14ac:dyDescent="0.25">
      <c r="A87" s="8">
        <v>42597.463217592594</v>
      </c>
      <c r="B87" s="24" t="s">
        <v>121</v>
      </c>
      <c r="C87" s="24" t="s">
        <v>404</v>
      </c>
      <c r="D87" s="24">
        <v>1110000</v>
      </c>
      <c r="E87" s="24" t="s">
        <v>325</v>
      </c>
      <c r="F87" s="24" t="str">
        <f t="shared" si="2"/>
        <v>rtdc.l.rtdc.4032:itc</v>
      </c>
      <c r="G87" s="8">
        <f t="shared" si="3"/>
        <v>42597.463217592594</v>
      </c>
    </row>
    <row r="88" spans="1:7" x14ac:dyDescent="0.25">
      <c r="A88" s="8">
        <v>42597.46675925926</v>
      </c>
      <c r="B88" s="24" t="s">
        <v>96</v>
      </c>
      <c r="C88" s="24" t="s">
        <v>412</v>
      </c>
      <c r="D88" s="24">
        <v>1280000</v>
      </c>
      <c r="E88" s="24" t="s">
        <v>279</v>
      </c>
      <c r="F88" s="24" t="str">
        <f t="shared" si="2"/>
        <v>rtdc.l.rtdc.4027:itc</v>
      </c>
      <c r="G88" s="8">
        <f t="shared" si="3"/>
        <v>42597.46675925926</v>
      </c>
    </row>
    <row r="89" spans="1:7" x14ac:dyDescent="0.25">
      <c r="A89" s="8">
        <v>42597.472233796296</v>
      </c>
      <c r="B89" s="24" t="s">
        <v>278</v>
      </c>
      <c r="C89" s="24" t="s">
        <v>406</v>
      </c>
      <c r="D89" s="24">
        <v>1990000</v>
      </c>
      <c r="E89" s="24" t="s">
        <v>238</v>
      </c>
      <c r="F89" s="24" t="str">
        <f t="shared" si="2"/>
        <v>rtdc.l.rtdc.4010:itc</v>
      </c>
      <c r="G89" s="8">
        <f t="shared" si="3"/>
        <v>42597.472233796296</v>
      </c>
    </row>
    <row r="90" spans="1:7" x14ac:dyDescent="0.25">
      <c r="A90" s="8">
        <v>42597.475844907407</v>
      </c>
      <c r="B90" s="24" t="s">
        <v>233</v>
      </c>
      <c r="C90" s="24" t="s">
        <v>416</v>
      </c>
      <c r="D90" s="24">
        <v>2090000</v>
      </c>
      <c r="E90" s="24" t="s">
        <v>648</v>
      </c>
      <c r="F90" s="24" t="str">
        <f t="shared" si="2"/>
        <v>rtdc.l.rtdc.4020:itc</v>
      </c>
      <c r="G90" s="8">
        <f t="shared" si="3"/>
        <v>42597.475844907407</v>
      </c>
    </row>
    <row r="91" spans="1:7" x14ac:dyDescent="0.25">
      <c r="A91" s="8">
        <v>42597.484953703701</v>
      </c>
      <c r="B91" s="24" t="s">
        <v>111</v>
      </c>
      <c r="C91" s="24" t="s">
        <v>574</v>
      </c>
      <c r="D91" s="24">
        <v>900000</v>
      </c>
      <c r="E91" s="24" t="s">
        <v>647</v>
      </c>
      <c r="F91" s="24" t="str">
        <f t="shared" si="2"/>
        <v>rtdc.l.rtdc.4015:itc</v>
      </c>
      <c r="G91" s="8">
        <f t="shared" si="3"/>
        <v>42597.484953703701</v>
      </c>
    </row>
    <row r="92" spans="1:7" x14ac:dyDescent="0.25">
      <c r="A92" s="8">
        <v>42597.485972222225</v>
      </c>
      <c r="B92" s="24" t="s">
        <v>183</v>
      </c>
      <c r="C92" s="24" t="s">
        <v>408</v>
      </c>
      <c r="D92" s="24">
        <v>1310000</v>
      </c>
      <c r="E92" s="24" t="s">
        <v>184</v>
      </c>
      <c r="F92" s="24" t="str">
        <f t="shared" si="2"/>
        <v>rtdc.l.rtdc.4041:itc</v>
      </c>
      <c r="G92" s="8">
        <f t="shared" si="3"/>
        <v>42597.485972222225</v>
      </c>
    </row>
    <row r="93" spans="1:7" x14ac:dyDescent="0.25">
      <c r="A93" s="8">
        <v>42597.488807870373</v>
      </c>
      <c r="B93" s="24" t="s">
        <v>186</v>
      </c>
      <c r="C93" s="24" t="s">
        <v>419</v>
      </c>
      <c r="D93" s="24">
        <v>1520000</v>
      </c>
      <c r="E93" s="24" t="s">
        <v>240</v>
      </c>
      <c r="F93" s="24" t="str">
        <f t="shared" si="2"/>
        <v>rtdc.l.rtdc.4038:itc</v>
      </c>
      <c r="G93" s="8">
        <f t="shared" si="3"/>
        <v>42597.488807870373</v>
      </c>
    </row>
    <row r="94" spans="1:7" x14ac:dyDescent="0.25">
      <c r="A94" s="8">
        <v>42597.496516203704</v>
      </c>
      <c r="B94" s="24" t="s">
        <v>272</v>
      </c>
      <c r="C94" s="24" t="s">
        <v>411</v>
      </c>
      <c r="D94" s="24">
        <v>880000</v>
      </c>
      <c r="E94" s="24" t="s">
        <v>239</v>
      </c>
      <c r="F94" s="24" t="str">
        <f t="shared" si="2"/>
        <v>rtdc.l.rtdc.4043:itc</v>
      </c>
      <c r="G94" s="8">
        <f t="shared" si="3"/>
        <v>42597.496516203704</v>
      </c>
    </row>
    <row r="95" spans="1:7" x14ac:dyDescent="0.25">
      <c r="A95" s="8">
        <v>42597.497708333336</v>
      </c>
      <c r="B95" s="24" t="s">
        <v>180</v>
      </c>
      <c r="C95" s="24" t="s">
        <v>414</v>
      </c>
      <c r="D95" s="24">
        <v>1280000</v>
      </c>
      <c r="E95" s="24" t="s">
        <v>279</v>
      </c>
      <c r="F95" s="24" t="str">
        <f t="shared" si="2"/>
        <v>rtdc.l.rtdc.4028:itc</v>
      </c>
      <c r="G95" s="8">
        <f t="shared" si="3"/>
        <v>42597.497708333336</v>
      </c>
    </row>
    <row r="96" spans="1:7" x14ac:dyDescent="0.25">
      <c r="A96" s="8">
        <v>42597.499282407407</v>
      </c>
      <c r="B96" s="24" t="s">
        <v>323</v>
      </c>
      <c r="C96" s="24" t="s">
        <v>576</v>
      </c>
      <c r="D96" s="24">
        <v>900000</v>
      </c>
      <c r="E96" s="24" t="s">
        <v>647</v>
      </c>
      <c r="F96" s="24" t="str">
        <f t="shared" si="2"/>
        <v>rtdc.l.rtdc.4016:itc</v>
      </c>
      <c r="G96" s="8">
        <f t="shared" si="3"/>
        <v>42597.499282407407</v>
      </c>
    </row>
    <row r="97" spans="1:7" x14ac:dyDescent="0.25">
      <c r="A97" s="8">
        <v>42597.502858796295</v>
      </c>
      <c r="B97" s="24" t="s">
        <v>120</v>
      </c>
      <c r="C97" s="24" t="s">
        <v>422</v>
      </c>
      <c r="D97" s="24">
        <v>1140000</v>
      </c>
      <c r="E97" s="24" t="s">
        <v>326</v>
      </c>
      <c r="F97" s="24" t="str">
        <f t="shared" si="2"/>
        <v>rtdc.l.rtdc.4031:itc</v>
      </c>
      <c r="G97" s="8">
        <f t="shared" si="3"/>
        <v>42597.502858796295</v>
      </c>
    </row>
    <row r="98" spans="1:7" x14ac:dyDescent="0.25">
      <c r="A98" s="8">
        <v>42597.50990740741</v>
      </c>
      <c r="B98" s="24" t="s">
        <v>275</v>
      </c>
      <c r="C98" s="24" t="s">
        <v>424</v>
      </c>
      <c r="D98" s="24">
        <v>1540000</v>
      </c>
      <c r="E98" s="24" t="s">
        <v>649</v>
      </c>
      <c r="F98" s="24" t="str">
        <f t="shared" si="2"/>
        <v>rtdc.l.rtdc.4009:itc</v>
      </c>
      <c r="G98" s="8">
        <f t="shared" si="3"/>
        <v>42597.50990740741</v>
      </c>
    </row>
    <row r="99" spans="1:7" x14ac:dyDescent="0.25">
      <c r="A99" s="8">
        <v>42597.513194444444</v>
      </c>
      <c r="B99" s="24" t="s">
        <v>236</v>
      </c>
      <c r="C99" s="24" t="s">
        <v>418</v>
      </c>
      <c r="D99" s="24">
        <v>2090000</v>
      </c>
      <c r="E99" s="24" t="s">
        <v>648</v>
      </c>
      <c r="F99" s="24" t="str">
        <f t="shared" si="2"/>
        <v>rtdc.l.rtdc.4019:itc</v>
      </c>
      <c r="G99" s="8">
        <f t="shared" si="3"/>
        <v>42597.513194444444</v>
      </c>
    </row>
    <row r="100" spans="1:7" x14ac:dyDescent="0.25">
      <c r="A100" s="8">
        <v>42597.520208333335</v>
      </c>
      <c r="B100" s="24" t="s">
        <v>323</v>
      </c>
      <c r="C100" s="24" t="s">
        <v>576</v>
      </c>
      <c r="D100" s="24">
        <v>900000</v>
      </c>
      <c r="E100" s="24" t="s">
        <v>647</v>
      </c>
      <c r="F100" s="24" t="str">
        <f t="shared" si="2"/>
        <v>rtdc.l.rtdc.4016:itc</v>
      </c>
      <c r="G100" s="8">
        <f t="shared" si="3"/>
        <v>42597.520208333335</v>
      </c>
    </row>
    <row r="101" spans="1:7" x14ac:dyDescent="0.25">
      <c r="A101" s="8">
        <v>42597.520740740743</v>
      </c>
      <c r="B101" s="24" t="s">
        <v>166</v>
      </c>
      <c r="C101" s="24" t="s">
        <v>421</v>
      </c>
      <c r="D101" s="24">
        <v>1520000</v>
      </c>
      <c r="E101" s="24" t="s">
        <v>240</v>
      </c>
      <c r="F101" s="24" t="str">
        <f t="shared" si="2"/>
        <v>rtdc.l.rtdc.4037:itc</v>
      </c>
      <c r="G101" s="8">
        <f t="shared" si="3"/>
        <v>42597.520740740743</v>
      </c>
    </row>
    <row r="102" spans="1:7" x14ac:dyDescent="0.25">
      <c r="A102" s="8">
        <v>42597.522696759261</v>
      </c>
      <c r="B102" s="24" t="s">
        <v>181</v>
      </c>
      <c r="C102" s="24" t="s">
        <v>426</v>
      </c>
      <c r="D102" s="24">
        <v>2020000</v>
      </c>
      <c r="E102" s="24" t="s">
        <v>187</v>
      </c>
      <c r="F102" s="24" t="str">
        <f t="shared" si="2"/>
        <v>rtdc.l.rtdc.4042:itc</v>
      </c>
      <c r="G102" s="8">
        <f t="shared" si="3"/>
        <v>42597.522696759261</v>
      </c>
    </row>
    <row r="103" spans="1:7" x14ac:dyDescent="0.25">
      <c r="A103" s="8">
        <v>42597.528194444443</v>
      </c>
      <c r="B103" s="24" t="s">
        <v>111</v>
      </c>
      <c r="C103" s="24" t="s">
        <v>579</v>
      </c>
      <c r="D103" s="24">
        <v>900000</v>
      </c>
      <c r="E103" s="24" t="s">
        <v>647</v>
      </c>
      <c r="F103" s="24" t="str">
        <f t="shared" si="2"/>
        <v>rtdc.l.rtdc.4015:itc</v>
      </c>
      <c r="G103" s="8">
        <f t="shared" si="3"/>
        <v>42597.528194444443</v>
      </c>
    </row>
    <row r="104" spans="1:7" x14ac:dyDescent="0.25">
      <c r="A104" s="8">
        <v>42597.535752314812</v>
      </c>
      <c r="B104" s="24" t="s">
        <v>121</v>
      </c>
      <c r="C104" s="24" t="s">
        <v>423</v>
      </c>
      <c r="D104" s="24">
        <v>1140000</v>
      </c>
      <c r="E104" s="24" t="s">
        <v>326</v>
      </c>
      <c r="F104" s="24" t="str">
        <f t="shared" si="2"/>
        <v>rtdc.l.rtdc.4032:itc</v>
      </c>
      <c r="G104" s="8">
        <f t="shared" si="3"/>
        <v>42597.535752314812</v>
      </c>
    </row>
    <row r="105" spans="1:7" x14ac:dyDescent="0.25">
      <c r="A105" s="8">
        <v>42597.537662037037</v>
      </c>
      <c r="B105" s="24" t="s">
        <v>270</v>
      </c>
      <c r="C105" s="24" t="s">
        <v>429</v>
      </c>
      <c r="D105" s="24">
        <v>880000</v>
      </c>
      <c r="E105" s="24" t="s">
        <v>239</v>
      </c>
      <c r="F105" s="24" t="str">
        <f t="shared" si="2"/>
        <v>rtdc.l.rtdc.4044:itc</v>
      </c>
      <c r="G105" s="8">
        <f t="shared" si="3"/>
        <v>42597.537662037037</v>
      </c>
    </row>
    <row r="106" spans="1:7" x14ac:dyDescent="0.25">
      <c r="A106" s="8">
        <v>42597.543935185182</v>
      </c>
      <c r="B106" s="24" t="s">
        <v>96</v>
      </c>
      <c r="C106" s="24" t="s">
        <v>433</v>
      </c>
      <c r="D106" s="24">
        <v>1280000</v>
      </c>
      <c r="E106" s="24" t="s">
        <v>279</v>
      </c>
      <c r="F106" s="24" t="str">
        <f t="shared" si="2"/>
        <v>rtdc.l.rtdc.4027:itc</v>
      </c>
      <c r="G106" s="8">
        <f t="shared" si="3"/>
        <v>42597.543935185182</v>
      </c>
    </row>
    <row r="107" spans="1:7" x14ac:dyDescent="0.25">
      <c r="A107" s="8">
        <v>42597.547210648147</v>
      </c>
      <c r="B107" s="24" t="s">
        <v>278</v>
      </c>
      <c r="C107" s="24" t="s">
        <v>425</v>
      </c>
      <c r="D107" s="24">
        <v>1540000</v>
      </c>
      <c r="E107" s="24" t="s">
        <v>649</v>
      </c>
      <c r="F107" s="24" t="str">
        <f t="shared" si="2"/>
        <v>rtdc.l.rtdc.4010:itc</v>
      </c>
      <c r="G107" s="8">
        <f t="shared" si="3"/>
        <v>42597.547210648147</v>
      </c>
    </row>
    <row r="108" spans="1:7" x14ac:dyDescent="0.25">
      <c r="A108" s="8">
        <v>42597.54991898148</v>
      </c>
      <c r="B108" s="24" t="s">
        <v>233</v>
      </c>
      <c r="C108" s="24" t="s">
        <v>436</v>
      </c>
      <c r="D108" s="24">
        <v>2090000</v>
      </c>
      <c r="E108" s="24" t="s">
        <v>648</v>
      </c>
      <c r="F108" s="24" t="str">
        <f t="shared" si="2"/>
        <v>rtdc.l.rtdc.4020:itc</v>
      </c>
      <c r="G108" s="8">
        <f t="shared" si="3"/>
        <v>42597.54991898148</v>
      </c>
    </row>
    <row r="109" spans="1:7" x14ac:dyDescent="0.25">
      <c r="A109" s="8">
        <v>42597.551793981482</v>
      </c>
      <c r="B109" s="24" t="s">
        <v>323</v>
      </c>
      <c r="C109" s="24" t="s">
        <v>582</v>
      </c>
      <c r="D109" s="24">
        <v>1770000</v>
      </c>
      <c r="E109" s="24" t="s">
        <v>280</v>
      </c>
      <c r="F109" s="24" t="str">
        <f t="shared" si="2"/>
        <v>rtdc.l.rtdc.4016:itc</v>
      </c>
      <c r="G109" s="8">
        <f t="shared" si="3"/>
        <v>42597.551793981482</v>
      </c>
    </row>
    <row r="110" spans="1:7" x14ac:dyDescent="0.25">
      <c r="A110" s="8">
        <v>42597.556458333333</v>
      </c>
      <c r="B110" s="24" t="s">
        <v>183</v>
      </c>
      <c r="C110" s="24" t="s">
        <v>427</v>
      </c>
      <c r="D110" s="24">
        <v>2020000</v>
      </c>
      <c r="E110" s="24" t="s">
        <v>187</v>
      </c>
      <c r="F110" s="24" t="str">
        <f t="shared" si="2"/>
        <v>rtdc.l.rtdc.4041:itc</v>
      </c>
      <c r="G110" s="8">
        <f t="shared" si="3"/>
        <v>42597.556458333333</v>
      </c>
    </row>
    <row r="111" spans="1:7" x14ac:dyDescent="0.25">
      <c r="A111" s="8">
        <v>42597.562430555554</v>
      </c>
      <c r="B111" s="24" t="s">
        <v>186</v>
      </c>
      <c r="C111" s="24" t="s">
        <v>438</v>
      </c>
      <c r="D111" s="24">
        <v>1520000</v>
      </c>
      <c r="E111" s="24" t="s">
        <v>240</v>
      </c>
      <c r="F111" s="24" t="str">
        <f t="shared" si="2"/>
        <v>rtdc.l.rtdc.4038:itc</v>
      </c>
      <c r="G111" s="8">
        <f t="shared" si="3"/>
        <v>42597.562430555554</v>
      </c>
    </row>
    <row r="112" spans="1:7" x14ac:dyDescent="0.25">
      <c r="A112" s="8">
        <v>42597.568935185183</v>
      </c>
      <c r="B112" s="24" t="s">
        <v>111</v>
      </c>
      <c r="C112" s="24" t="s">
        <v>584</v>
      </c>
      <c r="D112" s="24">
        <v>1770000</v>
      </c>
      <c r="E112" s="24" t="s">
        <v>280</v>
      </c>
      <c r="F112" s="24" t="str">
        <f t="shared" si="2"/>
        <v>rtdc.l.rtdc.4015:itc</v>
      </c>
      <c r="G112" s="8">
        <f t="shared" si="3"/>
        <v>42597.568935185183</v>
      </c>
    </row>
    <row r="113" spans="1:7" x14ac:dyDescent="0.25">
      <c r="A113" s="8">
        <v>42597.575462962966</v>
      </c>
      <c r="B113" s="24" t="s">
        <v>120</v>
      </c>
      <c r="C113" s="24" t="s">
        <v>440</v>
      </c>
      <c r="D113" s="24">
        <v>1140000</v>
      </c>
      <c r="E113" s="24" t="s">
        <v>326</v>
      </c>
      <c r="F113" s="24" t="str">
        <f t="shared" si="2"/>
        <v>rtdc.l.rtdc.4031:itc</v>
      </c>
      <c r="G113" s="8">
        <f t="shared" si="3"/>
        <v>42597.575462962966</v>
      </c>
    </row>
    <row r="114" spans="1:7" x14ac:dyDescent="0.25">
      <c r="A114" s="8">
        <v>42597.577627314815</v>
      </c>
      <c r="B114" s="24" t="s">
        <v>272</v>
      </c>
      <c r="C114" s="24" t="s">
        <v>431</v>
      </c>
      <c r="D114" s="24">
        <v>880000</v>
      </c>
      <c r="E114" s="24" t="s">
        <v>239</v>
      </c>
      <c r="F114" s="24" t="str">
        <f t="shared" si="2"/>
        <v>rtdc.l.rtdc.4043:itc</v>
      </c>
      <c r="G114" s="8">
        <f t="shared" si="3"/>
        <v>42597.577627314815</v>
      </c>
    </row>
    <row r="115" spans="1:7" x14ac:dyDescent="0.25">
      <c r="A115" s="8">
        <v>42597.581458333334</v>
      </c>
      <c r="B115" s="24" t="s">
        <v>180</v>
      </c>
      <c r="C115" s="24" t="s">
        <v>435</v>
      </c>
      <c r="D115" s="24">
        <v>1280000</v>
      </c>
      <c r="E115" s="24" t="s">
        <v>279</v>
      </c>
      <c r="F115" s="24" t="str">
        <f t="shared" si="2"/>
        <v>rtdc.l.rtdc.4028:itc</v>
      </c>
      <c r="G115" s="8">
        <f t="shared" si="3"/>
        <v>42597.581458333334</v>
      </c>
    </row>
    <row r="116" spans="1:7" x14ac:dyDescent="0.25">
      <c r="A116" s="8">
        <v>42597.591608796298</v>
      </c>
      <c r="B116" s="24" t="s">
        <v>236</v>
      </c>
      <c r="C116" s="24" t="s">
        <v>437</v>
      </c>
      <c r="D116" s="24">
        <v>2090000</v>
      </c>
      <c r="E116" s="24" t="s">
        <v>648</v>
      </c>
      <c r="F116" s="24" t="str">
        <f t="shared" si="2"/>
        <v>rtdc.l.rtdc.4019:itc</v>
      </c>
      <c r="G116" s="8">
        <f t="shared" si="3"/>
        <v>42597.591608796298</v>
      </c>
    </row>
    <row r="117" spans="1:7" x14ac:dyDescent="0.25">
      <c r="A117" s="8">
        <v>42597.59270833333</v>
      </c>
      <c r="B117" s="24" t="s">
        <v>323</v>
      </c>
      <c r="C117" s="24" t="s">
        <v>587</v>
      </c>
      <c r="D117" s="24">
        <v>1770000</v>
      </c>
      <c r="E117" s="24" t="s">
        <v>280</v>
      </c>
      <c r="F117" s="24" t="str">
        <f t="shared" si="2"/>
        <v>rtdc.l.rtdc.4016:itc</v>
      </c>
      <c r="G117" s="8">
        <f t="shared" si="3"/>
        <v>42597.59270833333</v>
      </c>
    </row>
    <row r="118" spans="1:7" x14ac:dyDescent="0.25">
      <c r="A118" s="8">
        <v>42597.593668981484</v>
      </c>
      <c r="B118" s="24" t="s">
        <v>275</v>
      </c>
      <c r="C118" s="24" t="s">
        <v>442</v>
      </c>
      <c r="D118" s="24">
        <v>1540000</v>
      </c>
      <c r="E118" s="24" t="s">
        <v>649</v>
      </c>
      <c r="F118" s="24" t="str">
        <f t="shared" si="2"/>
        <v>rtdc.l.rtdc.4009:itc</v>
      </c>
      <c r="G118" s="8">
        <f t="shared" si="3"/>
        <v>42597.593668981484</v>
      </c>
    </row>
    <row r="119" spans="1:7" x14ac:dyDescent="0.25">
      <c r="A119" s="8">
        <v>42597.594143518516</v>
      </c>
      <c r="B119" s="24" t="s">
        <v>323</v>
      </c>
      <c r="C119" s="24" t="s">
        <v>585</v>
      </c>
      <c r="D119" s="24">
        <v>1770000</v>
      </c>
      <c r="E119" s="24" t="s">
        <v>280</v>
      </c>
      <c r="F119" s="24" t="str">
        <f t="shared" si="2"/>
        <v>rtdc.l.rtdc.4016:itc</v>
      </c>
      <c r="G119" s="8">
        <f t="shared" si="3"/>
        <v>42597.594143518516</v>
      </c>
    </row>
    <row r="120" spans="1:7" x14ac:dyDescent="0.25">
      <c r="A120" s="8">
        <v>42597.596203703702</v>
      </c>
      <c r="B120" s="24" t="s">
        <v>181</v>
      </c>
      <c r="C120" s="24" t="s">
        <v>445</v>
      </c>
      <c r="D120" s="24">
        <v>2020000</v>
      </c>
      <c r="E120" s="24" t="s">
        <v>187</v>
      </c>
      <c r="F120" s="24" t="str">
        <f t="shared" si="2"/>
        <v>rtdc.l.rtdc.4042:itc</v>
      </c>
      <c r="G120" s="8">
        <f t="shared" si="3"/>
        <v>42597.596203703702</v>
      </c>
    </row>
    <row r="121" spans="1:7" x14ac:dyDescent="0.25">
      <c r="A121" s="8">
        <v>42597.597557870373</v>
      </c>
      <c r="B121" s="24" t="s">
        <v>166</v>
      </c>
      <c r="C121" s="24" t="s">
        <v>439</v>
      </c>
      <c r="D121" s="24">
        <v>1520000</v>
      </c>
      <c r="E121" s="24" t="s">
        <v>240</v>
      </c>
      <c r="F121" s="24" t="str">
        <f t="shared" si="2"/>
        <v>rtdc.l.rtdc.4037:itc</v>
      </c>
      <c r="G121" s="8">
        <f t="shared" si="3"/>
        <v>42597.597557870373</v>
      </c>
    </row>
    <row r="122" spans="1:7" x14ac:dyDescent="0.25">
      <c r="A122" s="8">
        <v>42597.609375</v>
      </c>
      <c r="B122" s="29" t="s">
        <v>111</v>
      </c>
      <c r="C122" s="24" t="s">
        <v>587</v>
      </c>
      <c r="D122" s="24">
        <v>1770000</v>
      </c>
      <c r="E122" s="24" t="s">
        <v>280</v>
      </c>
      <c r="F122" s="24" t="str">
        <f t="shared" si="2"/>
        <v>rtdc.l.rtdc.4015:itc</v>
      </c>
      <c r="G122" s="8">
        <f t="shared" si="3"/>
        <v>42597.609375</v>
      </c>
    </row>
    <row r="123" spans="1:7" x14ac:dyDescent="0.25">
      <c r="A123" s="8">
        <v>42597.610243055555</v>
      </c>
      <c r="B123" s="24" t="s">
        <v>121</v>
      </c>
      <c r="C123" s="24" t="s">
        <v>441</v>
      </c>
      <c r="D123" s="24">
        <v>1140000</v>
      </c>
      <c r="E123" s="24" t="s">
        <v>326</v>
      </c>
      <c r="F123" s="24" t="str">
        <f t="shared" si="2"/>
        <v>rtdc.l.rtdc.4032:itc</v>
      </c>
      <c r="G123" s="8">
        <f t="shared" si="3"/>
        <v>42597.610243055555</v>
      </c>
    </row>
    <row r="124" spans="1:7" x14ac:dyDescent="0.25">
      <c r="A124" s="8">
        <v>42597.611493055556</v>
      </c>
      <c r="B124" s="24" t="s">
        <v>270</v>
      </c>
      <c r="C124" s="24" t="s">
        <v>447</v>
      </c>
      <c r="D124" s="24">
        <v>880000</v>
      </c>
      <c r="E124" s="24" t="s">
        <v>239</v>
      </c>
      <c r="F124" s="24" t="str">
        <f t="shared" si="2"/>
        <v>rtdc.l.rtdc.4044:itc</v>
      </c>
      <c r="G124" s="8">
        <f t="shared" si="3"/>
        <v>42597.611493055556</v>
      </c>
    </row>
    <row r="125" spans="1:7" x14ac:dyDescent="0.25">
      <c r="A125" s="8">
        <v>42597.617847222224</v>
      </c>
      <c r="B125" s="24" t="s">
        <v>96</v>
      </c>
      <c r="C125" s="24" t="s">
        <v>449</v>
      </c>
      <c r="D125" s="24">
        <v>1280000</v>
      </c>
      <c r="E125" s="24" t="s">
        <v>279</v>
      </c>
      <c r="F125" s="24" t="str">
        <f t="shared" si="2"/>
        <v>rtdc.l.rtdc.4027:itc</v>
      </c>
      <c r="G125" s="8">
        <f t="shared" si="3"/>
        <v>42597.617847222224</v>
      </c>
    </row>
    <row r="126" spans="1:7" x14ac:dyDescent="0.25">
      <c r="A126" s="8">
        <v>42597.625532407408</v>
      </c>
      <c r="B126" s="24" t="s">
        <v>278</v>
      </c>
      <c r="C126" s="24" t="s">
        <v>443</v>
      </c>
      <c r="D126" s="24">
        <v>1540000</v>
      </c>
      <c r="E126" s="24" t="s">
        <v>649</v>
      </c>
      <c r="F126" s="24" t="str">
        <f t="shared" si="2"/>
        <v>rtdc.l.rtdc.4010:itc</v>
      </c>
      <c r="G126" s="8">
        <f t="shared" si="3"/>
        <v>42597.625532407408</v>
      </c>
    </row>
    <row r="127" spans="1:7" x14ac:dyDescent="0.25">
      <c r="A127" s="8">
        <v>42597.630393518521</v>
      </c>
      <c r="B127" s="24" t="s">
        <v>118</v>
      </c>
      <c r="C127" s="24" t="s">
        <v>635</v>
      </c>
      <c r="D127" s="24">
        <v>1740000</v>
      </c>
      <c r="E127" s="24" t="s">
        <v>277</v>
      </c>
      <c r="F127" s="24" t="str">
        <f t="shared" si="2"/>
        <v>rtdc.l.rtdc.4014:itc</v>
      </c>
      <c r="G127" s="8">
        <f t="shared" si="3"/>
        <v>42597.630393518521</v>
      </c>
    </row>
    <row r="128" spans="1:7" x14ac:dyDescent="0.25">
      <c r="A128" s="8">
        <v>42597.63040509259</v>
      </c>
      <c r="B128" s="24" t="s">
        <v>233</v>
      </c>
      <c r="C128" s="24" t="s">
        <v>452</v>
      </c>
      <c r="D128" s="24">
        <v>2090000</v>
      </c>
      <c r="E128" s="24" t="s">
        <v>648</v>
      </c>
      <c r="F128" s="24" t="str">
        <f t="shared" si="2"/>
        <v>rtdc.l.rtdc.4020:itc</v>
      </c>
      <c r="G128" s="8">
        <f t="shared" si="3"/>
        <v>42597.63040509259</v>
      </c>
    </row>
    <row r="129" spans="1:7" x14ac:dyDescent="0.25">
      <c r="A129" s="8">
        <v>42597.632488425923</v>
      </c>
      <c r="B129" s="24" t="s">
        <v>323</v>
      </c>
      <c r="C129" s="24" t="s">
        <v>588</v>
      </c>
      <c r="D129" s="24">
        <v>1770000</v>
      </c>
      <c r="E129" s="24" t="s">
        <v>280</v>
      </c>
      <c r="F129" s="24" t="str">
        <f t="shared" si="2"/>
        <v>rtdc.l.rtdc.4016:itc</v>
      </c>
      <c r="G129" s="8">
        <f t="shared" si="3"/>
        <v>42597.632488425923</v>
      </c>
    </row>
    <row r="130" spans="1:7" x14ac:dyDescent="0.25">
      <c r="A130" s="8">
        <v>42597.633032407408</v>
      </c>
      <c r="B130" s="24" t="s">
        <v>183</v>
      </c>
      <c r="C130" s="24" t="s">
        <v>446</v>
      </c>
      <c r="D130" s="24">
        <v>2020000</v>
      </c>
      <c r="E130" s="24" t="s">
        <v>187</v>
      </c>
      <c r="F130" s="24" t="str">
        <f t="shared" ref="F130:F193" si="4">B130</f>
        <v>rtdc.l.rtdc.4041:itc</v>
      </c>
      <c r="G130" s="8">
        <f t="shared" ref="G130:G193" si="5">A130</f>
        <v>42597.633032407408</v>
      </c>
    </row>
    <row r="131" spans="1:7" x14ac:dyDescent="0.25">
      <c r="A131" s="8">
        <v>42597.634722222225</v>
      </c>
      <c r="B131" s="24" t="s">
        <v>186</v>
      </c>
      <c r="C131" s="24" t="s">
        <v>454</v>
      </c>
      <c r="D131" s="24">
        <v>1520000</v>
      </c>
      <c r="E131" s="24" t="s">
        <v>240</v>
      </c>
      <c r="F131" s="24" t="str">
        <f t="shared" si="4"/>
        <v>rtdc.l.rtdc.4038:itc</v>
      </c>
      <c r="G131" s="8">
        <f t="shared" si="5"/>
        <v>42597.634722222225</v>
      </c>
    </row>
    <row r="132" spans="1:7" x14ac:dyDescent="0.25">
      <c r="A132" s="8">
        <v>42597.635625000003</v>
      </c>
      <c r="B132" s="24" t="s">
        <v>93</v>
      </c>
      <c r="C132" s="24" t="s">
        <v>635</v>
      </c>
      <c r="D132" s="24">
        <v>1740000</v>
      </c>
      <c r="E132" s="24" t="s">
        <v>277</v>
      </c>
      <c r="F132" s="24" t="str">
        <f t="shared" si="4"/>
        <v>rtdc.l.rtdc.4013:itc</v>
      </c>
      <c r="G132" s="8">
        <f t="shared" si="5"/>
        <v>42597.635625000003</v>
      </c>
    </row>
    <row r="133" spans="1:7" x14ac:dyDescent="0.25">
      <c r="A133" s="8">
        <v>42597.644375000003</v>
      </c>
      <c r="B133" s="24" t="s">
        <v>272</v>
      </c>
      <c r="C133" s="24" t="s">
        <v>448</v>
      </c>
      <c r="D133" s="24">
        <v>880000</v>
      </c>
      <c r="E133" s="24" t="s">
        <v>239</v>
      </c>
      <c r="F133" s="24" t="str">
        <f t="shared" si="4"/>
        <v>rtdc.l.rtdc.4043:itc</v>
      </c>
      <c r="G133" s="8">
        <f t="shared" si="5"/>
        <v>42597.644375000003</v>
      </c>
    </row>
    <row r="134" spans="1:7" x14ac:dyDescent="0.25">
      <c r="A134" s="8">
        <v>42597.649756944447</v>
      </c>
      <c r="B134" s="24" t="s">
        <v>120</v>
      </c>
      <c r="C134" s="24" t="s">
        <v>456</v>
      </c>
      <c r="D134" s="24">
        <v>1140000</v>
      </c>
      <c r="E134" s="24" t="s">
        <v>326</v>
      </c>
      <c r="F134" s="24" t="str">
        <f t="shared" si="4"/>
        <v>rtdc.l.rtdc.4031:itc</v>
      </c>
      <c r="G134" s="8">
        <f t="shared" si="5"/>
        <v>42597.649756944447</v>
      </c>
    </row>
    <row r="135" spans="1:7" x14ac:dyDescent="0.25">
      <c r="A135" s="8">
        <v>42597.650625000002</v>
      </c>
      <c r="B135" s="24" t="s">
        <v>180</v>
      </c>
      <c r="C135" s="24" t="s">
        <v>450</v>
      </c>
      <c r="D135" s="24">
        <v>1280000</v>
      </c>
      <c r="E135" s="24" t="s">
        <v>279</v>
      </c>
      <c r="F135" s="24" t="str">
        <f t="shared" si="4"/>
        <v>rtdc.l.rtdc.4028:itc</v>
      </c>
      <c r="G135" s="8">
        <f t="shared" si="5"/>
        <v>42597.650625000002</v>
      </c>
    </row>
    <row r="136" spans="1:7" x14ac:dyDescent="0.25">
      <c r="A136" s="8">
        <v>42597.651435185187</v>
      </c>
      <c r="B136" s="24" t="s">
        <v>111</v>
      </c>
      <c r="C136" s="24" t="s">
        <v>589</v>
      </c>
      <c r="D136" s="24">
        <v>1770000</v>
      </c>
      <c r="E136" s="24" t="s">
        <v>280</v>
      </c>
      <c r="F136" s="24" t="str">
        <f t="shared" si="4"/>
        <v>rtdc.l.rtdc.4015:itc</v>
      </c>
      <c r="G136" s="8">
        <f t="shared" si="5"/>
        <v>42597.651435185187</v>
      </c>
    </row>
    <row r="137" spans="1:7" x14ac:dyDescent="0.25">
      <c r="A137" s="8">
        <v>42597.655902777777</v>
      </c>
      <c r="B137" s="24" t="s">
        <v>275</v>
      </c>
      <c r="C137" s="24" t="s">
        <v>459</v>
      </c>
      <c r="D137" s="24">
        <v>1540000</v>
      </c>
      <c r="E137" s="24" t="s">
        <v>649</v>
      </c>
      <c r="F137" s="24" t="str">
        <f t="shared" si="4"/>
        <v>rtdc.l.rtdc.4009:itc</v>
      </c>
      <c r="G137" s="8">
        <f t="shared" si="5"/>
        <v>42597.655902777777</v>
      </c>
    </row>
    <row r="138" spans="1:7" x14ac:dyDescent="0.25">
      <c r="A138" s="8">
        <v>42597.65729166667</v>
      </c>
      <c r="B138" s="24" t="s">
        <v>118</v>
      </c>
      <c r="C138" s="24" t="s">
        <v>592</v>
      </c>
      <c r="D138" s="24">
        <v>1740000</v>
      </c>
      <c r="E138" s="24" t="s">
        <v>277</v>
      </c>
      <c r="F138" s="24" t="str">
        <f t="shared" si="4"/>
        <v>rtdc.l.rtdc.4014:itc</v>
      </c>
      <c r="G138" s="8">
        <f t="shared" si="5"/>
        <v>42597.65729166667</v>
      </c>
    </row>
    <row r="139" spans="1:7" x14ac:dyDescent="0.25">
      <c r="A139" s="8">
        <v>42597.660983796297</v>
      </c>
      <c r="B139" s="24" t="s">
        <v>236</v>
      </c>
      <c r="C139" s="24" t="s">
        <v>453</v>
      </c>
      <c r="D139" s="24">
        <v>2090000</v>
      </c>
      <c r="E139" s="24" t="s">
        <v>648</v>
      </c>
      <c r="F139" s="24" t="str">
        <f t="shared" si="4"/>
        <v>rtdc.l.rtdc.4019:itc</v>
      </c>
      <c r="G139" s="8">
        <f t="shared" si="5"/>
        <v>42597.660983796297</v>
      </c>
    </row>
    <row r="140" spans="1:7" x14ac:dyDescent="0.25">
      <c r="A140" s="8">
        <v>42597.66611111111</v>
      </c>
      <c r="B140" s="24" t="s">
        <v>166</v>
      </c>
      <c r="C140" s="24" t="s">
        <v>455</v>
      </c>
      <c r="D140" s="24">
        <v>1520000</v>
      </c>
      <c r="E140" s="24" t="s">
        <v>240</v>
      </c>
      <c r="F140" s="24" t="str">
        <f t="shared" si="4"/>
        <v>rtdc.l.rtdc.4037:itc</v>
      </c>
      <c r="G140" s="8">
        <f t="shared" si="5"/>
        <v>42597.66611111111</v>
      </c>
    </row>
    <row r="141" spans="1:7" x14ac:dyDescent="0.25">
      <c r="A141" s="8">
        <v>42597.67087962963</v>
      </c>
      <c r="B141" s="24" t="s">
        <v>181</v>
      </c>
      <c r="C141" s="24" t="s">
        <v>461</v>
      </c>
      <c r="D141" s="24">
        <v>730000</v>
      </c>
      <c r="E141" s="24" t="s">
        <v>244</v>
      </c>
      <c r="F141" s="24" t="str">
        <f t="shared" si="4"/>
        <v>rtdc.l.rtdc.4042:itc</v>
      </c>
      <c r="G141" s="8">
        <f t="shared" si="5"/>
        <v>42597.67087962963</v>
      </c>
    </row>
    <row r="142" spans="1:7" x14ac:dyDescent="0.25">
      <c r="A142" s="8">
        <v>42597.673310185186</v>
      </c>
      <c r="B142" s="24" t="s">
        <v>93</v>
      </c>
      <c r="C142" s="24" t="s">
        <v>592</v>
      </c>
      <c r="D142" s="24">
        <v>1740000</v>
      </c>
      <c r="E142" s="24" t="s">
        <v>277</v>
      </c>
      <c r="F142" s="24" t="str">
        <f t="shared" si="4"/>
        <v>rtdc.l.rtdc.4013:itc</v>
      </c>
      <c r="G142" s="8">
        <f t="shared" si="5"/>
        <v>42597.673310185186</v>
      </c>
    </row>
    <row r="143" spans="1:7" x14ac:dyDescent="0.25">
      <c r="A143" s="8">
        <v>42597.674733796295</v>
      </c>
      <c r="B143" s="24" t="s">
        <v>93</v>
      </c>
      <c r="C143" s="24" t="s">
        <v>595</v>
      </c>
      <c r="D143" s="24">
        <v>1740000</v>
      </c>
      <c r="E143" s="24" t="s">
        <v>277</v>
      </c>
      <c r="F143" s="24" t="str">
        <f t="shared" si="4"/>
        <v>rtdc.l.rtdc.4013:itc</v>
      </c>
      <c r="G143" s="8">
        <f t="shared" si="5"/>
        <v>42597.674733796295</v>
      </c>
    </row>
    <row r="144" spans="1:7" x14ac:dyDescent="0.25">
      <c r="A144" s="8">
        <v>42597.676631944443</v>
      </c>
      <c r="B144" s="24" t="s">
        <v>323</v>
      </c>
      <c r="C144" s="24" t="s">
        <v>598</v>
      </c>
      <c r="D144" s="24">
        <v>1770000</v>
      </c>
      <c r="E144" s="24" t="s">
        <v>280</v>
      </c>
      <c r="F144" s="24" t="str">
        <f t="shared" si="4"/>
        <v>rtdc.l.rtdc.4016:itc</v>
      </c>
      <c r="G144" s="8">
        <f t="shared" si="5"/>
        <v>42597.676631944443</v>
      </c>
    </row>
    <row r="145" spans="1:7" x14ac:dyDescent="0.25">
      <c r="A145" s="8">
        <v>42597.67664351852</v>
      </c>
      <c r="B145" s="24" t="s">
        <v>270</v>
      </c>
      <c r="C145" s="24" t="s">
        <v>463</v>
      </c>
      <c r="D145" s="24">
        <v>880000</v>
      </c>
      <c r="E145" s="24" t="s">
        <v>239</v>
      </c>
      <c r="F145" s="24" t="str">
        <f t="shared" si="4"/>
        <v>rtdc.l.rtdc.4044:itc</v>
      </c>
      <c r="G145" s="8">
        <f t="shared" si="5"/>
        <v>42597.67664351852</v>
      </c>
    </row>
    <row r="146" spans="1:7" x14ac:dyDescent="0.25">
      <c r="A146" s="8">
        <v>42597.682511574072</v>
      </c>
      <c r="B146" s="24" t="s">
        <v>121</v>
      </c>
      <c r="C146" s="24" t="s">
        <v>457</v>
      </c>
      <c r="D146" s="24">
        <v>1140000</v>
      </c>
      <c r="E146" s="24" t="s">
        <v>326</v>
      </c>
      <c r="F146" s="24" t="str">
        <f t="shared" si="4"/>
        <v>rtdc.l.rtdc.4032:itc</v>
      </c>
      <c r="G146" s="8">
        <f t="shared" si="5"/>
        <v>42597.682511574072</v>
      </c>
    </row>
    <row r="147" spans="1:7" x14ac:dyDescent="0.25">
      <c r="A147" s="8">
        <v>42597.684803240743</v>
      </c>
      <c r="B147" s="24" t="s">
        <v>96</v>
      </c>
      <c r="C147" s="24" t="s">
        <v>465</v>
      </c>
      <c r="D147" s="24">
        <v>1280000</v>
      </c>
      <c r="E147" s="24" t="s">
        <v>279</v>
      </c>
      <c r="F147" s="24" t="str">
        <f t="shared" si="4"/>
        <v>rtdc.l.rtdc.4027:itc</v>
      </c>
      <c r="G147" s="8">
        <f t="shared" si="5"/>
        <v>42597.684803240743</v>
      </c>
    </row>
    <row r="148" spans="1:7" x14ac:dyDescent="0.25">
      <c r="A148" s="8">
        <v>42597.691064814811</v>
      </c>
      <c r="B148" s="24" t="s">
        <v>278</v>
      </c>
      <c r="C148" s="24" t="s">
        <v>460</v>
      </c>
      <c r="D148" s="24">
        <v>1540000</v>
      </c>
      <c r="E148" s="24" t="s">
        <v>649</v>
      </c>
      <c r="F148" s="24" t="str">
        <f t="shared" si="4"/>
        <v>rtdc.l.rtdc.4010:itc</v>
      </c>
      <c r="G148" s="8">
        <f t="shared" si="5"/>
        <v>42597.691064814811</v>
      </c>
    </row>
    <row r="149" spans="1:7" x14ac:dyDescent="0.25">
      <c r="A149" s="8">
        <v>42597.693298611113</v>
      </c>
      <c r="B149" s="24" t="s">
        <v>233</v>
      </c>
      <c r="C149" s="24" t="s">
        <v>468</v>
      </c>
      <c r="D149" s="24">
        <v>2090000</v>
      </c>
      <c r="E149" s="24" t="s">
        <v>648</v>
      </c>
      <c r="F149" s="24" t="str">
        <f t="shared" si="4"/>
        <v>rtdc.l.rtdc.4020:itc</v>
      </c>
      <c r="G149" s="8">
        <f t="shared" si="5"/>
        <v>42597.693298611113</v>
      </c>
    </row>
    <row r="150" spans="1:7" x14ac:dyDescent="0.25">
      <c r="A150" s="8">
        <v>42597.693726851852</v>
      </c>
      <c r="B150" s="24" t="s">
        <v>111</v>
      </c>
      <c r="C150" s="24" t="s">
        <v>601</v>
      </c>
      <c r="D150" s="24">
        <v>1770000</v>
      </c>
      <c r="E150" s="24" t="s">
        <v>280</v>
      </c>
      <c r="F150" s="24" t="str">
        <f t="shared" si="4"/>
        <v>rtdc.l.rtdc.4015:itc</v>
      </c>
      <c r="G150" s="8">
        <f t="shared" si="5"/>
        <v>42597.693726851852</v>
      </c>
    </row>
    <row r="151" spans="1:7" x14ac:dyDescent="0.25">
      <c r="A151" s="8">
        <v>42597.699918981481</v>
      </c>
      <c r="B151" s="24" t="s">
        <v>118</v>
      </c>
      <c r="C151" s="24" t="s">
        <v>603</v>
      </c>
      <c r="D151" s="24">
        <v>1740000</v>
      </c>
      <c r="E151" s="24" t="s">
        <v>277</v>
      </c>
      <c r="F151" s="24" t="str">
        <f t="shared" si="4"/>
        <v>rtdc.l.rtdc.4014:itc</v>
      </c>
      <c r="G151" s="8">
        <f t="shared" si="5"/>
        <v>42597.699918981481</v>
      </c>
    </row>
    <row r="152" spans="1:7" x14ac:dyDescent="0.25">
      <c r="A152" s="8">
        <v>42597.703981481478</v>
      </c>
      <c r="B152" s="24" t="s">
        <v>183</v>
      </c>
      <c r="C152" s="24" t="s">
        <v>462</v>
      </c>
      <c r="D152" s="24">
        <v>730000</v>
      </c>
      <c r="E152" s="24" t="s">
        <v>244</v>
      </c>
      <c r="F152" s="24" t="str">
        <f t="shared" si="4"/>
        <v>rtdc.l.rtdc.4041:itc</v>
      </c>
      <c r="G152" s="8">
        <f t="shared" si="5"/>
        <v>42597.703981481478</v>
      </c>
    </row>
    <row r="153" spans="1:7" x14ac:dyDescent="0.25">
      <c r="A153" s="8">
        <v>42597.706400462965</v>
      </c>
      <c r="B153" s="24" t="s">
        <v>186</v>
      </c>
      <c r="C153" s="24" t="s">
        <v>471</v>
      </c>
      <c r="D153" s="24">
        <v>1520000</v>
      </c>
      <c r="E153" s="24" t="s">
        <v>240</v>
      </c>
      <c r="F153" s="24" t="str">
        <f t="shared" si="4"/>
        <v>rtdc.l.rtdc.4038:itc</v>
      </c>
      <c r="G153" s="8">
        <f t="shared" si="5"/>
        <v>42597.706400462965</v>
      </c>
    </row>
    <row r="154" spans="1:7" x14ac:dyDescent="0.25">
      <c r="A154" s="8">
        <v>42597.713310185187</v>
      </c>
      <c r="B154" s="24" t="s">
        <v>272</v>
      </c>
      <c r="C154" s="24" t="s">
        <v>464</v>
      </c>
      <c r="D154" s="24">
        <v>880000</v>
      </c>
      <c r="E154" s="24" t="s">
        <v>239</v>
      </c>
      <c r="F154" s="24" t="str">
        <f t="shared" si="4"/>
        <v>rtdc.l.rtdc.4043:itc</v>
      </c>
      <c r="G154" s="8">
        <f t="shared" si="5"/>
        <v>42597.713310185187</v>
      </c>
    </row>
    <row r="155" spans="1:7" x14ac:dyDescent="0.25">
      <c r="A155" s="8">
        <v>42597.715694444443</v>
      </c>
      <c r="B155" s="24" t="s">
        <v>93</v>
      </c>
      <c r="C155" s="24" t="s">
        <v>606</v>
      </c>
      <c r="D155" s="24">
        <v>1740000</v>
      </c>
      <c r="E155" s="24" t="s">
        <v>277</v>
      </c>
      <c r="F155" s="24" t="str">
        <f t="shared" si="4"/>
        <v>rtdc.l.rtdc.4013:itc</v>
      </c>
      <c r="G155" s="8">
        <f t="shared" si="5"/>
        <v>42597.715694444443</v>
      </c>
    </row>
    <row r="156" spans="1:7" x14ac:dyDescent="0.25">
      <c r="A156" s="8">
        <v>42597.717291666668</v>
      </c>
      <c r="B156" s="24" t="s">
        <v>323</v>
      </c>
      <c r="C156" s="24" t="s">
        <v>609</v>
      </c>
      <c r="D156" s="24">
        <v>1770000</v>
      </c>
      <c r="E156" s="24" t="s">
        <v>280</v>
      </c>
      <c r="F156" s="24" t="str">
        <f t="shared" si="4"/>
        <v>rtdc.l.rtdc.4016:itc</v>
      </c>
      <c r="G156" s="8">
        <f t="shared" si="5"/>
        <v>42597.717291666668</v>
      </c>
    </row>
    <row r="157" spans="1:7" x14ac:dyDescent="0.25">
      <c r="A157" s="8">
        <v>42597.718310185184</v>
      </c>
      <c r="B157" s="24" t="s">
        <v>237</v>
      </c>
      <c r="C157" s="24" t="s">
        <v>474</v>
      </c>
      <c r="D157" s="24">
        <v>2110000</v>
      </c>
      <c r="E157" s="24" t="s">
        <v>650</v>
      </c>
      <c r="F157" s="24" t="str">
        <f t="shared" si="4"/>
        <v>rtdc.l.rtdc.4007:itc</v>
      </c>
      <c r="G157" s="8">
        <f t="shared" si="5"/>
        <v>42597.718310185184</v>
      </c>
    </row>
    <row r="158" spans="1:7" x14ac:dyDescent="0.25">
      <c r="A158" s="8">
        <v>42597.718738425923</v>
      </c>
      <c r="B158" s="24" t="s">
        <v>180</v>
      </c>
      <c r="C158" s="24" t="s">
        <v>466</v>
      </c>
      <c r="D158" s="24">
        <v>1280000</v>
      </c>
      <c r="E158" s="24" t="s">
        <v>279</v>
      </c>
      <c r="F158" s="24" t="str">
        <f t="shared" si="4"/>
        <v>rtdc.l.rtdc.4028:itc</v>
      </c>
      <c r="G158" s="8">
        <f t="shared" si="5"/>
        <v>42597.718738425923</v>
      </c>
    </row>
    <row r="159" spans="1:7" x14ac:dyDescent="0.25">
      <c r="A159" s="8">
        <v>42597.730208333334</v>
      </c>
      <c r="B159" s="24" t="s">
        <v>275</v>
      </c>
      <c r="C159" s="24" t="s">
        <v>476</v>
      </c>
      <c r="D159" s="24">
        <v>1140000</v>
      </c>
      <c r="E159" s="24" t="s">
        <v>326</v>
      </c>
      <c r="F159" s="24" t="str">
        <f t="shared" si="4"/>
        <v>rtdc.l.rtdc.4009:itc</v>
      </c>
      <c r="G159" s="8">
        <f t="shared" si="5"/>
        <v>42597.730208333334</v>
      </c>
    </row>
    <row r="160" spans="1:7" x14ac:dyDescent="0.25">
      <c r="A160" s="8">
        <v>42597.733252314814</v>
      </c>
      <c r="B160" s="24" t="s">
        <v>118</v>
      </c>
      <c r="C160" s="24" t="s">
        <v>612</v>
      </c>
      <c r="D160" s="24">
        <v>1740000</v>
      </c>
      <c r="E160" s="24" t="s">
        <v>277</v>
      </c>
      <c r="F160" s="24" t="str">
        <f t="shared" si="4"/>
        <v>rtdc.l.rtdc.4014:itc</v>
      </c>
      <c r="G160" s="8">
        <f t="shared" si="5"/>
        <v>42597.733252314814</v>
      </c>
    </row>
    <row r="161" spans="1:7" x14ac:dyDescent="0.25">
      <c r="A161" s="8">
        <v>42597.734629629631</v>
      </c>
      <c r="B161" s="24" t="s">
        <v>236</v>
      </c>
      <c r="C161" s="24" t="s">
        <v>470</v>
      </c>
      <c r="D161" s="24">
        <v>2090000</v>
      </c>
      <c r="E161" s="24" t="s">
        <v>648</v>
      </c>
      <c r="F161" s="24" t="str">
        <f t="shared" si="4"/>
        <v>rtdc.l.rtdc.4019:itc</v>
      </c>
      <c r="G161" s="8">
        <f t="shared" si="5"/>
        <v>42597.734629629631</v>
      </c>
    </row>
    <row r="162" spans="1:7" x14ac:dyDescent="0.25">
      <c r="A162" s="8">
        <v>42597.735034722224</v>
      </c>
      <c r="B162" s="24" t="s">
        <v>111</v>
      </c>
      <c r="C162" s="24" t="s">
        <v>611</v>
      </c>
      <c r="D162" s="24">
        <v>1770000</v>
      </c>
      <c r="E162" s="24" t="s">
        <v>280</v>
      </c>
      <c r="F162" s="24" t="str">
        <f t="shared" si="4"/>
        <v>rtdc.l.rtdc.4015:itc</v>
      </c>
      <c r="G162" s="8">
        <f t="shared" si="5"/>
        <v>42597.735034722224</v>
      </c>
    </row>
    <row r="163" spans="1:7" x14ac:dyDescent="0.25">
      <c r="A163" s="8">
        <v>42597.738738425927</v>
      </c>
      <c r="B163" s="24" t="s">
        <v>181</v>
      </c>
      <c r="C163" s="24" t="s">
        <v>478</v>
      </c>
      <c r="D163" s="24">
        <v>1810000</v>
      </c>
      <c r="E163" s="24" t="s">
        <v>281</v>
      </c>
      <c r="F163" s="24" t="str">
        <f t="shared" si="4"/>
        <v>rtdc.l.rtdc.4042:itc</v>
      </c>
      <c r="G163" s="8">
        <f t="shared" si="5"/>
        <v>42597.738738425927</v>
      </c>
    </row>
    <row r="164" spans="1:7" x14ac:dyDescent="0.25">
      <c r="A164" s="8">
        <v>42597.738749999997</v>
      </c>
      <c r="B164" s="24" t="s">
        <v>166</v>
      </c>
      <c r="C164" s="24" t="s">
        <v>472</v>
      </c>
      <c r="D164" s="24">
        <v>1520000</v>
      </c>
      <c r="E164" s="24" t="s">
        <v>240</v>
      </c>
      <c r="F164" s="24" t="str">
        <f t="shared" si="4"/>
        <v>rtdc.l.rtdc.4037:itc</v>
      </c>
      <c r="G164" s="8">
        <f t="shared" si="5"/>
        <v>42597.738749999997</v>
      </c>
    </row>
    <row r="165" spans="1:7" x14ac:dyDescent="0.25">
      <c r="A165" s="8">
        <v>42597.747442129628</v>
      </c>
      <c r="B165" s="24" t="s">
        <v>270</v>
      </c>
      <c r="C165" s="24" t="s">
        <v>480</v>
      </c>
      <c r="D165" s="24">
        <v>730000</v>
      </c>
      <c r="E165" s="24" t="s">
        <v>244</v>
      </c>
      <c r="F165" s="24" t="str">
        <f t="shared" si="4"/>
        <v>rtdc.l.rtdc.4044:itc</v>
      </c>
      <c r="G165" s="8">
        <f t="shared" si="5"/>
        <v>42597.747442129628</v>
      </c>
    </row>
    <row r="166" spans="1:7" x14ac:dyDescent="0.25">
      <c r="A166" s="8">
        <v>42597.750347222223</v>
      </c>
      <c r="B166" s="24" t="s">
        <v>323</v>
      </c>
      <c r="C166" s="24" t="s">
        <v>616</v>
      </c>
      <c r="D166" s="24">
        <v>1770000</v>
      </c>
      <c r="E166" s="24" t="s">
        <v>280</v>
      </c>
      <c r="F166" s="24" t="str">
        <f t="shared" si="4"/>
        <v>rtdc.l.rtdc.4016:itc</v>
      </c>
      <c r="G166" s="8">
        <f t="shared" si="5"/>
        <v>42597.750347222223</v>
      </c>
    </row>
    <row r="167" spans="1:7" x14ac:dyDescent="0.25">
      <c r="A167" s="8">
        <v>42597.752638888887</v>
      </c>
      <c r="B167" s="24" t="s">
        <v>232</v>
      </c>
      <c r="C167" s="24" t="s">
        <v>475</v>
      </c>
      <c r="D167" s="24">
        <v>2110000</v>
      </c>
      <c r="E167" s="24" t="s">
        <v>650</v>
      </c>
      <c r="F167" s="24" t="str">
        <f t="shared" si="4"/>
        <v>rtdc.l.rtdc.4008:itc</v>
      </c>
      <c r="G167" s="8">
        <f t="shared" si="5"/>
        <v>42597.752638888887</v>
      </c>
    </row>
    <row r="168" spans="1:7" x14ac:dyDescent="0.25">
      <c r="A168" s="8">
        <v>42597.755868055552</v>
      </c>
      <c r="B168" s="24" t="s">
        <v>93</v>
      </c>
      <c r="C168" s="24" t="s">
        <v>614</v>
      </c>
      <c r="D168" s="24">
        <v>1740000</v>
      </c>
      <c r="E168" s="24" t="s">
        <v>277</v>
      </c>
      <c r="F168" s="24" t="str">
        <f t="shared" si="4"/>
        <v>rtdc.l.rtdc.4013:itc</v>
      </c>
      <c r="G168" s="8">
        <f t="shared" si="5"/>
        <v>42597.755868055552</v>
      </c>
    </row>
    <row r="169" spans="1:7" x14ac:dyDescent="0.25">
      <c r="A169" s="8">
        <v>42597.759733796294</v>
      </c>
      <c r="B169" s="24" t="s">
        <v>96</v>
      </c>
      <c r="C169" s="24" t="s">
        <v>483</v>
      </c>
      <c r="D169" s="24">
        <v>1800000</v>
      </c>
      <c r="E169" s="24" t="s">
        <v>651</v>
      </c>
      <c r="F169" s="24" t="str">
        <f t="shared" si="4"/>
        <v>rtdc.l.rtdc.4027:itc</v>
      </c>
      <c r="G169" s="8">
        <f t="shared" si="5"/>
        <v>42597.759733796294</v>
      </c>
    </row>
    <row r="170" spans="1:7" x14ac:dyDescent="0.25">
      <c r="A170" s="8">
        <v>42597.762175925927</v>
      </c>
      <c r="B170" s="24" t="s">
        <v>278</v>
      </c>
      <c r="C170" s="24" t="s">
        <v>477</v>
      </c>
      <c r="D170" s="24">
        <v>1140000</v>
      </c>
      <c r="E170" s="24" t="s">
        <v>326</v>
      </c>
      <c r="F170" s="24" t="str">
        <f t="shared" si="4"/>
        <v>rtdc.l.rtdc.4010:itc</v>
      </c>
      <c r="G170" s="8">
        <f t="shared" si="5"/>
        <v>42597.762175925927</v>
      </c>
    </row>
    <row r="171" spans="1:7" x14ac:dyDescent="0.25">
      <c r="A171" s="8">
        <v>42597.767199074071</v>
      </c>
      <c r="B171" s="24" t="s">
        <v>183</v>
      </c>
      <c r="C171" s="24" t="s">
        <v>479</v>
      </c>
      <c r="D171" s="24">
        <v>1810000</v>
      </c>
      <c r="E171" s="24" t="s">
        <v>281</v>
      </c>
      <c r="F171" s="24" t="str">
        <f t="shared" si="4"/>
        <v>rtdc.l.rtdc.4041:itc</v>
      </c>
      <c r="G171" s="8">
        <f t="shared" si="5"/>
        <v>42597.767199074071</v>
      </c>
    </row>
    <row r="172" spans="1:7" x14ac:dyDescent="0.25">
      <c r="A172" s="8">
        <v>42597.769583333335</v>
      </c>
      <c r="B172" s="24" t="s">
        <v>233</v>
      </c>
      <c r="C172" s="24" t="s">
        <v>485</v>
      </c>
      <c r="D172" s="24">
        <v>2100000</v>
      </c>
      <c r="E172" s="24" t="s">
        <v>151</v>
      </c>
      <c r="F172" s="24" t="str">
        <f t="shared" si="4"/>
        <v>rtdc.l.rtdc.4020:itc</v>
      </c>
      <c r="G172" s="8">
        <f t="shared" si="5"/>
        <v>42597.769583333335</v>
      </c>
    </row>
    <row r="173" spans="1:7" x14ac:dyDescent="0.25">
      <c r="A173" s="8">
        <v>42597.776273148149</v>
      </c>
      <c r="B173" s="24" t="s">
        <v>111</v>
      </c>
      <c r="C173" s="24" t="s">
        <v>618</v>
      </c>
      <c r="D173" s="24">
        <v>1770000</v>
      </c>
      <c r="E173" s="24" t="s">
        <v>280</v>
      </c>
      <c r="F173" s="24" t="str">
        <f t="shared" si="4"/>
        <v>rtdc.l.rtdc.4015:itc</v>
      </c>
      <c r="G173" s="8">
        <f t="shared" si="5"/>
        <v>42597.776273148149</v>
      </c>
    </row>
    <row r="174" spans="1:7" x14ac:dyDescent="0.25">
      <c r="A174" s="8">
        <v>42597.779641203706</v>
      </c>
      <c r="B174" s="24" t="s">
        <v>272</v>
      </c>
      <c r="C174" s="24" t="s">
        <v>481</v>
      </c>
      <c r="D174" s="24">
        <v>730000</v>
      </c>
      <c r="E174" s="24" t="s">
        <v>244</v>
      </c>
      <c r="F174" s="24" t="str">
        <f t="shared" si="4"/>
        <v>rtdc.l.rtdc.4043:itc</v>
      </c>
      <c r="G174" s="8">
        <f t="shared" si="5"/>
        <v>42597.779641203706</v>
      </c>
    </row>
    <row r="175" spans="1:7" x14ac:dyDescent="0.25">
      <c r="A175" s="8">
        <v>42597.7809837963</v>
      </c>
      <c r="B175" s="24" t="s">
        <v>118</v>
      </c>
      <c r="C175" s="24" t="s">
        <v>619</v>
      </c>
      <c r="D175" s="24">
        <v>1740000</v>
      </c>
      <c r="E175" s="24" t="s">
        <v>277</v>
      </c>
      <c r="F175" s="24" t="str">
        <f t="shared" si="4"/>
        <v>rtdc.l.rtdc.4014:itc</v>
      </c>
      <c r="G175" s="8">
        <f t="shared" si="5"/>
        <v>42597.7809837963</v>
      </c>
    </row>
    <row r="176" spans="1:7" x14ac:dyDescent="0.25">
      <c r="A176" s="8">
        <v>42597.782858796294</v>
      </c>
      <c r="B176" s="24" t="s">
        <v>186</v>
      </c>
      <c r="C176" s="24" t="s">
        <v>520</v>
      </c>
      <c r="D176" s="24">
        <v>1520000</v>
      </c>
      <c r="E176" s="24" t="s">
        <v>240</v>
      </c>
      <c r="F176" s="24" t="str">
        <f t="shared" si="4"/>
        <v>rtdc.l.rtdc.4038:itc</v>
      </c>
      <c r="G176" s="8">
        <f t="shared" si="5"/>
        <v>42597.782858796294</v>
      </c>
    </row>
    <row r="177" spans="1:7" x14ac:dyDescent="0.25">
      <c r="A177" s="8">
        <v>42597.786886574075</v>
      </c>
      <c r="B177" s="24" t="s">
        <v>237</v>
      </c>
      <c r="C177" s="24" t="s">
        <v>487</v>
      </c>
      <c r="D177" s="24">
        <v>2110000</v>
      </c>
      <c r="E177" s="24" t="s">
        <v>650</v>
      </c>
      <c r="F177" s="24" t="str">
        <f t="shared" si="4"/>
        <v>rtdc.l.rtdc.4007:itc</v>
      </c>
      <c r="G177" s="8">
        <f t="shared" si="5"/>
        <v>42597.786886574075</v>
      </c>
    </row>
    <row r="178" spans="1:7" x14ac:dyDescent="0.25">
      <c r="A178" s="8">
        <v>42597.797974537039</v>
      </c>
      <c r="B178" s="24" t="s">
        <v>180</v>
      </c>
      <c r="C178" s="24" t="s">
        <v>484</v>
      </c>
      <c r="D178" s="24">
        <v>1800000</v>
      </c>
      <c r="E178" s="24" t="s">
        <v>651</v>
      </c>
      <c r="F178" s="24" t="str">
        <f t="shared" si="4"/>
        <v>rtdc.l.rtdc.4028:itc</v>
      </c>
      <c r="G178" s="8">
        <f t="shared" si="5"/>
        <v>42597.797974537039</v>
      </c>
    </row>
    <row r="179" spans="1:7" x14ac:dyDescent="0.25">
      <c r="A179" s="8">
        <v>42597.798877314817</v>
      </c>
      <c r="B179" s="24" t="s">
        <v>93</v>
      </c>
      <c r="C179" s="24" t="s">
        <v>638</v>
      </c>
      <c r="D179" s="24">
        <v>1740000</v>
      </c>
      <c r="E179" s="24" t="s">
        <v>277</v>
      </c>
      <c r="F179" s="24" t="str">
        <f t="shared" si="4"/>
        <v>rtdc.l.rtdc.4013:itc</v>
      </c>
      <c r="G179" s="8">
        <f t="shared" si="5"/>
        <v>42597.798877314817</v>
      </c>
    </row>
    <row r="180" spans="1:7" x14ac:dyDescent="0.25">
      <c r="A180" s="8">
        <v>42597.800347222219</v>
      </c>
      <c r="B180" s="24" t="s">
        <v>323</v>
      </c>
      <c r="C180" s="24" t="s">
        <v>623</v>
      </c>
      <c r="D180" s="24">
        <v>1770000</v>
      </c>
      <c r="E180" s="24" t="s">
        <v>280</v>
      </c>
      <c r="F180" s="24" t="str">
        <f t="shared" si="4"/>
        <v>rtdc.l.rtdc.4016:itc</v>
      </c>
      <c r="G180" s="8">
        <f t="shared" si="5"/>
        <v>42597.800347222219</v>
      </c>
    </row>
    <row r="181" spans="1:7" x14ac:dyDescent="0.25">
      <c r="A181" s="8">
        <v>42597.803680555553</v>
      </c>
      <c r="B181" s="24" t="s">
        <v>236</v>
      </c>
      <c r="C181" s="24" t="s">
        <v>486</v>
      </c>
      <c r="D181" s="24">
        <v>2100000</v>
      </c>
      <c r="E181" s="24" t="s">
        <v>151</v>
      </c>
      <c r="F181" s="24" t="str">
        <f t="shared" si="4"/>
        <v>rtdc.l.rtdc.4019:itc</v>
      </c>
      <c r="G181" s="8">
        <f t="shared" si="5"/>
        <v>42597.803680555553</v>
      </c>
    </row>
    <row r="182" spans="1:7" x14ac:dyDescent="0.25">
      <c r="A182" s="8">
        <v>42597.810057870367</v>
      </c>
      <c r="B182" s="24" t="s">
        <v>181</v>
      </c>
      <c r="C182" s="24" t="s">
        <v>489</v>
      </c>
      <c r="D182" s="24">
        <v>1810000</v>
      </c>
      <c r="E182" s="24" t="s">
        <v>281</v>
      </c>
      <c r="F182" s="24" t="str">
        <f t="shared" si="4"/>
        <v>rtdc.l.rtdc.4042:itc</v>
      </c>
      <c r="G182" s="8">
        <f t="shared" si="5"/>
        <v>42597.810057870367</v>
      </c>
    </row>
    <row r="183" spans="1:7" x14ac:dyDescent="0.25">
      <c r="A183" s="8">
        <v>42597.818067129629</v>
      </c>
      <c r="B183" s="24" t="s">
        <v>111</v>
      </c>
      <c r="C183" s="24" t="s">
        <v>622</v>
      </c>
      <c r="D183" s="24">
        <v>1770000</v>
      </c>
      <c r="E183" s="24" t="s">
        <v>280</v>
      </c>
      <c r="F183" s="24" t="str">
        <f t="shared" si="4"/>
        <v>rtdc.l.rtdc.4015:itc</v>
      </c>
      <c r="G183" s="8">
        <f t="shared" si="5"/>
        <v>42597.818067129629</v>
      </c>
    </row>
    <row r="184" spans="1:7" x14ac:dyDescent="0.25">
      <c r="A184" s="8">
        <v>42597.822233796294</v>
      </c>
      <c r="B184" s="24" t="s">
        <v>270</v>
      </c>
      <c r="C184" s="24" t="s">
        <v>521</v>
      </c>
      <c r="D184" s="24">
        <v>730000</v>
      </c>
      <c r="E184" s="24" t="s">
        <v>244</v>
      </c>
      <c r="F184" s="24" t="str">
        <f t="shared" si="4"/>
        <v>rtdc.l.rtdc.4044:itc</v>
      </c>
      <c r="G184" s="8">
        <f t="shared" si="5"/>
        <v>42597.822233796294</v>
      </c>
    </row>
    <row r="185" spans="1:7" x14ac:dyDescent="0.25">
      <c r="A185" s="8">
        <v>42597.826863425929</v>
      </c>
      <c r="B185" s="24" t="s">
        <v>232</v>
      </c>
      <c r="C185" s="24" t="s">
        <v>488</v>
      </c>
      <c r="D185" s="24">
        <v>2110000</v>
      </c>
      <c r="E185" s="24" t="s">
        <v>650</v>
      </c>
      <c r="F185" s="24" t="str">
        <f t="shared" si="4"/>
        <v>rtdc.l.rtdc.4008:itc</v>
      </c>
      <c r="G185" s="8">
        <f t="shared" si="5"/>
        <v>42597.826863425929</v>
      </c>
    </row>
    <row r="186" spans="1:7" x14ac:dyDescent="0.25">
      <c r="A186" s="8">
        <v>42597.831805555557</v>
      </c>
      <c r="B186" s="24" t="s">
        <v>96</v>
      </c>
      <c r="C186" s="24" t="s">
        <v>491</v>
      </c>
      <c r="D186" s="24">
        <v>1800000</v>
      </c>
      <c r="E186" s="24" t="s">
        <v>651</v>
      </c>
      <c r="F186" s="24" t="str">
        <f t="shared" si="4"/>
        <v>rtdc.l.rtdc.4027:itc</v>
      </c>
      <c r="G186" s="8">
        <f t="shared" si="5"/>
        <v>42597.831805555557</v>
      </c>
    </row>
    <row r="187" spans="1:7" x14ac:dyDescent="0.25">
      <c r="A187" s="8">
        <v>42597.840914351851</v>
      </c>
      <c r="B187" s="24" t="s">
        <v>323</v>
      </c>
      <c r="C187" s="24" t="s">
        <v>626</v>
      </c>
      <c r="D187" s="24">
        <v>1770000</v>
      </c>
      <c r="E187" s="24" t="s">
        <v>280</v>
      </c>
      <c r="F187" s="24" t="str">
        <f t="shared" si="4"/>
        <v>rtdc.l.rtdc.4016:itc</v>
      </c>
      <c r="G187" s="8">
        <f t="shared" si="5"/>
        <v>42597.840914351851</v>
      </c>
    </row>
    <row r="188" spans="1:7" x14ac:dyDescent="0.25">
      <c r="A188" s="8">
        <v>42597.842164351852</v>
      </c>
      <c r="B188" s="24" t="s">
        <v>183</v>
      </c>
      <c r="C188" s="24" t="s">
        <v>490</v>
      </c>
      <c r="D188" s="24">
        <v>1810000</v>
      </c>
      <c r="E188" s="24" t="s">
        <v>281</v>
      </c>
      <c r="F188" s="24" t="str">
        <f t="shared" si="4"/>
        <v>rtdc.l.rtdc.4041:itc</v>
      </c>
      <c r="G188" s="8">
        <f t="shared" si="5"/>
        <v>42597.842164351852</v>
      </c>
    </row>
    <row r="189" spans="1:7" x14ac:dyDescent="0.25">
      <c r="A189" s="8">
        <v>42597.845405092594</v>
      </c>
      <c r="B189" s="24" t="s">
        <v>233</v>
      </c>
      <c r="C189" s="24" t="s">
        <v>493</v>
      </c>
      <c r="D189" s="24">
        <v>2100000</v>
      </c>
      <c r="E189" s="24" t="s">
        <v>151</v>
      </c>
      <c r="F189" s="24" t="str">
        <f t="shared" si="4"/>
        <v>rtdc.l.rtdc.4020:itc</v>
      </c>
      <c r="G189" s="8">
        <f t="shared" si="5"/>
        <v>42597.845405092594</v>
      </c>
    </row>
    <row r="190" spans="1:7" x14ac:dyDescent="0.25">
      <c r="A190" s="8">
        <v>42597.859814814816</v>
      </c>
      <c r="B190" s="24" t="s">
        <v>111</v>
      </c>
      <c r="C190" s="24" t="s">
        <v>625</v>
      </c>
      <c r="D190" s="24">
        <v>1770000</v>
      </c>
      <c r="E190" s="24" t="s">
        <v>280</v>
      </c>
      <c r="F190" s="24" t="str">
        <f t="shared" si="4"/>
        <v>rtdc.l.rtdc.4015:itc</v>
      </c>
      <c r="G190" s="8">
        <f t="shared" si="5"/>
        <v>42597.859814814816</v>
      </c>
    </row>
    <row r="191" spans="1:7" x14ac:dyDescent="0.25">
      <c r="A191" s="8">
        <v>42597.867523148147</v>
      </c>
      <c r="B191" s="24" t="s">
        <v>237</v>
      </c>
      <c r="C191" s="24" t="s">
        <v>495</v>
      </c>
      <c r="D191" s="24">
        <v>2110000</v>
      </c>
      <c r="E191" s="24" t="s">
        <v>650</v>
      </c>
      <c r="F191" s="24" t="str">
        <f t="shared" si="4"/>
        <v>rtdc.l.rtdc.4007:itc</v>
      </c>
      <c r="G191" s="8">
        <f t="shared" si="5"/>
        <v>42597.867523148147</v>
      </c>
    </row>
    <row r="192" spans="1:7" x14ac:dyDescent="0.25">
      <c r="A192" s="8">
        <v>42597.871678240743</v>
      </c>
      <c r="B192" s="24" t="s">
        <v>180</v>
      </c>
      <c r="C192" s="24" t="s">
        <v>492</v>
      </c>
      <c r="D192" s="24">
        <v>1800000</v>
      </c>
      <c r="E192" s="24" t="s">
        <v>651</v>
      </c>
      <c r="F192" s="24" t="str">
        <f t="shared" si="4"/>
        <v>rtdc.l.rtdc.4028:itc</v>
      </c>
      <c r="G192" s="8">
        <f t="shared" si="5"/>
        <v>42597.871678240743</v>
      </c>
    </row>
    <row r="193" spans="1:7" x14ac:dyDescent="0.25">
      <c r="A193" s="8">
        <v>42597.880983796298</v>
      </c>
      <c r="B193" s="24" t="s">
        <v>323</v>
      </c>
      <c r="C193" s="24" t="s">
        <v>631</v>
      </c>
      <c r="D193" s="24">
        <v>1740000</v>
      </c>
      <c r="E193" s="24" t="s">
        <v>277</v>
      </c>
      <c r="F193" s="24" t="str">
        <f t="shared" si="4"/>
        <v>rtdc.l.rtdc.4016:itc</v>
      </c>
      <c r="G193" s="8">
        <f t="shared" si="5"/>
        <v>42597.880983796298</v>
      </c>
    </row>
    <row r="194" spans="1:7" x14ac:dyDescent="0.25">
      <c r="A194" s="8">
        <v>42597.882465277777</v>
      </c>
      <c r="B194" s="24" t="s">
        <v>181</v>
      </c>
      <c r="C194" s="24" t="s">
        <v>497</v>
      </c>
      <c r="D194" s="24">
        <v>1810000</v>
      </c>
      <c r="E194" s="24" t="s">
        <v>281</v>
      </c>
      <c r="F194" s="24" t="str">
        <f t="shared" ref="F194:F235" si="6">B194</f>
        <v>rtdc.l.rtdc.4042:itc</v>
      </c>
      <c r="G194" s="8">
        <f t="shared" ref="G194:G235" si="7">A194</f>
        <v>42597.882465277777</v>
      </c>
    </row>
    <row r="195" spans="1:7" x14ac:dyDescent="0.25">
      <c r="A195" s="8">
        <v>42597.887997685182</v>
      </c>
      <c r="B195" s="24" t="s">
        <v>236</v>
      </c>
      <c r="C195" s="24" t="s">
        <v>494</v>
      </c>
      <c r="D195" s="24">
        <v>2100000</v>
      </c>
      <c r="E195" s="24" t="s">
        <v>151</v>
      </c>
      <c r="F195" s="24" t="str">
        <f t="shared" si="6"/>
        <v>rtdc.l.rtdc.4019:itc</v>
      </c>
      <c r="G195" s="8">
        <f t="shared" si="7"/>
        <v>42597.887997685182</v>
      </c>
    </row>
    <row r="196" spans="1:7" x14ac:dyDescent="0.25">
      <c r="A196" s="8">
        <v>42597.902407407404</v>
      </c>
      <c r="B196" s="24" t="s">
        <v>111</v>
      </c>
      <c r="C196" s="24" t="s">
        <v>628</v>
      </c>
      <c r="D196" s="24">
        <v>1740000</v>
      </c>
      <c r="E196" s="24" t="s">
        <v>277</v>
      </c>
      <c r="F196" s="24" t="str">
        <f t="shared" si="6"/>
        <v>rtdc.l.rtdc.4015:itc</v>
      </c>
      <c r="G196" s="8">
        <f t="shared" si="7"/>
        <v>42597.902407407404</v>
      </c>
    </row>
    <row r="197" spans="1:7" x14ac:dyDescent="0.25">
      <c r="A197" s="8">
        <v>42597.90966435185</v>
      </c>
      <c r="B197" s="24" t="s">
        <v>232</v>
      </c>
      <c r="C197" s="24" t="s">
        <v>496</v>
      </c>
      <c r="D197" s="24">
        <v>2110000</v>
      </c>
      <c r="E197" s="24" t="s">
        <v>650</v>
      </c>
      <c r="F197" s="24" t="str">
        <f t="shared" si="6"/>
        <v>rtdc.l.rtdc.4008:itc</v>
      </c>
      <c r="G197" s="8">
        <f t="shared" si="7"/>
        <v>42597.90966435185</v>
      </c>
    </row>
    <row r="198" spans="1:7" x14ac:dyDescent="0.25">
      <c r="A198" s="8">
        <v>42597.914756944447</v>
      </c>
      <c r="B198" s="24" t="s">
        <v>96</v>
      </c>
      <c r="C198" s="24" t="s">
        <v>499</v>
      </c>
      <c r="D198" s="24">
        <v>1800000</v>
      </c>
      <c r="E198" s="24" t="s">
        <v>651</v>
      </c>
      <c r="F198" s="24" t="str">
        <f t="shared" si="6"/>
        <v>rtdc.l.rtdc.4027:itc</v>
      </c>
      <c r="G198" s="8">
        <f t="shared" si="7"/>
        <v>42597.914756944447</v>
      </c>
    </row>
    <row r="199" spans="1:7" x14ac:dyDescent="0.25">
      <c r="A199" s="8">
        <v>42597.927395833336</v>
      </c>
      <c r="B199" s="24" t="s">
        <v>323</v>
      </c>
      <c r="C199" s="24" t="s">
        <v>633</v>
      </c>
      <c r="D199" s="24">
        <v>1740000</v>
      </c>
      <c r="E199" s="24" t="s">
        <v>277</v>
      </c>
      <c r="F199" s="24" t="str">
        <f t="shared" si="6"/>
        <v>rtdc.l.rtdc.4016:itc</v>
      </c>
      <c r="G199" s="8">
        <f t="shared" si="7"/>
        <v>42597.927395833336</v>
      </c>
    </row>
    <row r="200" spans="1:7" x14ac:dyDescent="0.25">
      <c r="A200" s="8">
        <v>42597.929884259262</v>
      </c>
      <c r="B200" s="24" t="s">
        <v>233</v>
      </c>
      <c r="C200" s="24" t="s">
        <v>503</v>
      </c>
      <c r="D200" s="24">
        <v>2100000</v>
      </c>
      <c r="E200" s="24" t="s">
        <v>151</v>
      </c>
      <c r="F200" s="24" t="str">
        <f t="shared" si="6"/>
        <v>rtdc.l.rtdc.4020:itc</v>
      </c>
      <c r="G200" s="8">
        <f t="shared" si="7"/>
        <v>42597.929884259262</v>
      </c>
    </row>
    <row r="201" spans="1:7" x14ac:dyDescent="0.25">
      <c r="A201" s="8">
        <v>42597.932939814818</v>
      </c>
      <c r="B201" s="24" t="s">
        <v>183</v>
      </c>
      <c r="C201" s="24" t="s">
        <v>498</v>
      </c>
      <c r="D201" s="24">
        <v>1810000</v>
      </c>
      <c r="E201" s="24" t="s">
        <v>281</v>
      </c>
      <c r="F201" s="24" t="str">
        <f t="shared" si="6"/>
        <v>rtdc.l.rtdc.4041:itc</v>
      </c>
      <c r="G201" s="8">
        <f t="shared" si="7"/>
        <v>42597.932939814818</v>
      </c>
    </row>
    <row r="202" spans="1:7" x14ac:dyDescent="0.25">
      <c r="A202" s="30">
        <v>42597.943773148145</v>
      </c>
      <c r="B202" s="24" t="s">
        <v>111</v>
      </c>
      <c r="C202" s="24" t="s">
        <v>640</v>
      </c>
      <c r="D202" s="24">
        <v>1740000</v>
      </c>
      <c r="E202" s="24" t="s">
        <v>277</v>
      </c>
      <c r="F202" s="24" t="str">
        <f t="shared" si="6"/>
        <v>rtdc.l.rtdc.4015:itc</v>
      </c>
      <c r="G202" s="8">
        <f t="shared" si="7"/>
        <v>42597.943773148145</v>
      </c>
    </row>
    <row r="203" spans="1:7" x14ac:dyDescent="0.25">
      <c r="A203" s="8">
        <v>42597.94902777778</v>
      </c>
      <c r="B203" s="24" t="s">
        <v>237</v>
      </c>
      <c r="C203" s="24" t="s">
        <v>505</v>
      </c>
      <c r="D203" s="24">
        <v>2110000</v>
      </c>
      <c r="E203" s="24" t="s">
        <v>650</v>
      </c>
      <c r="F203" s="24" t="str">
        <f t="shared" si="6"/>
        <v>rtdc.l.rtdc.4007:itc</v>
      </c>
      <c r="G203" s="8">
        <f t="shared" si="7"/>
        <v>42597.94902777778</v>
      </c>
    </row>
    <row r="204" spans="1:7" x14ac:dyDescent="0.25">
      <c r="A204" s="8">
        <v>42597.953761574077</v>
      </c>
      <c r="B204" s="24" t="s">
        <v>180</v>
      </c>
      <c r="C204" s="24" t="s">
        <v>502</v>
      </c>
      <c r="D204" s="24">
        <v>1800000</v>
      </c>
      <c r="E204" s="24" t="s">
        <v>651</v>
      </c>
      <c r="F204" s="24" t="str">
        <f t="shared" si="6"/>
        <v>rtdc.l.rtdc.4028:itc</v>
      </c>
      <c r="G204" s="8">
        <f t="shared" si="7"/>
        <v>42597.953761574077</v>
      </c>
    </row>
    <row r="205" spans="1:7" x14ac:dyDescent="0.25">
      <c r="A205" s="8">
        <v>42597.965983796297</v>
      </c>
      <c r="B205" s="24" t="s">
        <v>181</v>
      </c>
      <c r="C205" s="24" t="s">
        <v>508</v>
      </c>
      <c r="D205" s="24">
        <v>1810000</v>
      </c>
      <c r="E205" s="24" t="s">
        <v>281</v>
      </c>
      <c r="F205" s="24" t="str">
        <f t="shared" si="6"/>
        <v>rtdc.l.rtdc.4042:itc</v>
      </c>
      <c r="G205" s="8">
        <f t="shared" si="7"/>
        <v>42597.965983796297</v>
      </c>
    </row>
    <row r="206" spans="1:7" x14ac:dyDescent="0.25">
      <c r="A206" s="8">
        <v>42597.971238425926</v>
      </c>
      <c r="B206" s="24" t="s">
        <v>236</v>
      </c>
      <c r="C206" s="24" t="s">
        <v>504</v>
      </c>
      <c r="D206" s="24">
        <v>2100000</v>
      </c>
      <c r="E206" s="24" t="s">
        <v>151</v>
      </c>
      <c r="F206" s="24" t="str">
        <f t="shared" si="6"/>
        <v>rtdc.l.rtdc.4019:itc</v>
      </c>
      <c r="G206" s="8">
        <f t="shared" si="7"/>
        <v>42597.971238425926</v>
      </c>
    </row>
    <row r="207" spans="1:7" x14ac:dyDescent="0.25">
      <c r="A207" s="8">
        <v>42597.992326388892</v>
      </c>
      <c r="B207" s="24" t="s">
        <v>232</v>
      </c>
      <c r="C207" s="24" t="s">
        <v>506</v>
      </c>
      <c r="D207" s="24">
        <v>2110000</v>
      </c>
      <c r="E207" s="24" t="s">
        <v>650</v>
      </c>
      <c r="F207" s="24" t="str">
        <f t="shared" si="6"/>
        <v>rtdc.l.rtdc.4008:itc</v>
      </c>
      <c r="G207" s="8">
        <f t="shared" si="7"/>
        <v>42597.992326388892</v>
      </c>
    </row>
    <row r="208" spans="1:7" x14ac:dyDescent="0.25">
      <c r="A208" s="8">
        <v>42597.997372685182</v>
      </c>
      <c r="B208" s="24" t="s">
        <v>96</v>
      </c>
      <c r="C208" s="24" t="s">
        <v>511</v>
      </c>
      <c r="D208" s="24">
        <v>1800000</v>
      </c>
      <c r="E208" s="24" t="s">
        <v>651</v>
      </c>
      <c r="F208" s="24" t="str">
        <f t="shared" si="6"/>
        <v>rtdc.l.rtdc.4027:itc</v>
      </c>
      <c r="G208" s="8">
        <f t="shared" si="7"/>
        <v>42597.997372685182</v>
      </c>
    </row>
    <row r="209" spans="1:7" x14ac:dyDescent="0.25">
      <c r="A209" s="8">
        <v>42598.012962962966</v>
      </c>
      <c r="B209" s="24" t="s">
        <v>233</v>
      </c>
      <c r="C209" s="24" t="s">
        <v>514</v>
      </c>
      <c r="D209" s="24">
        <v>2100000</v>
      </c>
      <c r="E209" s="24" t="s">
        <v>151</v>
      </c>
      <c r="F209" s="24" t="str">
        <f t="shared" si="6"/>
        <v>rtdc.l.rtdc.4020:itc</v>
      </c>
      <c r="G209" s="8">
        <f t="shared" si="7"/>
        <v>42598.012962962966</v>
      </c>
    </row>
    <row r="210" spans="1:7" x14ac:dyDescent="0.25">
      <c r="A210" s="8">
        <v>42598.017407407409</v>
      </c>
      <c r="B210" s="24" t="s">
        <v>183</v>
      </c>
      <c r="C210" s="24" t="s">
        <v>509</v>
      </c>
      <c r="D210" s="24">
        <v>1810000</v>
      </c>
      <c r="E210" s="24" t="s">
        <v>281</v>
      </c>
      <c r="F210" s="24" t="str">
        <f t="shared" si="6"/>
        <v>rtdc.l.rtdc.4041:itc</v>
      </c>
      <c r="G210" s="8">
        <f t="shared" si="7"/>
        <v>42598.017407407409</v>
      </c>
    </row>
    <row r="211" spans="1:7" x14ac:dyDescent="0.25">
      <c r="A211" s="8">
        <v>42598.031145833331</v>
      </c>
      <c r="B211" s="24" t="s">
        <v>237</v>
      </c>
      <c r="C211" s="24" t="s">
        <v>529</v>
      </c>
      <c r="D211" s="24">
        <v>1180000</v>
      </c>
      <c r="E211" s="24" t="s">
        <v>652</v>
      </c>
      <c r="F211" s="24" t="str">
        <f t="shared" si="6"/>
        <v>rtdc.l.rtdc.4007:itc</v>
      </c>
      <c r="G211" s="8">
        <f t="shared" si="7"/>
        <v>42598.031145833331</v>
      </c>
    </row>
    <row r="212" spans="1:7" x14ac:dyDescent="0.25">
      <c r="A212" s="8">
        <v>42598.037222222221</v>
      </c>
      <c r="B212" s="24" t="s">
        <v>180</v>
      </c>
      <c r="C212" s="24" t="s">
        <v>512</v>
      </c>
      <c r="D212" s="24">
        <v>1800000</v>
      </c>
      <c r="E212" s="24" t="s">
        <v>651</v>
      </c>
      <c r="F212" s="24" t="str">
        <f t="shared" si="6"/>
        <v>rtdc.l.rtdc.4028:itc</v>
      </c>
      <c r="G212" s="8">
        <f t="shared" si="7"/>
        <v>42598.037222222221</v>
      </c>
    </row>
    <row r="213" spans="1:7" x14ac:dyDescent="0.25">
      <c r="A213" s="8">
        <v>42598.048310185186</v>
      </c>
      <c r="B213" s="24" t="s">
        <v>181</v>
      </c>
      <c r="C213" s="24" t="s">
        <v>523</v>
      </c>
      <c r="D213" s="24">
        <v>1810000</v>
      </c>
      <c r="E213" s="24" t="s">
        <v>281</v>
      </c>
      <c r="F213" s="24" t="str">
        <f t="shared" si="6"/>
        <v>rtdc.l.rtdc.4042:itc</v>
      </c>
      <c r="G213" s="8">
        <f t="shared" si="7"/>
        <v>42598.048310185186</v>
      </c>
    </row>
    <row r="214" spans="1:7" x14ac:dyDescent="0.25">
      <c r="A214" s="8">
        <v>42598.05263888889</v>
      </c>
      <c r="B214" s="24" t="s">
        <v>236</v>
      </c>
      <c r="C214" s="24" t="s">
        <v>515</v>
      </c>
      <c r="D214" s="24">
        <v>2100000</v>
      </c>
      <c r="E214" s="24" t="s">
        <v>151</v>
      </c>
      <c r="F214" s="24" t="str">
        <f t="shared" si="6"/>
        <v>rtdc.l.rtdc.4019:itc</v>
      </c>
      <c r="G214" s="8">
        <f t="shared" si="7"/>
        <v>42598.05263888889</v>
      </c>
    </row>
    <row r="215" spans="1:7" x14ac:dyDescent="0.25">
      <c r="A215" s="8">
        <v>42598.071018518516</v>
      </c>
      <c r="B215" s="24" t="s">
        <v>96</v>
      </c>
      <c r="C215" s="24" t="s">
        <v>525</v>
      </c>
      <c r="D215" s="24">
        <v>1800000</v>
      </c>
      <c r="E215" s="24" t="s">
        <v>651</v>
      </c>
      <c r="F215" s="24" t="str">
        <f t="shared" si="6"/>
        <v>rtdc.l.rtdc.4027:itc</v>
      </c>
      <c r="G215" s="8">
        <f t="shared" si="7"/>
        <v>42598.071018518516</v>
      </c>
    </row>
    <row r="216" spans="1:7" x14ac:dyDescent="0.25">
      <c r="A216" s="8">
        <v>42598.088310185187</v>
      </c>
      <c r="B216" s="24" t="s">
        <v>233</v>
      </c>
      <c r="C216" s="24" t="s">
        <v>527</v>
      </c>
      <c r="D216" s="24">
        <v>2100000</v>
      </c>
      <c r="E216" s="24" t="s">
        <v>151</v>
      </c>
      <c r="F216" s="24" t="str">
        <f t="shared" si="6"/>
        <v>rtdc.l.rtdc.4020:itc</v>
      </c>
      <c r="G216" s="8">
        <f t="shared" si="7"/>
        <v>42598.088310185187</v>
      </c>
    </row>
    <row r="217" spans="1:7" x14ac:dyDescent="0.25">
      <c r="A217" s="8">
        <v>42598.088888888888</v>
      </c>
      <c r="B217" s="24" t="s">
        <v>233</v>
      </c>
      <c r="C217" s="24" t="s">
        <v>527</v>
      </c>
      <c r="D217" s="24">
        <v>2100000</v>
      </c>
      <c r="E217" s="24" t="s">
        <v>653</v>
      </c>
      <c r="F217" s="24" t="str">
        <f t="shared" si="6"/>
        <v>rtdc.l.rtdc.4020:itc</v>
      </c>
      <c r="G217" s="8">
        <f t="shared" si="7"/>
        <v>42598.088888888888</v>
      </c>
    </row>
    <row r="218" spans="1:7" x14ac:dyDescent="0.25">
      <c r="B218" s="24"/>
      <c r="C218" s="24"/>
      <c r="D218" s="24"/>
      <c r="E218" s="24"/>
      <c r="F218" s="24">
        <f t="shared" si="6"/>
        <v>0</v>
      </c>
      <c r="G218" s="8">
        <f t="shared" si="7"/>
        <v>0</v>
      </c>
    </row>
    <row r="219" spans="1:7" x14ac:dyDescent="0.25">
      <c r="A219" s="8">
        <v>42594.890902777777</v>
      </c>
      <c r="B219" s="24" t="s">
        <v>182</v>
      </c>
      <c r="C219" s="24" t="s">
        <v>228</v>
      </c>
      <c r="D219" s="24">
        <v>730000</v>
      </c>
      <c r="E219" s="24" t="s">
        <v>244</v>
      </c>
      <c r="F219" s="24" t="str">
        <f t="shared" si="6"/>
        <v>rtdc.l.rtdc.4021:itc</v>
      </c>
      <c r="G219" s="8">
        <f t="shared" si="7"/>
        <v>42594.890902777777</v>
      </c>
    </row>
    <row r="220" spans="1:7" x14ac:dyDescent="0.25">
      <c r="A220" s="8">
        <v>42594.893506944441</v>
      </c>
      <c r="B220" s="24" t="s">
        <v>94</v>
      </c>
      <c r="C220" s="24" t="s">
        <v>207</v>
      </c>
      <c r="D220" s="24">
        <v>1230000</v>
      </c>
      <c r="E220" s="24" t="s">
        <v>242</v>
      </c>
      <c r="F220" s="24" t="str">
        <f t="shared" si="6"/>
        <v>rtdc.l.rtdc.4029:itc</v>
      </c>
      <c r="G220" s="8">
        <f t="shared" si="7"/>
        <v>42594.893506944441</v>
      </c>
    </row>
    <row r="221" spans="1:7" x14ac:dyDescent="0.25">
      <c r="A221" s="8">
        <v>42594.894189814811</v>
      </c>
      <c r="B221" s="24" t="s">
        <v>182</v>
      </c>
      <c r="C221" s="24" t="s">
        <v>228</v>
      </c>
      <c r="D221" s="24">
        <v>730000</v>
      </c>
      <c r="E221" s="24" t="s">
        <v>244</v>
      </c>
      <c r="F221" s="24" t="str">
        <f t="shared" si="6"/>
        <v>rtdc.l.rtdc.4021:itc</v>
      </c>
      <c r="G221" s="8">
        <f t="shared" si="7"/>
        <v>42594.894189814811</v>
      </c>
    </row>
    <row r="222" spans="1:7" x14ac:dyDescent="0.25">
      <c r="A222" s="8">
        <v>42594.894953703704</v>
      </c>
      <c r="B222" s="24" t="s">
        <v>182</v>
      </c>
      <c r="C222" s="24" t="s">
        <v>228</v>
      </c>
      <c r="D222" s="24">
        <v>730000</v>
      </c>
      <c r="E222" s="24" t="s">
        <v>244</v>
      </c>
      <c r="F222" s="24" t="str">
        <f t="shared" si="6"/>
        <v>rtdc.l.rtdc.4021:itc</v>
      </c>
      <c r="G222" s="8">
        <f t="shared" si="7"/>
        <v>42594.894953703704</v>
      </c>
    </row>
    <row r="223" spans="1:7" x14ac:dyDescent="0.25">
      <c r="A223" s="8">
        <v>42594.904768518521</v>
      </c>
      <c r="B223" s="24" t="s">
        <v>232</v>
      </c>
      <c r="C223" s="24" t="s">
        <v>229</v>
      </c>
      <c r="D223" s="24">
        <v>1460000</v>
      </c>
      <c r="E223" s="24" t="s">
        <v>241</v>
      </c>
      <c r="F223" s="24" t="str">
        <f t="shared" si="6"/>
        <v>rtdc.l.rtdc.4008:itc</v>
      </c>
      <c r="G223" s="8">
        <f t="shared" si="7"/>
        <v>42594.904768518521</v>
      </c>
    </row>
    <row r="224" spans="1:7" x14ac:dyDescent="0.25">
      <c r="A224" s="8">
        <v>42594.906770833331</v>
      </c>
      <c r="B224" t="s">
        <v>243</v>
      </c>
      <c r="C224" t="s">
        <v>228</v>
      </c>
      <c r="D224">
        <v>730000</v>
      </c>
      <c r="E224" t="s">
        <v>244</v>
      </c>
      <c r="F224" s="24" t="str">
        <f t="shared" si="6"/>
        <v>rtdc.l.rtdc.4022:itc</v>
      </c>
      <c r="G224" s="8">
        <f t="shared" si="7"/>
        <v>42594.906770833331</v>
      </c>
    </row>
    <row r="225" spans="1:7" x14ac:dyDescent="0.25">
      <c r="A225" s="8">
        <v>42594.908587962964</v>
      </c>
      <c r="B225" t="s">
        <v>166</v>
      </c>
      <c r="C225" t="s">
        <v>206</v>
      </c>
      <c r="D225">
        <v>1300000</v>
      </c>
      <c r="E225" t="s">
        <v>158</v>
      </c>
      <c r="F225" s="24" t="str">
        <f t="shared" si="6"/>
        <v>rtdc.l.rtdc.4037:itc</v>
      </c>
      <c r="G225" s="8">
        <f t="shared" si="7"/>
        <v>42594.908587962964</v>
      </c>
    </row>
    <row r="226" spans="1:7" x14ac:dyDescent="0.25">
      <c r="A226" s="8">
        <v>42594.912685185183</v>
      </c>
      <c r="B226" t="s">
        <v>120</v>
      </c>
      <c r="C226" t="s">
        <v>209</v>
      </c>
      <c r="D226">
        <v>2000000</v>
      </c>
      <c r="E226" t="s">
        <v>165</v>
      </c>
      <c r="F226" s="24" t="str">
        <f t="shared" si="6"/>
        <v>rtdc.l.rtdc.4031:itc</v>
      </c>
      <c r="G226" s="8">
        <f t="shared" si="7"/>
        <v>42594.912685185183</v>
      </c>
    </row>
    <row r="227" spans="1:7" x14ac:dyDescent="0.25">
      <c r="A227" s="8">
        <v>42594.917442129627</v>
      </c>
      <c r="B227" t="s">
        <v>182</v>
      </c>
      <c r="C227" t="s">
        <v>228</v>
      </c>
      <c r="D227">
        <v>730000</v>
      </c>
      <c r="E227" t="s">
        <v>244</v>
      </c>
      <c r="F227" s="24" t="str">
        <f t="shared" si="6"/>
        <v>rtdc.l.rtdc.4021:itc</v>
      </c>
      <c r="G227" s="8">
        <f t="shared" si="7"/>
        <v>42594.917442129627</v>
      </c>
    </row>
    <row r="228" spans="1:7" x14ac:dyDescent="0.25">
      <c r="A228" s="8">
        <v>42594.917800925927</v>
      </c>
      <c r="B228" t="s">
        <v>237</v>
      </c>
      <c r="C228" t="s">
        <v>230</v>
      </c>
      <c r="D228">
        <v>1460000</v>
      </c>
      <c r="E228" t="s">
        <v>241</v>
      </c>
      <c r="F228" s="24" t="str">
        <f t="shared" si="6"/>
        <v>rtdc.l.rtdc.4007:itc</v>
      </c>
      <c r="G228" s="8">
        <f t="shared" si="7"/>
        <v>42594.917800925927</v>
      </c>
    </row>
    <row r="229" spans="1:7" x14ac:dyDescent="0.25">
      <c r="A229" s="8">
        <v>42594.931990740741</v>
      </c>
      <c r="B229" t="s">
        <v>95</v>
      </c>
      <c r="C229" t="s">
        <v>208</v>
      </c>
      <c r="D229">
        <v>1230000</v>
      </c>
      <c r="E229" t="s">
        <v>242</v>
      </c>
      <c r="F229" s="24" t="str">
        <f t="shared" si="6"/>
        <v>rtdc.l.rtdc.4030:itc</v>
      </c>
      <c r="G229" s="8">
        <f t="shared" si="7"/>
        <v>42594.931990740741</v>
      </c>
    </row>
    <row r="230" spans="1:7" x14ac:dyDescent="0.25">
      <c r="A230" s="8">
        <v>42594.933078703703</v>
      </c>
      <c r="B230" t="s">
        <v>118</v>
      </c>
      <c r="C230" t="s">
        <v>211</v>
      </c>
      <c r="D230">
        <v>2100000</v>
      </c>
      <c r="E230" t="s">
        <v>151</v>
      </c>
      <c r="F230" s="24" t="str">
        <f t="shared" si="6"/>
        <v>rtdc.l.rtdc.4014:itc</v>
      </c>
      <c r="G230" s="8">
        <f t="shared" si="7"/>
        <v>42594.933078703703</v>
      </c>
    </row>
    <row r="231" spans="1:7" x14ac:dyDescent="0.25">
      <c r="A231" s="8">
        <v>42594.933275462965</v>
      </c>
      <c r="B231" t="s">
        <v>166</v>
      </c>
      <c r="C231" t="s">
        <v>206</v>
      </c>
      <c r="D231">
        <v>1300000</v>
      </c>
      <c r="E231" t="s">
        <v>158</v>
      </c>
      <c r="F231" s="24" t="str">
        <f t="shared" si="6"/>
        <v>rtdc.l.rtdc.4037:itc</v>
      </c>
      <c r="G231" s="8">
        <f t="shared" si="7"/>
        <v>42594.933275462965</v>
      </c>
    </row>
    <row r="232" spans="1:7" x14ac:dyDescent="0.25">
      <c r="A232" s="8">
        <v>42594.933877314812</v>
      </c>
      <c r="B232" t="s">
        <v>243</v>
      </c>
      <c r="C232" t="s">
        <v>228</v>
      </c>
      <c r="D232">
        <v>730000</v>
      </c>
      <c r="E232" t="s">
        <v>244</v>
      </c>
      <c r="F232" s="24" t="str">
        <f t="shared" si="6"/>
        <v>rtdc.l.rtdc.4022:itc</v>
      </c>
      <c r="G232" s="8">
        <f t="shared" si="7"/>
        <v>42594.933877314812</v>
      </c>
    </row>
    <row r="233" spans="1:7" x14ac:dyDescent="0.25">
      <c r="A233" s="8">
        <v>42594.934988425928</v>
      </c>
      <c r="B233" t="s">
        <v>243</v>
      </c>
      <c r="C233" t="s">
        <v>228</v>
      </c>
      <c r="D233">
        <v>730000</v>
      </c>
      <c r="E233" t="s">
        <v>244</v>
      </c>
      <c r="F233" s="24" t="str">
        <f t="shared" si="6"/>
        <v>rtdc.l.rtdc.4022:itc</v>
      </c>
      <c r="G233" s="8">
        <f t="shared" si="7"/>
        <v>42594.934988425928</v>
      </c>
    </row>
    <row r="234" spans="1:7" x14ac:dyDescent="0.25">
      <c r="A234" s="8">
        <v>42594.944837962961</v>
      </c>
      <c r="B234" t="s">
        <v>232</v>
      </c>
      <c r="C234" t="s">
        <v>231</v>
      </c>
      <c r="D234">
        <v>1460000</v>
      </c>
      <c r="E234" t="s">
        <v>241</v>
      </c>
      <c r="F234" s="24" t="str">
        <f t="shared" si="6"/>
        <v>rtdc.l.rtdc.4008:itc</v>
      </c>
      <c r="G234" s="8">
        <f t="shared" si="7"/>
        <v>42594.944837962961</v>
      </c>
    </row>
    <row r="235" spans="1:7" x14ac:dyDescent="0.25">
      <c r="A235" s="8">
        <v>42594.945891203701</v>
      </c>
      <c r="B235" t="s">
        <v>232</v>
      </c>
      <c r="C235" t="s">
        <v>231</v>
      </c>
      <c r="D235">
        <v>1460000</v>
      </c>
      <c r="E235" t="s">
        <v>241</v>
      </c>
      <c r="F235" s="24" t="str">
        <f t="shared" si="6"/>
        <v>rtdc.l.rtdc.4008:itc</v>
      </c>
      <c r="G235" s="8">
        <f t="shared" si="7"/>
        <v>42594.945891203701</v>
      </c>
    </row>
    <row r="236" spans="1:7" x14ac:dyDescent="0.25">
      <c r="A236" s="8">
        <v>42594.953692129631</v>
      </c>
      <c r="B236" t="s">
        <v>121</v>
      </c>
      <c r="C236" t="s">
        <v>210</v>
      </c>
      <c r="D236">
        <v>2000000</v>
      </c>
      <c r="E236" t="s">
        <v>165</v>
      </c>
      <c r="F236" s="24" t="str">
        <f t="shared" ref="F236:F265" si="8">B236</f>
        <v>rtdc.l.rtdc.4032:itc</v>
      </c>
      <c r="G236" s="8">
        <f t="shared" ref="G236:G265" si="9">A236</f>
        <v>42594.953692129631</v>
      </c>
    </row>
    <row r="237" spans="1:7" x14ac:dyDescent="0.25">
      <c r="A237" s="8">
        <v>42594.956423611111</v>
      </c>
      <c r="B237" t="s">
        <v>186</v>
      </c>
      <c r="C237" t="s">
        <v>213</v>
      </c>
      <c r="D237">
        <v>1300000</v>
      </c>
      <c r="E237" t="s">
        <v>158</v>
      </c>
      <c r="F237" s="24" t="str">
        <f t="shared" si="8"/>
        <v>rtdc.l.rtdc.4038:itc</v>
      </c>
      <c r="G237" s="8">
        <f t="shared" si="9"/>
        <v>42594.956423611111</v>
      </c>
    </row>
    <row r="238" spans="1:7" x14ac:dyDescent="0.25">
      <c r="A238" s="8">
        <v>42594.963194444441</v>
      </c>
      <c r="B238" t="s">
        <v>94</v>
      </c>
      <c r="C238" t="s">
        <v>215</v>
      </c>
      <c r="D238">
        <v>1230000</v>
      </c>
      <c r="E238" t="s">
        <v>242</v>
      </c>
      <c r="F238" s="24" t="str">
        <f t="shared" si="8"/>
        <v>rtdc.l.rtdc.4029:itc</v>
      </c>
      <c r="G238" s="8">
        <f t="shared" si="9"/>
        <v>42594.963194444441</v>
      </c>
    </row>
    <row r="239" spans="1:7" x14ac:dyDescent="0.25">
      <c r="A239" s="8">
        <v>42594.971458333333</v>
      </c>
      <c r="B239" t="s">
        <v>93</v>
      </c>
      <c r="C239" t="s">
        <v>212</v>
      </c>
      <c r="D239">
        <v>2100000</v>
      </c>
      <c r="E239" t="s">
        <v>151</v>
      </c>
      <c r="F239" s="24" t="str">
        <f t="shared" si="8"/>
        <v>rtdc.l.rtdc.4013:itc</v>
      </c>
      <c r="G239" s="8">
        <f t="shared" si="9"/>
        <v>42594.971458333333</v>
      </c>
    </row>
    <row r="240" spans="1:7" x14ac:dyDescent="0.25">
      <c r="A240" s="8">
        <v>42594.992303240739</v>
      </c>
      <c r="B240" t="s">
        <v>166</v>
      </c>
      <c r="C240" t="s">
        <v>214</v>
      </c>
      <c r="D240">
        <v>1300000</v>
      </c>
      <c r="E240" t="s">
        <v>158</v>
      </c>
      <c r="F240" s="24" t="str">
        <f t="shared" si="8"/>
        <v>rtdc.l.rtdc.4037:itc</v>
      </c>
      <c r="G240" s="8">
        <f t="shared" si="9"/>
        <v>42594.992303240739</v>
      </c>
    </row>
    <row r="241" spans="1:7" x14ac:dyDescent="0.25">
      <c r="A241" s="8">
        <v>42594.99628472222</v>
      </c>
      <c r="B241" t="s">
        <v>120</v>
      </c>
      <c r="C241" t="s">
        <v>218</v>
      </c>
      <c r="D241">
        <v>2000000</v>
      </c>
      <c r="E241" t="s">
        <v>165</v>
      </c>
      <c r="F241" s="24" t="str">
        <f t="shared" si="8"/>
        <v>rtdc.l.rtdc.4031:itc</v>
      </c>
      <c r="G241" s="8">
        <f t="shared" si="9"/>
        <v>42594.99628472222</v>
      </c>
    </row>
    <row r="242" spans="1:7" x14ac:dyDescent="0.25">
      <c r="A242" s="8">
        <v>42595.014097222222</v>
      </c>
      <c r="B242" t="s">
        <v>95</v>
      </c>
      <c r="C242" t="s">
        <v>217</v>
      </c>
      <c r="D242">
        <v>1230000</v>
      </c>
      <c r="E242" t="s">
        <v>242</v>
      </c>
      <c r="F242" s="24" t="str">
        <f t="shared" si="8"/>
        <v>rtdc.l.rtdc.4030:itc</v>
      </c>
      <c r="G242" s="8">
        <f t="shared" si="9"/>
        <v>42595.014097222222</v>
      </c>
    </row>
    <row r="243" spans="1:7" x14ac:dyDescent="0.25">
      <c r="A243" s="8">
        <v>42595.015775462962</v>
      </c>
      <c r="B243" t="s">
        <v>118</v>
      </c>
      <c r="C243" t="s">
        <v>220</v>
      </c>
      <c r="D243">
        <v>2100000</v>
      </c>
      <c r="E243" t="s">
        <v>151</v>
      </c>
      <c r="F243" s="24" t="str">
        <f t="shared" si="8"/>
        <v>rtdc.l.rtdc.4014:itc</v>
      </c>
      <c r="G243" s="8">
        <f t="shared" si="9"/>
        <v>42595.015775462962</v>
      </c>
    </row>
    <row r="244" spans="1:7" x14ac:dyDescent="0.25">
      <c r="A244" s="8">
        <v>42595.034780092596</v>
      </c>
      <c r="B244" t="s">
        <v>186</v>
      </c>
      <c r="C244" t="s">
        <v>222</v>
      </c>
      <c r="D244">
        <v>1300000</v>
      </c>
      <c r="E244" t="s">
        <v>158</v>
      </c>
      <c r="F244" s="24" t="str">
        <f t="shared" si="8"/>
        <v>rtdc.l.rtdc.4038:itc</v>
      </c>
      <c r="G244" s="8">
        <f t="shared" si="9"/>
        <v>42595.034780092596</v>
      </c>
    </row>
    <row r="245" spans="1:7" x14ac:dyDescent="0.25">
      <c r="A245" s="8">
        <v>42595.036539351851</v>
      </c>
      <c r="B245" t="s">
        <v>121</v>
      </c>
      <c r="C245" t="s">
        <v>219</v>
      </c>
      <c r="D245">
        <v>2000000</v>
      </c>
      <c r="E245" t="s">
        <v>165</v>
      </c>
      <c r="F245" s="24" t="str">
        <f t="shared" si="8"/>
        <v>rtdc.l.rtdc.4032:itc</v>
      </c>
      <c r="G245" s="8">
        <f t="shared" si="9"/>
        <v>42595.036539351851</v>
      </c>
    </row>
    <row r="246" spans="1:7" x14ac:dyDescent="0.25">
      <c r="A246" s="8">
        <v>42595.046134259261</v>
      </c>
      <c r="B246" t="s">
        <v>94</v>
      </c>
      <c r="C246" t="s">
        <v>225</v>
      </c>
      <c r="D246">
        <v>1230000</v>
      </c>
      <c r="E246" t="s">
        <v>242</v>
      </c>
      <c r="F246" s="24" t="str">
        <f t="shared" si="8"/>
        <v>rtdc.l.rtdc.4029:itc</v>
      </c>
      <c r="G246" s="8">
        <f t="shared" si="9"/>
        <v>42595.046134259261</v>
      </c>
    </row>
    <row r="247" spans="1:7" x14ac:dyDescent="0.25">
      <c r="A247" s="8">
        <v>42595.053819444445</v>
      </c>
      <c r="B247" t="s">
        <v>93</v>
      </c>
      <c r="C247" t="s">
        <v>221</v>
      </c>
      <c r="D247">
        <v>2100000</v>
      </c>
      <c r="E247" t="s">
        <v>151</v>
      </c>
      <c r="F247" s="24" t="str">
        <f t="shared" si="8"/>
        <v>rtdc.l.rtdc.4013:itc</v>
      </c>
      <c r="G247" s="8">
        <f t="shared" si="9"/>
        <v>42595.053819444445</v>
      </c>
    </row>
    <row r="248" spans="1:7" x14ac:dyDescent="0.25">
      <c r="A248" s="8">
        <v>42595.068229166667</v>
      </c>
      <c r="B248" t="s">
        <v>120</v>
      </c>
      <c r="C248" t="s">
        <v>226</v>
      </c>
      <c r="D248">
        <v>2000000</v>
      </c>
      <c r="E248" t="s">
        <v>165</v>
      </c>
      <c r="F248" s="24" t="str">
        <f t="shared" si="8"/>
        <v>rtdc.l.rtdc.4031:itc</v>
      </c>
      <c r="G248" s="8">
        <f t="shared" si="9"/>
        <v>42595.068229166667</v>
      </c>
    </row>
    <row r="249" spans="1:7" x14ac:dyDescent="0.25">
      <c r="A249" s="8">
        <v>42595.072916666664</v>
      </c>
      <c r="B249" t="s">
        <v>166</v>
      </c>
      <c r="C249" t="s">
        <v>223</v>
      </c>
      <c r="D249">
        <v>1300000</v>
      </c>
      <c r="E249" t="s">
        <v>158</v>
      </c>
      <c r="F249" s="24" t="str">
        <f t="shared" si="8"/>
        <v>rtdc.l.rtdc.4037:itc</v>
      </c>
      <c r="G249" s="8">
        <f t="shared" si="9"/>
        <v>42595.072916666664</v>
      </c>
    </row>
    <row r="250" spans="1:7" x14ac:dyDescent="0.25">
      <c r="A250" s="8">
        <v>42595.09070601852</v>
      </c>
      <c r="B250" t="s">
        <v>118</v>
      </c>
      <c r="C250" t="s">
        <v>245</v>
      </c>
      <c r="D250">
        <v>2100000</v>
      </c>
      <c r="E250" t="s">
        <v>151</v>
      </c>
      <c r="F250" s="24" t="str">
        <f t="shared" si="8"/>
        <v>rtdc.l.rtdc.4014:itc</v>
      </c>
      <c r="G250" s="8">
        <f t="shared" si="9"/>
        <v>42595.09070601852</v>
      </c>
    </row>
    <row r="251" spans="1:7" x14ac:dyDescent="0.25">
      <c r="A251" s="8">
        <v>42595.110555555555</v>
      </c>
      <c r="B251" t="s">
        <v>186</v>
      </c>
      <c r="C251" t="s">
        <v>227</v>
      </c>
      <c r="D251">
        <v>1300000</v>
      </c>
      <c r="E251" t="s">
        <v>158</v>
      </c>
      <c r="F251" s="24" t="str">
        <f t="shared" si="8"/>
        <v>rtdc.l.rtdc.4038:itc</v>
      </c>
      <c r="G251" s="8">
        <f t="shared" si="9"/>
        <v>42595.110555555555</v>
      </c>
    </row>
    <row r="252" spans="1:7" x14ac:dyDescent="0.25">
      <c r="F252" s="24">
        <f t="shared" si="8"/>
        <v>0</v>
      </c>
      <c r="G252" s="8">
        <f t="shared" si="9"/>
        <v>0</v>
      </c>
    </row>
    <row r="253" spans="1:7" x14ac:dyDescent="0.25">
      <c r="F253" s="24">
        <f t="shared" si="8"/>
        <v>0</v>
      </c>
      <c r="G253" s="8">
        <f t="shared" si="9"/>
        <v>0</v>
      </c>
    </row>
    <row r="254" spans="1:7" x14ac:dyDescent="0.25">
      <c r="F254" s="24">
        <f t="shared" si="8"/>
        <v>0</v>
      </c>
      <c r="G254" s="8">
        <f t="shared" si="9"/>
        <v>0</v>
      </c>
    </row>
    <row r="255" spans="1:7" x14ac:dyDescent="0.25">
      <c r="F255" s="24">
        <f t="shared" si="8"/>
        <v>0</v>
      </c>
      <c r="G255" s="8">
        <f t="shared" si="9"/>
        <v>0</v>
      </c>
    </row>
    <row r="256" spans="1:7" x14ac:dyDescent="0.25">
      <c r="F256" s="24">
        <f t="shared" si="8"/>
        <v>0</v>
      </c>
      <c r="G256" s="8">
        <f t="shared" si="9"/>
        <v>0</v>
      </c>
    </row>
    <row r="257" spans="6:7" x14ac:dyDescent="0.25">
      <c r="F257" s="24">
        <f t="shared" si="8"/>
        <v>0</v>
      </c>
      <c r="G257" s="8">
        <f t="shared" si="9"/>
        <v>0</v>
      </c>
    </row>
    <row r="258" spans="6:7" x14ac:dyDescent="0.25">
      <c r="F258" s="24">
        <f t="shared" si="8"/>
        <v>0</v>
      </c>
      <c r="G258" s="8">
        <f t="shared" si="9"/>
        <v>0</v>
      </c>
    </row>
    <row r="259" spans="6:7" x14ac:dyDescent="0.25">
      <c r="F259" s="24">
        <f t="shared" si="8"/>
        <v>0</v>
      </c>
      <c r="G259" s="8">
        <f t="shared" si="9"/>
        <v>0</v>
      </c>
    </row>
    <row r="260" spans="6:7" x14ac:dyDescent="0.25">
      <c r="F260" s="24">
        <f t="shared" si="8"/>
        <v>0</v>
      </c>
      <c r="G260" s="8">
        <f t="shared" si="9"/>
        <v>0</v>
      </c>
    </row>
    <row r="261" spans="6:7" x14ac:dyDescent="0.25">
      <c r="F261" s="24">
        <f t="shared" si="8"/>
        <v>0</v>
      </c>
      <c r="G261" s="8">
        <f t="shared" si="9"/>
        <v>0</v>
      </c>
    </row>
    <row r="262" spans="6:7" x14ac:dyDescent="0.25">
      <c r="F262" s="24">
        <f t="shared" si="8"/>
        <v>0</v>
      </c>
      <c r="G262" s="8">
        <f t="shared" si="9"/>
        <v>0</v>
      </c>
    </row>
    <row r="263" spans="6:7" x14ac:dyDescent="0.25">
      <c r="F263" s="24">
        <f t="shared" si="8"/>
        <v>0</v>
      </c>
      <c r="G263" s="8">
        <f t="shared" si="9"/>
        <v>0</v>
      </c>
    </row>
    <row r="264" spans="6:7" x14ac:dyDescent="0.25">
      <c r="F264" s="24">
        <f t="shared" si="8"/>
        <v>0</v>
      </c>
      <c r="G264" s="8">
        <f t="shared" si="9"/>
        <v>0</v>
      </c>
    </row>
    <row r="265" spans="6:7" x14ac:dyDescent="0.25">
      <c r="F265" s="24">
        <f t="shared" si="8"/>
        <v>0</v>
      </c>
      <c r="G265" s="8">
        <f t="shared" si="9"/>
        <v>0</v>
      </c>
    </row>
    <row r="266" spans="6:7" x14ac:dyDescent="0.25">
      <c r="F266" s="24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4">
        <f t="shared" si="10"/>
        <v>0</v>
      </c>
      <c r="G267" s="8">
        <f t="shared" si="11"/>
        <v>0</v>
      </c>
    </row>
    <row r="268" spans="6:7" x14ac:dyDescent="0.25">
      <c r="F268" s="24">
        <f t="shared" si="10"/>
        <v>0</v>
      </c>
      <c r="G268" s="8">
        <f t="shared" si="11"/>
        <v>0</v>
      </c>
    </row>
    <row r="269" spans="6:7" x14ac:dyDescent="0.25">
      <c r="F269" s="24">
        <f t="shared" si="10"/>
        <v>0</v>
      </c>
      <c r="G269" s="8">
        <f t="shared" si="11"/>
        <v>0</v>
      </c>
    </row>
    <row r="270" spans="6:7" x14ac:dyDescent="0.25">
      <c r="F270" s="24">
        <f t="shared" si="10"/>
        <v>0</v>
      </c>
      <c r="G270" s="8">
        <f t="shared" si="11"/>
        <v>0</v>
      </c>
    </row>
    <row r="271" spans="6:7" x14ac:dyDescent="0.25">
      <c r="F271" s="24">
        <f t="shared" si="10"/>
        <v>0</v>
      </c>
      <c r="G271" s="8">
        <f t="shared" si="11"/>
        <v>0</v>
      </c>
    </row>
    <row r="272" spans="6:7" x14ac:dyDescent="0.25">
      <c r="F272" s="24">
        <f t="shared" si="10"/>
        <v>0</v>
      </c>
      <c r="G272" s="8">
        <f t="shared" si="11"/>
        <v>0</v>
      </c>
    </row>
    <row r="273" spans="6:7" x14ac:dyDescent="0.25">
      <c r="F273" s="24">
        <f t="shared" si="10"/>
        <v>0</v>
      </c>
      <c r="G273" s="8">
        <f t="shared" si="11"/>
        <v>0</v>
      </c>
    </row>
    <row r="274" spans="6:7" x14ac:dyDescent="0.25">
      <c r="F274" s="24">
        <f t="shared" si="10"/>
        <v>0</v>
      </c>
      <c r="G274" s="8">
        <f t="shared" si="11"/>
        <v>0</v>
      </c>
    </row>
    <row r="275" spans="6:7" x14ac:dyDescent="0.25">
      <c r="F275" s="24">
        <f t="shared" si="10"/>
        <v>0</v>
      </c>
      <c r="G275" s="8">
        <f t="shared" si="11"/>
        <v>0</v>
      </c>
    </row>
    <row r="276" spans="6:7" x14ac:dyDescent="0.25">
      <c r="F276" s="24">
        <f t="shared" si="10"/>
        <v>0</v>
      </c>
      <c r="G276" s="8">
        <f t="shared" si="11"/>
        <v>0</v>
      </c>
    </row>
    <row r="277" spans="6:7" x14ac:dyDescent="0.25">
      <c r="F277" s="24">
        <f t="shared" si="10"/>
        <v>0</v>
      </c>
      <c r="G277" s="8">
        <f t="shared" si="11"/>
        <v>0</v>
      </c>
    </row>
    <row r="278" spans="6:7" x14ac:dyDescent="0.25">
      <c r="F278" s="24">
        <f t="shared" si="10"/>
        <v>0</v>
      </c>
      <c r="G278" s="8">
        <f t="shared" si="11"/>
        <v>0</v>
      </c>
    </row>
    <row r="279" spans="6:7" x14ac:dyDescent="0.25">
      <c r="F279" s="24">
        <f t="shared" si="10"/>
        <v>0</v>
      </c>
      <c r="G279" s="8">
        <f t="shared" si="11"/>
        <v>0</v>
      </c>
    </row>
    <row r="280" spans="6:7" x14ac:dyDescent="0.25">
      <c r="F280" s="24">
        <f t="shared" si="10"/>
        <v>0</v>
      </c>
      <c r="G280" s="8">
        <f t="shared" si="11"/>
        <v>0</v>
      </c>
    </row>
    <row r="281" spans="6:7" x14ac:dyDescent="0.25">
      <c r="F281" s="24">
        <f t="shared" si="10"/>
        <v>0</v>
      </c>
      <c r="G281" s="8">
        <f t="shared" si="11"/>
        <v>0</v>
      </c>
    </row>
    <row r="282" spans="6:7" x14ac:dyDescent="0.25">
      <c r="F282" s="24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4">
        <f t="shared" si="12"/>
        <v>0</v>
      </c>
      <c r="G283" s="8">
        <f t="shared" si="13"/>
        <v>0</v>
      </c>
    </row>
    <row r="284" spans="6:7" x14ac:dyDescent="0.25">
      <c r="F284" s="24">
        <f t="shared" si="12"/>
        <v>0</v>
      </c>
      <c r="G284" s="8">
        <f t="shared" si="13"/>
        <v>0</v>
      </c>
    </row>
    <row r="285" spans="6:7" x14ac:dyDescent="0.25">
      <c r="F285" s="24">
        <f t="shared" si="12"/>
        <v>0</v>
      </c>
      <c r="G285" s="8">
        <f t="shared" si="13"/>
        <v>0</v>
      </c>
    </row>
    <row r="286" spans="6:7" x14ac:dyDescent="0.25">
      <c r="F286" s="24">
        <f t="shared" si="12"/>
        <v>0</v>
      </c>
      <c r="G286" s="8">
        <f t="shared" si="13"/>
        <v>0</v>
      </c>
    </row>
    <row r="287" spans="6:7" x14ac:dyDescent="0.25">
      <c r="F287" s="24">
        <f t="shared" si="12"/>
        <v>0</v>
      </c>
      <c r="G287" s="8">
        <f t="shared" si="13"/>
        <v>0</v>
      </c>
    </row>
    <row r="288" spans="6:7" x14ac:dyDescent="0.25">
      <c r="F288" s="24">
        <f t="shared" si="12"/>
        <v>0</v>
      </c>
      <c r="G288" s="8">
        <f t="shared" si="13"/>
        <v>0</v>
      </c>
    </row>
    <row r="289" spans="6:7" x14ac:dyDescent="0.25">
      <c r="F289" s="24">
        <f t="shared" si="12"/>
        <v>0</v>
      </c>
      <c r="G289" s="8">
        <f t="shared" si="13"/>
        <v>0</v>
      </c>
    </row>
    <row r="290" spans="6:7" x14ac:dyDescent="0.25">
      <c r="F290" s="24">
        <f t="shared" si="12"/>
        <v>0</v>
      </c>
      <c r="G290" s="8">
        <f t="shared" si="13"/>
        <v>0</v>
      </c>
    </row>
    <row r="291" spans="6:7" x14ac:dyDescent="0.25">
      <c r="F291" s="24">
        <f t="shared" si="12"/>
        <v>0</v>
      </c>
      <c r="G291" s="8">
        <f t="shared" si="13"/>
        <v>0</v>
      </c>
    </row>
    <row r="292" spans="6:7" x14ac:dyDescent="0.25">
      <c r="F292" s="24">
        <f t="shared" si="12"/>
        <v>0</v>
      </c>
      <c r="G292" s="8">
        <f t="shared" si="13"/>
        <v>0</v>
      </c>
    </row>
    <row r="293" spans="6:7" x14ac:dyDescent="0.25">
      <c r="F293" s="24">
        <f t="shared" si="12"/>
        <v>0</v>
      </c>
      <c r="G293" s="8">
        <f t="shared" si="13"/>
        <v>0</v>
      </c>
    </row>
    <row r="294" spans="6:7" x14ac:dyDescent="0.25">
      <c r="F294" s="24">
        <f t="shared" si="12"/>
        <v>0</v>
      </c>
      <c r="G294" s="8">
        <f t="shared" si="13"/>
        <v>0</v>
      </c>
    </row>
    <row r="295" spans="6:7" x14ac:dyDescent="0.25">
      <c r="F295" s="24">
        <f t="shared" si="12"/>
        <v>0</v>
      </c>
      <c r="G295" s="8">
        <f t="shared" si="13"/>
        <v>0</v>
      </c>
    </row>
    <row r="296" spans="6:7" x14ac:dyDescent="0.25">
      <c r="F296" s="24">
        <f t="shared" si="12"/>
        <v>0</v>
      </c>
      <c r="G296" s="8">
        <f t="shared" si="13"/>
        <v>0</v>
      </c>
    </row>
    <row r="297" spans="6:7" x14ac:dyDescent="0.25">
      <c r="F297" s="24">
        <f t="shared" si="12"/>
        <v>0</v>
      </c>
      <c r="G297" s="8">
        <f t="shared" si="13"/>
        <v>0</v>
      </c>
    </row>
    <row r="298" spans="6:7" x14ac:dyDescent="0.25">
      <c r="F298" s="24">
        <f t="shared" si="12"/>
        <v>0</v>
      </c>
      <c r="G298" s="8">
        <f t="shared" si="13"/>
        <v>0</v>
      </c>
    </row>
    <row r="299" spans="6:7" x14ac:dyDescent="0.25">
      <c r="F299" s="24">
        <f t="shared" si="12"/>
        <v>0</v>
      </c>
      <c r="G299" s="8">
        <f t="shared" si="13"/>
        <v>0</v>
      </c>
    </row>
    <row r="300" spans="6:7" x14ac:dyDescent="0.25">
      <c r="F300" s="24">
        <f t="shared" si="12"/>
        <v>0</v>
      </c>
      <c r="G300" s="8">
        <f t="shared" si="13"/>
        <v>0</v>
      </c>
    </row>
    <row r="301" spans="6:7" x14ac:dyDescent="0.25">
      <c r="F301" s="24">
        <f t="shared" si="12"/>
        <v>0</v>
      </c>
      <c r="G301" s="8">
        <f t="shared" si="13"/>
        <v>0</v>
      </c>
    </row>
    <row r="302" spans="6:7" x14ac:dyDescent="0.25">
      <c r="F302" s="24">
        <f t="shared" si="12"/>
        <v>0</v>
      </c>
      <c r="G302" s="8">
        <f t="shared" si="13"/>
        <v>0</v>
      </c>
    </row>
    <row r="303" spans="6:7" x14ac:dyDescent="0.25">
      <c r="F303" s="24">
        <f t="shared" si="12"/>
        <v>0</v>
      </c>
      <c r="G303" s="8">
        <f t="shared" si="13"/>
        <v>0</v>
      </c>
    </row>
    <row r="304" spans="6:7" x14ac:dyDescent="0.25">
      <c r="F304" s="24">
        <f t="shared" si="12"/>
        <v>0</v>
      </c>
      <c r="G304" s="8">
        <f t="shared" si="13"/>
        <v>0</v>
      </c>
    </row>
    <row r="305" spans="6:7" x14ac:dyDescent="0.25">
      <c r="F305" s="24">
        <f t="shared" si="12"/>
        <v>0</v>
      </c>
      <c r="G305" s="8">
        <f t="shared" si="13"/>
        <v>0</v>
      </c>
    </row>
    <row r="306" spans="6:7" x14ac:dyDescent="0.25">
      <c r="F306" s="24">
        <f t="shared" si="12"/>
        <v>0</v>
      </c>
      <c r="G306" s="8">
        <f t="shared" si="13"/>
        <v>0</v>
      </c>
    </row>
    <row r="307" spans="6:7" x14ac:dyDescent="0.25">
      <c r="F307" s="24">
        <f t="shared" si="12"/>
        <v>0</v>
      </c>
      <c r="G307" s="8">
        <f t="shared" si="13"/>
        <v>0</v>
      </c>
    </row>
    <row r="308" spans="6:7" x14ac:dyDescent="0.25">
      <c r="F308" s="24">
        <f t="shared" si="12"/>
        <v>0</v>
      </c>
      <c r="G308" s="8">
        <f t="shared" si="13"/>
        <v>0</v>
      </c>
    </row>
    <row r="309" spans="6:7" x14ac:dyDescent="0.25">
      <c r="F309" s="24">
        <f t="shared" si="12"/>
        <v>0</v>
      </c>
      <c r="G309" s="8">
        <f t="shared" si="13"/>
        <v>0</v>
      </c>
    </row>
    <row r="310" spans="6:7" x14ac:dyDescent="0.25">
      <c r="F310" s="24">
        <f t="shared" si="12"/>
        <v>0</v>
      </c>
      <c r="G310" s="8">
        <f t="shared" si="13"/>
        <v>0</v>
      </c>
    </row>
    <row r="311" spans="6:7" x14ac:dyDescent="0.25">
      <c r="F311" s="24">
        <f t="shared" si="12"/>
        <v>0</v>
      </c>
      <c r="G311" s="8">
        <f t="shared" si="13"/>
        <v>0</v>
      </c>
    </row>
    <row r="312" spans="6:7" x14ac:dyDescent="0.25">
      <c r="F312" s="24">
        <f t="shared" si="12"/>
        <v>0</v>
      </c>
      <c r="G312" s="8">
        <f t="shared" si="13"/>
        <v>0</v>
      </c>
    </row>
    <row r="313" spans="6:7" x14ac:dyDescent="0.25">
      <c r="F313" s="24">
        <f t="shared" si="12"/>
        <v>0</v>
      </c>
      <c r="G313" s="8">
        <f t="shared" si="13"/>
        <v>0</v>
      </c>
    </row>
    <row r="314" spans="6:7" x14ac:dyDescent="0.25">
      <c r="F314" s="24">
        <f t="shared" si="12"/>
        <v>0</v>
      </c>
      <c r="G314" s="8">
        <f t="shared" si="13"/>
        <v>0</v>
      </c>
    </row>
    <row r="315" spans="6:7" x14ac:dyDescent="0.25">
      <c r="F315" s="24">
        <f t="shared" si="12"/>
        <v>0</v>
      </c>
      <c r="G315" s="8">
        <f t="shared" si="13"/>
        <v>0</v>
      </c>
    </row>
    <row r="316" spans="6:7" x14ac:dyDescent="0.25">
      <c r="F316" s="24">
        <f t="shared" si="12"/>
        <v>0</v>
      </c>
      <c r="G316" s="8">
        <f t="shared" si="13"/>
        <v>0</v>
      </c>
    </row>
    <row r="317" spans="6:7" x14ac:dyDescent="0.25">
      <c r="F317" s="24">
        <f t="shared" si="12"/>
        <v>0</v>
      </c>
      <c r="G317" s="8">
        <f t="shared" si="13"/>
        <v>0</v>
      </c>
    </row>
    <row r="318" spans="6:7" x14ac:dyDescent="0.25">
      <c r="F318" s="24">
        <f t="shared" si="12"/>
        <v>0</v>
      </c>
      <c r="G318" s="8">
        <f t="shared" si="13"/>
        <v>0</v>
      </c>
    </row>
    <row r="319" spans="6:7" x14ac:dyDescent="0.25">
      <c r="F319" s="24">
        <f t="shared" si="12"/>
        <v>0</v>
      </c>
      <c r="G319" s="8">
        <f t="shared" si="13"/>
        <v>0</v>
      </c>
    </row>
    <row r="320" spans="6:7" x14ac:dyDescent="0.25">
      <c r="F320" s="24">
        <f t="shared" si="12"/>
        <v>0</v>
      </c>
      <c r="G320" s="8">
        <f t="shared" si="13"/>
        <v>0</v>
      </c>
    </row>
    <row r="321" spans="6:7" x14ac:dyDescent="0.25">
      <c r="F321" s="24">
        <f t="shared" si="12"/>
        <v>0</v>
      </c>
      <c r="G321" s="8">
        <f t="shared" si="13"/>
        <v>0</v>
      </c>
    </row>
    <row r="322" spans="6:7" x14ac:dyDescent="0.25">
      <c r="F322" s="24">
        <f t="shared" si="12"/>
        <v>0</v>
      </c>
      <c r="G322" s="8">
        <f t="shared" si="13"/>
        <v>0</v>
      </c>
    </row>
    <row r="323" spans="6:7" x14ac:dyDescent="0.25">
      <c r="F323" s="24">
        <f t="shared" si="12"/>
        <v>0</v>
      </c>
      <c r="G323" s="8">
        <f t="shared" si="13"/>
        <v>0</v>
      </c>
    </row>
    <row r="324" spans="6:7" x14ac:dyDescent="0.25">
      <c r="F324" s="24">
        <f t="shared" si="12"/>
        <v>0</v>
      </c>
      <c r="G324" s="8">
        <f t="shared" si="13"/>
        <v>0</v>
      </c>
    </row>
    <row r="325" spans="6:7" x14ac:dyDescent="0.25">
      <c r="F325" s="24">
        <f t="shared" si="12"/>
        <v>0</v>
      </c>
      <c r="G325" s="8">
        <f t="shared" si="13"/>
        <v>0</v>
      </c>
    </row>
    <row r="326" spans="6:7" x14ac:dyDescent="0.25">
      <c r="F326" s="24">
        <f t="shared" si="12"/>
        <v>0</v>
      </c>
      <c r="G326" s="8">
        <f t="shared" si="13"/>
        <v>0</v>
      </c>
    </row>
    <row r="327" spans="6:7" x14ac:dyDescent="0.25">
      <c r="F327" s="24">
        <f t="shared" si="12"/>
        <v>0</v>
      </c>
      <c r="G327" s="8">
        <f t="shared" si="13"/>
        <v>0</v>
      </c>
    </row>
    <row r="328" spans="6:7" x14ac:dyDescent="0.25">
      <c r="F328" s="24">
        <f t="shared" si="12"/>
        <v>0</v>
      </c>
      <c r="G328" s="8">
        <f t="shared" si="13"/>
        <v>0</v>
      </c>
    </row>
    <row r="329" spans="6:7" x14ac:dyDescent="0.25">
      <c r="F329" s="24">
        <f t="shared" si="12"/>
        <v>0</v>
      </c>
      <c r="G329" s="8">
        <f t="shared" si="13"/>
        <v>0</v>
      </c>
    </row>
    <row r="330" spans="6:7" x14ac:dyDescent="0.25">
      <c r="F330" s="24">
        <f t="shared" si="12"/>
        <v>0</v>
      </c>
      <c r="G330" s="8">
        <f t="shared" si="13"/>
        <v>0</v>
      </c>
    </row>
    <row r="331" spans="6:7" x14ac:dyDescent="0.25">
      <c r="F331" s="24">
        <f t="shared" si="12"/>
        <v>0</v>
      </c>
      <c r="G331" s="8">
        <f t="shared" si="13"/>
        <v>0</v>
      </c>
    </row>
    <row r="332" spans="6:7" x14ac:dyDescent="0.25">
      <c r="F332" s="24">
        <f t="shared" si="12"/>
        <v>0</v>
      </c>
      <c r="G332" s="8">
        <f t="shared" si="13"/>
        <v>0</v>
      </c>
    </row>
    <row r="333" spans="6:7" x14ac:dyDescent="0.25">
      <c r="F333" s="24">
        <f t="shared" si="12"/>
        <v>0</v>
      </c>
      <c r="G333" s="8">
        <f t="shared" si="13"/>
        <v>0</v>
      </c>
    </row>
    <row r="334" spans="6:7" x14ac:dyDescent="0.25">
      <c r="F334" s="24">
        <f t="shared" si="12"/>
        <v>0</v>
      </c>
      <c r="G334" s="8">
        <f t="shared" si="13"/>
        <v>0</v>
      </c>
    </row>
    <row r="335" spans="6:7" x14ac:dyDescent="0.25">
      <c r="F335" s="24">
        <f t="shared" si="12"/>
        <v>0</v>
      </c>
      <c r="G335" s="8">
        <f t="shared" si="13"/>
        <v>0</v>
      </c>
    </row>
    <row r="336" spans="6:7" x14ac:dyDescent="0.25">
      <c r="F336" s="24">
        <f t="shared" si="12"/>
        <v>0</v>
      </c>
      <c r="G336" s="8">
        <f t="shared" si="13"/>
        <v>0</v>
      </c>
    </row>
    <row r="337" spans="6:7" x14ac:dyDescent="0.25">
      <c r="F337" s="24">
        <f t="shared" si="12"/>
        <v>0</v>
      </c>
      <c r="G337" s="8">
        <f t="shared" si="13"/>
        <v>0</v>
      </c>
    </row>
    <row r="338" spans="6:7" x14ac:dyDescent="0.25">
      <c r="F338" s="24">
        <f t="shared" si="12"/>
        <v>0</v>
      </c>
      <c r="G338" s="8">
        <f t="shared" si="13"/>
        <v>0</v>
      </c>
    </row>
    <row r="339" spans="6:7" x14ac:dyDescent="0.25">
      <c r="F339" s="24">
        <f t="shared" si="12"/>
        <v>0</v>
      </c>
      <c r="G339" s="8">
        <f t="shared" si="13"/>
        <v>0</v>
      </c>
    </row>
    <row r="340" spans="6:7" x14ac:dyDescent="0.25">
      <c r="F340" s="24">
        <f t="shared" si="12"/>
        <v>0</v>
      </c>
      <c r="G340" s="8">
        <f t="shared" si="13"/>
        <v>0</v>
      </c>
    </row>
    <row r="341" spans="6:7" x14ac:dyDescent="0.25">
      <c r="F341" s="24">
        <f t="shared" si="12"/>
        <v>0</v>
      </c>
      <c r="G341" s="8">
        <f t="shared" si="13"/>
        <v>0</v>
      </c>
    </row>
    <row r="342" spans="6:7" x14ac:dyDescent="0.25">
      <c r="F342" s="24">
        <f t="shared" si="12"/>
        <v>0</v>
      </c>
      <c r="G342" s="8">
        <f t="shared" si="13"/>
        <v>0</v>
      </c>
    </row>
    <row r="343" spans="6:7" x14ac:dyDescent="0.25">
      <c r="F343" s="24">
        <f t="shared" si="12"/>
        <v>0</v>
      </c>
      <c r="G343" s="8">
        <f t="shared" si="13"/>
        <v>0</v>
      </c>
    </row>
    <row r="344" spans="6:7" x14ac:dyDescent="0.25">
      <c r="F344" s="24">
        <f t="shared" si="12"/>
        <v>0</v>
      </c>
      <c r="G344" s="8">
        <f t="shared" si="13"/>
        <v>0</v>
      </c>
    </row>
    <row r="345" spans="6:7" x14ac:dyDescent="0.25">
      <c r="F345" s="24">
        <f t="shared" si="12"/>
        <v>0</v>
      </c>
      <c r="G345" s="8">
        <f t="shared" si="13"/>
        <v>0</v>
      </c>
    </row>
    <row r="346" spans="6:7" x14ac:dyDescent="0.25">
      <c r="F346" s="24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4">
        <f t="shared" si="14"/>
        <v>0</v>
      </c>
      <c r="G347" s="8">
        <f t="shared" si="15"/>
        <v>0</v>
      </c>
    </row>
    <row r="348" spans="6:7" x14ac:dyDescent="0.25">
      <c r="F348" s="24">
        <f t="shared" si="14"/>
        <v>0</v>
      </c>
      <c r="G348" s="8">
        <f t="shared" si="15"/>
        <v>0</v>
      </c>
    </row>
    <row r="349" spans="6:7" x14ac:dyDescent="0.25">
      <c r="F349" s="24">
        <f t="shared" si="14"/>
        <v>0</v>
      </c>
      <c r="G349" s="8">
        <f t="shared" si="15"/>
        <v>0</v>
      </c>
    </row>
    <row r="350" spans="6:7" x14ac:dyDescent="0.25">
      <c r="F350" s="24">
        <f t="shared" si="14"/>
        <v>0</v>
      </c>
      <c r="G350" s="8">
        <f t="shared" si="15"/>
        <v>0</v>
      </c>
    </row>
    <row r="351" spans="6:7" x14ac:dyDescent="0.25">
      <c r="F351" s="24">
        <f t="shared" si="14"/>
        <v>0</v>
      </c>
      <c r="G351" s="8">
        <f t="shared" si="15"/>
        <v>0</v>
      </c>
    </row>
    <row r="352" spans="6:7" x14ac:dyDescent="0.25">
      <c r="F352" s="24">
        <f t="shared" si="14"/>
        <v>0</v>
      </c>
      <c r="G352" s="8">
        <f t="shared" si="15"/>
        <v>0</v>
      </c>
    </row>
    <row r="353" spans="6:7" x14ac:dyDescent="0.25">
      <c r="F353" s="24">
        <f t="shared" si="14"/>
        <v>0</v>
      </c>
      <c r="G353" s="8">
        <f t="shared" si="15"/>
        <v>0</v>
      </c>
    </row>
    <row r="354" spans="6:7" x14ac:dyDescent="0.25">
      <c r="F354" s="24">
        <f t="shared" si="14"/>
        <v>0</v>
      </c>
      <c r="G354" s="8">
        <f t="shared" si="15"/>
        <v>0</v>
      </c>
    </row>
    <row r="355" spans="6:7" x14ac:dyDescent="0.25">
      <c r="F355" s="24">
        <f t="shared" si="14"/>
        <v>0</v>
      </c>
      <c r="G355" s="8">
        <f t="shared" si="15"/>
        <v>0</v>
      </c>
    </row>
    <row r="356" spans="6:7" x14ac:dyDescent="0.25">
      <c r="F356" s="24">
        <f t="shared" si="14"/>
        <v>0</v>
      </c>
      <c r="G356" s="8">
        <f t="shared" si="15"/>
        <v>0</v>
      </c>
    </row>
    <row r="357" spans="6:7" x14ac:dyDescent="0.25">
      <c r="F357" s="24">
        <f t="shared" si="14"/>
        <v>0</v>
      </c>
      <c r="G357" s="8">
        <f t="shared" si="15"/>
        <v>0</v>
      </c>
    </row>
    <row r="358" spans="6:7" x14ac:dyDescent="0.25">
      <c r="F358" s="24">
        <f t="shared" si="14"/>
        <v>0</v>
      </c>
      <c r="G358" s="8">
        <f t="shared" si="15"/>
        <v>0</v>
      </c>
    </row>
    <row r="359" spans="6:7" x14ac:dyDescent="0.25">
      <c r="F359" s="24">
        <f t="shared" si="14"/>
        <v>0</v>
      </c>
      <c r="G359" s="8">
        <f t="shared" si="15"/>
        <v>0</v>
      </c>
    </row>
    <row r="360" spans="6:7" x14ac:dyDescent="0.25">
      <c r="F360" s="24">
        <f t="shared" si="14"/>
        <v>0</v>
      </c>
      <c r="G360" s="8">
        <f t="shared" si="15"/>
        <v>0</v>
      </c>
    </row>
    <row r="361" spans="6:7" x14ac:dyDescent="0.25">
      <c r="F361" s="24">
        <f t="shared" si="14"/>
        <v>0</v>
      </c>
      <c r="G361" s="8">
        <f t="shared" si="15"/>
        <v>0</v>
      </c>
    </row>
    <row r="362" spans="6:7" x14ac:dyDescent="0.25">
      <c r="F362" s="24">
        <f t="shared" si="14"/>
        <v>0</v>
      </c>
      <c r="G362" s="8">
        <f t="shared" si="15"/>
        <v>0</v>
      </c>
    </row>
    <row r="363" spans="6:7" x14ac:dyDescent="0.25">
      <c r="F363" s="24">
        <f t="shared" si="14"/>
        <v>0</v>
      </c>
      <c r="G363" s="8">
        <f t="shared" si="15"/>
        <v>0</v>
      </c>
    </row>
    <row r="364" spans="6:7" x14ac:dyDescent="0.25">
      <c r="F364" s="24">
        <f t="shared" si="14"/>
        <v>0</v>
      </c>
      <c r="G364" s="8">
        <f t="shared" si="15"/>
        <v>0</v>
      </c>
    </row>
    <row r="365" spans="6:7" x14ac:dyDescent="0.25">
      <c r="F365" s="24">
        <f t="shared" si="14"/>
        <v>0</v>
      </c>
      <c r="G365" s="8">
        <f t="shared" si="15"/>
        <v>0</v>
      </c>
    </row>
    <row r="366" spans="6:7" x14ac:dyDescent="0.25">
      <c r="F366" s="24">
        <f t="shared" si="14"/>
        <v>0</v>
      </c>
      <c r="G366" s="8">
        <f t="shared" si="15"/>
        <v>0</v>
      </c>
    </row>
    <row r="367" spans="6:7" x14ac:dyDescent="0.25">
      <c r="F367" s="24">
        <f t="shared" si="14"/>
        <v>0</v>
      </c>
      <c r="G367" s="8">
        <f t="shared" si="15"/>
        <v>0</v>
      </c>
    </row>
    <row r="368" spans="6:7" x14ac:dyDescent="0.25">
      <c r="F368" s="24">
        <f t="shared" si="14"/>
        <v>0</v>
      </c>
      <c r="G368" s="8">
        <f t="shared" si="15"/>
        <v>0</v>
      </c>
    </row>
    <row r="369" spans="6:7" x14ac:dyDescent="0.25">
      <c r="F369" s="24">
        <f t="shared" si="14"/>
        <v>0</v>
      </c>
      <c r="G369" s="8">
        <f t="shared" si="15"/>
        <v>0</v>
      </c>
    </row>
    <row r="370" spans="6:7" x14ac:dyDescent="0.25">
      <c r="F370" s="24">
        <f t="shared" si="14"/>
        <v>0</v>
      </c>
      <c r="G370" s="8">
        <f t="shared" si="15"/>
        <v>0</v>
      </c>
    </row>
    <row r="371" spans="6:7" x14ac:dyDescent="0.25">
      <c r="F371" s="24">
        <f t="shared" si="14"/>
        <v>0</v>
      </c>
      <c r="G371" s="8">
        <f t="shared" si="15"/>
        <v>0</v>
      </c>
    </row>
    <row r="372" spans="6:7" x14ac:dyDescent="0.25">
      <c r="F372" s="24">
        <f t="shared" si="14"/>
        <v>0</v>
      </c>
      <c r="G372" s="8">
        <f t="shared" si="15"/>
        <v>0</v>
      </c>
    </row>
    <row r="373" spans="6:7" x14ac:dyDescent="0.25">
      <c r="F373" s="24">
        <f t="shared" si="14"/>
        <v>0</v>
      </c>
      <c r="G373" s="8">
        <f t="shared" si="15"/>
        <v>0</v>
      </c>
    </row>
    <row r="374" spans="6:7" x14ac:dyDescent="0.25">
      <c r="F374" s="24">
        <f t="shared" si="14"/>
        <v>0</v>
      </c>
      <c r="G374" s="8">
        <f t="shared" si="15"/>
        <v>0</v>
      </c>
    </row>
    <row r="375" spans="6:7" x14ac:dyDescent="0.25">
      <c r="F375" s="24">
        <f t="shared" si="14"/>
        <v>0</v>
      </c>
      <c r="G375" s="8">
        <f t="shared" si="15"/>
        <v>0</v>
      </c>
    </row>
    <row r="376" spans="6:7" x14ac:dyDescent="0.25">
      <c r="F376" s="24">
        <f t="shared" si="14"/>
        <v>0</v>
      </c>
      <c r="G376" s="8">
        <f t="shared" si="15"/>
        <v>0</v>
      </c>
    </row>
    <row r="377" spans="6:7" x14ac:dyDescent="0.25">
      <c r="F377" s="24">
        <f t="shared" si="14"/>
        <v>0</v>
      </c>
      <c r="G377" s="8">
        <f t="shared" si="15"/>
        <v>0</v>
      </c>
    </row>
    <row r="378" spans="6:7" x14ac:dyDescent="0.25">
      <c r="F378" s="24">
        <f t="shared" si="14"/>
        <v>0</v>
      </c>
      <c r="G378" s="8">
        <f t="shared" si="15"/>
        <v>0</v>
      </c>
    </row>
    <row r="379" spans="6:7" x14ac:dyDescent="0.25">
      <c r="F379" s="24">
        <f t="shared" si="14"/>
        <v>0</v>
      </c>
      <c r="G379" s="8">
        <f t="shared" si="15"/>
        <v>0</v>
      </c>
    </row>
    <row r="380" spans="6:7" x14ac:dyDescent="0.25">
      <c r="F380" s="24">
        <f t="shared" si="14"/>
        <v>0</v>
      </c>
      <c r="G380" s="8">
        <f t="shared" si="15"/>
        <v>0</v>
      </c>
    </row>
    <row r="381" spans="6:7" x14ac:dyDescent="0.25">
      <c r="F381" s="24">
        <f t="shared" si="14"/>
        <v>0</v>
      </c>
      <c r="G381" s="8">
        <f t="shared" si="15"/>
        <v>0</v>
      </c>
    </row>
    <row r="382" spans="6:7" x14ac:dyDescent="0.25">
      <c r="F382" s="24">
        <f t="shared" si="14"/>
        <v>0</v>
      </c>
      <c r="G382" s="8">
        <f t="shared" si="15"/>
        <v>0</v>
      </c>
    </row>
    <row r="383" spans="6:7" x14ac:dyDescent="0.25">
      <c r="F383" s="24">
        <f t="shared" si="14"/>
        <v>0</v>
      </c>
      <c r="G383" s="8">
        <f t="shared" si="15"/>
        <v>0</v>
      </c>
    </row>
    <row r="384" spans="6:7" x14ac:dyDescent="0.25">
      <c r="F384" s="24">
        <f t="shared" si="14"/>
        <v>0</v>
      </c>
      <c r="G384" s="8">
        <f t="shared" si="15"/>
        <v>0</v>
      </c>
    </row>
    <row r="385" spans="6:7" x14ac:dyDescent="0.25">
      <c r="F385" s="24">
        <f t="shared" si="14"/>
        <v>0</v>
      </c>
      <c r="G385" s="8">
        <f t="shared" si="15"/>
        <v>0</v>
      </c>
    </row>
    <row r="386" spans="6:7" x14ac:dyDescent="0.25">
      <c r="F386" s="24">
        <f t="shared" si="14"/>
        <v>0</v>
      </c>
      <c r="G386" s="8">
        <f t="shared" si="15"/>
        <v>0</v>
      </c>
    </row>
    <row r="387" spans="6:7" x14ac:dyDescent="0.25">
      <c r="F387" s="24">
        <f t="shared" si="14"/>
        <v>0</v>
      </c>
      <c r="G387" s="8">
        <f t="shared" si="15"/>
        <v>0</v>
      </c>
    </row>
    <row r="388" spans="6:7" x14ac:dyDescent="0.25">
      <c r="F388" s="24">
        <f t="shared" si="14"/>
        <v>0</v>
      </c>
      <c r="G388" s="8">
        <f t="shared" si="15"/>
        <v>0</v>
      </c>
    </row>
    <row r="389" spans="6:7" x14ac:dyDescent="0.25">
      <c r="F389" s="24">
        <f t="shared" si="14"/>
        <v>0</v>
      </c>
      <c r="G389" s="8">
        <f t="shared" si="15"/>
        <v>0</v>
      </c>
    </row>
    <row r="390" spans="6:7" x14ac:dyDescent="0.25">
      <c r="F390" s="24">
        <f t="shared" si="14"/>
        <v>0</v>
      </c>
      <c r="G390" s="8">
        <f t="shared" si="15"/>
        <v>0</v>
      </c>
    </row>
    <row r="391" spans="6:7" x14ac:dyDescent="0.25">
      <c r="F391" s="24">
        <f t="shared" si="14"/>
        <v>0</v>
      </c>
      <c r="G391" s="8">
        <f t="shared" si="15"/>
        <v>0</v>
      </c>
    </row>
    <row r="392" spans="6:7" x14ac:dyDescent="0.25">
      <c r="F392" s="24">
        <f t="shared" si="14"/>
        <v>0</v>
      </c>
      <c r="G392" s="8">
        <f t="shared" si="15"/>
        <v>0</v>
      </c>
    </row>
    <row r="393" spans="6:7" x14ac:dyDescent="0.25">
      <c r="F393" s="24">
        <f t="shared" si="14"/>
        <v>0</v>
      </c>
      <c r="G393" s="8">
        <f t="shared" si="15"/>
        <v>0</v>
      </c>
    </row>
    <row r="394" spans="6:7" x14ac:dyDescent="0.25">
      <c r="F394" s="24">
        <f t="shared" si="14"/>
        <v>0</v>
      </c>
      <c r="G394" s="8">
        <f t="shared" si="15"/>
        <v>0</v>
      </c>
    </row>
    <row r="395" spans="6:7" x14ac:dyDescent="0.25">
      <c r="F395" s="24">
        <f t="shared" si="14"/>
        <v>0</v>
      </c>
      <c r="G395" s="8">
        <f t="shared" si="15"/>
        <v>0</v>
      </c>
    </row>
    <row r="396" spans="6:7" x14ac:dyDescent="0.25">
      <c r="F396" s="24">
        <f t="shared" si="14"/>
        <v>0</v>
      </c>
      <c r="G396" s="8">
        <f t="shared" si="15"/>
        <v>0</v>
      </c>
    </row>
    <row r="397" spans="6:7" x14ac:dyDescent="0.25">
      <c r="F397" s="24">
        <f t="shared" si="14"/>
        <v>0</v>
      </c>
      <c r="G397" s="8">
        <f t="shared" si="15"/>
        <v>0</v>
      </c>
    </row>
    <row r="398" spans="6:7" x14ac:dyDescent="0.25">
      <c r="F398" s="24">
        <f t="shared" si="14"/>
        <v>0</v>
      </c>
      <c r="G398" s="8">
        <f t="shared" si="15"/>
        <v>0</v>
      </c>
    </row>
    <row r="399" spans="6:7" x14ac:dyDescent="0.25">
      <c r="F399" s="24">
        <f t="shared" si="14"/>
        <v>0</v>
      </c>
      <c r="G399" s="8">
        <f t="shared" si="15"/>
        <v>0</v>
      </c>
    </row>
    <row r="400" spans="6:7" x14ac:dyDescent="0.25">
      <c r="F400" s="24">
        <f t="shared" si="14"/>
        <v>0</v>
      </c>
      <c r="G400" s="8">
        <f t="shared" si="15"/>
        <v>0</v>
      </c>
    </row>
    <row r="401" spans="6:7" x14ac:dyDescent="0.25">
      <c r="F401" s="24">
        <f t="shared" si="14"/>
        <v>0</v>
      </c>
      <c r="G401" s="8">
        <f t="shared" si="15"/>
        <v>0</v>
      </c>
    </row>
    <row r="402" spans="6:7" x14ac:dyDescent="0.25">
      <c r="F402" s="24">
        <f t="shared" si="14"/>
        <v>0</v>
      </c>
      <c r="G402" s="8">
        <f t="shared" si="15"/>
        <v>0</v>
      </c>
    </row>
    <row r="403" spans="6:7" x14ac:dyDescent="0.25">
      <c r="F403" s="24">
        <f t="shared" si="14"/>
        <v>0</v>
      </c>
      <c r="G403" s="8">
        <f t="shared" si="15"/>
        <v>0</v>
      </c>
    </row>
    <row r="404" spans="6:7" x14ac:dyDescent="0.25">
      <c r="F404" s="24">
        <f t="shared" si="14"/>
        <v>0</v>
      </c>
      <c r="G404" s="8">
        <f t="shared" si="15"/>
        <v>0</v>
      </c>
    </row>
    <row r="405" spans="6:7" x14ac:dyDescent="0.25">
      <c r="F405" s="24">
        <f t="shared" si="14"/>
        <v>0</v>
      </c>
      <c r="G405" s="8">
        <f t="shared" si="15"/>
        <v>0</v>
      </c>
    </row>
    <row r="406" spans="6:7" x14ac:dyDescent="0.25">
      <c r="F406" s="24">
        <f t="shared" si="14"/>
        <v>0</v>
      </c>
      <c r="G406" s="8">
        <f t="shared" si="15"/>
        <v>0</v>
      </c>
    </row>
    <row r="407" spans="6:7" x14ac:dyDescent="0.25">
      <c r="F407" s="24">
        <f t="shared" si="14"/>
        <v>0</v>
      </c>
      <c r="G407" s="8">
        <f t="shared" si="15"/>
        <v>0</v>
      </c>
    </row>
    <row r="408" spans="6:7" x14ac:dyDescent="0.25">
      <c r="F408" s="24">
        <f t="shared" si="14"/>
        <v>0</v>
      </c>
      <c r="G408" s="8">
        <f t="shared" si="15"/>
        <v>0</v>
      </c>
    </row>
    <row r="409" spans="6:7" x14ac:dyDescent="0.25">
      <c r="F409" s="24">
        <f t="shared" si="14"/>
        <v>0</v>
      </c>
      <c r="G409" s="8">
        <f t="shared" si="15"/>
        <v>0</v>
      </c>
    </row>
    <row r="410" spans="6:7" x14ac:dyDescent="0.25">
      <c r="F410" s="24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4">
        <f t="shared" si="16"/>
        <v>0</v>
      </c>
      <c r="G411" s="8">
        <f t="shared" si="17"/>
        <v>0</v>
      </c>
    </row>
    <row r="412" spans="6:7" x14ac:dyDescent="0.25">
      <c r="F412" s="24">
        <f t="shared" si="16"/>
        <v>0</v>
      </c>
      <c r="G412" s="8">
        <f t="shared" si="17"/>
        <v>0</v>
      </c>
    </row>
    <row r="413" spans="6:7" x14ac:dyDescent="0.25">
      <c r="F413" s="24">
        <f t="shared" si="16"/>
        <v>0</v>
      </c>
      <c r="G413" s="8">
        <f t="shared" si="17"/>
        <v>0</v>
      </c>
    </row>
    <row r="414" spans="6:7" x14ac:dyDescent="0.25">
      <c r="F414" s="24">
        <f t="shared" si="16"/>
        <v>0</v>
      </c>
      <c r="G414" s="8">
        <f t="shared" si="17"/>
        <v>0</v>
      </c>
    </row>
    <row r="415" spans="6:7" x14ac:dyDescent="0.25">
      <c r="F415" s="24">
        <f t="shared" si="16"/>
        <v>0</v>
      </c>
      <c r="G415" s="8">
        <f t="shared" si="17"/>
        <v>0</v>
      </c>
    </row>
    <row r="416" spans="6:7" x14ac:dyDescent="0.25">
      <c r="F416" s="24">
        <f t="shared" si="16"/>
        <v>0</v>
      </c>
      <c r="G416" s="8">
        <f t="shared" si="17"/>
        <v>0</v>
      </c>
    </row>
    <row r="417" spans="6:7" x14ac:dyDescent="0.25">
      <c r="F417" s="24">
        <f t="shared" si="16"/>
        <v>0</v>
      </c>
      <c r="G417" s="8">
        <f t="shared" si="17"/>
        <v>0</v>
      </c>
    </row>
    <row r="418" spans="6:7" x14ac:dyDescent="0.25">
      <c r="F418" s="24">
        <f t="shared" si="16"/>
        <v>0</v>
      </c>
      <c r="G418" s="8">
        <f t="shared" si="17"/>
        <v>0</v>
      </c>
    </row>
    <row r="419" spans="6:7" x14ac:dyDescent="0.25">
      <c r="F419" s="24">
        <f t="shared" si="16"/>
        <v>0</v>
      </c>
      <c r="G419" s="8">
        <f t="shared" si="17"/>
        <v>0</v>
      </c>
    </row>
    <row r="420" spans="6:7" x14ac:dyDescent="0.25">
      <c r="F420" s="24">
        <f t="shared" si="16"/>
        <v>0</v>
      </c>
      <c r="G420" s="8">
        <f t="shared" si="17"/>
        <v>0</v>
      </c>
    </row>
    <row r="421" spans="6:7" x14ac:dyDescent="0.25">
      <c r="F421" s="24">
        <f t="shared" si="16"/>
        <v>0</v>
      </c>
      <c r="G421" s="8">
        <f t="shared" si="17"/>
        <v>0</v>
      </c>
    </row>
    <row r="422" spans="6:7" x14ac:dyDescent="0.25">
      <c r="F422" s="24">
        <f t="shared" si="16"/>
        <v>0</v>
      </c>
      <c r="G422" s="8">
        <f t="shared" si="17"/>
        <v>0</v>
      </c>
    </row>
    <row r="423" spans="6:7" x14ac:dyDescent="0.25">
      <c r="F423" s="24">
        <f t="shared" si="16"/>
        <v>0</v>
      </c>
      <c r="G423" s="8">
        <f t="shared" si="17"/>
        <v>0</v>
      </c>
    </row>
    <row r="424" spans="6:7" x14ac:dyDescent="0.25">
      <c r="F424" s="24">
        <f t="shared" si="16"/>
        <v>0</v>
      </c>
      <c r="G424" s="8">
        <f t="shared" si="17"/>
        <v>0</v>
      </c>
    </row>
    <row r="425" spans="6:7" x14ac:dyDescent="0.25">
      <c r="F425" s="24">
        <f t="shared" si="16"/>
        <v>0</v>
      </c>
      <c r="G425" s="8">
        <f t="shared" si="17"/>
        <v>0</v>
      </c>
    </row>
    <row r="426" spans="6:7" x14ac:dyDescent="0.25">
      <c r="F426" s="24">
        <f t="shared" si="16"/>
        <v>0</v>
      </c>
      <c r="G426" s="8">
        <f t="shared" si="17"/>
        <v>0</v>
      </c>
    </row>
    <row r="427" spans="6:7" x14ac:dyDescent="0.25">
      <c r="F427" s="24">
        <f t="shared" si="16"/>
        <v>0</v>
      </c>
      <c r="G427" s="8">
        <f t="shared" si="17"/>
        <v>0</v>
      </c>
    </row>
    <row r="428" spans="6:7" x14ac:dyDescent="0.25">
      <c r="F428" s="24">
        <f t="shared" si="16"/>
        <v>0</v>
      </c>
      <c r="G428" s="8">
        <f t="shared" si="17"/>
        <v>0</v>
      </c>
    </row>
    <row r="429" spans="6:7" x14ac:dyDescent="0.25">
      <c r="F429" s="24">
        <f t="shared" si="16"/>
        <v>0</v>
      </c>
      <c r="G429" s="8">
        <f t="shared" si="17"/>
        <v>0</v>
      </c>
    </row>
    <row r="430" spans="6:7" x14ac:dyDescent="0.25">
      <c r="F430" s="24">
        <f t="shared" si="16"/>
        <v>0</v>
      </c>
      <c r="G430" s="8">
        <f t="shared" si="17"/>
        <v>0</v>
      </c>
    </row>
    <row r="431" spans="6:7" x14ac:dyDescent="0.25">
      <c r="F431" s="24">
        <f t="shared" si="16"/>
        <v>0</v>
      </c>
      <c r="G431" s="8">
        <f t="shared" si="17"/>
        <v>0</v>
      </c>
    </row>
    <row r="432" spans="6:7" x14ac:dyDescent="0.25">
      <c r="F432" s="24">
        <f t="shared" si="16"/>
        <v>0</v>
      </c>
      <c r="G432" s="8">
        <f t="shared" si="17"/>
        <v>0</v>
      </c>
    </row>
    <row r="433" spans="6:7" x14ac:dyDescent="0.25">
      <c r="F433" s="24">
        <f t="shared" si="16"/>
        <v>0</v>
      </c>
      <c r="G433" s="8">
        <f t="shared" si="17"/>
        <v>0</v>
      </c>
    </row>
    <row r="434" spans="6:7" x14ac:dyDescent="0.25">
      <c r="F434" s="24">
        <f t="shared" si="16"/>
        <v>0</v>
      </c>
      <c r="G434" s="8">
        <f t="shared" si="17"/>
        <v>0</v>
      </c>
    </row>
    <row r="435" spans="6:7" x14ac:dyDescent="0.25">
      <c r="F435" s="24">
        <f t="shared" si="16"/>
        <v>0</v>
      </c>
      <c r="G435" s="8">
        <f t="shared" si="17"/>
        <v>0</v>
      </c>
    </row>
    <row r="436" spans="6:7" x14ac:dyDescent="0.25">
      <c r="F436" s="24">
        <f t="shared" si="16"/>
        <v>0</v>
      </c>
      <c r="G436" s="8">
        <f t="shared" si="17"/>
        <v>0</v>
      </c>
    </row>
    <row r="437" spans="6:7" x14ac:dyDescent="0.25">
      <c r="F437" s="24">
        <f t="shared" si="16"/>
        <v>0</v>
      </c>
      <c r="G437" s="8">
        <f t="shared" si="17"/>
        <v>0</v>
      </c>
    </row>
    <row r="438" spans="6:7" x14ac:dyDescent="0.25">
      <c r="F438" s="24">
        <f t="shared" si="16"/>
        <v>0</v>
      </c>
      <c r="G438" s="8">
        <f t="shared" si="17"/>
        <v>0</v>
      </c>
    </row>
    <row r="439" spans="6:7" x14ac:dyDescent="0.25">
      <c r="F439" s="24">
        <f t="shared" si="16"/>
        <v>0</v>
      </c>
      <c r="G439" s="8">
        <f t="shared" si="17"/>
        <v>0</v>
      </c>
    </row>
    <row r="440" spans="6:7" x14ac:dyDescent="0.25">
      <c r="F440" s="24">
        <f t="shared" si="16"/>
        <v>0</v>
      </c>
      <c r="G440" s="8">
        <f t="shared" si="17"/>
        <v>0</v>
      </c>
    </row>
    <row r="441" spans="6:7" x14ac:dyDescent="0.25">
      <c r="F441" s="24">
        <f t="shared" si="16"/>
        <v>0</v>
      </c>
      <c r="G441" s="8">
        <f t="shared" si="17"/>
        <v>0</v>
      </c>
    </row>
    <row r="442" spans="6:7" x14ac:dyDescent="0.25">
      <c r="F442" s="24">
        <f t="shared" si="16"/>
        <v>0</v>
      </c>
      <c r="G442" s="8">
        <f t="shared" si="17"/>
        <v>0</v>
      </c>
    </row>
    <row r="443" spans="6:7" x14ac:dyDescent="0.25">
      <c r="F443" s="24">
        <f t="shared" si="16"/>
        <v>0</v>
      </c>
      <c r="G443" s="8">
        <f t="shared" si="17"/>
        <v>0</v>
      </c>
    </row>
    <row r="444" spans="6:7" x14ac:dyDescent="0.25">
      <c r="F444" s="24">
        <f t="shared" si="16"/>
        <v>0</v>
      </c>
      <c r="G444" s="8">
        <f t="shared" si="17"/>
        <v>0</v>
      </c>
    </row>
    <row r="445" spans="6:7" x14ac:dyDescent="0.25">
      <c r="F445" s="24">
        <f t="shared" si="16"/>
        <v>0</v>
      </c>
      <c r="G445" s="8">
        <f t="shared" si="17"/>
        <v>0</v>
      </c>
    </row>
    <row r="446" spans="6:7" x14ac:dyDescent="0.25">
      <c r="F446" s="24">
        <f t="shared" si="16"/>
        <v>0</v>
      </c>
      <c r="G446" s="8">
        <f t="shared" si="17"/>
        <v>0</v>
      </c>
    </row>
    <row r="447" spans="6:7" x14ac:dyDescent="0.25">
      <c r="F447" s="24">
        <f t="shared" si="16"/>
        <v>0</v>
      </c>
      <c r="G447" s="8">
        <f t="shared" si="17"/>
        <v>0</v>
      </c>
    </row>
    <row r="448" spans="6:7" x14ac:dyDescent="0.25">
      <c r="F448" s="24">
        <f t="shared" si="16"/>
        <v>0</v>
      </c>
      <c r="G448" s="8">
        <f t="shared" si="17"/>
        <v>0</v>
      </c>
    </row>
    <row r="449" spans="6:7" x14ac:dyDescent="0.25">
      <c r="F449" s="24">
        <f t="shared" si="16"/>
        <v>0</v>
      </c>
      <c r="G449" s="8">
        <f t="shared" si="17"/>
        <v>0</v>
      </c>
    </row>
    <row r="450" spans="6:7" x14ac:dyDescent="0.25">
      <c r="F450" s="24">
        <f t="shared" si="16"/>
        <v>0</v>
      </c>
      <c r="G450" s="8">
        <f t="shared" si="17"/>
        <v>0</v>
      </c>
    </row>
    <row r="451" spans="6:7" x14ac:dyDescent="0.25">
      <c r="F451" s="24">
        <f t="shared" si="16"/>
        <v>0</v>
      </c>
      <c r="G451" s="8">
        <f t="shared" si="17"/>
        <v>0</v>
      </c>
    </row>
    <row r="452" spans="6:7" x14ac:dyDescent="0.25">
      <c r="F452" s="24">
        <f t="shared" si="16"/>
        <v>0</v>
      </c>
      <c r="G452" s="8">
        <f t="shared" si="17"/>
        <v>0</v>
      </c>
    </row>
    <row r="453" spans="6:7" x14ac:dyDescent="0.25">
      <c r="F453" s="24">
        <f t="shared" si="16"/>
        <v>0</v>
      </c>
      <c r="G453" s="8">
        <f t="shared" si="17"/>
        <v>0</v>
      </c>
    </row>
    <row r="454" spans="6:7" x14ac:dyDescent="0.25">
      <c r="F454" s="24">
        <f t="shared" si="16"/>
        <v>0</v>
      </c>
      <c r="G454" s="8">
        <f t="shared" si="17"/>
        <v>0</v>
      </c>
    </row>
    <row r="455" spans="6:7" x14ac:dyDescent="0.25">
      <c r="F455" s="24">
        <f t="shared" si="16"/>
        <v>0</v>
      </c>
      <c r="G455" s="8">
        <f t="shared" si="17"/>
        <v>0</v>
      </c>
    </row>
    <row r="456" spans="6:7" x14ac:dyDescent="0.25">
      <c r="F456" s="24">
        <f t="shared" si="16"/>
        <v>0</v>
      </c>
      <c r="G456" s="8">
        <f t="shared" si="17"/>
        <v>0</v>
      </c>
    </row>
    <row r="457" spans="6:7" x14ac:dyDescent="0.25">
      <c r="F457" s="24">
        <f t="shared" si="16"/>
        <v>0</v>
      </c>
      <c r="G457" s="8">
        <f t="shared" si="17"/>
        <v>0</v>
      </c>
    </row>
    <row r="458" spans="6:7" x14ac:dyDescent="0.25">
      <c r="F458" s="24">
        <f t="shared" si="16"/>
        <v>0</v>
      </c>
      <c r="G458" s="8">
        <f t="shared" si="17"/>
        <v>0</v>
      </c>
    </row>
    <row r="459" spans="6:7" x14ac:dyDescent="0.25">
      <c r="F459" s="24">
        <f t="shared" si="16"/>
        <v>0</v>
      </c>
      <c r="G459" s="8">
        <f t="shared" si="17"/>
        <v>0</v>
      </c>
    </row>
    <row r="460" spans="6:7" x14ac:dyDescent="0.25">
      <c r="F460" s="24">
        <f t="shared" si="16"/>
        <v>0</v>
      </c>
      <c r="G460" s="8">
        <f t="shared" si="17"/>
        <v>0</v>
      </c>
    </row>
    <row r="461" spans="6:7" x14ac:dyDescent="0.25">
      <c r="F461" s="24">
        <f t="shared" si="16"/>
        <v>0</v>
      </c>
      <c r="G461" s="8">
        <f t="shared" si="17"/>
        <v>0</v>
      </c>
    </row>
    <row r="462" spans="6:7" x14ac:dyDescent="0.25">
      <c r="F462" s="24">
        <f t="shared" si="16"/>
        <v>0</v>
      </c>
      <c r="G462" s="8">
        <f t="shared" si="17"/>
        <v>0</v>
      </c>
    </row>
    <row r="463" spans="6:7" x14ac:dyDescent="0.25">
      <c r="F463" s="24">
        <f t="shared" si="16"/>
        <v>0</v>
      </c>
      <c r="G463" s="8">
        <f t="shared" si="17"/>
        <v>0</v>
      </c>
    </row>
    <row r="464" spans="6:7" x14ac:dyDescent="0.25">
      <c r="F464" s="24">
        <f t="shared" si="16"/>
        <v>0</v>
      </c>
      <c r="G464" s="8">
        <f t="shared" si="17"/>
        <v>0</v>
      </c>
    </row>
    <row r="465" spans="6:7" x14ac:dyDescent="0.25">
      <c r="F465" s="24">
        <f t="shared" si="16"/>
        <v>0</v>
      </c>
      <c r="G465" s="8">
        <f t="shared" si="17"/>
        <v>0</v>
      </c>
    </row>
    <row r="466" spans="6:7" x14ac:dyDescent="0.25">
      <c r="F466" s="24">
        <f t="shared" si="16"/>
        <v>0</v>
      </c>
      <c r="G466" s="8">
        <f t="shared" si="17"/>
        <v>0</v>
      </c>
    </row>
    <row r="467" spans="6:7" x14ac:dyDescent="0.25">
      <c r="F467" s="24">
        <f t="shared" si="16"/>
        <v>0</v>
      </c>
      <c r="G467" s="8">
        <f t="shared" si="17"/>
        <v>0</v>
      </c>
    </row>
    <row r="468" spans="6:7" x14ac:dyDescent="0.25">
      <c r="F468" s="24">
        <f t="shared" si="16"/>
        <v>0</v>
      </c>
      <c r="G468" s="8">
        <f t="shared" si="17"/>
        <v>0</v>
      </c>
    </row>
    <row r="469" spans="6:7" x14ac:dyDescent="0.25">
      <c r="F469" s="24">
        <f t="shared" si="16"/>
        <v>0</v>
      </c>
      <c r="G469" s="8">
        <f t="shared" si="17"/>
        <v>0</v>
      </c>
    </row>
    <row r="470" spans="6:7" x14ac:dyDescent="0.25">
      <c r="F470" s="24">
        <f t="shared" si="16"/>
        <v>0</v>
      </c>
      <c r="G470" s="8">
        <f t="shared" si="17"/>
        <v>0</v>
      </c>
    </row>
    <row r="471" spans="6:7" x14ac:dyDescent="0.25">
      <c r="F471" s="24">
        <f t="shared" si="16"/>
        <v>0</v>
      </c>
      <c r="G471" s="8">
        <f t="shared" si="17"/>
        <v>0</v>
      </c>
    </row>
    <row r="472" spans="6:7" x14ac:dyDescent="0.25">
      <c r="F472" s="24">
        <f t="shared" si="16"/>
        <v>0</v>
      </c>
      <c r="G472" s="8">
        <f t="shared" si="17"/>
        <v>0</v>
      </c>
    </row>
    <row r="473" spans="6:7" x14ac:dyDescent="0.25">
      <c r="F473" s="24">
        <f t="shared" si="16"/>
        <v>0</v>
      </c>
      <c r="G473" s="8">
        <f t="shared" si="17"/>
        <v>0</v>
      </c>
    </row>
    <row r="474" spans="6:7" x14ac:dyDescent="0.25">
      <c r="F474" s="24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4">
        <f t="shared" si="18"/>
        <v>0</v>
      </c>
      <c r="G475" s="8">
        <f t="shared" si="19"/>
        <v>0</v>
      </c>
    </row>
    <row r="476" spans="6:7" x14ac:dyDescent="0.25">
      <c r="F476" s="24">
        <f t="shared" si="18"/>
        <v>0</v>
      </c>
      <c r="G476" s="8">
        <f t="shared" si="19"/>
        <v>0</v>
      </c>
    </row>
    <row r="477" spans="6:7" x14ac:dyDescent="0.25">
      <c r="F477" s="24">
        <f t="shared" si="18"/>
        <v>0</v>
      </c>
      <c r="G477" s="8">
        <f t="shared" si="19"/>
        <v>0</v>
      </c>
    </row>
    <row r="478" spans="6:7" x14ac:dyDescent="0.25">
      <c r="F478" s="24">
        <f t="shared" si="18"/>
        <v>0</v>
      </c>
      <c r="G478" s="8">
        <f t="shared" si="19"/>
        <v>0</v>
      </c>
    </row>
    <row r="479" spans="6:7" x14ac:dyDescent="0.25">
      <c r="F479" s="24">
        <f t="shared" si="18"/>
        <v>0</v>
      </c>
      <c r="G479" s="8">
        <f t="shared" si="19"/>
        <v>0</v>
      </c>
    </row>
    <row r="480" spans="6:7" x14ac:dyDescent="0.25">
      <c r="F480" s="24">
        <f t="shared" si="18"/>
        <v>0</v>
      </c>
      <c r="G480" s="8">
        <f t="shared" si="19"/>
        <v>0</v>
      </c>
    </row>
    <row r="481" spans="6:7" x14ac:dyDescent="0.25">
      <c r="F481" s="24">
        <f t="shared" si="18"/>
        <v>0</v>
      </c>
      <c r="G481" s="8">
        <f t="shared" si="19"/>
        <v>0</v>
      </c>
    </row>
    <row r="482" spans="6:7" x14ac:dyDescent="0.25">
      <c r="F482" s="24">
        <f t="shared" si="18"/>
        <v>0</v>
      </c>
      <c r="G482" s="8">
        <f t="shared" si="19"/>
        <v>0</v>
      </c>
    </row>
    <row r="483" spans="6:7" x14ac:dyDescent="0.25">
      <c r="F483" s="24">
        <f t="shared" si="18"/>
        <v>0</v>
      </c>
      <c r="G483" s="8">
        <f t="shared" si="19"/>
        <v>0</v>
      </c>
    </row>
    <row r="484" spans="6:7" x14ac:dyDescent="0.25">
      <c r="F484" s="24">
        <f t="shared" si="18"/>
        <v>0</v>
      </c>
      <c r="G484" s="8">
        <f t="shared" si="19"/>
        <v>0</v>
      </c>
    </row>
    <row r="485" spans="6:7" x14ac:dyDescent="0.25">
      <c r="F485" s="24">
        <f t="shared" si="18"/>
        <v>0</v>
      </c>
      <c r="G485" s="8">
        <f t="shared" si="19"/>
        <v>0</v>
      </c>
    </row>
    <row r="486" spans="6:7" x14ac:dyDescent="0.25">
      <c r="F486" s="24">
        <f t="shared" si="18"/>
        <v>0</v>
      </c>
      <c r="G486" s="8">
        <f t="shared" si="19"/>
        <v>0</v>
      </c>
    </row>
    <row r="487" spans="6:7" x14ac:dyDescent="0.25">
      <c r="F487" s="24">
        <f t="shared" si="18"/>
        <v>0</v>
      </c>
      <c r="G487" s="8">
        <f t="shared" si="19"/>
        <v>0</v>
      </c>
    </row>
    <row r="488" spans="6:7" x14ac:dyDescent="0.25">
      <c r="F488" s="24">
        <f t="shared" si="18"/>
        <v>0</v>
      </c>
      <c r="G488" s="8">
        <f t="shared" si="19"/>
        <v>0</v>
      </c>
    </row>
    <row r="489" spans="6:7" x14ac:dyDescent="0.25">
      <c r="F489" s="24">
        <f t="shared" si="18"/>
        <v>0</v>
      </c>
      <c r="G489" s="8">
        <f t="shared" si="19"/>
        <v>0</v>
      </c>
    </row>
    <row r="490" spans="6:7" x14ac:dyDescent="0.25">
      <c r="F490" s="24">
        <f t="shared" si="18"/>
        <v>0</v>
      </c>
      <c r="G490" s="8">
        <f t="shared" si="19"/>
        <v>0</v>
      </c>
    </row>
    <row r="491" spans="6:7" x14ac:dyDescent="0.25">
      <c r="F491" s="24">
        <f t="shared" si="18"/>
        <v>0</v>
      </c>
      <c r="G491" s="8">
        <f t="shared" si="19"/>
        <v>0</v>
      </c>
    </row>
    <row r="492" spans="6:7" x14ac:dyDescent="0.25">
      <c r="F492" s="24">
        <f t="shared" si="18"/>
        <v>0</v>
      </c>
      <c r="G492" s="8">
        <f t="shared" si="19"/>
        <v>0</v>
      </c>
    </row>
    <row r="493" spans="6:7" x14ac:dyDescent="0.25">
      <c r="F493" s="24">
        <f t="shared" si="18"/>
        <v>0</v>
      </c>
      <c r="G493" s="8">
        <f t="shared" si="19"/>
        <v>0</v>
      </c>
    </row>
    <row r="494" spans="6:7" x14ac:dyDescent="0.25">
      <c r="F494" s="24">
        <f t="shared" si="18"/>
        <v>0</v>
      </c>
      <c r="G494" s="8">
        <f t="shared" si="19"/>
        <v>0</v>
      </c>
    </row>
    <row r="495" spans="6:7" x14ac:dyDescent="0.25">
      <c r="F495" s="24">
        <f t="shared" si="18"/>
        <v>0</v>
      </c>
      <c r="G495" s="8">
        <f t="shared" si="19"/>
        <v>0</v>
      </c>
    </row>
    <row r="496" spans="6:7" x14ac:dyDescent="0.25">
      <c r="F496" s="24">
        <f t="shared" si="18"/>
        <v>0</v>
      </c>
      <c r="G496" s="8">
        <f t="shared" si="19"/>
        <v>0</v>
      </c>
    </row>
    <row r="497" spans="6:7" x14ac:dyDescent="0.25">
      <c r="F497" s="24">
        <f t="shared" si="18"/>
        <v>0</v>
      </c>
      <c r="G497" s="8">
        <f t="shared" si="19"/>
        <v>0</v>
      </c>
    </row>
    <row r="498" spans="6:7" x14ac:dyDescent="0.25">
      <c r="F498" s="24">
        <f t="shared" si="18"/>
        <v>0</v>
      </c>
      <c r="G498" s="8">
        <f t="shared" si="19"/>
        <v>0</v>
      </c>
    </row>
    <row r="499" spans="6:7" x14ac:dyDescent="0.25">
      <c r="F499" s="24">
        <f t="shared" si="18"/>
        <v>0</v>
      </c>
      <c r="G499" s="8">
        <f t="shared" si="19"/>
        <v>0</v>
      </c>
    </row>
    <row r="500" spans="6:7" x14ac:dyDescent="0.25">
      <c r="F500" s="24">
        <f t="shared" si="18"/>
        <v>0</v>
      </c>
      <c r="G500" s="8">
        <f t="shared" si="19"/>
        <v>0</v>
      </c>
    </row>
    <row r="501" spans="6:7" x14ac:dyDescent="0.25">
      <c r="F501" s="24">
        <f t="shared" si="18"/>
        <v>0</v>
      </c>
      <c r="G501" s="8">
        <f t="shared" si="19"/>
        <v>0</v>
      </c>
    </row>
    <row r="502" spans="6:7" x14ac:dyDescent="0.25">
      <c r="F502" s="24">
        <f t="shared" si="18"/>
        <v>0</v>
      </c>
      <c r="G502" s="8">
        <f t="shared" si="19"/>
        <v>0</v>
      </c>
    </row>
    <row r="503" spans="6:7" x14ac:dyDescent="0.25">
      <c r="F503" s="24">
        <f t="shared" si="18"/>
        <v>0</v>
      </c>
      <c r="G503" s="8">
        <f t="shared" si="19"/>
        <v>0</v>
      </c>
    </row>
    <row r="504" spans="6:7" x14ac:dyDescent="0.25">
      <c r="F504" s="24">
        <f t="shared" si="18"/>
        <v>0</v>
      </c>
      <c r="G504" s="8">
        <f t="shared" si="19"/>
        <v>0</v>
      </c>
    </row>
    <row r="505" spans="6:7" x14ac:dyDescent="0.25">
      <c r="F505" s="24">
        <f t="shared" si="18"/>
        <v>0</v>
      </c>
      <c r="G505" s="8">
        <f t="shared" si="19"/>
        <v>0</v>
      </c>
    </row>
    <row r="506" spans="6:7" x14ac:dyDescent="0.25">
      <c r="F506" s="24">
        <f t="shared" si="18"/>
        <v>0</v>
      </c>
      <c r="G506" s="8">
        <f t="shared" si="19"/>
        <v>0</v>
      </c>
    </row>
    <row r="507" spans="6:7" x14ac:dyDescent="0.25">
      <c r="F507" s="24">
        <f t="shared" si="18"/>
        <v>0</v>
      </c>
      <c r="G507" s="8">
        <f t="shared" si="19"/>
        <v>0</v>
      </c>
    </row>
    <row r="508" spans="6:7" x14ac:dyDescent="0.25">
      <c r="F508" s="24">
        <f t="shared" si="18"/>
        <v>0</v>
      </c>
      <c r="G508" s="8">
        <f t="shared" si="19"/>
        <v>0</v>
      </c>
    </row>
    <row r="509" spans="6:7" x14ac:dyDescent="0.25">
      <c r="F509" s="24">
        <f t="shared" si="18"/>
        <v>0</v>
      </c>
      <c r="G509" s="8">
        <f t="shared" si="19"/>
        <v>0</v>
      </c>
    </row>
    <row r="510" spans="6:7" x14ac:dyDescent="0.25">
      <c r="F510" s="24">
        <f t="shared" si="18"/>
        <v>0</v>
      </c>
      <c r="G510" s="8">
        <f t="shared" si="19"/>
        <v>0</v>
      </c>
    </row>
    <row r="511" spans="6:7" x14ac:dyDescent="0.25">
      <c r="F511" s="24">
        <f t="shared" si="18"/>
        <v>0</v>
      </c>
      <c r="G511" s="8">
        <f t="shared" si="19"/>
        <v>0</v>
      </c>
    </row>
    <row r="512" spans="6:7" x14ac:dyDescent="0.25">
      <c r="F512" s="24">
        <f t="shared" si="18"/>
        <v>0</v>
      </c>
      <c r="G512" s="8">
        <f t="shared" si="19"/>
        <v>0</v>
      </c>
    </row>
    <row r="513" spans="6:7" x14ac:dyDescent="0.25">
      <c r="F513" s="24">
        <f t="shared" si="18"/>
        <v>0</v>
      </c>
      <c r="G513" s="8">
        <f t="shared" si="19"/>
        <v>0</v>
      </c>
    </row>
    <row r="514" spans="6:7" x14ac:dyDescent="0.25">
      <c r="F514" s="24">
        <f t="shared" si="18"/>
        <v>0</v>
      </c>
      <c r="G514" s="8">
        <f t="shared" si="19"/>
        <v>0</v>
      </c>
    </row>
    <row r="515" spans="6:7" x14ac:dyDescent="0.25">
      <c r="F515" s="24">
        <f t="shared" si="18"/>
        <v>0</v>
      </c>
      <c r="G515" s="8">
        <f t="shared" si="19"/>
        <v>0</v>
      </c>
    </row>
    <row r="516" spans="6:7" x14ac:dyDescent="0.25">
      <c r="F516" s="24">
        <f t="shared" si="18"/>
        <v>0</v>
      </c>
      <c r="G516" s="8">
        <f t="shared" si="19"/>
        <v>0</v>
      </c>
    </row>
    <row r="517" spans="6:7" x14ac:dyDescent="0.25">
      <c r="F517" s="24">
        <f t="shared" si="18"/>
        <v>0</v>
      </c>
      <c r="G517" s="8">
        <f t="shared" si="19"/>
        <v>0</v>
      </c>
    </row>
    <row r="518" spans="6:7" x14ac:dyDescent="0.25">
      <c r="F518" s="24">
        <f t="shared" si="18"/>
        <v>0</v>
      </c>
      <c r="G518" s="8">
        <f t="shared" si="19"/>
        <v>0</v>
      </c>
    </row>
    <row r="519" spans="6:7" x14ac:dyDescent="0.25">
      <c r="F519" s="24">
        <f t="shared" si="18"/>
        <v>0</v>
      </c>
      <c r="G519" s="8">
        <f t="shared" si="19"/>
        <v>0</v>
      </c>
    </row>
    <row r="520" spans="6:7" x14ac:dyDescent="0.25">
      <c r="F520" s="24">
        <f t="shared" si="18"/>
        <v>0</v>
      </c>
      <c r="G520" s="8">
        <f t="shared" si="19"/>
        <v>0</v>
      </c>
    </row>
    <row r="521" spans="6:7" x14ac:dyDescent="0.25">
      <c r="F521" s="24">
        <f t="shared" si="18"/>
        <v>0</v>
      </c>
      <c r="G521" s="8">
        <f t="shared" si="19"/>
        <v>0</v>
      </c>
    </row>
    <row r="522" spans="6:7" x14ac:dyDescent="0.25">
      <c r="F522" s="24">
        <f t="shared" si="18"/>
        <v>0</v>
      </c>
      <c r="G522" s="8">
        <f t="shared" si="19"/>
        <v>0</v>
      </c>
    </row>
    <row r="523" spans="6:7" x14ac:dyDescent="0.25">
      <c r="F523" s="24">
        <f t="shared" si="18"/>
        <v>0</v>
      </c>
      <c r="G523" s="8">
        <f t="shared" si="19"/>
        <v>0</v>
      </c>
    </row>
    <row r="524" spans="6:7" x14ac:dyDescent="0.25">
      <c r="F524" s="24">
        <f t="shared" si="18"/>
        <v>0</v>
      </c>
      <c r="G524" s="8">
        <f t="shared" si="19"/>
        <v>0</v>
      </c>
    </row>
    <row r="525" spans="6:7" x14ac:dyDescent="0.25">
      <c r="F525" s="24">
        <f t="shared" si="18"/>
        <v>0</v>
      </c>
      <c r="G525" s="8">
        <f t="shared" si="19"/>
        <v>0</v>
      </c>
    </row>
    <row r="526" spans="6:7" x14ac:dyDescent="0.25">
      <c r="F526" s="24">
        <f t="shared" si="18"/>
        <v>0</v>
      </c>
      <c r="G526" s="8">
        <f t="shared" si="19"/>
        <v>0</v>
      </c>
    </row>
    <row r="527" spans="6:7" x14ac:dyDescent="0.25">
      <c r="F527" s="24">
        <f t="shared" si="18"/>
        <v>0</v>
      </c>
      <c r="G527" s="8">
        <f t="shared" si="19"/>
        <v>0</v>
      </c>
    </row>
    <row r="528" spans="6:7" x14ac:dyDescent="0.25">
      <c r="F528" s="24">
        <f t="shared" si="18"/>
        <v>0</v>
      </c>
      <c r="G528" s="8">
        <f t="shared" si="19"/>
        <v>0</v>
      </c>
    </row>
    <row r="529" spans="6:7" x14ac:dyDescent="0.25">
      <c r="F529" s="24">
        <f t="shared" si="18"/>
        <v>0</v>
      </c>
      <c r="G529" s="8">
        <f t="shared" si="19"/>
        <v>0</v>
      </c>
    </row>
    <row r="530" spans="6:7" x14ac:dyDescent="0.25">
      <c r="F530" s="24">
        <f t="shared" si="18"/>
        <v>0</v>
      </c>
      <c r="G530" s="8">
        <f t="shared" si="19"/>
        <v>0</v>
      </c>
    </row>
    <row r="531" spans="6:7" x14ac:dyDescent="0.25">
      <c r="F531" s="24">
        <f t="shared" si="18"/>
        <v>0</v>
      </c>
      <c r="G531" s="8">
        <f t="shared" si="19"/>
        <v>0</v>
      </c>
    </row>
    <row r="532" spans="6:7" x14ac:dyDescent="0.25">
      <c r="F532" s="24">
        <f t="shared" si="18"/>
        <v>0</v>
      </c>
      <c r="G532" s="8">
        <f t="shared" si="19"/>
        <v>0</v>
      </c>
    </row>
    <row r="533" spans="6:7" x14ac:dyDescent="0.25">
      <c r="F533" s="24">
        <f t="shared" si="18"/>
        <v>0</v>
      </c>
      <c r="G533" s="8">
        <f t="shared" si="19"/>
        <v>0</v>
      </c>
    </row>
    <row r="534" spans="6:7" x14ac:dyDescent="0.25">
      <c r="F534" s="24">
        <f t="shared" si="18"/>
        <v>0</v>
      </c>
      <c r="G534" s="8">
        <f t="shared" si="19"/>
        <v>0</v>
      </c>
    </row>
    <row r="535" spans="6:7" x14ac:dyDescent="0.25">
      <c r="F535" s="24">
        <f t="shared" si="18"/>
        <v>0</v>
      </c>
      <c r="G535" s="8">
        <f t="shared" si="19"/>
        <v>0</v>
      </c>
    </row>
    <row r="536" spans="6:7" x14ac:dyDescent="0.25">
      <c r="F536" s="24">
        <f t="shared" si="18"/>
        <v>0</v>
      </c>
      <c r="G536" s="8">
        <f t="shared" si="19"/>
        <v>0</v>
      </c>
    </row>
    <row r="537" spans="6:7" x14ac:dyDescent="0.25">
      <c r="F537" s="24">
        <f t="shared" si="18"/>
        <v>0</v>
      </c>
      <c r="G537" s="8">
        <f t="shared" si="19"/>
        <v>0</v>
      </c>
    </row>
    <row r="538" spans="6:7" x14ac:dyDescent="0.25">
      <c r="F538" s="24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4">
        <f t="shared" si="20"/>
        <v>0</v>
      </c>
      <c r="G539" s="8">
        <f t="shared" si="21"/>
        <v>0</v>
      </c>
    </row>
    <row r="540" spans="6:7" x14ac:dyDescent="0.25">
      <c r="F540" s="24">
        <f t="shared" si="20"/>
        <v>0</v>
      </c>
      <c r="G540" s="8">
        <f t="shared" si="21"/>
        <v>0</v>
      </c>
    </row>
    <row r="541" spans="6:7" x14ac:dyDescent="0.25">
      <c r="F541" s="24">
        <f t="shared" si="20"/>
        <v>0</v>
      </c>
      <c r="G541" s="8">
        <f t="shared" si="21"/>
        <v>0</v>
      </c>
    </row>
    <row r="542" spans="6:7" x14ac:dyDescent="0.25">
      <c r="F542" s="24">
        <f t="shared" si="20"/>
        <v>0</v>
      </c>
      <c r="G542" s="8">
        <f t="shared" si="21"/>
        <v>0</v>
      </c>
    </row>
    <row r="543" spans="6:7" x14ac:dyDescent="0.25">
      <c r="F543" s="24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4"/>
  <sheetViews>
    <sheetView workbookViewId="0">
      <selection activeCell="M20" sqref="M20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1" bestFit="1" customWidth="1"/>
  </cols>
  <sheetData>
    <row r="1" spans="1:16" ht="45.75" x14ac:dyDescent="0.3">
      <c r="A1" s="14" t="s">
        <v>25</v>
      </c>
      <c r="C1" s="78" t="s">
        <v>123</v>
      </c>
      <c r="D1" s="79" t="s">
        <v>124</v>
      </c>
      <c r="J1" s="35" t="s">
        <v>125</v>
      </c>
      <c r="K1" s="35" t="s">
        <v>74</v>
      </c>
      <c r="L1" s="35" t="s">
        <v>75</v>
      </c>
      <c r="O1" s="82" t="s">
        <v>126</v>
      </c>
    </row>
    <row r="2" spans="1:16" ht="15.75" thickBot="1" x14ac:dyDescent="0.3">
      <c r="A2" s="15">
        <v>42597</v>
      </c>
      <c r="B2" s="4"/>
      <c r="C2" s="80">
        <v>50</v>
      </c>
      <c r="D2" s="81">
        <v>25</v>
      </c>
      <c r="F2" t="s">
        <v>167</v>
      </c>
      <c r="J2" s="35"/>
      <c r="K2" s="35" t="s">
        <v>74</v>
      </c>
      <c r="L2" s="35" t="s">
        <v>75</v>
      </c>
    </row>
    <row r="3" spans="1:16" x14ac:dyDescent="0.25">
      <c r="F3" t="s">
        <v>58</v>
      </c>
      <c r="J3" s="36" t="s">
        <v>76</v>
      </c>
      <c r="K3" s="37">
        <v>2.7052</v>
      </c>
      <c r="L3" s="37">
        <v>2.7349999999999999</v>
      </c>
      <c r="M3" s="71">
        <f t="shared" ref="M3:M14" si="0">AVERAGE(K3:L3)</f>
        <v>2.7201</v>
      </c>
      <c r="O3" t="s">
        <v>127</v>
      </c>
      <c r="P3" s="71">
        <f>AVERAGE(1.0714,1.1016)</f>
        <v>1.0865</v>
      </c>
    </row>
    <row r="4" spans="1:16" x14ac:dyDescent="0.25">
      <c r="F4" t="s">
        <v>59</v>
      </c>
      <c r="J4" s="36" t="s">
        <v>77</v>
      </c>
      <c r="K4" s="37">
        <v>3.0830000000000002</v>
      </c>
      <c r="L4" s="37">
        <v>3.097</v>
      </c>
      <c r="M4" s="71">
        <f t="shared" si="0"/>
        <v>3.09</v>
      </c>
    </row>
    <row r="5" spans="1:16" x14ac:dyDescent="0.25">
      <c r="J5" s="36" t="s">
        <v>78</v>
      </c>
      <c r="K5" s="37">
        <v>3.3136000000000001</v>
      </c>
      <c r="L5" s="37">
        <v>3.3256999999999999</v>
      </c>
      <c r="M5" s="71">
        <f t="shared" si="0"/>
        <v>3.3196500000000002</v>
      </c>
    </row>
    <row r="6" spans="1:16" x14ac:dyDescent="0.25">
      <c r="F6" t="s">
        <v>168</v>
      </c>
      <c r="J6" s="36" t="s">
        <v>79</v>
      </c>
      <c r="K6" s="37">
        <v>4.2778999999999998</v>
      </c>
      <c r="L6" s="37">
        <v>4.2961</v>
      </c>
      <c r="M6" s="71">
        <f t="shared" si="0"/>
        <v>4.2869999999999999</v>
      </c>
    </row>
    <row r="7" spans="1:16" x14ac:dyDescent="0.25">
      <c r="F7" t="s">
        <v>169</v>
      </c>
      <c r="J7" s="36" t="s">
        <v>80</v>
      </c>
      <c r="K7" s="37">
        <v>4.7865000000000002</v>
      </c>
      <c r="L7" s="37">
        <v>4.8048000000000002</v>
      </c>
      <c r="M7" s="71">
        <f t="shared" si="0"/>
        <v>4.7956500000000002</v>
      </c>
    </row>
    <row r="8" spans="1:16" x14ac:dyDescent="0.25">
      <c r="F8" t="s">
        <v>170</v>
      </c>
      <c r="J8" s="36" t="s">
        <v>81</v>
      </c>
      <c r="K8" s="37">
        <v>5.3155000000000001</v>
      </c>
      <c r="L8" s="37">
        <v>5.3277000000000001</v>
      </c>
      <c r="M8" s="71">
        <f t="shared" si="0"/>
        <v>5.3216000000000001</v>
      </c>
    </row>
    <row r="9" spans="1:16" x14ac:dyDescent="0.25">
      <c r="J9" s="36" t="s">
        <v>82</v>
      </c>
      <c r="K9" s="37">
        <v>5.8117000000000001</v>
      </c>
      <c r="L9" s="37">
        <v>5.8300999999999998</v>
      </c>
      <c r="M9" s="71">
        <f t="shared" si="0"/>
        <v>5.8209</v>
      </c>
    </row>
    <row r="10" spans="1:16" x14ac:dyDescent="0.25">
      <c r="J10" s="36" t="s">
        <v>83</v>
      </c>
      <c r="K10" s="37">
        <v>5.8783000000000003</v>
      </c>
      <c r="L10" s="37">
        <v>5.8903999999999996</v>
      </c>
      <c r="M10" s="71">
        <f t="shared" si="0"/>
        <v>5.8843499999999995</v>
      </c>
    </row>
    <row r="11" spans="1:16" x14ac:dyDescent="0.25">
      <c r="J11" s="36" t="s">
        <v>84</v>
      </c>
      <c r="K11" s="37">
        <v>6.3068</v>
      </c>
      <c r="L11" s="37">
        <v>6.3308999999999997</v>
      </c>
      <c r="M11" s="71">
        <f t="shared" si="0"/>
        <v>6.3188499999999994</v>
      </c>
    </row>
    <row r="12" spans="1:16" x14ac:dyDescent="0.25">
      <c r="J12" s="36" t="s">
        <v>85</v>
      </c>
      <c r="K12" s="37">
        <v>7.8349000000000002</v>
      </c>
      <c r="L12" s="37">
        <v>7.8468999999999998</v>
      </c>
      <c r="M12" s="71">
        <f t="shared" si="0"/>
        <v>7.8408999999999995</v>
      </c>
    </row>
    <row r="13" spans="1:16" x14ac:dyDescent="0.25">
      <c r="J13" s="36" t="s">
        <v>86</v>
      </c>
      <c r="K13" s="37">
        <v>10.373799999999999</v>
      </c>
      <c r="L13" s="37">
        <v>10.38</v>
      </c>
      <c r="M13" s="71">
        <f t="shared" si="0"/>
        <v>10.376899999999999</v>
      </c>
    </row>
    <row r="14" spans="1:16" x14ac:dyDescent="0.25">
      <c r="J14" s="36" t="s">
        <v>87</v>
      </c>
      <c r="K14" s="37">
        <v>10.8954</v>
      </c>
      <c r="L14" s="37">
        <v>10.913500000000001</v>
      </c>
      <c r="M14" s="71">
        <f t="shared" si="0"/>
        <v>10.904450000000001</v>
      </c>
    </row>
    <row r="15" spans="1:16" x14ac:dyDescent="0.25">
      <c r="J15" s="36"/>
      <c r="K15" s="37"/>
      <c r="L15" s="37"/>
    </row>
    <row r="16" spans="1:16" x14ac:dyDescent="0.25">
      <c r="J16" s="36"/>
      <c r="K16" s="37"/>
      <c r="L16" s="37"/>
    </row>
    <row r="17" spans="10:13" x14ac:dyDescent="0.25">
      <c r="J17" s="36"/>
      <c r="K17" s="37"/>
      <c r="L17" s="37"/>
    </row>
    <row r="18" spans="10:13" x14ac:dyDescent="0.25">
      <c r="J18" s="36" t="s">
        <v>100</v>
      </c>
      <c r="K18" s="37"/>
      <c r="L18" s="37"/>
      <c r="M18" s="71" t="str">
        <f>"""C:\Program Files (x86)\AstroGrep\AstroGrep.exe"""</f>
        <v>"C:\Program Files (x86)\AstroGrep\AstroGrep.exe"</v>
      </c>
    </row>
    <row r="19" spans="10:13" x14ac:dyDescent="0.25">
      <c r="J19" s="36" t="s">
        <v>101</v>
      </c>
      <c r="K19" s="37"/>
      <c r="L19" s="37"/>
      <c r="M19" s="71" t="s">
        <v>138</v>
      </c>
    </row>
    <row r="20" spans="10:13" x14ac:dyDescent="0.25">
      <c r="J20" t="s">
        <v>102</v>
      </c>
      <c r="M20" s="71" t="s">
        <v>665</v>
      </c>
    </row>
    <row r="21" spans="10:13" x14ac:dyDescent="0.25">
      <c r="J21" s="24" t="s">
        <v>105</v>
      </c>
      <c r="K21" s="24" t="s">
        <v>106</v>
      </c>
      <c r="M21" s="71" t="s">
        <v>106</v>
      </c>
    </row>
    <row r="22" spans="10:13" x14ac:dyDescent="0.25">
      <c r="J22" s="24" t="s">
        <v>107</v>
      </c>
      <c r="K22" s="24" t="s">
        <v>108</v>
      </c>
      <c r="M22" s="71" t="s">
        <v>137</v>
      </c>
    </row>
    <row r="23" spans="10:13" x14ac:dyDescent="0.25">
      <c r="J23" s="32" t="s">
        <v>110</v>
      </c>
      <c r="K23" s="24"/>
      <c r="M23" s="123">
        <v>-6</v>
      </c>
    </row>
    <row r="24" spans="10:13" x14ac:dyDescent="0.25">
      <c r="J24" s="24" t="s">
        <v>134</v>
      </c>
      <c r="K24" s="24"/>
      <c r="M24" s="71" t="s">
        <v>136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Train Runs</vt:lpstr>
      <vt:lpstr>Enforcements</vt:lpstr>
      <vt:lpstr>Missing Trips</vt:lpstr>
      <vt:lpstr>Trips&amp;Operators</vt:lpstr>
      <vt:lpstr>Variables</vt:lpstr>
      <vt:lpstr>astrogrep_path</vt:lpstr>
      <vt:lpstr>'Train Runs'!Denver_Train_Runs_04122016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2016-08-16T18:51:04Z</dcterms:modified>
</cp:coreProperties>
</file>